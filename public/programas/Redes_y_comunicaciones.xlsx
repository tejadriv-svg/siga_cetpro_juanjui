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G:\Mi unidad\CETPRO-J 2025\PROGRAMAS DE ESTUDIO 2025\"/>
    </mc:Choice>
  </mc:AlternateContent>
  <xr:revisionPtr revIDLastSave="0" documentId="13_ncr:1_{63B5DCC2-111E-4927-9D7F-7D208B4975AC}" xr6:coauthVersionLast="47" xr6:coauthVersionMax="47" xr10:uidLastSave="{00000000-0000-0000-0000-000000000000}"/>
  <bookViews>
    <workbookView minimized="1" xWindow="0" yWindow="0" windowWidth="28800" windowHeight="16200" tabRatio="740" activeTab="1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r:id="rId7"/>
    <sheet name="M4" sheetId="61" r:id="rId8"/>
    <sheet name="M5" sheetId="62" state="hidden" r:id="rId9"/>
    <sheet name="M6" sheetId="65" state="hidden" r:id="rId10"/>
    <sheet name="Itinerario" sheetId="51" r:id="rId11"/>
    <sheet name="Ambiente_Equipamiento" sheetId="54" state="hidden" r:id="rId12"/>
    <sheet name="Asoc_ambiente_UD" sheetId="52" state="hidden" r:id="rId13"/>
    <sheet name="CheckUD" sheetId="64" state="hidden" r:id="rId14"/>
    <sheet name="Check Amb" sheetId="66"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Capacidades!$A$9:$M$1144</definedName>
    <definedName name="_xlnm._FilterDatabase" localSheetId="10" hidden="1">Itinerario!$A$21:$X$211</definedName>
    <definedName name="_xlnm._FilterDatabase" localSheetId="4" hidden="1">'M1'!$A$16:$M$360</definedName>
    <definedName name="_xlnm._FilterDatabase" localSheetId="5" hidden="1">'M2'!$A$16:$M$368</definedName>
    <definedName name="_xlnm._FilterDatabase" localSheetId="6" hidden="1">'M3'!$A$16:$M$367</definedName>
    <definedName name="_xlnm._FilterDatabase" localSheetId="7" hidden="1">'M4'!$A$16:$M$367</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 name="_xlnm.Print_Area" localSheetId="11">Ambiente_Equipamiento!$A$1:$F$91</definedName>
    <definedName name="_xlnm.Print_Area" localSheetId="12">Asoc_ambiente_UD!$A$1:$F$914</definedName>
    <definedName name="_xlnm.Print_Area" localSheetId="10">Itinerario!$A$1:$AJ$209</definedName>
    <definedName name="_xlnm.Print_Area" localSheetId="3">Organización_Modular!$A$1:$J$196</definedName>
    <definedName name="_xlnm.Print_Area" localSheetId="0">Perfil_Egreso!$A$1:$E$43</definedName>
    <definedName name="_xlnm.Print_Area" localSheetId="1">Programa_Estudio!$A$1:$F$198</definedName>
    <definedName name="_xlnm.Print_Titles" localSheetId="1">Programa_Estudio!$1:$6</definedName>
  </definedNames>
  <calcPr calcId="191029"/>
  <pivotCaches>
    <pivotCache cacheId="1" r:id="rId16"/>
  </pivotCache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8" i="51" l="1"/>
  <c r="A361" i="60" l="1"/>
  <c r="A14" i="61" l="1"/>
  <c r="A24" i="51"/>
  <c r="M624" i="53"/>
  <c r="M13" i="53"/>
  <c r="M14" i="53"/>
  <c r="M15" i="53"/>
  <c r="M21" i="53"/>
  <c r="B22" i="55" s="1"/>
  <c r="M22" i="55" s="1"/>
  <c r="M22" i="53"/>
  <c r="B23" i="55" s="1"/>
  <c r="M23" i="55" s="1"/>
  <c r="M23" i="53"/>
  <c r="M24" i="5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B15" i="65"/>
  <c r="C7" i="51"/>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40" i="3"/>
  <c r="I129" i="3"/>
  <c r="I130" i="3"/>
  <c r="I131" i="3"/>
  <c r="I132" i="3"/>
  <c r="I133" i="3"/>
  <c r="I134" i="3"/>
  <c r="I114" i="3"/>
  <c r="I115" i="3"/>
  <c r="I116" i="3"/>
  <c r="I117" i="3"/>
  <c r="I118" i="3"/>
  <c r="I119" i="3"/>
  <c r="I99" i="3"/>
  <c r="I100" i="3"/>
  <c r="I101" i="3"/>
  <c r="I102" i="3"/>
  <c r="I103" i="3"/>
  <c r="I104" i="3"/>
  <c r="I84" i="3"/>
  <c r="I85" i="3"/>
  <c r="I86" i="3"/>
  <c r="I87" i="3"/>
  <c r="I88" i="3"/>
  <c r="I89" i="3"/>
  <c r="I69" i="3"/>
  <c r="I70" i="3"/>
  <c r="I71" i="3"/>
  <c r="I72" i="3"/>
  <c r="I73" i="3"/>
  <c r="I74" i="3"/>
  <c r="I54" i="3"/>
  <c r="I55" i="3"/>
  <c r="I56" i="3"/>
  <c r="I57" i="3"/>
  <c r="I58" i="3"/>
  <c r="I59" i="3"/>
  <c r="I39" i="3"/>
  <c r="I40" i="3"/>
  <c r="I41" i="3"/>
  <c r="I42" i="3"/>
  <c r="I43" i="3"/>
  <c r="I44" i="3"/>
  <c r="I24" i="3"/>
  <c r="I25" i="3"/>
  <c r="I26" i="3"/>
  <c r="I27" i="3"/>
  <c r="I28" i="3"/>
  <c r="B9" i="3"/>
  <c r="E11" i="3"/>
  <c r="F7" i="3"/>
  <c r="D7" i="3"/>
  <c r="B7" i="3"/>
  <c r="A361" i="65"/>
  <c r="A361" i="62"/>
  <c r="A361" i="61"/>
  <c r="A362" i="59"/>
  <c r="L358" i="65"/>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9" i="59"/>
  <c r="K359" i="59"/>
  <c r="C359" i="59"/>
  <c r="B359" i="59"/>
  <c r="A359" i="59"/>
  <c r="A358" i="59"/>
  <c r="J196" i="49"/>
  <c r="I196" i="49"/>
  <c r="J11" i="49"/>
  <c r="J12"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J100" i="49"/>
  <c r="J101" i="49"/>
  <c r="J102" i="49"/>
  <c r="J103" i="49"/>
  <c r="J104" i="49"/>
  <c r="J105" i="49"/>
  <c r="J106" i="49"/>
  <c r="J107" i="49"/>
  <c r="J108" i="49"/>
  <c r="J109" i="49"/>
  <c r="J110" i="49"/>
  <c r="J111" i="49"/>
  <c r="J112" i="49"/>
  <c r="J113" i="49"/>
  <c r="J114" i="49"/>
  <c r="J115" i="49"/>
  <c r="J116" i="49"/>
  <c r="J117" i="49"/>
  <c r="J118" i="49"/>
  <c r="J119" i="49"/>
  <c r="J120" i="49"/>
  <c r="J121" i="49"/>
  <c r="J122" i="49"/>
  <c r="J123" i="49"/>
  <c r="J124" i="49"/>
  <c r="J125" i="49"/>
  <c r="J126"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J10" i="49"/>
  <c r="A1" i="59"/>
  <c r="A1" i="60" s="1"/>
  <c r="A1" i="61" s="1"/>
  <c r="A1" i="62" s="1"/>
  <c r="A1" i="65" s="1"/>
  <c r="E11" i="52"/>
  <c r="B11" i="52"/>
  <c r="B9" i="52"/>
  <c r="F7" i="52"/>
  <c r="D7" i="52"/>
  <c r="B7" i="52"/>
  <c r="A7" i="52"/>
  <c r="F5" i="52"/>
  <c r="D5" i="52"/>
  <c r="B5" i="52"/>
  <c r="F3" i="52"/>
  <c r="B3" i="52"/>
  <c r="B9" i="54"/>
  <c r="F7" i="54"/>
  <c r="D7" i="54"/>
  <c r="B7" i="54"/>
  <c r="A7" i="54"/>
  <c r="E11" i="54"/>
  <c r="B11" i="54"/>
  <c r="I11" i="65"/>
  <c r="F11" i="65"/>
  <c r="B11" i="65"/>
  <c r="A11" i="65"/>
  <c r="B9" i="65"/>
  <c r="A9" i="65"/>
  <c r="I7" i="65"/>
  <c r="F7" i="65"/>
  <c r="D7" i="65"/>
  <c r="B7" i="65"/>
  <c r="A7" i="65"/>
  <c r="I5" i="65"/>
  <c r="D5" i="65"/>
  <c r="B5" i="65"/>
  <c r="I3" i="65"/>
  <c r="B3" i="65"/>
  <c r="I11" i="62"/>
  <c r="F11" i="62"/>
  <c r="B11" i="62"/>
  <c r="A11" i="62"/>
  <c r="B9" i="62"/>
  <c r="A9" i="62"/>
  <c r="I7" i="62"/>
  <c r="F7" i="62"/>
  <c r="D7" i="62"/>
  <c r="B7" i="62"/>
  <c r="A7" i="62"/>
  <c r="I5" i="62"/>
  <c r="D5" i="62"/>
  <c r="B5" i="62"/>
  <c r="I3" i="62"/>
  <c r="B3" i="62"/>
  <c r="I11" i="61"/>
  <c r="F11" i="61"/>
  <c r="B11" i="61"/>
  <c r="A11" i="61"/>
  <c r="B9" i="61"/>
  <c r="A9" i="61"/>
  <c r="I7" i="61"/>
  <c r="F7" i="61"/>
  <c r="D7" i="61"/>
  <c r="B7" i="61"/>
  <c r="A7" i="61"/>
  <c r="I5" i="61"/>
  <c r="D5" i="61"/>
  <c r="B5" i="61"/>
  <c r="I3" i="61"/>
  <c r="B3" i="61"/>
  <c r="I11" i="60"/>
  <c r="F11" i="60"/>
  <c r="B11" i="60"/>
  <c r="A11" i="60"/>
  <c r="B9" i="60"/>
  <c r="A9" i="60"/>
  <c r="I7" i="60"/>
  <c r="F7" i="60"/>
  <c r="D7" i="60"/>
  <c r="B7" i="60"/>
  <c r="A7" i="60"/>
  <c r="I5" i="60"/>
  <c r="D5" i="60"/>
  <c r="B5" i="60"/>
  <c r="I3" i="60"/>
  <c r="B3" i="60"/>
  <c r="I11" i="59"/>
  <c r="F11" i="59"/>
  <c r="B11" i="59"/>
  <c r="A11" i="59"/>
  <c r="B9" i="59"/>
  <c r="A9" i="59"/>
  <c r="I7" i="59"/>
  <c r="F7" i="59"/>
  <c r="D7" i="59"/>
  <c r="B7" i="59"/>
  <c r="A7" i="59"/>
  <c r="I5" i="59"/>
  <c r="D5" i="59"/>
  <c r="B5" i="59"/>
  <c r="I3" i="59"/>
  <c r="B3" i="59"/>
  <c r="B7" i="55"/>
  <c r="F7" i="49"/>
  <c r="C7" i="49"/>
  <c r="A7" i="49"/>
  <c r="G5" i="49"/>
  <c r="C5" i="49"/>
  <c r="A5" i="49"/>
  <c r="E312" i="65"/>
  <c r="F312" i="65"/>
  <c r="G312" i="65"/>
  <c r="D312" i="65"/>
  <c r="E302" i="65"/>
  <c r="F302" i="65"/>
  <c r="G302" i="65"/>
  <c r="D302" i="65"/>
  <c r="E292" i="65"/>
  <c r="F292" i="65"/>
  <c r="G292" i="65"/>
  <c r="D292" i="65"/>
  <c r="E282" i="65"/>
  <c r="F282" i="65"/>
  <c r="G282" i="65"/>
  <c r="D282" i="65"/>
  <c r="E272" i="65"/>
  <c r="F272" i="65"/>
  <c r="G272" i="65"/>
  <c r="D272" i="65"/>
  <c r="E262" i="65"/>
  <c r="F262" i="65"/>
  <c r="H262" i="65" s="1"/>
  <c r="G262" i="65"/>
  <c r="D262" i="65"/>
  <c r="E252" i="65"/>
  <c r="F252" i="65"/>
  <c r="G252" i="65"/>
  <c r="D252" i="65"/>
  <c r="S7" i="51"/>
  <c r="C11" i="51"/>
  <c r="G9" i="51"/>
  <c r="C9" i="51"/>
  <c r="F43" i="41"/>
  <c r="I7" i="55"/>
  <c r="F7" i="55"/>
  <c r="D7" i="55"/>
  <c r="A7" i="55"/>
  <c r="I11" i="55"/>
  <c r="F11" i="55"/>
  <c r="B11" i="55"/>
  <c r="A11" i="55"/>
  <c r="B9" i="55"/>
  <c r="A9" i="55"/>
  <c r="D3" i="3"/>
  <c r="A3" i="3"/>
  <c r="B11" i="3"/>
  <c r="F30" i="41"/>
  <c r="F31" i="41"/>
  <c r="F32" i="41"/>
  <c r="F33" i="41"/>
  <c r="F34" i="41"/>
  <c r="F35" i="41"/>
  <c r="F36" i="41"/>
  <c r="F37" i="41"/>
  <c r="F38" i="41"/>
  <c r="F39" i="41"/>
  <c r="F40" i="41"/>
  <c r="M361" i="62"/>
  <c r="M354" i="55"/>
  <c r="M353" i="55"/>
  <c r="A192" i="3"/>
  <c r="A187" i="3"/>
  <c r="A182" i="3"/>
  <c r="I16" i="3"/>
  <c r="I17" i="3"/>
  <c r="I18" i="3"/>
  <c r="I19" i="3"/>
  <c r="I20" i="3"/>
  <c r="I21" i="3"/>
  <c r="I22" i="3"/>
  <c r="I23" i="3"/>
  <c r="I29" i="3"/>
  <c r="I30" i="3"/>
  <c r="I31" i="3"/>
  <c r="I32" i="3"/>
  <c r="I33" i="3"/>
  <c r="I34" i="3"/>
  <c r="I35" i="3"/>
  <c r="I36" i="3"/>
  <c r="I37" i="3"/>
  <c r="I38" i="3"/>
  <c r="I45" i="3"/>
  <c r="I46" i="3"/>
  <c r="I47" i="3"/>
  <c r="I48" i="3"/>
  <c r="I49" i="3"/>
  <c r="I50" i="3"/>
  <c r="I51" i="3"/>
  <c r="I52" i="3"/>
  <c r="I53" i="3"/>
  <c r="I60" i="3"/>
  <c r="I61" i="3"/>
  <c r="I62" i="3"/>
  <c r="I63" i="3"/>
  <c r="I64" i="3"/>
  <c r="I65" i="3"/>
  <c r="I66" i="3"/>
  <c r="I67" i="3"/>
  <c r="I68" i="3"/>
  <c r="I75" i="3"/>
  <c r="I76" i="3"/>
  <c r="I77" i="3"/>
  <c r="I78" i="3"/>
  <c r="I79" i="3"/>
  <c r="I80" i="3"/>
  <c r="I81" i="3"/>
  <c r="I82" i="3"/>
  <c r="I83" i="3"/>
  <c r="I90" i="3"/>
  <c r="I91" i="3"/>
  <c r="I92" i="3"/>
  <c r="I93" i="3"/>
  <c r="I94" i="3"/>
  <c r="I95" i="3"/>
  <c r="I96" i="3"/>
  <c r="I97" i="3"/>
  <c r="I98" i="3"/>
  <c r="I105" i="3"/>
  <c r="I106" i="3"/>
  <c r="I107" i="3"/>
  <c r="I108" i="3"/>
  <c r="I109" i="3"/>
  <c r="I110" i="3"/>
  <c r="I111" i="3"/>
  <c r="I112" i="3"/>
  <c r="I113" i="3"/>
  <c r="I120" i="3"/>
  <c r="I121" i="3"/>
  <c r="I122" i="3"/>
  <c r="I123" i="3"/>
  <c r="I124" i="3"/>
  <c r="I125" i="3"/>
  <c r="I126" i="3"/>
  <c r="I127" i="3"/>
  <c r="I128" i="3"/>
  <c r="I137" i="3"/>
  <c r="I138" i="3"/>
  <c r="I139" i="3"/>
  <c r="I15" i="3"/>
  <c r="X211" i="51"/>
  <c r="M361" i="65"/>
  <c r="M360" i="65"/>
  <c r="M359" i="65"/>
  <c r="M360" i="62"/>
  <c r="M359" i="62"/>
  <c r="M361" i="61"/>
  <c r="M360" i="61"/>
  <c r="M359" i="61"/>
  <c r="M361" i="60"/>
  <c r="M360" i="60"/>
  <c r="M359" i="60"/>
  <c r="M362" i="59"/>
  <c r="M361" i="59"/>
  <c r="M360" i="59"/>
  <c r="M352" i="55"/>
  <c r="X22" i="51"/>
  <c r="X23" i="51"/>
  <c r="X210" i="51"/>
  <c r="A177" i="3"/>
  <c r="A172" i="3"/>
  <c r="A167" i="3"/>
  <c r="A162" i="3"/>
  <c r="A157" i="3"/>
  <c r="A152" i="3"/>
  <c r="A147" i="3"/>
  <c r="A142" i="3"/>
  <c r="A137" i="3"/>
  <c r="A120" i="3"/>
  <c r="A105" i="3"/>
  <c r="A90" i="3"/>
  <c r="A75" i="3"/>
  <c r="A60" i="3"/>
  <c r="A45" i="3"/>
  <c r="A30" i="3"/>
  <c r="A15" i="3"/>
  <c r="B54" i="51"/>
  <c r="B209" i="51" s="1"/>
  <c r="B44" i="51"/>
  <c r="B168" i="51" s="1"/>
  <c r="B24" i="51"/>
  <c r="B86" i="51" s="1"/>
  <c r="B41" i="49"/>
  <c r="B61" i="49"/>
  <c r="B71" i="49"/>
  <c r="B72" i="49"/>
  <c r="B92" i="49"/>
  <c r="B102" i="49"/>
  <c r="B103" i="49"/>
  <c r="B123" i="49"/>
  <c r="B133" i="49"/>
  <c r="B134" i="49"/>
  <c r="B154" i="49"/>
  <c r="B164" i="49"/>
  <c r="B165" i="49"/>
  <c r="B185" i="49"/>
  <c r="B195" i="49"/>
  <c r="B55" i="51"/>
  <c r="B75" i="51"/>
  <c r="B106" i="51"/>
  <c r="B147" i="51"/>
  <c r="B178" i="51"/>
  <c r="B85" i="51"/>
  <c r="B116" i="51"/>
  <c r="L10" i="53"/>
  <c r="F913" i="52"/>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209" i="51"/>
  <c r="V209" i="51" s="1"/>
  <c r="R209" i="51"/>
  <c r="U209" i="51" s="1"/>
  <c r="S208" i="51"/>
  <c r="V208" i="51" s="1"/>
  <c r="R208" i="51"/>
  <c r="D208" i="51"/>
  <c r="S207" i="51"/>
  <c r="V207" i="51" s="1"/>
  <c r="R207" i="51"/>
  <c r="U207" i="51" s="1"/>
  <c r="D207" i="51"/>
  <c r="S206" i="51"/>
  <c r="V206" i="51" s="1"/>
  <c r="R206" i="51"/>
  <c r="U206" i="51" s="1"/>
  <c r="D206" i="51"/>
  <c r="S205" i="51"/>
  <c r="V205" i="51" s="1"/>
  <c r="R205" i="51"/>
  <c r="U205" i="51" s="1"/>
  <c r="W205" i="51" s="1"/>
  <c r="X205" i="51" s="1"/>
  <c r="D205" i="51"/>
  <c r="S204" i="51"/>
  <c r="V204" i="51" s="1"/>
  <c r="R204" i="51"/>
  <c r="U204" i="51"/>
  <c r="D204" i="51"/>
  <c r="S203" i="51"/>
  <c r="V203" i="51"/>
  <c r="R203" i="51"/>
  <c r="U203" i="51" s="1"/>
  <c r="W203" i="51" s="1"/>
  <c r="X203" i="51" s="1"/>
  <c r="D203" i="51"/>
  <c r="S202" i="51"/>
  <c r="V202" i="51"/>
  <c r="R202" i="51"/>
  <c r="U202" i="51" s="1"/>
  <c r="W202" i="51" s="1"/>
  <c r="X202" i="51" s="1"/>
  <c r="D202" i="51"/>
  <c r="S201" i="51"/>
  <c r="V201" i="51" s="1"/>
  <c r="W201" i="51" s="1"/>
  <c r="X201" i="51" s="1"/>
  <c r="R201" i="51"/>
  <c r="U201" i="51" s="1"/>
  <c r="D201" i="51"/>
  <c r="S200" i="51"/>
  <c r="V200" i="51"/>
  <c r="R200" i="51"/>
  <c r="D200" i="51"/>
  <c r="S199" i="51"/>
  <c r="V199" i="51" s="1"/>
  <c r="R199" i="51"/>
  <c r="U199" i="51"/>
  <c r="D199" i="51"/>
  <c r="C199" i="51"/>
  <c r="S198" i="51"/>
  <c r="V198" i="51" s="1"/>
  <c r="R198" i="51"/>
  <c r="U198" i="51" s="1"/>
  <c r="D198" i="51"/>
  <c r="S197" i="51"/>
  <c r="V197" i="51" s="1"/>
  <c r="R197" i="51"/>
  <c r="U197" i="51" s="1"/>
  <c r="D197" i="51"/>
  <c r="S196" i="51"/>
  <c r="V196" i="51" s="1"/>
  <c r="R196" i="51"/>
  <c r="U196" i="51"/>
  <c r="D196" i="51"/>
  <c r="S195" i="51"/>
  <c r="V195" i="51" s="1"/>
  <c r="R195" i="51"/>
  <c r="U195" i="51" s="1"/>
  <c r="D195" i="51"/>
  <c r="S194" i="51"/>
  <c r="V194" i="51"/>
  <c r="R194" i="51"/>
  <c r="U194" i="51" s="1"/>
  <c r="D194" i="51"/>
  <c r="S193" i="51"/>
  <c r="V193" i="51" s="1"/>
  <c r="R193" i="51"/>
  <c r="U193" i="51" s="1"/>
  <c r="D193" i="51"/>
  <c r="S192" i="51"/>
  <c r="V192" i="51" s="1"/>
  <c r="R192" i="51"/>
  <c r="U192" i="51"/>
  <c r="D192" i="51"/>
  <c r="S191" i="51"/>
  <c r="V191" i="51" s="1"/>
  <c r="R191" i="51"/>
  <c r="U191" i="51" s="1"/>
  <c r="D191" i="51"/>
  <c r="S190" i="51"/>
  <c r="V190" i="51" s="1"/>
  <c r="W190" i="51" s="1"/>
  <c r="X190" i="51" s="1"/>
  <c r="R190" i="51"/>
  <c r="U190" i="51" s="1"/>
  <c r="D190" i="51"/>
  <c r="S189" i="51"/>
  <c r="V189" i="51" s="1"/>
  <c r="R189" i="51"/>
  <c r="U189" i="51" s="1"/>
  <c r="D189" i="51"/>
  <c r="S188" i="51"/>
  <c r="V188" i="51" s="1"/>
  <c r="R188" i="51"/>
  <c r="U188" i="51" s="1"/>
  <c r="W188" i="51" s="1"/>
  <c r="X188" i="51" s="1"/>
  <c r="D188" i="51"/>
  <c r="S187" i="51"/>
  <c r="V187" i="51"/>
  <c r="R187" i="51"/>
  <c r="U187" i="51" s="1"/>
  <c r="D187" i="51"/>
  <c r="S186" i="51"/>
  <c r="V186" i="51" s="1"/>
  <c r="W186" i="51" s="1"/>
  <c r="X186" i="51" s="1"/>
  <c r="R186" i="51"/>
  <c r="U186" i="51" s="1"/>
  <c r="D186" i="51"/>
  <c r="S185" i="51"/>
  <c r="V185" i="51" s="1"/>
  <c r="R185" i="51"/>
  <c r="U185" i="51" s="1"/>
  <c r="D185" i="51"/>
  <c r="S184" i="51"/>
  <c r="V184" i="51" s="1"/>
  <c r="R184" i="51"/>
  <c r="U184" i="51" s="1"/>
  <c r="W184" i="51" s="1"/>
  <c r="X184" i="51" s="1"/>
  <c r="D184" i="51"/>
  <c r="S183" i="51"/>
  <c r="V183" i="51" s="1"/>
  <c r="R183" i="51"/>
  <c r="D183" i="51"/>
  <c r="S182" i="51"/>
  <c r="V182" i="51" s="1"/>
  <c r="R182" i="51"/>
  <c r="U182" i="51" s="1"/>
  <c r="D182" i="51"/>
  <c r="S181" i="51"/>
  <c r="V181" i="51" s="1"/>
  <c r="W181" i="51" s="1"/>
  <c r="X181" i="51" s="1"/>
  <c r="R181" i="51"/>
  <c r="U181" i="51" s="1"/>
  <c r="D181" i="51"/>
  <c r="S180" i="51"/>
  <c r="V180" i="51" s="1"/>
  <c r="R180" i="51"/>
  <c r="U180" i="51" s="1"/>
  <c r="D180" i="51"/>
  <c r="S179" i="51"/>
  <c r="V179" i="51" s="1"/>
  <c r="R179" i="51"/>
  <c r="U179" i="51" s="1"/>
  <c r="W179" i="51" s="1"/>
  <c r="X179" i="51" s="1"/>
  <c r="D179" i="51"/>
  <c r="C179" i="51"/>
  <c r="A179" i="51"/>
  <c r="A764" i="52"/>
  <c r="I312" i="65"/>
  <c r="J302" i="65"/>
  <c r="I292" i="65"/>
  <c r="J282" i="65"/>
  <c r="I272" i="65"/>
  <c r="J262" i="65"/>
  <c r="I252" i="65"/>
  <c r="J252" i="65"/>
  <c r="E242" i="65"/>
  <c r="F242" i="65"/>
  <c r="G242" i="65"/>
  <c r="J242" i="65"/>
  <c r="E232" i="65"/>
  <c r="F232" i="65"/>
  <c r="I232" i="65"/>
  <c r="G232" i="65"/>
  <c r="J232" i="65" s="1"/>
  <c r="D242" i="65"/>
  <c r="D232" i="65"/>
  <c r="E222" i="65"/>
  <c r="F222" i="65"/>
  <c r="I222" i="65"/>
  <c r="G222" i="65"/>
  <c r="J222" i="65"/>
  <c r="D222" i="65"/>
  <c r="E208" i="65"/>
  <c r="F208" i="65"/>
  <c r="I208" i="65"/>
  <c r="G208" i="65"/>
  <c r="J208" i="65"/>
  <c r="E198" i="65"/>
  <c r="F198" i="65"/>
  <c r="I198" i="65" s="1"/>
  <c r="G198" i="65"/>
  <c r="E188" i="65"/>
  <c r="F188" i="65"/>
  <c r="G188" i="65"/>
  <c r="J188" i="65"/>
  <c r="E178" i="65"/>
  <c r="F178" i="65"/>
  <c r="I178" i="65" s="1"/>
  <c r="G178" i="65"/>
  <c r="J178" i="65" s="1"/>
  <c r="K178" i="65" s="1"/>
  <c r="E168" i="65"/>
  <c r="F168" i="65"/>
  <c r="G168" i="65"/>
  <c r="J168" i="65"/>
  <c r="E158" i="65"/>
  <c r="F158" i="65"/>
  <c r="I158" i="65" s="1"/>
  <c r="G158" i="65"/>
  <c r="J158" i="65"/>
  <c r="E148" i="65"/>
  <c r="F148" i="65"/>
  <c r="I148" i="65"/>
  <c r="G148" i="65"/>
  <c r="J148" i="65" s="1"/>
  <c r="E138" i="65"/>
  <c r="F138" i="65"/>
  <c r="I138" i="65" s="1"/>
  <c r="K138" i="65" s="1"/>
  <c r="G138" i="65"/>
  <c r="J138" i="65" s="1"/>
  <c r="E128" i="65"/>
  <c r="F128" i="65"/>
  <c r="G128" i="65"/>
  <c r="J128" i="65" s="1"/>
  <c r="E118" i="65"/>
  <c r="F118" i="65"/>
  <c r="I118" i="65" s="1"/>
  <c r="G118" i="65"/>
  <c r="E108" i="65"/>
  <c r="F108" i="65"/>
  <c r="I108" i="65" s="1"/>
  <c r="G108" i="65"/>
  <c r="J108" i="65"/>
  <c r="E98" i="65"/>
  <c r="F98" i="65"/>
  <c r="I98" i="65" s="1"/>
  <c r="G98" i="65"/>
  <c r="J98" i="65" s="1"/>
  <c r="K98" i="65" s="1"/>
  <c r="E88" i="65"/>
  <c r="F88" i="65"/>
  <c r="G88" i="65"/>
  <c r="J88" i="65" s="1"/>
  <c r="E78" i="65"/>
  <c r="F78" i="65"/>
  <c r="I78" i="65" s="1"/>
  <c r="G78" i="65"/>
  <c r="J78" i="65" s="1"/>
  <c r="E68" i="65"/>
  <c r="F68" i="65"/>
  <c r="I68" i="65" s="1"/>
  <c r="G68" i="65"/>
  <c r="J68" i="65"/>
  <c r="E58" i="65"/>
  <c r="F58" i="65"/>
  <c r="G58" i="65"/>
  <c r="J58" i="65"/>
  <c r="E48" i="65"/>
  <c r="F48" i="65"/>
  <c r="I48" i="65"/>
  <c r="G48" i="65"/>
  <c r="J48" i="65" s="1"/>
  <c r="E38" i="65"/>
  <c r="F38" i="65"/>
  <c r="I38" i="65"/>
  <c r="G38" i="65"/>
  <c r="J38" i="65" s="1"/>
  <c r="K38" i="65" s="1"/>
  <c r="E28" i="65"/>
  <c r="F28" i="65"/>
  <c r="I28" i="65"/>
  <c r="G28" i="65"/>
  <c r="J28" i="65" s="1"/>
  <c r="E18" i="65"/>
  <c r="F18" i="65"/>
  <c r="I18" i="65"/>
  <c r="G18" i="65"/>
  <c r="D208" i="65"/>
  <c r="D198" i="65"/>
  <c r="D188" i="65"/>
  <c r="D178" i="65"/>
  <c r="D168" i="65"/>
  <c r="D158" i="65"/>
  <c r="D148" i="65"/>
  <c r="D138" i="65"/>
  <c r="D128" i="65"/>
  <c r="D118" i="65"/>
  <c r="D108" i="65"/>
  <c r="D98" i="65"/>
  <c r="D88" i="65"/>
  <c r="D78" i="65"/>
  <c r="D68" i="65"/>
  <c r="D58" i="65"/>
  <c r="D48" i="65"/>
  <c r="D38" i="65"/>
  <c r="D28" i="65"/>
  <c r="D18" i="65"/>
  <c r="A219" i="65"/>
  <c r="M219" i="65" s="1"/>
  <c r="B321" i="65"/>
  <c r="M321" i="65" s="1"/>
  <c r="B320" i="65"/>
  <c r="M320" i="65" s="1"/>
  <c r="B319" i="65"/>
  <c r="M319" i="65" s="1"/>
  <c r="B318" i="65"/>
  <c r="M318" i="65" s="1"/>
  <c r="B317" i="65"/>
  <c r="M317" i="65" s="1"/>
  <c r="B316" i="65"/>
  <c r="M316" i="65" s="1"/>
  <c r="B315" i="65"/>
  <c r="M315" i="65" s="1"/>
  <c r="B314" i="65"/>
  <c r="M314" i="65" s="1"/>
  <c r="B313" i="65"/>
  <c r="M313" i="65" s="1"/>
  <c r="B312" i="65"/>
  <c r="M312" i="65" s="1"/>
  <c r="B311" i="65"/>
  <c r="M311" i="65" s="1"/>
  <c r="B310" i="65"/>
  <c r="M310" i="65" s="1"/>
  <c r="B309" i="65"/>
  <c r="M309" i="65" s="1"/>
  <c r="B308" i="65"/>
  <c r="M308" i="65" s="1"/>
  <c r="B307" i="65"/>
  <c r="M307" i="65" s="1"/>
  <c r="B306" i="65"/>
  <c r="M306" i="65" s="1"/>
  <c r="B305" i="65"/>
  <c r="M305" i="65" s="1"/>
  <c r="B304" i="65"/>
  <c r="M304" i="65" s="1"/>
  <c r="B303" i="65"/>
  <c r="M303" i="65" s="1"/>
  <c r="B302" i="65"/>
  <c r="M302" i="65" s="1"/>
  <c r="A302" i="65"/>
  <c r="A355" i="65" s="1"/>
  <c r="M355" i="65" s="1"/>
  <c r="B301" i="65"/>
  <c r="M301" i="65" s="1"/>
  <c r="B300" i="65"/>
  <c r="M300" i="65" s="1"/>
  <c r="B299" i="65"/>
  <c r="M299" i="65" s="1"/>
  <c r="B298" i="65"/>
  <c r="M298" i="65" s="1"/>
  <c r="B297" i="65"/>
  <c r="M297" i="65" s="1"/>
  <c r="B296" i="65"/>
  <c r="M296" i="65" s="1"/>
  <c r="B295" i="65"/>
  <c r="M295" i="65" s="1"/>
  <c r="B294" i="65"/>
  <c r="M294" i="65" s="1"/>
  <c r="B293" i="65"/>
  <c r="M293" i="65" s="1"/>
  <c r="B292" i="65"/>
  <c r="M292" i="65" s="1"/>
  <c r="B291" i="65"/>
  <c r="M291" i="65" s="1"/>
  <c r="B290" i="65"/>
  <c r="M290" i="65" s="1"/>
  <c r="B289" i="65"/>
  <c r="M289" i="65" s="1"/>
  <c r="B288" i="65"/>
  <c r="M288" i="65" s="1"/>
  <c r="B287" i="65"/>
  <c r="M287" i="65" s="1"/>
  <c r="B286" i="65"/>
  <c r="M286" i="65" s="1"/>
  <c r="B285" i="65"/>
  <c r="M285" i="65" s="1"/>
  <c r="B284" i="65"/>
  <c r="M284" i="65" s="1"/>
  <c r="B283" i="65"/>
  <c r="M283" i="65" s="1"/>
  <c r="B282" i="65"/>
  <c r="M282" i="65" s="1"/>
  <c r="B281" i="65"/>
  <c r="M281" i="65" s="1"/>
  <c r="B280" i="65"/>
  <c r="M280" i="65" s="1"/>
  <c r="B279" i="65"/>
  <c r="M279" i="65" s="1"/>
  <c r="B278" i="65"/>
  <c r="M278" i="65" s="1"/>
  <c r="B277" i="65"/>
  <c r="M277" i="65" s="1"/>
  <c r="B276" i="65"/>
  <c r="M276" i="65" s="1"/>
  <c r="B275" i="65"/>
  <c r="M275" i="65" s="1"/>
  <c r="B274" i="65"/>
  <c r="M274" i="65" s="1"/>
  <c r="B273" i="65"/>
  <c r="M273" i="65" s="1"/>
  <c r="B272" i="65"/>
  <c r="M272" i="65" s="1"/>
  <c r="B271" i="65"/>
  <c r="M271" i="65" s="1"/>
  <c r="B270" i="65"/>
  <c r="M270" i="65" s="1"/>
  <c r="B269" i="65"/>
  <c r="M269" i="65" s="1"/>
  <c r="B268" i="65"/>
  <c r="M268" i="65" s="1"/>
  <c r="B267" i="65"/>
  <c r="M267" i="65" s="1"/>
  <c r="B266" i="65"/>
  <c r="M266" i="65" s="1"/>
  <c r="B265" i="65"/>
  <c r="M265" i="65" s="1"/>
  <c r="B264" i="65"/>
  <c r="M264" i="65" s="1"/>
  <c r="B263" i="65"/>
  <c r="M263" i="65"/>
  <c r="B262" i="65"/>
  <c r="M262" i="65" s="1"/>
  <c r="B261" i="65"/>
  <c r="M261" i="65" s="1"/>
  <c r="B260" i="65"/>
  <c r="M260" i="65" s="1"/>
  <c r="B259" i="65"/>
  <c r="M259" i="65" s="1"/>
  <c r="B258" i="65"/>
  <c r="M258" i="65" s="1"/>
  <c r="B257" i="65"/>
  <c r="M257" i="65" s="1"/>
  <c r="B256" i="65"/>
  <c r="M256" i="65" s="1"/>
  <c r="B255" i="65"/>
  <c r="M255" i="65" s="1"/>
  <c r="B254" i="65"/>
  <c r="M254" i="65" s="1"/>
  <c r="B253" i="65"/>
  <c r="M253" i="65" s="1"/>
  <c r="B252" i="65"/>
  <c r="M252" i="65" s="1"/>
  <c r="B251" i="65"/>
  <c r="M251" i="65" s="1"/>
  <c r="B250" i="65"/>
  <c r="M250" i="65" s="1"/>
  <c r="B249" i="65"/>
  <c r="M249" i="65" s="1"/>
  <c r="B248" i="65"/>
  <c r="M248" i="65" s="1"/>
  <c r="B247" i="65"/>
  <c r="M247" i="65" s="1"/>
  <c r="B246" i="65"/>
  <c r="M246" i="65" s="1"/>
  <c r="B245" i="65"/>
  <c r="M245" i="65" s="1"/>
  <c r="B244" i="65"/>
  <c r="M244" i="65" s="1"/>
  <c r="B243" i="65"/>
  <c r="M243" i="65" s="1"/>
  <c r="B242" i="65"/>
  <c r="M242" i="65" s="1"/>
  <c r="B241" i="65"/>
  <c r="M241" i="65" s="1"/>
  <c r="B240" i="65"/>
  <c r="M240" i="65" s="1"/>
  <c r="B239" i="65"/>
  <c r="M239" i="65" s="1"/>
  <c r="B238" i="65"/>
  <c r="M238" i="65" s="1"/>
  <c r="B237" i="65"/>
  <c r="M237" i="65" s="1"/>
  <c r="B236" i="65"/>
  <c r="M236" i="65" s="1"/>
  <c r="B235" i="65"/>
  <c r="M235" i="65" s="1"/>
  <c r="B234" i="65"/>
  <c r="M234" i="65" s="1"/>
  <c r="B233" i="65"/>
  <c r="M233" i="65" s="1"/>
  <c r="B232" i="65"/>
  <c r="M232" i="65" s="1"/>
  <c r="B231" i="65"/>
  <c r="M231" i="65" s="1"/>
  <c r="B230" i="65"/>
  <c r="M230" i="65" s="1"/>
  <c r="B229" i="65"/>
  <c r="M229" i="65" s="1"/>
  <c r="B228" i="65"/>
  <c r="M228" i="65" s="1"/>
  <c r="B227" i="65"/>
  <c r="M227" i="65" s="1"/>
  <c r="B226" i="65"/>
  <c r="M226" i="65" s="1"/>
  <c r="B225" i="65"/>
  <c r="M225" i="65" s="1"/>
  <c r="B224" i="65"/>
  <c r="M224" i="65" s="1"/>
  <c r="B223" i="65"/>
  <c r="M223" i="65" s="1"/>
  <c r="B222" i="65"/>
  <c r="M222" i="65" s="1"/>
  <c r="D185" i="49"/>
  <c r="B217" i="65"/>
  <c r="M217" i="65" s="1"/>
  <c r="B216" i="65"/>
  <c r="M216" i="65" s="1"/>
  <c r="B215" i="65"/>
  <c r="M215" i="65" s="1"/>
  <c r="B214" i="65"/>
  <c r="M214" i="65" s="1"/>
  <c r="B213" i="65"/>
  <c r="M213" i="65" s="1"/>
  <c r="B212" i="65"/>
  <c r="M212" i="65" s="1"/>
  <c r="B211" i="65"/>
  <c r="M211" i="65" s="1"/>
  <c r="B210" i="65"/>
  <c r="M210" i="65" s="1"/>
  <c r="B209" i="65"/>
  <c r="M209" i="65" s="1"/>
  <c r="B208" i="65"/>
  <c r="M208" i="65" s="1"/>
  <c r="B207" i="65"/>
  <c r="M207" i="65" s="1"/>
  <c r="B206" i="65"/>
  <c r="M206" i="65" s="1"/>
  <c r="B205" i="65"/>
  <c r="M205" i="65" s="1"/>
  <c r="B204" i="65"/>
  <c r="M204" i="65" s="1"/>
  <c r="B203" i="65"/>
  <c r="M203" i="65" s="1"/>
  <c r="B202" i="65"/>
  <c r="M202" i="65" s="1"/>
  <c r="B201" i="65"/>
  <c r="M201" i="65" s="1"/>
  <c r="B200" i="65"/>
  <c r="M200" i="65" s="1"/>
  <c r="B199" i="65"/>
  <c r="M199" i="65" s="1"/>
  <c r="B198" i="65"/>
  <c r="M198" i="65" s="1"/>
  <c r="B197" i="65"/>
  <c r="M197" i="65" s="1"/>
  <c r="B196" i="65"/>
  <c r="M196" i="65" s="1"/>
  <c r="B195" i="65"/>
  <c r="M195" i="65" s="1"/>
  <c r="B194" i="65"/>
  <c r="M194" i="65" s="1"/>
  <c r="B193" i="65"/>
  <c r="M193" i="65" s="1"/>
  <c r="B192" i="65"/>
  <c r="M192" i="65" s="1"/>
  <c r="B191" i="65"/>
  <c r="M191" i="65" s="1"/>
  <c r="B190" i="65"/>
  <c r="M190" i="65" s="1"/>
  <c r="B189" i="65"/>
  <c r="M189" i="65" s="1"/>
  <c r="B188" i="65"/>
  <c r="M188" i="65" s="1"/>
  <c r="B187" i="65"/>
  <c r="M187" i="65" s="1"/>
  <c r="B186" i="65"/>
  <c r="M186" i="65" s="1"/>
  <c r="B185" i="65"/>
  <c r="M185" i="65" s="1"/>
  <c r="B184" i="65"/>
  <c r="M184" i="65" s="1"/>
  <c r="B183" i="65"/>
  <c r="M183" i="65" s="1"/>
  <c r="B182" i="65"/>
  <c r="M182" i="65" s="1"/>
  <c r="B181" i="65"/>
  <c r="M181" i="65" s="1"/>
  <c r="B180" i="65"/>
  <c r="M180" i="65" s="1"/>
  <c r="B179" i="65"/>
  <c r="M179" i="65" s="1"/>
  <c r="B178" i="65"/>
  <c r="M178" i="65" s="1"/>
  <c r="B177" i="65"/>
  <c r="M177" i="65" s="1"/>
  <c r="B176" i="65"/>
  <c r="M176" i="65" s="1"/>
  <c r="B175" i="65"/>
  <c r="M175" i="65" s="1"/>
  <c r="B174" i="65"/>
  <c r="M174" i="65" s="1"/>
  <c r="B173" i="65"/>
  <c r="M173" i="65" s="1"/>
  <c r="B172" i="65"/>
  <c r="M172" i="65" s="1"/>
  <c r="B171" i="65"/>
  <c r="M171" i="65" s="1"/>
  <c r="B170" i="65"/>
  <c r="M170" i="65" s="1"/>
  <c r="B169" i="65"/>
  <c r="M169" i="65" s="1"/>
  <c r="B168" i="65"/>
  <c r="M168" i="65" s="1"/>
  <c r="B167" i="65"/>
  <c r="M167" i="65" s="1"/>
  <c r="B166" i="65"/>
  <c r="M166" i="65" s="1"/>
  <c r="B165" i="65"/>
  <c r="M165" i="65" s="1"/>
  <c r="B164" i="65"/>
  <c r="M164" i="65" s="1"/>
  <c r="B163" i="65"/>
  <c r="M163" i="65" s="1"/>
  <c r="B162" i="65"/>
  <c r="M162" i="65" s="1"/>
  <c r="B161" i="65"/>
  <c r="M161" i="65" s="1"/>
  <c r="B160" i="65"/>
  <c r="M160" i="65" s="1"/>
  <c r="B159" i="65"/>
  <c r="M159" i="65" s="1"/>
  <c r="B158" i="65"/>
  <c r="M158" i="65" s="1"/>
  <c r="A158" i="65"/>
  <c r="A341" i="65" s="1"/>
  <c r="M341" i="65" s="1"/>
  <c r="B157" i="65"/>
  <c r="M157" i="65" s="1"/>
  <c r="B156" i="65"/>
  <c r="M156" i="65" s="1"/>
  <c r="B155" i="65"/>
  <c r="M155" i="65" s="1"/>
  <c r="B154" i="65"/>
  <c r="M154" i="65" s="1"/>
  <c r="B153" i="65"/>
  <c r="M153" i="65" s="1"/>
  <c r="B152" i="65"/>
  <c r="M152" i="65" s="1"/>
  <c r="B151" i="65"/>
  <c r="M151" i="65" s="1"/>
  <c r="B150" i="65"/>
  <c r="M150" i="65" s="1"/>
  <c r="B149" i="65"/>
  <c r="M149" i="65" s="1"/>
  <c r="B148" i="65"/>
  <c r="M148" i="65" s="1"/>
  <c r="B147" i="65"/>
  <c r="M147" i="65" s="1"/>
  <c r="B146" i="65"/>
  <c r="M146" i="65" s="1"/>
  <c r="B145" i="65"/>
  <c r="M145" i="65" s="1"/>
  <c r="B144" i="65"/>
  <c r="M144" i="65" s="1"/>
  <c r="B143" i="65"/>
  <c r="M143" i="65" s="1"/>
  <c r="B142" i="65"/>
  <c r="M142" i="65" s="1"/>
  <c r="B141" i="65"/>
  <c r="M141" i="65" s="1"/>
  <c r="B140" i="65"/>
  <c r="M140" i="65" s="1"/>
  <c r="B139" i="65"/>
  <c r="M139" i="65" s="1"/>
  <c r="B138" i="65"/>
  <c r="M138" i="65" s="1"/>
  <c r="B137" i="65"/>
  <c r="M137" i="65" s="1"/>
  <c r="B136" i="65"/>
  <c r="M136" i="65" s="1"/>
  <c r="B135" i="65"/>
  <c r="M135" i="65" s="1"/>
  <c r="B134" i="65"/>
  <c r="M134" i="65" s="1"/>
  <c r="B133" i="65"/>
  <c r="M133" i="65" s="1"/>
  <c r="B132" i="65"/>
  <c r="M132" i="65" s="1"/>
  <c r="B131" i="65"/>
  <c r="M131" i="65" s="1"/>
  <c r="B130" i="65"/>
  <c r="M130" i="65" s="1"/>
  <c r="B129" i="65"/>
  <c r="M129" i="65" s="1"/>
  <c r="B128" i="65"/>
  <c r="M128" i="65" s="1"/>
  <c r="B127" i="65"/>
  <c r="M127" i="65" s="1"/>
  <c r="B126" i="65"/>
  <c r="M126" i="65" s="1"/>
  <c r="B125" i="65"/>
  <c r="M125" i="65" s="1"/>
  <c r="B124" i="65"/>
  <c r="M124" i="65" s="1"/>
  <c r="B123" i="65"/>
  <c r="M123" i="65" s="1"/>
  <c r="B122" i="65"/>
  <c r="M122" i="65" s="1"/>
  <c r="B121" i="65"/>
  <c r="M121" i="65" s="1"/>
  <c r="B120" i="65"/>
  <c r="M120" i="65" s="1"/>
  <c r="B119" i="65"/>
  <c r="M119" i="65" s="1"/>
  <c r="B118" i="65"/>
  <c r="M118" i="65" s="1"/>
  <c r="B117" i="65"/>
  <c r="M117" i="65" s="1"/>
  <c r="B116" i="65"/>
  <c r="M116" i="65" s="1"/>
  <c r="B115" i="65"/>
  <c r="M115" i="65" s="1"/>
  <c r="B114" i="65"/>
  <c r="M114" i="65" s="1"/>
  <c r="B113" i="65"/>
  <c r="M113" i="65" s="1"/>
  <c r="B112" i="65"/>
  <c r="M112" i="65" s="1"/>
  <c r="B111" i="65"/>
  <c r="M111" i="65" s="1"/>
  <c r="B110" i="65"/>
  <c r="M110" i="65" s="1"/>
  <c r="B109" i="65"/>
  <c r="M109" i="65" s="1"/>
  <c r="B108" i="65"/>
  <c r="M108" i="65" s="1"/>
  <c r="B107" i="65"/>
  <c r="M107" i="65" s="1"/>
  <c r="B106" i="65"/>
  <c r="M106" i="65" s="1"/>
  <c r="B105" i="65"/>
  <c r="M105" i="65" s="1"/>
  <c r="B104" i="65"/>
  <c r="M104" i="65" s="1"/>
  <c r="B103" i="65"/>
  <c r="M103" i="65" s="1"/>
  <c r="B102" i="65"/>
  <c r="M102" i="65" s="1"/>
  <c r="B101" i="65"/>
  <c r="M101" i="65" s="1"/>
  <c r="B100" i="65"/>
  <c r="M100" i="65" s="1"/>
  <c r="B99" i="65"/>
  <c r="M99" i="65" s="1"/>
  <c r="B98" i="65"/>
  <c r="M98" i="65" s="1"/>
  <c r="B97" i="65"/>
  <c r="M97" i="65" s="1"/>
  <c r="B96" i="65"/>
  <c r="M96" i="65"/>
  <c r="B95" i="65"/>
  <c r="M95" i="65" s="1"/>
  <c r="B94" i="65"/>
  <c r="M94" i="65" s="1"/>
  <c r="B93" i="65"/>
  <c r="M93" i="65" s="1"/>
  <c r="B92" i="65"/>
  <c r="M92" i="65" s="1"/>
  <c r="B91" i="65"/>
  <c r="M91" i="65" s="1"/>
  <c r="B90" i="65"/>
  <c r="M90" i="65" s="1"/>
  <c r="B89" i="65"/>
  <c r="M89" i="65" s="1"/>
  <c r="B88" i="65"/>
  <c r="M88" i="65" s="1"/>
  <c r="A88" i="65"/>
  <c r="A334" i="65" s="1"/>
  <c r="M334" i="65" s="1"/>
  <c r="B87" i="65"/>
  <c r="M87" i="65" s="1"/>
  <c r="B86" i="65"/>
  <c r="M86" i="65" s="1"/>
  <c r="B85" i="65"/>
  <c r="M85" i="65" s="1"/>
  <c r="B84" i="65"/>
  <c r="M84" i="65" s="1"/>
  <c r="B83" i="65"/>
  <c r="M83" i="65" s="1"/>
  <c r="B82" i="65"/>
  <c r="M82" i="65" s="1"/>
  <c r="B81" i="65"/>
  <c r="M81" i="65" s="1"/>
  <c r="B80" i="65"/>
  <c r="M80" i="65" s="1"/>
  <c r="B79" i="65"/>
  <c r="M79" i="65" s="1"/>
  <c r="B78" i="65"/>
  <c r="M78" i="65" s="1"/>
  <c r="A78" i="65"/>
  <c r="A333" i="65" s="1"/>
  <c r="M333" i="65" s="1"/>
  <c r="B77" i="65"/>
  <c r="M77" i="65" s="1"/>
  <c r="B76" i="65"/>
  <c r="M76" i="65" s="1"/>
  <c r="B75" i="65"/>
  <c r="M75" i="65" s="1"/>
  <c r="B74" i="65"/>
  <c r="M74" i="65" s="1"/>
  <c r="B73" i="65"/>
  <c r="M73" i="65" s="1"/>
  <c r="B72" i="65"/>
  <c r="M72" i="65" s="1"/>
  <c r="B71" i="65"/>
  <c r="M71" i="65" s="1"/>
  <c r="B70" i="65"/>
  <c r="M70" i="65" s="1"/>
  <c r="B69" i="65"/>
  <c r="M69" i="65" s="1"/>
  <c r="B68" i="65"/>
  <c r="M68" i="65" s="1"/>
  <c r="B67" i="65"/>
  <c r="M67" i="65" s="1"/>
  <c r="B66" i="65"/>
  <c r="M66" i="65" s="1"/>
  <c r="B65" i="65"/>
  <c r="M65" i="65" s="1"/>
  <c r="B64" i="65"/>
  <c r="M64" i="65" s="1"/>
  <c r="B63" i="65"/>
  <c r="M63" i="65" s="1"/>
  <c r="B62" i="65"/>
  <c r="M62" i="65" s="1"/>
  <c r="B61" i="65"/>
  <c r="M61" i="65" s="1"/>
  <c r="B60" i="65"/>
  <c r="M60" i="65" s="1"/>
  <c r="B59" i="65"/>
  <c r="M59" i="65" s="1"/>
  <c r="B58" i="65"/>
  <c r="M58" i="65" s="1"/>
  <c r="A58" i="65"/>
  <c r="A331" i="65" s="1"/>
  <c r="M331" i="65" s="1"/>
  <c r="B57" i="65"/>
  <c r="M57" i="65" s="1"/>
  <c r="B56" i="65"/>
  <c r="M56" i="65" s="1"/>
  <c r="B55" i="65"/>
  <c r="M55" i="65" s="1"/>
  <c r="B54" i="65"/>
  <c r="M54" i="65" s="1"/>
  <c r="B53" i="65"/>
  <c r="M53" i="65" s="1"/>
  <c r="B52" i="65"/>
  <c r="M52" i="65" s="1"/>
  <c r="B51" i="65"/>
  <c r="M51" i="65" s="1"/>
  <c r="B50" i="65"/>
  <c r="M50" i="65" s="1"/>
  <c r="B49" i="65"/>
  <c r="M49" i="65" s="1"/>
  <c r="B48" i="65"/>
  <c r="M48" i="65" s="1"/>
  <c r="B47" i="65"/>
  <c r="M47" i="65" s="1"/>
  <c r="B46" i="65"/>
  <c r="M46" i="65" s="1"/>
  <c r="B45" i="65"/>
  <c r="M45" i="65"/>
  <c r="B44" i="65"/>
  <c r="M44" i="65" s="1"/>
  <c r="B43" i="65"/>
  <c r="M43" i="65" s="1"/>
  <c r="B42" i="65"/>
  <c r="M42" i="65" s="1"/>
  <c r="B41" i="65"/>
  <c r="M41" i="65" s="1"/>
  <c r="B40" i="65"/>
  <c r="M40" i="65" s="1"/>
  <c r="B39" i="65"/>
  <c r="M39" i="65" s="1"/>
  <c r="B38" i="65"/>
  <c r="M38" i="65" s="1"/>
  <c r="D167" i="49"/>
  <c r="B37" i="65"/>
  <c r="M37" i="65" s="1"/>
  <c r="B36" i="65"/>
  <c r="M36" i="65" s="1"/>
  <c r="B35" i="65"/>
  <c r="M35" i="65" s="1"/>
  <c r="B34" i="65"/>
  <c r="M34" i="65" s="1"/>
  <c r="B33" i="65"/>
  <c r="M33" i="65" s="1"/>
  <c r="B32" i="65"/>
  <c r="M32" i="65" s="1"/>
  <c r="B31" i="65"/>
  <c r="M31" i="65"/>
  <c r="B30" i="65"/>
  <c r="M30" i="65" s="1"/>
  <c r="B29" i="65"/>
  <c r="M29" i="65" s="1"/>
  <c r="B28" i="65"/>
  <c r="M28" i="65" s="1"/>
  <c r="B27" i="65"/>
  <c r="M27" i="65" s="1"/>
  <c r="B26" i="65"/>
  <c r="M26" i="65" s="1"/>
  <c r="B25" i="65"/>
  <c r="M25" i="65" s="1"/>
  <c r="B24" i="65"/>
  <c r="M24" i="65" s="1"/>
  <c r="B23" i="65"/>
  <c r="M23" i="65" s="1"/>
  <c r="B22" i="65"/>
  <c r="M22" i="65" s="1"/>
  <c r="B21" i="65"/>
  <c r="M21" i="65" s="1"/>
  <c r="B20" i="65"/>
  <c r="M20" i="65" s="1"/>
  <c r="B19" i="65"/>
  <c r="M19" i="65" s="1"/>
  <c r="B18" i="65"/>
  <c r="M18" i="65" s="1"/>
  <c r="A18" i="65"/>
  <c r="A327" i="65" s="1"/>
  <c r="M327" i="65" s="1"/>
  <c r="K359" i="65"/>
  <c r="L359" i="65" s="1"/>
  <c r="M358" i="65"/>
  <c r="M357" i="65"/>
  <c r="M326" i="65"/>
  <c r="M322" i="65"/>
  <c r="J312" i="65"/>
  <c r="I302" i="65"/>
  <c r="J292" i="65"/>
  <c r="I282" i="65"/>
  <c r="I262" i="65"/>
  <c r="M221" i="65"/>
  <c r="M220" i="65"/>
  <c r="M218" i="65"/>
  <c r="A14" i="65"/>
  <c r="H222" i="65"/>
  <c r="H188" i="65"/>
  <c r="H158" i="65"/>
  <c r="K148" i="65"/>
  <c r="K252" i="65"/>
  <c r="T192" i="51"/>
  <c r="H128" i="65"/>
  <c r="H98" i="65"/>
  <c r="H18" i="65"/>
  <c r="T200" i="51"/>
  <c r="T208" i="51"/>
  <c r="H108" i="65"/>
  <c r="W206" i="51"/>
  <c r="X206" i="51" s="1"/>
  <c r="J18" i="65"/>
  <c r="K18" i="65" s="1"/>
  <c r="W180" i="51"/>
  <c r="X180" i="51"/>
  <c r="T183" i="51"/>
  <c r="U183" i="51"/>
  <c r="W183" i="51" s="1"/>
  <c r="X183" i="51" s="1"/>
  <c r="K28" i="65"/>
  <c r="H28" i="65"/>
  <c r="H68" i="65"/>
  <c r="H252" i="65"/>
  <c r="H302" i="65"/>
  <c r="T189" i="51"/>
  <c r="W196" i="51"/>
  <c r="X196" i="51" s="1"/>
  <c r="K222" i="65"/>
  <c r="K68" i="65"/>
  <c r="T184" i="51"/>
  <c r="T196" i="51"/>
  <c r="T197" i="51"/>
  <c r="K232" i="65"/>
  <c r="T191" i="51"/>
  <c r="W182" i="51"/>
  <c r="X182" i="51" s="1"/>
  <c r="W207" i="51"/>
  <c r="X207" i="51" s="1"/>
  <c r="W199" i="51"/>
  <c r="X199" i="51" s="1"/>
  <c r="T180" i="51"/>
  <c r="T181" i="51"/>
  <c r="W192" i="51"/>
  <c r="X192" i="51" s="1"/>
  <c r="U200" i="51"/>
  <c r="W200" i="51" s="1"/>
  <c r="X200" i="51" s="1"/>
  <c r="T201" i="51"/>
  <c r="T205" i="51"/>
  <c r="T206" i="51"/>
  <c r="T209" i="51"/>
  <c r="W209" i="51"/>
  <c r="T188" i="51"/>
  <c r="W191" i="51"/>
  <c r="X191" i="51" s="1"/>
  <c r="W194" i="51"/>
  <c r="X194" i="51"/>
  <c r="W195" i="51"/>
  <c r="X195" i="51" s="1"/>
  <c r="W198" i="51"/>
  <c r="X198" i="51"/>
  <c r="U208" i="51"/>
  <c r="W208" i="51" s="1"/>
  <c r="X208" i="51" s="1"/>
  <c r="D187" i="49"/>
  <c r="A242" i="65"/>
  <c r="A349" i="65" s="1"/>
  <c r="M349" i="65" s="1"/>
  <c r="A28" i="65"/>
  <c r="A328" i="65" s="1"/>
  <c r="M328" i="65" s="1"/>
  <c r="D174" i="49"/>
  <c r="A108" i="65"/>
  <c r="A336" i="65" s="1"/>
  <c r="M336" i="65" s="1"/>
  <c r="A188" i="65"/>
  <c r="A344" i="65" s="1"/>
  <c r="M344" i="65" s="1"/>
  <c r="D172" i="49"/>
  <c r="A252" i="65"/>
  <c r="A350" i="65" s="1"/>
  <c r="M350" i="65" s="1"/>
  <c r="D175" i="49"/>
  <c r="A118" i="65"/>
  <c r="A337" i="65" s="1"/>
  <c r="M337" i="65" s="1"/>
  <c r="A282" i="65"/>
  <c r="A353" i="65" s="1"/>
  <c r="M353" i="65" s="1"/>
  <c r="D170" i="49"/>
  <c r="A68" i="65"/>
  <c r="A332" i="65" s="1"/>
  <c r="M332" i="65" s="1"/>
  <c r="D178" i="49"/>
  <c r="A148" i="65"/>
  <c r="A340" i="65" s="1"/>
  <c r="M340" i="65" s="1"/>
  <c r="D186" i="49"/>
  <c r="A232" i="65"/>
  <c r="A348" i="65" s="1"/>
  <c r="M348" i="65" s="1"/>
  <c r="D194" i="49"/>
  <c r="A312" i="65"/>
  <c r="A356" i="65"/>
  <c r="M356" i="65" s="1"/>
  <c r="D173" i="49"/>
  <c r="A98" i="65"/>
  <c r="A335" i="65" s="1"/>
  <c r="M335" i="65" s="1"/>
  <c r="D181" i="49"/>
  <c r="A178" i="65"/>
  <c r="A343" i="65" s="1"/>
  <c r="M343" i="65" s="1"/>
  <c r="D189" i="49"/>
  <c r="A262" i="65"/>
  <c r="A351" i="65" s="1"/>
  <c r="M351" i="65" s="1"/>
  <c r="D168" i="49"/>
  <c r="A48" i="65"/>
  <c r="A330" i="65" s="1"/>
  <c r="M330" i="65" s="1"/>
  <c r="D176" i="49"/>
  <c r="A128" i="65"/>
  <c r="A338" i="65" s="1"/>
  <c r="M338" i="65" s="1"/>
  <c r="A208" i="65"/>
  <c r="A346" i="65" s="1"/>
  <c r="M346" i="65" s="1"/>
  <c r="D192" i="49"/>
  <c r="A292" i="65"/>
  <c r="A354" i="65"/>
  <c r="M354" i="65" s="1"/>
  <c r="D191" i="49"/>
  <c r="D182" i="49"/>
  <c r="D169" i="49"/>
  <c r="D171" i="49"/>
  <c r="D179" i="49"/>
  <c r="D193" i="49"/>
  <c r="D188" i="49"/>
  <c r="D184" i="49"/>
  <c r="W204" i="51"/>
  <c r="X204" i="51" s="1"/>
  <c r="W187" i="51"/>
  <c r="X187" i="51"/>
  <c r="W185" i="51"/>
  <c r="X185" i="51"/>
  <c r="W189" i="51"/>
  <c r="X189" i="51"/>
  <c r="W193" i="51"/>
  <c r="X193" i="51" s="1"/>
  <c r="W197" i="51"/>
  <c r="X197" i="51"/>
  <c r="T179" i="51"/>
  <c r="T187" i="51"/>
  <c r="T195" i="51"/>
  <c r="T204" i="51"/>
  <c r="T186" i="51"/>
  <c r="T194" i="51"/>
  <c r="T203" i="51"/>
  <c r="T185" i="51"/>
  <c r="T193" i="51"/>
  <c r="T202" i="51"/>
  <c r="T182" i="51"/>
  <c r="T190" i="51"/>
  <c r="T198" i="51"/>
  <c r="T199" i="51"/>
  <c r="T207" i="51"/>
  <c r="A222" i="65"/>
  <c r="A347" i="65" s="1"/>
  <c r="M347" i="65" s="1"/>
  <c r="D166" i="49"/>
  <c r="K302" i="65"/>
  <c r="K282" i="65"/>
  <c r="K48" i="65"/>
  <c r="H148" i="65"/>
  <c r="K208" i="65"/>
  <c r="H78" i="65"/>
  <c r="H232" i="65"/>
  <c r="K78" i="65"/>
  <c r="H48" i="65"/>
  <c r="K108" i="65"/>
  <c r="H282" i="65"/>
  <c r="K312" i="65"/>
  <c r="K158" i="65"/>
  <c r="H38" i="65"/>
  <c r="I128" i="65"/>
  <c r="K128" i="65"/>
  <c r="H178" i="65"/>
  <c r="I188" i="65"/>
  <c r="K188" i="65" s="1"/>
  <c r="H208" i="65"/>
  <c r="H312" i="65"/>
  <c r="I88" i="65"/>
  <c r="K88" i="65" s="1"/>
  <c r="H88" i="65"/>
  <c r="I168" i="65"/>
  <c r="K168" i="65"/>
  <c r="H168" i="65"/>
  <c r="H198" i="65"/>
  <c r="J198" i="65"/>
  <c r="K198" i="65" s="1"/>
  <c r="I58" i="65"/>
  <c r="K58" i="65" s="1"/>
  <c r="H58" i="65"/>
  <c r="I242" i="65"/>
  <c r="K242" i="65" s="1"/>
  <c r="H242" i="65"/>
  <c r="J272" i="65"/>
  <c r="K272" i="65" s="1"/>
  <c r="H272" i="65"/>
  <c r="J118" i="65"/>
  <c r="K118" i="65" s="1"/>
  <c r="H118" i="65"/>
  <c r="K262" i="65"/>
  <c r="K292" i="65"/>
  <c r="H138" i="65"/>
  <c r="H292" i="65"/>
  <c r="K180" i="51"/>
  <c r="J205" i="51"/>
  <c r="Q198" i="51"/>
  <c r="M181" i="51"/>
  <c r="O179" i="51"/>
  <c r="H179" i="51"/>
  <c r="M204" i="51"/>
  <c r="Q185" i="51"/>
  <c r="J199" i="51"/>
  <c r="P193" i="51"/>
  <c r="L203" i="51"/>
  <c r="M200" i="51"/>
  <c r="Q184" i="51"/>
  <c r="L180" i="51"/>
  <c r="L192" i="51"/>
  <c r="N183" i="51"/>
  <c r="I191" i="51"/>
  <c r="I203" i="51"/>
  <c r="M197" i="51"/>
  <c r="K202" i="51"/>
  <c r="O182" i="51"/>
  <c r="K201" i="51"/>
  <c r="J202" i="51"/>
  <c r="F190" i="51"/>
  <c r="I189" i="51"/>
  <c r="J200" i="51"/>
  <c r="G201" i="51"/>
  <c r="I195" i="51"/>
  <c r="M208" i="51"/>
  <c r="H197" i="51"/>
  <c r="J197" i="51"/>
  <c r="F206" i="51"/>
  <c r="Q182" i="51"/>
  <c r="N181" i="51"/>
  <c r="G196" i="51"/>
  <c r="J193" i="51"/>
  <c r="F193" i="51"/>
  <c r="N206" i="51"/>
  <c r="L205" i="51"/>
  <c r="H190" i="51"/>
  <c r="O200" i="51"/>
  <c r="I182" i="51"/>
  <c r="O188" i="51"/>
  <c r="P196" i="51"/>
  <c r="Q187" i="51"/>
  <c r="J186" i="51"/>
  <c r="P186" i="51"/>
  <c r="I205" i="51"/>
  <c r="L194" i="51"/>
  <c r="G181" i="51"/>
  <c r="H203" i="51"/>
  <c r="F200" i="51"/>
  <c r="I206" i="51"/>
  <c r="K197" i="51"/>
  <c r="K196" i="51"/>
  <c r="H189" i="51"/>
  <c r="N195" i="51"/>
  <c r="H183" i="51"/>
  <c r="Q183" i="51"/>
  <c r="M199" i="51"/>
  <c r="F188" i="51"/>
  <c r="K183" i="51"/>
  <c r="G204" i="51"/>
  <c r="Q191" i="51"/>
  <c r="M198" i="51"/>
  <c r="J181" i="51"/>
  <c r="K179" i="51"/>
  <c r="G200" i="51"/>
  <c r="O185" i="51"/>
  <c r="P183" i="51"/>
  <c r="P204" i="51"/>
  <c r="Q179" i="51"/>
  <c r="L193" i="51"/>
  <c r="F191" i="51"/>
  <c r="H196" i="51"/>
  <c r="H188" i="51"/>
  <c r="L204" i="51"/>
  <c r="N194" i="51"/>
  <c r="N203" i="51"/>
  <c r="P195" i="51"/>
  <c r="J184" i="51"/>
  <c r="L208" i="51"/>
  <c r="G192" i="51"/>
  <c r="I193" i="51"/>
  <c r="F192" i="51"/>
  <c r="M206" i="51"/>
  <c r="L201" i="51"/>
  <c r="O190" i="51"/>
  <c r="I192" i="51"/>
  <c r="I184" i="51"/>
  <c r="M202" i="51"/>
  <c r="J189" i="51"/>
  <c r="O189" i="51"/>
  <c r="H207" i="51"/>
  <c r="J206" i="51"/>
  <c r="F205" i="51"/>
  <c r="Q190" i="51"/>
  <c r="I180" i="51"/>
  <c r="G205" i="51"/>
  <c r="N179" i="51"/>
  <c r="O196" i="51"/>
  <c r="L187" i="51"/>
  <c r="N186" i="51"/>
  <c r="K199" i="51"/>
  <c r="Q188" i="51"/>
  <c r="J188" i="51"/>
  <c r="G203" i="51"/>
  <c r="H208" i="51"/>
  <c r="I190" i="51"/>
  <c r="P180" i="51"/>
  <c r="P205" i="51"/>
  <c r="K198" i="51"/>
  <c r="F181" i="51"/>
  <c r="P189" i="51"/>
  <c r="I204" i="51"/>
  <c r="P201" i="51"/>
  <c r="K194" i="51"/>
  <c r="P207" i="51"/>
  <c r="Q180" i="51"/>
  <c r="G186" i="51"/>
  <c r="L198" i="51"/>
  <c r="G188" i="51"/>
  <c r="I179" i="51"/>
  <c r="F204" i="51"/>
  <c r="M203" i="51"/>
  <c r="G195" i="51"/>
  <c r="K184" i="51"/>
  <c r="G208" i="51"/>
  <c r="Q192" i="51"/>
  <c r="O203" i="51"/>
  <c r="Q194" i="51"/>
  <c r="F203" i="51"/>
  <c r="N198" i="51"/>
  <c r="F179" i="51"/>
  <c r="N185" i="51"/>
  <c r="O207" i="51"/>
  <c r="P184" i="51"/>
  <c r="M185" i="51"/>
  <c r="I198" i="51"/>
  <c r="N193" i="51"/>
  <c r="K193" i="51"/>
  <c r="G206" i="51"/>
  <c r="N184" i="51"/>
  <c r="P208" i="51"/>
  <c r="N192" i="51"/>
  <c r="J185" i="51"/>
  <c r="G202" i="51"/>
  <c r="P206" i="51"/>
  <c r="O193" i="51"/>
  <c r="F197" i="51"/>
  <c r="H206" i="51"/>
  <c r="M186" i="51"/>
  <c r="J190" i="51"/>
  <c r="O204" i="51"/>
  <c r="G189" i="51"/>
  <c r="M195" i="51"/>
  <c r="M201" i="51"/>
  <c r="N187" i="51"/>
  <c r="Q207" i="51"/>
  <c r="L195" i="51"/>
  <c r="P185" i="51"/>
  <c r="F201" i="51"/>
  <c r="J208" i="51"/>
  <c r="O194" i="51"/>
  <c r="O187" i="51"/>
  <c r="F199" i="51"/>
  <c r="L190" i="51"/>
  <c r="F198" i="51"/>
  <c r="K181" i="51"/>
  <c r="L186" i="51"/>
  <c r="N188" i="51"/>
  <c r="K204" i="51"/>
  <c r="J201" i="51"/>
  <c r="G191" i="51"/>
  <c r="P192" i="51"/>
  <c r="F202" i="51"/>
  <c r="I199" i="51"/>
  <c r="K191" i="51"/>
  <c r="O191" i="51"/>
  <c r="J183" i="51"/>
  <c r="P197" i="51"/>
  <c r="J182" i="51"/>
  <c r="P182" i="51"/>
  <c r="M189" i="51"/>
  <c r="I200" i="51"/>
  <c r="N201" i="51"/>
  <c r="F194" i="51"/>
  <c r="G207" i="51"/>
  <c r="L182" i="51"/>
  <c r="O181" i="51"/>
  <c r="N196" i="51"/>
  <c r="J187" i="51"/>
  <c r="H186" i="51"/>
  <c r="P190" i="51"/>
  <c r="O201" i="51"/>
  <c r="G194" i="51"/>
  <c r="L207" i="51"/>
  <c r="K203" i="51"/>
  <c r="O195" i="51"/>
  <c r="H198" i="51"/>
  <c r="I188" i="51"/>
  <c r="M179" i="51"/>
  <c r="Q204" i="51"/>
  <c r="F185" i="51"/>
  <c r="H187" i="51"/>
  <c r="K200" i="51"/>
  <c r="N205" i="51"/>
  <c r="H194" i="51"/>
  <c r="H181" i="51"/>
  <c r="P203" i="51"/>
  <c r="Q200" i="51"/>
  <c r="M184" i="51"/>
  <c r="M187" i="51"/>
  <c r="I207" i="51"/>
  <c r="P199" i="51"/>
  <c r="F195" i="51"/>
  <c r="I183" i="51"/>
  <c r="F208" i="51"/>
  <c r="G179" i="51"/>
  <c r="N200" i="51"/>
  <c r="K185" i="51"/>
  <c r="J194" i="51"/>
  <c r="Q193" i="51"/>
  <c r="H184" i="51"/>
  <c r="J191" i="51"/>
  <c r="J179" i="51"/>
  <c r="N197" i="51"/>
  <c r="K206" i="51"/>
  <c r="H182" i="51"/>
  <c r="K205" i="51"/>
  <c r="H193" i="51"/>
  <c r="L206" i="51"/>
  <c r="I202" i="51"/>
  <c r="K189" i="51"/>
  <c r="Q201" i="51"/>
  <c r="O180" i="51"/>
  <c r="I181" i="51"/>
  <c r="O202" i="51"/>
  <c r="F196" i="51"/>
  <c r="Q189" i="51"/>
  <c r="J204" i="51"/>
  <c r="H201" i="51"/>
  <c r="O197" i="51"/>
  <c r="F182" i="51"/>
  <c r="N182" i="51"/>
  <c r="P188" i="51"/>
  <c r="L196" i="51"/>
  <c r="H204" i="51"/>
  <c r="G190" i="51"/>
  <c r="I208" i="51"/>
  <c r="M205" i="51"/>
  <c r="P194" i="51"/>
  <c r="K187" i="51"/>
  <c r="Q199" i="51"/>
  <c r="O183" i="51"/>
  <c r="O186" i="51"/>
  <c r="F183" i="51"/>
  <c r="L184" i="51"/>
  <c r="L202" i="51"/>
  <c r="Q196" i="51"/>
  <c r="N180" i="51"/>
  <c r="G182" i="51"/>
  <c r="F207" i="51"/>
  <c r="M196" i="51"/>
  <c r="M180" i="51"/>
  <c r="F187" i="51"/>
  <c r="I186" i="51"/>
  <c r="G199" i="51"/>
  <c r="L188" i="51"/>
  <c r="L183" i="51"/>
  <c r="J180" i="51"/>
  <c r="O205" i="51"/>
  <c r="G198" i="51"/>
  <c r="P181" i="51"/>
  <c r="L179" i="51"/>
  <c r="H200" i="51"/>
  <c r="L199" i="51"/>
  <c r="Q195" i="51"/>
  <c r="M183" i="51"/>
  <c r="Q208" i="51"/>
  <c r="P191" i="51"/>
  <c r="O199" i="51"/>
  <c r="G185" i="51"/>
  <c r="I194" i="51"/>
  <c r="M193" i="51"/>
  <c r="K192" i="51"/>
  <c r="Q206" i="51"/>
  <c r="F189" i="51"/>
  <c r="I197" i="51"/>
  <c r="K207" i="51"/>
  <c r="G184" i="51"/>
  <c r="N208" i="51"/>
  <c r="M192" i="51"/>
  <c r="F184" i="51"/>
  <c r="Q202" i="51"/>
  <c r="G183" i="51"/>
  <c r="N204" i="51"/>
  <c r="M191" i="51"/>
  <c r="J203" i="51"/>
  <c r="Q197" i="51"/>
  <c r="H192" i="51"/>
  <c r="J192" i="51"/>
  <c r="H185" i="51"/>
  <c r="N202" i="51"/>
  <c r="M190" i="51"/>
  <c r="N189" i="51"/>
  <c r="L181" i="51"/>
  <c r="O206" i="51"/>
  <c r="F186" i="51"/>
  <c r="N190" i="51"/>
  <c r="F180" i="51"/>
  <c r="H205" i="51"/>
  <c r="H191" i="51"/>
  <c r="N207" i="51"/>
  <c r="J195" i="51"/>
  <c r="Q181" i="51"/>
  <c r="L200" i="51"/>
  <c r="M182" i="51"/>
  <c r="K182" i="51"/>
  <c r="O208" i="51"/>
  <c r="I201" i="51"/>
  <c r="I187" i="51"/>
  <c r="M207" i="51"/>
  <c r="H199" i="51"/>
  <c r="G180" i="51"/>
  <c r="I196" i="51"/>
  <c r="H180" i="51"/>
  <c r="K186" i="51"/>
  <c r="P198" i="51"/>
  <c r="K188" i="51"/>
  <c r="M194" i="51"/>
  <c r="J207" i="51"/>
  <c r="Q203" i="51"/>
  <c r="K195" i="51"/>
  <c r="O184" i="51"/>
  <c r="K208" i="51"/>
  <c r="P179" i="51"/>
  <c r="P200" i="51"/>
  <c r="I185" i="51"/>
  <c r="J198" i="51"/>
  <c r="G193" i="51"/>
  <c r="L185" i="51"/>
  <c r="P202" i="51"/>
  <c r="M188" i="51"/>
  <c r="K190" i="51"/>
  <c r="Q205" i="51"/>
  <c r="J196" i="51"/>
  <c r="Q186" i="51"/>
  <c r="P187" i="51"/>
  <c r="L191" i="51"/>
  <c r="L197" i="51"/>
  <c r="G187" i="51"/>
  <c r="N191" i="51"/>
  <c r="G197" i="51"/>
  <c r="O192" i="51"/>
  <c r="H202" i="51"/>
  <c r="L189" i="51"/>
  <c r="N199" i="51"/>
  <c r="O198" i="51"/>
  <c r="H195" i="51"/>
  <c r="X209" i="51"/>
  <c r="B14" i="52"/>
  <c r="F28" i="41"/>
  <c r="F29" i="41"/>
  <c r="F41" i="41"/>
  <c r="F42" i="41"/>
  <c r="F27" i="41"/>
  <c r="F20" i="41"/>
  <c r="F21" i="41"/>
  <c r="F22" i="41"/>
  <c r="F23" i="41"/>
  <c r="F24" i="41"/>
  <c r="F25" i="41"/>
  <c r="F26" i="41"/>
  <c r="F18" i="41"/>
  <c r="F19" i="41"/>
  <c r="F750" i="52"/>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1" i="55"/>
  <c r="E31" i="55"/>
  <c r="F31" i="55"/>
  <c r="H31" i="55" s="1"/>
  <c r="I31" i="55"/>
  <c r="K31" i="55" s="1"/>
  <c r="G31" i="55"/>
  <c r="D41" i="55"/>
  <c r="E41" i="55"/>
  <c r="F41" i="55"/>
  <c r="G41" i="55"/>
  <c r="J41" i="55"/>
  <c r="G198" i="3"/>
  <c r="G197" i="3"/>
  <c r="H41" i="55"/>
  <c r="I41" i="55"/>
  <c r="K41" i="55" s="1"/>
  <c r="J31" i="55"/>
  <c r="E18" i="55"/>
  <c r="E21" i="55"/>
  <c r="E51" i="55"/>
  <c r="E61" i="55"/>
  <c r="E71" i="55"/>
  <c r="E81" i="55"/>
  <c r="E91" i="55"/>
  <c r="E101" i="55"/>
  <c r="E111" i="55"/>
  <c r="E121" i="55"/>
  <c r="E131" i="55"/>
  <c r="E141" i="55"/>
  <c r="E151" i="55"/>
  <c r="E161" i="55"/>
  <c r="E171" i="55"/>
  <c r="E181" i="55"/>
  <c r="E191" i="55"/>
  <c r="E201" i="55"/>
  <c r="E215" i="55"/>
  <c r="E225" i="55"/>
  <c r="E235" i="55"/>
  <c r="E245" i="55"/>
  <c r="E255" i="55"/>
  <c r="E265" i="55"/>
  <c r="E275" i="55"/>
  <c r="E285" i="55"/>
  <c r="E295" i="55"/>
  <c r="E305" i="55"/>
  <c r="G135" i="3"/>
  <c r="G136" i="3"/>
  <c r="G137" i="3"/>
  <c r="G15" i="3"/>
  <c r="A325" i="59"/>
  <c r="M325" i="59" s="1"/>
  <c r="C327" i="61"/>
  <c r="C327" i="62" s="1"/>
  <c r="C327" i="65" s="1"/>
  <c r="M359" i="59"/>
  <c r="M358" i="59"/>
  <c r="M327" i="59"/>
  <c r="M323" i="59"/>
  <c r="M222" i="59"/>
  <c r="M221" i="59"/>
  <c r="M219" i="59"/>
  <c r="M358" i="62"/>
  <c r="M357" i="62"/>
  <c r="M326" i="62"/>
  <c r="M322" i="62"/>
  <c r="M221" i="62"/>
  <c r="M220" i="62"/>
  <c r="M218" i="62"/>
  <c r="M358" i="61"/>
  <c r="M357" i="61"/>
  <c r="M326" i="61"/>
  <c r="M322" i="61"/>
  <c r="M221" i="61"/>
  <c r="M220" i="61"/>
  <c r="M218" i="61"/>
  <c r="M358" i="60"/>
  <c r="M357" i="60"/>
  <c r="M326" i="60"/>
  <c r="M322" i="60"/>
  <c r="M221" i="60"/>
  <c r="M220" i="60"/>
  <c r="M218" i="60"/>
  <c r="M350" i="55"/>
  <c r="M351" i="55"/>
  <c r="M319" i="55"/>
  <c r="M316" i="55"/>
  <c r="M317" i="55"/>
  <c r="M318" i="55"/>
  <c r="M315" i="55"/>
  <c r="M214" i="55"/>
  <c r="M213" i="55"/>
  <c r="M211" i="55"/>
  <c r="K360" i="59"/>
  <c r="L360" i="59" s="1"/>
  <c r="A324" i="60"/>
  <c r="A324" i="61" s="1"/>
  <c r="A324" i="62" s="1"/>
  <c r="A326" i="59"/>
  <c r="M326" i="59" s="1"/>
  <c r="A324" i="59"/>
  <c r="A323" i="60" s="1"/>
  <c r="B614" i="52"/>
  <c r="F762" i="52"/>
  <c r="F763" i="52"/>
  <c r="B464" i="52"/>
  <c r="B314" i="52"/>
  <c r="B164" i="52"/>
  <c r="M10" i="53"/>
  <c r="M11" i="53"/>
  <c r="M12" i="53"/>
  <c r="M16" i="53"/>
  <c r="M17" i="53"/>
  <c r="M18" i="53"/>
  <c r="M19" i="53"/>
  <c r="M20" i="53"/>
  <c r="B24" i="55"/>
  <c r="M24" i="55" s="1"/>
  <c r="B25" i="55"/>
  <c r="M25" i="55" s="1"/>
  <c r="M25" i="53"/>
  <c r="B26" i="55" s="1"/>
  <c r="M26" i="55" s="1"/>
  <c r="M27" i="55"/>
  <c r="M28" i="55"/>
  <c r="M28" i="53"/>
  <c r="M29" i="55"/>
  <c r="M29" i="53"/>
  <c r="B30" i="55" s="1"/>
  <c r="M30" i="55" s="1"/>
  <c r="M30" i="53"/>
  <c r="B31" i="55" s="1"/>
  <c r="M31" i="55" s="1"/>
  <c r="M31" i="53"/>
  <c r="B32" i="55" s="1"/>
  <c r="M32" i="55" s="1"/>
  <c r="M32" i="53"/>
  <c r="B33" i="55" s="1"/>
  <c r="M33" i="55" s="1"/>
  <c r="M33" i="53"/>
  <c r="B34" i="55" s="1"/>
  <c r="M34" i="55" s="1"/>
  <c r="M34" i="53"/>
  <c r="B35" i="55" s="1"/>
  <c r="M35" i="55" s="1"/>
  <c r="M35" i="53"/>
  <c r="B36" i="55" s="1"/>
  <c r="M36" i="55" s="1"/>
  <c r="M36" i="53"/>
  <c r="B37" i="55" s="1"/>
  <c r="M37" i="55" s="1"/>
  <c r="M37" i="53"/>
  <c r="B38" i="55" s="1"/>
  <c r="M38" i="55" s="1"/>
  <c r="M38" i="53"/>
  <c r="B39" i="55"/>
  <c r="M39" i="55" s="1"/>
  <c r="M39" i="53"/>
  <c r="B40" i="55" s="1"/>
  <c r="M40" i="55" s="1"/>
  <c r="M40" i="53"/>
  <c r="B41" i="55" s="1"/>
  <c r="M41" i="55" s="1"/>
  <c r="M41" i="53"/>
  <c r="B42" i="55" s="1"/>
  <c r="M42" i="55" s="1"/>
  <c r="M42" i="53"/>
  <c r="B43" i="55" s="1"/>
  <c r="M43" i="55" s="1"/>
  <c r="M43" i="53"/>
  <c r="B44" i="55" s="1"/>
  <c r="M44" i="55" s="1"/>
  <c r="M44" i="53"/>
  <c r="B45" i="55" s="1"/>
  <c r="M45" i="55" s="1"/>
  <c r="M45" i="53"/>
  <c r="B46" i="55"/>
  <c r="M46" i="55" s="1"/>
  <c r="M46" i="53"/>
  <c r="B47" i="55" s="1"/>
  <c r="M47" i="55" s="1"/>
  <c r="M47" i="53"/>
  <c r="B48" i="55" s="1"/>
  <c r="M48" i="55" s="1"/>
  <c r="M48" i="53"/>
  <c r="B49" i="55" s="1"/>
  <c r="M49" i="55" s="1"/>
  <c r="M49" i="53"/>
  <c r="B50" i="55" s="1"/>
  <c r="M50" i="55" s="1"/>
  <c r="M50" i="53"/>
  <c r="M51" i="53"/>
  <c r="M52" i="53"/>
  <c r="M53" i="53"/>
  <c r="B54" i="55" s="1"/>
  <c r="M54" i="55" s="1"/>
  <c r="M54" i="53"/>
  <c r="M55" i="53"/>
  <c r="M56" i="53"/>
  <c r="M57" i="53"/>
  <c r="M58" i="53"/>
  <c r="M59" i="53"/>
  <c r="M60" i="53"/>
  <c r="M61" i="53"/>
  <c r="B62" i="55" s="1"/>
  <c r="M62" i="55" s="1"/>
  <c r="M62" i="53"/>
  <c r="M63" i="53"/>
  <c r="M64" i="53"/>
  <c r="M65" i="53"/>
  <c r="M66" i="53"/>
  <c r="M67" i="53"/>
  <c r="M68" i="53"/>
  <c r="M69" i="53"/>
  <c r="B70" i="55" s="1"/>
  <c r="M70" i="55" s="1"/>
  <c r="M70" i="53"/>
  <c r="M71" i="53"/>
  <c r="M72" i="53"/>
  <c r="M73" i="53"/>
  <c r="M74" i="53"/>
  <c r="M75" i="53"/>
  <c r="M76" i="53"/>
  <c r="M77" i="53"/>
  <c r="B78" i="55" s="1"/>
  <c r="M78" i="55" s="1"/>
  <c r="M78" i="53"/>
  <c r="M79" i="53"/>
  <c r="M80" i="53"/>
  <c r="M81" i="53"/>
  <c r="M82" i="53"/>
  <c r="M83" i="53"/>
  <c r="M84" i="53"/>
  <c r="M85" i="53"/>
  <c r="B86" i="55" s="1"/>
  <c r="M86" i="55" s="1"/>
  <c r="M86" i="53"/>
  <c r="M87" i="53"/>
  <c r="M88" i="53"/>
  <c r="M89" i="53"/>
  <c r="M90" i="53"/>
  <c r="M91" i="53"/>
  <c r="M92" i="53"/>
  <c r="M93" i="53"/>
  <c r="B94" i="55" s="1"/>
  <c r="M94" i="55" s="1"/>
  <c r="M94" i="53"/>
  <c r="M95" i="53"/>
  <c r="M96" i="53"/>
  <c r="M97" i="53"/>
  <c r="M98" i="53"/>
  <c r="M99" i="53"/>
  <c r="M100" i="53"/>
  <c r="M101" i="53"/>
  <c r="B102" i="55" s="1"/>
  <c r="M102" i="55" s="1"/>
  <c r="M102" i="53"/>
  <c r="M103" i="53"/>
  <c r="M104" i="53"/>
  <c r="M105" i="53"/>
  <c r="M106" i="53"/>
  <c r="M107" i="53"/>
  <c r="M108" i="53"/>
  <c r="M109" i="53"/>
  <c r="B110" i="55" s="1"/>
  <c r="M110" i="55" s="1"/>
  <c r="M110" i="53"/>
  <c r="M111" i="53"/>
  <c r="M112" i="53"/>
  <c r="M113" i="53"/>
  <c r="M114" i="53"/>
  <c r="M115" i="53"/>
  <c r="M116" i="53"/>
  <c r="M117" i="53"/>
  <c r="B118" i="55" s="1"/>
  <c r="M118" i="55" s="1"/>
  <c r="M118" i="53"/>
  <c r="M119" i="53"/>
  <c r="M120" i="53"/>
  <c r="M121" i="53"/>
  <c r="M122" i="53"/>
  <c r="M123" i="53"/>
  <c r="M124" i="53"/>
  <c r="M125" i="53"/>
  <c r="B126" i="55" s="1"/>
  <c r="M126" i="55" s="1"/>
  <c r="M126" i="53"/>
  <c r="M127" i="53"/>
  <c r="M128" i="53"/>
  <c r="M129" i="53"/>
  <c r="M130" i="53"/>
  <c r="M131" i="53"/>
  <c r="M132" i="53"/>
  <c r="M133" i="53"/>
  <c r="B134" i="55" s="1"/>
  <c r="M134" i="55" s="1"/>
  <c r="M134" i="53"/>
  <c r="M135" i="53"/>
  <c r="M136" i="53"/>
  <c r="M137" i="53"/>
  <c r="M138" i="53"/>
  <c r="M139" i="53"/>
  <c r="M140" i="53"/>
  <c r="M141" i="53"/>
  <c r="B142" i="55" s="1"/>
  <c r="M142" i="55" s="1"/>
  <c r="M142" i="53"/>
  <c r="M143" i="53"/>
  <c r="M144" i="53"/>
  <c r="M145" i="53"/>
  <c r="M146" i="53"/>
  <c r="M147" i="53"/>
  <c r="M148" i="53"/>
  <c r="M149" i="53"/>
  <c r="B150" i="55" s="1"/>
  <c r="M150" i="55" s="1"/>
  <c r="M150" i="53"/>
  <c r="M151" i="53"/>
  <c r="M152" i="53"/>
  <c r="M153" i="53"/>
  <c r="M154" i="53"/>
  <c r="M155" i="53"/>
  <c r="M156" i="53"/>
  <c r="M157" i="53"/>
  <c r="B158" i="55" s="1"/>
  <c r="M158" i="55" s="1"/>
  <c r="M158" i="53"/>
  <c r="M159" i="53"/>
  <c r="M160" i="53"/>
  <c r="M161" i="53"/>
  <c r="M162" i="53"/>
  <c r="M163" i="53"/>
  <c r="M164" i="53"/>
  <c r="M165" i="53"/>
  <c r="B166" i="55" s="1"/>
  <c r="M166" i="55" s="1"/>
  <c r="M166" i="53"/>
  <c r="M167" i="53"/>
  <c r="M168" i="53"/>
  <c r="M169" i="53"/>
  <c r="M170" i="53"/>
  <c r="M171" i="53"/>
  <c r="M172" i="53"/>
  <c r="M173" i="53"/>
  <c r="B174" i="55" s="1"/>
  <c r="M174" i="55" s="1"/>
  <c r="M174" i="53"/>
  <c r="M175" i="53"/>
  <c r="M176" i="53"/>
  <c r="M177" i="53"/>
  <c r="M178" i="53"/>
  <c r="M179" i="53"/>
  <c r="M180" i="53"/>
  <c r="M181" i="53"/>
  <c r="B182" i="55" s="1"/>
  <c r="M182" i="55" s="1"/>
  <c r="M182" i="53"/>
  <c r="M183" i="53"/>
  <c r="M184" i="53"/>
  <c r="M185" i="53"/>
  <c r="M186" i="53"/>
  <c r="M187" i="53"/>
  <c r="M188" i="53"/>
  <c r="M189" i="53"/>
  <c r="B190" i="55" s="1"/>
  <c r="M190" i="55" s="1"/>
  <c r="M190" i="53"/>
  <c r="M191" i="53"/>
  <c r="M192" i="53"/>
  <c r="M193" i="53"/>
  <c r="M194" i="53"/>
  <c r="M195" i="53"/>
  <c r="M196" i="53"/>
  <c r="M197" i="53"/>
  <c r="B198" i="55" s="1"/>
  <c r="M198" i="55" s="1"/>
  <c r="M198" i="53"/>
  <c r="M199" i="53"/>
  <c r="M200" i="53"/>
  <c r="M201" i="53"/>
  <c r="M202" i="53"/>
  <c r="M203" i="53"/>
  <c r="M204" i="53"/>
  <c r="M205" i="53"/>
  <c r="B206" i="55" s="1"/>
  <c r="M206" i="55" s="1"/>
  <c r="M206" i="53"/>
  <c r="M207" i="53"/>
  <c r="M208" i="53"/>
  <c r="M209" i="53"/>
  <c r="M210" i="53"/>
  <c r="M211" i="53"/>
  <c r="M212" i="53"/>
  <c r="M213" i="53"/>
  <c r="B218" i="55" s="1"/>
  <c r="M218" i="55" s="1"/>
  <c r="M214" i="53"/>
  <c r="M215" i="53"/>
  <c r="M216" i="53"/>
  <c r="M217" i="53"/>
  <c r="M218" i="53"/>
  <c r="M219" i="53"/>
  <c r="M220" i="53"/>
  <c r="M221" i="53"/>
  <c r="B226" i="55" s="1"/>
  <c r="M226" i="55" s="1"/>
  <c r="M222" i="53"/>
  <c r="M223" i="53"/>
  <c r="M224" i="53"/>
  <c r="M225" i="53"/>
  <c r="M226" i="53"/>
  <c r="M227" i="53"/>
  <c r="M228" i="53"/>
  <c r="M229" i="53"/>
  <c r="B234" i="55" s="1"/>
  <c r="M234" i="55" s="1"/>
  <c r="M230" i="53"/>
  <c r="M231" i="53"/>
  <c r="M232" i="53"/>
  <c r="M233" i="53"/>
  <c r="M234" i="53"/>
  <c r="M235" i="53"/>
  <c r="M236" i="53"/>
  <c r="M237" i="53"/>
  <c r="B242" i="55" s="1"/>
  <c r="M242" i="55" s="1"/>
  <c r="M238" i="53"/>
  <c r="M239" i="53"/>
  <c r="M240" i="53"/>
  <c r="M241" i="53"/>
  <c r="M242" i="53"/>
  <c r="M243" i="53"/>
  <c r="M244" i="53"/>
  <c r="M245" i="53"/>
  <c r="B250" i="55" s="1"/>
  <c r="M250" i="55" s="1"/>
  <c r="M246" i="53"/>
  <c r="M247" i="53"/>
  <c r="M248" i="53"/>
  <c r="M249" i="53"/>
  <c r="M250" i="53"/>
  <c r="M251" i="53"/>
  <c r="M252" i="53"/>
  <c r="M253" i="53"/>
  <c r="B258" i="55" s="1"/>
  <c r="M258" i="55" s="1"/>
  <c r="M254" i="53"/>
  <c r="M255" i="53"/>
  <c r="M256" i="53"/>
  <c r="M257" i="53"/>
  <c r="M258" i="53"/>
  <c r="M259" i="53"/>
  <c r="M260" i="53"/>
  <c r="M261" i="53"/>
  <c r="B266" i="55" s="1"/>
  <c r="M266" i="55" s="1"/>
  <c r="M262" i="53"/>
  <c r="M263" i="53"/>
  <c r="M264" i="53"/>
  <c r="M265" i="53"/>
  <c r="M266" i="53"/>
  <c r="M267" i="53"/>
  <c r="M268" i="53"/>
  <c r="M269" i="53"/>
  <c r="B274" i="55" s="1"/>
  <c r="M274" i="55" s="1"/>
  <c r="M270" i="53"/>
  <c r="M271" i="53"/>
  <c r="M272" i="53"/>
  <c r="M273" i="53"/>
  <c r="M274" i="53"/>
  <c r="M275" i="53"/>
  <c r="M276" i="53"/>
  <c r="M277" i="53"/>
  <c r="B282" i="55" s="1"/>
  <c r="M282" i="55" s="1"/>
  <c r="M278" i="53"/>
  <c r="M279" i="53"/>
  <c r="M280" i="53"/>
  <c r="M281" i="53"/>
  <c r="M282" i="53"/>
  <c r="M283" i="53"/>
  <c r="M284" i="53"/>
  <c r="M285" i="53"/>
  <c r="B290" i="55" s="1"/>
  <c r="M290" i="55" s="1"/>
  <c r="M286" i="53"/>
  <c r="M287" i="53"/>
  <c r="M288" i="53"/>
  <c r="M289" i="53"/>
  <c r="M290" i="53"/>
  <c r="M291" i="53"/>
  <c r="M292" i="53"/>
  <c r="M293" i="53"/>
  <c r="B298" i="55" s="1"/>
  <c r="M298" i="55" s="1"/>
  <c r="M294" i="53"/>
  <c r="M295" i="53"/>
  <c r="M296" i="53"/>
  <c r="M297" i="53"/>
  <c r="M298" i="53"/>
  <c r="M299" i="53"/>
  <c r="M300" i="53"/>
  <c r="M301" i="53"/>
  <c r="B306" i="55" s="1"/>
  <c r="M306" i="55" s="1"/>
  <c r="M302" i="53"/>
  <c r="M303" i="53"/>
  <c r="M304" i="53"/>
  <c r="M305" i="53"/>
  <c r="M306" i="53"/>
  <c r="M307" i="53"/>
  <c r="M308" i="53"/>
  <c r="M309" i="53"/>
  <c r="B314" i="55" s="1"/>
  <c r="M314" i="55" s="1"/>
  <c r="M310" i="53"/>
  <c r="M311" i="53"/>
  <c r="M312" i="53"/>
  <c r="B19" i="59" s="1"/>
  <c r="M19" i="59" s="1"/>
  <c r="M313" i="53"/>
  <c r="B20" i="59" s="1"/>
  <c r="M20" i="59" s="1"/>
  <c r="M314" i="53"/>
  <c r="B21" i="59" s="1"/>
  <c r="M21" i="59" s="1"/>
  <c r="M315" i="53"/>
  <c r="B22" i="59" s="1"/>
  <c r="M22" i="59" s="1"/>
  <c r="M316" i="53"/>
  <c r="B23" i="59" s="1"/>
  <c r="M23" i="59" s="1"/>
  <c r="M317" i="53"/>
  <c r="B24" i="59" s="1"/>
  <c r="M24" i="59" s="1"/>
  <c r="M318" i="53"/>
  <c r="B25" i="59" s="1"/>
  <c r="M25" i="59" s="1"/>
  <c r="M319" i="53"/>
  <c r="B26" i="59" s="1"/>
  <c r="M26" i="59" s="1"/>
  <c r="M320" i="53"/>
  <c r="B27" i="59" s="1"/>
  <c r="M27" i="59" s="1"/>
  <c r="M321" i="53"/>
  <c r="B28" i="59" s="1"/>
  <c r="M28" i="59" s="1"/>
  <c r="M322" i="53"/>
  <c r="B29" i="59" s="1"/>
  <c r="M323" i="53"/>
  <c r="M324" i="53"/>
  <c r="B32" i="59" s="1"/>
  <c r="M32" i="59" s="1"/>
  <c r="M325" i="53"/>
  <c r="B33" i="59" s="1"/>
  <c r="M33" i="59" s="1"/>
  <c r="M326" i="53"/>
  <c r="B34" i="59" s="1"/>
  <c r="M34" i="59" s="1"/>
  <c r="M327" i="53"/>
  <c r="B35" i="59"/>
  <c r="M35" i="59" s="1"/>
  <c r="M328" i="53"/>
  <c r="B36" i="59" s="1"/>
  <c r="M36" i="59" s="1"/>
  <c r="M329" i="53"/>
  <c r="B37" i="59" s="1"/>
  <c r="M37" i="59" s="1"/>
  <c r="M330" i="53"/>
  <c r="B38" i="59" s="1"/>
  <c r="M38" i="59" s="1"/>
  <c r="M331" i="53"/>
  <c r="B39" i="59" s="1"/>
  <c r="M39" i="59" s="1"/>
  <c r="M332" i="53"/>
  <c r="B40" i="59" s="1"/>
  <c r="M333" i="53"/>
  <c r="M334" i="53"/>
  <c r="B43" i="59" s="1"/>
  <c r="M43" i="59" s="1"/>
  <c r="M335" i="53"/>
  <c r="B44" i="59" s="1"/>
  <c r="M44" i="59" s="1"/>
  <c r="M336" i="53"/>
  <c r="B45" i="59" s="1"/>
  <c r="M45" i="59" s="1"/>
  <c r="M337" i="53"/>
  <c r="B46" i="59" s="1"/>
  <c r="M46" i="59" s="1"/>
  <c r="M338" i="53"/>
  <c r="B47" i="59" s="1"/>
  <c r="M47" i="59" s="1"/>
  <c r="M339" i="53"/>
  <c r="B48" i="59" s="1"/>
  <c r="M48" i="59" s="1"/>
  <c r="M340" i="53"/>
  <c r="B49" i="59" s="1"/>
  <c r="M49" i="59" s="1"/>
  <c r="M341" i="53"/>
  <c r="B50" i="59" s="1"/>
  <c r="M50" i="59" s="1"/>
  <c r="M342" i="53"/>
  <c r="B51" i="59" s="1"/>
  <c r="M51" i="59" s="1"/>
  <c r="M343" i="53"/>
  <c r="B52" i="59" s="1"/>
  <c r="M52" i="59" s="1"/>
  <c r="M344" i="53"/>
  <c r="B53" i="59" s="1"/>
  <c r="M53" i="59" s="1"/>
  <c r="M345" i="53"/>
  <c r="B54" i="59" s="1"/>
  <c r="M54" i="59" s="1"/>
  <c r="M346" i="53"/>
  <c r="B55" i="59" s="1"/>
  <c r="M55" i="59" s="1"/>
  <c r="M347" i="53"/>
  <c r="B56" i="59" s="1"/>
  <c r="M56" i="59" s="1"/>
  <c r="M348" i="53"/>
  <c r="B57" i="59" s="1"/>
  <c r="M57" i="59" s="1"/>
  <c r="M349" i="53"/>
  <c r="B58" i="59" s="1"/>
  <c r="M58" i="59" s="1"/>
  <c r="M350" i="53"/>
  <c r="B59" i="59" s="1"/>
  <c r="M59" i="59" s="1"/>
  <c r="M351" i="53"/>
  <c r="B60" i="59" s="1"/>
  <c r="M60" i="59" s="1"/>
  <c r="M352" i="53"/>
  <c r="B61" i="59" s="1"/>
  <c r="M61" i="59" s="1"/>
  <c r="M353" i="53"/>
  <c r="B62" i="59" s="1"/>
  <c r="M62" i="59" s="1"/>
  <c r="M354" i="53"/>
  <c r="B63" i="59" s="1"/>
  <c r="M63" i="59" s="1"/>
  <c r="M355" i="53"/>
  <c r="B64" i="59" s="1"/>
  <c r="M64" i="59" s="1"/>
  <c r="M356" i="53"/>
  <c r="B65" i="59" s="1"/>
  <c r="M65" i="59" s="1"/>
  <c r="M357" i="53"/>
  <c r="B66" i="59" s="1"/>
  <c r="M66" i="59" s="1"/>
  <c r="M358" i="53"/>
  <c r="B67" i="59" s="1"/>
  <c r="M67" i="59" s="1"/>
  <c r="M359" i="53"/>
  <c r="B68" i="59" s="1"/>
  <c r="M68" i="59" s="1"/>
  <c r="M360" i="53"/>
  <c r="B69" i="59" s="1"/>
  <c r="M69" i="59" s="1"/>
  <c r="M361" i="53"/>
  <c r="B70" i="59" s="1"/>
  <c r="M70" i="59" s="1"/>
  <c r="M362" i="53"/>
  <c r="B71" i="59" s="1"/>
  <c r="M71" i="59" s="1"/>
  <c r="M363" i="53"/>
  <c r="B72" i="59" s="1"/>
  <c r="M72" i="59" s="1"/>
  <c r="M364" i="53"/>
  <c r="B73" i="59" s="1"/>
  <c r="M73" i="59" s="1"/>
  <c r="M365" i="53"/>
  <c r="B74" i="59" s="1"/>
  <c r="M74" i="59" s="1"/>
  <c r="M366" i="53"/>
  <c r="B75" i="59" s="1"/>
  <c r="M75" i="59" s="1"/>
  <c r="M367" i="53"/>
  <c r="B76" i="59" s="1"/>
  <c r="M76" i="59" s="1"/>
  <c r="M368" i="53"/>
  <c r="B77" i="59" s="1"/>
  <c r="M77" i="59" s="1"/>
  <c r="M369" i="53"/>
  <c r="B78" i="59" s="1"/>
  <c r="M78" i="59" s="1"/>
  <c r="M370" i="53"/>
  <c r="B79" i="59" s="1"/>
  <c r="M79" i="59" s="1"/>
  <c r="M371" i="53"/>
  <c r="B80" i="59" s="1"/>
  <c r="M80" i="59" s="1"/>
  <c r="M372" i="53"/>
  <c r="B81" i="59" s="1"/>
  <c r="M81" i="59" s="1"/>
  <c r="M373" i="53"/>
  <c r="B82" i="59" s="1"/>
  <c r="M82" i="59" s="1"/>
  <c r="M374" i="53"/>
  <c r="B83" i="59" s="1"/>
  <c r="M83" i="59" s="1"/>
  <c r="M375" i="53"/>
  <c r="B84" i="59" s="1"/>
  <c r="M84" i="59" s="1"/>
  <c r="M376" i="53"/>
  <c r="B85" i="59" s="1"/>
  <c r="M85" i="59" s="1"/>
  <c r="M377" i="53"/>
  <c r="B86" i="59" s="1"/>
  <c r="M86" i="59" s="1"/>
  <c r="M378" i="53"/>
  <c r="B87" i="59" s="1"/>
  <c r="M87" i="59" s="1"/>
  <c r="M379" i="53"/>
  <c r="B88" i="59" s="1"/>
  <c r="M88" i="59" s="1"/>
  <c r="M380" i="53"/>
  <c r="B89" i="59" s="1"/>
  <c r="M89" i="59" s="1"/>
  <c r="M381" i="53"/>
  <c r="B90" i="59" s="1"/>
  <c r="M90" i="59" s="1"/>
  <c r="M382" i="53"/>
  <c r="B91" i="59" s="1"/>
  <c r="M91" i="59" s="1"/>
  <c r="M383" i="53"/>
  <c r="B92" i="59" s="1"/>
  <c r="M92" i="59" s="1"/>
  <c r="M384" i="53"/>
  <c r="B93" i="59" s="1"/>
  <c r="M93" i="59" s="1"/>
  <c r="M385" i="53"/>
  <c r="B94" i="59" s="1"/>
  <c r="M94" i="59" s="1"/>
  <c r="M386" i="53"/>
  <c r="B95" i="59" s="1"/>
  <c r="M95" i="59" s="1"/>
  <c r="M387" i="53"/>
  <c r="B96" i="59"/>
  <c r="M96" i="59" s="1"/>
  <c r="M388" i="53"/>
  <c r="B97" i="59" s="1"/>
  <c r="M97" i="59" s="1"/>
  <c r="M389" i="53"/>
  <c r="B98" i="59" s="1"/>
  <c r="M98" i="59" s="1"/>
  <c r="M390" i="53"/>
  <c r="B99" i="59" s="1"/>
  <c r="M99" i="59" s="1"/>
  <c r="M391" i="53"/>
  <c r="B100" i="59" s="1"/>
  <c r="M100" i="59" s="1"/>
  <c r="M392" i="53"/>
  <c r="B101" i="59" s="1"/>
  <c r="M101" i="59" s="1"/>
  <c r="M393" i="53"/>
  <c r="B102" i="59" s="1"/>
  <c r="M102" i="59" s="1"/>
  <c r="M394" i="53"/>
  <c r="B103" i="59" s="1"/>
  <c r="M103" i="59" s="1"/>
  <c r="M395" i="53"/>
  <c r="B104" i="59" s="1"/>
  <c r="M104" i="59" s="1"/>
  <c r="M396" i="53"/>
  <c r="B105" i="59" s="1"/>
  <c r="M105" i="59" s="1"/>
  <c r="M397" i="53"/>
  <c r="B106" i="59" s="1"/>
  <c r="M106" i="59" s="1"/>
  <c r="M398" i="53"/>
  <c r="B107" i="59" s="1"/>
  <c r="M107" i="59" s="1"/>
  <c r="M399" i="53"/>
  <c r="B108" i="59"/>
  <c r="M108" i="59" s="1"/>
  <c r="M400" i="53"/>
  <c r="B109" i="59" s="1"/>
  <c r="M109" i="59" s="1"/>
  <c r="M401" i="53"/>
  <c r="B110" i="59" s="1"/>
  <c r="M110" i="59" s="1"/>
  <c r="M402" i="53"/>
  <c r="B111" i="59" s="1"/>
  <c r="M111" i="59" s="1"/>
  <c r="M403" i="53"/>
  <c r="B112" i="59" s="1"/>
  <c r="M112" i="59" s="1"/>
  <c r="M404" i="53"/>
  <c r="B113" i="59" s="1"/>
  <c r="M113" i="59" s="1"/>
  <c r="M405" i="53"/>
  <c r="B114" i="59" s="1"/>
  <c r="M114" i="59" s="1"/>
  <c r="M406" i="53"/>
  <c r="B115" i="59" s="1"/>
  <c r="M115" i="59" s="1"/>
  <c r="M407" i="53"/>
  <c r="B116" i="59" s="1"/>
  <c r="M116" i="59" s="1"/>
  <c r="M408" i="53"/>
  <c r="B117" i="59" s="1"/>
  <c r="M117" i="59" s="1"/>
  <c r="M409" i="53"/>
  <c r="B118" i="59" s="1"/>
  <c r="M118" i="59" s="1"/>
  <c r="M410" i="53"/>
  <c r="B119" i="59" s="1"/>
  <c r="M119" i="59" s="1"/>
  <c r="M411" i="53"/>
  <c r="B120" i="59" s="1"/>
  <c r="M120" i="59" s="1"/>
  <c r="M412" i="53"/>
  <c r="B121" i="59" s="1"/>
  <c r="M121" i="59" s="1"/>
  <c r="M413" i="53"/>
  <c r="B122" i="59" s="1"/>
  <c r="M122" i="59" s="1"/>
  <c r="M414" i="53"/>
  <c r="B123" i="59" s="1"/>
  <c r="M123" i="59" s="1"/>
  <c r="M415" i="53"/>
  <c r="B124" i="59" s="1"/>
  <c r="M124" i="59" s="1"/>
  <c r="M416" i="53"/>
  <c r="B125" i="59" s="1"/>
  <c r="M125" i="59" s="1"/>
  <c r="M417" i="53"/>
  <c r="B126" i="59" s="1"/>
  <c r="M126" i="59" s="1"/>
  <c r="M418" i="53"/>
  <c r="B127" i="59" s="1"/>
  <c r="M127" i="59" s="1"/>
  <c r="M419" i="53"/>
  <c r="B128" i="59" s="1"/>
  <c r="M128" i="59" s="1"/>
  <c r="M420" i="53"/>
  <c r="B129" i="59" s="1"/>
  <c r="M129" i="59" s="1"/>
  <c r="M421" i="53"/>
  <c r="B130" i="59" s="1"/>
  <c r="M130" i="59" s="1"/>
  <c r="M422" i="53"/>
  <c r="B131" i="59" s="1"/>
  <c r="M131" i="59" s="1"/>
  <c r="M423" i="53"/>
  <c r="B132" i="59"/>
  <c r="M132" i="59" s="1"/>
  <c r="M424" i="53"/>
  <c r="B133" i="59" s="1"/>
  <c r="M133" i="59" s="1"/>
  <c r="M425" i="53"/>
  <c r="B134" i="59" s="1"/>
  <c r="M134" i="59" s="1"/>
  <c r="M426" i="53"/>
  <c r="B135" i="59" s="1"/>
  <c r="M135" i="59" s="1"/>
  <c r="M427" i="53"/>
  <c r="B136" i="59" s="1"/>
  <c r="M136" i="59" s="1"/>
  <c r="M428" i="53"/>
  <c r="B137" i="59" s="1"/>
  <c r="M137" i="59" s="1"/>
  <c r="M429" i="53"/>
  <c r="B138" i="59" s="1"/>
  <c r="M138" i="59" s="1"/>
  <c r="M430" i="53"/>
  <c r="B139" i="59" s="1"/>
  <c r="M139" i="59" s="1"/>
  <c r="M431" i="53"/>
  <c r="B140" i="59" s="1"/>
  <c r="M140" i="59" s="1"/>
  <c r="M432" i="53"/>
  <c r="B141" i="59" s="1"/>
  <c r="M141" i="59" s="1"/>
  <c r="M433" i="53"/>
  <c r="B142" i="59" s="1"/>
  <c r="M142" i="59" s="1"/>
  <c r="M434" i="53"/>
  <c r="B143" i="59" s="1"/>
  <c r="M143" i="59" s="1"/>
  <c r="M435" i="53"/>
  <c r="B144" i="59" s="1"/>
  <c r="M144" i="59" s="1"/>
  <c r="M436" i="53"/>
  <c r="B145" i="59" s="1"/>
  <c r="M145" i="59" s="1"/>
  <c r="M437" i="53"/>
  <c r="B146" i="59" s="1"/>
  <c r="M146" i="59" s="1"/>
  <c r="M438" i="53"/>
  <c r="B147" i="59" s="1"/>
  <c r="M147" i="59" s="1"/>
  <c r="M439" i="53"/>
  <c r="B148" i="59" s="1"/>
  <c r="M148" i="59" s="1"/>
  <c r="M440" i="53"/>
  <c r="B149" i="59" s="1"/>
  <c r="M149" i="59" s="1"/>
  <c r="M441" i="53"/>
  <c r="B150" i="59" s="1"/>
  <c r="M150" i="59" s="1"/>
  <c r="M442" i="53"/>
  <c r="B151" i="59" s="1"/>
  <c r="M151" i="59" s="1"/>
  <c r="M443" i="53"/>
  <c r="B152" i="59" s="1"/>
  <c r="M152" i="59" s="1"/>
  <c r="M444" i="53"/>
  <c r="B153" i="59" s="1"/>
  <c r="M153" i="59" s="1"/>
  <c r="M445" i="53"/>
  <c r="B154" i="59" s="1"/>
  <c r="M154" i="59" s="1"/>
  <c r="M446" i="53"/>
  <c r="B155" i="59" s="1"/>
  <c r="M155" i="59" s="1"/>
  <c r="M447" i="53"/>
  <c r="B156" i="59" s="1"/>
  <c r="M156" i="59" s="1"/>
  <c r="M448" i="53"/>
  <c r="B157" i="59" s="1"/>
  <c r="M157" i="59" s="1"/>
  <c r="M449" i="53"/>
  <c r="B158" i="59" s="1"/>
  <c r="M158" i="59" s="1"/>
  <c r="M450" i="53"/>
  <c r="B159" i="59" s="1"/>
  <c r="M159" i="59" s="1"/>
  <c r="M451" i="53"/>
  <c r="B160" i="59" s="1"/>
  <c r="M160" i="59" s="1"/>
  <c r="M452" i="53"/>
  <c r="B161" i="59" s="1"/>
  <c r="M161" i="59" s="1"/>
  <c r="M453" i="53"/>
  <c r="B162" i="59" s="1"/>
  <c r="M162" i="59" s="1"/>
  <c r="M454" i="53"/>
  <c r="B163" i="59" s="1"/>
  <c r="M163" i="59" s="1"/>
  <c r="M455" i="53"/>
  <c r="B164" i="59"/>
  <c r="M164" i="59" s="1"/>
  <c r="M456" i="53"/>
  <c r="B165" i="59"/>
  <c r="M165" i="59" s="1"/>
  <c r="M457" i="53"/>
  <c r="B166" i="59" s="1"/>
  <c r="M166" i="59" s="1"/>
  <c r="M458" i="53"/>
  <c r="B167" i="59" s="1"/>
  <c r="M167" i="59" s="1"/>
  <c r="M459" i="53"/>
  <c r="B168" i="59" s="1"/>
  <c r="M168" i="59" s="1"/>
  <c r="M460" i="53"/>
  <c r="B169" i="59" s="1"/>
  <c r="M169" i="59" s="1"/>
  <c r="M461" i="53"/>
  <c r="B170" i="59" s="1"/>
  <c r="M170" i="59" s="1"/>
  <c r="M462" i="53"/>
  <c r="B171" i="59" s="1"/>
  <c r="M171" i="59" s="1"/>
  <c r="M463" i="53"/>
  <c r="B172" i="59" s="1"/>
  <c r="M172" i="59" s="1"/>
  <c r="M464" i="53"/>
  <c r="B173" i="59" s="1"/>
  <c r="M173" i="59" s="1"/>
  <c r="M465" i="53"/>
  <c r="B174" i="59" s="1"/>
  <c r="M174" i="59" s="1"/>
  <c r="M466" i="53"/>
  <c r="B175" i="59" s="1"/>
  <c r="M175" i="59" s="1"/>
  <c r="M467" i="53"/>
  <c r="B176" i="59" s="1"/>
  <c r="M176" i="59" s="1"/>
  <c r="M468" i="53"/>
  <c r="B177" i="59" s="1"/>
  <c r="M177" i="59" s="1"/>
  <c r="M469" i="53"/>
  <c r="B178" i="59" s="1"/>
  <c r="M178" i="59" s="1"/>
  <c r="M470" i="53"/>
  <c r="B179" i="59" s="1"/>
  <c r="M179" i="59" s="1"/>
  <c r="M471" i="53"/>
  <c r="B180" i="59" s="1"/>
  <c r="M180" i="59" s="1"/>
  <c r="M472" i="53"/>
  <c r="B181" i="59" s="1"/>
  <c r="M181" i="59" s="1"/>
  <c r="M473" i="53"/>
  <c r="B182" i="59" s="1"/>
  <c r="M182" i="59" s="1"/>
  <c r="M474" i="53"/>
  <c r="B183" i="59" s="1"/>
  <c r="M183" i="59" s="1"/>
  <c r="M475" i="53"/>
  <c r="B184" i="59" s="1"/>
  <c r="M184" i="59" s="1"/>
  <c r="M476" i="53"/>
  <c r="B185" i="59" s="1"/>
  <c r="M185" i="59" s="1"/>
  <c r="M477" i="53"/>
  <c r="B186" i="59" s="1"/>
  <c r="M186" i="59" s="1"/>
  <c r="M478" i="53"/>
  <c r="B187" i="59" s="1"/>
  <c r="M187" i="59" s="1"/>
  <c r="M479" i="53"/>
  <c r="B188" i="59" s="1"/>
  <c r="M188" i="59" s="1"/>
  <c r="M480" i="53"/>
  <c r="B189" i="59" s="1"/>
  <c r="M189" i="59" s="1"/>
  <c r="M481" i="53"/>
  <c r="B190" i="59" s="1"/>
  <c r="M190" i="59" s="1"/>
  <c r="M482" i="53"/>
  <c r="B191" i="59" s="1"/>
  <c r="M191" i="59" s="1"/>
  <c r="M483" i="53"/>
  <c r="B192" i="59" s="1"/>
  <c r="M192" i="59" s="1"/>
  <c r="M484" i="53"/>
  <c r="B193" i="59" s="1"/>
  <c r="M193" i="59" s="1"/>
  <c r="M485" i="53"/>
  <c r="B194" i="59" s="1"/>
  <c r="M194" i="59" s="1"/>
  <c r="M486" i="53"/>
  <c r="B195" i="59" s="1"/>
  <c r="M195" i="59" s="1"/>
  <c r="M487" i="53"/>
  <c r="B196" i="59"/>
  <c r="M196" i="59" s="1"/>
  <c r="M488" i="53"/>
  <c r="B197" i="59" s="1"/>
  <c r="M197" i="59" s="1"/>
  <c r="M489" i="53"/>
  <c r="B198" i="59" s="1"/>
  <c r="M198" i="59" s="1"/>
  <c r="M490" i="53"/>
  <c r="B199" i="59" s="1"/>
  <c r="M199" i="59" s="1"/>
  <c r="M491" i="53"/>
  <c r="B200" i="59" s="1"/>
  <c r="M200" i="59" s="1"/>
  <c r="M492" i="53"/>
  <c r="B201" i="59" s="1"/>
  <c r="M201" i="59" s="1"/>
  <c r="M493" i="53"/>
  <c r="B202" i="59" s="1"/>
  <c r="M202" i="59" s="1"/>
  <c r="M494" i="53"/>
  <c r="B203" i="59" s="1"/>
  <c r="M203" i="59" s="1"/>
  <c r="M495" i="53"/>
  <c r="B204" i="59" s="1"/>
  <c r="M204" i="59" s="1"/>
  <c r="M496" i="53"/>
  <c r="B205" i="59" s="1"/>
  <c r="M205" i="59" s="1"/>
  <c r="M497" i="53"/>
  <c r="B206" i="59" s="1"/>
  <c r="M206" i="59" s="1"/>
  <c r="M498" i="53"/>
  <c r="B207" i="59" s="1"/>
  <c r="M207" i="59" s="1"/>
  <c r="M499" i="53"/>
  <c r="B208" i="59" s="1"/>
  <c r="M208" i="59" s="1"/>
  <c r="M500" i="53"/>
  <c r="B209" i="59" s="1"/>
  <c r="M209" i="59" s="1"/>
  <c r="M501" i="53"/>
  <c r="B210" i="59" s="1"/>
  <c r="M210" i="59" s="1"/>
  <c r="M502" i="53"/>
  <c r="B211" i="59" s="1"/>
  <c r="M211" i="59" s="1"/>
  <c r="M503" i="53"/>
  <c r="B212" i="59" s="1"/>
  <c r="M212" i="59" s="1"/>
  <c r="M504" i="53"/>
  <c r="B213" i="59" s="1"/>
  <c r="M213" i="59" s="1"/>
  <c r="M505" i="53"/>
  <c r="B214" i="59" s="1"/>
  <c r="M214" i="59" s="1"/>
  <c r="M506" i="53"/>
  <c r="B215" i="59" s="1"/>
  <c r="M215" i="59" s="1"/>
  <c r="M507" i="53"/>
  <c r="B216" i="59" s="1"/>
  <c r="M216" i="59" s="1"/>
  <c r="M508" i="53"/>
  <c r="B217" i="59" s="1"/>
  <c r="M217" i="59" s="1"/>
  <c r="M509" i="53"/>
  <c r="B218" i="59" s="1"/>
  <c r="M218" i="59" s="1"/>
  <c r="M510" i="53"/>
  <c r="M511" i="53"/>
  <c r="M512" i="53"/>
  <c r="M513" i="53"/>
  <c r="M514" i="53"/>
  <c r="M515" i="53"/>
  <c r="M516" i="53"/>
  <c r="M517" i="53"/>
  <c r="M518" i="53"/>
  <c r="B230" i="59" s="1"/>
  <c r="M230" i="59" s="1"/>
  <c r="M519" i="53"/>
  <c r="M520" i="53"/>
  <c r="B232" i="59" s="1"/>
  <c r="M232" i="59" s="1"/>
  <c r="M521" i="53"/>
  <c r="M522" i="53"/>
  <c r="M523" i="53"/>
  <c r="M524" i="53"/>
  <c r="M525" i="53"/>
  <c r="M526" i="53"/>
  <c r="B238" i="59" s="1"/>
  <c r="M238" i="59" s="1"/>
  <c r="M527" i="53"/>
  <c r="M528" i="53"/>
  <c r="M529" i="53"/>
  <c r="M530" i="53"/>
  <c r="M531" i="53"/>
  <c r="M532" i="53"/>
  <c r="M533" i="53"/>
  <c r="M534" i="53"/>
  <c r="B246" i="59" s="1"/>
  <c r="M246" i="59" s="1"/>
  <c r="M535" i="53"/>
  <c r="M536" i="53"/>
  <c r="M537" i="53"/>
  <c r="M538" i="53"/>
  <c r="M539" i="53"/>
  <c r="M540" i="53"/>
  <c r="M541" i="53"/>
  <c r="M542" i="53"/>
  <c r="B254" i="59" s="1"/>
  <c r="M254" i="59" s="1"/>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B278" i="59" s="1"/>
  <c r="M278" i="59" s="1"/>
  <c r="M567" i="53"/>
  <c r="M568" i="53"/>
  <c r="M569" i="53"/>
  <c r="M570" i="53"/>
  <c r="M571" i="53"/>
  <c r="M572" i="53"/>
  <c r="M573" i="53"/>
  <c r="M574" i="53"/>
  <c r="B286" i="59" s="1"/>
  <c r="M286" i="59" s="1"/>
  <c r="M575" i="53"/>
  <c r="M576" i="53"/>
  <c r="M577" i="53"/>
  <c r="M578" i="53"/>
  <c r="M579" i="53"/>
  <c r="M580" i="53"/>
  <c r="M581" i="53"/>
  <c r="M582" i="53"/>
  <c r="B294" i="59" s="1"/>
  <c r="M294" i="59" s="1"/>
  <c r="M583" i="53"/>
  <c r="M584" i="53"/>
  <c r="M585" i="53"/>
  <c r="M586" i="53"/>
  <c r="M587" i="53"/>
  <c r="M588" i="53"/>
  <c r="M589" i="53"/>
  <c r="M590" i="53"/>
  <c r="B302" i="59" s="1"/>
  <c r="M302" i="59" s="1"/>
  <c r="M591" i="53"/>
  <c r="M592" i="53"/>
  <c r="M593" i="53"/>
  <c r="M594" i="53"/>
  <c r="M595" i="53"/>
  <c r="M596" i="53"/>
  <c r="M597" i="53"/>
  <c r="M598" i="53"/>
  <c r="B310" i="59" s="1"/>
  <c r="M310" i="59" s="1"/>
  <c r="M599" i="53"/>
  <c r="M600" i="53"/>
  <c r="M601" i="53"/>
  <c r="M602" i="53"/>
  <c r="M603" i="53"/>
  <c r="M604" i="53"/>
  <c r="M605" i="53"/>
  <c r="M606" i="53"/>
  <c r="B318" i="59" s="1"/>
  <c r="M318" i="59" s="1"/>
  <c r="M607" i="53"/>
  <c r="M608" i="53"/>
  <c r="M609" i="53"/>
  <c r="M610" i="53"/>
  <c r="M611" i="53"/>
  <c r="M612" i="53"/>
  <c r="M613" i="53"/>
  <c r="M614" i="53"/>
  <c r="B20" i="60" s="1"/>
  <c r="M20" i="60" s="1"/>
  <c r="M615" i="53"/>
  <c r="B21" i="60" s="1"/>
  <c r="M616" i="53"/>
  <c r="M617" i="53"/>
  <c r="M618" i="53"/>
  <c r="M619" i="53"/>
  <c r="M620" i="53"/>
  <c r="M621" i="53"/>
  <c r="M622" i="53"/>
  <c r="B28" i="60" s="1"/>
  <c r="M28" i="60" s="1"/>
  <c r="M623" i="53"/>
  <c r="M625" i="53"/>
  <c r="M626" i="53"/>
  <c r="M627" i="53"/>
  <c r="M628" i="53"/>
  <c r="M629" i="53"/>
  <c r="M630" i="53"/>
  <c r="M631" i="53"/>
  <c r="B37" i="60" s="1"/>
  <c r="M37" i="60" s="1"/>
  <c r="M632" i="53"/>
  <c r="M633" i="53"/>
  <c r="M634" i="53"/>
  <c r="B40" i="60" s="1"/>
  <c r="M635" i="53"/>
  <c r="M636" i="53"/>
  <c r="M637" i="53"/>
  <c r="M638" i="53"/>
  <c r="M639" i="53"/>
  <c r="B45" i="60" s="1"/>
  <c r="M45" i="60" s="1"/>
  <c r="M640" i="53"/>
  <c r="M641" i="53"/>
  <c r="M642" i="53"/>
  <c r="M643" i="53"/>
  <c r="M644" i="53"/>
  <c r="M645" i="53"/>
  <c r="M646" i="53"/>
  <c r="M647" i="53"/>
  <c r="B53" i="60" s="1"/>
  <c r="M53" i="60" s="1"/>
  <c r="M648" i="53"/>
  <c r="M649" i="53"/>
  <c r="M650" i="53"/>
  <c r="M651" i="53"/>
  <c r="M652" i="53"/>
  <c r="M653" i="53"/>
  <c r="M654" i="53"/>
  <c r="M655" i="53"/>
  <c r="M656" i="53"/>
  <c r="M657" i="53"/>
  <c r="M658" i="53"/>
  <c r="M659" i="53"/>
  <c r="M660" i="53"/>
  <c r="M661" i="53"/>
  <c r="M662" i="53"/>
  <c r="M663" i="53"/>
  <c r="B69" i="60" s="1"/>
  <c r="M69" i="60" s="1"/>
  <c r="M664" i="53"/>
  <c r="M665" i="53"/>
  <c r="M666" i="53"/>
  <c r="M667" i="53"/>
  <c r="M668" i="53"/>
  <c r="M669" i="53"/>
  <c r="M670" i="53"/>
  <c r="M671" i="53"/>
  <c r="B77" i="60" s="1"/>
  <c r="M77" i="60" s="1"/>
  <c r="M672" i="53"/>
  <c r="M673" i="53"/>
  <c r="M674" i="53"/>
  <c r="M675" i="53"/>
  <c r="M676" i="53"/>
  <c r="M677" i="53"/>
  <c r="M678" i="53"/>
  <c r="M679" i="53"/>
  <c r="B85" i="60" s="1"/>
  <c r="M85" i="60" s="1"/>
  <c r="M680" i="53"/>
  <c r="M681" i="53"/>
  <c r="M682" i="53"/>
  <c r="M683" i="53"/>
  <c r="M684" i="53"/>
  <c r="M685" i="53"/>
  <c r="M686" i="53"/>
  <c r="M687" i="53"/>
  <c r="B93" i="60" s="1"/>
  <c r="M93" i="60" s="1"/>
  <c r="M688" i="53"/>
  <c r="M689" i="53"/>
  <c r="M690" i="53"/>
  <c r="M691" i="53"/>
  <c r="M692" i="53"/>
  <c r="M693" i="53"/>
  <c r="M694" i="53"/>
  <c r="M695" i="53"/>
  <c r="B101" i="60" s="1"/>
  <c r="M101" i="60" s="1"/>
  <c r="M696" i="53"/>
  <c r="M697" i="53"/>
  <c r="M698" i="53"/>
  <c r="M699" i="53"/>
  <c r="M700" i="53"/>
  <c r="M701" i="53"/>
  <c r="M702" i="53"/>
  <c r="M703" i="53"/>
  <c r="B109" i="60" s="1"/>
  <c r="M109" i="60" s="1"/>
  <c r="M704" i="53"/>
  <c r="M705" i="53"/>
  <c r="M706" i="53"/>
  <c r="M707" i="53"/>
  <c r="M708" i="53"/>
  <c r="M709" i="53"/>
  <c r="M710" i="53"/>
  <c r="M711" i="53"/>
  <c r="B117" i="60" s="1"/>
  <c r="M117" i="60" s="1"/>
  <c r="M712" i="53"/>
  <c r="M713" i="53"/>
  <c r="M714" i="53"/>
  <c r="M715" i="53"/>
  <c r="M716" i="53"/>
  <c r="M717" i="53"/>
  <c r="M718" i="53"/>
  <c r="M719" i="53"/>
  <c r="B125" i="60" s="1"/>
  <c r="M125" i="60" s="1"/>
  <c r="M720" i="53"/>
  <c r="M721" i="53"/>
  <c r="M722" i="53"/>
  <c r="M723" i="53"/>
  <c r="M724" i="53"/>
  <c r="M725" i="53"/>
  <c r="M726" i="53"/>
  <c r="M727" i="53"/>
  <c r="B133" i="60" s="1"/>
  <c r="M133" i="60" s="1"/>
  <c r="M728" i="53"/>
  <c r="M729" i="53"/>
  <c r="M730" i="53"/>
  <c r="M731" i="53"/>
  <c r="M732" i="53"/>
  <c r="M733" i="53"/>
  <c r="M734" i="53"/>
  <c r="M735" i="53"/>
  <c r="B141" i="60" s="1"/>
  <c r="M141" i="60" s="1"/>
  <c r="M736" i="53"/>
  <c r="M737" i="53"/>
  <c r="M738" i="53"/>
  <c r="M739" i="53"/>
  <c r="M740" i="53"/>
  <c r="M741" i="53"/>
  <c r="M742" i="53"/>
  <c r="M743" i="53"/>
  <c r="M744" i="53"/>
  <c r="M745" i="53"/>
  <c r="M746" i="53"/>
  <c r="M747" i="53"/>
  <c r="M748" i="53"/>
  <c r="M749" i="53"/>
  <c r="M750" i="53"/>
  <c r="M751" i="53"/>
  <c r="B157" i="60" s="1"/>
  <c r="M157" i="60" s="1"/>
  <c r="M752" i="53"/>
  <c r="M753" i="53"/>
  <c r="M754" i="53"/>
  <c r="M755" i="53"/>
  <c r="M756" i="53"/>
  <c r="M757" i="53"/>
  <c r="M758" i="53"/>
  <c r="M759" i="53"/>
  <c r="B165" i="60" s="1"/>
  <c r="M165" i="60" s="1"/>
  <c r="M760" i="53"/>
  <c r="M761" i="53"/>
  <c r="M762" i="53"/>
  <c r="M763" i="53"/>
  <c r="M764" i="53"/>
  <c r="M765" i="53"/>
  <c r="M766" i="53"/>
  <c r="M767" i="53"/>
  <c r="M768" i="53"/>
  <c r="M769" i="53"/>
  <c r="M770" i="53"/>
  <c r="M771" i="53"/>
  <c r="M772" i="53"/>
  <c r="M773" i="53"/>
  <c r="M774" i="53"/>
  <c r="M775" i="53"/>
  <c r="B181" i="60" s="1"/>
  <c r="M181" i="60" s="1"/>
  <c r="M776" i="53"/>
  <c r="M777" i="53"/>
  <c r="M778" i="53"/>
  <c r="M779" i="53"/>
  <c r="M780" i="53"/>
  <c r="M781" i="53"/>
  <c r="M782" i="53"/>
  <c r="M783" i="53"/>
  <c r="B189" i="60" s="1"/>
  <c r="M189" i="60" s="1"/>
  <c r="M784" i="53"/>
  <c r="M785" i="53"/>
  <c r="M786" i="53"/>
  <c r="M787" i="53"/>
  <c r="M788" i="53"/>
  <c r="M789" i="53"/>
  <c r="M790" i="53"/>
  <c r="M791" i="53"/>
  <c r="B197" i="60" s="1"/>
  <c r="M197" i="60" s="1"/>
  <c r="M792" i="53"/>
  <c r="M793" i="53"/>
  <c r="M794" i="53"/>
  <c r="M795" i="53"/>
  <c r="M796" i="53"/>
  <c r="M797" i="53"/>
  <c r="M798" i="53"/>
  <c r="M799" i="53"/>
  <c r="M800" i="53"/>
  <c r="M801" i="53"/>
  <c r="M802" i="53"/>
  <c r="M803" i="53"/>
  <c r="M804" i="53"/>
  <c r="M805" i="53"/>
  <c r="M806" i="53"/>
  <c r="M807" i="53"/>
  <c r="B213" i="60" s="1"/>
  <c r="M213" i="60" s="1"/>
  <c r="M808" i="53"/>
  <c r="M809" i="53"/>
  <c r="M810" i="53"/>
  <c r="M811" i="53"/>
  <c r="M812" i="53"/>
  <c r="M813" i="53"/>
  <c r="M814" i="53"/>
  <c r="M815" i="53"/>
  <c r="B225" i="60" s="1"/>
  <c r="M225" i="60" s="1"/>
  <c r="M816" i="53"/>
  <c r="M817" i="53"/>
  <c r="M818" i="53"/>
  <c r="M819" i="53"/>
  <c r="B229" i="60" s="1"/>
  <c r="M229" i="60" s="1"/>
  <c r="M820" i="53"/>
  <c r="M821" i="53"/>
  <c r="M822" i="53"/>
  <c r="M823" i="53"/>
  <c r="B233" i="60" s="1"/>
  <c r="M233" i="60" s="1"/>
  <c r="M824" i="53"/>
  <c r="M825" i="53"/>
  <c r="M826" i="53"/>
  <c r="M827" i="53"/>
  <c r="B237" i="60" s="1"/>
  <c r="M237" i="60" s="1"/>
  <c r="M828" i="53"/>
  <c r="B238" i="60" s="1"/>
  <c r="M829" i="53"/>
  <c r="M830" i="53"/>
  <c r="M831" i="53"/>
  <c r="B241" i="60" s="1"/>
  <c r="M241" i="60" s="1"/>
  <c r="M832" i="53"/>
  <c r="M833" i="53"/>
  <c r="M834" i="53"/>
  <c r="M835" i="53"/>
  <c r="B245" i="60" s="1"/>
  <c r="M245" i="60" s="1"/>
  <c r="M836" i="53"/>
  <c r="B246" i="60" s="1"/>
  <c r="M837" i="53"/>
  <c r="M838" i="53"/>
  <c r="M839" i="53"/>
  <c r="B249" i="60" s="1"/>
  <c r="M249" i="60" s="1"/>
  <c r="M840" i="53"/>
  <c r="M841" i="53"/>
  <c r="M842" i="53"/>
  <c r="M843" i="53"/>
  <c r="B253" i="60" s="1"/>
  <c r="M253" i="60" s="1"/>
  <c r="M844" i="53"/>
  <c r="M845" i="53"/>
  <c r="M846" i="53"/>
  <c r="M847" i="53"/>
  <c r="B257" i="60" s="1"/>
  <c r="M257" i="60" s="1"/>
  <c r="M848" i="53"/>
  <c r="M849" i="53"/>
  <c r="M850" i="53"/>
  <c r="M851" i="53"/>
  <c r="B261" i="60" s="1"/>
  <c r="M261" i="60" s="1"/>
  <c r="M852" i="53"/>
  <c r="M853" i="53"/>
  <c r="M854" i="53"/>
  <c r="M855" i="53"/>
  <c r="B265" i="60" s="1"/>
  <c r="M265" i="60" s="1"/>
  <c r="M856" i="53"/>
  <c r="M857" i="53"/>
  <c r="M858" i="53"/>
  <c r="M859" i="53"/>
  <c r="B269" i="60" s="1"/>
  <c r="M269" i="60" s="1"/>
  <c r="M860" i="53"/>
  <c r="M861" i="53"/>
  <c r="M862" i="53"/>
  <c r="M863" i="53"/>
  <c r="B273" i="60" s="1"/>
  <c r="M273" i="60" s="1"/>
  <c r="M864" i="53"/>
  <c r="M865" i="53"/>
  <c r="M866" i="53"/>
  <c r="M867" i="53"/>
  <c r="M868" i="53"/>
  <c r="M869" i="53"/>
  <c r="M870" i="53"/>
  <c r="M871" i="53"/>
  <c r="M872" i="53"/>
  <c r="M873" i="53"/>
  <c r="M874" i="53"/>
  <c r="M875" i="53"/>
  <c r="B285" i="60" s="1"/>
  <c r="M285" i="60" s="1"/>
  <c r="M876" i="53"/>
  <c r="M877" i="53"/>
  <c r="M878" i="53"/>
  <c r="M879" i="53"/>
  <c r="B289" i="60" s="1"/>
  <c r="M289" i="60" s="1"/>
  <c r="M880" i="53"/>
  <c r="M881" i="53"/>
  <c r="M882" i="53"/>
  <c r="M883" i="53"/>
  <c r="B293" i="60" s="1"/>
  <c r="M293" i="60" s="1"/>
  <c r="M884" i="53"/>
  <c r="M885" i="53"/>
  <c r="M886" i="53"/>
  <c r="M887" i="53"/>
  <c r="B297" i="60" s="1"/>
  <c r="M297" i="60" s="1"/>
  <c r="M888" i="53"/>
  <c r="M889" i="53"/>
  <c r="M890" i="53"/>
  <c r="M891" i="53"/>
  <c r="B301" i="60" s="1"/>
  <c r="M301" i="60" s="1"/>
  <c r="M892" i="53"/>
  <c r="M893" i="53"/>
  <c r="M894" i="53"/>
  <c r="M895" i="53"/>
  <c r="B305" i="60" s="1"/>
  <c r="M305" i="60" s="1"/>
  <c r="M896" i="53"/>
  <c r="M897" i="53"/>
  <c r="M898" i="53"/>
  <c r="M899" i="53"/>
  <c r="M900" i="53"/>
  <c r="M901" i="53"/>
  <c r="M902" i="53"/>
  <c r="M903" i="53"/>
  <c r="B313" i="60" s="1"/>
  <c r="M313" i="60" s="1"/>
  <c r="M904" i="53"/>
  <c r="M905" i="53"/>
  <c r="M906" i="53"/>
  <c r="M907" i="53"/>
  <c r="B317" i="60" s="1"/>
  <c r="M317" i="60" s="1"/>
  <c r="M908" i="53"/>
  <c r="M909" i="53"/>
  <c r="M910" i="53"/>
  <c r="M911" i="53"/>
  <c r="B321" i="60" s="1"/>
  <c r="M321" i="60" s="1"/>
  <c r="M912" i="53"/>
  <c r="M913" i="53"/>
  <c r="M914" i="53"/>
  <c r="M915" i="53"/>
  <c r="B20" i="61" s="1"/>
  <c r="M20" i="61" s="1"/>
  <c r="M916" i="53"/>
  <c r="B21" i="61" s="1"/>
  <c r="M21" i="61" s="1"/>
  <c r="M917" i="53"/>
  <c r="M918" i="53"/>
  <c r="M919" i="53"/>
  <c r="B24" i="61" s="1"/>
  <c r="M24" i="61" s="1"/>
  <c r="M920" i="53"/>
  <c r="M921" i="53"/>
  <c r="M922" i="53"/>
  <c r="B27" i="61" s="1"/>
  <c r="M27" i="61" s="1"/>
  <c r="M923" i="53"/>
  <c r="B28" i="61" s="1"/>
  <c r="M28" i="61" s="1"/>
  <c r="M924" i="53"/>
  <c r="B29" i="61" s="1"/>
  <c r="M29" i="61" s="1"/>
  <c r="M925" i="53"/>
  <c r="M926" i="53"/>
  <c r="M927" i="53"/>
  <c r="B32" i="61" s="1"/>
  <c r="M32" i="61" s="1"/>
  <c r="M928" i="53"/>
  <c r="M929" i="53"/>
  <c r="M930" i="53"/>
  <c r="M931" i="53"/>
  <c r="B36" i="61" s="1"/>
  <c r="M36" i="61" s="1"/>
  <c r="M932" i="53"/>
  <c r="B37" i="61" s="1"/>
  <c r="M37" i="61" s="1"/>
  <c r="M933" i="53"/>
  <c r="B38" i="61" s="1"/>
  <c r="M38" i="61" s="1"/>
  <c r="M934" i="53"/>
  <c r="M935" i="53"/>
  <c r="M936" i="53"/>
  <c r="M937" i="53"/>
  <c r="M938" i="53"/>
  <c r="M939" i="53"/>
  <c r="B44" i="61" s="1"/>
  <c r="M44" i="61" s="1"/>
  <c r="M940" i="53"/>
  <c r="B45" i="61" s="1"/>
  <c r="M45" i="61" s="1"/>
  <c r="M941" i="53"/>
  <c r="M942" i="53"/>
  <c r="M943" i="53"/>
  <c r="M944" i="53"/>
  <c r="B49" i="61" s="1"/>
  <c r="M49" i="61" s="1"/>
  <c r="M945" i="53"/>
  <c r="M946" i="53"/>
  <c r="B51" i="61" s="1"/>
  <c r="M51" i="61" s="1"/>
  <c r="M947" i="53"/>
  <c r="B52" i="61" s="1"/>
  <c r="M52" i="61" s="1"/>
  <c r="M948" i="53"/>
  <c r="M949" i="53"/>
  <c r="M950" i="53"/>
  <c r="B55" i="61" s="1"/>
  <c r="M55" i="61" s="1"/>
  <c r="M951" i="53"/>
  <c r="M952" i="53"/>
  <c r="M953" i="53"/>
  <c r="M954" i="53"/>
  <c r="B59" i="61" s="1"/>
  <c r="M59" i="61" s="1"/>
  <c r="M955" i="53"/>
  <c r="B60" i="61" s="1"/>
  <c r="M60" i="61" s="1"/>
  <c r="M956" i="53"/>
  <c r="M957" i="53"/>
  <c r="M958" i="53"/>
  <c r="B63" i="61" s="1"/>
  <c r="M63" i="61" s="1"/>
  <c r="M959" i="53"/>
  <c r="M960" i="53"/>
  <c r="M961" i="53"/>
  <c r="M962" i="53"/>
  <c r="B67" i="61" s="1"/>
  <c r="M67" i="61" s="1"/>
  <c r="M963" i="53"/>
  <c r="B68" i="61" s="1"/>
  <c r="M68" i="61" s="1"/>
  <c r="M964" i="53"/>
  <c r="M965" i="53"/>
  <c r="M966" i="53"/>
  <c r="B71" i="61" s="1"/>
  <c r="M71" i="61" s="1"/>
  <c r="M967" i="53"/>
  <c r="M968" i="53"/>
  <c r="M969" i="53"/>
  <c r="M970" i="53"/>
  <c r="B75" i="61" s="1"/>
  <c r="M75" i="61" s="1"/>
  <c r="M971" i="53"/>
  <c r="B76" i="61" s="1"/>
  <c r="M76" i="61" s="1"/>
  <c r="M972" i="53"/>
  <c r="M973" i="53"/>
  <c r="M974" i="53"/>
  <c r="M975" i="53"/>
  <c r="M976" i="53"/>
  <c r="M977" i="53"/>
  <c r="M978" i="53"/>
  <c r="B83" i="61" s="1"/>
  <c r="M83" i="61" s="1"/>
  <c r="M979" i="53"/>
  <c r="B84" i="61" s="1"/>
  <c r="M84" i="61" s="1"/>
  <c r="M980" i="53"/>
  <c r="M981" i="53"/>
  <c r="M982" i="53"/>
  <c r="B87" i="61" s="1"/>
  <c r="M87" i="61" s="1"/>
  <c r="M983" i="53"/>
  <c r="M984" i="53"/>
  <c r="M985" i="53"/>
  <c r="M986" i="53"/>
  <c r="B91" i="61" s="1"/>
  <c r="M91" i="61" s="1"/>
  <c r="M987" i="53"/>
  <c r="B92" i="61" s="1"/>
  <c r="M92" i="61" s="1"/>
  <c r="M988" i="53"/>
  <c r="M989" i="53"/>
  <c r="M990" i="53"/>
  <c r="B95" i="61" s="1"/>
  <c r="M95" i="61" s="1"/>
  <c r="M991" i="53"/>
  <c r="M992" i="53"/>
  <c r="M993" i="53"/>
  <c r="M994" i="53"/>
  <c r="B99" i="61" s="1"/>
  <c r="M99" i="61" s="1"/>
  <c r="M995" i="53"/>
  <c r="B100" i="61" s="1"/>
  <c r="M100" i="61" s="1"/>
  <c r="M996" i="53"/>
  <c r="M997" i="53"/>
  <c r="M998" i="53"/>
  <c r="B103" i="61" s="1"/>
  <c r="M103" i="61" s="1"/>
  <c r="M999" i="53"/>
  <c r="M1000" i="53"/>
  <c r="M1001" i="53"/>
  <c r="M1002" i="53"/>
  <c r="B107" i="61" s="1"/>
  <c r="M107" i="61" s="1"/>
  <c r="M1003" i="53"/>
  <c r="B108" i="61" s="1"/>
  <c r="M108" i="61" s="1"/>
  <c r="M1004" i="53"/>
  <c r="M1005" i="53"/>
  <c r="M1006" i="53"/>
  <c r="M1007" i="53"/>
  <c r="M1008" i="53"/>
  <c r="M1009" i="53"/>
  <c r="M1010" i="53"/>
  <c r="B115" i="61" s="1"/>
  <c r="M115" i="61" s="1"/>
  <c r="M1011" i="53"/>
  <c r="B116" i="61" s="1"/>
  <c r="M116" i="61" s="1"/>
  <c r="M1012" i="53"/>
  <c r="M1013" i="53"/>
  <c r="M1014" i="53"/>
  <c r="B119" i="61" s="1"/>
  <c r="M119" i="61" s="1"/>
  <c r="M1015" i="53"/>
  <c r="M1016" i="53"/>
  <c r="M1017" i="53"/>
  <c r="M1018" i="53"/>
  <c r="B123" i="61" s="1"/>
  <c r="M123" i="61" s="1"/>
  <c r="M1019" i="53"/>
  <c r="B124" i="61" s="1"/>
  <c r="M124" i="61" s="1"/>
  <c r="M1020" i="53"/>
  <c r="M1021" i="53"/>
  <c r="M1022" i="53"/>
  <c r="B127" i="61" s="1"/>
  <c r="M127" i="61" s="1"/>
  <c r="M1023" i="53"/>
  <c r="M1024" i="53"/>
  <c r="M1025" i="53"/>
  <c r="M1026" i="53"/>
  <c r="B131" i="61" s="1"/>
  <c r="M131" i="61" s="1"/>
  <c r="M1027" i="53"/>
  <c r="B132" i="61" s="1"/>
  <c r="M132" i="61" s="1"/>
  <c r="M1028" i="53"/>
  <c r="M1029" i="53"/>
  <c r="M1030" i="53"/>
  <c r="B135" i="61" s="1"/>
  <c r="M135" i="61" s="1"/>
  <c r="M1031" i="53"/>
  <c r="M1032" i="53"/>
  <c r="M1033" i="53"/>
  <c r="M1034" i="53"/>
  <c r="B139" i="61" s="1"/>
  <c r="M139" i="61" s="1"/>
  <c r="M1035" i="53"/>
  <c r="B140" i="61" s="1"/>
  <c r="M140" i="61" s="1"/>
  <c r="M1036" i="53"/>
  <c r="M1037" i="53"/>
  <c r="M1038" i="53"/>
  <c r="B143" i="61" s="1"/>
  <c r="M143" i="61" s="1"/>
  <c r="M1039" i="53"/>
  <c r="M1040" i="53"/>
  <c r="M1041" i="53"/>
  <c r="M1042" i="53"/>
  <c r="B147" i="61" s="1"/>
  <c r="M147" i="61" s="1"/>
  <c r="M1043" i="53"/>
  <c r="B148" i="61" s="1"/>
  <c r="M148" i="61" s="1"/>
  <c r="M1044" i="53"/>
  <c r="M1045" i="53"/>
  <c r="M1046" i="53"/>
  <c r="B151" i="61" s="1"/>
  <c r="M151" i="61" s="1"/>
  <c r="M1047" i="53"/>
  <c r="M1048" i="53"/>
  <c r="M1049" i="53"/>
  <c r="M1050" i="53"/>
  <c r="B155" i="61" s="1"/>
  <c r="M155" i="61" s="1"/>
  <c r="M1051" i="53"/>
  <c r="B156" i="61" s="1"/>
  <c r="M156" i="61" s="1"/>
  <c r="M1052" i="53"/>
  <c r="M1053" i="53"/>
  <c r="M1054" i="53"/>
  <c r="B159" i="61" s="1"/>
  <c r="M159" i="61" s="1"/>
  <c r="M1055" i="53"/>
  <c r="M1056" i="53"/>
  <c r="M1057" i="53"/>
  <c r="M1058" i="53"/>
  <c r="B163" i="61" s="1"/>
  <c r="M163" i="61" s="1"/>
  <c r="M1059" i="53"/>
  <c r="B164" i="61" s="1"/>
  <c r="M164" i="61" s="1"/>
  <c r="M1060" i="53"/>
  <c r="M1061" i="53"/>
  <c r="M1062" i="53"/>
  <c r="M1063" i="53"/>
  <c r="M1064" i="53"/>
  <c r="M1065" i="53"/>
  <c r="M1066" i="53"/>
  <c r="B171" i="61" s="1"/>
  <c r="M171" i="61" s="1"/>
  <c r="M1067" i="53"/>
  <c r="M1068" i="53"/>
  <c r="M1069" i="53"/>
  <c r="M1070" i="53"/>
  <c r="B175" i="61" s="1"/>
  <c r="M175" i="61" s="1"/>
  <c r="M1071" i="53"/>
  <c r="M1072" i="53"/>
  <c r="M1073" i="53"/>
  <c r="M1074" i="53"/>
  <c r="B179" i="61" s="1"/>
  <c r="M179" i="61" s="1"/>
  <c r="M1075" i="53"/>
  <c r="B180" i="61" s="1"/>
  <c r="M180" i="61" s="1"/>
  <c r="M1076" i="53"/>
  <c r="M1077" i="53"/>
  <c r="M1078" i="53"/>
  <c r="B183" i="61" s="1"/>
  <c r="M183" i="61" s="1"/>
  <c r="M1079" i="53"/>
  <c r="M1080" i="53"/>
  <c r="M1081" i="53"/>
  <c r="M1082" i="53"/>
  <c r="B187" i="61" s="1"/>
  <c r="M187" i="61" s="1"/>
  <c r="M1083" i="53"/>
  <c r="B188" i="61" s="1"/>
  <c r="M188" i="61" s="1"/>
  <c r="M1084" i="53"/>
  <c r="M1085" i="53"/>
  <c r="M1086" i="53"/>
  <c r="B191" i="61" s="1"/>
  <c r="M191" i="61" s="1"/>
  <c r="M1087" i="53"/>
  <c r="M1088" i="53"/>
  <c r="M1089" i="53"/>
  <c r="M1090" i="53"/>
  <c r="B195" i="61" s="1"/>
  <c r="M195" i="61" s="1"/>
  <c r="M1091" i="53"/>
  <c r="B196" i="61" s="1"/>
  <c r="M196" i="61" s="1"/>
  <c r="M1092" i="53"/>
  <c r="M1093" i="53"/>
  <c r="M1094" i="53"/>
  <c r="B199" i="61" s="1"/>
  <c r="M199" i="61" s="1"/>
  <c r="M1095" i="53"/>
  <c r="M1096" i="53"/>
  <c r="M1097" i="53"/>
  <c r="M1098" i="53"/>
  <c r="B203" i="61" s="1"/>
  <c r="M203" i="61" s="1"/>
  <c r="M1099" i="53"/>
  <c r="B204" i="61" s="1"/>
  <c r="M204" i="61" s="1"/>
  <c r="M1100" i="53"/>
  <c r="M1101" i="53"/>
  <c r="M1102" i="53"/>
  <c r="B207" i="61" s="1"/>
  <c r="M207" i="61" s="1"/>
  <c r="M1103" i="53"/>
  <c r="M1104" i="53"/>
  <c r="M1105" i="53"/>
  <c r="M1106" i="53"/>
  <c r="B211" i="61" s="1"/>
  <c r="M211" i="61" s="1"/>
  <c r="M1107" i="53"/>
  <c r="B212" i="61" s="1"/>
  <c r="M212" i="61" s="1"/>
  <c r="M1108" i="53"/>
  <c r="M1109" i="53"/>
  <c r="M1110" i="53"/>
  <c r="B215" i="61" s="1"/>
  <c r="M215" i="61" s="1"/>
  <c r="M1111" i="53"/>
  <c r="M1112" i="53"/>
  <c r="M1113" i="53"/>
  <c r="M1114" i="53"/>
  <c r="B223" i="61" s="1"/>
  <c r="M223" i="61" s="1"/>
  <c r="M1115" i="53"/>
  <c r="B224" i="61" s="1"/>
  <c r="M224" i="61" s="1"/>
  <c r="M1116" i="53"/>
  <c r="M1117" i="53"/>
  <c r="M1118" i="53"/>
  <c r="B227" i="61" s="1"/>
  <c r="M227" i="61" s="1"/>
  <c r="M1119" i="53"/>
  <c r="B228" i="61" s="1"/>
  <c r="M228" i="61" s="1"/>
  <c r="M1120" i="53"/>
  <c r="M1121" i="53"/>
  <c r="M1122" i="53"/>
  <c r="B231" i="61" s="1"/>
  <c r="M231" i="61" s="1"/>
  <c r="M1123" i="53"/>
  <c r="B232" i="61" s="1"/>
  <c r="M232" i="61" s="1"/>
  <c r="M1124" i="53"/>
  <c r="M1125" i="53"/>
  <c r="B234" i="61" s="1"/>
  <c r="M234" i="61" s="1"/>
  <c r="M1126" i="53"/>
  <c r="M1127" i="53"/>
  <c r="B236" i="61" s="1"/>
  <c r="M236" i="61" s="1"/>
  <c r="M1128" i="53"/>
  <c r="M1129" i="53"/>
  <c r="M1130" i="53"/>
  <c r="B239" i="61" s="1"/>
  <c r="M239" i="61" s="1"/>
  <c r="M1131" i="53"/>
  <c r="B240" i="61" s="1"/>
  <c r="M240" i="61" s="1"/>
  <c r="M1132" i="53"/>
  <c r="M1133" i="53"/>
  <c r="M1134" i="53"/>
  <c r="M1135" i="53"/>
  <c r="M1136" i="53"/>
  <c r="M1137" i="53"/>
  <c r="M1138" i="53"/>
  <c r="B247" i="61" s="1"/>
  <c r="M247" i="61" s="1"/>
  <c r="M1139" i="53"/>
  <c r="B248" i="61" s="1"/>
  <c r="M248" i="61" s="1"/>
  <c r="M1140" i="53"/>
  <c r="M1141" i="53"/>
  <c r="M1142" i="53"/>
  <c r="B251" i="61" s="1"/>
  <c r="M251" i="61" s="1"/>
  <c r="M1143" i="53"/>
  <c r="B252" i="61" s="1"/>
  <c r="M252" i="61" s="1"/>
  <c r="M1144" i="53"/>
  <c r="B294" i="62"/>
  <c r="M294" i="62" s="1"/>
  <c r="B295" i="62"/>
  <c r="M295" i="62" s="1"/>
  <c r="B302" i="62"/>
  <c r="M302" i="62" s="1"/>
  <c r="B303" i="62"/>
  <c r="M303" i="62" s="1"/>
  <c r="B304" i="62"/>
  <c r="M304" i="62" s="1"/>
  <c r="B308" i="62"/>
  <c r="M308" i="62" s="1"/>
  <c r="B310" i="62"/>
  <c r="M310" i="62" s="1"/>
  <c r="B311" i="62"/>
  <c r="M311" i="62" s="1"/>
  <c r="B312" i="62"/>
  <c r="M312" i="62" s="1"/>
  <c r="B316" i="62"/>
  <c r="M316" i="62" s="1"/>
  <c r="B318" i="62"/>
  <c r="M318" i="62" s="1"/>
  <c r="B319" i="62"/>
  <c r="M319" i="62" s="1"/>
  <c r="B320" i="62"/>
  <c r="M320" i="62" s="1"/>
  <c r="M42" i="59"/>
  <c r="B41" i="59"/>
  <c r="M41" i="59"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6" i="62"/>
  <c r="M296" i="62" s="1"/>
  <c r="B297" i="62"/>
  <c r="M297" i="62" s="1"/>
  <c r="B298" i="62"/>
  <c r="M298" i="62" s="1"/>
  <c r="B299" i="62"/>
  <c r="M299" i="62" s="1"/>
  <c r="B300" i="62"/>
  <c r="M300" i="62" s="1"/>
  <c r="B301" i="62"/>
  <c r="M301" i="62" s="1"/>
  <c r="B305" i="62"/>
  <c r="M305" i="62" s="1"/>
  <c r="B306" i="62"/>
  <c r="M306" i="62" s="1"/>
  <c r="B307" i="62"/>
  <c r="M307" i="62" s="1"/>
  <c r="B309" i="62"/>
  <c r="M309" i="62" s="1"/>
  <c r="B313" i="62"/>
  <c r="M313" i="62" s="1"/>
  <c r="B314" i="62"/>
  <c r="M314" i="62" s="1"/>
  <c r="B315" i="62"/>
  <c r="M315" i="62" s="1"/>
  <c r="B317" i="62"/>
  <c r="M317"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B225" i="61"/>
  <c r="M225" i="61" s="1"/>
  <c r="B226" i="61"/>
  <c r="M226" i="61" s="1"/>
  <c r="B229" i="61"/>
  <c r="M229" i="61" s="1"/>
  <c r="B230" i="61"/>
  <c r="M230" i="61" s="1"/>
  <c r="B233" i="61"/>
  <c r="M233" i="61" s="1"/>
  <c r="B235" i="61"/>
  <c r="M235" i="61" s="1"/>
  <c r="B237" i="61"/>
  <c r="M237" i="61" s="1"/>
  <c r="B238" i="61"/>
  <c r="M238" i="61" s="1"/>
  <c r="B241" i="61"/>
  <c r="M241" i="61" s="1"/>
  <c r="B242" i="61"/>
  <c r="M242" i="61" s="1"/>
  <c r="B243" i="61"/>
  <c r="M243" i="61" s="1"/>
  <c r="B244" i="61"/>
  <c r="M244" i="61" s="1"/>
  <c r="B245" i="61"/>
  <c r="M245" i="61" s="1"/>
  <c r="B246" i="61"/>
  <c r="M246" i="61" s="1"/>
  <c r="B249" i="61"/>
  <c r="M249" i="61" s="1"/>
  <c r="B250" i="61"/>
  <c r="M250"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c r="B268" i="61"/>
  <c r="M268" i="61" s="1"/>
  <c r="B269" i="61"/>
  <c r="M269" i="61" s="1"/>
  <c r="B270" i="61"/>
  <c r="M270" i="61" s="1"/>
  <c r="B271" i="61"/>
  <c r="M271" i="61" s="1"/>
  <c r="B272" i="61"/>
  <c r="M272" i="61" s="1"/>
  <c r="B273" i="61"/>
  <c r="M273" i="61"/>
  <c r="B274" i="61"/>
  <c r="M274" i="61" s="1"/>
  <c r="B275" i="61"/>
  <c r="M275" i="61" s="1"/>
  <c r="B276" i="61"/>
  <c r="M276" i="61" s="1"/>
  <c r="B277" i="61"/>
  <c r="M277" i="61" s="1"/>
  <c r="B278" i="61"/>
  <c r="M278" i="61" s="1"/>
  <c r="B279" i="61"/>
  <c r="M279" i="6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c r="B296" i="61"/>
  <c r="M296" i="61" s="1"/>
  <c r="B297" i="61"/>
  <c r="M297" i="61" s="1"/>
  <c r="B298" i="61"/>
  <c r="M298" i="61" s="1"/>
  <c r="B299" i="61"/>
  <c r="M299" i="61" s="1"/>
  <c r="B300" i="61"/>
  <c r="M300" i="61" s="1"/>
  <c r="B301" i="61"/>
  <c r="M301" i="61" s="1"/>
  <c r="B302" i="61"/>
  <c r="M302" i="61" s="1"/>
  <c r="B303" i="61"/>
  <c r="M303" i="61" s="1"/>
  <c r="B304" i="61"/>
  <c r="M304" i="61" s="1"/>
  <c r="B305" i="61"/>
  <c r="M305" i="6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B22" i="61"/>
  <c r="M22" i="61" s="1"/>
  <c r="B23" i="61"/>
  <c r="M23" i="61" s="1"/>
  <c r="B25" i="61"/>
  <c r="M25" i="61" s="1"/>
  <c r="B26" i="61"/>
  <c r="M26" i="61" s="1"/>
  <c r="B30" i="61"/>
  <c r="M30" i="61" s="1"/>
  <c r="B31" i="61"/>
  <c r="M31" i="61"/>
  <c r="B33" i="61"/>
  <c r="M33" i="61" s="1"/>
  <c r="B34" i="61"/>
  <c r="M34" i="61" s="1"/>
  <c r="B35" i="61"/>
  <c r="M35" i="61" s="1"/>
  <c r="B39" i="61"/>
  <c r="M39" i="61" s="1"/>
  <c r="B40" i="61"/>
  <c r="M40" i="61" s="1"/>
  <c r="B41" i="61"/>
  <c r="M41" i="61" s="1"/>
  <c r="B42" i="61"/>
  <c r="M42" i="61"/>
  <c r="B43" i="61"/>
  <c r="M43" i="61" s="1"/>
  <c r="B46" i="61"/>
  <c r="M46" i="61" s="1"/>
  <c r="B47" i="61"/>
  <c r="M47" i="61" s="1"/>
  <c r="B48" i="61"/>
  <c r="M48" i="61" s="1"/>
  <c r="B50" i="61"/>
  <c r="M50" i="61" s="1"/>
  <c r="B53" i="61"/>
  <c r="M53" i="61" s="1"/>
  <c r="B54" i="61"/>
  <c r="M54" i="61" s="1"/>
  <c r="B56" i="61"/>
  <c r="M56" i="61" s="1"/>
  <c r="B57" i="61"/>
  <c r="M57" i="61" s="1"/>
  <c r="B58" i="61"/>
  <c r="M58" i="61" s="1"/>
  <c r="B61" i="61"/>
  <c r="M61" i="61" s="1"/>
  <c r="B62" i="61"/>
  <c r="M62" i="61" s="1"/>
  <c r="B64" i="61"/>
  <c r="M64" i="61" s="1"/>
  <c r="B65" i="61"/>
  <c r="M65" i="61" s="1"/>
  <c r="B66" i="61"/>
  <c r="M66" i="61" s="1"/>
  <c r="B69" i="61"/>
  <c r="M69" i="61" s="1"/>
  <c r="B70" i="61"/>
  <c r="M70" i="61" s="1"/>
  <c r="B72" i="61"/>
  <c r="M72" i="61" s="1"/>
  <c r="B73" i="61"/>
  <c r="M73" i="61" s="1"/>
  <c r="B74" i="61"/>
  <c r="M74" i="61" s="1"/>
  <c r="B77" i="61"/>
  <c r="M77" i="61" s="1"/>
  <c r="B78" i="61"/>
  <c r="M78" i="61" s="1"/>
  <c r="B79" i="61"/>
  <c r="M79" i="61" s="1"/>
  <c r="B80" i="61"/>
  <c r="M80" i="61"/>
  <c r="B81" i="61"/>
  <c r="M81" i="61" s="1"/>
  <c r="B82" i="61"/>
  <c r="M82" i="61" s="1"/>
  <c r="B85" i="61"/>
  <c r="M85" i="61"/>
  <c r="B86" i="61"/>
  <c r="M86" i="61" s="1"/>
  <c r="B88" i="61"/>
  <c r="M88" i="61" s="1"/>
  <c r="B89" i="61"/>
  <c r="M89" i="61" s="1"/>
  <c r="B90" i="61"/>
  <c r="M90" i="61" s="1"/>
  <c r="B93" i="61"/>
  <c r="M93" i="61" s="1"/>
  <c r="B94" i="61"/>
  <c r="M94" i="61" s="1"/>
  <c r="B96" i="61"/>
  <c r="M96" i="61" s="1"/>
  <c r="B97" i="61"/>
  <c r="M97" i="61" s="1"/>
  <c r="B98" i="61"/>
  <c r="M98" i="61" s="1"/>
  <c r="B101" i="61"/>
  <c r="M101" i="61"/>
  <c r="B102" i="61"/>
  <c r="M102" i="61" s="1"/>
  <c r="B104" i="61"/>
  <c r="M104" i="61" s="1"/>
  <c r="B105" i="61"/>
  <c r="M105" i="61" s="1"/>
  <c r="B106" i="61"/>
  <c r="M106" i="61" s="1"/>
  <c r="B109" i="61"/>
  <c r="M109" i="61" s="1"/>
  <c r="B110" i="61"/>
  <c r="M110" i="61" s="1"/>
  <c r="B111" i="61"/>
  <c r="M111" i="61" s="1"/>
  <c r="B112" i="61"/>
  <c r="M112" i="61" s="1"/>
  <c r="B113" i="61"/>
  <c r="M113" i="61" s="1"/>
  <c r="B114" i="61"/>
  <c r="M114" i="61" s="1"/>
  <c r="B117" i="61"/>
  <c r="M117" i="61" s="1"/>
  <c r="B118" i="61"/>
  <c r="M118" i="61" s="1"/>
  <c r="B120" i="61"/>
  <c r="M120" i="61"/>
  <c r="B121" i="61"/>
  <c r="M121" i="61" s="1"/>
  <c r="B122" i="61"/>
  <c r="M122" i="61" s="1"/>
  <c r="B125" i="61"/>
  <c r="M125" i="61" s="1"/>
  <c r="B126" i="61"/>
  <c r="M126" i="61" s="1"/>
  <c r="B128" i="61"/>
  <c r="M128" i="61" s="1"/>
  <c r="B129" i="61"/>
  <c r="M129" i="61" s="1"/>
  <c r="B130" i="61"/>
  <c r="M130" i="61" s="1"/>
  <c r="B133" i="61"/>
  <c r="M133" i="61" s="1"/>
  <c r="B134" i="61"/>
  <c r="M134" i="61" s="1"/>
  <c r="B136" i="61"/>
  <c r="M136" i="61" s="1"/>
  <c r="B137" i="61"/>
  <c r="M137" i="61" s="1"/>
  <c r="B138" i="61"/>
  <c r="M138" i="61" s="1"/>
  <c r="B141" i="61"/>
  <c r="M141" i="61" s="1"/>
  <c r="B142" i="61"/>
  <c r="M142" i="61" s="1"/>
  <c r="B144" i="61"/>
  <c r="M144" i="61" s="1"/>
  <c r="B145" i="61"/>
  <c r="M145" i="61" s="1"/>
  <c r="B146" i="61"/>
  <c r="M146" i="61" s="1"/>
  <c r="B149" i="61"/>
  <c r="M149" i="61" s="1"/>
  <c r="B150" i="61"/>
  <c r="M150" i="61" s="1"/>
  <c r="B152" i="61"/>
  <c r="M152" i="61" s="1"/>
  <c r="B153" i="61"/>
  <c r="M153" i="61" s="1"/>
  <c r="B154" i="61"/>
  <c r="M154" i="61"/>
  <c r="B157" i="61"/>
  <c r="M157" i="61" s="1"/>
  <c r="B158" i="61"/>
  <c r="M158" i="61" s="1"/>
  <c r="B160" i="61"/>
  <c r="M160" i="61" s="1"/>
  <c r="B161" i="61"/>
  <c r="M161" i="61"/>
  <c r="B162" i="61"/>
  <c r="M162" i="61" s="1"/>
  <c r="B165" i="61"/>
  <c r="M165" i="61" s="1"/>
  <c r="B166" i="61"/>
  <c r="M166" i="61" s="1"/>
  <c r="B167" i="61"/>
  <c r="M167" i="61" s="1"/>
  <c r="B168" i="61"/>
  <c r="M168" i="61" s="1"/>
  <c r="B169" i="61"/>
  <c r="M169" i="61" s="1"/>
  <c r="B170" i="61"/>
  <c r="M170" i="61" s="1"/>
  <c r="B172" i="61"/>
  <c r="M172" i="61" s="1"/>
  <c r="B173" i="61"/>
  <c r="M173" i="61"/>
  <c r="B174" i="61"/>
  <c r="M174" i="61" s="1"/>
  <c r="B176" i="61"/>
  <c r="M176" i="61"/>
  <c r="B177" i="61"/>
  <c r="M177" i="61" s="1"/>
  <c r="B178" i="61"/>
  <c r="M178" i="61" s="1"/>
  <c r="B181" i="61"/>
  <c r="M181" i="61" s="1"/>
  <c r="B182" i="61"/>
  <c r="M182" i="61" s="1"/>
  <c r="B184" i="61"/>
  <c r="M184" i="61" s="1"/>
  <c r="B185" i="61"/>
  <c r="M185" i="61" s="1"/>
  <c r="B186" i="61"/>
  <c r="M186" i="61" s="1"/>
  <c r="B189" i="61"/>
  <c r="M189" i="61" s="1"/>
  <c r="B190" i="61"/>
  <c r="M190" i="61" s="1"/>
  <c r="B192" i="61"/>
  <c r="M192" i="61" s="1"/>
  <c r="B193" i="61"/>
  <c r="M193" i="61" s="1"/>
  <c r="B194" i="61"/>
  <c r="M194" i="61" s="1"/>
  <c r="B197" i="61"/>
  <c r="M197" i="61" s="1"/>
  <c r="B198" i="61"/>
  <c r="M198" i="61" s="1"/>
  <c r="B200" i="61"/>
  <c r="M200" i="61" s="1"/>
  <c r="B201" i="61"/>
  <c r="M201" i="61" s="1"/>
  <c r="B202" i="61"/>
  <c r="M202" i="61" s="1"/>
  <c r="B205" i="61"/>
  <c r="M205" i="61" s="1"/>
  <c r="B206" i="61"/>
  <c r="M206" i="61" s="1"/>
  <c r="B208" i="61"/>
  <c r="M208" i="61" s="1"/>
  <c r="B209" i="61"/>
  <c r="M209" i="61"/>
  <c r="B210" i="61"/>
  <c r="M210" i="61" s="1"/>
  <c r="B213" i="61"/>
  <c r="M213" i="61" s="1"/>
  <c r="B214" i="61"/>
  <c r="M214" i="61" s="1"/>
  <c r="B216" i="61"/>
  <c r="M216" i="61" s="1"/>
  <c r="B217" i="61"/>
  <c r="M217" i="61" s="1"/>
  <c r="B223" i="60"/>
  <c r="M223" i="60" s="1"/>
  <c r="B224" i="60"/>
  <c r="M224" i="60" s="1"/>
  <c r="B226" i="60"/>
  <c r="M226" i="60" s="1"/>
  <c r="B227" i="60"/>
  <c r="M227" i="60" s="1"/>
  <c r="B228" i="60"/>
  <c r="M228" i="60" s="1"/>
  <c r="B230" i="60"/>
  <c r="M230" i="60" s="1"/>
  <c r="B231" i="60"/>
  <c r="M231" i="60" s="1"/>
  <c r="B232" i="60"/>
  <c r="M232" i="60" s="1"/>
  <c r="B234" i="60"/>
  <c r="M234" i="60"/>
  <c r="B235" i="60"/>
  <c r="M235" i="60" s="1"/>
  <c r="B236" i="60"/>
  <c r="M236" i="60" s="1"/>
  <c r="M238" i="60"/>
  <c r="B239" i="60"/>
  <c r="M239" i="60" s="1"/>
  <c r="B240" i="60"/>
  <c r="M240" i="60" s="1"/>
  <c r="B242" i="60"/>
  <c r="M242" i="60" s="1"/>
  <c r="B243" i="60"/>
  <c r="M243" i="60" s="1"/>
  <c r="B244" i="60"/>
  <c r="M244" i="60" s="1"/>
  <c r="M246" i="60"/>
  <c r="B247" i="60"/>
  <c r="M247" i="60" s="1"/>
  <c r="B248" i="60"/>
  <c r="M248" i="60" s="1"/>
  <c r="B250" i="60"/>
  <c r="M250" i="60" s="1"/>
  <c r="B251" i="60"/>
  <c r="M251" i="60" s="1"/>
  <c r="B252" i="60"/>
  <c r="M252" i="60" s="1"/>
  <c r="B254" i="60"/>
  <c r="M254" i="60" s="1"/>
  <c r="B255" i="60"/>
  <c r="M255" i="60"/>
  <c r="B256" i="60"/>
  <c r="M256" i="60" s="1"/>
  <c r="B258" i="60"/>
  <c r="M258" i="60" s="1"/>
  <c r="B259" i="60"/>
  <c r="M259" i="60" s="1"/>
  <c r="B260" i="60"/>
  <c r="M260" i="60" s="1"/>
  <c r="B262" i="60"/>
  <c r="M262" i="60" s="1"/>
  <c r="B263" i="60"/>
  <c r="M263" i="60" s="1"/>
  <c r="B264" i="60"/>
  <c r="M264" i="60" s="1"/>
  <c r="B266" i="60"/>
  <c r="M266" i="60" s="1"/>
  <c r="B267" i="60"/>
  <c r="M267" i="60" s="1"/>
  <c r="B268" i="60"/>
  <c r="M268" i="60" s="1"/>
  <c r="B270" i="60"/>
  <c r="M270" i="60" s="1"/>
  <c r="B271" i="60"/>
  <c r="M271" i="60"/>
  <c r="B272" i="60"/>
  <c r="M272" i="60" s="1"/>
  <c r="B274" i="60"/>
  <c r="M274" i="60"/>
  <c r="B275" i="60"/>
  <c r="M275" i="60" s="1"/>
  <c r="B276" i="60"/>
  <c r="M276" i="60" s="1"/>
  <c r="B277" i="60"/>
  <c r="M277" i="60" s="1"/>
  <c r="B278" i="60"/>
  <c r="M278" i="60" s="1"/>
  <c r="B279" i="60"/>
  <c r="M279" i="60" s="1"/>
  <c r="B280" i="60"/>
  <c r="M280" i="60" s="1"/>
  <c r="B281" i="60"/>
  <c r="M281" i="60" s="1"/>
  <c r="B282" i="60"/>
  <c r="M282" i="60" s="1"/>
  <c r="B283" i="60"/>
  <c r="M283" i="60" s="1"/>
  <c r="B284" i="60"/>
  <c r="M284" i="60" s="1"/>
  <c r="B286" i="60"/>
  <c r="M286" i="60" s="1"/>
  <c r="B287" i="60"/>
  <c r="M287" i="60"/>
  <c r="B288" i="60"/>
  <c r="M288" i="60" s="1"/>
  <c r="B290" i="60"/>
  <c r="M290" i="60" s="1"/>
  <c r="B291" i="60"/>
  <c r="M291" i="60" s="1"/>
  <c r="B292" i="60"/>
  <c r="M292" i="60" s="1"/>
  <c r="B294" i="60"/>
  <c r="M294" i="60" s="1"/>
  <c r="B295" i="60"/>
  <c r="M295" i="60" s="1"/>
  <c r="B296" i="60"/>
  <c r="M296" i="60" s="1"/>
  <c r="B298" i="60"/>
  <c r="M298" i="60" s="1"/>
  <c r="B299" i="60"/>
  <c r="M299" i="60" s="1"/>
  <c r="B300" i="60"/>
  <c r="M300" i="60" s="1"/>
  <c r="B302" i="60"/>
  <c r="M302" i="60" s="1"/>
  <c r="B303" i="60"/>
  <c r="M303" i="60"/>
  <c r="B304" i="60"/>
  <c r="M304" i="60" s="1"/>
  <c r="B306" i="60"/>
  <c r="M306" i="60"/>
  <c r="B307" i="60"/>
  <c r="M307" i="60" s="1"/>
  <c r="B308" i="60"/>
  <c r="M308" i="60" s="1"/>
  <c r="B309" i="60"/>
  <c r="M309" i="60" s="1"/>
  <c r="B310" i="60"/>
  <c r="M310" i="60" s="1"/>
  <c r="B311" i="60"/>
  <c r="M311" i="60" s="1"/>
  <c r="B312" i="60"/>
  <c r="M312" i="60" s="1"/>
  <c r="B314" i="60"/>
  <c r="M314" i="60" s="1"/>
  <c r="B315" i="60"/>
  <c r="M315" i="60"/>
  <c r="B316" i="60"/>
  <c r="M316" i="60" s="1"/>
  <c r="B318" i="60"/>
  <c r="M318" i="60" s="1"/>
  <c r="B319" i="60"/>
  <c r="M319" i="60"/>
  <c r="B320" i="60"/>
  <c r="M320" i="60" s="1"/>
  <c r="B19" i="60"/>
  <c r="M19" i="60" s="1"/>
  <c r="M21" i="60"/>
  <c r="B22" i="60"/>
  <c r="M22" i="60" s="1"/>
  <c r="B23" i="60"/>
  <c r="M23" i="60" s="1"/>
  <c r="B24" i="60"/>
  <c r="M24" i="60" s="1"/>
  <c r="B25" i="60"/>
  <c r="M25" i="60" s="1"/>
  <c r="B26" i="60"/>
  <c r="M26" i="60" s="1"/>
  <c r="B27" i="60"/>
  <c r="M27" i="60" s="1"/>
  <c r="B29" i="60"/>
  <c r="M29" i="60" s="1"/>
  <c r="B30" i="60"/>
  <c r="M30" i="60" s="1"/>
  <c r="B31" i="60"/>
  <c r="M31" i="60" s="1"/>
  <c r="B32" i="60"/>
  <c r="M32" i="60" s="1"/>
  <c r="B33" i="60"/>
  <c r="M33" i="60" s="1"/>
  <c r="B34" i="60"/>
  <c r="M34" i="60" s="1"/>
  <c r="B35" i="60"/>
  <c r="M35" i="60" s="1"/>
  <c r="B36" i="60"/>
  <c r="M36" i="60" s="1"/>
  <c r="B38" i="60"/>
  <c r="M38" i="60" s="1"/>
  <c r="B39" i="60"/>
  <c r="M39" i="60" s="1"/>
  <c r="M40" i="60"/>
  <c r="B41" i="60"/>
  <c r="M41" i="60"/>
  <c r="B42" i="60"/>
  <c r="M42" i="60" s="1"/>
  <c r="B43" i="60"/>
  <c r="M43" i="60" s="1"/>
  <c r="B44" i="60"/>
  <c r="M44" i="60" s="1"/>
  <c r="B46" i="60"/>
  <c r="M46" i="60" s="1"/>
  <c r="B47" i="60"/>
  <c r="M47" i="60" s="1"/>
  <c r="B48" i="60"/>
  <c r="M48" i="60"/>
  <c r="B49" i="60"/>
  <c r="M49" i="60" s="1"/>
  <c r="B50" i="60"/>
  <c r="M50" i="60" s="1"/>
  <c r="B51" i="60"/>
  <c r="M51" i="60" s="1"/>
  <c r="B52" i="60"/>
  <c r="M52"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c r="B68" i="60"/>
  <c r="M68" i="60" s="1"/>
  <c r="B70" i="60"/>
  <c r="M70" i="60" s="1"/>
  <c r="B71" i="60"/>
  <c r="M71" i="60" s="1"/>
  <c r="B72" i="60"/>
  <c r="M72" i="60" s="1"/>
  <c r="B73" i="60"/>
  <c r="M73" i="60" s="1"/>
  <c r="B74" i="60"/>
  <c r="M74" i="60" s="1"/>
  <c r="B75" i="60"/>
  <c r="M75" i="60" s="1"/>
  <c r="B76" i="60"/>
  <c r="M76" i="60" s="1"/>
  <c r="B78" i="60"/>
  <c r="M78" i="60" s="1"/>
  <c r="B79" i="60"/>
  <c r="M79" i="60" s="1"/>
  <c r="B80" i="60"/>
  <c r="M80" i="60" s="1"/>
  <c r="B81" i="60"/>
  <c r="M81" i="60" s="1"/>
  <c r="B82" i="60"/>
  <c r="M82" i="60" s="1"/>
  <c r="B83" i="60"/>
  <c r="M83" i="60" s="1"/>
  <c r="B84" i="60"/>
  <c r="M84" i="60" s="1"/>
  <c r="B86" i="60"/>
  <c r="M86" i="60" s="1"/>
  <c r="B87" i="60"/>
  <c r="M87" i="60" s="1"/>
  <c r="B88" i="60"/>
  <c r="M88" i="60" s="1"/>
  <c r="B89" i="60"/>
  <c r="M89" i="60" s="1"/>
  <c r="B90" i="60"/>
  <c r="M90" i="60" s="1"/>
  <c r="B91" i="60"/>
  <c r="M91" i="60" s="1"/>
  <c r="B92" i="60"/>
  <c r="M92" i="60" s="1"/>
  <c r="B94" i="60"/>
  <c r="M94" i="60" s="1"/>
  <c r="B95" i="60"/>
  <c r="M95" i="60" s="1"/>
  <c r="B96" i="60"/>
  <c r="M96" i="60" s="1"/>
  <c r="B97" i="60"/>
  <c r="M97" i="60" s="1"/>
  <c r="B98" i="60"/>
  <c r="M98" i="60" s="1"/>
  <c r="B99" i="60"/>
  <c r="M99" i="60" s="1"/>
  <c r="B100" i="60"/>
  <c r="M100" i="60" s="1"/>
  <c r="B102" i="60"/>
  <c r="M102" i="60" s="1"/>
  <c r="B103" i="60"/>
  <c r="M103" i="60" s="1"/>
  <c r="B104" i="60"/>
  <c r="M104" i="60" s="1"/>
  <c r="B105" i="60"/>
  <c r="M105" i="60" s="1"/>
  <c r="B106" i="60"/>
  <c r="M106" i="60" s="1"/>
  <c r="B107" i="60"/>
  <c r="M107" i="60" s="1"/>
  <c r="B108" i="60"/>
  <c r="M108" i="60" s="1"/>
  <c r="B110" i="60"/>
  <c r="M110" i="60" s="1"/>
  <c r="B111" i="60"/>
  <c r="M111" i="60" s="1"/>
  <c r="B112" i="60"/>
  <c r="M112" i="60" s="1"/>
  <c r="B113" i="60"/>
  <c r="M113" i="60" s="1"/>
  <c r="B114" i="60"/>
  <c r="M114" i="60" s="1"/>
  <c r="B115" i="60"/>
  <c r="M115" i="60" s="1"/>
  <c r="B116" i="60"/>
  <c r="M116" i="60" s="1"/>
  <c r="B118" i="60"/>
  <c r="M118" i="60" s="1"/>
  <c r="B119" i="60"/>
  <c r="M119" i="60" s="1"/>
  <c r="B120" i="60"/>
  <c r="M120" i="60" s="1"/>
  <c r="B121" i="60"/>
  <c r="M121" i="60" s="1"/>
  <c r="B122" i="60"/>
  <c r="M122" i="60" s="1"/>
  <c r="B123" i="60"/>
  <c r="M123" i="60" s="1"/>
  <c r="B124" i="60"/>
  <c r="M124" i="60" s="1"/>
  <c r="B126" i="60"/>
  <c r="M126" i="60" s="1"/>
  <c r="B127" i="60"/>
  <c r="M127" i="60" s="1"/>
  <c r="B128" i="60"/>
  <c r="M128" i="60" s="1"/>
  <c r="B129" i="60"/>
  <c r="M129" i="60" s="1"/>
  <c r="B130" i="60"/>
  <c r="M130" i="60" s="1"/>
  <c r="B131" i="60"/>
  <c r="M131" i="60" s="1"/>
  <c r="B132" i="60"/>
  <c r="M132" i="60" s="1"/>
  <c r="B134" i="60"/>
  <c r="M134" i="60" s="1"/>
  <c r="B135" i="60"/>
  <c r="M135" i="60" s="1"/>
  <c r="B136" i="60"/>
  <c r="M136" i="60" s="1"/>
  <c r="B137" i="60"/>
  <c r="M137" i="60" s="1"/>
  <c r="B138" i="60"/>
  <c r="M138" i="60" s="1"/>
  <c r="B139" i="60"/>
  <c r="M139" i="60" s="1"/>
  <c r="B140" i="60"/>
  <c r="M140" i="60" s="1"/>
  <c r="B142" i="60"/>
  <c r="M142" i="60" s="1"/>
  <c r="B143" i="60"/>
  <c r="M143" i="60" s="1"/>
  <c r="B144" i="60"/>
  <c r="M144" i="60"/>
  <c r="B145" i="60"/>
  <c r="M145" i="60" s="1"/>
  <c r="B146" i="60"/>
  <c r="M146" i="60" s="1"/>
  <c r="B147" i="60"/>
  <c r="M147" i="60" s="1"/>
  <c r="B148" i="60"/>
  <c r="M148" i="60" s="1"/>
  <c r="B149" i="60"/>
  <c r="M149" i="60" s="1"/>
  <c r="B150" i="60"/>
  <c r="M150" i="60" s="1"/>
  <c r="B151" i="60"/>
  <c r="M151" i="60"/>
  <c r="B152" i="60"/>
  <c r="M152" i="60" s="1"/>
  <c r="B153" i="60"/>
  <c r="M153" i="60"/>
  <c r="B154" i="60"/>
  <c r="M154" i="60" s="1"/>
  <c r="B155" i="60"/>
  <c r="M155" i="60" s="1"/>
  <c r="B156" i="60"/>
  <c r="M156" i="60" s="1"/>
  <c r="B158" i="60"/>
  <c r="M158" i="60" s="1"/>
  <c r="B159" i="60"/>
  <c r="M159" i="60" s="1"/>
  <c r="B160" i="60"/>
  <c r="M160" i="60" s="1"/>
  <c r="B161" i="60"/>
  <c r="M161" i="60" s="1"/>
  <c r="B162" i="60"/>
  <c r="M162" i="60" s="1"/>
  <c r="B163" i="60"/>
  <c r="M163" i="60" s="1"/>
  <c r="B164" i="60"/>
  <c r="M164" i="60" s="1"/>
  <c r="B166" i="60"/>
  <c r="M166" i="60" s="1"/>
  <c r="B167" i="60"/>
  <c r="M167" i="60"/>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2" i="60"/>
  <c r="M182" i="60" s="1"/>
  <c r="B183" i="60"/>
  <c r="M183" i="60" s="1"/>
  <c r="B184" i="60"/>
  <c r="M184" i="60" s="1"/>
  <c r="B185" i="60"/>
  <c r="M185" i="60" s="1"/>
  <c r="B186" i="60"/>
  <c r="M186" i="60" s="1"/>
  <c r="B187" i="60"/>
  <c r="M187" i="60" s="1"/>
  <c r="B188" i="60"/>
  <c r="M188" i="60" s="1"/>
  <c r="B190" i="60"/>
  <c r="M190" i="60" s="1"/>
  <c r="B191" i="60"/>
  <c r="M191" i="60" s="1"/>
  <c r="B192" i="60"/>
  <c r="M192" i="60"/>
  <c r="B193" i="60"/>
  <c r="M193" i="60" s="1"/>
  <c r="B194" i="60"/>
  <c r="M194" i="60" s="1"/>
  <c r="B195" i="60"/>
  <c r="M195" i="60" s="1"/>
  <c r="B196" i="60"/>
  <c r="M196"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4" i="60"/>
  <c r="M214" i="60" s="1"/>
  <c r="B215" i="60"/>
  <c r="M215" i="60" s="1"/>
  <c r="B216" i="60"/>
  <c r="M216" i="60" s="1"/>
  <c r="B217" i="60"/>
  <c r="M217" i="60" s="1"/>
  <c r="B224" i="59"/>
  <c r="M224" i="59" s="1"/>
  <c r="B225" i="59"/>
  <c r="M225" i="59" s="1"/>
  <c r="B226" i="59"/>
  <c r="M226" i="59" s="1"/>
  <c r="B227" i="59"/>
  <c r="M227" i="59" s="1"/>
  <c r="B228" i="59"/>
  <c r="M228" i="59" s="1"/>
  <c r="B229" i="59"/>
  <c r="M229" i="59" s="1"/>
  <c r="B231" i="59"/>
  <c r="M231" i="59" s="1"/>
  <c r="B233" i="59"/>
  <c r="M233" i="59" s="1"/>
  <c r="B234" i="59"/>
  <c r="M234" i="59" s="1"/>
  <c r="B235" i="59"/>
  <c r="M235" i="59" s="1"/>
  <c r="B236" i="59"/>
  <c r="M236" i="59" s="1"/>
  <c r="B237" i="59"/>
  <c r="M237" i="59" s="1"/>
  <c r="B239" i="59"/>
  <c r="M239" i="59" s="1"/>
  <c r="B240" i="59"/>
  <c r="M240" i="59" s="1"/>
  <c r="B241" i="59"/>
  <c r="M241" i="59" s="1"/>
  <c r="B242" i="59"/>
  <c r="M242" i="59" s="1"/>
  <c r="B243" i="59"/>
  <c r="M243" i="59" s="1"/>
  <c r="B244" i="59"/>
  <c r="M244" i="59" s="1"/>
  <c r="B245" i="59"/>
  <c r="M245" i="59" s="1"/>
  <c r="B247" i="59"/>
  <c r="M247" i="59" s="1"/>
  <c r="B248" i="59"/>
  <c r="M248" i="59" s="1"/>
  <c r="B249" i="59"/>
  <c r="M249" i="59" s="1"/>
  <c r="B250" i="59"/>
  <c r="M250" i="59" s="1"/>
  <c r="B251" i="59"/>
  <c r="M251" i="59" s="1"/>
  <c r="B252" i="59"/>
  <c r="M252" i="59" s="1"/>
  <c r="B253" i="59"/>
  <c r="M253" i="59" s="1"/>
  <c r="B255" i="59"/>
  <c r="M255" i="59" s="1"/>
  <c r="B256" i="59"/>
  <c r="M256" i="59" s="1"/>
  <c r="B257" i="59"/>
  <c r="M257" i="59" s="1"/>
  <c r="B258" i="59"/>
  <c r="M258" i="59" s="1"/>
  <c r="B259" i="59"/>
  <c r="M259" i="59" s="1"/>
  <c r="B260" i="59"/>
  <c r="M260" i="59" s="1"/>
  <c r="B261" i="59"/>
  <c r="M261" i="59" s="1"/>
  <c r="B262" i="59"/>
  <c r="M262" i="59" s="1"/>
  <c r="B263" i="59"/>
  <c r="M263" i="59" s="1"/>
  <c r="B264" i="59"/>
  <c r="M264" i="59" s="1"/>
  <c r="B265" i="59"/>
  <c r="M265" i="59" s="1"/>
  <c r="B266" i="59"/>
  <c r="M266" i="59" s="1"/>
  <c r="B267" i="59"/>
  <c r="M267" i="59" s="1"/>
  <c r="B268" i="59"/>
  <c r="M268" i="59" s="1"/>
  <c r="B269" i="59"/>
  <c r="M269" i="59" s="1"/>
  <c r="B270" i="59"/>
  <c r="M270" i="59" s="1"/>
  <c r="B271" i="59"/>
  <c r="M271" i="59" s="1"/>
  <c r="B272" i="59"/>
  <c r="M272" i="59" s="1"/>
  <c r="B273" i="59"/>
  <c r="M273" i="59" s="1"/>
  <c r="B274" i="59"/>
  <c r="M274" i="59" s="1"/>
  <c r="B275" i="59"/>
  <c r="M275" i="59" s="1"/>
  <c r="B276" i="59"/>
  <c r="M276" i="59" s="1"/>
  <c r="B277" i="59"/>
  <c r="M277" i="59" s="1"/>
  <c r="B279" i="59"/>
  <c r="M279" i="59" s="1"/>
  <c r="B280" i="59"/>
  <c r="M280" i="59" s="1"/>
  <c r="B281" i="59"/>
  <c r="M281" i="59" s="1"/>
  <c r="B282" i="59"/>
  <c r="M282" i="59" s="1"/>
  <c r="B283" i="59"/>
  <c r="M283" i="59" s="1"/>
  <c r="B284" i="59"/>
  <c r="M284" i="59" s="1"/>
  <c r="B285" i="59"/>
  <c r="M285" i="59" s="1"/>
  <c r="B287" i="59"/>
  <c r="M287" i="59" s="1"/>
  <c r="B288" i="59"/>
  <c r="M288" i="59" s="1"/>
  <c r="B289" i="59"/>
  <c r="M289" i="59" s="1"/>
  <c r="B290" i="59"/>
  <c r="M290" i="59" s="1"/>
  <c r="B291" i="59"/>
  <c r="M291" i="59" s="1"/>
  <c r="B292" i="59"/>
  <c r="M292" i="59" s="1"/>
  <c r="B293" i="59"/>
  <c r="M293" i="59" s="1"/>
  <c r="B295" i="59"/>
  <c r="M295" i="59" s="1"/>
  <c r="B296" i="59"/>
  <c r="M296" i="59" s="1"/>
  <c r="B297" i="59"/>
  <c r="M297" i="59" s="1"/>
  <c r="B298" i="59"/>
  <c r="M298" i="59" s="1"/>
  <c r="B299" i="59"/>
  <c r="M299" i="59" s="1"/>
  <c r="B300" i="59"/>
  <c r="M300" i="59" s="1"/>
  <c r="B301" i="59"/>
  <c r="M301" i="59" s="1"/>
  <c r="B303" i="59"/>
  <c r="M303" i="59" s="1"/>
  <c r="B304" i="59"/>
  <c r="M304" i="59" s="1"/>
  <c r="B305" i="59"/>
  <c r="M305" i="59" s="1"/>
  <c r="B306" i="59"/>
  <c r="M306" i="59" s="1"/>
  <c r="B307" i="59"/>
  <c r="M307" i="59" s="1"/>
  <c r="B308" i="59"/>
  <c r="M308" i="59" s="1"/>
  <c r="B309" i="59"/>
  <c r="M309" i="59" s="1"/>
  <c r="B311" i="59"/>
  <c r="M311" i="59" s="1"/>
  <c r="B312" i="59"/>
  <c r="M312" i="59" s="1"/>
  <c r="B313" i="59"/>
  <c r="M313" i="59" s="1"/>
  <c r="B314" i="59"/>
  <c r="M314" i="59" s="1"/>
  <c r="B315" i="59"/>
  <c r="M315" i="59" s="1"/>
  <c r="B316" i="59"/>
  <c r="M316" i="59" s="1"/>
  <c r="B317" i="59"/>
  <c r="M317" i="59" s="1"/>
  <c r="B319" i="59"/>
  <c r="M319" i="59" s="1"/>
  <c r="B320" i="59"/>
  <c r="M320" i="59" s="1"/>
  <c r="B321" i="59"/>
  <c r="M321" i="59" s="1"/>
  <c r="B322" i="59"/>
  <c r="M322" i="59" s="1"/>
  <c r="B216" i="55"/>
  <c r="M216" i="55" s="1"/>
  <c r="B217" i="55"/>
  <c r="M217" i="55" s="1"/>
  <c r="B219" i="55"/>
  <c r="M219" i="55" s="1"/>
  <c r="B220" i="55"/>
  <c r="M220" i="55" s="1"/>
  <c r="B221" i="55"/>
  <c r="M221" i="55" s="1"/>
  <c r="B222" i="55"/>
  <c r="M222" i="55" s="1"/>
  <c r="B223" i="55"/>
  <c r="M223" i="55" s="1"/>
  <c r="B224" i="55"/>
  <c r="M224" i="55" s="1"/>
  <c r="B225" i="55"/>
  <c r="M225" i="55" s="1"/>
  <c r="B227" i="55"/>
  <c r="M227" i="55" s="1"/>
  <c r="B228" i="55"/>
  <c r="M228" i="55" s="1"/>
  <c r="B229" i="55"/>
  <c r="M229" i="55" s="1"/>
  <c r="B230" i="55"/>
  <c r="M230" i="55" s="1"/>
  <c r="B231" i="55"/>
  <c r="M231" i="55" s="1"/>
  <c r="B232" i="55"/>
  <c r="M232" i="55" s="1"/>
  <c r="B233" i="55"/>
  <c r="M233" i="55" s="1"/>
  <c r="B235" i="55"/>
  <c r="M235" i="55" s="1"/>
  <c r="B236" i="55"/>
  <c r="M236" i="55" s="1"/>
  <c r="B237" i="55"/>
  <c r="M237" i="55" s="1"/>
  <c r="B238" i="55"/>
  <c r="M238" i="55" s="1"/>
  <c r="B239" i="55"/>
  <c r="M239" i="55" s="1"/>
  <c r="B240" i="55"/>
  <c r="M240" i="55" s="1"/>
  <c r="B241" i="55"/>
  <c r="M241" i="55" s="1"/>
  <c r="B243" i="55"/>
  <c r="M243" i="55" s="1"/>
  <c r="B244" i="55"/>
  <c r="M244" i="55" s="1"/>
  <c r="B245" i="55"/>
  <c r="M245" i="55" s="1"/>
  <c r="B246" i="55"/>
  <c r="M246" i="55" s="1"/>
  <c r="B247" i="55"/>
  <c r="M247" i="55" s="1"/>
  <c r="B248" i="55"/>
  <c r="M248" i="55" s="1"/>
  <c r="B249" i="55"/>
  <c r="M249" i="55" s="1"/>
  <c r="B251" i="55"/>
  <c r="M251" i="55" s="1"/>
  <c r="B252" i="55"/>
  <c r="M252" i="55" s="1"/>
  <c r="B253" i="55"/>
  <c r="M253" i="55" s="1"/>
  <c r="B254" i="55"/>
  <c r="M254" i="55" s="1"/>
  <c r="B255" i="55"/>
  <c r="M255" i="55" s="1"/>
  <c r="B256" i="55"/>
  <c r="M256" i="55" s="1"/>
  <c r="B257" i="55"/>
  <c r="M257" i="55" s="1"/>
  <c r="B259" i="55"/>
  <c r="M259" i="55" s="1"/>
  <c r="B260" i="55"/>
  <c r="M260" i="55" s="1"/>
  <c r="B261" i="55"/>
  <c r="M261" i="55" s="1"/>
  <c r="B262" i="55"/>
  <c r="M262" i="55" s="1"/>
  <c r="B263" i="55"/>
  <c r="M263" i="55" s="1"/>
  <c r="B264" i="55"/>
  <c r="M264" i="55" s="1"/>
  <c r="B265" i="55"/>
  <c r="M265" i="55" s="1"/>
  <c r="B267" i="55"/>
  <c r="M267" i="55" s="1"/>
  <c r="B268" i="55"/>
  <c r="M268" i="55" s="1"/>
  <c r="B269" i="55"/>
  <c r="M269" i="55" s="1"/>
  <c r="B270" i="55"/>
  <c r="M270" i="55" s="1"/>
  <c r="B271" i="55"/>
  <c r="M271" i="55" s="1"/>
  <c r="B272" i="55"/>
  <c r="M272" i="55" s="1"/>
  <c r="B273" i="55"/>
  <c r="M273" i="55" s="1"/>
  <c r="B275" i="55"/>
  <c r="M275" i="55" s="1"/>
  <c r="B276" i="55"/>
  <c r="M276" i="55" s="1"/>
  <c r="B277" i="55"/>
  <c r="M277" i="55" s="1"/>
  <c r="B278" i="55"/>
  <c r="M278" i="55" s="1"/>
  <c r="B279" i="55"/>
  <c r="M279" i="55" s="1"/>
  <c r="B280" i="55"/>
  <c r="M280" i="55" s="1"/>
  <c r="B281" i="55"/>
  <c r="M281" i="55" s="1"/>
  <c r="B283" i="55"/>
  <c r="M283" i="55" s="1"/>
  <c r="B284" i="55"/>
  <c r="M284" i="55" s="1"/>
  <c r="B285" i="55"/>
  <c r="M285" i="55" s="1"/>
  <c r="B286" i="55"/>
  <c r="M286" i="55" s="1"/>
  <c r="B287" i="55"/>
  <c r="M287" i="55" s="1"/>
  <c r="B288" i="55"/>
  <c r="M288" i="55" s="1"/>
  <c r="B289" i="55"/>
  <c r="M289" i="55" s="1"/>
  <c r="B291" i="55"/>
  <c r="M291" i="55" s="1"/>
  <c r="B292" i="55"/>
  <c r="M292" i="55" s="1"/>
  <c r="B293" i="55"/>
  <c r="M293" i="55" s="1"/>
  <c r="B294" i="55"/>
  <c r="M294" i="55" s="1"/>
  <c r="B295" i="55"/>
  <c r="M295" i="55" s="1"/>
  <c r="B296" i="55"/>
  <c r="M296" i="55" s="1"/>
  <c r="B297" i="55"/>
  <c r="M297" i="55" s="1"/>
  <c r="B299" i="55"/>
  <c r="M299" i="55" s="1"/>
  <c r="B300" i="55"/>
  <c r="M300" i="55" s="1"/>
  <c r="B301" i="55"/>
  <c r="M301" i="55" s="1"/>
  <c r="B302" i="55"/>
  <c r="M302" i="55" s="1"/>
  <c r="B303" i="55"/>
  <c r="M303" i="55" s="1"/>
  <c r="B304" i="55"/>
  <c r="M304" i="55" s="1"/>
  <c r="B305" i="55"/>
  <c r="M305" i="55" s="1"/>
  <c r="B307" i="55"/>
  <c r="M307" i="55" s="1"/>
  <c r="B308" i="55"/>
  <c r="M308" i="55" s="1"/>
  <c r="B309" i="55"/>
  <c r="M309" i="55" s="1"/>
  <c r="B310" i="55"/>
  <c r="M310" i="55" s="1"/>
  <c r="B311" i="55"/>
  <c r="M311" i="55" s="1"/>
  <c r="B312" i="55"/>
  <c r="M312" i="55" s="1"/>
  <c r="B313" i="55"/>
  <c r="M313" i="55" s="1"/>
  <c r="B19" i="55"/>
  <c r="M19" i="55" s="1"/>
  <c r="B20" i="55"/>
  <c r="M20" i="55" s="1"/>
  <c r="B21" i="55"/>
  <c r="M21" i="55" s="1"/>
  <c r="B51" i="55"/>
  <c r="M51" i="55" s="1"/>
  <c r="B52" i="55"/>
  <c r="M52" i="55" s="1"/>
  <c r="B53" i="55"/>
  <c r="M53" i="55" s="1"/>
  <c r="B55" i="55"/>
  <c r="M55" i="55" s="1"/>
  <c r="B56" i="55"/>
  <c r="M56" i="55" s="1"/>
  <c r="B57" i="55"/>
  <c r="M57" i="55" s="1"/>
  <c r="B58" i="55"/>
  <c r="M58" i="55" s="1"/>
  <c r="B59" i="55"/>
  <c r="M59" i="55" s="1"/>
  <c r="B60" i="55"/>
  <c r="M60" i="55" s="1"/>
  <c r="B61" i="55"/>
  <c r="M61" i="55" s="1"/>
  <c r="B63" i="55"/>
  <c r="M63" i="55" s="1"/>
  <c r="B64" i="55"/>
  <c r="M64" i="55" s="1"/>
  <c r="B65" i="55"/>
  <c r="M65" i="55" s="1"/>
  <c r="B66" i="55"/>
  <c r="M66" i="55" s="1"/>
  <c r="B67" i="55"/>
  <c r="M67" i="55" s="1"/>
  <c r="B68" i="55"/>
  <c r="M68" i="55" s="1"/>
  <c r="B69" i="55"/>
  <c r="M69" i="55" s="1"/>
  <c r="B71" i="55"/>
  <c r="M71" i="55" s="1"/>
  <c r="B72" i="55"/>
  <c r="M72" i="55" s="1"/>
  <c r="B73" i="55"/>
  <c r="M73" i="55" s="1"/>
  <c r="B74" i="55"/>
  <c r="M74" i="55" s="1"/>
  <c r="B75" i="55"/>
  <c r="M75" i="55" s="1"/>
  <c r="B76" i="55"/>
  <c r="M76" i="55" s="1"/>
  <c r="B77" i="55"/>
  <c r="M77" i="55" s="1"/>
  <c r="B79" i="55"/>
  <c r="M79" i="55" s="1"/>
  <c r="B80" i="55"/>
  <c r="M80" i="55" s="1"/>
  <c r="B81" i="55"/>
  <c r="M81" i="55" s="1"/>
  <c r="B82" i="55"/>
  <c r="M82" i="55" s="1"/>
  <c r="B83" i="55"/>
  <c r="M83" i="55" s="1"/>
  <c r="B84" i="55"/>
  <c r="M84" i="55" s="1"/>
  <c r="B85" i="55"/>
  <c r="M85" i="55" s="1"/>
  <c r="B87" i="55"/>
  <c r="M87" i="55" s="1"/>
  <c r="B88" i="55"/>
  <c r="M88" i="55" s="1"/>
  <c r="B89" i="55"/>
  <c r="M89" i="55" s="1"/>
  <c r="B90" i="55"/>
  <c r="M90" i="55" s="1"/>
  <c r="B91" i="55"/>
  <c r="M91" i="55" s="1"/>
  <c r="B92" i="55"/>
  <c r="M92" i="55" s="1"/>
  <c r="B93" i="55"/>
  <c r="M93" i="55" s="1"/>
  <c r="B95" i="55"/>
  <c r="M95" i="55" s="1"/>
  <c r="B96" i="55"/>
  <c r="M96" i="55" s="1"/>
  <c r="B97" i="55"/>
  <c r="M97" i="55" s="1"/>
  <c r="B98" i="55"/>
  <c r="M98" i="55" s="1"/>
  <c r="B99" i="55"/>
  <c r="M99" i="55" s="1"/>
  <c r="B100" i="55"/>
  <c r="M100" i="55" s="1"/>
  <c r="B101" i="55"/>
  <c r="M101" i="55" s="1"/>
  <c r="B103" i="55"/>
  <c r="M103" i="55" s="1"/>
  <c r="B104" i="55"/>
  <c r="M104" i="55" s="1"/>
  <c r="B105" i="55"/>
  <c r="M105" i="55" s="1"/>
  <c r="B106" i="55"/>
  <c r="M106" i="55" s="1"/>
  <c r="B107" i="55"/>
  <c r="M107" i="55" s="1"/>
  <c r="B108" i="55"/>
  <c r="M108" i="55" s="1"/>
  <c r="B109" i="55"/>
  <c r="M109" i="55" s="1"/>
  <c r="B111" i="55"/>
  <c r="M111" i="55" s="1"/>
  <c r="B112" i="55"/>
  <c r="M112" i="55" s="1"/>
  <c r="B113" i="55"/>
  <c r="M113" i="55" s="1"/>
  <c r="B114" i="55"/>
  <c r="M114" i="55" s="1"/>
  <c r="B115" i="55"/>
  <c r="M115" i="55" s="1"/>
  <c r="B116" i="55"/>
  <c r="M116" i="55" s="1"/>
  <c r="B117" i="55"/>
  <c r="M117" i="55" s="1"/>
  <c r="B119" i="55"/>
  <c r="M119" i="55" s="1"/>
  <c r="B120" i="55"/>
  <c r="M120" i="55" s="1"/>
  <c r="B121" i="55"/>
  <c r="M121" i="55" s="1"/>
  <c r="B122" i="55"/>
  <c r="M122" i="55" s="1"/>
  <c r="B123" i="55"/>
  <c r="M123" i="55" s="1"/>
  <c r="B124" i="55"/>
  <c r="M124" i="55" s="1"/>
  <c r="B125" i="55"/>
  <c r="M125" i="55" s="1"/>
  <c r="B127" i="55"/>
  <c r="M127" i="55" s="1"/>
  <c r="B128" i="55"/>
  <c r="M128" i="55" s="1"/>
  <c r="B129" i="55"/>
  <c r="M129" i="55" s="1"/>
  <c r="B130" i="55"/>
  <c r="M130" i="55" s="1"/>
  <c r="B131" i="55"/>
  <c r="M131" i="55" s="1"/>
  <c r="B132" i="55"/>
  <c r="M132" i="55" s="1"/>
  <c r="B133" i="55"/>
  <c r="M133" i="55" s="1"/>
  <c r="B135" i="55"/>
  <c r="M135" i="55" s="1"/>
  <c r="B136" i="55"/>
  <c r="M136" i="55" s="1"/>
  <c r="B137" i="55"/>
  <c r="M137" i="55" s="1"/>
  <c r="B138" i="55"/>
  <c r="M138" i="55" s="1"/>
  <c r="B139" i="55"/>
  <c r="M139" i="55" s="1"/>
  <c r="B140" i="55"/>
  <c r="M140" i="55" s="1"/>
  <c r="B141" i="55"/>
  <c r="M141" i="55" s="1"/>
  <c r="B143" i="55"/>
  <c r="M143" i="55" s="1"/>
  <c r="B144" i="55"/>
  <c r="M144" i="55" s="1"/>
  <c r="B145" i="55"/>
  <c r="M145" i="55" s="1"/>
  <c r="B146" i="55"/>
  <c r="M146" i="55" s="1"/>
  <c r="B147" i="55"/>
  <c r="M147" i="55" s="1"/>
  <c r="B148" i="55"/>
  <c r="M148" i="55" s="1"/>
  <c r="B149" i="55"/>
  <c r="M149" i="55" s="1"/>
  <c r="B151" i="55"/>
  <c r="M151" i="55" s="1"/>
  <c r="B152" i="55"/>
  <c r="M152" i="55" s="1"/>
  <c r="B153" i="55"/>
  <c r="M153" i="55" s="1"/>
  <c r="B154" i="55"/>
  <c r="M154" i="55" s="1"/>
  <c r="B155" i="55"/>
  <c r="M155" i="55" s="1"/>
  <c r="B156" i="55"/>
  <c r="M156" i="55" s="1"/>
  <c r="B157" i="55"/>
  <c r="M157" i="55" s="1"/>
  <c r="B159" i="55"/>
  <c r="M159" i="55" s="1"/>
  <c r="B160" i="55"/>
  <c r="M160" i="55" s="1"/>
  <c r="B161" i="55"/>
  <c r="M161" i="55" s="1"/>
  <c r="B162" i="55"/>
  <c r="M162" i="55" s="1"/>
  <c r="B163" i="55"/>
  <c r="M163" i="55" s="1"/>
  <c r="B164" i="55"/>
  <c r="M164" i="55" s="1"/>
  <c r="B165" i="55"/>
  <c r="M165" i="55" s="1"/>
  <c r="B167" i="55"/>
  <c r="M167" i="55" s="1"/>
  <c r="B168" i="55"/>
  <c r="M168" i="55" s="1"/>
  <c r="B169" i="55"/>
  <c r="M169" i="55" s="1"/>
  <c r="B170" i="55"/>
  <c r="M170" i="55" s="1"/>
  <c r="B171" i="55"/>
  <c r="M171" i="55" s="1"/>
  <c r="B172" i="55"/>
  <c r="M172" i="55" s="1"/>
  <c r="B173" i="55"/>
  <c r="M173" i="55" s="1"/>
  <c r="B175" i="55"/>
  <c r="M175" i="55" s="1"/>
  <c r="B176" i="55"/>
  <c r="M176" i="55" s="1"/>
  <c r="B177" i="55"/>
  <c r="M177" i="55" s="1"/>
  <c r="B178" i="55"/>
  <c r="M178" i="55" s="1"/>
  <c r="B179" i="55"/>
  <c r="M179" i="55" s="1"/>
  <c r="B180" i="55"/>
  <c r="M180" i="55" s="1"/>
  <c r="B181" i="55"/>
  <c r="M181" i="55" s="1"/>
  <c r="B183" i="55"/>
  <c r="M183" i="55" s="1"/>
  <c r="B184" i="55"/>
  <c r="M184" i="55" s="1"/>
  <c r="B185" i="55"/>
  <c r="M185" i="55" s="1"/>
  <c r="B186" i="55"/>
  <c r="M186" i="55" s="1"/>
  <c r="B187" i="55"/>
  <c r="M187" i="55" s="1"/>
  <c r="B188" i="55"/>
  <c r="M188" i="55" s="1"/>
  <c r="B189" i="55"/>
  <c r="M189" i="55" s="1"/>
  <c r="B191" i="55"/>
  <c r="M191" i="55" s="1"/>
  <c r="B192" i="55"/>
  <c r="M192" i="55" s="1"/>
  <c r="B193" i="55"/>
  <c r="M193" i="55" s="1"/>
  <c r="B194" i="55"/>
  <c r="M194" i="55" s="1"/>
  <c r="B195" i="55"/>
  <c r="M195" i="55" s="1"/>
  <c r="B196" i="55"/>
  <c r="M196" i="55" s="1"/>
  <c r="B197" i="55"/>
  <c r="M197" i="55" s="1"/>
  <c r="B199" i="55"/>
  <c r="M199" i="55" s="1"/>
  <c r="B200" i="55"/>
  <c r="M200" i="55" s="1"/>
  <c r="B201" i="55"/>
  <c r="M201" i="55" s="1"/>
  <c r="B202" i="55"/>
  <c r="M202" i="55" s="1"/>
  <c r="B203" i="55"/>
  <c r="M203" i="55" s="1"/>
  <c r="B204" i="55"/>
  <c r="M204" i="55" s="1"/>
  <c r="B205" i="55"/>
  <c r="M205" i="55" s="1"/>
  <c r="B207" i="55"/>
  <c r="M207" i="55" s="1"/>
  <c r="B208" i="55"/>
  <c r="M208" i="55" s="1"/>
  <c r="B209" i="55"/>
  <c r="M209" i="55" s="1"/>
  <c r="B210" i="55"/>
  <c r="M210" i="55" s="1"/>
  <c r="E18" i="62"/>
  <c r="F18" i="62"/>
  <c r="I18" i="62" s="1"/>
  <c r="G18" i="62"/>
  <c r="J18" i="62" s="1"/>
  <c r="E28" i="62"/>
  <c r="F28" i="62"/>
  <c r="G28" i="62"/>
  <c r="J28" i="62" s="1"/>
  <c r="E38" i="62"/>
  <c r="F38" i="62"/>
  <c r="I38" i="62" s="1"/>
  <c r="K38" i="62" s="1"/>
  <c r="G38" i="62"/>
  <c r="J38" i="62"/>
  <c r="E48" i="62"/>
  <c r="F48" i="62"/>
  <c r="I48" i="62" s="1"/>
  <c r="G48" i="62"/>
  <c r="J48" i="62" s="1"/>
  <c r="E58" i="62"/>
  <c r="F58" i="62"/>
  <c r="I58" i="62" s="1"/>
  <c r="K58" i="62" s="1"/>
  <c r="G58" i="62"/>
  <c r="J58" i="62"/>
  <c r="E68" i="62"/>
  <c r="F68" i="62"/>
  <c r="G68" i="62"/>
  <c r="J68" i="62"/>
  <c r="E78" i="62"/>
  <c r="F78" i="62"/>
  <c r="G78" i="62"/>
  <c r="J78" i="62"/>
  <c r="E88" i="62"/>
  <c r="F88" i="62"/>
  <c r="I88" i="62" s="1"/>
  <c r="G88" i="62"/>
  <c r="J88" i="62" s="1"/>
  <c r="E98" i="62"/>
  <c r="F98" i="62"/>
  <c r="I98" i="62" s="1"/>
  <c r="G98" i="62"/>
  <c r="J98" i="62"/>
  <c r="E108" i="62"/>
  <c r="F108" i="62"/>
  <c r="I108" i="62" s="1"/>
  <c r="G108" i="62"/>
  <c r="J108" i="62" s="1"/>
  <c r="E118" i="62"/>
  <c r="F118" i="62"/>
  <c r="I118" i="62" s="1"/>
  <c r="G118" i="62"/>
  <c r="J118" i="62"/>
  <c r="E128" i="62"/>
  <c r="F128" i="62"/>
  <c r="I128" i="62" s="1"/>
  <c r="G128" i="62"/>
  <c r="J128" i="62" s="1"/>
  <c r="E138" i="62"/>
  <c r="F138" i="62"/>
  <c r="I138" i="62" s="1"/>
  <c r="K138" i="62" s="1"/>
  <c r="G138" i="62"/>
  <c r="J138" i="62"/>
  <c r="E148" i="62"/>
  <c r="F148" i="62"/>
  <c r="G148" i="62"/>
  <c r="J148" i="62"/>
  <c r="E158" i="62"/>
  <c r="F158" i="62"/>
  <c r="G158" i="62"/>
  <c r="J158" i="62"/>
  <c r="E168" i="62"/>
  <c r="F168" i="62"/>
  <c r="I168" i="62" s="1"/>
  <c r="G168" i="62"/>
  <c r="J168" i="62" s="1"/>
  <c r="E178" i="62"/>
  <c r="F178" i="62"/>
  <c r="I178" i="62" s="1"/>
  <c r="G178" i="62"/>
  <c r="J178" i="62"/>
  <c r="E188" i="62"/>
  <c r="F188" i="62"/>
  <c r="G188" i="62"/>
  <c r="J188" i="62" s="1"/>
  <c r="E198" i="62"/>
  <c r="F198" i="62"/>
  <c r="G198" i="62"/>
  <c r="J198" i="62" s="1"/>
  <c r="E208" i="62"/>
  <c r="F208" i="62"/>
  <c r="I208" i="62" s="1"/>
  <c r="G208" i="62"/>
  <c r="J208" i="62" s="1"/>
  <c r="K359" i="62"/>
  <c r="L359" i="62" s="1"/>
  <c r="E222" i="62"/>
  <c r="F222" i="62"/>
  <c r="I222" i="62"/>
  <c r="G222" i="62"/>
  <c r="J222" i="62" s="1"/>
  <c r="E232" i="62"/>
  <c r="F232" i="62"/>
  <c r="I232" i="62" s="1"/>
  <c r="G232" i="62"/>
  <c r="J232" i="62" s="1"/>
  <c r="K232" i="62" s="1"/>
  <c r="E242" i="62"/>
  <c r="F242" i="62"/>
  <c r="I242" i="62"/>
  <c r="G242" i="62"/>
  <c r="E252" i="62"/>
  <c r="F252" i="62"/>
  <c r="I252" i="62" s="1"/>
  <c r="G252" i="62"/>
  <c r="H252" i="62" s="1"/>
  <c r="E262" i="62"/>
  <c r="F262" i="62"/>
  <c r="I262" i="62"/>
  <c r="G262" i="62"/>
  <c r="J262" i="62" s="1"/>
  <c r="K262" i="62" s="1"/>
  <c r="E272" i="62"/>
  <c r="F272" i="62"/>
  <c r="I272" i="62" s="1"/>
  <c r="G272" i="62"/>
  <c r="J272" i="62" s="1"/>
  <c r="E282" i="62"/>
  <c r="F282" i="62"/>
  <c r="I282" i="62"/>
  <c r="G282" i="62"/>
  <c r="J282" i="62" s="1"/>
  <c r="K282" i="62" s="1"/>
  <c r="E292" i="62"/>
  <c r="F292" i="62"/>
  <c r="G292" i="62"/>
  <c r="J292" i="62" s="1"/>
  <c r="K292" i="62" s="1"/>
  <c r="E302" i="62"/>
  <c r="F302" i="62"/>
  <c r="I302" i="62" s="1"/>
  <c r="G302" i="62"/>
  <c r="J302" i="62" s="1"/>
  <c r="K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E18" i="61"/>
  <c r="F18" i="61"/>
  <c r="I18" i="61" s="1"/>
  <c r="G18" i="61"/>
  <c r="J18" i="61" s="1"/>
  <c r="K18" i="61" s="1"/>
  <c r="E28" i="61"/>
  <c r="F28" i="61"/>
  <c r="I28" i="61" s="1"/>
  <c r="G28" i="61"/>
  <c r="J28" i="61" s="1"/>
  <c r="K28" i="61" s="1"/>
  <c r="E38" i="61"/>
  <c r="F38" i="61"/>
  <c r="I38" i="61" s="1"/>
  <c r="G38" i="61"/>
  <c r="J38" i="61" s="1"/>
  <c r="K38" i="61" s="1"/>
  <c r="E48" i="61"/>
  <c r="F48" i="61"/>
  <c r="I48" i="61"/>
  <c r="G48" i="61"/>
  <c r="J48" i="61" s="1"/>
  <c r="K48" i="61" s="1"/>
  <c r="E58" i="61"/>
  <c r="F58" i="61"/>
  <c r="I58" i="61" s="1"/>
  <c r="G58" i="61"/>
  <c r="J58" i="61" s="1"/>
  <c r="K58" i="61" s="1"/>
  <c r="E68" i="61"/>
  <c r="F68" i="61"/>
  <c r="G68" i="61"/>
  <c r="J68" i="61" s="1"/>
  <c r="E78" i="61"/>
  <c r="F78" i="61"/>
  <c r="I78" i="61"/>
  <c r="G78" i="61"/>
  <c r="J78" i="61"/>
  <c r="K78" i="61" s="1"/>
  <c r="E88" i="61"/>
  <c r="F88" i="61"/>
  <c r="I88" i="61" s="1"/>
  <c r="G88" i="61"/>
  <c r="J88" i="61" s="1"/>
  <c r="E98" i="61"/>
  <c r="F98" i="61"/>
  <c r="I98" i="61"/>
  <c r="G98" i="61"/>
  <c r="J98" i="61"/>
  <c r="E108" i="61"/>
  <c r="F108" i="61"/>
  <c r="I108" i="61" s="1"/>
  <c r="G108" i="61"/>
  <c r="J108" i="61" s="1"/>
  <c r="E118" i="61"/>
  <c r="F118" i="61"/>
  <c r="G118" i="61"/>
  <c r="J118" i="61" s="1"/>
  <c r="E128" i="61"/>
  <c r="F128" i="61"/>
  <c r="I128" i="61" s="1"/>
  <c r="K128" i="61" s="1"/>
  <c r="G128" i="61"/>
  <c r="J128" i="61"/>
  <c r="E138" i="61"/>
  <c r="F138" i="61"/>
  <c r="I138" i="61" s="1"/>
  <c r="G138" i="61"/>
  <c r="J138" i="61" s="1"/>
  <c r="E148" i="61"/>
  <c r="F148" i="61"/>
  <c r="I148" i="61" s="1"/>
  <c r="K148" i="61" s="1"/>
  <c r="G148" i="61"/>
  <c r="J148" i="61"/>
  <c r="E158" i="61"/>
  <c r="F158" i="61"/>
  <c r="I158" i="61" s="1"/>
  <c r="G158" i="61"/>
  <c r="J158" i="61" s="1"/>
  <c r="E168" i="61"/>
  <c r="F168" i="61"/>
  <c r="I168" i="61" s="1"/>
  <c r="K168" i="61" s="1"/>
  <c r="G168" i="61"/>
  <c r="J168" i="61"/>
  <c r="E178" i="61"/>
  <c r="F178" i="61"/>
  <c r="I178" i="61" s="1"/>
  <c r="G178" i="61"/>
  <c r="J178" i="61" s="1"/>
  <c r="E188" i="61"/>
  <c r="F188" i="61"/>
  <c r="G188" i="61"/>
  <c r="J188" i="61" s="1"/>
  <c r="E198" i="61"/>
  <c r="F198" i="61"/>
  <c r="G198" i="61"/>
  <c r="J198" i="61" s="1"/>
  <c r="E208" i="61"/>
  <c r="F208" i="61"/>
  <c r="I208" i="61" s="1"/>
  <c r="G208" i="61"/>
  <c r="J208" i="61" s="1"/>
  <c r="K208" i="61" s="1"/>
  <c r="E222" i="61"/>
  <c r="F222" i="61"/>
  <c r="I222" i="61" s="1"/>
  <c r="G222" i="61"/>
  <c r="J222" i="61" s="1"/>
  <c r="K222" i="61" s="1"/>
  <c r="E232" i="61"/>
  <c r="F232" i="61"/>
  <c r="I232" i="61" s="1"/>
  <c r="G232" i="61"/>
  <c r="H232" i="61" s="1"/>
  <c r="E242" i="61"/>
  <c r="F242" i="61"/>
  <c r="I242" i="61" s="1"/>
  <c r="G242" i="61"/>
  <c r="J242" i="61" s="1"/>
  <c r="K242" i="61" s="1"/>
  <c r="E252" i="61"/>
  <c r="F252" i="61"/>
  <c r="I252" i="61" s="1"/>
  <c r="K252" i="61" s="1"/>
  <c r="G252" i="61"/>
  <c r="J252" i="61" s="1"/>
  <c r="E262" i="61"/>
  <c r="F262" i="61"/>
  <c r="I262" i="61" s="1"/>
  <c r="K262" i="61" s="1"/>
  <c r="G262" i="61"/>
  <c r="J262" i="61"/>
  <c r="E272" i="61"/>
  <c r="F272" i="61"/>
  <c r="I272" i="61" s="1"/>
  <c r="G272" i="61"/>
  <c r="J272" i="61" s="1"/>
  <c r="E282" i="61"/>
  <c r="F282" i="61"/>
  <c r="I282" i="61" s="1"/>
  <c r="G282" i="61"/>
  <c r="J282" i="61"/>
  <c r="E292" i="61"/>
  <c r="F292" i="61"/>
  <c r="I292" i="61" s="1"/>
  <c r="G292" i="61"/>
  <c r="E302" i="61"/>
  <c r="F302" i="61"/>
  <c r="I302" i="61" s="1"/>
  <c r="K302" i="61" s="1"/>
  <c r="G302" i="61"/>
  <c r="J302" i="61" s="1"/>
  <c r="E312" i="61"/>
  <c r="F312" i="61"/>
  <c r="I312" i="61" s="1"/>
  <c r="G312" i="61"/>
  <c r="J312" i="61" s="1"/>
  <c r="K312" i="61" s="1"/>
  <c r="D312" i="61"/>
  <c r="D302" i="61"/>
  <c r="D292" i="61"/>
  <c r="D282" i="61"/>
  <c r="D272" i="61"/>
  <c r="D262" i="61"/>
  <c r="D252" i="61"/>
  <c r="D242" i="61"/>
  <c r="D232" i="61"/>
  <c r="D222" i="61"/>
  <c r="A219" i="61"/>
  <c r="M219" i="61"/>
  <c r="D208" i="61"/>
  <c r="D198" i="61"/>
  <c r="D188" i="61"/>
  <c r="D178" i="61"/>
  <c r="D168" i="61"/>
  <c r="D158" i="61"/>
  <c r="D148" i="61"/>
  <c r="D138" i="61"/>
  <c r="D128" i="61"/>
  <c r="D118" i="61"/>
  <c r="D108" i="61"/>
  <c r="D98" i="61"/>
  <c r="D88" i="61"/>
  <c r="D78" i="61"/>
  <c r="D68" i="61"/>
  <c r="D58" i="61"/>
  <c r="D48" i="61"/>
  <c r="D38" i="61"/>
  <c r="D28" i="61"/>
  <c r="D18" i="61"/>
  <c r="K359" i="61"/>
  <c r="L359" i="61" s="1"/>
  <c r="K359" i="60"/>
  <c r="B15" i="61"/>
  <c r="E222" i="60"/>
  <c r="F222" i="60"/>
  <c r="G222" i="60"/>
  <c r="E232" i="60"/>
  <c r="F232" i="60"/>
  <c r="I232" i="60" s="1"/>
  <c r="G232" i="60"/>
  <c r="J232" i="60" s="1"/>
  <c r="E242" i="60"/>
  <c r="F242" i="60"/>
  <c r="G242" i="60"/>
  <c r="E252" i="60"/>
  <c r="F252" i="60"/>
  <c r="G252" i="60"/>
  <c r="J252" i="60" s="1"/>
  <c r="E262" i="60"/>
  <c r="F262" i="60"/>
  <c r="G262" i="60"/>
  <c r="E272" i="60"/>
  <c r="F272" i="60"/>
  <c r="G272" i="60"/>
  <c r="E282" i="60"/>
  <c r="F282" i="60"/>
  <c r="I282" i="60" s="1"/>
  <c r="G282" i="60"/>
  <c r="E292" i="60"/>
  <c r="F292" i="60"/>
  <c r="G292" i="60"/>
  <c r="H292" i="60" s="1"/>
  <c r="E302" i="60"/>
  <c r="F302" i="60"/>
  <c r="G302" i="60"/>
  <c r="E312" i="60"/>
  <c r="F312" i="60"/>
  <c r="I312" i="60" s="1"/>
  <c r="G312" i="60"/>
  <c r="E148" i="60"/>
  <c r="F148" i="60"/>
  <c r="G148" i="60"/>
  <c r="E158" i="60"/>
  <c r="F158" i="60"/>
  <c r="G158" i="60"/>
  <c r="J158" i="60" s="1"/>
  <c r="E168" i="60"/>
  <c r="F168" i="60"/>
  <c r="G168" i="60"/>
  <c r="E178" i="60"/>
  <c r="F178" i="60"/>
  <c r="G178" i="60"/>
  <c r="E188" i="60"/>
  <c r="F188" i="60"/>
  <c r="H188" i="60" s="1"/>
  <c r="G188" i="60"/>
  <c r="E198" i="60"/>
  <c r="F198" i="60"/>
  <c r="G198" i="60"/>
  <c r="H198" i="60" s="1"/>
  <c r="E208" i="60"/>
  <c r="F208" i="60"/>
  <c r="G208" i="60"/>
  <c r="E138" i="60"/>
  <c r="F138" i="60"/>
  <c r="G138" i="60"/>
  <c r="J138" i="60" s="1"/>
  <c r="K138" i="60" s="1"/>
  <c r="E128" i="60"/>
  <c r="F128" i="60"/>
  <c r="I128" i="60" s="1"/>
  <c r="G128" i="60"/>
  <c r="E118" i="60"/>
  <c r="F118" i="60"/>
  <c r="G118" i="60"/>
  <c r="J118" i="60" s="1"/>
  <c r="E108" i="60"/>
  <c r="F108" i="60"/>
  <c r="H108" i="60" s="1"/>
  <c r="G108" i="60"/>
  <c r="E98" i="60"/>
  <c r="F98" i="60"/>
  <c r="G98" i="60"/>
  <c r="E88" i="60"/>
  <c r="F88" i="60"/>
  <c r="I88" i="60" s="1"/>
  <c r="K88" i="60" s="1"/>
  <c r="G88" i="60"/>
  <c r="E78" i="60"/>
  <c r="F78" i="60"/>
  <c r="G78" i="60"/>
  <c r="J78" i="60" s="1"/>
  <c r="E68" i="60"/>
  <c r="F68" i="60"/>
  <c r="G68" i="60"/>
  <c r="E58" i="60"/>
  <c r="F58" i="60"/>
  <c r="I58" i="60" s="1"/>
  <c r="G58" i="60"/>
  <c r="J58" i="60" s="1"/>
  <c r="E48" i="60"/>
  <c r="F48" i="60"/>
  <c r="G48" i="60"/>
  <c r="E38" i="60"/>
  <c r="F38" i="60"/>
  <c r="G38" i="60"/>
  <c r="H38" i="60" s="1"/>
  <c r="E28" i="60"/>
  <c r="F28" i="60"/>
  <c r="H28" i="60" s="1"/>
  <c r="G28" i="60"/>
  <c r="E18" i="60"/>
  <c r="F18" i="60"/>
  <c r="G18" i="60"/>
  <c r="J18" i="60" s="1"/>
  <c r="K18" i="60" s="1"/>
  <c r="D312" i="60"/>
  <c r="D302" i="60"/>
  <c r="D292" i="60"/>
  <c r="D282" i="60"/>
  <c r="D272" i="60"/>
  <c r="D262" i="60"/>
  <c r="D252" i="60"/>
  <c r="D242" i="60"/>
  <c r="D232" i="60"/>
  <c r="D222" i="60"/>
  <c r="D208" i="60"/>
  <c r="D198" i="60"/>
  <c r="D188" i="60"/>
  <c r="D178" i="60"/>
  <c r="D168" i="60"/>
  <c r="D158" i="60"/>
  <c r="D148" i="60"/>
  <c r="D138" i="60"/>
  <c r="D128" i="60"/>
  <c r="D118" i="60"/>
  <c r="D108" i="60"/>
  <c r="D98" i="60"/>
  <c r="D88" i="60"/>
  <c r="D78" i="60"/>
  <c r="D68" i="60"/>
  <c r="D58" i="60"/>
  <c r="D48" i="60"/>
  <c r="D38" i="60"/>
  <c r="D28" i="60"/>
  <c r="D18" i="60"/>
  <c r="A219" i="60"/>
  <c r="M219" i="60"/>
  <c r="H242" i="62"/>
  <c r="H188" i="61"/>
  <c r="H68" i="61"/>
  <c r="H28" i="61"/>
  <c r="H118" i="62"/>
  <c r="J242" i="62"/>
  <c r="K242" i="62"/>
  <c r="H108" i="62"/>
  <c r="K272" i="62"/>
  <c r="H28" i="62"/>
  <c r="H292" i="61"/>
  <c r="I68" i="61"/>
  <c r="K68" i="61" s="1"/>
  <c r="H282" i="61"/>
  <c r="H38" i="61"/>
  <c r="H108" i="61"/>
  <c r="H148" i="61"/>
  <c r="I28" i="62"/>
  <c r="K28" i="62" s="1"/>
  <c r="K108" i="62"/>
  <c r="H38" i="62"/>
  <c r="H292" i="62"/>
  <c r="H158" i="62"/>
  <c r="H78" i="62"/>
  <c r="H118" i="61"/>
  <c r="H148" i="62"/>
  <c r="H68" i="62"/>
  <c r="I158" i="62"/>
  <c r="K158" i="62" s="1"/>
  <c r="I78" i="62"/>
  <c r="K78" i="62"/>
  <c r="H198" i="62"/>
  <c r="K158" i="61"/>
  <c r="I148" i="62"/>
  <c r="K148" i="62" s="1"/>
  <c r="I292" i="62"/>
  <c r="K48" i="62"/>
  <c r="H282" i="62"/>
  <c r="I188" i="61"/>
  <c r="K188" i="61" s="1"/>
  <c r="I68" i="62"/>
  <c r="K68" i="62" s="1"/>
  <c r="K128" i="62"/>
  <c r="I198" i="62"/>
  <c r="K198" i="62"/>
  <c r="K88" i="62"/>
  <c r="K168" i="62"/>
  <c r="K18" i="62"/>
  <c r="H18" i="62"/>
  <c r="H58" i="62"/>
  <c r="H98" i="62"/>
  <c r="H138" i="62"/>
  <c r="H178" i="62"/>
  <c r="H232" i="62"/>
  <c r="H48" i="62"/>
  <c r="H88" i="62"/>
  <c r="H128" i="62"/>
  <c r="H168" i="62"/>
  <c r="H208" i="62"/>
  <c r="H222" i="62"/>
  <c r="H262" i="62"/>
  <c r="K88" i="61"/>
  <c r="H78" i="61"/>
  <c r="I118" i="61"/>
  <c r="K118" i="61" s="1"/>
  <c r="H158" i="61"/>
  <c r="I198" i="61"/>
  <c r="K198" i="61" s="1"/>
  <c r="J292" i="61"/>
  <c r="K292" i="61" s="1"/>
  <c r="K108" i="61"/>
  <c r="H18" i="61"/>
  <c r="H58" i="61"/>
  <c r="H98" i="61"/>
  <c r="H178" i="61"/>
  <c r="H272" i="61"/>
  <c r="H312" i="61"/>
  <c r="H48" i="61"/>
  <c r="H88" i="61"/>
  <c r="H128" i="61"/>
  <c r="H208" i="61"/>
  <c r="H262" i="61"/>
  <c r="B222" i="62"/>
  <c r="M222" i="62" s="1"/>
  <c r="B222" i="61"/>
  <c r="M222" i="61" s="1"/>
  <c r="B222" i="60"/>
  <c r="M222" i="60" s="1"/>
  <c r="B15" i="60"/>
  <c r="A14" i="60"/>
  <c r="L359" i="60"/>
  <c r="J312" i="60"/>
  <c r="J302" i="60"/>
  <c r="I302" i="60"/>
  <c r="K302" i="60" s="1"/>
  <c r="I292" i="60"/>
  <c r="J282" i="60"/>
  <c r="J272" i="60"/>
  <c r="I272" i="60"/>
  <c r="J262" i="60"/>
  <c r="K262" i="60" s="1"/>
  <c r="I262" i="60"/>
  <c r="I252" i="60"/>
  <c r="J242" i="60"/>
  <c r="I242" i="60"/>
  <c r="K242" i="60" s="1"/>
  <c r="J222" i="60"/>
  <c r="I222" i="60"/>
  <c r="J208" i="60"/>
  <c r="I208" i="60"/>
  <c r="I198" i="60"/>
  <c r="J198" i="60"/>
  <c r="J188" i="60"/>
  <c r="J178" i="60"/>
  <c r="I178" i="60"/>
  <c r="J168" i="60"/>
  <c r="I168" i="60"/>
  <c r="K168" i="60" s="1"/>
  <c r="I158" i="60"/>
  <c r="H158" i="60"/>
  <c r="J148" i="60"/>
  <c r="I138" i="60"/>
  <c r="J128" i="60"/>
  <c r="I118" i="60"/>
  <c r="J108" i="60"/>
  <c r="I98" i="60"/>
  <c r="J98" i="60"/>
  <c r="H98" i="60"/>
  <c r="J88" i="60"/>
  <c r="I78" i="60"/>
  <c r="H78" i="60"/>
  <c r="H68" i="60"/>
  <c r="J68" i="60"/>
  <c r="I68" i="60"/>
  <c r="J48" i="60"/>
  <c r="I38" i="60"/>
  <c r="J38" i="60"/>
  <c r="J28" i="60"/>
  <c r="I18" i="60"/>
  <c r="B15" i="59"/>
  <c r="E313" i="59"/>
  <c r="F313" i="59"/>
  <c r="I313" i="59" s="1"/>
  <c r="G313" i="59"/>
  <c r="J313" i="59" s="1"/>
  <c r="E303" i="59"/>
  <c r="F303" i="59"/>
  <c r="I303" i="59" s="1"/>
  <c r="G303" i="59"/>
  <c r="J303" i="59" s="1"/>
  <c r="E293" i="59"/>
  <c r="F293" i="59"/>
  <c r="I293" i="59" s="1"/>
  <c r="G293" i="59"/>
  <c r="J293" i="59" s="1"/>
  <c r="E283" i="59"/>
  <c r="F283" i="59"/>
  <c r="H283" i="59" s="1"/>
  <c r="G283" i="59"/>
  <c r="J283" i="59" s="1"/>
  <c r="E273" i="59"/>
  <c r="F273" i="59"/>
  <c r="G273" i="59"/>
  <c r="J273" i="59" s="1"/>
  <c r="E263" i="59"/>
  <c r="F263" i="59"/>
  <c r="I263" i="59" s="1"/>
  <c r="G263" i="59"/>
  <c r="H263" i="59" s="1"/>
  <c r="E253" i="59"/>
  <c r="F253" i="59"/>
  <c r="I253" i="59"/>
  <c r="G253" i="59"/>
  <c r="J253" i="59" s="1"/>
  <c r="E243" i="59"/>
  <c r="F243" i="59"/>
  <c r="I243" i="59" s="1"/>
  <c r="G243" i="59"/>
  <c r="J243" i="59" s="1"/>
  <c r="E233" i="59"/>
  <c r="F233" i="59"/>
  <c r="I233" i="59" s="1"/>
  <c r="G233" i="59"/>
  <c r="J233" i="59"/>
  <c r="E223" i="59"/>
  <c r="F223" i="59"/>
  <c r="I223" i="59" s="1"/>
  <c r="G223" i="59"/>
  <c r="H223" i="59" s="1"/>
  <c r="E210" i="59"/>
  <c r="F210" i="59"/>
  <c r="I210" i="59" s="1"/>
  <c r="G210" i="59"/>
  <c r="J210" i="59" s="1"/>
  <c r="E200" i="59"/>
  <c r="F200" i="59"/>
  <c r="I200" i="59"/>
  <c r="K200" i="59" s="1"/>
  <c r="G200" i="59"/>
  <c r="E190" i="59"/>
  <c r="F190" i="59"/>
  <c r="I190" i="59" s="1"/>
  <c r="G190" i="59"/>
  <c r="E180" i="59"/>
  <c r="F180" i="59"/>
  <c r="I180" i="59" s="1"/>
  <c r="G180" i="59"/>
  <c r="J180" i="59" s="1"/>
  <c r="E170" i="59"/>
  <c r="F170" i="59"/>
  <c r="I170" i="59" s="1"/>
  <c r="G170" i="59"/>
  <c r="J170" i="59" s="1"/>
  <c r="E160" i="59"/>
  <c r="F160" i="59"/>
  <c r="I160" i="59" s="1"/>
  <c r="G160" i="59"/>
  <c r="E150" i="59"/>
  <c r="F150" i="59"/>
  <c r="I150" i="59"/>
  <c r="G150" i="59"/>
  <c r="E140" i="59"/>
  <c r="F140" i="59"/>
  <c r="I140" i="59"/>
  <c r="G140" i="59"/>
  <c r="J140" i="59" s="1"/>
  <c r="E130" i="59"/>
  <c r="F130" i="59"/>
  <c r="H130" i="59" s="1"/>
  <c r="I130" i="59"/>
  <c r="K130" i="59" s="1"/>
  <c r="G130" i="59"/>
  <c r="J130" i="59" s="1"/>
  <c r="E120" i="59"/>
  <c r="F120" i="59"/>
  <c r="G120" i="59"/>
  <c r="J120" i="59" s="1"/>
  <c r="E110" i="59"/>
  <c r="F110" i="59"/>
  <c r="I110" i="59" s="1"/>
  <c r="G110" i="59"/>
  <c r="E100" i="59"/>
  <c r="F100" i="59"/>
  <c r="I100" i="59" s="1"/>
  <c r="G100" i="59"/>
  <c r="J100" i="59"/>
  <c r="E90" i="59"/>
  <c r="F90" i="59"/>
  <c r="I90" i="59" s="1"/>
  <c r="G90" i="59"/>
  <c r="J90" i="59" s="1"/>
  <c r="E80" i="59"/>
  <c r="F80" i="59"/>
  <c r="I80" i="59" s="1"/>
  <c r="G80" i="59"/>
  <c r="J80" i="59" s="1"/>
  <c r="E70" i="59"/>
  <c r="F70" i="59"/>
  <c r="H70" i="59" s="1"/>
  <c r="G70" i="59"/>
  <c r="J70" i="59" s="1"/>
  <c r="E60" i="59"/>
  <c r="F60" i="59"/>
  <c r="I60" i="59" s="1"/>
  <c r="G60" i="59"/>
  <c r="J60" i="59" s="1"/>
  <c r="E50" i="59"/>
  <c r="F50" i="59"/>
  <c r="I50" i="59" s="1"/>
  <c r="G50" i="59"/>
  <c r="H50" i="59" s="1"/>
  <c r="E39" i="59"/>
  <c r="F39" i="59"/>
  <c r="G39" i="59"/>
  <c r="J39" i="59" s="1"/>
  <c r="E28" i="59"/>
  <c r="F28" i="59"/>
  <c r="I28" i="59"/>
  <c r="G28" i="59"/>
  <c r="H28" i="59" s="1"/>
  <c r="E18" i="59"/>
  <c r="F18" i="59"/>
  <c r="I18" i="59" s="1"/>
  <c r="G18" i="59"/>
  <c r="J18" i="59" s="1"/>
  <c r="D313" i="59"/>
  <c r="D303" i="59"/>
  <c r="D293" i="59"/>
  <c r="D283" i="59"/>
  <c r="D273" i="59"/>
  <c r="D263" i="59"/>
  <c r="D253" i="59"/>
  <c r="D243" i="59"/>
  <c r="D233" i="59"/>
  <c r="D223" i="59"/>
  <c r="D210" i="59"/>
  <c r="D200" i="59"/>
  <c r="D190" i="59"/>
  <c r="D180" i="59"/>
  <c r="D170" i="59"/>
  <c r="D160" i="59"/>
  <c r="D150" i="59"/>
  <c r="D140" i="59"/>
  <c r="D130" i="59"/>
  <c r="D120" i="59"/>
  <c r="D110" i="59"/>
  <c r="D100" i="59"/>
  <c r="D90" i="59"/>
  <c r="D80" i="59"/>
  <c r="D70" i="59"/>
  <c r="D60" i="59"/>
  <c r="D50" i="59"/>
  <c r="D39" i="59"/>
  <c r="D28" i="59"/>
  <c r="D18" i="59"/>
  <c r="A220" i="59"/>
  <c r="M220" i="59" s="1"/>
  <c r="A14" i="59"/>
  <c r="F18" i="55"/>
  <c r="I18" i="55" s="1"/>
  <c r="G18" i="55"/>
  <c r="B3" i="3"/>
  <c r="E3" i="3"/>
  <c r="B5" i="3"/>
  <c r="D5" i="3"/>
  <c r="F5" i="3"/>
  <c r="I5" i="55"/>
  <c r="D5" i="55"/>
  <c r="B5" i="55"/>
  <c r="I3" i="55"/>
  <c r="B3" i="55"/>
  <c r="F305" i="55"/>
  <c r="H305" i="55" s="1"/>
  <c r="G305" i="55"/>
  <c r="F295" i="55"/>
  <c r="I295" i="55" s="1"/>
  <c r="K295" i="55" s="1"/>
  <c r="G295" i="55"/>
  <c r="J295" i="55" s="1"/>
  <c r="F285" i="55"/>
  <c r="G285" i="55"/>
  <c r="F275" i="55"/>
  <c r="H275" i="55" s="1"/>
  <c r="G275" i="55"/>
  <c r="F265" i="55"/>
  <c r="I265" i="55" s="1"/>
  <c r="K265" i="55" s="1"/>
  <c r="G265" i="55"/>
  <c r="F255" i="55"/>
  <c r="I255" i="55" s="1"/>
  <c r="K255" i="55" s="1"/>
  <c r="G255" i="55"/>
  <c r="J255" i="55" s="1"/>
  <c r="F245" i="55"/>
  <c r="G245" i="55"/>
  <c r="F235" i="55"/>
  <c r="I235" i="55" s="1"/>
  <c r="G235" i="55"/>
  <c r="F225" i="55"/>
  <c r="I225" i="55" s="1"/>
  <c r="K225" i="55" s="1"/>
  <c r="G225" i="55"/>
  <c r="F215" i="55"/>
  <c r="H215" i="55" s="1"/>
  <c r="G215" i="55"/>
  <c r="J215" i="55" s="1"/>
  <c r="D305" i="55"/>
  <c r="D295" i="55"/>
  <c r="D285" i="55"/>
  <c r="D275" i="55"/>
  <c r="D265" i="55"/>
  <c r="D255" i="55"/>
  <c r="D245" i="55"/>
  <c r="D235" i="55"/>
  <c r="D225" i="55"/>
  <c r="D215" i="55"/>
  <c r="F201" i="55"/>
  <c r="I201" i="55" s="1"/>
  <c r="K201" i="55" s="1"/>
  <c r="G201" i="55"/>
  <c r="J201" i="55" s="1"/>
  <c r="F191" i="55"/>
  <c r="G191" i="55"/>
  <c r="F181" i="55"/>
  <c r="H181" i="55" s="1"/>
  <c r="G181" i="55"/>
  <c r="J181" i="55" s="1"/>
  <c r="F171" i="55"/>
  <c r="G171" i="55"/>
  <c r="F161" i="55"/>
  <c r="I161" i="55" s="1"/>
  <c r="K161" i="55" s="1"/>
  <c r="G161" i="55"/>
  <c r="F151" i="55"/>
  <c r="G151" i="55"/>
  <c r="F141" i="55"/>
  <c r="I141" i="55" s="1"/>
  <c r="G141" i="55"/>
  <c r="J141" i="55" s="1"/>
  <c r="F131" i="55"/>
  <c r="G131" i="55"/>
  <c r="F121" i="55"/>
  <c r="I121" i="55" s="1"/>
  <c r="G121" i="55"/>
  <c r="F111" i="55"/>
  <c r="H111" i="55" s="1"/>
  <c r="G111" i="55"/>
  <c r="F101" i="55"/>
  <c r="H101" i="55" s="1"/>
  <c r="G101" i="55"/>
  <c r="J101" i="55" s="1"/>
  <c r="F91" i="55"/>
  <c r="G91" i="55"/>
  <c r="F81" i="55"/>
  <c r="I81" i="55" s="1"/>
  <c r="G81" i="55"/>
  <c r="F71" i="55"/>
  <c r="H71" i="55" s="1"/>
  <c r="G71" i="55"/>
  <c r="F61" i="55"/>
  <c r="I61" i="55" s="1"/>
  <c r="G61" i="55"/>
  <c r="J61" i="55" s="1"/>
  <c r="F51" i="55"/>
  <c r="G51" i="55"/>
  <c r="F21" i="55"/>
  <c r="I21" i="55" s="1"/>
  <c r="G21" i="55"/>
  <c r="D201" i="55"/>
  <c r="D191" i="55"/>
  <c r="D181" i="55"/>
  <c r="D171" i="55"/>
  <c r="D161" i="55"/>
  <c r="D151" i="55"/>
  <c r="D141" i="55"/>
  <c r="D131" i="55"/>
  <c r="D121" i="55"/>
  <c r="D111" i="55"/>
  <c r="D101" i="55"/>
  <c r="D91" i="55"/>
  <c r="D81" i="55"/>
  <c r="D71" i="55"/>
  <c r="D61" i="55"/>
  <c r="D51" i="55"/>
  <c r="D21" i="55"/>
  <c r="D18" i="55"/>
  <c r="K352" i="55"/>
  <c r="L352" i="55" s="1"/>
  <c r="H190" i="59"/>
  <c r="J200" i="59"/>
  <c r="H120" i="59"/>
  <c r="K198" i="60"/>
  <c r="I39" i="59"/>
  <c r="J110" i="59"/>
  <c r="I120" i="59"/>
  <c r="J190" i="59"/>
  <c r="J28" i="59"/>
  <c r="K208" i="60"/>
  <c r="K222" i="60"/>
  <c r="H242" i="60"/>
  <c r="H252" i="60"/>
  <c r="K68" i="60"/>
  <c r="K178" i="60"/>
  <c r="K272" i="60"/>
  <c r="H18" i="60"/>
  <c r="H138" i="60"/>
  <c r="H178" i="60"/>
  <c r="H272" i="60"/>
  <c r="H312" i="60"/>
  <c r="H128" i="60"/>
  <c r="H168" i="60"/>
  <c r="H208" i="60"/>
  <c r="H222" i="60"/>
  <c r="H262" i="60"/>
  <c r="H302" i="60"/>
  <c r="H140" i="59"/>
  <c r="H180" i="59"/>
  <c r="H313" i="59"/>
  <c r="H210" i="59"/>
  <c r="H303" i="59"/>
  <c r="B215" i="55"/>
  <c r="M215" i="55" s="1"/>
  <c r="J305" i="55"/>
  <c r="I305" i="55"/>
  <c r="K305" i="55" s="1"/>
  <c r="J285" i="55"/>
  <c r="I285" i="55"/>
  <c r="H285" i="55"/>
  <c r="J275" i="55"/>
  <c r="I275" i="55"/>
  <c r="J265" i="55"/>
  <c r="J245" i="55"/>
  <c r="K245" i="55" s="1"/>
  <c r="I245" i="55"/>
  <c r="H245" i="55"/>
  <c r="J235" i="55"/>
  <c r="J225" i="55"/>
  <c r="A212" i="55"/>
  <c r="M212" i="55" s="1"/>
  <c r="B15" i="55"/>
  <c r="J191" i="55"/>
  <c r="K191" i="55" s="1"/>
  <c r="I191" i="55"/>
  <c r="H191" i="55"/>
  <c r="J171" i="55"/>
  <c r="I171" i="55"/>
  <c r="H171" i="55"/>
  <c r="J161" i="55"/>
  <c r="J151" i="55"/>
  <c r="I151" i="55"/>
  <c r="K151" i="55" s="1"/>
  <c r="H151" i="55"/>
  <c r="J131" i="55"/>
  <c r="I131" i="55"/>
  <c r="K131" i="55" s="1"/>
  <c r="H131" i="55"/>
  <c r="J121" i="55"/>
  <c r="J111" i="55"/>
  <c r="I111" i="55"/>
  <c r="K111" i="55" s="1"/>
  <c r="J91" i="55"/>
  <c r="I91" i="55"/>
  <c r="H91" i="55"/>
  <c r="J81" i="55"/>
  <c r="J71" i="55"/>
  <c r="I71" i="55"/>
  <c r="K71" i="55" s="1"/>
  <c r="J51" i="55"/>
  <c r="K51" i="55" s="1"/>
  <c r="I51" i="55"/>
  <c r="H51" i="55"/>
  <c r="J21" i="55"/>
  <c r="J18" i="55"/>
  <c r="H18" i="55"/>
  <c r="A14" i="55"/>
  <c r="K171" i="55"/>
  <c r="K285" i="55"/>
  <c r="K91" i="55"/>
  <c r="A18" i="55"/>
  <c r="D10" i="49"/>
  <c r="A320" i="55"/>
  <c r="M320" i="55" s="1"/>
  <c r="F5" i="54"/>
  <c r="D5" i="54"/>
  <c r="B5" i="54"/>
  <c r="F3" i="54"/>
  <c r="B3" i="54"/>
  <c r="D154" i="49"/>
  <c r="B18" i="62"/>
  <c r="M18" i="62" s="1"/>
  <c r="D134" i="49"/>
  <c r="D129" i="49"/>
  <c r="D128" i="49"/>
  <c r="L1143" i="53"/>
  <c r="L1133" i="53"/>
  <c r="A242" i="61" s="1"/>
  <c r="A349" i="61" s="1"/>
  <c r="M349" i="61" s="1"/>
  <c r="L1123" i="53"/>
  <c r="L1113" i="53"/>
  <c r="D123" i="49" s="1"/>
  <c r="L1103" i="53"/>
  <c r="D122" i="49" s="1"/>
  <c r="L1093" i="53"/>
  <c r="D121" i="49" s="1"/>
  <c r="L1083" i="53"/>
  <c r="D120" i="49" s="1"/>
  <c r="L1073" i="53"/>
  <c r="D119" i="49" s="1"/>
  <c r="L1063" i="53"/>
  <c r="D118" i="49" s="1"/>
  <c r="L1053" i="53"/>
  <c r="D117" i="49" s="1"/>
  <c r="L1043" i="53"/>
  <c r="D116" i="49" s="1"/>
  <c r="L1033" i="53"/>
  <c r="D115" i="49" s="1"/>
  <c r="L1023" i="53"/>
  <c r="D114" i="49" s="1"/>
  <c r="L1013" i="53"/>
  <c r="D113" i="49" s="1"/>
  <c r="L1003" i="53"/>
  <c r="D112" i="49" s="1"/>
  <c r="L993" i="53"/>
  <c r="D111" i="49" s="1"/>
  <c r="L983" i="53"/>
  <c r="D110" i="49" s="1"/>
  <c r="L973" i="53"/>
  <c r="D109" i="49" s="1"/>
  <c r="L963" i="53"/>
  <c r="D108" i="49" s="1"/>
  <c r="L953" i="53"/>
  <c r="D107" i="49" s="1"/>
  <c r="L943" i="53"/>
  <c r="D106" i="49" s="1"/>
  <c r="L933" i="53"/>
  <c r="D105" i="49" s="1"/>
  <c r="L923" i="53"/>
  <c r="D104" i="49" s="1"/>
  <c r="B18" i="61"/>
  <c r="M18" i="61" s="1"/>
  <c r="L913" i="53"/>
  <c r="D103" i="49" s="1"/>
  <c r="L902" i="53"/>
  <c r="L892" i="53"/>
  <c r="A302" i="60" s="1"/>
  <c r="A355" i="60" s="1"/>
  <c r="M355" i="60" s="1"/>
  <c r="L882" i="53"/>
  <c r="L872" i="53"/>
  <c r="L862" i="53"/>
  <c r="A272" i="60" s="1"/>
  <c r="A352" i="60" s="1"/>
  <c r="M352" i="60" s="1"/>
  <c r="L852" i="53"/>
  <c r="D96" i="49" s="1"/>
  <c r="L842" i="53"/>
  <c r="D95" i="49" s="1"/>
  <c r="L832" i="53"/>
  <c r="L822" i="53"/>
  <c r="A232" i="60" s="1"/>
  <c r="A348" i="60" s="1"/>
  <c r="M348" i="60" s="1"/>
  <c r="L812" i="53"/>
  <c r="D92" i="49" s="1"/>
  <c r="L802" i="53"/>
  <c r="L792" i="53"/>
  <c r="L782" i="53"/>
  <c r="L772" i="53"/>
  <c r="D88" i="49" s="1"/>
  <c r="L762" i="53"/>
  <c r="A168" i="60" s="1"/>
  <c r="A342" i="60" s="1"/>
  <c r="M342" i="60" s="1"/>
  <c r="L752" i="53"/>
  <c r="L742" i="53"/>
  <c r="D85" i="49" s="1"/>
  <c r="L732" i="53"/>
  <c r="L722" i="53"/>
  <c r="L712" i="53"/>
  <c r="D82" i="49" s="1"/>
  <c r="L702" i="53"/>
  <c r="L692" i="53"/>
  <c r="D80" i="49" s="1"/>
  <c r="L682" i="53"/>
  <c r="L672" i="53"/>
  <c r="D78" i="49" s="1"/>
  <c r="L662" i="53"/>
  <c r="A68" i="60" s="1"/>
  <c r="A332" i="60" s="1"/>
  <c r="M332" i="60" s="1"/>
  <c r="L652" i="53"/>
  <c r="L642" i="53"/>
  <c r="L632" i="53"/>
  <c r="L622" i="53"/>
  <c r="B18" i="60"/>
  <c r="M18" i="60" s="1"/>
  <c r="L612" i="53"/>
  <c r="A18" i="60" s="1"/>
  <c r="A327" i="60" s="1"/>
  <c r="M327" i="60" s="1"/>
  <c r="L601" i="53"/>
  <c r="L591" i="53"/>
  <c r="L581" i="53"/>
  <c r="D68" i="49" s="1"/>
  <c r="L571" i="53"/>
  <c r="L561" i="53"/>
  <c r="L551" i="53"/>
  <c r="D65" i="49" s="1"/>
  <c r="L541" i="53"/>
  <c r="D64" i="49" s="1"/>
  <c r="L531" i="53"/>
  <c r="D63" i="49" s="1"/>
  <c r="L521" i="53"/>
  <c r="L511" i="53"/>
  <c r="D61" i="49" s="1"/>
  <c r="L501" i="53"/>
  <c r="A210" i="59" s="1"/>
  <c r="L491" i="53"/>
  <c r="L481" i="53"/>
  <c r="L471" i="53"/>
  <c r="D57" i="49" s="1"/>
  <c r="L461" i="53"/>
  <c r="A170" i="59" s="1"/>
  <c r="L451" i="53"/>
  <c r="A160" i="59" s="1"/>
  <c r="L441" i="53"/>
  <c r="L431" i="53"/>
  <c r="L421" i="53"/>
  <c r="D52" i="49" s="1"/>
  <c r="L411" i="53"/>
  <c r="A120" i="59" s="1"/>
  <c r="L401" i="53"/>
  <c r="L391" i="53"/>
  <c r="D49" i="49" s="1"/>
  <c r="L381" i="53"/>
  <c r="A90" i="59" s="1"/>
  <c r="L371" i="53"/>
  <c r="D47" i="49" s="1"/>
  <c r="L361" i="53"/>
  <c r="L351" i="53"/>
  <c r="L341" i="53"/>
  <c r="A50" i="59" s="1"/>
  <c r="L331" i="53"/>
  <c r="L321" i="53"/>
  <c r="D42" i="49" s="1"/>
  <c r="L311" i="53"/>
  <c r="D41" i="49" s="1"/>
  <c r="L200" i="53"/>
  <c r="A201" i="55" s="1"/>
  <c r="L190" i="53"/>
  <c r="A191" i="55" s="1"/>
  <c r="L180" i="53"/>
  <c r="D27" i="49" s="1"/>
  <c r="L170" i="53"/>
  <c r="A171" i="55" s="1"/>
  <c r="L160" i="53"/>
  <c r="D25" i="49" s="1"/>
  <c r="L150" i="53"/>
  <c r="A151" i="55" s="1"/>
  <c r="L140" i="53"/>
  <c r="D23" i="49" s="1"/>
  <c r="L130" i="53"/>
  <c r="A131" i="55" s="1"/>
  <c r="L120" i="53"/>
  <c r="A121" i="55" s="1"/>
  <c r="L110" i="53"/>
  <c r="A111" i="55" s="1"/>
  <c r="L100" i="53"/>
  <c r="A101" i="55" s="1"/>
  <c r="L90" i="53"/>
  <c r="A91" i="55" s="1"/>
  <c r="L80" i="53"/>
  <c r="A81" i="55" s="1"/>
  <c r="L70" i="53"/>
  <c r="A71" i="55" s="1"/>
  <c r="L60" i="53"/>
  <c r="D15" i="49" s="1"/>
  <c r="L50" i="53"/>
  <c r="D14" i="49" s="1"/>
  <c r="L40" i="53"/>
  <c r="A41" i="55" s="1"/>
  <c r="L30" i="53"/>
  <c r="A31" i="55" s="1"/>
  <c r="L20" i="53"/>
  <c r="A21" i="55" s="1"/>
  <c r="D124" i="49"/>
  <c r="A232" i="61"/>
  <c r="A272" i="61"/>
  <c r="D132" i="49"/>
  <c r="A312" i="61"/>
  <c r="A356" i="61" s="1"/>
  <c r="M356" i="61" s="1"/>
  <c r="D136" i="49"/>
  <c r="A38" i="62"/>
  <c r="A329" i="62" s="1"/>
  <c r="M329" i="62" s="1"/>
  <c r="D140" i="49"/>
  <c r="A78" i="62"/>
  <c r="A333" i="62" s="1"/>
  <c r="M333" i="62" s="1"/>
  <c r="D144" i="49"/>
  <c r="A118" i="62"/>
  <c r="A337" i="62" s="1"/>
  <c r="M337" i="62" s="1"/>
  <c r="D148" i="49"/>
  <c r="A158" i="62"/>
  <c r="A341" i="62" s="1"/>
  <c r="M341" i="62" s="1"/>
  <c r="D152" i="49"/>
  <c r="A198" i="62"/>
  <c r="D156" i="49"/>
  <c r="A242" i="62"/>
  <c r="A349" i="62" s="1"/>
  <c r="M349" i="62" s="1"/>
  <c r="D160" i="49"/>
  <c r="A282" i="62"/>
  <c r="A282" i="61"/>
  <c r="A353" i="61" s="1"/>
  <c r="M353" i="61" s="1"/>
  <c r="D137" i="49"/>
  <c r="A48" i="62"/>
  <c r="D141" i="49"/>
  <c r="A88" i="62"/>
  <c r="A334" i="62" s="1"/>
  <c r="M334" i="62" s="1"/>
  <c r="D145" i="49"/>
  <c r="A128" i="62"/>
  <c r="D149" i="49"/>
  <c r="A168" i="62"/>
  <c r="A342" i="62" s="1"/>
  <c r="M342" i="62" s="1"/>
  <c r="D153" i="49"/>
  <c r="A208" i="62"/>
  <c r="D157" i="49"/>
  <c r="A252" i="62"/>
  <c r="A350" i="62" s="1"/>
  <c r="M350" i="62" s="1"/>
  <c r="D161" i="49"/>
  <c r="A292" i="62"/>
  <c r="D126" i="49"/>
  <c r="A252" i="61"/>
  <c r="A350" i="61" s="1"/>
  <c r="M350" i="61" s="1"/>
  <c r="D130" i="49"/>
  <c r="A292" i="61"/>
  <c r="D138" i="49"/>
  <c r="A58" i="62"/>
  <c r="A331" i="62" s="1"/>
  <c r="M331" i="62" s="1"/>
  <c r="D142" i="49"/>
  <c r="A98" i="62"/>
  <c r="D146" i="49"/>
  <c r="A138" i="62"/>
  <c r="A339" i="62" s="1"/>
  <c r="M339" i="62" s="1"/>
  <c r="D150" i="49"/>
  <c r="A178" i="62"/>
  <c r="D158" i="49"/>
  <c r="A262" i="62"/>
  <c r="A351" i="62" s="1"/>
  <c r="M351" i="62" s="1"/>
  <c r="D162" i="49"/>
  <c r="A302" i="62"/>
  <c r="D127" i="49"/>
  <c r="A262" i="61"/>
  <c r="A351" i="61" s="1"/>
  <c r="M351" i="61" s="1"/>
  <c r="D131" i="49"/>
  <c r="A302" i="61"/>
  <c r="D135" i="49"/>
  <c r="A28" i="62"/>
  <c r="A328" i="62" s="1"/>
  <c r="M328" i="62" s="1"/>
  <c r="D139" i="49"/>
  <c r="A68" i="62"/>
  <c r="D143" i="49"/>
  <c r="A108" i="62"/>
  <c r="A336" i="62" s="1"/>
  <c r="M336" i="62" s="1"/>
  <c r="D147" i="49"/>
  <c r="A148" i="62"/>
  <c r="D151" i="49"/>
  <c r="A188" i="62"/>
  <c r="A344" i="62" s="1"/>
  <c r="M344" i="62" s="1"/>
  <c r="D155" i="49"/>
  <c r="A232" i="62"/>
  <c r="D159" i="49"/>
  <c r="A272" i="62"/>
  <c r="A352" i="62" s="1"/>
  <c r="M352" i="62" s="1"/>
  <c r="D163" i="49"/>
  <c r="A312" i="62"/>
  <c r="D70" i="49"/>
  <c r="A313" i="59"/>
  <c r="D51" i="49"/>
  <c r="D75" i="49"/>
  <c r="A48" i="60"/>
  <c r="D83" i="49"/>
  <c r="A128" i="60"/>
  <c r="D99" i="49"/>
  <c r="A292" i="60"/>
  <c r="A354" i="60" s="1"/>
  <c r="M354" i="60" s="1"/>
  <c r="D44" i="49"/>
  <c r="D60" i="49"/>
  <c r="A293" i="59"/>
  <c r="D76" i="49"/>
  <c r="A58" i="60"/>
  <c r="D84" i="49"/>
  <c r="A138" i="60"/>
  <c r="A339" i="60" s="1"/>
  <c r="M339" i="60" s="1"/>
  <c r="D100" i="49"/>
  <c r="A78" i="60"/>
  <c r="A333" i="60" s="1"/>
  <c r="M333" i="60" s="1"/>
  <c r="D94" i="49"/>
  <c r="A242" i="60"/>
  <c r="D43" i="49"/>
  <c r="A39" i="59"/>
  <c r="D59" i="49"/>
  <c r="A200" i="59"/>
  <c r="D45" i="49"/>
  <c r="A60" i="59"/>
  <c r="D53" i="49"/>
  <c r="A140" i="59"/>
  <c r="D69" i="49"/>
  <c r="A303" i="59"/>
  <c r="D77" i="49"/>
  <c r="A148" i="60"/>
  <c r="A340" i="60" s="1"/>
  <c r="M340" i="60" s="1"/>
  <c r="D93" i="49"/>
  <c r="D101" i="49"/>
  <c r="A312" i="60"/>
  <c r="D62" i="49"/>
  <c r="A233" i="59"/>
  <c r="A80" i="59"/>
  <c r="D55" i="49"/>
  <c r="A243" i="59"/>
  <c r="D79" i="49"/>
  <c r="A88" i="60"/>
  <c r="A334" i="60" s="1"/>
  <c r="M334" i="60" s="1"/>
  <c r="D54" i="49"/>
  <c r="A150" i="59"/>
  <c r="D56" i="49"/>
  <c r="A263" i="59"/>
  <c r="D73" i="49"/>
  <c r="A28" i="60"/>
  <c r="D81" i="49"/>
  <c r="A108" i="60"/>
  <c r="D89" i="49"/>
  <c r="A188" i="60"/>
  <c r="A344" i="60" s="1"/>
  <c r="M344" i="60" s="1"/>
  <c r="D97" i="49"/>
  <c r="D86" i="49"/>
  <c r="A158" i="60"/>
  <c r="A28" i="59"/>
  <c r="A328" i="59" s="1"/>
  <c r="M328" i="59" s="1"/>
  <c r="D50" i="49"/>
  <c r="A110" i="59"/>
  <c r="D58" i="49"/>
  <c r="A190" i="59"/>
  <c r="D66" i="49"/>
  <c r="A273" i="59"/>
  <c r="D74" i="49"/>
  <c r="A38" i="60"/>
  <c r="A329" i="60" s="1"/>
  <c r="M329" i="60" s="1"/>
  <c r="A118" i="60"/>
  <c r="A337" i="60" s="1"/>
  <c r="M337" i="60" s="1"/>
  <c r="D90" i="49"/>
  <c r="A198" i="60"/>
  <c r="A345" i="60" s="1"/>
  <c r="M345" i="60" s="1"/>
  <c r="D98" i="49"/>
  <c r="A282" i="60"/>
  <c r="A353" i="60" s="1"/>
  <c r="M353" i="60" s="1"/>
  <c r="D46" i="49"/>
  <c r="A70" i="59"/>
  <c r="D67" i="49"/>
  <c r="A283" i="59"/>
  <c r="D91" i="49"/>
  <c r="A208" i="60"/>
  <c r="A346" i="60" s="1"/>
  <c r="M346" i="60" s="1"/>
  <c r="A51" i="55"/>
  <c r="D13" i="49"/>
  <c r="D26" i="49"/>
  <c r="D16" i="49"/>
  <c r="D17" i="49"/>
  <c r="D11" i="49"/>
  <c r="D19" i="49"/>
  <c r="D20" i="49"/>
  <c r="D24" i="49"/>
  <c r="D28" i="49"/>
  <c r="A78" i="61"/>
  <c r="A18" i="62"/>
  <c r="A18" i="61"/>
  <c r="A327" i="61" s="1"/>
  <c r="M327" i="61" s="1"/>
  <c r="A148" i="61"/>
  <c r="A340" i="61" s="1"/>
  <c r="M340" i="61" s="1"/>
  <c r="A98" i="61"/>
  <c r="A335" i="61" s="1"/>
  <c r="M335" i="61" s="1"/>
  <c r="A188" i="61"/>
  <c r="A344" i="61" s="1"/>
  <c r="M344" i="61" s="1"/>
  <c r="A68" i="61"/>
  <c r="A332" i="61" s="1"/>
  <c r="M332" i="61" s="1"/>
  <c r="A178" i="61"/>
  <c r="A118" i="61"/>
  <c r="A198" i="61"/>
  <c r="A345" i="61" s="1"/>
  <c r="M345" i="61" s="1"/>
  <c r="A48" i="61"/>
  <c r="A330" i="61" s="1"/>
  <c r="M330" i="61" s="1"/>
  <c r="A128" i="61"/>
  <c r="A208" i="61"/>
  <c r="A222" i="62"/>
  <c r="A158" i="61"/>
  <c r="A341" i="61" s="1"/>
  <c r="M341" i="61" s="1"/>
  <c r="A58" i="61"/>
  <c r="A138" i="61"/>
  <c r="A222" i="61"/>
  <c r="A347" i="61" s="1"/>
  <c r="M347" i="61" s="1"/>
  <c r="A222" i="60"/>
  <c r="A347" i="60" s="1"/>
  <c r="M347" i="60" s="1"/>
  <c r="B223" i="59"/>
  <c r="M223" i="59" s="1"/>
  <c r="B18" i="59"/>
  <c r="M18" i="59" s="1"/>
  <c r="A223" i="59"/>
  <c r="L300" i="53"/>
  <c r="D39" i="49" s="1"/>
  <c r="L290" i="53"/>
  <c r="D38" i="49" s="1"/>
  <c r="L280" i="53"/>
  <c r="D37" i="49" s="1"/>
  <c r="L270" i="53"/>
  <c r="D36" i="49" s="1"/>
  <c r="L260" i="53"/>
  <c r="D35" i="49" s="1"/>
  <c r="L250" i="53"/>
  <c r="A255" i="55" s="1"/>
  <c r="L240" i="53"/>
  <c r="A245" i="55" s="1"/>
  <c r="L230" i="53"/>
  <c r="D32" i="49" s="1"/>
  <c r="L220" i="53"/>
  <c r="D31" i="49" s="1"/>
  <c r="L210" i="53"/>
  <c r="D30" i="49" s="1"/>
  <c r="B18" i="55"/>
  <c r="M18" i="55" s="1"/>
  <c r="A338" i="59"/>
  <c r="M338" i="59" s="1"/>
  <c r="A352" i="59"/>
  <c r="M352" i="59" s="1"/>
  <c r="A341" i="59"/>
  <c r="M341" i="59" s="1"/>
  <c r="A330" i="62"/>
  <c r="M330" i="62" s="1"/>
  <c r="A344" i="59"/>
  <c r="M344" i="59" s="1"/>
  <c r="M330" i="59"/>
  <c r="A333" i="59"/>
  <c r="M333" i="59" s="1"/>
  <c r="A343" i="59"/>
  <c r="M343" i="59" s="1"/>
  <c r="A342" i="59"/>
  <c r="M342" i="59" s="1"/>
  <c r="A345" i="59"/>
  <c r="M345" i="59" s="1"/>
  <c r="A348" i="62"/>
  <c r="M348" i="62" s="1"/>
  <c r="A355" i="62"/>
  <c r="M355" i="62" s="1"/>
  <c r="A354" i="61"/>
  <c r="M354" i="61" s="1"/>
  <c r="A354" i="62"/>
  <c r="M354" i="62" s="1"/>
  <c r="A343" i="62"/>
  <c r="M343" i="62" s="1"/>
  <c r="A327" i="62"/>
  <c r="M327" i="62" s="1"/>
  <c r="A331" i="60"/>
  <c r="M331" i="60" s="1"/>
  <c r="A332" i="59"/>
  <c r="M332" i="59" s="1"/>
  <c r="M331" i="59"/>
  <c r="A356" i="62"/>
  <c r="M356" i="62" s="1"/>
  <c r="A348" i="61"/>
  <c r="M348" i="61" s="1"/>
  <c r="A328" i="60"/>
  <c r="M328" i="60" s="1"/>
  <c r="A341" i="60"/>
  <c r="M341" i="60" s="1"/>
  <c r="A355" i="59"/>
  <c r="M355" i="59" s="1"/>
  <c r="A340" i="59"/>
  <c r="M340" i="59" s="1"/>
  <c r="A354" i="59"/>
  <c r="M354" i="59" s="1"/>
  <c r="A339" i="59"/>
  <c r="M339" i="59" s="1"/>
  <c r="A334" i="59"/>
  <c r="M334" i="59" s="1"/>
  <c r="A337" i="59"/>
  <c r="M337" i="59" s="1"/>
  <c r="A340" i="62"/>
  <c r="M340" i="62" s="1"/>
  <c r="A339" i="61"/>
  <c r="M339" i="61" s="1"/>
  <c r="A338" i="60"/>
  <c r="M338" i="60" s="1"/>
  <c r="A347" i="62"/>
  <c r="M347" i="62" s="1"/>
  <c r="A346" i="61"/>
  <c r="M346" i="61" s="1"/>
  <c r="A346" i="62"/>
  <c r="M346" i="62" s="1"/>
  <c r="A343" i="61"/>
  <c r="M343" i="61" s="1"/>
  <c r="A353" i="62"/>
  <c r="M353" i="62" s="1"/>
  <c r="A352" i="61"/>
  <c r="M352" i="61" s="1"/>
  <c r="A335" i="62"/>
  <c r="M335" i="62" s="1"/>
  <c r="A355" i="61"/>
  <c r="M355" i="61" s="1"/>
  <c r="A351" i="59"/>
  <c r="M351" i="59" s="1"/>
  <c r="A336" i="59"/>
  <c r="M336" i="59" s="1"/>
  <c r="M350" i="59"/>
  <c r="A335" i="59"/>
  <c r="M335" i="59" s="1"/>
  <c r="A353" i="59"/>
  <c r="M353" i="59" s="1"/>
  <c r="M329" i="59"/>
  <c r="A332" i="62"/>
  <c r="M332" i="62" s="1"/>
  <c r="A331" i="61"/>
  <c r="M331" i="61" s="1"/>
  <c r="A330" i="60"/>
  <c r="M330" i="60" s="1"/>
  <c r="A338" i="61"/>
  <c r="M338" i="61" s="1"/>
  <c r="A356" i="60"/>
  <c r="M356" i="60" s="1"/>
  <c r="A338" i="62"/>
  <c r="M338" i="62" s="1"/>
  <c r="A337" i="61"/>
  <c r="M337" i="61" s="1"/>
  <c r="A336" i="60"/>
  <c r="M336" i="60" s="1"/>
  <c r="A345" i="62"/>
  <c r="M345" i="62" s="1"/>
  <c r="A349" i="60"/>
  <c r="M349" i="60" s="1"/>
  <c r="A333" i="61"/>
  <c r="M333" i="61" s="1"/>
  <c r="A346" i="59"/>
  <c r="M346" i="59" s="1"/>
  <c r="M349" i="59"/>
  <c r="M356" i="59"/>
  <c r="A357" i="59"/>
  <c r="M357" i="59" s="1"/>
  <c r="M348" i="59"/>
  <c r="M347" i="59"/>
  <c r="A334" i="55"/>
  <c r="M334" i="55" s="1"/>
  <c r="A339" i="55"/>
  <c r="M339" i="55" s="1"/>
  <c r="A338" i="55"/>
  <c r="M338" i="55" s="1"/>
  <c r="A335" i="55"/>
  <c r="M335" i="55" s="1"/>
  <c r="A337" i="55"/>
  <c r="M337" i="55" s="1"/>
  <c r="A336" i="55"/>
  <c r="M336" i="55" s="1"/>
  <c r="A333" i="55"/>
  <c r="M333" i="55" s="1"/>
  <c r="A332" i="55"/>
  <c r="M332" i="55" s="1"/>
  <c r="A331" i="55"/>
  <c r="M331" i="55" s="1"/>
  <c r="A330" i="55"/>
  <c r="M330" i="55" s="1"/>
  <c r="A329" i="55"/>
  <c r="M329" i="55" s="1"/>
  <c r="M328" i="55"/>
  <c r="A327" i="55"/>
  <c r="M327" i="55" s="1"/>
  <c r="A326" i="55"/>
  <c r="M326" i="55" s="1"/>
  <c r="A325" i="55"/>
  <c r="M325" i="55" s="1"/>
  <c r="A324" i="55"/>
  <c r="M324" i="55" s="1"/>
  <c r="A323" i="55"/>
  <c r="M323" i="55" s="1"/>
  <c r="A322" i="55"/>
  <c r="M322" i="55" s="1"/>
  <c r="A321" i="55"/>
  <c r="M321" i="55" s="1"/>
  <c r="A285" i="55"/>
  <c r="A235" i="55"/>
  <c r="A295" i="55"/>
  <c r="F614" i="52"/>
  <c r="F464" i="52"/>
  <c r="F314" i="52"/>
  <c r="F164" i="52"/>
  <c r="F163" i="52"/>
  <c r="F14" i="52"/>
  <c r="S178" i="51"/>
  <c r="R178" i="51"/>
  <c r="S177" i="51"/>
  <c r="R177" i="51"/>
  <c r="D177" i="51"/>
  <c r="S176" i="51"/>
  <c r="R176" i="51"/>
  <c r="D176" i="51"/>
  <c r="S175" i="51"/>
  <c r="R175" i="51"/>
  <c r="D175" i="51"/>
  <c r="S174" i="5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V166" i="51" s="1"/>
  <c r="R166" i="51"/>
  <c r="D166" i="51"/>
  <c r="S165" i="51"/>
  <c r="R165" i="51"/>
  <c r="D165" i="51"/>
  <c r="S164" i="51"/>
  <c r="R164" i="51"/>
  <c r="D164" i="51"/>
  <c r="S163" i="51"/>
  <c r="R163" i="51"/>
  <c r="D163" i="51"/>
  <c r="S162" i="51"/>
  <c r="R162" i="51"/>
  <c r="D162" i="51"/>
  <c r="S161" i="51"/>
  <c r="R161" i="51"/>
  <c r="D161" i="51"/>
  <c r="S160" i="51"/>
  <c r="R160" i="51"/>
  <c r="D160" i="51"/>
  <c r="S159" i="51"/>
  <c r="R159" i="51"/>
  <c r="D159" i="51"/>
  <c r="S158" i="51"/>
  <c r="R158" i="51"/>
  <c r="D158" i="51"/>
  <c r="S157" i="51"/>
  <c r="R157" i="51"/>
  <c r="D157" i="51"/>
  <c r="S156" i="51"/>
  <c r="R156" i="51"/>
  <c r="D156" i="51"/>
  <c r="S155" i="51"/>
  <c r="R155" i="51"/>
  <c r="D155" i="51"/>
  <c r="S154" i="51"/>
  <c r="R154" i="51"/>
  <c r="D154" i="51"/>
  <c r="S153" i="51"/>
  <c r="R153" i="51"/>
  <c r="D153" i="51"/>
  <c r="S152" i="51"/>
  <c r="R152" i="51"/>
  <c r="D152" i="51"/>
  <c r="S151" i="51"/>
  <c r="R151" i="51"/>
  <c r="D151" i="51"/>
  <c r="S150" i="51"/>
  <c r="V150" i="51" s="1"/>
  <c r="R150" i="51"/>
  <c r="D150" i="51"/>
  <c r="S149" i="51"/>
  <c r="R149" i="51"/>
  <c r="D149" i="51"/>
  <c r="S148" i="51"/>
  <c r="R148" i="51"/>
  <c r="D148" i="51"/>
  <c r="C148" i="51"/>
  <c r="A148" i="51"/>
  <c r="A614" i="52"/>
  <c r="S147" i="51"/>
  <c r="R147" i="51"/>
  <c r="U147" i="51" s="1"/>
  <c r="S146" i="51"/>
  <c r="R146" i="51"/>
  <c r="D146" i="51"/>
  <c r="S145" i="51"/>
  <c r="R145" i="51"/>
  <c r="D145" i="51"/>
  <c r="S144" i="51"/>
  <c r="R144" i="51"/>
  <c r="D144" i="51"/>
  <c r="S143" i="51"/>
  <c r="R143" i="51"/>
  <c r="D143" i="51"/>
  <c r="S142" i="51"/>
  <c r="R142" i="51"/>
  <c r="D142" i="51"/>
  <c r="S141" i="51"/>
  <c r="R141" i="51"/>
  <c r="D141" i="51"/>
  <c r="S140" i="51"/>
  <c r="R140" i="51"/>
  <c r="D140" i="51"/>
  <c r="S139" i="51"/>
  <c r="R139" i="51"/>
  <c r="D139" i="51"/>
  <c r="S138" i="51"/>
  <c r="R138" i="51"/>
  <c r="D138" i="51"/>
  <c r="S137" i="51"/>
  <c r="R137" i="51"/>
  <c r="D137" i="51"/>
  <c r="C137" i="51"/>
  <c r="S136" i="51"/>
  <c r="R136" i="51"/>
  <c r="D136" i="51"/>
  <c r="S135" i="51"/>
  <c r="R135" i="51"/>
  <c r="D135" i="51"/>
  <c r="S134" i="51"/>
  <c r="R134" i="51"/>
  <c r="D134" i="51"/>
  <c r="S133" i="51"/>
  <c r="R133" i="51"/>
  <c r="U133" i="51"/>
  <c r="D133" i="51"/>
  <c r="S132" i="51"/>
  <c r="R132" i="51"/>
  <c r="D132" i="51"/>
  <c r="S131" i="51"/>
  <c r="R131" i="51"/>
  <c r="D131" i="51"/>
  <c r="S130" i="51"/>
  <c r="R130" i="51"/>
  <c r="D130" i="51"/>
  <c r="S129" i="51"/>
  <c r="R129" i="51"/>
  <c r="D129" i="51"/>
  <c r="S128" i="51"/>
  <c r="R128" i="51"/>
  <c r="U128" i="51"/>
  <c r="D128" i="51"/>
  <c r="S127" i="51"/>
  <c r="R127" i="51"/>
  <c r="D127" i="51"/>
  <c r="S126" i="51"/>
  <c r="R126" i="51"/>
  <c r="D126" i="51"/>
  <c r="S125" i="51"/>
  <c r="R125" i="51"/>
  <c r="D125" i="51"/>
  <c r="S124" i="51"/>
  <c r="R124" i="51"/>
  <c r="D124" i="51"/>
  <c r="S123" i="51"/>
  <c r="R123" i="51"/>
  <c r="D123" i="51"/>
  <c r="S122" i="51"/>
  <c r="R122" i="51"/>
  <c r="D122" i="51"/>
  <c r="S121" i="51"/>
  <c r="R121" i="51"/>
  <c r="T121" i="51" s="1"/>
  <c r="D121" i="51"/>
  <c r="S120" i="51"/>
  <c r="R120" i="51"/>
  <c r="T120" i="51" s="1"/>
  <c r="D120" i="51"/>
  <c r="S119" i="51"/>
  <c r="R119" i="51"/>
  <c r="U119" i="51" s="1"/>
  <c r="D119" i="51"/>
  <c r="S118" i="51"/>
  <c r="R118" i="51"/>
  <c r="D118" i="51"/>
  <c r="S117" i="51"/>
  <c r="R117" i="51"/>
  <c r="U117" i="51"/>
  <c r="D117" i="51"/>
  <c r="C117" i="51"/>
  <c r="A117" i="51"/>
  <c r="S116" i="51"/>
  <c r="R116" i="51"/>
  <c r="U116" i="51" s="1"/>
  <c r="S115" i="51"/>
  <c r="R115" i="51"/>
  <c r="D115" i="51"/>
  <c r="S114" i="51"/>
  <c r="R114" i="51"/>
  <c r="D114" i="51"/>
  <c r="S113" i="51"/>
  <c r="R113" i="51"/>
  <c r="D113" i="51"/>
  <c r="S112" i="51"/>
  <c r="R112" i="51"/>
  <c r="D112" i="51"/>
  <c r="S111" i="51"/>
  <c r="R111" i="51"/>
  <c r="U111" i="51"/>
  <c r="D111" i="51"/>
  <c r="S110" i="51"/>
  <c r="R110" i="51"/>
  <c r="D110" i="51"/>
  <c r="S109" i="51"/>
  <c r="R109" i="51"/>
  <c r="D109" i="51"/>
  <c r="S108" i="51"/>
  <c r="R108" i="51"/>
  <c r="D108" i="51"/>
  <c r="S107" i="51"/>
  <c r="R107" i="51"/>
  <c r="D107" i="51"/>
  <c r="S106" i="51"/>
  <c r="R106" i="51"/>
  <c r="D106" i="51"/>
  <c r="C106" i="51"/>
  <c r="S105" i="51"/>
  <c r="R105" i="51"/>
  <c r="D105" i="51"/>
  <c r="S104" i="51"/>
  <c r="V104" i="51" s="1"/>
  <c r="R104" i="51"/>
  <c r="D104" i="51"/>
  <c r="S103" i="51"/>
  <c r="R103" i="51"/>
  <c r="D103" i="51"/>
  <c r="S102" i="51"/>
  <c r="R102" i="51"/>
  <c r="D102" i="51"/>
  <c r="S101" i="51"/>
  <c r="R101" i="51"/>
  <c r="D101" i="51"/>
  <c r="S100" i="51"/>
  <c r="R100" i="51"/>
  <c r="U100" i="51" s="1"/>
  <c r="W100" i="51" s="1"/>
  <c r="X100" i="51" s="1"/>
  <c r="D100" i="51"/>
  <c r="S99" i="51"/>
  <c r="T99" i="51" s="1"/>
  <c r="R99" i="51"/>
  <c r="D99" i="51"/>
  <c r="S98" i="51"/>
  <c r="R98" i="51"/>
  <c r="D98" i="51"/>
  <c r="S97" i="51"/>
  <c r="R97" i="51"/>
  <c r="D97" i="51"/>
  <c r="S96" i="51"/>
  <c r="R96" i="51"/>
  <c r="D96" i="51"/>
  <c r="S95" i="51"/>
  <c r="R95" i="51"/>
  <c r="D95" i="51"/>
  <c r="S94" i="51"/>
  <c r="R94" i="51"/>
  <c r="D94" i="51"/>
  <c r="S93" i="51"/>
  <c r="R93" i="51"/>
  <c r="D93" i="51"/>
  <c r="S92" i="51"/>
  <c r="R92" i="51"/>
  <c r="D92" i="51"/>
  <c r="S91" i="51"/>
  <c r="R91" i="51"/>
  <c r="U91" i="51"/>
  <c r="D91" i="51"/>
  <c r="S90" i="51"/>
  <c r="R90" i="51"/>
  <c r="D90" i="51"/>
  <c r="S89" i="51"/>
  <c r="R89" i="51"/>
  <c r="U89" i="51" s="1"/>
  <c r="D89" i="51"/>
  <c r="S88" i="51"/>
  <c r="R88" i="51"/>
  <c r="U88" i="51" s="1"/>
  <c r="D88" i="51"/>
  <c r="S87" i="51"/>
  <c r="R87" i="51"/>
  <c r="D87" i="51"/>
  <c r="S86" i="51"/>
  <c r="T86" i="51" s="1"/>
  <c r="R86" i="51"/>
  <c r="D86" i="51"/>
  <c r="C86" i="51"/>
  <c r="A86" i="51"/>
  <c r="A314" i="52" s="1"/>
  <c r="S85" i="51"/>
  <c r="R85" i="51"/>
  <c r="S84" i="51"/>
  <c r="R84" i="51"/>
  <c r="U84" i="51" s="1"/>
  <c r="D84" i="51"/>
  <c r="S83" i="51"/>
  <c r="R83" i="51"/>
  <c r="U83" i="51" s="1"/>
  <c r="D83" i="51"/>
  <c r="S82" i="51"/>
  <c r="R82" i="51"/>
  <c r="D82" i="51"/>
  <c r="S81" i="51"/>
  <c r="R81" i="51"/>
  <c r="D81" i="51"/>
  <c r="S80" i="51"/>
  <c r="R80" i="51"/>
  <c r="D80" i="51"/>
  <c r="S79" i="51"/>
  <c r="R79" i="51"/>
  <c r="U79" i="51" s="1"/>
  <c r="D79" i="51"/>
  <c r="S78" i="51"/>
  <c r="R78" i="51"/>
  <c r="D78" i="51"/>
  <c r="S77" i="51"/>
  <c r="R77" i="51"/>
  <c r="D77" i="51"/>
  <c r="S76" i="51"/>
  <c r="R76" i="51"/>
  <c r="D76" i="51"/>
  <c r="S75" i="51"/>
  <c r="T75" i="51" s="1"/>
  <c r="R75" i="51"/>
  <c r="D75" i="51"/>
  <c r="C75" i="51"/>
  <c r="S74" i="51"/>
  <c r="R74" i="51"/>
  <c r="U74" i="51" s="1"/>
  <c r="D74" i="51"/>
  <c r="S73" i="51"/>
  <c r="V73" i="51" s="1"/>
  <c r="R73" i="51"/>
  <c r="D73" i="51"/>
  <c r="S72" i="51"/>
  <c r="R72" i="51"/>
  <c r="U72" i="51" s="1"/>
  <c r="D72" i="51"/>
  <c r="S71" i="51"/>
  <c r="R71" i="51"/>
  <c r="D71" i="51"/>
  <c r="S70" i="51"/>
  <c r="R70" i="51"/>
  <c r="D70" i="51"/>
  <c r="S69" i="51"/>
  <c r="V69" i="51" s="1"/>
  <c r="R69" i="51"/>
  <c r="U69" i="51" s="1"/>
  <c r="D69" i="51"/>
  <c r="S68" i="51"/>
  <c r="R68" i="51"/>
  <c r="D68" i="51"/>
  <c r="S67" i="51"/>
  <c r="R67" i="51"/>
  <c r="D67" i="51"/>
  <c r="S66" i="51"/>
  <c r="R66" i="51"/>
  <c r="T66" i="51" s="1"/>
  <c r="D66" i="51"/>
  <c r="S65" i="51"/>
  <c r="R65" i="51"/>
  <c r="D65" i="51"/>
  <c r="S64" i="51"/>
  <c r="R64" i="51"/>
  <c r="D64" i="51"/>
  <c r="S63" i="51"/>
  <c r="T63" i="51" s="1"/>
  <c r="R63" i="51"/>
  <c r="D63" i="51"/>
  <c r="S62" i="51"/>
  <c r="R62" i="51"/>
  <c r="D62" i="51"/>
  <c r="S61" i="51"/>
  <c r="R61" i="51"/>
  <c r="D61" i="51"/>
  <c r="S60" i="51"/>
  <c r="R60" i="51"/>
  <c r="U60" i="51" s="1"/>
  <c r="D60" i="51"/>
  <c r="S59" i="51"/>
  <c r="V59" i="51" s="1"/>
  <c r="R59" i="51"/>
  <c r="D59" i="51"/>
  <c r="S58" i="51"/>
  <c r="R58" i="51"/>
  <c r="S57" i="51"/>
  <c r="R57" i="51"/>
  <c r="D57" i="51"/>
  <c r="S56" i="51"/>
  <c r="R56" i="51"/>
  <c r="D56" i="51"/>
  <c r="S55" i="51"/>
  <c r="R55" i="51"/>
  <c r="D55" i="51"/>
  <c r="C55" i="51"/>
  <c r="A55" i="51"/>
  <c r="S54" i="51"/>
  <c r="R54" i="51"/>
  <c r="U54" i="51"/>
  <c r="S53" i="51"/>
  <c r="R53" i="51"/>
  <c r="D53" i="51"/>
  <c r="S52" i="51"/>
  <c r="R52" i="51"/>
  <c r="D52" i="51"/>
  <c r="S51" i="51"/>
  <c r="R51" i="51"/>
  <c r="U51" i="51" s="1"/>
  <c r="D51" i="51"/>
  <c r="S50" i="51"/>
  <c r="R50" i="51"/>
  <c r="D50" i="51"/>
  <c r="G50" i="51" s="1"/>
  <c r="S49" i="51"/>
  <c r="R49" i="51"/>
  <c r="D49" i="51"/>
  <c r="S48" i="51"/>
  <c r="R48" i="51"/>
  <c r="D48" i="51"/>
  <c r="S47" i="51"/>
  <c r="R47" i="51"/>
  <c r="U47" i="51" s="1"/>
  <c r="D47" i="51"/>
  <c r="S46" i="51"/>
  <c r="V46" i="51" s="1"/>
  <c r="R46" i="51"/>
  <c r="D46" i="51"/>
  <c r="S45" i="51"/>
  <c r="R45" i="51"/>
  <c r="U45" i="51"/>
  <c r="D45" i="51"/>
  <c r="S44" i="51"/>
  <c r="R44" i="51"/>
  <c r="U44" i="51" s="1"/>
  <c r="D44" i="51"/>
  <c r="C44" i="51"/>
  <c r="S43" i="51"/>
  <c r="R43" i="51"/>
  <c r="D43" i="51"/>
  <c r="G43" i="51" s="1"/>
  <c r="S42" i="51"/>
  <c r="R42" i="51"/>
  <c r="D42" i="51"/>
  <c r="S41" i="51"/>
  <c r="R41" i="51"/>
  <c r="D41" i="51"/>
  <c r="S40" i="51"/>
  <c r="R40" i="51"/>
  <c r="U40" i="51" s="1"/>
  <c r="D40" i="51"/>
  <c r="S39" i="51"/>
  <c r="R39" i="51"/>
  <c r="U39" i="51" s="1"/>
  <c r="D39" i="51"/>
  <c r="S38" i="51"/>
  <c r="R38" i="51"/>
  <c r="D38" i="51"/>
  <c r="S37" i="51"/>
  <c r="V37" i="51" s="1"/>
  <c r="R37" i="51"/>
  <c r="D37" i="51"/>
  <c r="S36" i="51"/>
  <c r="R36" i="51"/>
  <c r="D36" i="51"/>
  <c r="S35" i="51"/>
  <c r="R35" i="51"/>
  <c r="D35" i="51"/>
  <c r="S34" i="51"/>
  <c r="R34" i="51"/>
  <c r="D34" i="51"/>
  <c r="S33" i="51"/>
  <c r="R33" i="51"/>
  <c r="U33" i="51" s="1"/>
  <c r="D33" i="51"/>
  <c r="S32" i="51"/>
  <c r="R32" i="51"/>
  <c r="D32" i="51"/>
  <c r="S31" i="51"/>
  <c r="V31" i="51" s="1"/>
  <c r="R31" i="51"/>
  <c r="D31" i="51"/>
  <c r="S30" i="51"/>
  <c r="R30" i="51"/>
  <c r="D30" i="51"/>
  <c r="S29" i="51"/>
  <c r="R29" i="51"/>
  <c r="D29" i="51"/>
  <c r="S28" i="51"/>
  <c r="T28" i="51" s="1"/>
  <c r="R28" i="51"/>
  <c r="D28" i="51"/>
  <c r="S27" i="51"/>
  <c r="R27" i="51"/>
  <c r="T27" i="51" s="1"/>
  <c r="D27" i="51"/>
  <c r="S26" i="51"/>
  <c r="R26" i="51"/>
  <c r="D26" i="51"/>
  <c r="S25" i="51"/>
  <c r="R25" i="51"/>
  <c r="D25" i="51"/>
  <c r="S24" i="51"/>
  <c r="R24" i="51"/>
  <c r="D24" i="51"/>
  <c r="C24" i="51"/>
  <c r="A14" i="52"/>
  <c r="T5" i="51"/>
  <c r="G5" i="51"/>
  <c r="C5" i="51"/>
  <c r="S3" i="51"/>
  <c r="C3" i="51"/>
  <c r="E5" i="49"/>
  <c r="G3" i="49"/>
  <c r="C3" i="49"/>
  <c r="E5" i="53"/>
  <c r="G53" i="51"/>
  <c r="G47" i="51"/>
  <c r="G48" i="51"/>
  <c r="G51" i="51"/>
  <c r="G49" i="51"/>
  <c r="G52" i="51"/>
  <c r="G40" i="51"/>
  <c r="G39" i="51"/>
  <c r="G42" i="51"/>
  <c r="A349" i="55"/>
  <c r="M349" i="55" s="1"/>
  <c r="U42" i="51"/>
  <c r="S15" i="51"/>
  <c r="V15" i="51" s="1"/>
  <c r="T106" i="51"/>
  <c r="A344" i="55"/>
  <c r="M344" i="55" s="1"/>
  <c r="A341" i="55"/>
  <c r="M341" i="55" s="1"/>
  <c r="A345" i="55"/>
  <c r="M345" i="55" s="1"/>
  <c r="A340" i="55"/>
  <c r="M340" i="55" s="1"/>
  <c r="A343" i="55"/>
  <c r="M343" i="55" s="1"/>
  <c r="A342" i="55"/>
  <c r="M342" i="55" s="1"/>
  <c r="V164" i="51"/>
  <c r="V97" i="51"/>
  <c r="U102" i="51"/>
  <c r="U166" i="51"/>
  <c r="U165" i="51"/>
  <c r="T127" i="51"/>
  <c r="U127" i="51"/>
  <c r="U125" i="51"/>
  <c r="U123" i="51"/>
  <c r="U130" i="51"/>
  <c r="V123" i="51"/>
  <c r="V148" i="51"/>
  <c r="V126" i="51"/>
  <c r="U28" i="51"/>
  <c r="U59" i="51"/>
  <c r="U61" i="51"/>
  <c r="V66" i="51"/>
  <c r="U71" i="51"/>
  <c r="U90" i="51"/>
  <c r="U92" i="51"/>
  <c r="V93" i="51"/>
  <c r="U104" i="51"/>
  <c r="V108" i="51"/>
  <c r="U113" i="51"/>
  <c r="T115" i="51"/>
  <c r="V172" i="51"/>
  <c r="U86" i="51"/>
  <c r="U115" i="51"/>
  <c r="V132" i="51"/>
  <c r="V138" i="51"/>
  <c r="V154" i="51"/>
  <c r="U155" i="51"/>
  <c r="U161" i="51"/>
  <c r="V176" i="51"/>
  <c r="V25" i="51"/>
  <c r="V26" i="51"/>
  <c r="U27" i="51"/>
  <c r="V30" i="51"/>
  <c r="T44" i="51"/>
  <c r="T48" i="51"/>
  <c r="V62" i="51"/>
  <c r="T65" i="51"/>
  <c r="U73" i="51"/>
  <c r="T96" i="51"/>
  <c r="U149" i="51"/>
  <c r="U150" i="51"/>
  <c r="U152" i="51"/>
  <c r="U159" i="51"/>
  <c r="T49" i="51"/>
  <c r="T55" i="51"/>
  <c r="V57" i="51"/>
  <c r="V71" i="51"/>
  <c r="V80" i="51"/>
  <c r="U81" i="51"/>
  <c r="T85" i="51"/>
  <c r="V88" i="51"/>
  <c r="V102" i="51"/>
  <c r="V143" i="51"/>
  <c r="U144" i="51"/>
  <c r="U145" i="51"/>
  <c r="V147" i="51"/>
  <c r="T161" i="51"/>
  <c r="T33" i="51"/>
  <c r="V36" i="51"/>
  <c r="U37" i="51"/>
  <c r="T40" i="51"/>
  <c r="V41" i="51"/>
  <c r="V43" i="51"/>
  <c r="T45" i="51"/>
  <c r="U55" i="51"/>
  <c r="T62" i="51"/>
  <c r="V65" i="51"/>
  <c r="V81" i="51"/>
  <c r="V83" i="51"/>
  <c r="U85" i="51"/>
  <c r="V96" i="51"/>
  <c r="T97" i="51"/>
  <c r="V117" i="51"/>
  <c r="U118" i="51"/>
  <c r="V119" i="51"/>
  <c r="U138" i="51"/>
  <c r="T140" i="51"/>
  <c r="V145" i="51"/>
  <c r="V159" i="51"/>
  <c r="V171" i="51"/>
  <c r="T173" i="51"/>
  <c r="V175" i="51"/>
  <c r="T177" i="51"/>
  <c r="U178" i="51"/>
  <c r="T24" i="51"/>
  <c r="U32" i="51"/>
  <c r="T58" i="51"/>
  <c r="U66" i="51"/>
  <c r="U97" i="51"/>
  <c r="V110" i="51"/>
  <c r="V112" i="51"/>
  <c r="U120" i="51"/>
  <c r="U132" i="51"/>
  <c r="U134" i="51"/>
  <c r="U135" i="51"/>
  <c r="U140" i="51"/>
  <c r="T152" i="51"/>
  <c r="U154" i="51"/>
  <c r="U173" i="51"/>
  <c r="U177" i="51"/>
  <c r="V139" i="51"/>
  <c r="V146" i="51"/>
  <c r="U29" i="51"/>
  <c r="V33" i="51"/>
  <c r="V34" i="51"/>
  <c r="U35" i="51"/>
  <c r="T36" i="51"/>
  <c r="V47" i="51"/>
  <c r="W47" i="51" s="1"/>
  <c r="X47" i="51" s="1"/>
  <c r="U49" i="51"/>
  <c r="V50" i="51"/>
  <c r="T53" i="51"/>
  <c r="V55" i="51"/>
  <c r="V56" i="51"/>
  <c r="T57" i="51"/>
  <c r="V67" i="51"/>
  <c r="T68" i="51"/>
  <c r="V75" i="51"/>
  <c r="U76" i="51"/>
  <c r="V77" i="51"/>
  <c r="T78" i="51"/>
  <c r="V85" i="51"/>
  <c r="V87" i="51"/>
  <c r="T88" i="51"/>
  <c r="V98" i="51"/>
  <c r="V106" i="51"/>
  <c r="U107" i="51"/>
  <c r="T108" i="51"/>
  <c r="V128" i="51"/>
  <c r="V135" i="51"/>
  <c r="U136" i="51"/>
  <c r="V155" i="51"/>
  <c r="U156" i="51"/>
  <c r="U157" i="51"/>
  <c r="U168" i="51"/>
  <c r="U169" i="51"/>
  <c r="V173" i="51"/>
  <c r="V174" i="51"/>
  <c r="T175" i="51"/>
  <c r="V177" i="51"/>
  <c r="A464" i="52"/>
  <c r="V38" i="51"/>
  <c r="V133" i="51"/>
  <c r="W133" i="51" s="1"/>
  <c r="X133" i="51" s="1"/>
  <c r="V151" i="51"/>
  <c r="V160" i="51"/>
  <c r="V167" i="51"/>
  <c r="U25" i="51"/>
  <c r="V29" i="51"/>
  <c r="U31" i="51"/>
  <c r="U36" i="51"/>
  <c r="V40" i="51"/>
  <c r="U41" i="51"/>
  <c r="V51" i="51"/>
  <c r="U53" i="51"/>
  <c r="U57" i="51"/>
  <c r="T59" i="51"/>
  <c r="V64" i="51"/>
  <c r="U68" i="51"/>
  <c r="U70" i="51"/>
  <c r="T71" i="51"/>
  <c r="U78" i="51"/>
  <c r="T81" i="51"/>
  <c r="T90" i="51"/>
  <c r="V95" i="51"/>
  <c r="U99" i="51"/>
  <c r="U101" i="51"/>
  <c r="T102" i="51"/>
  <c r="U108" i="51"/>
  <c r="U110" i="51"/>
  <c r="T118" i="51"/>
  <c r="V121" i="51"/>
  <c r="E494" i="52" s="1"/>
  <c r="V122" i="51"/>
  <c r="T123" i="51"/>
  <c r="T125" i="51"/>
  <c r="V130" i="51"/>
  <c r="V131" i="51"/>
  <c r="T132" i="51"/>
  <c r="U137" i="51"/>
  <c r="T138" i="51"/>
  <c r="V140" i="51"/>
  <c r="V141" i="51"/>
  <c r="U142" i="51"/>
  <c r="U143" i="51"/>
  <c r="U148" i="51"/>
  <c r="V152" i="51"/>
  <c r="V153" i="51"/>
  <c r="T154" i="51"/>
  <c r="V157" i="51"/>
  <c r="U158" i="51"/>
  <c r="T159" i="51"/>
  <c r="V161" i="51"/>
  <c r="V162" i="51"/>
  <c r="U163" i="51"/>
  <c r="U164" i="51"/>
  <c r="V169" i="51"/>
  <c r="U170" i="51"/>
  <c r="U171" i="51"/>
  <c r="W171" i="51" s="1"/>
  <c r="X171" i="51" s="1"/>
  <c r="U175" i="51"/>
  <c r="A164" i="52"/>
  <c r="U43" i="51"/>
  <c r="V70" i="51"/>
  <c r="T77" i="51"/>
  <c r="U87" i="51"/>
  <c r="V107" i="51"/>
  <c r="U112" i="51"/>
  <c r="V124" i="51"/>
  <c r="V137" i="51"/>
  <c r="T137" i="51"/>
  <c r="U153" i="51"/>
  <c r="T153" i="51"/>
  <c r="V156" i="51"/>
  <c r="T156" i="51"/>
  <c r="U174" i="51"/>
  <c r="T174" i="51"/>
  <c r="V178" i="51"/>
  <c r="T178" i="51"/>
  <c r="U52" i="51"/>
  <c r="V165" i="51"/>
  <c r="T165" i="51"/>
  <c r="T35" i="51"/>
  <c r="U56" i="51"/>
  <c r="V76" i="51"/>
  <c r="U80" i="51"/>
  <c r="V92" i="51"/>
  <c r="T93" i="51"/>
  <c r="T94" i="51"/>
  <c r="V101" i="51"/>
  <c r="T105" i="51"/>
  <c r="T126" i="51"/>
  <c r="T30" i="51"/>
  <c r="T34" i="51"/>
  <c r="T38" i="51"/>
  <c r="V42" i="51"/>
  <c r="T46" i="51"/>
  <c r="T50" i="51"/>
  <c r="T51" i="51"/>
  <c r="T52" i="51"/>
  <c r="V54" i="51"/>
  <c r="V60" i="51"/>
  <c r="W60" i="51" s="1"/>
  <c r="X60" i="51" s="1"/>
  <c r="T64" i="51"/>
  <c r="U65" i="51"/>
  <c r="T70" i="51"/>
  <c r="V74" i="51"/>
  <c r="U75" i="51"/>
  <c r="T76" i="51"/>
  <c r="V79" i="51"/>
  <c r="W79" i="51" s="1"/>
  <c r="X79" i="51" s="1"/>
  <c r="V84" i="51"/>
  <c r="W84" i="51" s="1"/>
  <c r="X84" i="51" s="1"/>
  <c r="T89" i="51"/>
  <c r="V91" i="51"/>
  <c r="T92" i="51"/>
  <c r="V94" i="51"/>
  <c r="T95" i="51"/>
  <c r="U96" i="51"/>
  <c r="V100" i="51"/>
  <c r="T101" i="51"/>
  <c r="V105" i="51"/>
  <c r="U106" i="51"/>
  <c r="T107" i="51"/>
  <c r="V111" i="51"/>
  <c r="W111" i="51" s="1"/>
  <c r="X111" i="51" s="1"/>
  <c r="V116" i="51"/>
  <c r="T117" i="51"/>
  <c r="V120" i="51"/>
  <c r="V129" i="51"/>
  <c r="U131" i="51"/>
  <c r="T131" i="51"/>
  <c r="V134" i="51"/>
  <c r="T134" i="51"/>
  <c r="V142" i="51"/>
  <c r="T142" i="51"/>
  <c r="V158" i="51"/>
  <c r="T158" i="51"/>
  <c r="U162" i="51"/>
  <c r="T162" i="51"/>
  <c r="V168" i="51"/>
  <c r="T168" i="51"/>
  <c r="U48" i="51"/>
  <c r="U58" i="51"/>
  <c r="U82" i="51"/>
  <c r="U103" i="51"/>
  <c r="U109" i="51"/>
  <c r="U114" i="51"/>
  <c r="V118" i="51"/>
  <c r="T119" i="51"/>
  <c r="U129" i="51"/>
  <c r="T129" i="51"/>
  <c r="T133" i="51"/>
  <c r="U160" i="51"/>
  <c r="T160" i="51"/>
  <c r="U167" i="51"/>
  <c r="T167" i="51"/>
  <c r="V61" i="51"/>
  <c r="T74" i="51"/>
  <c r="U122" i="51"/>
  <c r="T122" i="51"/>
  <c r="V125" i="51"/>
  <c r="U141" i="51"/>
  <c r="T141" i="51"/>
  <c r="T61" i="51"/>
  <c r="T25" i="51"/>
  <c r="V27" i="51"/>
  <c r="T29" i="51"/>
  <c r="U30" i="51"/>
  <c r="U34" i="51"/>
  <c r="V35" i="51"/>
  <c r="U38" i="51"/>
  <c r="V39" i="51"/>
  <c r="T42" i="51"/>
  <c r="T43" i="51"/>
  <c r="V44" i="51"/>
  <c r="V45" i="51"/>
  <c r="U46" i="51"/>
  <c r="V48" i="51"/>
  <c r="V49" i="51"/>
  <c r="U50" i="51"/>
  <c r="V52" i="51"/>
  <c r="V53" i="51"/>
  <c r="T54" i="51"/>
  <c r="T56" i="51"/>
  <c r="V58" i="51"/>
  <c r="T60" i="51"/>
  <c r="U62" i="51"/>
  <c r="U63" i="51"/>
  <c r="U64" i="51"/>
  <c r="U67" i="51"/>
  <c r="W67" i="51" s="1"/>
  <c r="X67" i="51" s="1"/>
  <c r="V68" i="51"/>
  <c r="T69" i="51"/>
  <c r="V72" i="51"/>
  <c r="T73" i="51"/>
  <c r="U77" i="51"/>
  <c r="V78" i="51"/>
  <c r="T79" i="51"/>
  <c r="T80" i="51"/>
  <c r="V82" i="51"/>
  <c r="T83" i="51"/>
  <c r="T84" i="51"/>
  <c r="T87" i="51"/>
  <c r="V89" i="51"/>
  <c r="V90" i="51"/>
  <c r="T91" i="51"/>
  <c r="U93" i="51"/>
  <c r="U94" i="51"/>
  <c r="U95" i="51"/>
  <c r="U98" i="51"/>
  <c r="V99" i="51"/>
  <c r="T100" i="51"/>
  <c r="V103" i="51"/>
  <c r="T104" i="51"/>
  <c r="U105" i="51"/>
  <c r="V109" i="51"/>
  <c r="T110" i="51"/>
  <c r="T111" i="51"/>
  <c r="T112" i="51"/>
  <c r="V114" i="51"/>
  <c r="V115" i="51"/>
  <c r="T116" i="51"/>
  <c r="U124" i="51"/>
  <c r="T124" i="51"/>
  <c r="U126" i="51"/>
  <c r="W126" i="51" s="1"/>
  <c r="X126" i="51" s="1"/>
  <c r="V127" i="51"/>
  <c r="T128" i="51"/>
  <c r="V136" i="51"/>
  <c r="T136" i="51"/>
  <c r="U139" i="51"/>
  <c r="T139" i="51"/>
  <c r="V144" i="51"/>
  <c r="T144" i="51"/>
  <c r="U146" i="51"/>
  <c r="T146" i="51"/>
  <c r="V149" i="51"/>
  <c r="T149" i="51"/>
  <c r="U151" i="51"/>
  <c r="T151" i="51"/>
  <c r="V163" i="51"/>
  <c r="T163" i="51"/>
  <c r="V170" i="51"/>
  <c r="T170" i="51"/>
  <c r="U172" i="51"/>
  <c r="T172" i="51"/>
  <c r="U176" i="51"/>
  <c r="T135" i="51"/>
  <c r="T143" i="51"/>
  <c r="T145" i="51"/>
  <c r="T147" i="51"/>
  <c r="T148" i="51"/>
  <c r="T150" i="51"/>
  <c r="T155" i="51"/>
  <c r="T157" i="51"/>
  <c r="T164" i="51"/>
  <c r="T166" i="51"/>
  <c r="T169" i="51"/>
  <c r="T171" i="51"/>
  <c r="T176" i="51"/>
  <c r="A346" i="55"/>
  <c r="M346" i="55" s="1"/>
  <c r="W42" i="51"/>
  <c r="X42" i="51" s="1"/>
  <c r="E449" i="52"/>
  <c r="D332" i="52"/>
  <c r="E290" i="52"/>
  <c r="D290" i="52"/>
  <c r="D314" i="52"/>
  <c r="W27" i="51"/>
  <c r="W164" i="51"/>
  <c r="X164" i="51" s="1"/>
  <c r="W71" i="51"/>
  <c r="X71" i="51" s="1"/>
  <c r="W154" i="51"/>
  <c r="X154" i="51" s="1"/>
  <c r="E160" i="52"/>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D14"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381" i="52"/>
  <c r="D276" i="52"/>
  <c r="D244" i="52"/>
  <c r="E692" i="52"/>
  <c r="E635" i="52"/>
  <c r="E372" i="52"/>
  <c r="D233" i="52"/>
  <c r="D260" i="52"/>
  <c r="D228" i="52"/>
  <c r="E673" i="52"/>
  <c r="E663" i="52"/>
  <c r="E382" i="52"/>
  <c r="D184" i="52"/>
  <c r="D307" i="52"/>
  <c r="D274" i="52"/>
  <c r="D704" i="52"/>
  <c r="D363" i="52"/>
  <c r="E167" i="52"/>
  <c r="E266" i="52"/>
  <c r="E533" i="52"/>
  <c r="W159" i="51"/>
  <c r="X159" i="51" s="1"/>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D392" i="52"/>
  <c r="E333" i="52"/>
  <c r="D462" i="52"/>
  <c r="D347"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D445" i="52"/>
  <c r="E436" i="52"/>
  <c r="E446" i="52"/>
  <c r="D427" i="52"/>
  <c r="D337" i="52"/>
  <c r="E280" i="52"/>
  <c r="E192" i="52"/>
  <c r="W149" i="51"/>
  <c r="X149" i="51" s="1"/>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413" i="52"/>
  <c r="E404" i="52"/>
  <c r="E414" i="52"/>
  <c r="D395" i="52"/>
  <c r="D342" i="52"/>
  <c r="D21" i="52"/>
  <c r="D142" i="52"/>
  <c r="D110" i="52"/>
  <c r="D86" i="52"/>
  <c r="E67" i="52"/>
  <c r="D102" i="52"/>
  <c r="E151" i="52"/>
  <c r="E111" i="52"/>
  <c r="E95" i="52"/>
  <c r="D74" i="52"/>
  <c r="D134" i="52"/>
  <c r="E143" i="52"/>
  <c r="E119" i="52"/>
  <c r="D58" i="52"/>
  <c r="E39" i="52"/>
  <c r="E19" i="52"/>
  <c r="E152" i="52"/>
  <c r="E144" i="52"/>
  <c r="E136" i="52"/>
  <c r="E128" i="52"/>
  <c r="E120" i="52"/>
  <c r="E112" i="52"/>
  <c r="E104" i="52"/>
  <c r="E96" i="52"/>
  <c r="E88" i="52"/>
  <c r="E80" i="52"/>
  <c r="E72" i="52"/>
  <c r="E64" i="52"/>
  <c r="E56" i="52"/>
  <c r="E48" i="52"/>
  <c r="E40" i="52"/>
  <c r="E32" i="52"/>
  <c r="E24" i="52"/>
  <c r="E16" i="52"/>
  <c r="E47" i="52"/>
  <c r="E27" i="52"/>
  <c r="E157" i="52"/>
  <c r="D144" i="52"/>
  <c r="D136" i="52"/>
  <c r="D128" i="52"/>
  <c r="D120" i="52"/>
  <c r="D112" i="52"/>
  <c r="D104" i="52"/>
  <c r="D96" i="52"/>
  <c r="D88" i="52"/>
  <c r="D80" i="52"/>
  <c r="D72" i="52"/>
  <c r="D64" i="52"/>
  <c r="D56" i="52"/>
  <c r="D48" i="52"/>
  <c r="D40" i="52"/>
  <c r="D32" i="52"/>
  <c r="D24" i="52"/>
  <c r="D16"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46" i="52"/>
  <c r="D106" i="52"/>
  <c r="D90" i="52"/>
  <c r="E71" i="52"/>
  <c r="E115" i="52"/>
  <c r="D138" i="52"/>
  <c r="D114" i="52"/>
  <c r="D54" i="52"/>
  <c r="E35" i="52"/>
  <c r="D159" i="52"/>
  <c r="D151" i="52"/>
  <c r="D143" i="52"/>
  <c r="D135" i="52"/>
  <c r="D127" i="52"/>
  <c r="D119" i="52"/>
  <c r="D111" i="52"/>
  <c r="D103" i="52"/>
  <c r="D95" i="52"/>
  <c r="D87" i="52"/>
  <c r="D79" i="52"/>
  <c r="D71" i="52"/>
  <c r="D63" i="52"/>
  <c r="D55" i="52"/>
  <c r="D47" i="52"/>
  <c r="D39" i="52"/>
  <c r="D31" i="52"/>
  <c r="D23" i="52"/>
  <c r="D15" i="52"/>
  <c r="E43" i="52"/>
  <c r="E23" i="52"/>
  <c r="E149" i="52"/>
  <c r="E141" i="52"/>
  <c r="E133" i="52"/>
  <c r="E125" i="52"/>
  <c r="E117" i="52"/>
  <c r="E109" i="52"/>
  <c r="E101" i="52"/>
  <c r="E93" i="52"/>
  <c r="E85" i="52"/>
  <c r="E77" i="52"/>
  <c r="E69" i="52"/>
  <c r="E61" i="52"/>
  <c r="E53" i="52"/>
  <c r="E45" i="52"/>
  <c r="E37" i="52"/>
  <c r="E29" i="52"/>
  <c r="E21" i="52"/>
  <c r="E63" i="52"/>
  <c r="D38" i="52"/>
  <c r="D156" i="52"/>
  <c r="D161" i="52"/>
  <c r="D153" i="52"/>
  <c r="D145" i="52"/>
  <c r="D137" i="52"/>
  <c r="D129" i="52"/>
  <c r="D121" i="52"/>
  <c r="D113" i="52"/>
  <c r="D105" i="52"/>
  <c r="D97" i="52"/>
  <c r="D89" i="52"/>
  <c r="D81" i="52"/>
  <c r="D73" i="52"/>
  <c r="D65" i="52"/>
  <c r="D57" i="52"/>
  <c r="D49" i="52"/>
  <c r="D41" i="52"/>
  <c r="D33" i="52"/>
  <c r="D25" i="52"/>
  <c r="D17" i="52"/>
  <c r="D126" i="52"/>
  <c r="E99" i="52"/>
  <c r="D78" i="52"/>
  <c r="D150"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8" i="52"/>
  <c r="D140" i="52"/>
  <c r="D132" i="52"/>
  <c r="D124" i="52"/>
  <c r="D116" i="52"/>
  <c r="D108" i="52"/>
  <c r="D100" i="52"/>
  <c r="D92" i="52"/>
  <c r="D84" i="52"/>
  <c r="D76" i="52"/>
  <c r="D68" i="52"/>
  <c r="D60" i="52"/>
  <c r="D52" i="52"/>
  <c r="D44" i="52"/>
  <c r="D36" i="52"/>
  <c r="D28" i="52"/>
  <c r="D20" i="52"/>
  <c r="E59" i="52"/>
  <c r="D18" i="52"/>
  <c r="E153" i="52"/>
  <c r="E158" i="52"/>
  <c r="E150" i="52"/>
  <c r="E142" i="52"/>
  <c r="E134" i="52"/>
  <c r="E126" i="52"/>
  <c r="E118" i="52"/>
  <c r="E110" i="52"/>
  <c r="E102" i="52"/>
  <c r="E94" i="52"/>
  <c r="E86" i="52"/>
  <c r="E78" i="52"/>
  <c r="E70" i="52"/>
  <c r="E62" i="52"/>
  <c r="E54" i="52"/>
  <c r="E46" i="52"/>
  <c r="E38" i="52"/>
  <c r="E30" i="52"/>
  <c r="E22" i="52"/>
  <c r="E15" i="52"/>
  <c r="E147" i="52"/>
  <c r="D118" i="52"/>
  <c r="D94" i="52"/>
  <c r="E75" i="52"/>
  <c r="E123" i="52"/>
  <c r="D154" i="52"/>
  <c r="D122" i="52"/>
  <c r="D98" i="52"/>
  <c r="D82" i="52"/>
  <c r="E139" i="52"/>
  <c r="D162" i="52"/>
  <c r="D130" i="52"/>
  <c r="D62" i="52"/>
  <c r="D42" i="52"/>
  <c r="D26" i="52"/>
  <c r="D155" i="52"/>
  <c r="D147" i="52"/>
  <c r="D139" i="52"/>
  <c r="D131" i="52"/>
  <c r="D123" i="52"/>
  <c r="D115" i="52"/>
  <c r="D107" i="52"/>
  <c r="D99" i="52"/>
  <c r="D91" i="52"/>
  <c r="D83" i="52"/>
  <c r="D75" i="52"/>
  <c r="D67" i="52"/>
  <c r="D59" i="52"/>
  <c r="D51" i="52"/>
  <c r="D43" i="52"/>
  <c r="D35" i="52"/>
  <c r="D27" i="52"/>
  <c r="D19" i="52"/>
  <c r="D50" i="52"/>
  <c r="D30" i="52"/>
  <c r="D160" i="52"/>
  <c r="E145" i="52"/>
  <c r="E137" i="52"/>
  <c r="E129" i="52"/>
  <c r="E121" i="52"/>
  <c r="E113" i="52"/>
  <c r="E105" i="52"/>
  <c r="E97" i="52"/>
  <c r="E89" i="52"/>
  <c r="E81" i="52"/>
  <c r="E73" i="52"/>
  <c r="E65" i="52"/>
  <c r="E57" i="52"/>
  <c r="E49" i="52"/>
  <c r="E41" i="52"/>
  <c r="E33" i="52"/>
  <c r="E25" i="52"/>
  <c r="E17" i="52"/>
  <c r="E55" i="52"/>
  <c r="D152" i="52"/>
  <c r="D157" i="52"/>
  <c r="D149" i="52"/>
  <c r="D141" i="52"/>
  <c r="D133" i="52"/>
  <c r="D125" i="52"/>
  <c r="D117" i="52"/>
  <c r="D109" i="52"/>
  <c r="D101" i="52"/>
  <c r="D93" i="52"/>
  <c r="D85" i="52"/>
  <c r="D77" i="52"/>
  <c r="D69" i="52"/>
  <c r="D61" i="52"/>
  <c r="D53" i="52"/>
  <c r="D45" i="52"/>
  <c r="D37" i="52"/>
  <c r="D29" i="52"/>
  <c r="W138" i="51"/>
  <c r="W102" i="51"/>
  <c r="X102" i="51" s="1"/>
  <c r="W150" i="51"/>
  <c r="X150" i="51" s="1"/>
  <c r="W146" i="51"/>
  <c r="X146" i="51" s="1"/>
  <c r="W175" i="51"/>
  <c r="X175" i="51" s="1"/>
  <c r="W97" i="51"/>
  <c r="X97" i="51" s="1"/>
  <c r="W136" i="51"/>
  <c r="X136" i="51" s="1"/>
  <c r="W59" i="51"/>
  <c r="X59" i="51" s="1"/>
  <c r="W137" i="51"/>
  <c r="W151" i="51"/>
  <c r="X151" i="51" s="1"/>
  <c r="W141" i="51"/>
  <c r="X141" i="51" s="1"/>
  <c r="W168" i="51"/>
  <c r="X168" i="51" s="1"/>
  <c r="W134" i="51"/>
  <c r="X134" i="51" s="1"/>
  <c r="W123" i="51"/>
  <c r="X123" i="51" s="1"/>
  <c r="W120" i="51"/>
  <c r="M120" i="51" s="1"/>
  <c r="D163" i="52"/>
  <c r="W144" i="51"/>
  <c r="X144" i="51"/>
  <c r="W93" i="51"/>
  <c r="X93" i="51" s="1"/>
  <c r="E163" i="52"/>
  <c r="W147" i="51"/>
  <c r="E14" i="52"/>
  <c r="W172" i="51"/>
  <c r="X172" i="51" s="1"/>
  <c r="W124" i="51"/>
  <c r="X124" i="51" s="1"/>
  <c r="W49" i="51"/>
  <c r="X49" i="51"/>
  <c r="W101" i="51"/>
  <c r="X101" i="51" s="1"/>
  <c r="W61" i="51"/>
  <c r="W131" i="51"/>
  <c r="X131" i="51" s="1"/>
  <c r="W165" i="51"/>
  <c r="X165" i="51" s="1"/>
  <c r="W36" i="51"/>
  <c r="X36" i="51" s="1"/>
  <c r="W25" i="51"/>
  <c r="W73" i="51"/>
  <c r="X73" i="51" s="1"/>
  <c r="W125" i="51"/>
  <c r="X125" i="51" s="1"/>
  <c r="W76" i="51"/>
  <c r="X76" i="51" s="1"/>
  <c r="W104" i="51"/>
  <c r="X104" i="51"/>
  <c r="W50" i="51"/>
  <c r="X50" i="51" s="1"/>
  <c r="W166" i="51"/>
  <c r="X166" i="51" s="1"/>
  <c r="D763" i="52"/>
  <c r="D762" i="52"/>
  <c r="W174" i="51"/>
  <c r="X174" i="51" s="1"/>
  <c r="E762" i="52"/>
  <c r="E763" i="52"/>
  <c r="W118" i="51"/>
  <c r="X118" i="51" s="1"/>
  <c r="W87" i="51"/>
  <c r="W127" i="51"/>
  <c r="X127" i="51" s="1"/>
  <c r="W139" i="51"/>
  <c r="X139" i="51" s="1"/>
  <c r="W132" i="51"/>
  <c r="X132" i="51" s="1"/>
  <c r="W66" i="51"/>
  <c r="X66" i="51" s="1"/>
  <c r="W88" i="51"/>
  <c r="W57" i="51"/>
  <c r="X57" i="51" s="1"/>
  <c r="W162" i="51"/>
  <c r="X162" i="51" s="1"/>
  <c r="W178" i="51"/>
  <c r="W140" i="51"/>
  <c r="X140" i="51" s="1"/>
  <c r="W122" i="51"/>
  <c r="X122" i="51" s="1"/>
  <c r="W108" i="51"/>
  <c r="W43" i="51"/>
  <c r="X43" i="51" s="1"/>
  <c r="W153" i="51"/>
  <c r="X153" i="51" s="1"/>
  <c r="W152" i="51"/>
  <c r="X152" i="51" s="1"/>
  <c r="W155" i="51"/>
  <c r="X155" i="51" s="1"/>
  <c r="W163" i="51"/>
  <c r="X163" i="51" s="1"/>
  <c r="W157" i="51"/>
  <c r="X157" i="51" s="1"/>
  <c r="W95" i="51"/>
  <c r="W96" i="51"/>
  <c r="X96" i="51"/>
  <c r="W92" i="51"/>
  <c r="X92" i="51" s="1"/>
  <c r="W106" i="51"/>
  <c r="X106" i="51" s="1"/>
  <c r="W107" i="51"/>
  <c r="W110" i="51"/>
  <c r="X110" i="51" s="1"/>
  <c r="W77" i="51"/>
  <c r="W64" i="51"/>
  <c r="X64" i="51" s="1"/>
  <c r="W78" i="51"/>
  <c r="X78" i="51" s="1"/>
  <c r="W41" i="51"/>
  <c r="X41" i="51" s="1"/>
  <c r="W30" i="51"/>
  <c r="X30" i="51" s="1"/>
  <c r="W90" i="51"/>
  <c r="W62" i="51"/>
  <c r="X62" i="51" s="1"/>
  <c r="W38" i="51"/>
  <c r="W167" i="51"/>
  <c r="X167" i="51" s="1"/>
  <c r="W56" i="51"/>
  <c r="X56" i="51" s="1"/>
  <c r="W161" i="51"/>
  <c r="X161" i="51"/>
  <c r="E314" i="52"/>
  <c r="W170" i="51"/>
  <c r="X170" i="51" s="1"/>
  <c r="W35" i="51"/>
  <c r="W31" i="51"/>
  <c r="W75" i="51"/>
  <c r="X75" i="51" s="1"/>
  <c r="W70" i="51"/>
  <c r="X70" i="51" s="1"/>
  <c r="E614" i="52"/>
  <c r="W46" i="51"/>
  <c r="X46" i="51" s="1"/>
  <c r="W158" i="51"/>
  <c r="X158" i="51" s="1"/>
  <c r="W156" i="51"/>
  <c r="X156" i="51"/>
  <c r="W148" i="51"/>
  <c r="X148" i="51" s="1"/>
  <c r="W176" i="51"/>
  <c r="X176" i="51" s="1"/>
  <c r="W85" i="51"/>
  <c r="W80" i="51"/>
  <c r="X80" i="51" s="1"/>
  <c r="D164" i="52"/>
  <c r="W105" i="51"/>
  <c r="X105" i="51" s="1"/>
  <c r="W98" i="51"/>
  <c r="X98" i="51" s="1"/>
  <c r="W94" i="51"/>
  <c r="W112" i="51"/>
  <c r="X112" i="51" s="1"/>
  <c r="W40" i="51"/>
  <c r="X40" i="51" s="1"/>
  <c r="W173" i="51"/>
  <c r="X173" i="51" s="1"/>
  <c r="W117" i="51"/>
  <c r="X117" i="51" s="1"/>
  <c r="W37" i="51"/>
  <c r="W169" i="51"/>
  <c r="X169" i="51" s="1"/>
  <c r="W177" i="51"/>
  <c r="X177" i="51" s="1"/>
  <c r="E464" i="52"/>
  <c r="W34" i="51"/>
  <c r="W72" i="51"/>
  <c r="X72" i="51" s="1"/>
  <c r="W29" i="51"/>
  <c r="X29" i="51" s="1"/>
  <c r="W55" i="51"/>
  <c r="X55" i="51" s="1"/>
  <c r="W145" i="51"/>
  <c r="X145" i="51" s="1"/>
  <c r="W83" i="51"/>
  <c r="X83" i="51" s="1"/>
  <c r="W39" i="51"/>
  <c r="X39" i="51" s="1"/>
  <c r="W160" i="51"/>
  <c r="X160" i="51" s="1"/>
  <c r="W65" i="51"/>
  <c r="X65" i="51" s="1"/>
  <c r="W143" i="51"/>
  <c r="X143" i="51" s="1"/>
  <c r="W81" i="51"/>
  <c r="X81" i="51" s="1"/>
  <c r="W99" i="51"/>
  <c r="X99" i="51" s="1"/>
  <c r="E164" i="52"/>
  <c r="W53" i="51"/>
  <c r="X53" i="51" s="1"/>
  <c r="W91" i="51"/>
  <c r="W142" i="51"/>
  <c r="X142" i="51" s="1"/>
  <c r="W58" i="51"/>
  <c r="X58" i="51" s="1"/>
  <c r="W48" i="51"/>
  <c r="X48" i="51" s="1"/>
  <c r="W68" i="51"/>
  <c r="X68" i="51" s="1"/>
  <c r="W115" i="51"/>
  <c r="X115" i="51" s="1"/>
  <c r="W114" i="51"/>
  <c r="X114" i="51" s="1"/>
  <c r="W89" i="51"/>
  <c r="W52" i="51"/>
  <c r="X52" i="51"/>
  <c r="W129" i="51"/>
  <c r="X129" i="51" s="1"/>
  <c r="W109" i="51"/>
  <c r="X109" i="51"/>
  <c r="W103" i="51"/>
  <c r="X103" i="51" s="1"/>
  <c r="W82" i="51"/>
  <c r="X82" i="51"/>
  <c r="W44" i="51"/>
  <c r="X44" i="51" s="1"/>
  <c r="X120" i="51"/>
  <c r="X137" i="51"/>
  <c r="X138" i="51"/>
  <c r="X37" i="51"/>
  <c r="X38" i="51"/>
  <c r="X85" i="51"/>
  <c r="X178" i="51"/>
  <c r="X147" i="51"/>
  <c r="X95" i="51"/>
  <c r="X108" i="51"/>
  <c r="X94" i="51"/>
  <c r="X27" i="51"/>
  <c r="X34" i="51"/>
  <c r="X77" i="51"/>
  <c r="X31" i="51"/>
  <c r="X89" i="51"/>
  <c r="X91" i="51"/>
  <c r="X35" i="51"/>
  <c r="X90" i="51"/>
  <c r="X61" i="51"/>
  <c r="X88" i="51"/>
  <c r="X107" i="51"/>
  <c r="X87" i="51"/>
  <c r="X25" i="51"/>
  <c r="Q45" i="51"/>
  <c r="K148" i="51"/>
  <c r="P49" i="51"/>
  <c r="O152" i="51"/>
  <c r="J66" i="51"/>
  <c r="N160" i="51"/>
  <c r="N101" i="51"/>
  <c r="P174" i="51"/>
  <c r="L130" i="51"/>
  <c r="Q32" i="51"/>
  <c r="P134" i="51"/>
  <c r="M45" i="51"/>
  <c r="K143" i="51"/>
  <c r="N59" i="51"/>
  <c r="F103" i="51"/>
  <c r="I36" i="51"/>
  <c r="K134" i="51"/>
  <c r="K40" i="51"/>
  <c r="P143" i="51"/>
  <c r="M53" i="51"/>
  <c r="M152" i="51"/>
  <c r="O84" i="51"/>
  <c r="G112" i="51"/>
  <c r="M36" i="51"/>
  <c r="Q139" i="51"/>
  <c r="I40" i="51"/>
  <c r="F143" i="51"/>
  <c r="Q53" i="51"/>
  <c r="F152" i="51"/>
  <c r="N84" i="51"/>
  <c r="G174" i="51"/>
  <c r="K126" i="51"/>
  <c r="M174" i="51"/>
  <c r="O130" i="51"/>
  <c r="N45" i="51"/>
  <c r="J143" i="51"/>
  <c r="O55" i="51"/>
  <c r="H135" i="51"/>
  <c r="P109" i="51"/>
  <c r="O135" i="51"/>
  <c r="O113" i="51"/>
  <c r="I170" i="51"/>
  <c r="J126" i="51"/>
  <c r="L152" i="51"/>
  <c r="N82" i="51"/>
  <c r="G153" i="51"/>
  <c r="K118" i="51"/>
  <c r="N153" i="51"/>
  <c r="O122" i="51"/>
  <c r="L32" i="51"/>
  <c r="I134" i="51"/>
  <c r="O177" i="51"/>
  <c r="O95" i="51"/>
  <c r="L153" i="51"/>
  <c r="L122" i="51"/>
  <c r="K170" i="51"/>
  <c r="P126" i="51"/>
  <c r="K36" i="51"/>
  <c r="J134" i="51"/>
  <c r="P177" i="51"/>
  <c r="F95" i="51"/>
  <c r="M134" i="51"/>
  <c r="J62" i="51"/>
  <c r="J156" i="51"/>
  <c r="K66" i="51"/>
  <c r="L160" i="51"/>
  <c r="O74" i="51"/>
  <c r="F173" i="51"/>
  <c r="L31" i="51"/>
  <c r="P40" i="51"/>
  <c r="L143" i="51"/>
  <c r="L45" i="51"/>
  <c r="O148" i="51"/>
  <c r="Q58" i="51"/>
  <c r="M156" i="51"/>
  <c r="F89" i="51"/>
  <c r="L121" i="51"/>
  <c r="H49" i="51"/>
  <c r="J148" i="51"/>
  <c r="L53" i="51"/>
  <c r="N152" i="51"/>
  <c r="P66" i="51"/>
  <c r="H164" i="51"/>
  <c r="O105" i="51"/>
  <c r="G125" i="51"/>
  <c r="F53" i="51"/>
  <c r="K152" i="51"/>
  <c r="I53" i="51"/>
  <c r="O156" i="51"/>
  <c r="L70" i="51"/>
  <c r="J164" i="51"/>
  <c r="P140" i="51"/>
  <c r="K113" i="51"/>
  <c r="K153" i="51"/>
  <c r="P122" i="51"/>
  <c r="N174" i="51"/>
  <c r="J130" i="51"/>
  <c r="L169" i="51"/>
  <c r="M80" i="51"/>
  <c r="L100" i="51"/>
  <c r="L97" i="51"/>
  <c r="P104" i="51"/>
  <c r="G135" i="51"/>
  <c r="J113" i="51"/>
  <c r="H104" i="51"/>
  <c r="K70" i="51"/>
  <c r="Q169" i="51"/>
  <c r="P75" i="51"/>
  <c r="F63" i="51"/>
  <c r="J83" i="51"/>
  <c r="O67" i="51"/>
  <c r="N44" i="51"/>
  <c r="P53" i="51"/>
  <c r="J152" i="51"/>
  <c r="N62" i="51"/>
  <c r="N156" i="51"/>
  <c r="O70" i="51"/>
  <c r="F169" i="51"/>
  <c r="M161" i="51"/>
  <c r="G129" i="51"/>
  <c r="Q62" i="51"/>
  <c r="M160" i="51"/>
  <c r="H70" i="51"/>
  <c r="N164" i="51"/>
  <c r="O75" i="51"/>
  <c r="P173" i="51"/>
  <c r="Q35" i="51"/>
  <c r="K138" i="51"/>
  <c r="G66" i="51"/>
  <c r="P160" i="51"/>
  <c r="M70" i="51"/>
  <c r="L164" i="51"/>
  <c r="I79" i="51"/>
  <c r="F177" i="51"/>
  <c r="K39" i="51"/>
  <c r="O53" i="51"/>
  <c r="P152" i="51"/>
  <c r="G58" i="51"/>
  <c r="I156" i="51"/>
  <c r="Q70" i="51"/>
  <c r="Q164" i="51"/>
  <c r="F161" i="51"/>
  <c r="J36" i="51"/>
  <c r="Q134" i="51"/>
  <c r="H36" i="51"/>
  <c r="G139" i="51"/>
  <c r="N53" i="51"/>
  <c r="H152" i="51"/>
  <c r="I84" i="51"/>
  <c r="Q112" i="51"/>
  <c r="M40" i="51"/>
  <c r="Q143" i="51"/>
  <c r="F49" i="51"/>
  <c r="I148" i="51"/>
  <c r="G62" i="51"/>
  <c r="F156" i="51"/>
  <c r="I101" i="51"/>
  <c r="Q121" i="51"/>
  <c r="O45" i="51"/>
  <c r="O143" i="51"/>
  <c r="O49" i="51"/>
  <c r="N148" i="51"/>
  <c r="P62" i="51"/>
  <c r="H160" i="51"/>
  <c r="O101" i="51"/>
  <c r="G121" i="51"/>
  <c r="I59" i="51"/>
  <c r="L83" i="51"/>
  <c r="Q33" i="51"/>
  <c r="I88" i="51"/>
  <c r="K80" i="51"/>
  <c r="F100" i="51"/>
  <c r="P45" i="51"/>
  <c r="O57" i="51"/>
  <c r="Q66" i="51"/>
  <c r="I164" i="51"/>
  <c r="H74" i="51"/>
  <c r="H169" i="51"/>
  <c r="O79" i="51"/>
  <c r="J177" i="51"/>
  <c r="F43" i="51"/>
  <c r="K142" i="51"/>
  <c r="J74" i="51"/>
  <c r="K173" i="51"/>
  <c r="P79" i="51"/>
  <c r="I63" i="51"/>
  <c r="M92" i="51"/>
  <c r="J127" i="51"/>
  <c r="J48" i="51"/>
  <c r="J140" i="51"/>
  <c r="K74" i="51"/>
  <c r="Q173" i="51"/>
  <c r="F79" i="51"/>
  <c r="H67" i="51"/>
  <c r="J92" i="51"/>
  <c r="K135" i="51"/>
  <c r="N40" i="51"/>
  <c r="O139" i="51"/>
  <c r="J45" i="51"/>
  <c r="G143" i="51"/>
  <c r="O58" i="51"/>
  <c r="H156" i="51"/>
  <c r="M89" i="51"/>
  <c r="G170" i="51"/>
  <c r="K122" i="51"/>
  <c r="M170" i="51"/>
  <c r="O126" i="51"/>
  <c r="H80" i="51"/>
  <c r="G96" i="51"/>
  <c r="G80" i="51"/>
  <c r="O100" i="51"/>
  <c r="F135" i="51"/>
  <c r="I113" i="51"/>
  <c r="N96" i="51"/>
  <c r="K69" i="51"/>
  <c r="L79" i="51"/>
  <c r="K177" i="51"/>
  <c r="P83" i="51"/>
  <c r="K67" i="51"/>
  <c r="F96" i="51"/>
  <c r="N170" i="51"/>
  <c r="N52" i="51"/>
  <c r="P32" i="51"/>
  <c r="G83" i="51"/>
  <c r="P63" i="51"/>
  <c r="G92" i="51"/>
  <c r="G97" i="51"/>
  <c r="I104" i="51"/>
  <c r="F62" i="51"/>
  <c r="P61" i="51"/>
  <c r="N63" i="51"/>
  <c r="L88" i="51"/>
  <c r="G67" i="51"/>
  <c r="P96" i="51"/>
  <c r="F97" i="51"/>
  <c r="F104" i="51"/>
  <c r="L66" i="51"/>
  <c r="J65" i="51"/>
  <c r="N75" i="51"/>
  <c r="N173" i="51"/>
  <c r="K79" i="51"/>
  <c r="M67" i="51"/>
  <c r="I96" i="51"/>
  <c r="M153" i="51"/>
  <c r="L48" i="51"/>
  <c r="O62" i="51"/>
  <c r="K160" i="51"/>
  <c r="H66" i="51"/>
  <c r="O164" i="51"/>
  <c r="Q75" i="51"/>
  <c r="M173" i="51"/>
  <c r="O35" i="51"/>
  <c r="Q138" i="51"/>
  <c r="I70" i="51"/>
  <c r="F164" i="51"/>
  <c r="M74" i="51"/>
  <c r="J169" i="51"/>
  <c r="I83" i="51"/>
  <c r="N33" i="51"/>
  <c r="O43" i="51"/>
  <c r="Q63" i="51"/>
  <c r="J70" i="51"/>
  <c r="K169" i="51"/>
  <c r="N74" i="51"/>
  <c r="O173" i="51"/>
  <c r="F83" i="51"/>
  <c r="O63" i="51"/>
  <c r="P43" i="51"/>
  <c r="I80" i="51"/>
  <c r="N127" i="51"/>
  <c r="N109" i="51"/>
  <c r="Q135" i="51"/>
  <c r="F113" i="51"/>
  <c r="L170" i="51"/>
  <c r="I126" i="51"/>
  <c r="G148" i="51"/>
  <c r="F67" i="51"/>
  <c r="F92" i="51"/>
  <c r="N67" i="51"/>
  <c r="O96" i="51"/>
  <c r="F127" i="51"/>
  <c r="Q109" i="51"/>
  <c r="F75" i="51"/>
  <c r="Q65" i="51"/>
  <c r="N80" i="51"/>
  <c r="Q100" i="51"/>
  <c r="Q97" i="51"/>
  <c r="K104" i="51"/>
  <c r="F140" i="51"/>
  <c r="G113" i="51"/>
  <c r="G109" i="51"/>
  <c r="Q73" i="51"/>
  <c r="H97" i="51"/>
  <c r="G100" i="51"/>
  <c r="K97" i="51"/>
  <c r="O104" i="51"/>
  <c r="K140" i="51"/>
  <c r="J118" i="51"/>
  <c r="N113" i="51"/>
  <c r="M66" i="51"/>
  <c r="K164" i="51"/>
  <c r="N70" i="51"/>
  <c r="O169" i="51"/>
  <c r="J79" i="51"/>
  <c r="M177" i="51"/>
  <c r="H39" i="51"/>
  <c r="K49" i="51"/>
  <c r="P148" i="51"/>
  <c r="J53" i="51"/>
  <c r="I152" i="51"/>
  <c r="O66" i="51"/>
  <c r="Q160" i="51"/>
  <c r="I105" i="51"/>
  <c r="Q125" i="51"/>
  <c r="N58" i="51"/>
  <c r="K156" i="51"/>
  <c r="H62" i="51"/>
  <c r="O160" i="51"/>
  <c r="L74" i="51"/>
  <c r="M169" i="51"/>
  <c r="J161" i="51"/>
  <c r="L133" i="51"/>
  <c r="P58" i="51"/>
  <c r="P156" i="51"/>
  <c r="F66" i="51"/>
  <c r="I160" i="51"/>
  <c r="Q74" i="51"/>
  <c r="P169" i="51"/>
  <c r="N31" i="51"/>
  <c r="M91" i="51"/>
  <c r="J84" i="51"/>
  <c r="J170" i="51"/>
  <c r="F52" i="51"/>
  <c r="P36" i="51"/>
  <c r="Q153" i="51"/>
  <c r="Q122" i="51"/>
  <c r="F170" i="51"/>
  <c r="F126" i="51"/>
  <c r="L36" i="51"/>
  <c r="G134" i="51"/>
  <c r="O33" i="51"/>
  <c r="J97" i="51"/>
  <c r="Q104" i="51"/>
  <c r="Q127" i="51"/>
  <c r="J109" i="51"/>
  <c r="I153" i="51"/>
  <c r="I122" i="51"/>
  <c r="N126" i="51"/>
  <c r="J78" i="51"/>
  <c r="M135" i="51"/>
  <c r="L113" i="51"/>
  <c r="Q140" i="51"/>
  <c r="F118" i="51"/>
  <c r="O174" i="51"/>
  <c r="G126" i="51"/>
  <c r="Q156" i="51"/>
  <c r="M87" i="51"/>
  <c r="N135" i="51"/>
  <c r="Q113" i="51"/>
  <c r="G140" i="51"/>
  <c r="O118" i="51"/>
  <c r="L174" i="51"/>
  <c r="I130" i="51"/>
  <c r="G164" i="51"/>
  <c r="M97" i="51"/>
  <c r="L104" i="51"/>
  <c r="L127" i="51"/>
  <c r="M109" i="51"/>
  <c r="O153" i="51"/>
  <c r="G118" i="51"/>
  <c r="M122" i="51"/>
  <c r="P78" i="51"/>
  <c r="Q83" i="51"/>
  <c r="G63" i="51"/>
  <c r="I92" i="51"/>
  <c r="P97" i="51"/>
  <c r="J100" i="51"/>
  <c r="K53" i="51"/>
  <c r="N61" i="51"/>
  <c r="P67" i="51"/>
  <c r="L96" i="51"/>
  <c r="L80" i="51"/>
  <c r="P100" i="51"/>
  <c r="G127" i="51"/>
  <c r="O109" i="51"/>
  <c r="H83" i="51"/>
  <c r="L69" i="51"/>
  <c r="J67" i="51"/>
  <c r="Q96" i="51"/>
  <c r="Q80" i="51"/>
  <c r="K100" i="51"/>
  <c r="P135" i="51"/>
  <c r="L109" i="51"/>
  <c r="H92" i="51"/>
  <c r="Q69" i="51"/>
  <c r="J174" i="51"/>
  <c r="K32" i="51"/>
  <c r="L134" i="51"/>
  <c r="Q36" i="51"/>
  <c r="F139" i="51"/>
  <c r="I49" i="51"/>
  <c r="F148" i="51"/>
  <c r="O76" i="51"/>
  <c r="N140" i="51"/>
  <c r="Q118" i="51"/>
  <c r="P153" i="51"/>
  <c r="F122" i="51"/>
  <c r="J32" i="51"/>
  <c r="G130" i="51"/>
  <c r="H173" i="51"/>
  <c r="L95" i="51"/>
  <c r="P170" i="51"/>
  <c r="L126" i="51"/>
  <c r="K174" i="51"/>
  <c r="P130" i="51"/>
  <c r="O40" i="51"/>
  <c r="K139" i="51"/>
  <c r="H37" i="51"/>
  <c r="N99" i="51"/>
  <c r="H170" i="51"/>
  <c r="Q126" i="51"/>
  <c r="F174" i="51"/>
  <c r="F130" i="51"/>
  <c r="Q40" i="51"/>
  <c r="I143" i="51"/>
  <c r="H63" i="51"/>
  <c r="L92" i="51"/>
  <c r="I67" i="51"/>
  <c r="K96" i="51"/>
  <c r="P127" i="51"/>
  <c r="J104" i="51"/>
  <c r="G70" i="51"/>
  <c r="O65" i="51"/>
  <c r="I74" i="51"/>
  <c r="N169" i="51"/>
  <c r="G75" i="51"/>
  <c r="K63" i="51"/>
  <c r="M88" i="51"/>
  <c r="I97" i="51"/>
  <c r="Q44" i="51"/>
  <c r="K127" i="51"/>
  <c r="Q79" i="51"/>
  <c r="Q177" i="51"/>
  <c r="K83" i="51"/>
  <c r="P80" i="51"/>
  <c r="J96" i="51"/>
  <c r="N32" i="51"/>
  <c r="P52" i="51"/>
  <c r="F24" i="51"/>
  <c r="F40" i="51"/>
  <c r="O99" i="51"/>
  <c r="Q130" i="51"/>
  <c r="F134" i="51"/>
  <c r="H148" i="51"/>
  <c r="Q108" i="51"/>
  <c r="I109" i="51"/>
  <c r="N36" i="51"/>
  <c r="F80" i="51"/>
  <c r="G122" i="51"/>
  <c r="Q76" i="51"/>
  <c r="L129" i="51"/>
  <c r="I61" i="51"/>
  <c r="Q161" i="51"/>
  <c r="P139" i="51"/>
  <c r="N176" i="51"/>
  <c r="P72" i="51"/>
  <c r="J176" i="51"/>
  <c r="G117" i="51"/>
  <c r="Q43" i="51"/>
  <c r="G156" i="51"/>
  <c r="L87" i="51"/>
  <c r="G169" i="51"/>
  <c r="H46" i="51"/>
  <c r="P81" i="51"/>
  <c r="P46" i="51"/>
  <c r="H100" i="51"/>
  <c r="O69" i="51"/>
  <c r="K84" i="51"/>
  <c r="O112" i="51"/>
  <c r="P82" i="51"/>
  <c r="J119" i="51"/>
  <c r="G82" i="51"/>
  <c r="N119" i="51"/>
  <c r="G59" i="51"/>
  <c r="L67" i="51"/>
  <c r="I43" i="51"/>
  <c r="I127" i="51"/>
  <c r="I151" i="51"/>
  <c r="L34" i="51"/>
  <c r="Q133" i="51"/>
  <c r="L43" i="51"/>
  <c r="Q148" i="51"/>
  <c r="K82" i="51"/>
  <c r="J160" i="51"/>
  <c r="J46" i="51"/>
  <c r="O77" i="51"/>
  <c r="N46" i="51"/>
  <c r="Q142" i="51"/>
  <c r="P48" i="51"/>
  <c r="J173" i="51"/>
  <c r="M95" i="51"/>
  <c r="Q37" i="51"/>
  <c r="M50" i="51"/>
  <c r="G55" i="51"/>
  <c r="H71" i="51"/>
  <c r="N122" i="51"/>
  <c r="I78" i="51"/>
  <c r="Q101" i="51"/>
  <c r="J121" i="51"/>
  <c r="I108" i="51"/>
  <c r="K123" i="51"/>
  <c r="K108" i="51"/>
  <c r="H131" i="51"/>
  <c r="M84" i="51"/>
  <c r="O140" i="51"/>
  <c r="I48" i="51"/>
  <c r="I174" i="51"/>
  <c r="J155" i="51"/>
  <c r="O42" i="51"/>
  <c r="L142" i="51"/>
  <c r="N48" i="51"/>
  <c r="G173" i="51"/>
  <c r="N91" i="51"/>
  <c r="I177" i="51"/>
  <c r="P50" i="51"/>
  <c r="K33" i="51"/>
  <c r="I50" i="51"/>
  <c r="H40" i="51"/>
  <c r="F57" i="51"/>
  <c r="O37" i="51"/>
  <c r="K99" i="51"/>
  <c r="F105" i="51"/>
  <c r="M93" i="51"/>
  <c r="O161" i="51"/>
  <c r="G93" i="51"/>
  <c r="L148" i="51"/>
  <c r="J82" i="51"/>
  <c r="K105" i="51"/>
  <c r="O125" i="51"/>
  <c r="M121" i="51"/>
  <c r="I144" i="51"/>
  <c r="F121" i="51"/>
  <c r="M144" i="51"/>
  <c r="H101" i="51"/>
  <c r="L40" i="51"/>
  <c r="N57" i="51"/>
  <c r="H58" i="51"/>
  <c r="O163" i="51"/>
  <c r="N51" i="51"/>
  <c r="Q117" i="51"/>
  <c r="M31" i="51"/>
  <c r="M100" i="51"/>
  <c r="G69" i="51"/>
  <c r="M113" i="51"/>
  <c r="O172" i="51"/>
  <c r="I64" i="51"/>
  <c r="H172" i="51"/>
  <c r="K91" i="51"/>
  <c r="O39" i="51"/>
  <c r="M130" i="51"/>
  <c r="O78" i="51"/>
  <c r="N143" i="51"/>
  <c r="F176" i="51"/>
  <c r="F72" i="51"/>
  <c r="Q176" i="51"/>
  <c r="P74" i="51"/>
  <c r="H65" i="51"/>
  <c r="Q59" i="51"/>
  <c r="F108" i="51"/>
  <c r="L52" i="51"/>
  <c r="K110" i="51"/>
  <c r="G57" i="51"/>
  <c r="H114" i="51"/>
  <c r="J139" i="51"/>
  <c r="H127" i="51"/>
  <c r="O127" i="51"/>
  <c r="F153" i="51"/>
  <c r="H134" i="51"/>
  <c r="M127" i="51"/>
  <c r="K130" i="51"/>
  <c r="O83" i="51"/>
  <c r="O170" i="51"/>
  <c r="M148" i="51"/>
  <c r="M52" i="51"/>
  <c r="L112" i="51"/>
  <c r="H91" i="51"/>
  <c r="Q78" i="51"/>
  <c r="H43" i="51"/>
  <c r="P110" i="51"/>
  <c r="J44" i="51"/>
  <c r="H110" i="51"/>
  <c r="K92" i="51"/>
  <c r="F69" i="51"/>
  <c r="Q84" i="51"/>
  <c r="J112" i="51"/>
  <c r="N73" i="51"/>
  <c r="K114" i="51"/>
  <c r="H78" i="51"/>
  <c r="P119" i="51"/>
  <c r="L33" i="51"/>
  <c r="M99" i="51"/>
  <c r="J39" i="51"/>
  <c r="G138" i="51"/>
  <c r="O142" i="51"/>
  <c r="J157" i="51"/>
  <c r="G142" i="51"/>
  <c r="G165" i="51"/>
  <c r="I161" i="51"/>
  <c r="H96" i="51"/>
  <c r="J69" i="51"/>
  <c r="H109" i="51"/>
  <c r="L168" i="51"/>
  <c r="L64" i="51"/>
  <c r="G133" i="51"/>
  <c r="P69" i="51"/>
  <c r="L84" i="51"/>
  <c r="I112" i="51"/>
  <c r="M69" i="51"/>
  <c r="J114" i="51"/>
  <c r="N69" i="51"/>
  <c r="N114" i="51"/>
  <c r="P118" i="51"/>
  <c r="O73" i="51"/>
  <c r="L101" i="51"/>
  <c r="I121" i="51"/>
  <c r="P103" i="51"/>
  <c r="J123" i="51"/>
  <c r="G103" i="51"/>
  <c r="N123" i="51"/>
  <c r="P55" i="51"/>
  <c r="J103" i="51"/>
  <c r="M43" i="51"/>
  <c r="O80" i="51"/>
  <c r="O151" i="51"/>
  <c r="N34" i="51"/>
  <c r="H151" i="51"/>
  <c r="K34" i="51"/>
  <c r="M35" i="51"/>
  <c r="N118" i="51"/>
  <c r="G73" i="51"/>
  <c r="N130" i="51"/>
  <c r="O176" i="51"/>
  <c r="K68" i="51"/>
  <c r="K62" i="51"/>
  <c r="F73" i="51"/>
  <c r="J89" i="51"/>
  <c r="O117" i="51"/>
  <c r="N95" i="51"/>
  <c r="I123" i="51"/>
  <c r="P99" i="51"/>
  <c r="M123" i="51"/>
  <c r="H143" i="51"/>
  <c r="M82" i="51"/>
  <c r="Q105" i="51"/>
  <c r="J125" i="51"/>
  <c r="N117" i="51"/>
  <c r="K131" i="51"/>
  <c r="K117" i="51"/>
  <c r="H144" i="51"/>
  <c r="H84" i="51"/>
  <c r="I135" i="51"/>
  <c r="K48" i="51"/>
  <c r="Q170" i="51"/>
  <c r="I155" i="51"/>
  <c r="F42" i="51"/>
  <c r="M155" i="51"/>
  <c r="O103" i="51"/>
  <c r="J43" i="51"/>
  <c r="M143" i="51"/>
  <c r="Q82" i="51"/>
  <c r="L156" i="51"/>
  <c r="H41" i="51"/>
  <c r="M77" i="51"/>
  <c r="O82" i="51"/>
  <c r="I52" i="51"/>
  <c r="P33" i="51"/>
  <c r="Q99" i="51"/>
  <c r="G101" i="51"/>
  <c r="O71" i="51"/>
  <c r="F101" i="51"/>
  <c r="H93" i="51"/>
  <c r="I66" i="51"/>
  <c r="N65" i="51"/>
  <c r="O59" i="51"/>
  <c r="P108" i="51"/>
  <c r="O48" i="51"/>
  <c r="J110" i="51"/>
  <c r="Q48" i="51"/>
  <c r="N110" i="51"/>
  <c r="I169" i="51"/>
  <c r="F91" i="51"/>
  <c r="Q31" i="51"/>
  <c r="I133" i="51"/>
  <c r="H133" i="51"/>
  <c r="M149" i="51"/>
  <c r="P133" i="51"/>
  <c r="Q149" i="51"/>
  <c r="M105" i="51"/>
  <c r="P70" i="51"/>
  <c r="G65" i="51"/>
  <c r="N37" i="51"/>
  <c r="H174" i="51"/>
  <c r="O32" i="51"/>
  <c r="J49" i="51"/>
  <c r="P59" i="51"/>
  <c r="M32" i="51"/>
  <c r="N177" i="51"/>
  <c r="P113" i="51"/>
  <c r="L49" i="51"/>
  <c r="J40" i="51"/>
  <c r="I82" i="51"/>
  <c r="K109" i="51"/>
  <c r="H126" i="51"/>
  <c r="K103" i="51"/>
  <c r="N125" i="51"/>
  <c r="O144" i="51"/>
  <c r="K125" i="51"/>
  <c r="G149" i="51"/>
  <c r="M33" i="51"/>
  <c r="H99" i="51"/>
  <c r="P35" i="51"/>
  <c r="J138" i="51"/>
  <c r="M142" i="51"/>
  <c r="M157" i="51"/>
  <c r="F142" i="51"/>
  <c r="Q157" i="51"/>
  <c r="H105" i="51"/>
  <c r="I62" i="51"/>
  <c r="Q61" i="51"/>
  <c r="G74" i="51"/>
  <c r="O167" i="51"/>
  <c r="O56" i="51"/>
  <c r="I167" i="51"/>
  <c r="J153" i="51"/>
  <c r="K52" i="51"/>
  <c r="J33" i="51"/>
  <c r="L99" i="51"/>
  <c r="F84" i="51"/>
  <c r="J71" i="51"/>
  <c r="N105" i="51"/>
  <c r="G160" i="51"/>
  <c r="J95" i="51"/>
  <c r="N35" i="51"/>
  <c r="O133" i="51"/>
  <c r="N138" i="51"/>
  <c r="H157" i="51"/>
  <c r="O138" i="51"/>
  <c r="L157" i="51"/>
  <c r="F55" i="51"/>
  <c r="M103" i="51"/>
  <c r="N43" i="51"/>
  <c r="Q67" i="51"/>
  <c r="G146" i="51"/>
  <c r="J165" i="51"/>
  <c r="N146" i="51"/>
  <c r="M34" i="51"/>
  <c r="L161" i="51"/>
  <c r="N83" i="51"/>
  <c r="I69" i="51"/>
  <c r="N100" i="51"/>
  <c r="N168" i="51"/>
  <c r="N64" i="51"/>
  <c r="J168" i="51"/>
  <c r="H53" i="51"/>
  <c r="G61" i="51"/>
  <c r="N55" i="51"/>
  <c r="Q103" i="51"/>
  <c r="N39" i="51"/>
  <c r="M106" i="51"/>
  <c r="H48" i="51"/>
  <c r="L177" i="51"/>
  <c r="H103" i="51"/>
  <c r="I39" i="51"/>
  <c r="J63" i="51"/>
  <c r="K146" i="51"/>
  <c r="M165" i="51"/>
  <c r="P146" i="51"/>
  <c r="I165" i="51"/>
  <c r="F76" i="51"/>
  <c r="N97" i="51"/>
  <c r="M44" i="51"/>
  <c r="H153" i="51"/>
  <c r="O155" i="51"/>
  <c r="I38" i="51"/>
  <c r="H155" i="51"/>
  <c r="Q38" i="51"/>
  <c r="J35" i="51"/>
  <c r="H113" i="51"/>
  <c r="J73" i="51"/>
  <c r="M126" i="51"/>
  <c r="L172" i="51"/>
  <c r="F68" i="51"/>
  <c r="F172" i="51"/>
  <c r="H79" i="51"/>
  <c r="L65" i="51"/>
  <c r="N76" i="51"/>
  <c r="J108" i="51"/>
  <c r="F65" i="51"/>
  <c r="I114" i="51"/>
  <c r="K65" i="51"/>
  <c r="M83" i="51"/>
  <c r="H82" i="51"/>
  <c r="L105" i="51"/>
  <c r="I125" i="51"/>
  <c r="N112" i="51"/>
  <c r="J131" i="51"/>
  <c r="K112" i="51"/>
  <c r="N131" i="51"/>
  <c r="M164" i="51"/>
  <c r="G91" i="51"/>
  <c r="N161" i="51"/>
  <c r="O129" i="51"/>
  <c r="M129" i="51"/>
  <c r="H149" i="51"/>
  <c r="F129" i="51"/>
  <c r="L149" i="51"/>
  <c r="G89" i="51"/>
  <c r="O36" i="51"/>
  <c r="Q52" i="51"/>
  <c r="Q49" i="51"/>
  <c r="N159" i="51"/>
  <c r="P47" i="51"/>
  <c r="Q159" i="51"/>
  <c r="Q129" i="51"/>
  <c r="L44" i="51"/>
  <c r="L73" i="51"/>
  <c r="G104" i="51"/>
  <c r="F109" i="51"/>
  <c r="J122" i="51"/>
  <c r="K78" i="51"/>
  <c r="G79" i="51"/>
  <c r="L135" i="51"/>
  <c r="O134" i="51"/>
  <c r="I100" i="51"/>
  <c r="N139" i="51"/>
  <c r="L37" i="51"/>
  <c r="F39" i="51"/>
  <c r="Q55" i="51"/>
  <c r="J129" i="51"/>
  <c r="O159" i="51"/>
  <c r="M42" i="51"/>
  <c r="H159" i="51"/>
  <c r="F47" i="51"/>
  <c r="J101" i="51"/>
  <c r="F58" i="51"/>
  <c r="O61" i="51"/>
  <c r="F70" i="51"/>
  <c r="H163" i="51"/>
  <c r="I51" i="51"/>
  <c r="M163" i="51"/>
  <c r="L125" i="51"/>
  <c r="K44" i="51"/>
  <c r="F160" i="51"/>
  <c r="L91" i="51"/>
  <c r="L173" i="51"/>
  <c r="L46" i="51"/>
  <c r="F81" i="51"/>
  <c r="M46" i="51"/>
  <c r="H130" i="51"/>
  <c r="N78" i="51"/>
  <c r="K101" i="51"/>
  <c r="O121" i="51"/>
  <c r="H112" i="51"/>
  <c r="I131" i="51"/>
  <c r="I103" i="51"/>
  <c r="M101" i="51"/>
  <c r="M49" i="51"/>
  <c r="Q57" i="51"/>
  <c r="N66" i="51"/>
  <c r="P163" i="51"/>
  <c r="M51" i="51"/>
  <c r="F163" i="51"/>
  <c r="H51" i="51"/>
  <c r="G161" i="51"/>
  <c r="M79" i="51"/>
  <c r="M65" i="51"/>
  <c r="M96" i="51"/>
  <c r="O168" i="51"/>
  <c r="Q60" i="51"/>
  <c r="H168" i="51"/>
  <c r="O97" i="51"/>
  <c r="M48" i="51"/>
  <c r="H177" i="51"/>
  <c r="K95" i="51"/>
  <c r="P76" i="51"/>
  <c r="I71" i="51"/>
  <c r="G76" i="51"/>
  <c r="M71" i="51"/>
  <c r="Q152" i="51"/>
  <c r="H87" i="51"/>
  <c r="K161" i="51"/>
  <c r="I129" i="51"/>
  <c r="H125" i="51"/>
  <c r="J144" i="51"/>
  <c r="G108" i="51"/>
  <c r="J105" i="51"/>
  <c r="F74" i="51"/>
  <c r="P65" i="51"/>
  <c r="H88" i="51"/>
  <c r="M167" i="51"/>
  <c r="K60" i="51"/>
  <c r="H167" i="51"/>
  <c r="O60" i="51"/>
  <c r="K31" i="51"/>
  <c r="N104" i="51"/>
  <c r="I73" i="51"/>
  <c r="H122" i="51"/>
  <c r="N172" i="51"/>
  <c r="P68" i="51"/>
  <c r="J172" i="51"/>
  <c r="N49" i="51"/>
  <c r="P57" i="51"/>
  <c r="I37" i="51"/>
  <c r="L103" i="51"/>
  <c r="J31" i="51"/>
  <c r="F93" i="51"/>
  <c r="P31" i="51"/>
  <c r="H106" i="51"/>
  <c r="I173" i="51"/>
  <c r="I95" i="51"/>
  <c r="O31" i="51"/>
  <c r="J133" i="51"/>
  <c r="N133" i="51"/>
  <c r="F149" i="51"/>
  <c r="K73" i="51"/>
  <c r="P37" i="51"/>
  <c r="J80" i="51"/>
  <c r="O44" i="51"/>
  <c r="J135" i="51"/>
  <c r="J151" i="51"/>
  <c r="K38" i="51"/>
  <c r="N151" i="51"/>
  <c r="O38" i="51"/>
  <c r="H89" i="51"/>
  <c r="Q174" i="51"/>
  <c r="O52" i="51"/>
  <c r="K45" i="51"/>
  <c r="I159" i="51"/>
  <c r="K47" i="51"/>
  <c r="M159" i="51"/>
  <c r="I99" i="51"/>
  <c r="P39" i="51"/>
  <c r="N134" i="51"/>
  <c r="L82" i="51"/>
  <c r="G152" i="51"/>
  <c r="K41" i="51"/>
  <c r="K72" i="51"/>
  <c r="O41" i="51"/>
  <c r="M104" i="51"/>
  <c r="P73" i="51"/>
  <c r="L89" i="51"/>
  <c r="J117" i="51"/>
  <c r="K37" i="51"/>
  <c r="O91" i="51"/>
  <c r="I91" i="51"/>
  <c r="K119" i="51"/>
  <c r="J91" i="51"/>
  <c r="H123" i="51"/>
  <c r="K133" i="51"/>
  <c r="L56" i="51"/>
  <c r="G168" i="51"/>
  <c r="H60" i="51"/>
  <c r="I168" i="51"/>
  <c r="J64" i="51"/>
  <c r="P158" i="51"/>
  <c r="I115" i="51"/>
  <c r="L86" i="51"/>
  <c r="G77" i="51"/>
  <c r="I46" i="51"/>
  <c r="M81" i="51"/>
  <c r="J50" i="51"/>
  <c r="N81" i="51"/>
  <c r="Q175" i="51"/>
  <c r="J132" i="51"/>
  <c r="H111" i="51"/>
  <c r="N108" i="51"/>
  <c r="L131" i="51"/>
  <c r="F112" i="51"/>
  <c r="F131" i="51"/>
  <c r="P120" i="51"/>
  <c r="L59" i="51"/>
  <c r="J158" i="51"/>
  <c r="J137" i="51"/>
  <c r="M125" i="51"/>
  <c r="G144" i="51"/>
  <c r="P129" i="51"/>
  <c r="O149" i="51"/>
  <c r="K124" i="51"/>
  <c r="J76" i="51"/>
  <c r="L166" i="51"/>
  <c r="M114" i="51"/>
  <c r="P117" i="51"/>
  <c r="O131" i="51"/>
  <c r="P121" i="51"/>
  <c r="P144" i="51"/>
  <c r="K120" i="51"/>
  <c r="H138" i="51"/>
  <c r="L162" i="51"/>
  <c r="I141" i="51"/>
  <c r="G151" i="51"/>
  <c r="Q34" i="51"/>
  <c r="P151" i="51"/>
  <c r="P34" i="51"/>
  <c r="Q137" i="51"/>
  <c r="I90" i="51"/>
  <c r="K25" i="51"/>
  <c r="I68" i="51"/>
  <c r="G176" i="51"/>
  <c r="N68" i="51"/>
  <c r="I176" i="51"/>
  <c r="L72" i="51"/>
  <c r="F166" i="51"/>
  <c r="I124" i="51"/>
  <c r="H98" i="51"/>
  <c r="O72" i="51"/>
  <c r="I41" i="51"/>
  <c r="F77" i="51"/>
  <c r="O46" i="51"/>
  <c r="L81" i="51"/>
  <c r="K175" i="51"/>
  <c r="N155" i="51"/>
  <c r="O68" i="51"/>
  <c r="P176" i="51"/>
  <c r="M72" i="51"/>
  <c r="N41" i="51"/>
  <c r="G72" i="51"/>
  <c r="K171" i="51"/>
  <c r="O124" i="51"/>
  <c r="N98" i="51"/>
  <c r="H161" i="51"/>
  <c r="J93" i="51"/>
  <c r="L35" i="51"/>
  <c r="I106" i="51"/>
  <c r="P98" i="51"/>
  <c r="J26" i="51"/>
  <c r="F141" i="51"/>
  <c r="H124" i="51"/>
  <c r="M133" i="51"/>
  <c r="N149" i="51"/>
  <c r="F138" i="51"/>
  <c r="O157" i="51"/>
  <c r="K128" i="51"/>
  <c r="H42" i="51"/>
  <c r="P171" i="51"/>
  <c r="H150" i="51"/>
  <c r="H146" i="51"/>
  <c r="Q165" i="51"/>
  <c r="Q146" i="51"/>
  <c r="P165" i="51"/>
  <c r="F136" i="51"/>
  <c r="H86" i="51"/>
  <c r="K30" i="51"/>
  <c r="N71" i="51"/>
  <c r="H73" i="51"/>
  <c r="O114" i="51"/>
  <c r="G78" i="51"/>
  <c r="F119" i="51"/>
  <c r="P111" i="51"/>
  <c r="K27" i="51"/>
  <c r="J150" i="51"/>
  <c r="M132" i="51"/>
  <c r="N129" i="51"/>
  <c r="P149" i="51"/>
  <c r="F133" i="51"/>
  <c r="J149" i="51"/>
  <c r="F128" i="51"/>
  <c r="H31" i="51"/>
  <c r="O171" i="51"/>
  <c r="Q47" i="51"/>
  <c r="N167" i="51"/>
  <c r="M56" i="51"/>
  <c r="Q167" i="51"/>
  <c r="G60" i="51"/>
  <c r="F154" i="51"/>
  <c r="J111" i="51"/>
  <c r="J99" i="51"/>
  <c r="I142" i="51"/>
  <c r="F146" i="51"/>
  <c r="F165" i="51"/>
  <c r="J146" i="51"/>
  <c r="L165" i="51"/>
  <c r="Q168" i="51"/>
  <c r="J37" i="51"/>
  <c r="Q50" i="51"/>
  <c r="H59" i="51"/>
  <c r="P71" i="51"/>
  <c r="L90" i="51"/>
  <c r="N25" i="51"/>
  <c r="J136" i="51"/>
  <c r="H115" i="51"/>
  <c r="F78" i="51"/>
  <c r="Q119" i="51"/>
  <c r="I87" i="51"/>
  <c r="G119" i="51"/>
  <c r="F111" i="51"/>
  <c r="H44" i="51"/>
  <c r="O154" i="51"/>
  <c r="N132" i="51"/>
  <c r="L151" i="51"/>
  <c r="O34" i="51"/>
  <c r="F151" i="51"/>
  <c r="N38" i="51"/>
  <c r="G137" i="51"/>
  <c r="N90" i="51"/>
  <c r="P25" i="51"/>
  <c r="N158" i="51"/>
  <c r="G159" i="51"/>
  <c r="Q42" i="51"/>
  <c r="P159" i="51"/>
  <c r="N47" i="51"/>
  <c r="Q145" i="51"/>
  <c r="F98" i="51"/>
  <c r="M39" i="51"/>
  <c r="F38" i="51"/>
  <c r="G155" i="51"/>
  <c r="H38" i="51"/>
  <c r="P155" i="51"/>
  <c r="M38" i="51"/>
  <c r="Q141" i="51"/>
  <c r="F94" i="51"/>
  <c r="P29" i="51"/>
  <c r="F60" i="51"/>
  <c r="M168" i="51"/>
  <c r="F64" i="51"/>
  <c r="F168" i="51"/>
  <c r="O64" i="51"/>
  <c r="F158" i="51"/>
  <c r="J115" i="51"/>
  <c r="Q86" i="51"/>
  <c r="K35" i="51"/>
  <c r="L106" i="51"/>
  <c r="K43" i="51"/>
  <c r="L110" i="51"/>
  <c r="K98" i="51"/>
  <c r="M24" i="51"/>
  <c r="K141" i="51"/>
  <c r="M124" i="51"/>
  <c r="I65" i="51"/>
  <c r="Q114" i="51"/>
  <c r="M73" i="51"/>
  <c r="G114" i="51"/>
  <c r="I107" i="51"/>
  <c r="O27" i="51"/>
  <c r="P41" i="51"/>
  <c r="P44" i="51"/>
  <c r="M110" i="51"/>
  <c r="H52" i="51"/>
  <c r="F110" i="51"/>
  <c r="P102" i="51"/>
  <c r="J24" i="51"/>
  <c r="F145" i="51"/>
  <c r="H128" i="51"/>
  <c r="H121" i="51"/>
  <c r="L144" i="51"/>
  <c r="K121" i="51"/>
  <c r="F144" i="51"/>
  <c r="P124" i="51"/>
  <c r="L137" i="51"/>
  <c r="I162" i="51"/>
  <c r="J141" i="51"/>
  <c r="G163" i="51"/>
  <c r="F51" i="51"/>
  <c r="J163" i="51"/>
  <c r="L51" i="51"/>
  <c r="P150" i="51"/>
  <c r="F102" i="51"/>
  <c r="P28" i="51"/>
  <c r="F56" i="51"/>
  <c r="L167" i="51"/>
  <c r="N60" i="51"/>
  <c r="K168" i="51"/>
  <c r="P60" i="51"/>
  <c r="K158" i="51"/>
  <c r="O111" i="51"/>
  <c r="L75" i="51"/>
  <c r="N144" i="51"/>
  <c r="H142" i="51"/>
  <c r="P157" i="51"/>
  <c r="N142" i="51"/>
  <c r="F157" i="51"/>
  <c r="F132" i="51"/>
  <c r="P94" i="51"/>
  <c r="O175" i="51"/>
  <c r="N150" i="51"/>
  <c r="F159" i="51"/>
  <c r="L47" i="51"/>
  <c r="K163" i="51"/>
  <c r="J51" i="51"/>
  <c r="K150" i="51"/>
  <c r="I102" i="51"/>
  <c r="N28" i="51"/>
  <c r="I81" i="51"/>
  <c r="F50" i="51"/>
  <c r="K81" i="51"/>
  <c r="H50" i="51"/>
  <c r="G81" i="51"/>
  <c r="N30" i="51"/>
  <c r="O132" i="51"/>
  <c r="M111" i="51"/>
  <c r="K89" i="51"/>
  <c r="G71" i="51"/>
  <c r="G105" i="51"/>
  <c r="I93" i="51"/>
  <c r="P164" i="51"/>
  <c r="N79" i="51"/>
  <c r="P167" i="51"/>
  <c r="Q56" i="51"/>
  <c r="F167" i="51"/>
  <c r="J42" i="51"/>
  <c r="I110" i="51"/>
  <c r="G99" i="51"/>
  <c r="Q123" i="51"/>
  <c r="H108" i="51"/>
  <c r="G123" i="51"/>
  <c r="F115" i="51"/>
  <c r="F36" i="51"/>
  <c r="O158" i="51"/>
  <c r="N136" i="51"/>
  <c r="J142" i="51"/>
  <c r="N157" i="51"/>
  <c r="M146" i="51"/>
  <c r="O165" i="51"/>
  <c r="K132" i="51"/>
  <c r="P92" i="51"/>
  <c r="P175" i="51"/>
  <c r="I60" i="51"/>
  <c r="P168" i="51"/>
  <c r="K64" i="51"/>
  <c r="K172" i="51"/>
  <c r="P64" i="51"/>
  <c r="K162" i="51"/>
  <c r="O115" i="51"/>
  <c r="M90" i="51"/>
  <c r="J68" i="51"/>
  <c r="M176" i="51"/>
  <c r="H72" i="51"/>
  <c r="L176" i="51"/>
  <c r="Q72" i="51"/>
  <c r="M166" i="51"/>
  <c r="J124" i="51"/>
  <c r="M151" i="51"/>
  <c r="M64" i="51"/>
  <c r="M172" i="51"/>
  <c r="H68" i="51"/>
  <c r="Q172" i="51"/>
  <c r="Q68" i="51"/>
  <c r="M162" i="51"/>
  <c r="J120" i="51"/>
  <c r="I94" i="51"/>
  <c r="F59" i="51"/>
  <c r="L71" i="51"/>
  <c r="G84" i="51"/>
  <c r="F71" i="51"/>
  <c r="F90" i="51"/>
  <c r="L25" i="51"/>
  <c r="O136" i="51"/>
  <c r="M115" i="51"/>
  <c r="N121" i="51"/>
  <c r="Q144" i="51"/>
  <c r="F125" i="51"/>
  <c r="K144" i="51"/>
  <c r="F124" i="51"/>
  <c r="N93" i="51"/>
  <c r="O166" i="51"/>
  <c r="O141" i="51"/>
  <c r="P138" i="51"/>
  <c r="K157" i="51"/>
  <c r="P142" i="51"/>
  <c r="I157" i="51"/>
  <c r="P132" i="51"/>
  <c r="L62" i="51"/>
  <c r="M131" i="51"/>
  <c r="H129" i="51"/>
  <c r="K149" i="51"/>
  <c r="K129" i="51"/>
  <c r="I149" i="51"/>
  <c r="P128" i="51"/>
  <c r="H117" i="51"/>
  <c r="I166" i="51"/>
  <c r="J145" i="51"/>
  <c r="L155" i="51"/>
  <c r="L38" i="51"/>
  <c r="F155" i="51"/>
  <c r="K42" i="51"/>
  <c r="G141" i="51"/>
  <c r="J94" i="51"/>
  <c r="M26" i="51"/>
  <c r="J72" i="51"/>
  <c r="L41" i="51"/>
  <c r="L77" i="51"/>
  <c r="Q41" i="51"/>
  <c r="N77" i="51"/>
  <c r="Q171" i="51"/>
  <c r="J128" i="51"/>
  <c r="M102" i="51"/>
  <c r="J81" i="51"/>
  <c r="O50" i="51"/>
  <c r="M37" i="51"/>
  <c r="L50" i="51"/>
  <c r="I86" i="51"/>
  <c r="L30" i="51"/>
  <c r="I136" i="51"/>
  <c r="P125" i="51"/>
  <c r="K51" i="51"/>
  <c r="L163" i="51"/>
  <c r="P51" i="51"/>
  <c r="K167" i="51"/>
  <c r="G56" i="51"/>
  <c r="K154" i="51"/>
  <c r="M107" i="51"/>
  <c r="Q27" i="51"/>
  <c r="I72" i="51"/>
  <c r="J41" i="51"/>
  <c r="N72" i="51"/>
  <c r="M41" i="51"/>
  <c r="P77" i="51"/>
  <c r="J171" i="51"/>
  <c r="I128" i="51"/>
  <c r="H102" i="51"/>
  <c r="F82" i="51"/>
  <c r="O119" i="51"/>
  <c r="G95" i="51"/>
  <c r="P123" i="51"/>
  <c r="K111" i="51"/>
  <c r="J55" i="51"/>
  <c r="I154" i="51"/>
  <c r="H136" i="51"/>
  <c r="M112" i="51"/>
  <c r="Q131" i="51"/>
  <c r="F117" i="51"/>
  <c r="G131" i="51"/>
  <c r="F120" i="51"/>
  <c r="L39" i="51"/>
  <c r="G177" i="51"/>
  <c r="N50" i="51"/>
  <c r="O81" i="51"/>
  <c r="K50" i="51"/>
  <c r="I89" i="51"/>
  <c r="G157" i="51"/>
  <c r="L146" i="51"/>
  <c r="N165" i="51"/>
  <c r="K151" i="51"/>
  <c r="J34" i="51"/>
  <c r="K136" i="51"/>
  <c r="M86" i="51"/>
  <c r="P30" i="51"/>
  <c r="O47" i="51"/>
  <c r="G167" i="51"/>
  <c r="N56" i="51"/>
  <c r="J167" i="51"/>
  <c r="P56" i="51"/>
  <c r="P154" i="51"/>
  <c r="I111" i="51"/>
  <c r="F41" i="51"/>
  <c r="P84" i="51"/>
  <c r="Q71" i="51"/>
  <c r="P101" i="51"/>
  <c r="K71" i="51"/>
  <c r="H94" i="51"/>
  <c r="N29" i="51"/>
  <c r="F137" i="51"/>
  <c r="N115" i="51"/>
  <c r="Q39" i="51"/>
  <c r="G110" i="51"/>
  <c r="F48" i="51"/>
  <c r="Q110" i="51"/>
  <c r="O98" i="51"/>
  <c r="H24" i="51"/>
  <c r="P145" i="51"/>
  <c r="H176" i="51"/>
  <c r="P105" i="51"/>
  <c r="L93" i="51"/>
  <c r="P161" i="51"/>
  <c r="K93" i="51"/>
  <c r="O94" i="51"/>
  <c r="P26" i="51"/>
  <c r="P141" i="51"/>
  <c r="N120" i="51"/>
  <c r="N103" i="51"/>
  <c r="O123" i="51"/>
  <c r="O108" i="51"/>
  <c r="P131" i="51"/>
  <c r="K115" i="51"/>
  <c r="J57" i="51"/>
  <c r="I158" i="51"/>
  <c r="H137" i="51"/>
  <c r="Q155" i="51"/>
  <c r="N42" i="51"/>
  <c r="K159" i="51"/>
  <c r="L42" i="51"/>
  <c r="L145" i="51"/>
  <c r="I98" i="51"/>
  <c r="N26" i="51"/>
  <c r="J166" i="51"/>
  <c r="N163" i="51"/>
  <c r="O51" i="51"/>
  <c r="Q163" i="51"/>
  <c r="Q51" i="51"/>
  <c r="F150" i="51"/>
  <c r="P112" i="51"/>
  <c r="P42" i="51"/>
  <c r="L159" i="51"/>
  <c r="J47" i="51"/>
  <c r="J159" i="51"/>
  <c r="M47" i="51"/>
  <c r="G145" i="51"/>
  <c r="J98" i="51"/>
  <c r="O24" i="51"/>
  <c r="Q64" i="51"/>
  <c r="P172" i="51"/>
  <c r="M68" i="51"/>
  <c r="K176" i="51"/>
  <c r="G68" i="51"/>
  <c r="K166" i="51"/>
  <c r="O120" i="51"/>
  <c r="N94" i="51"/>
  <c r="F61" i="51"/>
  <c r="L114" i="51"/>
  <c r="H69" i="51"/>
  <c r="F114" i="51"/>
  <c r="O102" i="51"/>
  <c r="L27" i="51"/>
  <c r="O150" i="51"/>
  <c r="N128" i="51"/>
  <c r="H95" i="51"/>
  <c r="L123" i="51"/>
  <c r="F99" i="51"/>
  <c r="F123" i="51"/>
  <c r="P115" i="51"/>
  <c r="H33" i="51"/>
  <c r="J154" i="51"/>
  <c r="I163" i="51"/>
  <c r="Q77" i="51"/>
  <c r="K46" i="51"/>
  <c r="H81" i="51"/>
  <c r="Q46" i="51"/>
  <c r="Q81" i="51"/>
  <c r="J175" i="51"/>
  <c r="I132" i="51"/>
  <c r="H107" i="51"/>
  <c r="J52" i="51"/>
  <c r="O110" i="51"/>
  <c r="H61" i="51"/>
  <c r="P114" i="51"/>
  <c r="K102" i="51"/>
  <c r="J28" i="51"/>
  <c r="K145" i="51"/>
  <c r="M128" i="51"/>
  <c r="I146" i="51"/>
  <c r="K165" i="51"/>
  <c r="O146" i="51"/>
  <c r="H165" i="51"/>
  <c r="P136" i="51"/>
  <c r="L61" i="51"/>
  <c r="H175" i="51"/>
  <c r="M154" i="51"/>
  <c r="Q151" i="51"/>
  <c r="J38" i="51"/>
  <c r="K155" i="51"/>
  <c r="F37" i="51"/>
  <c r="I172" i="51"/>
  <c r="L141" i="51"/>
  <c r="L94" i="51"/>
  <c r="K29" i="51"/>
  <c r="I24" i="51"/>
  <c r="O29" i="51"/>
  <c r="H141" i="51"/>
  <c r="J162" i="51"/>
  <c r="G120" i="51"/>
  <c r="J56" i="51"/>
  <c r="L98" i="51"/>
  <c r="Q26" i="51"/>
  <c r="H139" i="51"/>
  <c r="L171" i="51"/>
  <c r="P107" i="51"/>
  <c r="G33" i="51"/>
  <c r="I77" i="51"/>
  <c r="G44" i="51"/>
  <c r="L138" i="51"/>
  <c r="O128" i="51"/>
  <c r="Q166" i="51"/>
  <c r="G124" i="51"/>
  <c r="H30" i="51"/>
  <c r="L102" i="51"/>
  <c r="N24" i="51"/>
  <c r="P87" i="51"/>
  <c r="N171" i="51"/>
  <c r="N86" i="51"/>
  <c r="Q154" i="51"/>
  <c r="J86" i="51"/>
  <c r="J60" i="51"/>
  <c r="M117" i="51"/>
  <c r="I47" i="51"/>
  <c r="K87" i="51"/>
  <c r="H132" i="51"/>
  <c r="H32" i="51"/>
  <c r="G175" i="51"/>
  <c r="J27" i="51"/>
  <c r="G154" i="51"/>
  <c r="F175" i="51"/>
  <c r="G132" i="51"/>
  <c r="H158" i="51"/>
  <c r="J107" i="51"/>
  <c r="P88" i="51"/>
  <c r="Q93" i="51"/>
  <c r="K59" i="51"/>
  <c r="M118" i="51"/>
  <c r="P93" i="51"/>
  <c r="M136" i="51"/>
  <c r="P86" i="51"/>
  <c r="O30" i="51"/>
  <c r="L58" i="51"/>
  <c r="L158" i="51"/>
  <c r="O25" i="51"/>
  <c r="P137" i="51"/>
  <c r="N162" i="51"/>
  <c r="Q124" i="51"/>
  <c r="I119" i="51"/>
  <c r="I33" i="51"/>
  <c r="F106" i="51"/>
  <c r="I29" i="51"/>
  <c r="K107" i="51"/>
  <c r="L117" i="51"/>
  <c r="O87" i="51"/>
  <c r="I28" i="51"/>
  <c r="K56" i="51"/>
  <c r="M63" i="51"/>
  <c r="M78" i="51"/>
  <c r="Q88" i="51"/>
  <c r="I118" i="51"/>
  <c r="K57" i="51"/>
  <c r="K77" i="51"/>
  <c r="I57" i="51"/>
  <c r="G29" i="51"/>
  <c r="G28" i="51"/>
  <c r="M62" i="51"/>
  <c r="Q94" i="51"/>
  <c r="Q87" i="51"/>
  <c r="G64" i="51"/>
  <c r="P38" i="51"/>
  <c r="F162" i="51"/>
  <c r="I120" i="51"/>
  <c r="G90" i="51"/>
  <c r="N111" i="51"/>
  <c r="L63" i="51"/>
  <c r="P162" i="51"/>
  <c r="M29" i="51"/>
  <c r="M141" i="51"/>
  <c r="Q162" i="51"/>
  <c r="L124" i="51"/>
  <c r="H26" i="51"/>
  <c r="G102" i="51"/>
  <c r="H27" i="51"/>
  <c r="J61" i="51"/>
  <c r="F25" i="51"/>
  <c r="M140" i="51"/>
  <c r="P27" i="51"/>
  <c r="P24" i="51"/>
  <c r="M145" i="51"/>
  <c r="N166" i="51"/>
  <c r="L128" i="51"/>
  <c r="N107" i="51"/>
  <c r="Q102" i="51"/>
  <c r="K28" i="51"/>
  <c r="H29" i="51"/>
  <c r="J30" i="51"/>
  <c r="M137" i="51"/>
  <c r="K106" i="51"/>
  <c r="M139" i="51"/>
  <c r="F107" i="51"/>
  <c r="F88" i="51"/>
  <c r="M150" i="51"/>
  <c r="L107" i="51"/>
  <c r="M27" i="51"/>
  <c r="J77" i="51"/>
  <c r="N175" i="51"/>
  <c r="P106" i="51"/>
  <c r="L154" i="51"/>
  <c r="Q25" i="51"/>
  <c r="N137" i="51"/>
  <c r="O90" i="51"/>
  <c r="G25" i="51"/>
  <c r="H55" i="51"/>
  <c r="F45" i="51"/>
  <c r="H77" i="51"/>
  <c r="N87" i="51"/>
  <c r="O145" i="51"/>
  <c r="L115" i="51"/>
  <c r="H118" i="51"/>
  <c r="H90" i="51"/>
  <c r="J25" i="51"/>
  <c r="L78" i="51"/>
  <c r="Q158" i="51"/>
  <c r="O26" i="51"/>
  <c r="H145" i="51"/>
  <c r="H28" i="51"/>
  <c r="L118" i="51"/>
  <c r="L55" i="51"/>
  <c r="F30" i="51"/>
  <c r="F31" i="51"/>
  <c r="O92" i="51"/>
  <c r="G86" i="51"/>
  <c r="O88" i="51"/>
  <c r="G107" i="51"/>
  <c r="I140" i="51"/>
  <c r="I34" i="51"/>
  <c r="O93" i="51"/>
  <c r="Q90" i="51"/>
  <c r="I30" i="51"/>
  <c r="M75" i="51"/>
  <c r="G106" i="51"/>
  <c r="M108" i="51"/>
  <c r="G46" i="51"/>
  <c r="O107" i="51"/>
  <c r="I117" i="51"/>
  <c r="G172" i="51"/>
  <c r="L68" i="51"/>
  <c r="L29" i="51"/>
  <c r="K137" i="51"/>
  <c r="H120" i="51"/>
  <c r="O137" i="51"/>
  <c r="M94" i="51"/>
  <c r="Q29" i="51"/>
  <c r="H35" i="51"/>
  <c r="H162" i="51"/>
  <c r="K26" i="51"/>
  <c r="N141" i="51"/>
  <c r="F171" i="51"/>
  <c r="G128" i="51"/>
  <c r="L76" i="51"/>
  <c r="G31" i="51"/>
  <c r="G30" i="51"/>
  <c r="N92" i="51"/>
  <c r="I56" i="51"/>
  <c r="F86" i="51"/>
  <c r="N124" i="51"/>
  <c r="H25" i="51"/>
  <c r="H166" i="51"/>
  <c r="K24" i="51"/>
  <c r="N145" i="51"/>
  <c r="I171" i="51"/>
  <c r="Q128" i="51"/>
  <c r="N88" i="51"/>
  <c r="G111" i="51"/>
  <c r="H140" i="51"/>
  <c r="F87" i="51"/>
  <c r="F44" i="51"/>
  <c r="H75" i="51"/>
  <c r="L139" i="51"/>
  <c r="I150" i="51"/>
  <c r="M171" i="51"/>
  <c r="L132" i="51"/>
  <c r="P91" i="51"/>
  <c r="L111" i="51"/>
  <c r="N27" i="51"/>
  <c r="F46" i="51"/>
  <c r="L175" i="51"/>
  <c r="L108" i="51"/>
  <c r="G162" i="51"/>
  <c r="H56" i="51"/>
  <c r="J75" i="51"/>
  <c r="G35" i="51"/>
  <c r="L140" i="51"/>
  <c r="H171" i="51"/>
  <c r="M30" i="51"/>
  <c r="Q136" i="51"/>
  <c r="H154" i="51"/>
  <c r="Q115" i="51"/>
  <c r="N89" i="51"/>
  <c r="K90" i="51"/>
  <c r="M25" i="51"/>
  <c r="H47" i="51"/>
  <c r="P166" i="51"/>
  <c r="J59" i="51"/>
  <c r="G32" i="51"/>
  <c r="K58" i="51"/>
  <c r="F35" i="51"/>
  <c r="F28" i="51"/>
  <c r="M138" i="51"/>
  <c r="K76" i="51"/>
  <c r="M61" i="51"/>
  <c r="I32" i="51"/>
  <c r="K75" i="51"/>
  <c r="M55" i="51"/>
  <c r="I26" i="51"/>
  <c r="G37" i="51"/>
  <c r="G38" i="51"/>
  <c r="O89" i="51"/>
  <c r="G87" i="51"/>
  <c r="G41" i="51"/>
  <c r="M28" i="51"/>
  <c r="G88" i="51"/>
  <c r="K55" i="51"/>
  <c r="I35" i="51"/>
  <c r="Q106" i="51"/>
  <c r="M57" i="51"/>
  <c r="G36" i="51"/>
  <c r="I55" i="51"/>
  <c r="H64" i="51"/>
  <c r="K94" i="51"/>
  <c r="P90" i="51"/>
  <c r="O162" i="51"/>
  <c r="J102" i="51"/>
  <c r="M158" i="51"/>
  <c r="Q120" i="51"/>
  <c r="F27" i="51"/>
  <c r="G94" i="51"/>
  <c r="L26" i="51"/>
  <c r="H34" i="51"/>
  <c r="G166" i="51"/>
  <c r="Q28" i="51"/>
  <c r="L150" i="51"/>
  <c r="K61" i="51"/>
  <c r="H57" i="51"/>
  <c r="K88" i="51"/>
  <c r="P89" i="51"/>
  <c r="I45" i="51"/>
  <c r="F34" i="51"/>
  <c r="I145" i="51"/>
  <c r="G98" i="51"/>
  <c r="L24" i="51"/>
  <c r="L60" i="51"/>
  <c r="G171" i="51"/>
  <c r="O28" i="51"/>
  <c r="G150" i="51"/>
  <c r="M175" i="51"/>
  <c r="L136" i="51"/>
  <c r="M60" i="51"/>
  <c r="F32" i="51"/>
  <c r="J106" i="51"/>
  <c r="G34" i="51"/>
  <c r="J88" i="51"/>
  <c r="M98" i="51"/>
  <c r="I27" i="51"/>
  <c r="Q150" i="51"/>
  <c r="I175" i="51"/>
  <c r="Q132" i="51"/>
  <c r="H119" i="51"/>
  <c r="Q111" i="51"/>
  <c r="H45" i="51"/>
  <c r="J90" i="51"/>
  <c r="J29" i="51"/>
  <c r="J87" i="51"/>
  <c r="L119" i="51"/>
  <c r="I58" i="51"/>
  <c r="F29" i="51"/>
  <c r="I42" i="51"/>
  <c r="N102" i="51"/>
  <c r="L28" i="51"/>
  <c r="G158" i="51"/>
  <c r="Q30" i="51"/>
  <c r="G136" i="51"/>
  <c r="N154" i="51"/>
  <c r="G115" i="51"/>
  <c r="P95" i="51"/>
  <c r="Q98" i="51"/>
  <c r="Q24" i="51"/>
  <c r="L57" i="51"/>
  <c r="F33" i="51"/>
  <c r="H76" i="51"/>
  <c r="N106" i="51"/>
  <c r="J58" i="51"/>
  <c r="Q89" i="51"/>
  <c r="Q91" i="51"/>
  <c r="I31" i="51"/>
  <c r="O86" i="51"/>
  <c r="I75" i="51"/>
  <c r="O106" i="51"/>
  <c r="I44" i="51"/>
  <c r="I76" i="51"/>
  <c r="Q107" i="51"/>
  <c r="M76" i="51"/>
  <c r="I139" i="51"/>
  <c r="M59" i="51"/>
  <c r="G27" i="51"/>
  <c r="I137" i="51"/>
  <c r="M58" i="51"/>
  <c r="Q92" i="51"/>
  <c r="Q95" i="51"/>
  <c r="I25" i="51"/>
  <c r="I138" i="51"/>
  <c r="K312" i="62" l="1"/>
  <c r="K208" i="62"/>
  <c r="W74" i="51"/>
  <c r="X74" i="51" s="1"/>
  <c r="T98" i="51"/>
  <c r="T103" i="51"/>
  <c r="T113" i="51"/>
  <c r="K118" i="60"/>
  <c r="K158" i="60"/>
  <c r="K282" i="60"/>
  <c r="K252" i="60"/>
  <c r="W45" i="51"/>
  <c r="J50" i="59"/>
  <c r="K50" i="59" s="1"/>
  <c r="K140" i="59"/>
  <c r="H160" i="59"/>
  <c r="H200" i="59"/>
  <c r="K223" i="59"/>
  <c r="K293" i="59"/>
  <c r="K38" i="60"/>
  <c r="H118" i="60"/>
  <c r="H168" i="61"/>
  <c r="K178" i="61"/>
  <c r="K138" i="61"/>
  <c r="M324" i="60"/>
  <c r="B199" i="51"/>
  <c r="W119" i="51"/>
  <c r="T32" i="51"/>
  <c r="K21" i="55"/>
  <c r="K81" i="55"/>
  <c r="K121" i="55"/>
  <c r="K235" i="55"/>
  <c r="K282" i="61"/>
  <c r="K178" i="62"/>
  <c r="K118" i="62"/>
  <c r="K98" i="62"/>
  <c r="M324" i="59"/>
  <c r="T109" i="51"/>
  <c r="T114" i="51"/>
  <c r="I215" i="55"/>
  <c r="K215" i="55" s="1"/>
  <c r="H61" i="55"/>
  <c r="H201" i="55"/>
  <c r="H255" i="55"/>
  <c r="H170" i="59"/>
  <c r="H39" i="59"/>
  <c r="H273" i="59"/>
  <c r="W51" i="51"/>
  <c r="X51" i="51" s="1"/>
  <c r="W54" i="51"/>
  <c r="X54" i="51" s="1"/>
  <c r="A265" i="55"/>
  <c r="I101" i="55"/>
  <c r="K101" i="55" s="1"/>
  <c r="H141" i="55"/>
  <c r="H225" i="55"/>
  <c r="H265" i="55"/>
  <c r="H295" i="55"/>
  <c r="K18" i="55"/>
  <c r="K80" i="59"/>
  <c r="K98" i="60"/>
  <c r="H282" i="60"/>
  <c r="H312" i="62"/>
  <c r="H48" i="60"/>
  <c r="K78" i="60"/>
  <c r="K128" i="60"/>
  <c r="H148" i="60"/>
  <c r="T41" i="51"/>
  <c r="T67" i="51"/>
  <c r="W69" i="51"/>
  <c r="X69" i="51" s="1"/>
  <c r="T82" i="51"/>
  <c r="I181" i="55"/>
  <c r="K61" i="55"/>
  <c r="I283" i="59"/>
  <c r="K283" i="59" s="1"/>
  <c r="H150" i="59"/>
  <c r="K233" i="59"/>
  <c r="I28" i="60"/>
  <c r="K28" i="60" s="1"/>
  <c r="I108" i="60"/>
  <c r="K108" i="60" s="1"/>
  <c r="J252" i="62"/>
  <c r="K252" i="62" s="1"/>
  <c r="J232" i="61"/>
  <c r="K232" i="61" s="1"/>
  <c r="K18" i="59"/>
  <c r="T26" i="51"/>
  <c r="F26" i="51" s="1"/>
  <c r="Y17" i="51" s="1"/>
  <c r="W116" i="51"/>
  <c r="X116" i="51" s="1"/>
  <c r="L120" i="51"/>
  <c r="T130" i="51"/>
  <c r="K275" i="55"/>
  <c r="H18" i="59"/>
  <c r="K39" i="59"/>
  <c r="J223" i="59"/>
  <c r="K58" i="60"/>
  <c r="K312" i="60"/>
  <c r="K232" i="60"/>
  <c r="A275" i="55"/>
  <c r="A168" i="61"/>
  <c r="A342" i="61" s="1"/>
  <c r="M342" i="61" s="1"/>
  <c r="D125" i="49"/>
  <c r="A305" i="55"/>
  <c r="D22" i="49"/>
  <c r="D18" i="49"/>
  <c r="A130" i="59"/>
  <c r="A161" i="55"/>
  <c r="A108" i="61"/>
  <c r="A336" i="61" s="1"/>
  <c r="M336" i="61" s="1"/>
  <c r="A18" i="59"/>
  <c r="A28" i="61"/>
  <c r="A328" i="61" s="1"/>
  <c r="M328" i="61" s="1"/>
  <c r="D29" i="49"/>
  <c r="D48" i="49"/>
  <c r="A178" i="60"/>
  <c r="A343" i="60" s="1"/>
  <c r="M343" i="60" s="1"/>
  <c r="D87" i="49"/>
  <c r="D72" i="49"/>
  <c r="D34" i="49"/>
  <c r="A262" i="60"/>
  <c r="A351" i="60" s="1"/>
  <c r="M351" i="60" s="1"/>
  <c r="A180" i="59"/>
  <c r="A88" i="61"/>
  <c r="A334" i="61" s="1"/>
  <c r="M334" i="61" s="1"/>
  <c r="A98" i="60"/>
  <c r="A335" i="60" s="1"/>
  <c r="M335" i="60" s="1"/>
  <c r="A252" i="60"/>
  <c r="A350" i="60" s="1"/>
  <c r="M350" i="60" s="1"/>
  <c r="A100" i="59"/>
  <c r="A253" i="59"/>
  <c r="B31" i="59"/>
  <c r="M31" i="59" s="1"/>
  <c r="B30" i="59"/>
  <c r="M30" i="59" s="1"/>
  <c r="D190" i="49"/>
  <c r="A272" i="65"/>
  <c r="A352" i="65" s="1"/>
  <c r="M352" i="65" s="1"/>
  <c r="D180" i="49"/>
  <c r="A168" i="65"/>
  <c r="A342" i="65" s="1"/>
  <c r="M342" i="65" s="1"/>
  <c r="D183" i="49"/>
  <c r="A198" i="65"/>
  <c r="A345" i="65" s="1"/>
  <c r="M345" i="65" s="1"/>
  <c r="A138" i="65"/>
  <c r="A339" i="65" s="1"/>
  <c r="M339" i="65" s="1"/>
  <c r="D177" i="49"/>
  <c r="A38" i="65"/>
  <c r="A329" i="65" s="1"/>
  <c r="M329" i="65" s="1"/>
  <c r="D165" i="49"/>
  <c r="W135" i="51"/>
  <c r="X135" i="51" s="1"/>
  <c r="W128" i="51"/>
  <c r="X128" i="51" s="1"/>
  <c r="W130" i="51"/>
  <c r="X130" i="51" s="1"/>
  <c r="AE17" i="51"/>
  <c r="AI17" i="51"/>
  <c r="AJ17" i="51"/>
  <c r="AA17" i="51"/>
  <c r="K28" i="59"/>
  <c r="K60" i="59"/>
  <c r="K210" i="59"/>
  <c r="K100" i="59"/>
  <c r="K170" i="59"/>
  <c r="K90" i="59"/>
  <c r="K110" i="59"/>
  <c r="K180" i="59"/>
  <c r="K190" i="59"/>
  <c r="AG17" i="51"/>
  <c r="K243" i="59"/>
  <c r="K313" i="59"/>
  <c r="AC17" i="51"/>
  <c r="W33" i="51"/>
  <c r="X33" i="51" s="1"/>
  <c r="AH17" i="51"/>
  <c r="K253" i="59"/>
  <c r="AB17" i="51"/>
  <c r="K141" i="55"/>
  <c r="K181" i="55"/>
  <c r="K120" i="59"/>
  <c r="K303" i="59"/>
  <c r="E747" i="52"/>
  <c r="V63" i="51"/>
  <c r="W63" i="51" s="1"/>
  <c r="X63" i="51" s="1"/>
  <c r="T39" i="51"/>
  <c r="V86" i="51"/>
  <c r="W86" i="51" s="1"/>
  <c r="V113" i="51"/>
  <c r="W113" i="51" s="1"/>
  <c r="X113" i="51" s="1"/>
  <c r="U121" i="51"/>
  <c r="A215" i="55"/>
  <c r="A347" i="55" s="1"/>
  <c r="M347" i="55" s="1"/>
  <c r="H21" i="55"/>
  <c r="H121" i="55"/>
  <c r="H100" i="59"/>
  <c r="H88" i="60"/>
  <c r="H293" i="59"/>
  <c r="H110" i="59"/>
  <c r="I48" i="60"/>
  <c r="K48" i="60" s="1"/>
  <c r="I148" i="60"/>
  <c r="K148" i="60" s="1"/>
  <c r="H302" i="61"/>
  <c r="H242" i="61"/>
  <c r="U26" i="51"/>
  <c r="W26" i="51" s="1"/>
  <c r="T72" i="51"/>
  <c r="T47" i="51"/>
  <c r="A225" i="55"/>
  <c r="A348" i="55" s="1"/>
  <c r="M348" i="55" s="1"/>
  <c r="D12" i="49"/>
  <c r="D21" i="49"/>
  <c r="H235" i="55"/>
  <c r="H90" i="59"/>
  <c r="H60" i="59"/>
  <c r="H58" i="60"/>
  <c r="H80" i="59"/>
  <c r="H253" i="59"/>
  <c r="I273" i="59"/>
  <c r="K273" i="59" s="1"/>
  <c r="J292" i="60"/>
  <c r="K292" i="60" s="1"/>
  <c r="K272" i="61"/>
  <c r="H252" i="61"/>
  <c r="K98" i="61"/>
  <c r="I188" i="62"/>
  <c r="K188" i="62" s="1"/>
  <c r="H188" i="62"/>
  <c r="V32" i="51"/>
  <c r="W32" i="51" s="1"/>
  <c r="X32" i="51" s="1"/>
  <c r="T37" i="51"/>
  <c r="R15" i="51"/>
  <c r="D33" i="49"/>
  <c r="A61" i="55"/>
  <c r="A141" i="55"/>
  <c r="A181" i="55"/>
  <c r="H243" i="59"/>
  <c r="I70" i="59"/>
  <c r="K70" i="59" s="1"/>
  <c r="J160" i="59"/>
  <c r="K160" i="59" s="1"/>
  <c r="J263" i="59"/>
  <c r="K263" i="59" s="1"/>
  <c r="I188" i="60"/>
  <c r="K188" i="60" s="1"/>
  <c r="H222" i="61"/>
  <c r="T31" i="51"/>
  <c r="H81" i="55"/>
  <c r="H161" i="55"/>
  <c r="H232" i="60"/>
  <c r="J150" i="59"/>
  <c r="K150" i="59" s="1"/>
  <c r="H138" i="61"/>
  <c r="H302" i="62"/>
  <c r="H198" i="61"/>
  <c r="K222" i="62"/>
  <c r="V28" i="51"/>
  <c r="W28" i="51" s="1"/>
  <c r="X28" i="51" s="1"/>
  <c r="U24" i="51"/>
  <c r="R14" i="51"/>
  <c r="S16" i="51"/>
  <c r="H233" i="59"/>
  <c r="H272" i="62"/>
  <c r="V24" i="51"/>
  <c r="S14" i="51"/>
  <c r="A323" i="61"/>
  <c r="M323" i="60"/>
  <c r="A325" i="61"/>
  <c r="M325" i="60"/>
  <c r="M324" i="62"/>
  <c r="A324" i="65"/>
  <c r="M324" i="65" s="1"/>
  <c r="M324" i="61"/>
  <c r="B117" i="51"/>
  <c r="B137" i="51"/>
  <c r="B148" i="51"/>
  <c r="B179" i="51"/>
  <c r="A38" i="61"/>
  <c r="A329" i="61" s="1"/>
  <c r="M329" i="61" s="1"/>
  <c r="X45" i="51" l="1"/>
  <c r="G45" i="51"/>
  <c r="X119" i="51"/>
  <c r="M119" i="51"/>
  <c r="AF17" i="51" s="1"/>
  <c r="V16" i="51"/>
  <c r="W16" i="51" s="1"/>
  <c r="T16" i="51"/>
  <c r="D572" i="52"/>
  <c r="D492" i="52"/>
  <c r="D478" i="52"/>
  <c r="D601" i="52"/>
  <c r="D472" i="52"/>
  <c r="D525" i="52"/>
  <c r="D567" i="52"/>
  <c r="D464" i="52"/>
  <c r="D488" i="52"/>
  <c r="D541" i="52"/>
  <c r="D527" i="52"/>
  <c r="D521" i="52"/>
  <c r="D588" i="52"/>
  <c r="D577" i="52"/>
  <c r="D562" i="52"/>
  <c r="D467" i="52"/>
  <c r="D508" i="52"/>
  <c r="D554" i="52"/>
  <c r="D480" i="52"/>
  <c r="D533" i="52"/>
  <c r="D470" i="52"/>
  <c r="D593" i="52"/>
  <c r="D491" i="52"/>
  <c r="D486" i="52"/>
  <c r="D555" i="52"/>
  <c r="D566" i="52"/>
  <c r="D529" i="52"/>
  <c r="D579" i="52"/>
  <c r="D575" i="52"/>
  <c r="D513" i="52"/>
  <c r="D558" i="52"/>
  <c r="D507" i="52"/>
  <c r="D484" i="52"/>
  <c r="D547" i="52"/>
  <c r="D520" i="52"/>
  <c r="D505" i="52"/>
  <c r="D503" i="52"/>
  <c r="D482" i="52"/>
  <c r="D530" i="52"/>
  <c r="D586" i="52"/>
  <c r="D510" i="52"/>
  <c r="D597" i="52"/>
  <c r="D536" i="52"/>
  <c r="D494" i="52"/>
  <c r="D563" i="52"/>
  <c r="D535" i="52"/>
  <c r="D580" i="52"/>
  <c r="D499" i="52"/>
  <c r="D560" i="52"/>
  <c r="D501" i="52"/>
  <c r="D606" i="52"/>
  <c r="D493" i="52"/>
  <c r="D531" i="52"/>
  <c r="D611" i="52"/>
  <c r="D506" i="52"/>
  <c r="D557" i="52"/>
  <c r="D532" i="52"/>
  <c r="D582" i="52"/>
  <c r="D543" i="52"/>
  <c r="D479" i="52"/>
  <c r="D581" i="52"/>
  <c r="D550" i="52"/>
  <c r="D600" i="52"/>
  <c r="D476" i="52"/>
  <c r="D602" i="52"/>
  <c r="D468" i="52"/>
  <c r="D512" i="52"/>
  <c r="D612" i="52"/>
  <c r="D517" i="52"/>
  <c r="D607" i="52"/>
  <c r="D473" i="52"/>
  <c r="D613" i="52"/>
  <c r="D502" i="52"/>
  <c r="D589" i="52"/>
  <c r="D528" i="52"/>
  <c r="W121" i="51"/>
  <c r="X121" i="51" s="1"/>
  <c r="D537" i="52"/>
  <c r="D608" i="52"/>
  <c r="D485" i="52"/>
  <c r="D497" i="52"/>
  <c r="D522" i="52"/>
  <c r="D573" i="52"/>
  <c r="D559" i="52"/>
  <c r="D552" i="52"/>
  <c r="D526" i="52"/>
  <c r="D474" i="52"/>
  <c r="D578" i="52"/>
  <c r="D553" i="52"/>
  <c r="D603" i="52"/>
  <c r="D524" i="52"/>
  <c r="D609" i="52"/>
  <c r="D583" i="52"/>
  <c r="D564" i="52"/>
  <c r="D574" i="52"/>
  <c r="D546" i="52"/>
  <c r="D569" i="52"/>
  <c r="D489" i="52"/>
  <c r="D548" i="52"/>
  <c r="D598" i="52"/>
  <c r="D477" i="52"/>
  <c r="D523" i="52"/>
  <c r="D511" i="52"/>
  <c r="D599" i="52"/>
  <c r="D465" i="52"/>
  <c r="D496" i="52"/>
  <c r="D549" i="52"/>
  <c r="D471" i="52"/>
  <c r="D610" i="52"/>
  <c r="D509" i="52"/>
  <c r="D592" i="52"/>
  <c r="D490" i="52"/>
  <c r="D538" i="52"/>
  <c r="D594" i="52"/>
  <c r="D518" i="52"/>
  <c r="D504" i="52"/>
  <c r="D495" i="52"/>
  <c r="D604" i="52"/>
  <c r="D466" i="52"/>
  <c r="D570" i="52"/>
  <c r="D545" i="52"/>
  <c r="D595" i="52"/>
  <c r="D576" i="52"/>
  <c r="D500" i="52"/>
  <c r="D556" i="52"/>
  <c r="D469" i="52"/>
  <c r="D539" i="52"/>
  <c r="D584" i="52"/>
  <c r="D514" i="52"/>
  <c r="D565" i="52"/>
  <c r="D605" i="52"/>
  <c r="D544" i="52"/>
  <c r="D519" i="52"/>
  <c r="D571" i="52"/>
  <c r="D534" i="52"/>
  <c r="D591" i="52"/>
  <c r="D515" i="52"/>
  <c r="D542" i="52"/>
  <c r="D587" i="52"/>
  <c r="D568" i="52"/>
  <c r="D498" i="52"/>
  <c r="D596" i="52"/>
  <c r="D585" i="52"/>
  <c r="D475" i="52"/>
  <c r="D561" i="52"/>
  <c r="D481" i="52"/>
  <c r="D540" i="52"/>
  <c r="D590" i="52"/>
  <c r="D551" i="52"/>
  <c r="D487" i="52"/>
  <c r="D483" i="52"/>
  <c r="D516" i="52"/>
  <c r="W24" i="51"/>
  <c r="K86" i="51"/>
  <c r="AD17" i="51" s="1"/>
  <c r="X86" i="51"/>
  <c r="M325" i="61"/>
  <c r="A325" i="62"/>
  <c r="A323" i="62"/>
  <c r="M323" i="61"/>
  <c r="V14" i="51"/>
  <c r="V17" i="51" s="1"/>
  <c r="S17" i="51"/>
  <c r="G26" i="51"/>
  <c r="X26" i="51"/>
  <c r="U14" i="51"/>
  <c r="T14" i="51"/>
  <c r="R17" i="51"/>
  <c r="T15" i="51"/>
  <c r="U15" i="51"/>
  <c r="W15" i="51" s="1"/>
  <c r="M323" i="62" l="1"/>
  <c r="A323" i="65"/>
  <c r="M323" i="65" s="1"/>
  <c r="T17" i="51"/>
  <c r="M325" i="62"/>
  <c r="A325" i="65"/>
  <c r="M325" i="65" s="1"/>
  <c r="W14" i="51"/>
  <c r="AD14" i="51" s="1"/>
  <c r="U17" i="51"/>
  <c r="W17" i="51" s="1"/>
  <c r="C17" i="51"/>
  <c r="G24" i="51"/>
  <c r="Z17" i="51" s="1"/>
  <c r="X24" i="51"/>
  <c r="D9" i="59" l="1"/>
  <c r="D9" i="65"/>
  <c r="P9" i="51"/>
  <c r="D9" i="60"/>
  <c r="D9" i="54"/>
  <c r="D9" i="52"/>
  <c r="D9" i="62"/>
  <c r="D9" i="61"/>
  <c r="D9" i="55"/>
  <c r="D9" i="3"/>
  <c r="I9" i="61"/>
  <c r="I9" i="60"/>
  <c r="F9" i="54"/>
  <c r="I9" i="65"/>
  <c r="I9" i="62"/>
  <c r="F9" i="52"/>
  <c r="I9" i="59"/>
  <c r="U9" i="51"/>
  <c r="I9" i="55"/>
  <c r="F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61" authorId="0" shapeId="0" xr:uid="{00000000-0006-0000-0500-000001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800-000001000000}">
      <text>
        <r>
          <rPr>
            <b/>
            <sz val="9"/>
            <color indexed="81"/>
            <rFont val="Tahoma"/>
            <family val="2"/>
          </rPr>
          <t>Ejemplo
- Campos experimentales de hotalizas
- Planta piloto de lácteos
- área de contabilidad</t>
        </r>
      </text>
    </comment>
    <comment ref="B360" authorId="0" shapeId="0" xr:uid="{00000000-0006-0000-08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900-000001000000}">
      <text>
        <r>
          <rPr>
            <b/>
            <sz val="9"/>
            <color indexed="81"/>
            <rFont val="Tahoma"/>
            <family val="2"/>
          </rPr>
          <t>Ejemplo
- Campos experimentales de hotalizas
- Planta piloto de lácteos
- área de contabilidad</t>
        </r>
      </text>
    </comment>
    <comment ref="B360" authorId="0" shapeId="0" xr:uid="{00000000-0006-0000-09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sharedStrings.xml><?xml version="1.0" encoding="utf-8"?>
<sst xmlns="http://schemas.openxmlformats.org/spreadsheetml/2006/main" count="1398" uniqueCount="637">
  <si>
    <t>UNIDAD DIDÁCTICA</t>
  </si>
  <si>
    <t>Horas</t>
  </si>
  <si>
    <t>MÓDULO</t>
  </si>
  <si>
    <t>Módulos Formativos</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</si>
  <si>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</si>
  <si>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</si>
  <si>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</si>
  <si>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</si>
  <si>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</si>
  <si>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</si>
  <si>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</si>
  <si>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</si>
  <si>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</si>
  <si>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</si>
  <si>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</si>
  <si>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</si>
  <si>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</si>
  <si>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</si>
  <si>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</si>
  <si>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</si>
  <si>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</si>
  <si>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</si>
  <si>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</si>
  <si>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</si>
  <si>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</si>
  <si>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</si>
  <si>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</si>
  <si>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</si>
  <si>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</si>
  <si>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</si>
  <si>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</si>
  <si>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</si>
  <si>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</si>
  <si>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</si>
  <si>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</si>
  <si>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</si>
  <si>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Denominación</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</si>
  <si>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</si>
  <si>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</si>
  <si>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</si>
  <si>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</si>
  <si>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</si>
  <si>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</si>
  <si>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</si>
  <si>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</si>
  <si>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</si>
  <si>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</si>
  <si>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</si>
  <si>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</si>
  <si>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TOTALES</t>
  </si>
  <si>
    <t>VI (c)</t>
  </si>
  <si>
    <t>VI (h)</t>
  </si>
  <si>
    <t>CÓDIGO MODULAR</t>
  </si>
  <si>
    <t xml:space="preserve"> AMBIENTES Y EQUIPAMIENTO DEL PROGRAMA DE ESTUDIOS</t>
  </si>
  <si>
    <t>Características</t>
  </si>
  <si>
    <t>Software especializad</t>
  </si>
  <si>
    <t>Denominación del Ambiente</t>
  </si>
  <si>
    <t>Denominación de Ambiente</t>
  </si>
  <si>
    <t>Unidades Didácticas Asociadas</t>
  </si>
  <si>
    <t>Horas Teóricas</t>
  </si>
  <si>
    <t>Horas Prácticas</t>
  </si>
  <si>
    <t>Periodo</t>
  </si>
  <si>
    <t>CÓDIGO MODULAR DEL INSTITUTO</t>
  </si>
  <si>
    <t>Herramientas</t>
  </si>
  <si>
    <t>Instrumentos</t>
  </si>
  <si>
    <t>Crédito teórico</t>
  </si>
  <si>
    <t>Crédito práctico</t>
  </si>
  <si>
    <t>Equivalencia de un (1) crédito:(4)</t>
  </si>
  <si>
    <t>Ambiente 5</t>
  </si>
  <si>
    <t>Ambiente 6</t>
  </si>
  <si>
    <t>Ambiente 7</t>
  </si>
  <si>
    <t>Ambiente 8</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</si>
  <si>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</si>
  <si>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</si>
  <si>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</si>
  <si>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</si>
  <si>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</si>
  <si>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</si>
  <si>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</si>
  <si>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</si>
  <si>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</si>
  <si>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</si>
  <si>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</si>
  <si>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Ambiente 9</t>
  </si>
  <si>
    <t>Ambiente 10</t>
  </si>
  <si>
    <t>Módulo II</t>
  </si>
  <si>
    <t>Módulo III</t>
  </si>
  <si>
    <t>Módulo IV</t>
  </si>
  <si>
    <t xml:space="preserve"> REQUERIMIENTO DE AMBIENTES DEL PROGRAMA DE ESTUDIOS</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</si>
  <si>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</si>
  <si>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</si>
  <si>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</si>
  <si>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</si>
  <si>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</si>
  <si>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</si>
  <si>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</si>
  <si>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</si>
  <si>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</si>
  <si>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</si>
  <si>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</si>
  <si>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</si>
  <si>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</si>
  <si>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</si>
  <si>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</si>
  <si>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</si>
  <si>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</si>
  <si>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</si>
  <si>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</si>
  <si>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</si>
  <si>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Ambiente 11</t>
  </si>
  <si>
    <t>Ambiente 12</t>
  </si>
  <si>
    <t>Ambiente 13</t>
  </si>
  <si>
    <t>Ambiente 14</t>
  </si>
  <si>
    <t>Ambiente 15</t>
  </si>
  <si>
    <t>Aula pedagógica</t>
  </si>
  <si>
    <t>Aula de cómputo</t>
  </si>
  <si>
    <t>Laboratorio de idiomas</t>
  </si>
  <si>
    <t>Filtro</t>
  </si>
  <si>
    <t>Filtrar</t>
  </si>
  <si>
    <t>Código
Capacidad</t>
  </si>
  <si>
    <t>Código Indicador</t>
  </si>
  <si>
    <t>Tipo de capacidad</t>
  </si>
  <si>
    <t>DENOMINACIÓN DE LA INSTITUCIÓN EDUCATIVA</t>
  </si>
  <si>
    <t>CÓDIGO MODULAR DE LA INSTITUCIÓN EDUCATIVA</t>
  </si>
  <si>
    <t>CÓDIGO DE SER EL CASO *</t>
  </si>
  <si>
    <t>III (c)</t>
  </si>
  <si>
    <t>Observaciones de los facilitadores opcional</t>
  </si>
  <si>
    <t>Ambiente 4</t>
  </si>
  <si>
    <t>Créditos Académicos</t>
  </si>
  <si>
    <t>EXPERIENCIAS FORMATIVAS EN SITUACIONES REALES DE TRABAJO (EFSRT)</t>
  </si>
  <si>
    <t>Etiquetas de fila</t>
  </si>
  <si>
    <t>(en blanco)</t>
  </si>
  <si>
    <t>Total general</t>
  </si>
  <si>
    <t>(Todas)</t>
  </si>
  <si>
    <t>I</t>
  </si>
  <si>
    <t>II</t>
  </si>
  <si>
    <t>III</t>
  </si>
  <si>
    <t>IV</t>
  </si>
  <si>
    <t>V</t>
  </si>
  <si>
    <t>VI</t>
  </si>
  <si>
    <t>I(c)</t>
  </si>
  <si>
    <t>I(h)</t>
  </si>
  <si>
    <t>c</t>
  </si>
  <si>
    <t>h</t>
  </si>
  <si>
    <t>En el IES</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</si>
  <si>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</si>
  <si>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</si>
  <si>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</si>
  <si>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</si>
  <si>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</si>
  <si>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</si>
  <si>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</si>
  <si>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</si>
  <si>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</si>
  <si>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VARIANTE</t>
  </si>
  <si>
    <t>DENOMINACIÓN DEL PROGRAMA DE ESTUDIOS SEGÚN CNOF (según corresponda)</t>
  </si>
  <si>
    <t>FORMACIÓN**</t>
  </si>
  <si>
    <t>COMPETENCIAS ESPECÍFICAS (UNIDAD DE COMPETENCIA)</t>
  </si>
  <si>
    <t>COMPETENCIAS ESPECÍFICAS  (UNIDAD DE COMPETENCIA)</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</si>
  <si>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</si>
  <si>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N° HORAS:</t>
  </si>
  <si>
    <t>N° de créditos en forma virtual (**)</t>
  </si>
  <si>
    <t>% de créditos en forma virtual (**)</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</si>
  <si>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</si>
  <si>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Información solo de proceso</t>
  </si>
  <si>
    <t>T.créditos
(Filtrar)</t>
  </si>
  <si>
    <t>Equipos/Mobiliario</t>
  </si>
  <si>
    <t>DESCRIPCIÓN DE LA ESTRATEGIA DE REALIZACIÓN</t>
  </si>
  <si>
    <t>AMBIENTES/ÁREAS (1)</t>
  </si>
  <si>
    <t>DESCRIPCIÓN DE LA ESTRATEGIA PARA LA IMPLEMENTACIÓN DE LA EFSRT (2)</t>
  </si>
  <si>
    <t>(1) Colocar el nombre del espacio, área u otros, donde se desarrolla las EFSRT
(2) Realizar una breve descripción respecto al desarrollo de las EFSRT, según el lugar de realización.</t>
  </si>
  <si>
    <t>LUGAR PARA EL DESARROLLO DE LA EFSRT</t>
  </si>
  <si>
    <t>Total horas (UD)</t>
  </si>
  <si>
    <t xml:space="preserve">Ayuda para verificar - f(x) criterios </t>
  </si>
  <si>
    <t>ORGANIZACIÓN DE LOS ELEMENTOS DEL MÓDULO</t>
  </si>
  <si>
    <t>FORMATO DE PROCESO - FORMULACIÓN DE CAPACIDADES E INDICADORES POR UNIDAD DE COMPETENCIA</t>
  </si>
  <si>
    <t>Experiencias formativas en situaciones reales de trabajo (ESRT)</t>
  </si>
  <si>
    <r>
      <t xml:space="preserve">ANEXO Nº 9 
PERFIL DE EGRESO
</t>
    </r>
    <r>
      <rPr>
        <b/>
        <sz val="10"/>
        <color theme="1"/>
        <rFont val="Calibri"/>
        <family val="2"/>
        <scheme val="minor"/>
      </rPr>
      <t>(PARA CICLOS FORMATIVOS: TÉCNICO Y AUXILIAR TÉCNICO)</t>
    </r>
  </si>
  <si>
    <r>
      <t xml:space="preserve">ANEXO Nº 8 
PROGRAMA DE ESTUDIO
</t>
    </r>
    <r>
      <rPr>
        <b/>
        <sz val="10"/>
        <color theme="1"/>
        <rFont val="Calibri"/>
        <family val="2"/>
        <scheme val="minor"/>
      </rPr>
      <t>(PARA CICLOS FORMATIVOS: TÉCNICO Y AUXILIAR TÉCNICO)</t>
    </r>
  </si>
  <si>
    <r>
      <t xml:space="preserve">ANEXO Nº10A 
ITINERARIO FORMATIVO
</t>
    </r>
    <r>
      <rPr>
        <b/>
        <sz val="10"/>
        <color theme="1"/>
        <rFont val="Calibri"/>
        <family val="2"/>
        <scheme val="minor"/>
      </rPr>
      <t>(PARA CICLOS FORMATIVOS: TÉCNICOS Y AUXILIAR TÉCNICO)</t>
    </r>
  </si>
  <si>
    <t>Créditos:</t>
  </si>
  <si>
    <t>Fuera del rango</t>
  </si>
  <si>
    <t>Dentro del límite permitido</t>
  </si>
  <si>
    <t>Dentro del rango</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</si>
  <si>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</si>
  <si>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</si>
  <si>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CÓDIGO MODULAR DEL CETPRO</t>
  </si>
  <si>
    <t>INFORMACIÓN Y COMUNICACIONES</t>
  </si>
  <si>
    <t>TECNOLOGÍAS DE LA INFORMACIÓN Y COMUNICACIONES - TICS</t>
  </si>
  <si>
    <t>PROGRAMACIÓN INFORMÁTICA, CONSULTORÍA DE INFORMÁTICA Y ACTIVIDADES CONEXAS</t>
  </si>
  <si>
    <t>TÉCNICO</t>
  </si>
  <si>
    <t>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t>
  </si>
  <si>
    <t>UC2: Ejecutar acciones de monitoreo y otras acciones operativas programadas, de acuerdo con las buenas prácticas de aseguramiento de operación del CPD y salvaguarda de la información del negocio.</t>
  </si>
  <si>
    <t xml:space="preserve">UC3: Realizar la puesta en producción de los sistemas de información o servicios de TI, de acuerdo con la planificación efectuada. </t>
  </si>
  <si>
    <t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t>
  </si>
  <si>
    <t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t>
  </si>
  <si>
    <t xml:space="preserve">4. Asiste a los usuarios en el uso del sistema, de acuerdo con el diseño funcional del sistema y buenas prácticas de entrega de servicio. </t>
  </si>
  <si>
    <t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t>
  </si>
  <si>
    <t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t>
  </si>
  <si>
    <t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t>
  </si>
  <si>
    <t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t>
  </si>
  <si>
    <t xml:space="preserve">2. Elabora reportes de cumplimiento de niveles de operación, según los acuerdos de nivel de operación, unidades de contratos con proveedores, continuidad del negocio y políticas de la organización. </t>
  </si>
  <si>
    <t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t>
  </si>
  <si>
    <t xml:space="preserve">4. Reporta las acciones ejecutadas y los eventos inesperados de manera programada o de grado urgencia, de acuerdo con el plan de actividades programadas, gestión de riesgos, continuidad de negocio y políticas de seguridad. </t>
  </si>
  <si>
    <t xml:space="preserve">1. Instala y/o despliega los componentes del sistema en el ambiente de producción de acuerdo con la arquitectura del sistema o servicio de TI, recomendaciones del fabricante y plan de implementación. </t>
  </si>
  <si>
    <t xml:space="preserve">2. Desarrolla el plan de pruebas unitarias de cada arreglo y componente informático por separado y de manera conjunta, según el alcance de la función que se le ha asignado en el proceso de implantación. </t>
  </si>
  <si>
    <t>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t>
  </si>
  <si>
    <t>UC1 C1</t>
  </si>
  <si>
    <t>C1 I1</t>
  </si>
  <si>
    <t>Elabora</t>
  </si>
  <si>
    <t>C1 I2</t>
  </si>
  <si>
    <t>Identifica</t>
  </si>
  <si>
    <t>C1 I3</t>
  </si>
  <si>
    <t>UC1 C2</t>
  </si>
  <si>
    <t>Implementar</t>
  </si>
  <si>
    <t>C2 I1</t>
  </si>
  <si>
    <t>Interpreta</t>
  </si>
  <si>
    <t>según las funciones y alcance de los sistemas.</t>
  </si>
  <si>
    <t>C2 I2</t>
  </si>
  <si>
    <t>C2 I3</t>
  </si>
  <si>
    <t>Ejecuta</t>
  </si>
  <si>
    <t>C3 I1</t>
  </si>
  <si>
    <t>C3 I2</t>
  </si>
  <si>
    <t>Documenta</t>
  </si>
  <si>
    <t>C3 I3</t>
  </si>
  <si>
    <t>UC2 C1</t>
  </si>
  <si>
    <t>Organiza</t>
  </si>
  <si>
    <t>UC2 C2</t>
  </si>
  <si>
    <t xml:space="preserve">Desarrollar </t>
  </si>
  <si>
    <t>Describe</t>
  </si>
  <si>
    <t>UC2 C3</t>
  </si>
  <si>
    <t xml:space="preserve">Reporta </t>
  </si>
  <si>
    <t xml:space="preserve">acciones ejecutadas y los eventos inesperados de manera programada, </t>
  </si>
  <si>
    <t>de acuerdo a la continuidad de negocio.</t>
  </si>
  <si>
    <t>UC3 C1</t>
  </si>
  <si>
    <t>UC3 C2</t>
  </si>
  <si>
    <t>Realiza</t>
  </si>
  <si>
    <t>UC3 C3</t>
  </si>
  <si>
    <t>UC 4 C1</t>
  </si>
  <si>
    <t>Planifica</t>
  </si>
  <si>
    <t>UC4 C2</t>
  </si>
  <si>
    <t>UC4 C3</t>
  </si>
  <si>
    <t>Selecciona</t>
  </si>
  <si>
    <t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t>
  </si>
  <si>
    <t>UC2: Ejecuta acciones de monitoreo y otras acciones operativas programadas, de acuerdo a las buenas prácticas de aseguramiento de operaciones del CPD (Centro de Procesamiento de Datos) y salvaguarda de la información de negocio</t>
  </si>
  <si>
    <t>UC1 C3</t>
  </si>
  <si>
    <t>PRESENCIAL</t>
  </si>
  <si>
    <t>CE1 Comunicación efectiva.- Expresar  de manera clara los conceptos, ideas, sentimientos, hechos y opiniones en forma oral y escrita para comunicarse e interactuar con otras personas en contextos sociales y laborales diversos. (UD)</t>
  </si>
  <si>
    <t>CE2 Tecnologías de la información.- Manejar herramientas informáticas  de las TIC para buscar y analizar información, comunicarse y realizar procedimientos o tareas vinculadas al área profesional, de acuerdo a los requerimientos de su entorno laboral.(UD)</t>
  </si>
  <si>
    <t>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</si>
  <si>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</si>
  <si>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 xml:space="preserve">CE5 Solución de problemas.-  Identificar situaciones complejas para evaluar posibles soluciones, aplicando un conjunto de herramientas flexibles que conlleven a la atención de una necesidad.(UD) </t>
  </si>
  <si>
    <t>1. Utiliza estrategias de escucha activa y asertiva en contextos sociales y laborales, sin estereotipos de género u otros.</t>
  </si>
  <si>
    <t>2. Organiza información de manera oral y escrita en contextos sociales y laborales, de manera objetiva y empática.</t>
  </si>
  <si>
    <t xml:space="preserve">3.- Expresa de manera clara conceptos, ideas, sentimientos y hechos en forma oral y escrita a través de distintos medios, incluyendo los medios virtuales, utilizando el lenguaje de acuerdo a los contextos sociales y laborales, sin estereotipos de género u otro. </t>
  </si>
  <si>
    <t xml:space="preserve">1. Utiliza herramientas de ofimática y especializadas para responder a los requerimientos del entorno laboral, de manera ética, eficiente y responsable. </t>
  </si>
  <si>
    <t xml:space="preserve">2.- Evalúa la información de la red, considerando su calidad, fiabilidad y pertinencia. </t>
  </si>
  <si>
    <t xml:space="preserve">3.- Contribuye al aprendizaje entre iguales en medios digitales respetando fuentes, de manera ética y responsable. </t>
  </si>
  <si>
    <t xml:space="preserve">1.- Identifica las oportunidades que generen ideas de proyectos o negocios nuevos, mejoras en procesos, productos o servicios ya existentes, de manera ética, utilizando, utilizando metodologías que promuevan la creatividad e innovación. </t>
  </si>
  <si>
    <t xml:space="preserve">2.- Propone el plan de acción del emprendimiento, asumiendo su rol de liderazgo y tomando en cuenta principios éticos, obligaciones tributarias y contables, normas establecidas para la protección de la propiedad. </t>
  </si>
  <si>
    <t xml:space="preserve">3.- Diseña el monitoreo para el cumplimiento del plan de acción, utilizando diferentes metodologías para la mejora continua, recursos para la sostenibilidad y escalamiento de su emprendimiento. </t>
  </si>
  <si>
    <t xml:space="preserve">1.- Actúa con honestidad, honradez, integridad y ética en los múltiples roles que asume, fomentando una cultura transparente, orientada al bien común, en contextos sociales y laborales. </t>
  </si>
  <si>
    <t xml:space="preserve">2.- Contribuye al establecimiento de relaciones justas, basadas en el respeto de los derechos de la persona y cumplimiento de las obligaciones y de las normas que aseguren una convivencia democrática. </t>
  </si>
  <si>
    <t xml:space="preserve">3.- Aplica los códigos de ética en su quehacer profesional de manera autónoma, con responsabilidad y haciendo uso eficiente de los recursos. </t>
  </si>
  <si>
    <t xml:space="preserve">1.- Identifica las causas que originan el problema, teniendo en cuenta el contexto. </t>
  </si>
  <si>
    <t xml:space="preserve">2.- Propone estrategias de solución, teniendo en cuenta criterios de pertinencia, ética, igualdad e inclusión. </t>
  </si>
  <si>
    <t xml:space="preserve">3.- Evalúa posibles soluciones al problema, teniendo en cuenta criterios de pertinencia, ética, igualdad e inclusión. </t>
  </si>
  <si>
    <t xml:space="preserve">4.- Aplica herramientas para dar solución al problema, de manera sostenible. </t>
  </si>
  <si>
    <t xml:space="preserve">3.- Expresa asertivamente y sin discriminación propuestas e ideas a quienes integran su equipo, considerando el contexto de la tarea, fomentando el espíritu de equipo y la interacción de los puntos de vista de los demás. </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</si>
  <si>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</si>
  <si>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</si>
  <si>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3. Desarrolla una cultura de calidad y mejora continua para el logro de objetivos, fomentando la participación y el compromiso del equipo y de sí mismo, con su entorno local, regional y nacional.</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</si>
  <si>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</si>
  <si>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</si>
  <si>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</si>
  <si>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Comunicar</t>
  </si>
  <si>
    <t>CE1 C1</t>
  </si>
  <si>
    <t xml:space="preserve">conceptos, ideas, opiniones, sentimientos y hechos </t>
  </si>
  <si>
    <t>en forma oral en situaciones relacionadas a su entorno personal y profesional.</t>
  </si>
  <si>
    <t xml:space="preserve">Participa </t>
  </si>
  <si>
    <t>en diálogos</t>
  </si>
  <si>
    <t>planteando sus opiniones, proponiendo ideas, compartiendo saberes y escuchando a los demás.</t>
  </si>
  <si>
    <t xml:space="preserve">Explica </t>
  </si>
  <si>
    <t xml:space="preserve"> información de situaciones vinculadas a su entorno personal y laboral </t>
  </si>
  <si>
    <t>formulando preguntas frente a aquello que no se entiende.</t>
  </si>
  <si>
    <t>CE1 C2</t>
  </si>
  <si>
    <t>conceptos, ideas, opiniones, sentimientos y hechos</t>
  </si>
  <si>
    <t>en forma escrita en situaciones relacionadas a su entorno social, educativo y laboral.</t>
  </si>
  <si>
    <t xml:space="preserve"> las ideas principales del texto </t>
  </si>
  <si>
    <t xml:space="preserve"> utilizando estrategias de comprensión lectora.</t>
  </si>
  <si>
    <t>Escribe</t>
  </si>
  <si>
    <t xml:space="preserve">textos variados </t>
  </si>
  <si>
    <t>con coherencia, cohesión y corrección, considerando las etapas del proceso de producción escrita.</t>
  </si>
  <si>
    <t>Identificar</t>
  </si>
  <si>
    <t>CE5 C1</t>
  </si>
  <si>
    <t>CE5 C2</t>
  </si>
  <si>
    <t>situaciones o problemas del proceso productivo o de servicios</t>
  </si>
  <si>
    <t xml:space="preserve"> considerando los objetivos del  área de desempeño.</t>
  </si>
  <si>
    <t xml:space="preserve"> problemas de su área,</t>
  </si>
  <si>
    <t xml:space="preserve"> considerando sus características y efectos.</t>
  </si>
  <si>
    <t>Propone</t>
  </si>
  <si>
    <t>CE2 C1</t>
  </si>
  <si>
    <t>CE2 C2</t>
  </si>
  <si>
    <t xml:space="preserve">Utilizar </t>
  </si>
  <si>
    <t>Utilizar</t>
  </si>
  <si>
    <t>aplicaciones y herramientas informáticas de las TIC</t>
  </si>
  <si>
    <t>de manera responsable y técnica.</t>
  </si>
  <si>
    <t xml:space="preserve">Emplea </t>
  </si>
  <si>
    <t xml:space="preserve">aplicaciones de internet para publicar información, </t>
  </si>
  <si>
    <t>respetando la propiedad intelectual.</t>
  </si>
  <si>
    <t xml:space="preserve">Maneja </t>
  </si>
  <si>
    <t xml:space="preserve">herramientas WEB que permita a los usuarios interactuar y colaborar </t>
  </si>
  <si>
    <t>en la creación de contenidos facilitando el trabajo colaborativo.</t>
  </si>
  <si>
    <t xml:space="preserve">software de aplicación </t>
  </si>
  <si>
    <t>CE3 C1</t>
  </si>
  <si>
    <t>CE3 C2</t>
  </si>
  <si>
    <t>CE4 I1</t>
  </si>
  <si>
    <t>CE4 I2</t>
  </si>
  <si>
    <t xml:space="preserve">metodologías para identificar oportunidades de negocio </t>
  </si>
  <si>
    <t>tomando en cuenta el programa de estudios y las necesidades del cliente.</t>
  </si>
  <si>
    <t xml:space="preserve">Describe </t>
  </si>
  <si>
    <t>de acuerdo al proceso de elaboración del plan de negocio.</t>
  </si>
  <si>
    <t>las metodologías del emprendimiento y de innovación,</t>
  </si>
  <si>
    <t>Emplea</t>
  </si>
  <si>
    <t>métodos y técnicas para identificar</t>
  </si>
  <si>
    <t>según el programa de estudios y las necesidades del cliente.</t>
  </si>
  <si>
    <t>Formular</t>
  </si>
  <si>
    <t xml:space="preserve">planes de negocio innovadoresvinculados al programa de estudio </t>
  </si>
  <si>
    <t>considerando un proceso metodológico que genere valor,  sea sostenible y preserve el ambiente.</t>
  </si>
  <si>
    <t xml:space="preserve">Plantea </t>
  </si>
  <si>
    <t>la misión, visión y objetivos del negocio</t>
  </si>
  <si>
    <t>teniendo en cuenta las expectativas del cliente y la oportunidad de negocio.</t>
  </si>
  <si>
    <t xml:space="preserve">Ejecuta </t>
  </si>
  <si>
    <t>el plan de acción del negocio</t>
  </si>
  <si>
    <t>participando en concursos y ferias de emprendimiento</t>
  </si>
  <si>
    <t>Practicar</t>
  </si>
  <si>
    <t>las relaciones interpersonales democráticas,</t>
  </si>
  <si>
    <t>teniendo en cuenta los principios y valores éticos, y la gestión efectiva de los conflictos en su contexto social y laboral.</t>
  </si>
  <si>
    <t>Promover</t>
  </si>
  <si>
    <t>una cultura ética en su contexto  social y laboral</t>
  </si>
  <si>
    <t>fomentando el bien común, la diversidad y la dignidad de las personas.</t>
  </si>
  <si>
    <t xml:space="preserve">Ejerce </t>
  </si>
  <si>
    <t>los principios de la democracia</t>
  </si>
  <si>
    <t>tomando en cuenta la optimización de sus relaciones interpersonales.</t>
  </si>
  <si>
    <t xml:space="preserve">Actúa </t>
  </si>
  <si>
    <t xml:space="preserve">un código de ética para su quehacer laboral </t>
  </si>
  <si>
    <t>orientado al bien común y a la dignidad de las personas.</t>
  </si>
  <si>
    <t>Demuestra</t>
  </si>
  <si>
    <t xml:space="preserve">acciones éticas </t>
  </si>
  <si>
    <t>en el marco de sus relaciones sociales y laborales.</t>
  </si>
  <si>
    <t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</si>
  <si>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Comunicación Oral</t>
  </si>
  <si>
    <t>Comunicación Escrita</t>
  </si>
  <si>
    <t>Solucion de Problemas</t>
  </si>
  <si>
    <t xml:space="preserve">Comportamiento Ético </t>
  </si>
  <si>
    <t>● Asertividad en la comunicación
● Inferencias e interpretación del discurso oral 
● Estrategias de escucha activa
● Comunicación paralingüística y no verbal</t>
  </si>
  <si>
    <t>● Propiedades de las presentaciones orales académicas
● Comunicación persuasiva al cliente
● Técnicas de presentación</t>
  </si>
  <si>
    <t>● Lectura y estrategias de comprensión escrita</t>
  </si>
  <si>
    <t>● Elementos de la comunicación
● Etapas de la producción escrita.
● Tipos de documentos: Currículo, informes, instructivos.
● Cualidades del texto escrito</t>
  </si>
  <si>
    <t>•	Características del problema y del contexto. 
•	Recolección de datos y evidencias. 
•	Causas del problema.
•	Análisis de las causas más probables.</t>
  </si>
  <si>
    <t xml:space="preserve">CE6 Liderazgo personal y profesional. - Demostrar comportamiento de liderazgo que permita coordinar y organizar eficazmente las ideas, decisiones y actividades en el desempeño laboral y social. (T) </t>
  </si>
  <si>
    <t xml:space="preserve">CE7 Cultura ambiental. - Convivir de manera ética, autónoma, responsable y sostenible, previniendo, reduciendo y controlando permanente y progresivamente los impactos ambientales. (T) </t>
  </si>
  <si>
    <t>Internet.
Navegadores web.
Aplicaciones.
Derechos de autor.</t>
  </si>
  <si>
    <t>Herramientas web.
Redes sociales.
Correos electrónicos.
Chat.
Comunidades de aprendizaje.</t>
  </si>
  <si>
    <t>Definición de emprendimiento e innovación.
Metodologías.
Plan de negocio
- Definición
- Características
-  Criterios del negocio: 
    económico, social y ambiental 
- Proceso de elaboración</t>
  </si>
  <si>
    <t>Identificación de la oportunidad
- Observación
- Exploración: 
 Entrevistas, casos de éxito
- Análisis del cliente 
- Análisis de oportunidades de      negocio: 
Mapa de empatía.
Matriz: Problema, solución del problema, idea de negocio.
Prototipo y testeo.</t>
  </si>
  <si>
    <t>Estructura de un plan de negocios.
Definición de los objetivos
Visión y Misión del negocio
Objetivos del Negocio.
FODA</t>
  </si>
  <si>
    <t>Plan de acción del negocio
- Acciones para lograr los objetivos del negocio.
- Financiamiento
- Planificación en el tiempo
- Recursos humanos, físicos y materiales.
Organización y oportunidades
-Feria de emprendimiento
Concursos internos /externo</t>
  </si>
  <si>
    <t>Relaciones interpersonales en democracia:
- Vivir en democracia para el desarrollo personal y profesional. 
- Normas de convivencia y relaciones laborales.                                                                                
- Respeto y valoración de la opinión de sus compañeros y con los demás.
- Resolución de conflictos</t>
  </si>
  <si>
    <t>Valores para el desarrollo profesional:
-Puntualidad
-Honestidad
-Solidaridad y bien común
-Lealtad
-Responsabilidad
-Perseverancia
-Tolerancia
-Proactividad 
Casos aplicativos</t>
  </si>
  <si>
    <t>Corrupción: 
- Concepto
- Formas
- Niveles                                  
Cultura de transparencia
Relación con los principios éticos Causas y consecuencias de la corrupción.
Casos aplicativos.</t>
  </si>
  <si>
    <t>Código de ética.
Casos aplicativos.</t>
  </si>
  <si>
    <t>CE5 Solución de problemas.-  Identificar situaciones complejas para evaluar posibles soluciones, aplicando un conjunto de herramientas flexibles que conlleven a la atención de una necesidad.(UD)</t>
  </si>
  <si>
    <t>CE5 I1</t>
  </si>
  <si>
    <t>Plan de negocio</t>
  </si>
  <si>
    <t>Elaboración de planes de negocio</t>
  </si>
  <si>
    <t xml:space="preserve">alternativas de soluciones a situaciones o problemas del proceso productivo o de servicios, </t>
  </si>
  <si>
    <t>Plantear</t>
  </si>
  <si>
    <t>alternativas de solución
 efectiva del problema,</t>
  </si>
  <si>
    <t>teniendo en cuenta hechos, 
referentes de fuentes
 bibliográficas y las
 herramientas de apoyo.</t>
  </si>
  <si>
    <t>las herramientas</t>
  </si>
  <si>
    <t>considerando el problema 
identificado y su eficacia de 
acción.</t>
  </si>
  <si>
    <t>considerando los objetivos del 
 área de desempeño.</t>
  </si>
  <si>
    <t>las causas y consecuencias de situaciones o  problemas del área de desempeño,</t>
  </si>
  <si>
    <t>Caracteriza</t>
  </si>
  <si>
    <t xml:space="preserve">analizando la información disponible. </t>
  </si>
  <si>
    <t xml:space="preserve">Determinación de causas que originan el problema.
Análisis de las causas y sus efectos. </t>
  </si>
  <si>
    <t>Herramientas cualitativas para la solución de problemas.
Registro de datos
Organización de la información.</t>
  </si>
  <si>
    <t>Diseño de estrategias para la solución del problema.
Evaluación e interpretación de resultados
Consideraciones para la implementación de mecanismos de mejora</t>
  </si>
  <si>
    <t>Alternativas de solución de problemas.</t>
  </si>
  <si>
    <t>Principios y valores éticos.</t>
  </si>
  <si>
    <t>Herramientas virtuales
(Aplicaciones Web)</t>
  </si>
  <si>
    <t>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t>
  </si>
  <si>
    <t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t>
  </si>
  <si>
    <t>el sistema de información o servicios de TI,</t>
  </si>
  <si>
    <t>Comprueba</t>
  </si>
  <si>
    <t>sistemas de información o servicios TI,</t>
  </si>
  <si>
    <t xml:space="preserve">las necesidades o requerimientos del cliente </t>
  </si>
  <si>
    <t xml:space="preserve">Elabora </t>
  </si>
  <si>
    <t>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t>
  </si>
  <si>
    <t xml:space="preserve">Elaborar </t>
  </si>
  <si>
    <t>considerando procedimientos establecidos y buenas prácticas de gestión de incidentes.</t>
  </si>
  <si>
    <t>C2 I4</t>
  </si>
  <si>
    <t xml:space="preserve">Identifica </t>
  </si>
  <si>
    <t xml:space="preserve">Realiza  </t>
  </si>
  <si>
    <t xml:space="preserve">copias de seguridad </t>
  </si>
  <si>
    <t xml:space="preserve">según los procedimientos establecidos. </t>
  </si>
  <si>
    <t>UC3: Realizar puesta en producción de sistemas de información o servicios de TI, de acuerdo a la planificación efectuada</t>
  </si>
  <si>
    <t>Resolver</t>
  </si>
  <si>
    <t xml:space="preserve">considerando procedimientos establecidos y buenas prácticas de gestión de TI (marco metodologias COBIT y ITIL) </t>
  </si>
  <si>
    <t xml:space="preserve">los reportes de las incidencia de los sistemas de información </t>
  </si>
  <si>
    <t>los reportes del funcionamiento del sistema de información en producción o puesta en marcha</t>
  </si>
  <si>
    <t xml:space="preserve">las fallas e incidencias del sistema de información en producción o puesta en marcha </t>
  </si>
  <si>
    <t>Clasifica</t>
  </si>
  <si>
    <t>Detecta</t>
  </si>
  <si>
    <t xml:space="preserve">las incidencias o fallas del sistema de información en el primer nivel </t>
  </si>
  <si>
    <t>Plantea</t>
  </si>
  <si>
    <t>Analiza</t>
  </si>
  <si>
    <t xml:space="preserve">estrategias de solución </t>
  </si>
  <si>
    <t xml:space="preserve">Aplica </t>
  </si>
  <si>
    <t xml:space="preserve">Determina </t>
  </si>
  <si>
    <t xml:space="preserve">la estrategia de solución </t>
  </si>
  <si>
    <t xml:space="preserve">estrategia de solución </t>
  </si>
  <si>
    <t xml:space="preserve">teniendo en cuenta las incidencia o falla del sistema de información, los procedimiento establecidos y buenas prácticas de gestión de TI </t>
  </si>
  <si>
    <t xml:space="preserve">siguiendo los procedimiento establecidos y buenas prácticas de gestión de TI </t>
  </si>
  <si>
    <t>C2 I5</t>
  </si>
  <si>
    <t xml:space="preserve">el funcionamiento del sistema de información </t>
  </si>
  <si>
    <t>considerando los estándares de calidad establecidos.</t>
  </si>
  <si>
    <t>los incidentes o requerimientos de los usuarios atendidos</t>
  </si>
  <si>
    <t>aplicando los procedimientos establecidos según la política de la organización.</t>
  </si>
  <si>
    <t xml:space="preserve"> las lecciones aprendidas</t>
  </si>
  <si>
    <t>Señala</t>
  </si>
  <si>
    <t>considerando procedimientos establecidos y buenas practicas de gestión de TI.</t>
  </si>
  <si>
    <t>los incidentes o requerimientos de los usuarios atendidos en una BD o repositorio</t>
  </si>
  <si>
    <t xml:space="preserve">las acciones de gestión de inicdenicias y/o requerimientos </t>
  </si>
  <si>
    <t>generando reportes de cumplimiento, de acuerdo a los niveles de servicio TI.</t>
  </si>
  <si>
    <t xml:space="preserve">Realizar </t>
  </si>
  <si>
    <t>el mantenimiento preventivo de la infraestructura de plataformas y servicios de TI</t>
  </si>
  <si>
    <t>teniendo en cuenta las especificaciones técnicas y políticas del servicio.</t>
  </si>
  <si>
    <t>el mantenimiento correctivo de la infraestructura de plataformas y servicios de TI</t>
  </si>
  <si>
    <t xml:space="preserve">Reportar </t>
  </si>
  <si>
    <t xml:space="preserve">incidencias y/o acciones </t>
  </si>
  <si>
    <t xml:space="preserve">relacionadas a la infraestructura de sistemas de información </t>
  </si>
  <si>
    <t>UC2 C4</t>
  </si>
  <si>
    <t>de acuerdo a las buenas prácticas y normativa vigente.</t>
  </si>
  <si>
    <t>el seguimiento de la infraestructua de TI</t>
  </si>
  <si>
    <t xml:space="preserve">los reportes de incidencias y/o acciones durante el monitoreo </t>
  </si>
  <si>
    <t xml:space="preserve">relacionadas a la infraestructura de TI. </t>
  </si>
  <si>
    <t>Diagnostica</t>
  </si>
  <si>
    <t xml:space="preserve">teniendo en  cuenta la continuidad de negocio y políticas de seguridad. </t>
  </si>
  <si>
    <t xml:space="preserve">Efectúa </t>
  </si>
  <si>
    <t xml:space="preserve">el mantenimiento preventivo de la infraestructura </t>
  </si>
  <si>
    <t>el inventario, la infraestructura de TI y herramientas necesarias</t>
  </si>
  <si>
    <t>las incidencias y posible averias realacionada a la infraestructura de TI</t>
  </si>
  <si>
    <t xml:space="preserve">Clasifica </t>
  </si>
  <si>
    <t>teniendo en cuenta los procedimientos establecidos y las buenas práctica</t>
  </si>
  <si>
    <t>C4I1</t>
  </si>
  <si>
    <t xml:space="preserve">Evalua </t>
  </si>
  <si>
    <t>según los niveles de operación de los servicios de TI .</t>
  </si>
  <si>
    <t>C4I2</t>
  </si>
  <si>
    <t>C4I3</t>
  </si>
  <si>
    <t>reportes de incidencias y/o acciones,</t>
  </si>
  <si>
    <t>un informe de incidencias y/o acciones de monitoreo</t>
  </si>
  <si>
    <t xml:space="preserve">teniendo en cuenta las estándares establecidos y las políticas de la organización </t>
  </si>
  <si>
    <t xml:space="preserve">las incidencias y/o acciones operativas durante el monitoreo </t>
  </si>
  <si>
    <t xml:space="preserve">las incidencias presentadas durante el mantenimiento </t>
  </si>
  <si>
    <t>de acuerdo a los requerimientos y aplicando buenas prácticas de TI.</t>
  </si>
  <si>
    <t xml:space="preserve">las pruebas unitarias </t>
  </si>
  <si>
    <t xml:space="preserve">de acuerdo a la funcionalidad del software y aplicando buenas prácticas de TI </t>
  </si>
  <si>
    <t>los componentes del sistema de información</t>
  </si>
  <si>
    <t xml:space="preserve">Establece </t>
  </si>
  <si>
    <t xml:space="preserve">entorno de pruebas </t>
  </si>
  <si>
    <t xml:space="preserve">teniendo en cuenta los criterios de satisfaccion de funcionamento del sistema de información </t>
  </si>
  <si>
    <t xml:space="preserve">el plan de pruebas </t>
  </si>
  <si>
    <t xml:space="preserve">a acuerdo ala arquitectura del sistema </t>
  </si>
  <si>
    <t xml:space="preserve">Instala </t>
  </si>
  <si>
    <t xml:space="preserve">de acuerdo con la arquitectura del sistema o servicio de TI, recomendaciones del fabricante y plan de implementación. </t>
  </si>
  <si>
    <t>Verifica</t>
  </si>
  <si>
    <t>el funcionamiento del sistema de información o servicios de TI</t>
  </si>
  <si>
    <t>un informe de la implementación del sistema de información o servicios de TI</t>
  </si>
  <si>
    <t xml:space="preserve">considerando las políticas de la organización </t>
  </si>
  <si>
    <t>de acuerdo con el diseño funcional del sistema o servicio de TI y buenas prácticas de TI.</t>
  </si>
  <si>
    <t xml:space="preserve">Propone </t>
  </si>
  <si>
    <t>alternativas de solución ante un mal funcionamiento del sistema de información o servicios de TI</t>
  </si>
  <si>
    <t>considerando el diseño funcional del sistema de infomación o servicios de TI y aplicando buenas practicas de TI</t>
  </si>
  <si>
    <t xml:space="preserve">Idenfica </t>
  </si>
  <si>
    <t xml:space="preserve">la falla del sistema de información o servicios  de TI </t>
  </si>
  <si>
    <t>las acciones correctivas en el sistema de información de información o servicios de TI</t>
  </si>
  <si>
    <t xml:space="preserve">acciones correctivas ante un mal funcionamiento del sistema de información o servicios de TI, </t>
  </si>
  <si>
    <t>Sistematiza</t>
  </si>
  <si>
    <t>UC4 C4</t>
  </si>
  <si>
    <t>C4 I1</t>
  </si>
  <si>
    <t>C4 I2</t>
  </si>
  <si>
    <t>C3 I4</t>
  </si>
  <si>
    <t>C1 I4</t>
  </si>
  <si>
    <t>Análisis de requerimientos de Tecnología de la Información.</t>
  </si>
  <si>
    <t xml:space="preserve">Atención de incidencias del sistema de infomación </t>
  </si>
  <si>
    <t>Reporte de incidencia del sistema de información</t>
  </si>
  <si>
    <t>Monitoreo de infraestructura de TI</t>
  </si>
  <si>
    <t>Mantenimiento preventivo de Tecnologías de la Información</t>
  </si>
  <si>
    <t>Mantenimiento correctivo de Tecnologías de la Información</t>
  </si>
  <si>
    <t xml:space="preserve">Desarrollo de prubas unitarias </t>
  </si>
  <si>
    <t>Implementación de sistemas de información y servicios de TI</t>
  </si>
  <si>
    <t>Acciones correctivas de sistemas de información y servicios de TI</t>
  </si>
  <si>
    <t>Aplicaciones web
(Aplicaciones Ofimáticas)</t>
  </si>
  <si>
    <t>•Sistemas de información (Alcance, tipos, arquitectura, componentes y funcionalidad).
•Ciclo de vida del software.
•Reportes de funcionalidad del sistema de información.</t>
  </si>
  <si>
    <t>•Gestion de incidencias
•Buenas prácticas de gestion de TI según ITIL (interpretación, clasificación)
•Gestión de control de TI según COBIT (interpretación, clasificación)</t>
  </si>
  <si>
    <t>•Solucion de problemas de primer nivel en Sistemas de información.
•Buenas prácticas y control según COBIT e ITIL para solucion de problemas de primer nivel en Sistemas de información.</t>
  </si>
  <si>
    <t>•Verificación y seguimiento de actividades correctivas de primer nivel en fallos de sistemas de información.
•Buenas prácticas y control según COBIT e ITIL en la verificación y el seguimiento.</t>
  </si>
  <si>
    <t>•Capacidad de autoanalisis.
•Retroalimentación.
•Optimización de procesos.</t>
  </si>
  <si>
    <t>•Buenas prácticas y control según COBIT e ITIL en la gestión de clasificacion de incidentes en bases de datos y repositorios.</t>
  </si>
  <si>
    <t>•Buenas prácticas y control según COBIT e ITIL en la documentación relacionada a manejo de incidencias.</t>
  </si>
  <si>
    <t>•Copias de seguridad.
•Herramientas de gestion de copias de seguridad.
•Bases de datos y repositorios.
•Buenas prácticas y control según COBIT e ITIL en el manejo de repositorios y/o backups de respaldo de información.</t>
  </si>
  <si>
    <t>•Analisis de incidencias y/o acciones.
•Buenas prácticas y control según COBIT e ITIL en la organización de reportes e incidencias.</t>
  </si>
  <si>
    <t>•Buenas prácticas y control según COBIT e ITIL en la documentación e informes parciales relaciconados a las incidencias y/o acciones de monitoreo.</t>
  </si>
  <si>
    <t>•Habilidades técnicas básicas de ensamblaje de equipos informáticos.
•Habilidades técnicas  básicas de implementacion de redes de comunicación.
•Manejo de herramientas para el mantenimiento correctivo básico de infraestructura de TI.
•Buenas prácticas y control según COBIT e ITIL en la ejecución del mantenimiento correctivo</t>
  </si>
  <si>
    <t>•Control de calidad de software.
•Pruebas de software.
•Tipos de pruebas.
•Pruebas unitarias.
•Criterios de satisfacción.
•Requerimientos del sistema y del usuario.</t>
  </si>
  <si>
    <t>•Diseño de pruebas unitarias. (documentación)
•Casos de prueba. (documentación)
•Herramientas de pruebas. (documentación)
•Gestión documentaria (elaboración de plan de pruebas)</t>
  </si>
  <si>
    <t xml:space="preserve">•Lectura e interpretacion de planes de implementación de sistemas de información.
•Lectura e interpretación de manuales y recomendacióndes del fabricante
•Instalación y configuración de sistemas de información.
</t>
  </si>
  <si>
    <t>•Seguimiento y comprobación de funcionalidad de sistemas de información.
•Recomendaciónes de uso de sistemas de información según fabricante.</t>
  </si>
  <si>
    <t xml:space="preserve">•Diseño funcional del sistema y/o servicios de TI.
•Identificación de fallas de sistemas de información y/o servicios de TI.
•Herramientas de monitoreo y detección de fallas de sistemas de información y/o servicios de TI.
</t>
  </si>
  <si>
    <t>•Estrategias de solución de problemas de funcionamiento de sistemas de información.
•Adecuación de estrategias de solucion al diseño funcional del sistema y/o servicio de TI.</t>
  </si>
  <si>
    <t>•Acciones correctivas básicas o de primer nivel en sistemas de información o serviciós de TI.
•Herramientas para acciones correctivas básicas o de primer nivel en sistemas de información o serviciós de TI.</t>
  </si>
  <si>
    <t>•Gestión de incidencias
•Buenas prácticas de gestion de TI según ITIL (deteccion de fallos e incidencias)
•Gestión de control de TI según COBIT (deteccion de fallos e incidencias)</t>
  </si>
  <si>
    <t>•Gestión de incidencias.
•Análisis de fallas.
•Fallas de sistema.
•Fallas de hardware.
•Fallas de software.
•Gestión de control de TI según COBIT e ITIL (interpretación, clasificación)</t>
  </si>
  <si>
    <t>•Análisis de sistemas de información.
•Elaboración de estrategias de solucion de fallo en TI.
•Patrones de fallo de sistemas.
•Funcionalidad integral de sistemas de informacion.</t>
  </si>
  <si>
    <t>•Metodologías de selección de estrategias.
•Buenas prácticas y control según COBIT e ITIL para selección de estrategias de solución.</t>
  </si>
  <si>
    <t>•Flujogramas y politicas de atención de la organización.
•Buenas prácticas y control según COBIT e ITIL en el proceso de finalización de atención de reportes.</t>
  </si>
  <si>
    <t>•Arquitectura del hardware (equipos de escritorio, laptops, impresoras, telefonía, routers).
•Conceptos básicos del mantenimiento preventivo de plataformas de TI.
•Conceptos básicos del mantenimiento preventivo de plataformas servicios de TI.
•Elaboración de planes de mantenimiento preventivo del area de TI.</t>
  </si>
  <si>
    <t>•Habilidades técnicas básicas mantenimiento preventivo de infraestructura de plataformas de TI.
•Habilidades técnicas  básicas de mantenimiento preventivo de redes de comunicación.
•Manejo de herramientas para el mantenimiento preventivo básico de infraestructura de TI.
•Buenas prácticas y control según COBIT e ITIL en la ejecución del mantenimiento preventivo</t>
  </si>
  <si>
    <t>•Análisis de datos e interpretación de incidencias de infraestructura de TI.
•Planteamiento de hipótesis y causas en incidencias de infraestructura de TI.
•Técnicas y herramientas de clasificación de incidencias.</t>
  </si>
  <si>
    <t>•Infraestructura de TI (Arquitectura, componentes y funciones).
•Maquinas virtuales, simuladores de red y simuladores de ensamblaje de pc para mantenimiento correctivo.
•Herrramientas de monitoreo y supervision de infraesctructura de TI.</t>
  </si>
  <si>
    <t>•Componentes de la infraestructura de TI. (equipos de computo, impresoras, laptops, telefonía, routers, switchs, etc)
•Maquinas virtuales, simuladores de red y simuladores de ensamblaje de pc para mantenimiento preventivo.
•Herramientas necesarias para el mantenimiento preventivo del area de TI.</t>
  </si>
  <si>
    <t>•Arquitecturas de sistemas de información.
•Componentes de un sistema de información.
•Conceptos básicos de lenguaje de prográmación.
•Tipos de datos. (Programación)
•Flujo de datos.  (Programación)
•Estructura de datos.  (Programación)
•Programación orientada a objetos (Polimorfismo, encapsulación, abstracción y herencia).
•Frontend y Backend.
•Base de datos. 
•Interfaz de usuario.
•Motor de procesamiento.
•Sistema de almacenamiento.
•Ciclo de vida del software.</t>
  </si>
  <si>
    <t>•Manejo de herramientas y/o software para la ejecución de pruebas unitarias.
•Comprobación de errores según los casos de prueba.
•Informes de resutaldos de pruebas según criterios de satisfacción.</t>
  </si>
  <si>
    <t>•Gestion documentaria (elaboración de informes) relacionados a la implementación de sistemas de TI.</t>
  </si>
  <si>
    <t>procesador de textos</t>
  </si>
  <si>
    <t>en la elaboración de documentos, teniendo en cuenta los requerimientos del contexto laboral y los formatos vinculados al programa de estudios.</t>
  </si>
  <si>
    <t xml:space="preserve">información </t>
  </si>
  <si>
    <t xml:space="preserve">Realiza </t>
  </si>
  <si>
    <t xml:space="preserve">presentaciones que sintetiza la información en diapositivas, </t>
  </si>
  <si>
    <t xml:space="preserve"> vinculándola al programa de estudios.</t>
  </si>
  <si>
    <t xml:space="preserve">de manera ética </t>
  </si>
  <si>
    <t xml:space="preserve"> en su vida cotidiana y laboral, orientada al bien común</t>
  </si>
  <si>
    <t>Procesador de texto 
- Configuración 
- Herramientas 
- Formatos
 - Impresión</t>
  </si>
  <si>
    <t xml:space="preserve">Hojas de cálculo
 - Configuración
 - Herramientas
 - Formatos </t>
  </si>
  <si>
    <t>Presentador de diapositivas
- Configuración 
- Herramientas 
- Animación y transición</t>
  </si>
  <si>
    <t>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t>
  </si>
  <si>
    <t>Laboratorio de cómputo del CETPR0</t>
  </si>
  <si>
    <t>Laboratorio de cómputo del CETPRO</t>
  </si>
  <si>
    <t>Área de cómputo de una empresa</t>
  </si>
  <si>
    <t>UC4: Implementar y configurar las redes y servicios de comunicaciones efectuando las pruebas y certificaciones, de 
acuerdo con las necesidades del negocio, estándares internacionales de TI y políticas de seguridad de la organización.</t>
  </si>
  <si>
    <t xml:space="preserve">El egresado de este programa podrá desempeñarse en las siguientes áreas:
• Informática, tecnologías de la información y sistemas de cualquier organización.        
• Desarrollo de infraestructura tecnológica de redes, servidores y comunicaciones.                                                                                                     
• Cableado, estructurado en fibra y cobre.    
• Mantenimiento de redes de comunicaciones y redes fijas ADSL.                                                                             
• Instalación y Manteminiento de Redes Wi Fi.
• Soporte tecnico de computadoras   
• Administración de servicios de TI      
• Implementación y monitoreo de sistemas de redes
 ó en consultoras especializadas en desarrollo de infraestructura tecnológica de redes, servidores y comunicaciones.       </t>
  </si>
  <si>
    <t>J2662-2-001</t>
  </si>
  <si>
    <t>REDES Y COMUNICACIONES</t>
  </si>
  <si>
    <t xml:space="preserve">DENOMINACIÓN </t>
  </si>
  <si>
    <t>1. Planifica las acciones de mejoras y evalúa los detalles técnicos de la infraestructura de redes comprometidos, de acuerdo con el plan de mejoras.</t>
  </si>
  <si>
    <t>2. Configura la infraestructura de redes y telecomunicaciones de la organización de acuerdo con la arquitectura de infraestructura, arquitectura de sistemas, requerimientos del negocio, estándares internacionales de TI y políticas de seguridad de la organización.</t>
  </si>
  <si>
    <t xml:space="preserve">3. Supervisa la implementación del protocolo de pruebas o comprobación de las funcionalidades de la infraestructura de redes, de acuerdo al plan de mejoras. </t>
  </si>
  <si>
    <t>4. Realiza el mantenimiento de las redes y comunicaciones de la organización y actualiza la base de datos de los componentes de configuración, según las buenas prácticas de gestión de la configuración, arquitectura de infraestructura, arquitectura de sistemas, requerimientos del negocio, estándares internacionales de TI y políticas de seguridad de la organización.</t>
  </si>
  <si>
    <t>5. Realiza acciones correctivas que garanticen el rendimiento y capacidad esperado de las redes y comunicaciones, de acuerdo con buenas prácticas de gestión de redes, recomendaciones del fabricantes, proveedores de servicios, capacity planning y gestión de riesgos.</t>
  </si>
  <si>
    <t>6. Documenta el historial de mantenimiento y los cambios relevantes de la infraestructura y/o sistemas de TI, de acuerdo con buenas prácticas de gestión de la configuración y políticas de la organización.</t>
  </si>
  <si>
    <t>7. Reporta las acciones ejecutadas y las observaciones detectadas en el proceso, de acuerdo con el plan de actividades programadas, gestión de riesgos, continuidad de negocio y políticas de seguridad de la organización.</t>
  </si>
  <si>
    <t>Instalar</t>
  </si>
  <si>
    <t>las redes y servicios de comunicaciones efectuando las pruebas y certificaciones,</t>
  </si>
  <si>
    <t xml:space="preserve"> de 
acuerdo con las necesidades del negocio, estándares internacionales de TI y políticas de seguridad de la organización.</t>
  </si>
  <si>
    <t>la planificación de la instalación de las redes y servicios de comunicaciones</t>
  </si>
  <si>
    <t>considerando las necesidades del cliente, los recursos requeridos, estándares internacionales de TI y políticas de seguridad de la organización.</t>
  </si>
  <si>
    <t xml:space="preserve">la instalación de infraestuctura de red (redes inalámbricas, fibra óptica,  cableado UTP) y servicios de comunicaciones
</t>
  </si>
  <si>
    <t>de acuerdo con las necesidades del negocio, los estándares internacionales de TI y políticas de seguridad de la organización.</t>
  </si>
  <si>
    <t>pruebas o comprobación de las funcionalidades de la infraestructura de red y servicios de comunicación.</t>
  </si>
  <si>
    <t xml:space="preserve">de acuerdo con las necesidades del negocio, los estándares internacionales de TI y políticas de seguridad de la organización </t>
  </si>
  <si>
    <t>Ejecutar</t>
  </si>
  <si>
    <t xml:space="preserve">la configuración de la infraestructura de redes y telecomunicaciones de la empresa </t>
  </si>
  <si>
    <t>de acuerdo con la arquitectura e infraestructura  de sistemas, requerimientos del negocio, estándares internacionales de TI y políticas de seguridad de la organización.</t>
  </si>
  <si>
    <t>la configuración básica para la funcionalidad de los dispositivos de la infraestructura de red.</t>
  </si>
  <si>
    <t>Implementa</t>
  </si>
  <si>
    <t>la administración de políticas de red y seguridad.</t>
  </si>
  <si>
    <t>el correcto funcionamiento de la infraestructura de redes y telecomunicaciónes.</t>
  </si>
  <si>
    <t xml:space="preserve">el mantenimiento preventivo y correctivo de las redes y comunicaciones de la organización </t>
  </si>
  <si>
    <t>de acuerdo con buenas prácticas de gestión de redes, recomendaciones del fabricantes, proveedores de servicios, capacity planning y gestión de riesgos.</t>
  </si>
  <si>
    <t xml:space="preserve">la planificación del mantenimiento preventivo de las redes y comunicaciones de la organización </t>
  </si>
  <si>
    <t xml:space="preserve">el mantenimiento preventivo de las redes y comunicaciones de la organización </t>
  </si>
  <si>
    <t xml:space="preserve">la planificación del mantenimiento correctivo de las redes y comunicaciones de la organización </t>
  </si>
  <si>
    <t xml:space="preserve">el mantenimiento correctivo de las redes y comunicaciones de la organización </t>
  </si>
  <si>
    <t>C3 I5</t>
  </si>
  <si>
    <t xml:space="preserve">el funcionamiento de las redes y comunicaciones de la organización despues de la ejecución del mantenimiento preventivo y correctivo </t>
  </si>
  <si>
    <t>Reportar</t>
  </si>
  <si>
    <t xml:space="preserve">las acciones ejecutadas y las observaciones detectadas en el proceso de mantemiento de la infrestructura de red y comunicaciones, </t>
  </si>
  <si>
    <t>de acuerdo con el plan de actividades programadas, el historial de mantenimiento, gestión de riesgos y políticas de seguridad de la organización.</t>
  </si>
  <si>
    <t xml:space="preserve">Registra </t>
  </si>
  <si>
    <t xml:space="preserve">las incidencias o fallas de la red y comunicaciones </t>
  </si>
  <si>
    <t>tomando en cuenta la base de datos y  el historial de mantenimiento, de acuerdo con buenas prácticas de gestión de redes.</t>
  </si>
  <si>
    <t xml:space="preserve">clasifica </t>
  </si>
  <si>
    <t>las incidencias o fallas</t>
  </si>
  <si>
    <t xml:space="preserve">de acuerdo a sus características técnicas y recurrencia. </t>
  </si>
  <si>
    <t xml:space="preserve">Documenta </t>
  </si>
  <si>
    <t>el historial de mantenimiento y los cambios relevantes de la infraestructura y/o sistemas de la red</t>
  </si>
  <si>
    <t xml:space="preserve"> de acuerdo con buenas prácticas de gestión de la configuración y políticas de la organización.</t>
  </si>
  <si>
    <t xml:space="preserve">el reporte o informe de las acciones ejecutadas y las observaciones detectadas en el proceso de mantemiento de la infrestructura de red y comunicaciones, </t>
  </si>
  <si>
    <t>C4 I3</t>
  </si>
  <si>
    <t>C4 I4</t>
  </si>
  <si>
    <t xml:space="preserve">Instalación de redes y comunicaciones </t>
  </si>
  <si>
    <t>Configuración de redes y telecomunicaciones</t>
  </si>
  <si>
    <t>Mantenimiento preventivo y correctivo de redes y  comunicaciones</t>
  </si>
  <si>
    <t>Seguridad y control de riesgos</t>
  </si>
  <si>
    <t xml:space="preserve">Conceptos basicos de redes:
Fundamentos Ethernet
Fundamentos del Modelo OSI
Fundamentos del Modelo TCP/IP
*Gestión de recursos y dispositivos de infraestructura de redes
*Estandares internacionales (IEEE, ISO/IEC 11801, ITU-T G.800, ITU-T G.800, ITU-T X.25, etc)
*Estrategias de implementación de redes
*Topologías
*Redes WAN, WLAN, MAN, PAN
*Protocolos (TCP/IP)
*Análisis de necesidades del cliente
</t>
  </si>
  <si>
    <t xml:space="preserve">
*Transmision de datos
*Modelo TCP/IP
*Dispositivos de redes
*Tipos de interfaz (LAN, VLAN, WAN, SAN, API, etc.)
*Medios físicos e inalambricos (cable utp, coaxial, hfc, fibra optica, microondas, wifi, bluetoth, etc)
*Herramientas para instalación (Crimpadora, pelacables, tester de cables, multimetro, cautin, etc)
*Estándares internacionales para instalaciones básicas.</t>
  </si>
  <si>
    <t>*pruebas de conectividad fisica
*pruebas de conectividad lógica (software)
*herramientas y tecnicas para pruebas de conectividad
*pruebas de servicios de comunicación
*comandos de conectividad por consola
*pruebas de servicios, telefonía, mensajería, etc.</t>
  </si>
  <si>
    <t>*Configuración de dispositivos finales. (pc, laptop, servidor, tablet, impresora, telefono, etc)
*Configuración básica de dispositivos intermedios. (Switches y routers)
*Direccionamiento  IPv4, IPv6
*DNS
*Enrutamiento estático y dinamico (OSPF, EIGRP)
*Frame Relay
*Distribución de direcciones ip manuales.
*Distribución de direcciones DHCP</t>
  </si>
  <si>
    <t>*Monitoreo de redes
*Software de monitoreo de red (Wireshark, Nagios, SolarWinds ManageEngine OpManager, etc)
*Monitoreo por comandos desde el terminal.
*Herramientas físicas de testeo (tester de cables, multimetro, etc)
*Resolución de problemas básicos de red (físicas e inalambricas).</t>
  </si>
  <si>
    <t>*Planes de mantenimiento preventivo
*Alcance y objetivos del plan
*Análisis de requerimientos para el mantenimiento preventivo de las redes.
*Continuidad del negocio
*Políticas de la empresa
*Copias de seguridad
*Recursos Humanos y materiales
*Cronograma de ejecución
*Plan de gestión de riesgos
*Matriz de análisis de riesgos</t>
  </si>
  <si>
    <t>*Monitoreo e inspección física
*Monitoreo e inspección lógica (software)
*Actualizaciones de software
*Creacion de copias de seguridad (Backups)
*Restauración por copias de seguridad
*Detección de vulnerabilidades y riesgos.
*Mitigación, aceptacion y eliminación de vulnerabilidades y riesgos.</t>
  </si>
  <si>
    <t>*Planes de mantenimiento correctivo
*Atención de reportes e incidencias
*Planes de contingencias para garantizar la continuidad del negocio.
*Copias de seguridad
*Recursos Humanos y materiales
*Plan de gestión de riesgos
*Matriz de análisis de riesgos</t>
  </si>
  <si>
    <t>*Monitoreo e inspección física
*Monitoreo e inspección lógica (software)
*Identificación de daños, fallas o ataques a la red.
*Reparación de redes fisicas cableadas o dispositivos inalámbricos
*Reseteo o reinicio de equipos intermedios (switches y routers)
*Restauración de las configuraciónes de fábrica o la organización
*Reasignación de direcciones ip
*Gestión de garantias con proveedores
*Reconfiguración o rediseño de la red.
*Solucion de daños, fallas o ataques a la red.
*Restauración por copias de seguridad
*Detección de vulnerabilidades y riesgos.
*Mitigación, aceptacion y eliminación de vulnerabilidades y riesgos.</t>
  </si>
  <si>
    <t>*Software de monitoreo de red(Wireshark, Nagios, SolarWinds ManageEngine OpManager, etc)
*Pruebas de conectividad
*Pruebas de rendimiento
*Verificación de configuraciones</t>
  </si>
  <si>
    <t>*Conceptos básicos de registros  de incidencias y fallas
*Herramientas y técnicas de registros de incidencias y fallas
*Tipos de incidencias y fallas
*Procedimientos de registros de incidencias y fallas</t>
  </si>
  <si>
    <t>*Tipos de clasificación
*Procedimientos para clasificación
*Matrices de impacto</t>
  </si>
  <si>
    <t>*Conceptos básicos de documentación
*Estructura documentaria
*Historial de cambios y lecciones aprendidas</t>
  </si>
  <si>
    <t>*Conceptos para elaboración de reportes e informes
*Objetivos y alcances de los reportes e informes
* Estructura y formato de reportes e informes
* Observaciones y recomendaciones</t>
  </si>
  <si>
    <t>*Políticas de seguridad de la red
*Dispositivos de seguridad básicos (firewall fisico y lógico)
*Protección de dispositivos por contraseñas.
*Gestión de contraseñas
*Protocolos de encriptación SSL y TLS.
*VPN
*Gestión de accesos  y permisos a sitios web via DNS y MAC
*Seguridad en la red física
*Seguridad en la red inalámbrica
*Configuracion de sistemas de detección de intrusos (IDS)</t>
  </si>
  <si>
    <t>en la realización de tareas y requerimientos vinculados a su programa de estudio.</t>
  </si>
  <si>
    <t>utilizando la hoja de cálculo vinculándola al programa de estudios.</t>
  </si>
  <si>
    <t>• Infraestructura de TI.
• Hardware.
• Redes inalámbricas.
• Redes cableadas.
• Telefonía.
• Equipos básicos de cómputo.
• Monitoreo de infraestructura de TI.
• Acciónes operativas de monitoreo en el CPD.
• Gestión de incidencias.</t>
  </si>
  <si>
    <t>CETPRO JUANJUI</t>
  </si>
  <si>
    <t>0533836</t>
  </si>
  <si>
    <t>El Técnico en redes y comunicaciones, es capaz de atender requerimientos, incidentes y problemas de primer nivel, brindar asistencia a nivel operativo y funcional en la etapa de puesta en marcha de los sistemas o servicios de TI, ejecutar acciones de monitore, y otras acciones operativas programadas; realizar la puesta en producción de los sistemas de información o servicios de TI, de acuerdo con la planificación efectuada e implementar y configurar las redes y servicios de comunicaciones efectuando las pruebas y certificaciones, de acuerdo con las necesidades del negocio, estándares internacionales de TI y políticas de seguridad de la organización.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soluciona problemas aplicando herramientas flexibles para atender las diversas necesidades y promueve una cultura ambiental en su entorno.</t>
  </si>
  <si>
    <t>MÓDULO 1: GESTION DE SERVICIOS TECNOLOGICOS</t>
  </si>
  <si>
    <t xml:space="preserve">MÓDULO 2: INFRAESTRUCTURA TI </t>
  </si>
  <si>
    <t>MÓDULO 3: CONEXIÓN Y DISEÑO DE REDES</t>
  </si>
  <si>
    <r>
      <t xml:space="preserve">MÓDULO IV: </t>
    </r>
    <r>
      <rPr>
        <sz val="11"/>
        <color rgb="FFFF0000"/>
        <rFont val="Calibri"/>
        <family val="2"/>
        <scheme val="minor"/>
      </rPr>
      <t xml:space="preserve">  </t>
    </r>
    <r>
      <rPr>
        <sz val="11"/>
        <color theme="1"/>
        <rFont val="Calibri"/>
        <family val="2"/>
        <scheme val="minor"/>
      </rPr>
      <t>IMPLEMENTACIÓN Y CONFIGURACIÓN DE REDES DE SISTEMAS DE INFORMACION Y SERVICIOS TI</t>
    </r>
  </si>
  <si>
    <t>PROFESIONAL EN COMPUTACION E INFORMATICA, TECNICO PROFESIONAL EN COMPUTACION E INFORMATICA, TECNICO EN OPEFRACION DE COMPUTADORAS - PROFESIONAL EN PEDAGOGIA</t>
  </si>
  <si>
    <t>CE5 C1 Identificar situaciones o problemas del proceso productivo o de servicios  considerando los objetivos del  área de desempeño.</t>
  </si>
  <si>
    <t>•Infraestructura de TI (Arquitectura, componentes y funciones).
•Herrramientas de monitoreo y supervision de infraesctructura de TI.</t>
  </si>
  <si>
    <t>•Análisis de datos e interpretación de incidencias de infraestructura de TI.
•Técnicas y herramientas de clasificación de incidencias.</t>
  </si>
  <si>
    <t>•Manejo de herramientas para el mantenimiento correctivo básico de infraestructura de TI.
•Buenas prácticas y control según COBIT e ITIL en la ejecución del mantenimiento correctivo</t>
  </si>
  <si>
    <t>Reporte de incidencia de Tecnología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</si>
</sst>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b/>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b/>
      <sz val="9"/>
      <color indexed="81"/>
      <name val="Tahoma"/>
      <family val="2"/>
    </font>
    <font>
      <sz val="10"/>
      <color rgb="FFBDDEFF"/>
      <name val="Calibri"/>
      <family val="2"/>
      <scheme val="minor"/>
    </font>
    <font>
      <sz val="9"/>
      <color theme="1"/>
      <name val="Calibri"/>
      <family val="2"/>
    </font>
    <font>
      <sz val="10"/>
      <color rgb="FFFF0000"/>
      <name val="Calibri"/>
      <family val="2"/>
      <scheme val="minor"/>
    </font>
    <font>
      <sz val="10"/>
      <color rgb="FF005AC8"/>
      <name val="Calibri"/>
      <family val="2"/>
      <scheme val="minor"/>
    </font>
    <font>
      <sz val="10"/>
      <color rgb="FF0070C0"/>
      <name val="Calibri"/>
      <family val="2"/>
      <scheme val="minor"/>
    </font>
    <font>
      <sz val="11"/>
      <color rgb="FFFF0000"/>
      <name val="Calibri"/>
      <family val="2"/>
      <scheme val="minor"/>
    </font>
    <font>
      <sz val="1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s>
  <borders count="46">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indexed="64"/>
      </left>
      <right style="thin">
        <color indexed="64"/>
      </right>
      <top style="thin">
        <color indexed="64"/>
      </top>
      <bottom style="thin">
        <color indexed="64"/>
      </bottom>
      <diagonal/>
    </border>
    <border>
      <left/>
      <right style="thin">
        <color rgb="FFA5A5A5"/>
      </right>
      <top style="thin">
        <color rgb="FFA5A5A5"/>
      </top>
      <bottom style="thin">
        <color rgb="FFA5A5A5"/>
      </bottom>
      <diagonal/>
    </border>
    <border>
      <left style="thin">
        <color theme="0" tint="-0.499984740745262"/>
      </left>
      <right style="thin">
        <color theme="0" tint="-0.499984740745262"/>
      </right>
      <top/>
      <bottom/>
      <diagonal/>
    </border>
    <border>
      <left/>
      <right style="thin">
        <color indexed="64"/>
      </right>
      <top style="thin">
        <color rgb="FFA5A5A5"/>
      </top>
      <bottom style="thin">
        <color theme="0" tint="-0.34998626667073579"/>
      </bottom>
      <diagonal/>
    </border>
  </borders>
  <cellStyleXfs count="4">
    <xf numFmtId="0" fontId="0" fillId="0" borderId="0"/>
    <xf numFmtId="0" fontId="14" fillId="6" borderId="0" applyNumberFormat="0" applyBorder="0" applyAlignment="0" applyProtection="0"/>
    <xf numFmtId="0" fontId="4" fillId="7" borderId="0" applyNumberFormat="0" applyBorder="0" applyAlignment="0" applyProtection="0"/>
    <xf numFmtId="0" fontId="14" fillId="8" borderId="0" applyNumberFormat="0" applyBorder="0" applyAlignment="0" applyProtection="0"/>
  </cellStyleXfs>
  <cellXfs count="441">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7" fillId="0" borderId="0" xfId="0" applyFont="1" applyAlignment="1" applyProtection="1">
      <alignment horizontal="right" vertical="center"/>
      <protection hidden="1"/>
    </xf>
    <xf numFmtId="49" fontId="5" fillId="0" borderId="14" xfId="0" applyNumberFormat="1" applyFont="1" applyBorder="1" applyAlignment="1" applyProtection="1">
      <alignment horizontal="center" vertical="center" wrapText="1"/>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9"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0"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3"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5"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9" borderId="0" xfId="0" applyFont="1" applyFill="1" applyAlignment="1" applyProtection="1">
      <alignment horizontal="left"/>
      <protection locked="0"/>
    </xf>
    <xf numFmtId="0" fontId="12" fillId="15" borderId="24" xfId="0" applyFont="1" applyFill="1" applyBorder="1" applyAlignment="1" applyProtection="1">
      <alignment horizontal="center" vertical="center" wrapText="1"/>
      <protection hidden="1"/>
    </xf>
    <xf numFmtId="0" fontId="15" fillId="15" borderId="24" xfId="0" applyFont="1" applyFill="1" applyBorder="1" applyAlignment="1" applyProtection="1">
      <alignment horizontal="center" vertical="center" wrapText="1"/>
      <protection hidden="1"/>
    </xf>
    <xf numFmtId="0" fontId="15" fillId="13" borderId="34" xfId="0" applyFont="1" applyFill="1" applyBorder="1" applyAlignment="1" applyProtection="1">
      <alignment vertical="center"/>
      <protection hidden="1"/>
    </xf>
    <xf numFmtId="49" fontId="5" fillId="2" borderId="15" xfId="0" applyNumberFormat="1" applyFont="1" applyFill="1" applyBorder="1" applyAlignment="1" applyProtection="1">
      <alignment horizontal="center" vertical="center" wrapText="1"/>
      <protection locked="0"/>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12" fillId="0" borderId="0" xfId="0" applyFont="1" applyAlignment="1" applyProtection="1">
      <alignment horizontal="center" vertical="top"/>
      <protection locked="0"/>
    </xf>
    <xf numFmtId="0" fontId="15"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23" fillId="16"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7" borderId="0" xfId="0" applyFont="1" applyFill="1" applyAlignment="1" applyProtection="1">
      <alignment horizontal="center" vertical="center" wrapText="1"/>
      <protection hidden="1"/>
    </xf>
    <xf numFmtId="0" fontId="15" fillId="13" borderId="0" xfId="0" applyFont="1" applyFill="1" applyAlignment="1" applyProtection="1">
      <alignment horizontal="center" vertical="center" wrapText="1"/>
      <protection locked="0"/>
    </xf>
    <xf numFmtId="0" fontId="8" fillId="16" borderId="24" xfId="0" applyFont="1" applyFill="1" applyBorder="1" applyAlignment="1" applyProtection="1">
      <alignment horizontal="center" vertical="center" wrapText="1"/>
      <protection hidden="1"/>
    </xf>
    <xf numFmtId="0" fontId="17" fillId="16" borderId="10" xfId="0" applyFont="1" applyFill="1" applyBorder="1" applyAlignment="1" applyProtection="1">
      <alignment horizontal="left" vertical="center" wrapText="1"/>
      <protection hidden="1"/>
    </xf>
    <xf numFmtId="0" fontId="8" fillId="16" borderId="10" xfId="0" applyFont="1" applyFill="1" applyBorder="1" applyAlignment="1" applyProtection="1">
      <alignment horizontal="center" vertical="center" wrapText="1"/>
      <protection hidden="1"/>
    </xf>
    <xf numFmtId="0" fontId="12" fillId="16" borderId="10" xfId="0" applyFont="1" applyFill="1" applyBorder="1" applyAlignment="1" applyProtection="1">
      <alignment horizontal="center" vertical="top" wrapText="1"/>
      <protection hidden="1"/>
    </xf>
    <xf numFmtId="0" fontId="12" fillId="16" borderId="10" xfId="0" applyFont="1" applyFill="1" applyBorder="1" applyAlignment="1" applyProtection="1">
      <alignment horizontal="center" vertical="center" wrapText="1"/>
      <protection hidden="1"/>
    </xf>
    <xf numFmtId="0" fontId="8" fillId="16" borderId="10" xfId="0" applyFont="1" applyFill="1" applyBorder="1" applyAlignment="1" applyProtection="1">
      <alignment horizontal="center" vertical="center" wrapText="1"/>
      <protection locked="0"/>
    </xf>
    <xf numFmtId="0" fontId="12" fillId="16" borderId="10" xfId="0" applyFont="1" applyFill="1" applyBorder="1" applyAlignment="1" applyProtection="1">
      <alignment horizontal="center" vertical="top" wrapText="1"/>
      <protection locked="0"/>
    </xf>
    <xf numFmtId="0" fontId="8" fillId="16" borderId="11" xfId="0" applyFont="1" applyFill="1" applyBorder="1" applyAlignment="1" applyProtection="1">
      <alignment horizontal="center" vertical="center" wrapText="1"/>
      <protection hidden="1"/>
    </xf>
    <xf numFmtId="0" fontId="8" fillId="16"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7" borderId="29" xfId="0" applyFont="1" applyFill="1" applyBorder="1" applyAlignment="1" applyProtection="1">
      <alignment horizontal="center" vertical="center" wrapText="1"/>
      <protection hidden="1"/>
    </xf>
    <xf numFmtId="0" fontId="1" fillId="27" borderId="24" xfId="0" applyFont="1" applyFill="1" applyBorder="1" applyAlignment="1" applyProtection="1">
      <alignment horizontal="center" vertical="center"/>
      <protection hidden="1"/>
    </xf>
    <xf numFmtId="0" fontId="2" fillId="27" borderId="24" xfId="0" applyFont="1" applyFill="1" applyBorder="1" applyAlignment="1" applyProtection="1">
      <alignment horizontal="center" vertical="center"/>
      <protection hidden="1"/>
    </xf>
    <xf numFmtId="0" fontId="31" fillId="27" borderId="30" xfId="0" applyFont="1" applyFill="1" applyBorder="1" applyAlignment="1" applyProtection="1">
      <alignment horizontal="center" vertical="center"/>
      <protection hidden="1"/>
    </xf>
    <xf numFmtId="0" fontId="11" fillId="27" borderId="29" xfId="0" applyFont="1" applyFill="1" applyBorder="1" applyAlignment="1" applyProtection="1">
      <alignment vertical="center" wrapText="1"/>
      <protection locked="0"/>
    </xf>
    <xf numFmtId="0" fontId="11" fillId="27" borderId="30" xfId="0" applyFont="1" applyFill="1" applyBorder="1" applyAlignment="1" applyProtection="1">
      <alignment horizontal="center" vertical="center" wrapText="1"/>
      <protection locked="0"/>
    </xf>
    <xf numFmtId="0" fontId="1" fillId="28" borderId="33"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locked="0"/>
    </xf>
    <xf numFmtId="0" fontId="12" fillId="13" borderId="10" xfId="0" applyFont="1" applyFill="1" applyBorder="1" applyAlignment="1" applyProtection="1">
      <alignment vertical="center" wrapText="1"/>
      <protection locked="0"/>
    </xf>
    <xf numFmtId="0" fontId="1" fillId="0" borderId="36" xfId="0" applyFont="1" applyBorder="1" applyAlignment="1" applyProtection="1">
      <alignment horizontal="center" vertical="center"/>
      <protection locked="0"/>
    </xf>
    <xf numFmtId="0" fontId="1" fillId="15" borderId="42"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 fillId="29" borderId="42" xfId="0" applyFont="1" applyFill="1" applyBorder="1" applyAlignment="1" applyProtection="1">
      <alignment horizontal="left" vertical="center"/>
      <protection locked="0"/>
    </xf>
    <xf numFmtId="0" fontId="1" fillId="13" borderId="42" xfId="0" applyFont="1" applyFill="1" applyBorder="1" applyAlignment="1" applyProtection="1">
      <alignment horizontal="left" vertical="center"/>
      <protection locked="0"/>
    </xf>
    <xf numFmtId="0" fontId="6" fillId="2" borderId="0" xfId="0" applyFont="1" applyFill="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6" fillId="2" borderId="0" xfId="0" applyFont="1" applyFill="1" applyAlignment="1" applyProtection="1">
      <alignment horizontal="left" vertical="center" wrapText="1"/>
      <protection locked="0"/>
    </xf>
    <xf numFmtId="0" fontId="6" fillId="2" borderId="0" xfId="0" applyFont="1" applyFill="1" applyAlignment="1" applyProtection="1">
      <alignment horizontal="right" vertical="center"/>
      <protection hidden="1"/>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0" fillId="0" borderId="10" xfId="0" applyFont="1" applyBorder="1" applyAlignment="1" applyProtection="1">
      <alignment vertical="center"/>
      <protection locked="0"/>
    </xf>
    <xf numFmtId="0" fontId="32" fillId="0" borderId="43" xfId="0" applyFont="1" applyBorder="1" applyAlignment="1" applyProtection="1">
      <alignment horizontal="left" vertical="top" wrapText="1"/>
      <protection locked="0"/>
    </xf>
    <xf numFmtId="0" fontId="33" fillId="0" borderId="10" xfId="0" applyFont="1" applyBorder="1" applyAlignment="1" applyProtection="1">
      <alignment horizontal="left" vertical="center"/>
      <protection locked="0"/>
    </xf>
    <xf numFmtId="0" fontId="33" fillId="0" borderId="10" xfId="0" applyFont="1" applyBorder="1" applyAlignment="1" applyProtection="1">
      <alignment vertical="center"/>
      <protection locked="0"/>
    </xf>
    <xf numFmtId="0" fontId="33" fillId="0" borderId="10" xfId="0" applyFont="1" applyBorder="1" applyAlignment="1" applyProtection="1">
      <alignment vertical="center" wrapText="1"/>
      <protection locked="0"/>
    </xf>
    <xf numFmtId="0" fontId="34" fillId="0" borderId="8" xfId="0" applyFont="1" applyBorder="1" applyAlignment="1" applyProtection="1">
      <alignment vertical="center"/>
      <protection locked="0"/>
    </xf>
    <xf numFmtId="0" fontId="34" fillId="0" borderId="0" xfId="0" applyFont="1" applyAlignment="1" applyProtection="1">
      <alignment vertical="center"/>
      <protection locked="0"/>
    </xf>
    <xf numFmtId="0" fontId="34" fillId="0" borderId="9" xfId="0" applyFont="1" applyBorder="1" applyAlignment="1" applyProtection="1">
      <alignment vertical="center"/>
      <protection locked="0"/>
    </xf>
    <xf numFmtId="0" fontId="34" fillId="0" borderId="8" xfId="0" applyFont="1" applyBorder="1" applyAlignment="1" applyProtection="1">
      <alignment vertical="center" wrapText="1"/>
      <protection locked="0"/>
    </xf>
    <xf numFmtId="0" fontId="34" fillId="0" borderId="0" xfId="0" applyFont="1" applyAlignment="1" applyProtection="1">
      <alignment vertical="center" wrapText="1"/>
      <protection locked="0"/>
    </xf>
    <xf numFmtId="0" fontId="34" fillId="0" borderId="9" xfId="0" applyFont="1" applyBorder="1" applyAlignment="1" applyProtection="1">
      <alignment vertical="center" wrapText="1"/>
      <protection locked="0"/>
    </xf>
    <xf numFmtId="0" fontId="33" fillId="0" borderId="8" xfId="0" applyFont="1" applyBorder="1" applyAlignment="1" applyProtection="1">
      <alignment vertical="center" wrapText="1"/>
      <protection locked="0"/>
    </xf>
    <xf numFmtId="0" fontId="33" fillId="0" borderId="0" xfId="0" applyFont="1" applyAlignment="1" applyProtection="1">
      <alignment vertical="center" wrapText="1"/>
      <protection locked="0"/>
    </xf>
    <xf numFmtId="0" fontId="33" fillId="0" borderId="9" xfId="0" applyFont="1" applyBorder="1" applyAlignment="1" applyProtection="1">
      <alignment vertical="center" wrapText="1"/>
      <protection locked="0"/>
    </xf>
    <xf numFmtId="0" fontId="33" fillId="0" borderId="8" xfId="0" applyFont="1" applyBorder="1" applyAlignment="1" applyProtection="1">
      <alignment vertical="center"/>
      <protection locked="0"/>
    </xf>
    <xf numFmtId="0" fontId="33" fillId="0" borderId="0" xfId="0" applyFont="1" applyAlignment="1" applyProtection="1">
      <alignment vertical="center"/>
      <protection locked="0"/>
    </xf>
    <xf numFmtId="0" fontId="33" fillId="0" borderId="9" xfId="0" applyFont="1" applyBorder="1" applyAlignment="1" applyProtection="1">
      <alignment vertical="center"/>
      <protection locked="0"/>
    </xf>
    <xf numFmtId="0" fontId="33" fillId="0" borderId="10" xfId="0" applyFont="1" applyBorder="1" applyAlignment="1" applyProtection="1">
      <alignment horizontal="left" vertical="center" wrapText="1"/>
      <protection locked="0"/>
    </xf>
    <xf numFmtId="0" fontId="35" fillId="0" borderId="10" xfId="0" applyFont="1" applyBorder="1" applyAlignment="1" applyProtection="1">
      <alignment horizontal="left" vertical="center"/>
      <protection locked="0"/>
    </xf>
    <xf numFmtId="0" fontId="35" fillId="0" borderId="10" xfId="0" applyFont="1" applyBorder="1" applyAlignment="1" applyProtection="1">
      <alignment vertical="center" wrapText="1"/>
      <protection locked="0"/>
    </xf>
    <xf numFmtId="0" fontId="35" fillId="0" borderId="10" xfId="0" applyFont="1" applyBorder="1" applyAlignment="1" applyProtection="1">
      <alignment horizontal="left"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protection locked="0"/>
    </xf>
    <xf numFmtId="0" fontId="33" fillId="2" borderId="8" xfId="0" applyFont="1" applyFill="1" applyBorder="1" applyAlignment="1" applyProtection="1">
      <alignment vertical="center"/>
      <protection locked="0"/>
    </xf>
    <xf numFmtId="0" fontId="33" fillId="2" borderId="0" xfId="0" applyFont="1" applyFill="1" applyAlignment="1" applyProtection="1">
      <alignment vertical="center"/>
      <protection locked="0"/>
    </xf>
    <xf numFmtId="0" fontId="33" fillId="2" borderId="9"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2" borderId="10" xfId="0" applyFont="1" applyFill="1" applyBorder="1" applyAlignment="1" applyProtection="1">
      <alignment horizontal="left"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35" fillId="0" borderId="23" xfId="0" applyFont="1" applyBorder="1" applyAlignment="1" applyProtection="1">
      <alignment horizontal="left" vertical="center"/>
      <protection locked="0"/>
    </xf>
    <xf numFmtId="0" fontId="16" fillId="0" borderId="23" xfId="0" applyFont="1" applyBorder="1" applyAlignment="1" applyProtection="1">
      <alignment horizontal="left" vertical="center"/>
      <protection locked="0"/>
    </xf>
    <xf numFmtId="0" fontId="16" fillId="0" borderId="10" xfId="0" applyFont="1" applyBorder="1" applyAlignment="1" applyProtection="1">
      <alignment horizontal="center" vertical="center" wrapText="1"/>
      <protection locked="0"/>
    </xf>
    <xf numFmtId="0" fontId="1" fillId="0" borderId="0" xfId="0" applyFont="1" applyAlignment="1">
      <alignment wrapText="1"/>
    </xf>
    <xf numFmtId="0" fontId="1" fillId="0" borderId="0" xfId="0" applyFont="1" applyAlignment="1">
      <alignment vertical="top" wrapText="1"/>
    </xf>
    <xf numFmtId="0" fontId="16" fillId="0" borderId="31" xfId="0" applyFont="1" applyBorder="1" applyAlignment="1" applyProtection="1">
      <alignment horizontal="center" vertical="center" wrapText="1"/>
      <protection locked="0"/>
    </xf>
    <xf numFmtId="0" fontId="16" fillId="0" borderId="32" xfId="0" applyFont="1" applyBorder="1" applyAlignment="1" applyProtection="1">
      <alignment horizontal="center" vertical="center" wrapText="1"/>
      <protection locked="0"/>
    </xf>
    <xf numFmtId="0" fontId="16" fillId="0" borderId="11" xfId="0" applyFont="1" applyBorder="1" applyAlignment="1" applyProtection="1">
      <alignment vertical="center" wrapText="1"/>
      <protection locked="0"/>
    </xf>
    <xf numFmtId="0" fontId="16" fillId="0" borderId="2" xfId="0" applyFont="1" applyBorder="1" applyAlignment="1" applyProtection="1">
      <alignment horizontal="center" vertical="center" wrapText="1"/>
      <protection locked="0"/>
    </xf>
    <xf numFmtId="0" fontId="16" fillId="0" borderId="18" xfId="0" applyFont="1" applyBorder="1" applyAlignment="1" applyProtection="1">
      <alignment horizontal="left" vertical="center" wrapText="1"/>
      <protection locked="0"/>
    </xf>
    <xf numFmtId="0" fontId="16" fillId="0" borderId="18" xfId="0" applyFont="1" applyBorder="1" applyAlignment="1" applyProtection="1">
      <alignment vertical="center" wrapText="1"/>
      <protection locked="0"/>
    </xf>
    <xf numFmtId="0" fontId="16" fillId="0" borderId="42" xfId="0" applyFont="1" applyBorder="1" applyAlignment="1" applyProtection="1">
      <alignment vertical="center" wrapText="1"/>
      <protection locked="0"/>
    </xf>
    <xf numFmtId="0" fontId="16" fillId="0" borderId="11" xfId="0" applyFont="1" applyBorder="1" applyAlignment="1" applyProtection="1">
      <alignment horizontal="left" vertical="center" wrapText="1"/>
      <protection locked="0"/>
    </xf>
    <xf numFmtId="0" fontId="16" fillId="0" borderId="2" xfId="0" applyFont="1" applyBorder="1" applyAlignment="1" applyProtection="1">
      <alignment horizontal="left" vertical="center"/>
      <protection locked="0"/>
    </xf>
    <xf numFmtId="0" fontId="16" fillId="0" borderId="42" xfId="0" applyFont="1" applyBorder="1" applyAlignment="1" applyProtection="1">
      <alignment horizontal="left" vertical="center" wrapText="1"/>
      <protection locked="0"/>
    </xf>
    <xf numFmtId="0" fontId="16" fillId="0" borderId="42" xfId="0" applyFont="1" applyBorder="1" applyAlignment="1" applyProtection="1">
      <alignment horizontal="left" vertical="center"/>
      <protection locked="0"/>
    </xf>
    <xf numFmtId="0" fontId="16" fillId="0" borderId="42" xfId="0" applyFont="1" applyBorder="1" applyAlignment="1" applyProtection="1">
      <alignment vertical="center"/>
      <protection locked="0"/>
    </xf>
    <xf numFmtId="0" fontId="1" fillId="0" borderId="10" xfId="0" applyFont="1" applyBorder="1" applyAlignment="1" applyProtection="1">
      <alignment horizontal="left" vertical="top" wrapText="1"/>
      <protection hidden="1"/>
    </xf>
    <xf numFmtId="0" fontId="9" fillId="0" borderId="23" xfId="0" applyFont="1" applyBorder="1" applyAlignment="1" applyProtection="1">
      <alignment vertical="top" wrapText="1"/>
      <protection locked="0"/>
    </xf>
    <xf numFmtId="0" fontId="9" fillId="0" borderId="18" xfId="0" applyFont="1" applyBorder="1" applyAlignment="1" applyProtection="1">
      <alignment vertical="top" wrapText="1"/>
      <protection locked="0"/>
    </xf>
    <xf numFmtId="0" fontId="9" fillId="0" borderId="23" xfId="0" applyFont="1" applyBorder="1" applyAlignment="1" applyProtection="1">
      <alignment horizontal="center" vertical="top" wrapText="1"/>
      <protection locked="0"/>
    </xf>
    <xf numFmtId="0" fontId="15" fillId="0" borderId="45" xfId="0" applyFont="1" applyBorder="1" applyAlignment="1" applyProtection="1">
      <alignment vertical="top"/>
      <protection locked="0"/>
    </xf>
    <xf numFmtId="0" fontId="15" fillId="0" borderId="45" xfId="0" applyFont="1" applyBorder="1" applyAlignment="1" applyProtection="1">
      <alignment horizontal="left" vertical="top"/>
      <protection locked="0"/>
    </xf>
    <xf numFmtId="0" fontId="1" fillId="12" borderId="11" xfId="0" applyFont="1" applyFill="1" applyBorder="1" applyAlignment="1" applyProtection="1">
      <alignment wrapText="1"/>
      <protection hidden="1"/>
    </xf>
    <xf numFmtId="0" fontId="1" fillId="11" borderId="11" xfId="0" applyFont="1" applyFill="1" applyBorder="1" applyAlignment="1" applyProtection="1">
      <alignment wrapText="1"/>
      <protection hidden="1"/>
    </xf>
    <xf numFmtId="0" fontId="1" fillId="0" borderId="11" xfId="0" applyFont="1" applyBorder="1" applyAlignment="1" applyProtection="1">
      <alignment wrapText="1"/>
      <protection hidden="1"/>
    </xf>
    <xf numFmtId="0" fontId="1" fillId="0" borderId="10" xfId="0" applyFont="1" applyBorder="1" applyAlignment="1" applyProtection="1">
      <alignment wrapText="1"/>
      <protection hidden="1"/>
    </xf>
    <xf numFmtId="0" fontId="1" fillId="9" borderId="0" xfId="0" applyFont="1" applyFill="1" applyAlignment="1" applyProtection="1">
      <alignment wrapText="1"/>
      <protection hidden="1"/>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8" fillId="16" borderId="25" xfId="0" applyFont="1" applyFill="1" applyBorder="1" applyAlignment="1" applyProtection="1">
      <alignment horizontal="center" vertical="center"/>
      <protection hidden="1"/>
    </xf>
    <xf numFmtId="0" fontId="8" fillId="16" borderId="26" xfId="0" applyFont="1" applyFill="1" applyBorder="1" applyAlignment="1" applyProtection="1">
      <alignment horizontal="center" vertical="center"/>
      <protection hidden="1"/>
    </xf>
    <xf numFmtId="0" fontId="8" fillId="16" borderId="27" xfId="0" applyFont="1" applyFill="1" applyBorder="1" applyAlignment="1" applyProtection="1">
      <alignment horizontal="center" vertical="center"/>
      <protection hidden="1"/>
    </xf>
    <xf numFmtId="0" fontId="26" fillId="2" borderId="0" xfId="0" applyFont="1" applyFill="1" applyAlignment="1" applyProtection="1">
      <alignment horizontal="center" vertical="top" wrapText="1"/>
      <protection hidden="1"/>
    </xf>
    <xf numFmtId="0" fontId="5" fillId="2" borderId="15"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3" fillId="2" borderId="0" xfId="0" applyFont="1" applyFill="1" applyAlignment="1" applyProtection="1">
      <alignment horizontal="left" vertical="top" wrapText="1"/>
      <protection hidden="1"/>
    </xf>
    <xf numFmtId="49" fontId="5" fillId="0" borderId="25" xfId="0" applyNumberFormat="1" applyFont="1" applyBorder="1" applyAlignment="1" applyProtection="1">
      <alignment horizontal="justify" vertical="top" wrapText="1"/>
      <protection locked="0"/>
    </xf>
    <xf numFmtId="49" fontId="5" fillId="0" borderId="26" xfId="0" applyNumberFormat="1" applyFont="1" applyBorder="1" applyAlignment="1" applyProtection="1">
      <alignment horizontal="justify" vertical="top"/>
      <protection locked="0"/>
    </xf>
    <xf numFmtId="49" fontId="5" fillId="0" borderId="27" xfId="0" applyNumberFormat="1" applyFont="1" applyBorder="1" applyAlignment="1" applyProtection="1">
      <alignment horizontal="justify" vertical="top"/>
      <protection locked="0"/>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8" fillId="16" borderId="24" xfId="0" applyFont="1" applyFill="1" applyBorder="1" applyAlignment="1" applyProtection="1">
      <alignment horizontal="center"/>
      <protection hidden="1"/>
    </xf>
    <xf numFmtId="0" fontId="8" fillId="0" borderId="24" xfId="0" applyFont="1" applyBorder="1" applyAlignment="1" applyProtection="1">
      <alignment horizontal="center" vertical="center"/>
      <protection hidden="1"/>
    </xf>
    <xf numFmtId="0" fontId="5" fillId="0" borderId="24" xfId="0" applyFont="1" applyBorder="1" applyAlignment="1" applyProtection="1">
      <alignment horizontal="justify" vertical="center" wrapText="1"/>
      <protection hidden="1"/>
    </xf>
    <xf numFmtId="0" fontId="5" fillId="0" borderId="24" xfId="0" applyFont="1" applyBorder="1" applyAlignment="1" applyProtection="1">
      <alignment horizontal="justify" vertical="center" wrapText="1"/>
      <protection locked="0"/>
    </xf>
    <xf numFmtId="0" fontId="1" fillId="2" borderId="36" xfId="0" applyFont="1" applyFill="1" applyBorder="1" applyAlignment="1">
      <alignment horizontal="left" vertical="center" wrapText="1"/>
    </xf>
    <xf numFmtId="0" fontId="1" fillId="2" borderId="37" xfId="0" applyFont="1" applyFill="1" applyBorder="1" applyAlignment="1">
      <alignment horizontal="left" vertical="center" wrapText="1"/>
    </xf>
    <xf numFmtId="0" fontId="1" fillId="2" borderId="38" xfId="0" applyFont="1" applyFill="1" applyBorder="1" applyAlignment="1">
      <alignment horizontal="left" vertical="center" wrapText="1"/>
    </xf>
    <xf numFmtId="0" fontId="1" fillId="2" borderId="42" xfId="0" applyFont="1" applyFill="1" applyBorder="1" applyAlignment="1">
      <alignment horizontal="left" vertical="center" wrapText="1"/>
    </xf>
    <xf numFmtId="0" fontId="1" fillId="2" borderId="44" xfId="0" applyFont="1" applyFill="1" applyBorder="1" applyAlignment="1" applyProtection="1">
      <alignment horizontal="justify" vertical="center" wrapText="1"/>
      <protection locked="0"/>
    </xf>
    <xf numFmtId="0" fontId="8" fillId="0" borderId="24" xfId="0" applyFont="1" applyBorder="1" applyAlignment="1" applyProtection="1">
      <alignment horizontal="center" vertical="center" wrapText="1"/>
      <protection hidden="1"/>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26" fillId="0" borderId="0" xfId="0" applyFont="1" applyAlignment="1" applyProtection="1">
      <alignment horizontal="center" vertical="top" wrapText="1"/>
      <protection hidden="1"/>
    </xf>
    <xf numFmtId="0" fontId="26"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6" borderId="24" xfId="0" applyFont="1" applyFill="1" applyBorder="1" applyAlignment="1" applyProtection="1">
      <alignment horizontal="center" vertical="center" wrapText="1"/>
      <protection hidden="1"/>
    </xf>
    <xf numFmtId="0" fontId="1" fillId="24" borderId="10" xfId="2" applyFont="1" applyFill="1" applyBorder="1" applyAlignment="1" applyProtection="1">
      <alignment horizontal="center" vertical="center" wrapText="1"/>
      <protection locked="0"/>
    </xf>
    <xf numFmtId="0" fontId="16" fillId="21" borderId="10" xfId="3" applyFont="1" applyFill="1" applyBorder="1" applyAlignment="1" applyProtection="1">
      <alignment horizontal="center" vertical="center" wrapText="1"/>
      <protection locked="0"/>
    </xf>
    <xf numFmtId="0" fontId="16" fillId="20" borderId="10" xfId="1" applyFont="1" applyFill="1" applyBorder="1" applyAlignment="1" applyProtection="1">
      <alignment horizontal="center" vertical="center" wrapText="1"/>
      <protection locked="0"/>
    </xf>
    <xf numFmtId="0" fontId="1" fillId="23" borderId="10" xfId="2" applyFont="1" applyFill="1" applyBorder="1" applyAlignment="1" applyProtection="1">
      <alignment horizontal="center" vertical="center" wrapText="1"/>
      <protection locked="0"/>
    </xf>
    <xf numFmtId="0" fontId="1" fillId="22" borderId="10" xfId="2" applyFont="1" applyFill="1" applyBorder="1" applyAlignment="1" applyProtection="1">
      <alignment horizontal="center" vertical="center" wrapText="1"/>
      <protection locked="0"/>
    </xf>
    <xf numFmtId="0" fontId="1" fillId="19" borderId="10" xfId="2" applyFont="1" applyFill="1" applyBorder="1" applyAlignment="1" applyProtection="1">
      <alignment horizontal="center" vertical="center" wrapText="1"/>
      <protection locked="0"/>
    </xf>
    <xf numFmtId="0" fontId="29" fillId="0" borderId="0" xfId="0" applyFont="1" applyAlignment="1" applyProtection="1">
      <alignment horizontal="center" wrapText="1"/>
      <protection locked="0"/>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9"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8" borderId="0" xfId="0" applyFont="1" applyFill="1" applyAlignment="1" applyProtection="1">
      <alignment horizontal="center" vertical="center" wrapText="1"/>
      <protection locked="0"/>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7" borderId="0" xfId="0" applyFont="1" applyFill="1" applyAlignment="1" applyProtection="1">
      <alignment horizontal="center" vertical="center"/>
      <protection locked="0"/>
    </xf>
    <xf numFmtId="0" fontId="0" fillId="0" borderId="24" xfId="0" applyBorder="1" applyAlignment="1" applyProtection="1">
      <alignment horizontal="center" vertical="center" textRotation="90" wrapText="1"/>
      <protection locked="0"/>
    </xf>
    <xf numFmtId="0" fontId="25" fillId="26" borderId="24" xfId="0" applyFont="1" applyFill="1" applyBorder="1" applyAlignment="1" applyProtection="1">
      <alignment horizontal="center" vertical="center" textRotation="90" wrapText="1"/>
      <protection hidden="1"/>
    </xf>
    <xf numFmtId="0" fontId="25" fillId="25" borderId="24" xfId="0" applyFont="1" applyFill="1" applyBorder="1" applyAlignment="1" applyProtection="1">
      <alignment horizontal="center" vertical="center" textRotation="90" wrapText="1"/>
      <protection hidden="1"/>
    </xf>
    <xf numFmtId="0" fontId="37" fillId="0" borderId="24" xfId="0" applyFont="1" applyBorder="1" applyAlignment="1" applyProtection="1">
      <alignment horizontal="center" vertical="center" textRotation="90" wrapText="1"/>
      <protection locked="0"/>
    </xf>
    <xf numFmtId="0" fontId="26" fillId="2" borderId="0" xfId="0" applyFont="1" applyFill="1" applyAlignment="1" applyProtection="1">
      <alignment horizont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10" fillId="27" borderId="28" xfId="0" applyFont="1" applyFill="1" applyBorder="1" applyAlignment="1" applyProtection="1">
      <alignment horizontal="left" vertical="center" wrapText="1"/>
      <protection hidden="1"/>
    </xf>
    <xf numFmtId="0" fontId="10" fillId="27" borderId="29" xfId="0" applyFont="1" applyFill="1" applyBorder="1" applyAlignment="1" applyProtection="1">
      <alignment horizontal="left" vertical="center"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9" fillId="0" borderId="1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22" fillId="16" borderId="10" xfId="0" applyFont="1" applyFill="1" applyBorder="1" applyAlignment="1" applyProtection="1">
      <alignment horizontal="center" vertical="top"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27" fillId="0" borderId="0" xfId="0" applyFont="1" applyAlignment="1" applyProtection="1">
      <alignment horizontal="center" vertical="top" wrapText="1"/>
      <protection hidden="1"/>
    </xf>
    <xf numFmtId="0" fontId="20" fillId="16"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justify" vertical="top" wrapText="1"/>
      <protection hidden="1"/>
    </xf>
    <xf numFmtId="0" fontId="21" fillId="16" borderId="10" xfId="0" applyFont="1" applyFill="1" applyBorder="1" applyAlignment="1" applyProtection="1">
      <alignment horizontal="left" vertical="center" wrapText="1"/>
      <protection hidden="1"/>
    </xf>
    <xf numFmtId="0" fontId="12" fillId="16" borderId="10" xfId="0" applyFont="1" applyFill="1" applyBorder="1" applyAlignment="1" applyProtection="1">
      <alignment horizontal="center" vertical="center" wrapText="1"/>
      <protection hidden="1"/>
    </xf>
    <xf numFmtId="0" fontId="12" fillId="16" borderId="10" xfId="0" applyFont="1" applyFill="1" applyBorder="1" applyAlignment="1" applyProtection="1">
      <alignment horizontal="left" vertical="center" wrapText="1"/>
      <protection hidden="1"/>
    </xf>
    <xf numFmtId="0" fontId="5" fillId="0" borderId="12"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5" fillId="0" borderId="10" xfId="0" applyFont="1" applyBorder="1" applyAlignment="1" applyProtection="1">
      <alignment horizontal="justify" vertical="top" wrapText="1"/>
      <protection hidden="1"/>
    </xf>
    <xf numFmtId="0" fontId="8" fillId="16" borderId="10" xfId="0" applyFont="1" applyFill="1" applyBorder="1" applyAlignment="1" applyProtection="1">
      <alignment horizontal="center" vertical="top" wrapText="1"/>
      <protection hidden="1"/>
    </xf>
    <xf numFmtId="0" fontId="7" fillId="0" borderId="10" xfId="0" applyFont="1" applyBorder="1" applyAlignment="1" applyProtection="1">
      <alignment horizontal="justify" vertical="top" wrapText="1"/>
      <protection hidden="1"/>
    </xf>
    <xf numFmtId="0" fontId="5" fillId="0" borderId="2" xfId="0" applyFont="1" applyBorder="1" applyAlignment="1" applyProtection="1">
      <alignment horizontal="justify" vertical="top" wrapText="1"/>
      <protection locked="0"/>
    </xf>
    <xf numFmtId="0" fontId="5" fillId="0" borderId="3" xfId="0" applyFont="1" applyBorder="1" applyAlignment="1" applyProtection="1">
      <alignment horizontal="justify" vertical="top" wrapText="1"/>
      <protection locked="0"/>
    </xf>
    <xf numFmtId="0" fontId="5" fillId="0" borderId="4" xfId="0" applyFont="1" applyBorder="1" applyAlignment="1" applyProtection="1">
      <alignment horizontal="justify" vertical="top" wrapText="1"/>
      <protection locked="0"/>
    </xf>
    <xf numFmtId="0" fontId="8" fillId="16" borderId="10" xfId="0" applyFont="1" applyFill="1" applyBorder="1" applyAlignment="1" applyProtection="1">
      <alignment horizontal="center" vertical="center" wrapText="1"/>
      <protection hidden="1"/>
    </xf>
    <xf numFmtId="0" fontId="8" fillId="16" borderId="10" xfId="0" applyFont="1" applyFill="1" applyBorder="1" applyAlignment="1" applyProtection="1">
      <alignment horizontal="left" vertical="center" wrapText="1"/>
      <protection hidden="1"/>
    </xf>
    <xf numFmtId="0" fontId="12" fillId="16"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justify" vertical="top" wrapText="1"/>
      <protection locked="0"/>
    </xf>
    <xf numFmtId="0" fontId="12" fillId="13" borderId="10" xfId="0" applyFont="1" applyFill="1" applyBorder="1" applyAlignment="1" applyProtection="1">
      <alignment horizontal="center" vertical="center" wrapText="1"/>
      <protection locked="0"/>
    </xf>
    <xf numFmtId="0" fontId="24" fillId="16" borderId="10" xfId="0" applyFont="1" applyFill="1" applyBorder="1" applyAlignment="1" applyProtection="1">
      <alignment horizontal="center" vertical="center" wrapText="1"/>
      <protection hidden="1"/>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13" fillId="0" borderId="2" xfId="0" applyFont="1" applyBorder="1" applyAlignment="1" applyProtection="1">
      <alignment horizontal="justify" vertical="center" wrapText="1"/>
      <protection locked="0"/>
    </xf>
    <xf numFmtId="0" fontId="13" fillId="0" borderId="3" xfId="0" applyFont="1" applyBorder="1" applyAlignment="1" applyProtection="1">
      <alignment horizontal="justify" vertical="center" wrapText="1"/>
      <protection locked="0"/>
    </xf>
    <xf numFmtId="0" fontId="13" fillId="0" borderId="4" xfId="0" applyFont="1" applyBorder="1" applyAlignment="1" applyProtection="1">
      <alignment horizontal="justify" vertical="center" wrapText="1"/>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22" fillId="16" borderId="10" xfId="0" applyFont="1" applyFill="1" applyBorder="1" applyAlignment="1" applyProtection="1">
      <alignment horizontal="center" vertical="top" wrapText="1"/>
      <protection hidden="1"/>
    </xf>
    <xf numFmtId="0" fontId="12" fillId="16" borderId="10" xfId="0" applyFont="1" applyFill="1" applyBorder="1" applyAlignment="1" applyProtection="1">
      <alignment horizontal="center" vertical="top" wrapText="1"/>
      <protection hidden="1"/>
    </xf>
    <xf numFmtId="0" fontId="5" fillId="0" borderId="4" xfId="0" applyFont="1" applyBorder="1" applyAlignment="1" applyProtection="1">
      <alignment horizontal="justify" vertical="top" wrapText="1"/>
      <protection hidden="1"/>
    </xf>
    <xf numFmtId="0" fontId="5" fillId="0" borderId="2" xfId="0" applyFont="1" applyBorder="1" applyAlignment="1" applyProtection="1">
      <alignment horizontal="justify" vertical="top" wrapText="1"/>
      <protection hidden="1"/>
    </xf>
    <xf numFmtId="0" fontId="9" fillId="0" borderId="11" xfId="0" applyFont="1" applyBorder="1" applyAlignment="1" applyProtection="1">
      <alignment horizontal="center" vertical="top" wrapText="1"/>
      <protection locked="0"/>
    </xf>
    <xf numFmtId="0" fontId="9" fillId="0" borderId="23" xfId="0" applyFont="1" applyBorder="1" applyAlignment="1" applyProtection="1">
      <alignment horizontal="center" vertical="top" wrapText="1"/>
      <protection locked="0"/>
    </xf>
    <xf numFmtId="0" fontId="9" fillId="0" borderId="18" xfId="0" applyFont="1" applyBorder="1" applyAlignment="1" applyProtection="1">
      <alignment horizontal="center" vertical="top" wrapText="1"/>
      <protection locked="0"/>
    </xf>
    <xf numFmtId="0" fontId="8" fillId="16" borderId="10" xfId="0" applyFont="1" applyFill="1" applyBorder="1" applyAlignment="1" applyProtection="1">
      <alignment horizontal="center" vertical="center" wrapText="1"/>
      <protection locked="0"/>
    </xf>
    <xf numFmtId="0" fontId="8" fillId="16" borderId="10" xfId="0" applyFont="1" applyFill="1" applyBorder="1" applyAlignment="1" applyProtection="1">
      <alignment horizontal="left" vertical="center" wrapText="1"/>
      <protection locked="0"/>
    </xf>
    <xf numFmtId="0" fontId="12" fillId="16" borderId="10" xfId="0" applyFont="1" applyFill="1" applyBorder="1" applyAlignment="1" applyProtection="1">
      <alignment horizontal="center" vertical="top" wrapText="1"/>
      <protection locked="0"/>
    </xf>
    <xf numFmtId="0" fontId="28" fillId="14" borderId="39" xfId="0" applyFont="1" applyFill="1" applyBorder="1" applyAlignment="1" applyProtection="1">
      <alignment horizontal="center" vertical="center" wrapText="1"/>
      <protection hidden="1"/>
    </xf>
    <xf numFmtId="0" fontId="28" fillId="14" borderId="40" xfId="0" applyFont="1" applyFill="1" applyBorder="1" applyAlignment="1" applyProtection="1">
      <alignment horizontal="center" vertical="center" wrapText="1"/>
      <protection hidden="1"/>
    </xf>
    <xf numFmtId="0" fontId="28" fillId="14"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0" borderId="14" xfId="0" applyFont="1" applyBorder="1" applyAlignment="1" applyProtection="1">
      <alignment horizontal="right" vertical="center" wrapText="1"/>
      <protection hidden="1"/>
    </xf>
    <xf numFmtId="0" fontId="2" fillId="0" borderId="0" xfId="0" applyFont="1" applyAlignment="1" applyProtection="1">
      <alignment horizontal="right" vertical="center" wrapText="1"/>
      <protection hidden="1"/>
    </xf>
    <xf numFmtId="0" fontId="2" fillId="0" borderId="1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0" borderId="24" xfId="0" applyFont="1" applyBorder="1" applyAlignment="1" applyProtection="1">
      <alignment horizontal="center" vertical="center" textRotation="90" wrapText="1"/>
      <protection hidden="1"/>
    </xf>
    <xf numFmtId="0" fontId="2" fillId="0" borderId="0" xfId="0" applyFont="1" applyAlignment="1" applyProtection="1">
      <alignment horizontal="left" vertical="center" wrapText="1"/>
      <protection locked="0"/>
    </xf>
    <xf numFmtId="0" fontId="1" fillId="0" borderId="24" xfId="0" applyFont="1" applyBorder="1" applyAlignment="1" applyProtection="1">
      <alignment horizontal="left" vertical="center"/>
      <protection hidden="1"/>
    </xf>
    <xf numFmtId="0" fontId="1" fillId="0" borderId="24" xfId="0" applyFont="1" applyBorder="1" applyAlignment="1" applyProtection="1">
      <alignment horizontal="justify" vertical="center" wrapText="1"/>
      <protection hidden="1"/>
    </xf>
    <xf numFmtId="0" fontId="1" fillId="0" borderId="24" xfId="0" applyFont="1" applyBorder="1" applyAlignment="1" applyProtection="1">
      <alignment horizontal="left" vertical="center" wrapText="1"/>
      <protection hidden="1"/>
    </xf>
    <xf numFmtId="0" fontId="2" fillId="2" borderId="0" xfId="0" applyFont="1" applyFill="1" applyAlignment="1" applyProtection="1">
      <alignment horizontal="right" vertical="center" wrapText="1"/>
      <protection hidden="1"/>
    </xf>
    <xf numFmtId="0" fontId="12" fillId="16" borderId="24"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1" fillId="2" borderId="15" xfId="0" applyFont="1" applyFill="1" applyBorder="1" applyAlignment="1" applyProtection="1">
      <alignment horizontal="center"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2" fillId="5"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 fillId="27" borderId="28" xfId="0" applyFont="1" applyFill="1" applyBorder="1" applyAlignment="1" applyProtection="1">
      <alignment horizontal="left" vertical="center" wrapText="1"/>
      <protection hidden="1"/>
    </xf>
    <xf numFmtId="0" fontId="2" fillId="27" borderId="29" xfId="0" applyFont="1" applyFill="1" applyBorder="1" applyAlignment="1" applyProtection="1">
      <alignment horizontal="left" vertical="center" wrapText="1"/>
      <protection hidden="1"/>
    </xf>
    <xf numFmtId="0" fontId="26" fillId="2" borderId="0" xfId="0" applyFont="1" applyFill="1" applyAlignment="1" applyProtection="1">
      <alignment horizontal="center" vertical="center" wrapText="1"/>
      <protection hidden="1"/>
    </xf>
    <xf numFmtId="0" fontId="26" fillId="2" borderId="0" xfId="0" applyFont="1" applyFill="1" applyAlignment="1" applyProtection="1">
      <alignment horizontal="center" vertical="center"/>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8" fillId="16" borderId="11" xfId="0" applyFont="1" applyFill="1" applyBorder="1" applyAlignment="1" applyProtection="1">
      <alignment horizontal="center" vertical="center" wrapText="1"/>
      <protection locked="0"/>
    </xf>
    <xf numFmtId="0" fontId="8" fillId="16" borderId="18"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cellXfs>
  <cellStyles count="4">
    <cellStyle name="40% - Énfasis2" xfId="2" builtinId="35"/>
    <cellStyle name="Énfasis1" xfId="1" builtinId="29"/>
    <cellStyle name="Énfasis6" xfId="3" builtinId="49"/>
    <cellStyle name="Normal" xfId="0" builtinId="0"/>
  </cellStyles>
  <dxfs count="97">
    <dxf>
      <fill>
        <patternFill>
          <bgColor rgb="FFFFCCCC"/>
        </patternFill>
      </fill>
    </dxf>
    <dxf>
      <fill>
        <patternFill patternType="gray125"/>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C00000"/>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s>
  <tableStyles count="0" defaultTableStyle="TableStyleMedium2" defaultPivotStyle="PivotStyleLight16"/>
  <colors>
    <mruColors>
      <color rgb="FF009664"/>
      <color rgb="FF0064C8"/>
      <color rgb="FF00CC99"/>
      <color rgb="FFFFC864"/>
      <color rgb="FF005AC8"/>
      <color rgb="FF0082FA"/>
      <color rgb="FFFFBEC8"/>
      <color rgb="FF00C8C8"/>
      <color rgb="FFFF9632"/>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352</xdr:row>
      <xdr:rowOff>38100</xdr:rowOff>
    </xdr:from>
    <xdr:to>
      <xdr:col>0</xdr:col>
      <xdr:colOff>1504950</xdr:colOff>
      <xdr:row>352</xdr:row>
      <xdr:rowOff>466725</xdr:rowOff>
    </xdr:to>
    <xdr:sp macro="" textlink="">
      <xdr:nvSpPr>
        <xdr:cNvPr id="2" name="CuadroTexto 1">
          <a:extLst>
            <a:ext uri="{FF2B5EF4-FFF2-40B4-BE49-F238E27FC236}">
              <a16:creationId xmlns:a16="http://schemas.microsoft.com/office/drawing/2014/main" id="{00000000-0008-0000-0400-000002000000}"/>
            </a:ext>
          </a:extLst>
        </xdr:cNvPr>
        <xdr:cNvSpPr txBox="1"/>
      </xdr:nvSpPr>
      <xdr:spPr>
        <a:xfrm>
          <a:off x="0" y="30727650"/>
          <a:ext cx="1504950"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 el CETPRO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47626</xdr:colOff>
      <xdr:row>360</xdr:row>
      <xdr:rowOff>130968</xdr:rowOff>
    </xdr:from>
    <xdr:to>
      <xdr:col>0</xdr:col>
      <xdr:colOff>1809751</xdr:colOff>
      <xdr:row>360</xdr:row>
      <xdr:rowOff>535781</xdr:rowOff>
    </xdr:to>
    <xdr:sp macro="" textlink="">
      <xdr:nvSpPr>
        <xdr:cNvPr id="2" name="CuadroTexto 1">
          <a:extLst>
            <a:ext uri="{FF2B5EF4-FFF2-40B4-BE49-F238E27FC236}">
              <a16:creationId xmlns:a16="http://schemas.microsoft.com/office/drawing/2014/main" id="{00000000-0008-0000-0500-000002000000}"/>
            </a:ext>
          </a:extLst>
        </xdr:cNvPr>
        <xdr:cNvSpPr txBox="1"/>
      </xdr:nvSpPr>
      <xdr:spPr>
        <a:xfrm>
          <a:off x="47626" y="29360812"/>
          <a:ext cx="1762125" cy="404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a:t>
          </a:r>
          <a:r>
            <a:rPr lang="en-US" sz="1100" baseline="0"/>
            <a:t> el</a:t>
          </a:r>
          <a:r>
            <a:rPr lang="en-US" sz="1100"/>
            <a:t> CETPRO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359</xdr:row>
      <xdr:rowOff>63500</xdr:rowOff>
    </xdr:from>
    <xdr:to>
      <xdr:col>0</xdr:col>
      <xdr:colOff>1952625</xdr:colOff>
      <xdr:row>359</xdr:row>
      <xdr:rowOff>571500</xdr:rowOff>
    </xdr:to>
    <xdr:sp macro="" textlink="">
      <xdr:nvSpPr>
        <xdr:cNvPr id="2" name="CuadroTexto 1">
          <a:extLst>
            <a:ext uri="{FF2B5EF4-FFF2-40B4-BE49-F238E27FC236}">
              <a16:creationId xmlns:a16="http://schemas.microsoft.com/office/drawing/2014/main" id="{00000000-0008-0000-0600-000002000000}"/>
            </a:ext>
          </a:extLst>
        </xdr:cNvPr>
        <xdr:cNvSpPr txBox="1"/>
      </xdr:nvSpPr>
      <xdr:spPr>
        <a:xfrm>
          <a:off x="63500" y="27574875"/>
          <a:ext cx="1889125"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 el CETPRO</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100854</xdr:colOff>
      <xdr:row>359</xdr:row>
      <xdr:rowOff>123264</xdr:rowOff>
    </xdr:from>
    <xdr:ext cx="917880" cy="264560"/>
    <xdr:sp macro="" textlink="">
      <xdr:nvSpPr>
        <xdr:cNvPr id="2" name="CuadroTexto 1">
          <a:extLst>
            <a:ext uri="{FF2B5EF4-FFF2-40B4-BE49-F238E27FC236}">
              <a16:creationId xmlns:a16="http://schemas.microsoft.com/office/drawing/2014/main" id="{00000000-0008-0000-0700-000002000000}"/>
            </a:ext>
          </a:extLst>
        </xdr:cNvPr>
        <xdr:cNvSpPr txBox="1"/>
      </xdr:nvSpPr>
      <xdr:spPr>
        <a:xfrm>
          <a:off x="100854" y="46571646"/>
          <a:ext cx="917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En elCETPRO</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11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theme="9" tint="-0.249977111117893"/>
  </sheetPr>
  <dimension ref="A1:F43"/>
  <sheetViews>
    <sheetView zoomScale="130" zoomScaleNormal="130" workbookViewId="0">
      <selection activeCell="I15" sqref="I15"/>
    </sheetView>
  </sheetViews>
  <sheetFormatPr baseColWidth="10" defaultColWidth="11.42578125" defaultRowHeight="15" x14ac:dyDescent="0.25"/>
  <cols>
    <col min="1" max="1" width="20.42578125" style="3" customWidth="1"/>
    <col min="2" max="2" width="17.28515625" style="3" customWidth="1"/>
    <col min="3" max="3" width="16.85546875" style="3" customWidth="1"/>
    <col min="4" max="4" width="15.28515625" style="3" customWidth="1"/>
    <col min="5" max="5" width="39.85546875" style="3" customWidth="1"/>
    <col min="6" max="6" width="5.140625" style="3" customWidth="1"/>
    <col min="7" max="16384" width="11.42578125" style="3"/>
  </cols>
  <sheetData>
    <row r="1" spans="1:5" ht="50.45" customHeight="1" x14ac:dyDescent="0.25">
      <c r="A1" s="264" t="s">
        <v>177</v>
      </c>
      <c r="B1" s="264"/>
      <c r="C1" s="264"/>
      <c r="D1" s="264"/>
      <c r="E1" s="264"/>
    </row>
    <row r="2" spans="1:5" ht="8.1" customHeight="1" x14ac:dyDescent="0.25">
      <c r="A2" s="98"/>
      <c r="B2" s="99"/>
      <c r="C2" s="99"/>
      <c r="D2" s="99"/>
      <c r="E2" s="99"/>
    </row>
    <row r="3" spans="1:5" ht="34.5" customHeight="1" x14ac:dyDescent="0.25">
      <c r="A3" s="190" t="s">
        <v>38</v>
      </c>
      <c r="B3" s="266" t="s">
        <v>624</v>
      </c>
      <c r="C3" s="267"/>
      <c r="D3" s="190" t="s">
        <v>186</v>
      </c>
      <c r="E3" s="129" t="s">
        <v>625</v>
      </c>
    </row>
    <row r="4" spans="1:5" ht="8.1" customHeight="1" x14ac:dyDescent="0.25">
      <c r="A4" s="192"/>
      <c r="B4" s="130"/>
      <c r="C4" s="130"/>
      <c r="D4" s="130"/>
      <c r="E4" s="130"/>
    </row>
    <row r="5" spans="1:5" ht="22.5" customHeight="1" x14ac:dyDescent="0.25">
      <c r="A5" s="190" t="s">
        <v>42</v>
      </c>
      <c r="B5" s="183" t="s">
        <v>187</v>
      </c>
      <c r="C5" s="190" t="s">
        <v>43</v>
      </c>
      <c r="D5" s="265" t="s">
        <v>188</v>
      </c>
      <c r="E5" s="265"/>
    </row>
    <row r="6" spans="1:5" ht="8.1" customHeight="1" x14ac:dyDescent="0.25">
      <c r="A6" s="192"/>
      <c r="B6" s="132"/>
      <c r="C6" s="133"/>
      <c r="D6" s="132"/>
      <c r="E6" s="132"/>
    </row>
    <row r="7" spans="1:5" ht="20.25" customHeight="1" x14ac:dyDescent="0.25">
      <c r="A7" s="190" t="s">
        <v>44</v>
      </c>
      <c r="B7" s="265" t="s">
        <v>189</v>
      </c>
      <c r="C7" s="265"/>
      <c r="D7" s="265"/>
      <c r="E7" s="265"/>
    </row>
    <row r="8" spans="1:5" ht="8.1" customHeight="1" x14ac:dyDescent="0.25">
      <c r="A8" s="192"/>
      <c r="B8" s="132"/>
      <c r="C8" s="132"/>
      <c r="D8" s="132"/>
      <c r="E8" s="132"/>
    </row>
    <row r="9" spans="1:5" ht="28.5" hidden="1" customHeight="1" x14ac:dyDescent="0.25">
      <c r="A9" s="191" t="s">
        <v>154</v>
      </c>
      <c r="B9" s="265"/>
      <c r="C9" s="265"/>
      <c r="D9" s="265"/>
      <c r="E9" s="265"/>
    </row>
    <row r="10" spans="1:5" ht="4.5" customHeight="1" x14ac:dyDescent="0.25">
      <c r="A10" s="131"/>
      <c r="B10" s="132"/>
      <c r="C10" s="133"/>
      <c r="D10" s="132"/>
      <c r="E10" s="132"/>
    </row>
    <row r="11" spans="1:5" ht="58.5" customHeight="1" x14ac:dyDescent="0.25">
      <c r="A11" s="191" t="s">
        <v>155</v>
      </c>
      <c r="B11" s="265" t="s">
        <v>554</v>
      </c>
      <c r="C11" s="265"/>
      <c r="D11" s="193" t="s">
        <v>46</v>
      </c>
      <c r="E11" s="129" t="s">
        <v>553</v>
      </c>
    </row>
    <row r="12" spans="1:5" ht="8.1" customHeight="1" x14ac:dyDescent="0.25">
      <c r="A12" s="131"/>
      <c r="B12" s="132"/>
      <c r="C12" s="133"/>
      <c r="D12" s="132"/>
      <c r="E12" s="132"/>
    </row>
    <row r="13" spans="1:5" ht="32.25" customHeight="1" x14ac:dyDescent="0.25">
      <c r="A13" s="190" t="s">
        <v>156</v>
      </c>
      <c r="B13" s="183">
        <v>0</v>
      </c>
      <c r="C13" s="190" t="s">
        <v>45</v>
      </c>
      <c r="D13" s="268" t="s">
        <v>246</v>
      </c>
      <c r="E13" s="269"/>
    </row>
    <row r="14" spans="1:5" ht="8.1" customHeight="1" x14ac:dyDescent="0.25">
      <c r="A14" s="131"/>
      <c r="B14" s="132"/>
      <c r="C14" s="132"/>
      <c r="D14" s="132"/>
      <c r="E14" s="132"/>
    </row>
    <row r="15" spans="1:5" ht="28.5" customHeight="1" x14ac:dyDescent="0.25">
      <c r="A15" s="191" t="s">
        <v>41</v>
      </c>
      <c r="B15" s="265" t="s">
        <v>190</v>
      </c>
      <c r="C15" s="265"/>
      <c r="D15" s="265"/>
      <c r="E15" s="265"/>
    </row>
    <row r="16" spans="1:5" ht="8.1" customHeight="1" x14ac:dyDescent="0.25">
      <c r="A16" s="100"/>
      <c r="B16" s="101"/>
      <c r="C16" s="101"/>
      <c r="D16" s="101"/>
      <c r="E16" s="101"/>
    </row>
    <row r="17" spans="1:6" ht="21.75" customHeight="1" x14ac:dyDescent="0.25">
      <c r="A17" s="261" t="s">
        <v>7</v>
      </c>
      <c r="B17" s="262"/>
      <c r="C17" s="262"/>
      <c r="D17" s="262"/>
      <c r="E17" s="263"/>
      <c r="F17" s="184" t="s">
        <v>118</v>
      </c>
    </row>
    <row r="18" spans="1:6" ht="105" customHeight="1" x14ac:dyDescent="0.25">
      <c r="A18" s="258" t="s">
        <v>626</v>
      </c>
      <c r="B18" s="259"/>
      <c r="C18" s="259"/>
      <c r="D18" s="259"/>
      <c r="E18" s="260"/>
      <c r="F18" s="85" t="str">
        <f>A18</f>
        <v>El Técnico en redes y comunicaciones, es capaz de atender requerimientos, incidentes y problemas de primer nivel, brindar asistencia a nivel operativo y funcional en la etapa de puesta en marcha de los sistemas o servicios de TI, ejecutar acciones de monitore, y otras acciones operativas programadas; realizar la puesta en producción de los sistemas de información o servicios de TI, de acuerdo con la planificación efectuada e implementar y configurar las redes y servicios de comunicaciones efectuando las pruebas y certificaciones, de acuerdo con las necesidades del negocio, estándares internacionales de TI y políticas de seguridad de la organización.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soluciona problemas aplicando herramientas flexibles para atender las diversas necesidades y promueve una cultura ambiental en su entorno.</v>
      </c>
    </row>
    <row r="19" spans="1:6" ht="21.75" customHeight="1" x14ac:dyDescent="0.25">
      <c r="A19" s="261" t="s">
        <v>158</v>
      </c>
      <c r="B19" s="262"/>
      <c r="C19" s="262"/>
      <c r="D19" s="262"/>
      <c r="E19" s="263"/>
      <c r="F19" s="85" t="str">
        <f>A19</f>
        <v>COMPETENCIAS ESPECÍFICAS  (UNIDAD DE COMPETENCIA)</v>
      </c>
    </row>
    <row r="20" spans="1:6" s="94" customFormat="1" ht="44.25" customHeight="1" x14ac:dyDescent="0.25">
      <c r="A20" s="258" t="s">
        <v>191</v>
      </c>
      <c r="B20" s="259"/>
      <c r="C20" s="259"/>
      <c r="D20" s="259"/>
      <c r="E20" s="260"/>
      <c r="F20" s="85" t="str">
        <f t="shared" ref="F20:F26" si="0">A20</f>
        <v>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row>
    <row r="21" spans="1:6" s="94" customFormat="1" ht="35.25" customHeight="1" x14ac:dyDescent="0.25">
      <c r="A21" s="258" t="s">
        <v>192</v>
      </c>
      <c r="B21" s="259"/>
      <c r="C21" s="259"/>
      <c r="D21" s="259"/>
      <c r="E21" s="260"/>
      <c r="F21" s="85" t="str">
        <f t="shared" si="0"/>
        <v>UC2: Ejecutar acciones de monitoreo y otras acciones operativas programadas, de acuerdo con las buenas prácticas de aseguramiento de operación del CPD y salvaguarda de la información del negocio.</v>
      </c>
    </row>
    <row r="22" spans="1:6" s="94" customFormat="1" ht="22.5" customHeight="1" x14ac:dyDescent="0.25">
      <c r="A22" s="258" t="s">
        <v>193</v>
      </c>
      <c r="B22" s="259"/>
      <c r="C22" s="259"/>
      <c r="D22" s="259"/>
      <c r="E22" s="260"/>
      <c r="F22" s="85" t="str">
        <f t="shared" si="0"/>
        <v xml:space="preserve">UC3: Realizar la puesta en producción de los sistemas de información o servicios de TI, de acuerdo con la planificación efectuada. </v>
      </c>
    </row>
    <row r="23" spans="1:6" s="94" customFormat="1" ht="33" customHeight="1" x14ac:dyDescent="0.25">
      <c r="A23" s="258" t="s">
        <v>551</v>
      </c>
      <c r="B23" s="259"/>
      <c r="C23" s="259"/>
      <c r="D23" s="259"/>
      <c r="E23" s="260"/>
      <c r="F23" s="85" t="str">
        <f t="shared" si="0"/>
        <v>UC4: Implementar y configurar las redes y servicios de comunicaciones efectuando las pruebas y certificaciones, de 
acuerdo con las necesidades del negocio, estándares internacionales de TI y políticas de seguridad de la organización.</v>
      </c>
    </row>
    <row r="24" spans="1:6" s="94" customFormat="1" ht="30.75" hidden="1" customHeight="1" x14ac:dyDescent="0.25">
      <c r="A24" s="258"/>
      <c r="B24" s="259"/>
      <c r="C24" s="259"/>
      <c r="D24" s="259"/>
      <c r="E24" s="260"/>
      <c r="F24" s="85">
        <f t="shared" si="0"/>
        <v>0</v>
      </c>
    </row>
    <row r="25" spans="1:6" s="94" customFormat="1" ht="30.75" hidden="1" customHeight="1" x14ac:dyDescent="0.25">
      <c r="A25" s="258"/>
      <c r="B25" s="259"/>
      <c r="C25" s="259"/>
      <c r="D25" s="259"/>
      <c r="E25" s="260"/>
      <c r="F25" s="85">
        <f t="shared" si="0"/>
        <v>0</v>
      </c>
    </row>
    <row r="26" spans="1:6" s="94" customFormat="1" ht="30.75" hidden="1" customHeight="1" x14ac:dyDescent="0.25">
      <c r="A26" s="258"/>
      <c r="B26" s="259"/>
      <c r="C26" s="259"/>
      <c r="D26" s="259"/>
      <c r="E26" s="260"/>
      <c r="F26" s="85">
        <f t="shared" si="0"/>
        <v>0</v>
      </c>
    </row>
    <row r="27" spans="1:6" ht="30.75" hidden="1" customHeight="1" x14ac:dyDescent="0.25">
      <c r="A27" s="258"/>
      <c r="B27" s="259"/>
      <c r="C27" s="259"/>
      <c r="D27" s="259"/>
      <c r="E27" s="260"/>
      <c r="F27" s="85">
        <f>A27</f>
        <v>0</v>
      </c>
    </row>
    <row r="28" spans="1:6" ht="21.75" customHeight="1" x14ac:dyDescent="0.25">
      <c r="A28" s="261" t="s">
        <v>5</v>
      </c>
      <c r="B28" s="262"/>
      <c r="C28" s="262"/>
      <c r="D28" s="262"/>
      <c r="E28" s="263"/>
      <c r="F28" s="85" t="str">
        <f t="shared" ref="F28:F42" si="1">A28</f>
        <v>COMPETENCIAS PARA LA EMPLEABILIDAD</v>
      </c>
    </row>
    <row r="29" spans="1:6" ht="30" customHeight="1" x14ac:dyDescent="0.25">
      <c r="A29" s="258" t="s">
        <v>247</v>
      </c>
      <c r="B29" s="259"/>
      <c r="C29" s="259"/>
      <c r="D29" s="259"/>
      <c r="E29" s="260"/>
      <c r="F29" s="85" t="str">
        <f t="shared" si="1"/>
        <v>CE1 Comunicación efectiva.- Expresar  de manera clara los conceptos, ideas, sentimientos, hechos y opiniones en forma oral y escrita para comunicarse e interactuar con otras personas en contextos sociales y laborales diversos. (UD)</v>
      </c>
    </row>
    <row r="30" spans="1:6" ht="38.25" customHeight="1" x14ac:dyDescent="0.25">
      <c r="A30" s="258" t="s">
        <v>248</v>
      </c>
      <c r="B30" s="259"/>
      <c r="C30" s="259"/>
      <c r="D30" s="259"/>
      <c r="E30" s="260"/>
      <c r="F30" s="85" t="str">
        <f t="shared" si="1"/>
        <v>CE2 Tecnologías de la información.- Manejar herramientas informáticas  de las TIC para buscar y analizar información, comunicarse y realizar procedimientos o tareas vinculadas al área profesional, de acuerdo a los requerimientos de su entorno laboral.(UD)</v>
      </c>
    </row>
    <row r="31" spans="1:6" ht="39.950000000000003" customHeight="1" x14ac:dyDescent="0.25">
      <c r="A31" s="258" t="s">
        <v>249</v>
      </c>
      <c r="B31" s="259"/>
      <c r="C31" s="259"/>
      <c r="D31" s="259"/>
      <c r="E31" s="260"/>
      <c r="F31" s="85" t="str">
        <f t="shared" si="1"/>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2" spans="1:6" ht="39" customHeight="1" x14ac:dyDescent="0.25">
      <c r="A32" s="258" t="s">
        <v>250</v>
      </c>
      <c r="B32" s="259"/>
      <c r="C32" s="259"/>
      <c r="D32" s="259"/>
      <c r="E32" s="260"/>
      <c r="F32" s="85" t="str">
        <f t="shared" si="1"/>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3" spans="1:6" ht="30" customHeight="1" x14ac:dyDescent="0.25">
      <c r="A33" s="258" t="s">
        <v>251</v>
      </c>
      <c r="B33" s="259"/>
      <c r="C33" s="259"/>
      <c r="D33" s="259"/>
      <c r="E33" s="260"/>
      <c r="F33" s="85" t="str">
        <f t="shared" si="1"/>
        <v xml:space="preserve">CE5 Solución de problemas.-  Identificar situaciones complejas para evaluar posibles soluciones, aplicando un conjunto de herramientas flexibles que conlleven a la atención de una necesidad.(UD) </v>
      </c>
    </row>
    <row r="34" spans="1:6" ht="30" customHeight="1" x14ac:dyDescent="0.25">
      <c r="A34" s="258" t="s">
        <v>360</v>
      </c>
      <c r="B34" s="259"/>
      <c r="C34" s="259"/>
      <c r="D34" s="259"/>
      <c r="E34" s="260"/>
      <c r="F34" s="85" t="str">
        <f t="shared" si="1"/>
        <v xml:space="preserve">CE6 Liderazgo personal y profesional. - Demostrar comportamiento de liderazgo que permita coordinar y organizar eficazmente las ideas, decisiones y actividades en el desempeño laboral y social. (T) </v>
      </c>
    </row>
    <row r="35" spans="1:6" ht="30" customHeight="1" x14ac:dyDescent="0.25">
      <c r="A35" s="258" t="s">
        <v>361</v>
      </c>
      <c r="B35" s="259"/>
      <c r="C35" s="259"/>
      <c r="D35" s="259"/>
      <c r="E35" s="260"/>
      <c r="F35" s="85" t="str">
        <f t="shared" si="1"/>
        <v xml:space="preserve">CE7 Cultura ambiental. - Convivir de manera ética, autónoma, responsable y sostenible, previniendo, reduciendo y controlando permanente y progresivamente los impactos ambientales. (T) </v>
      </c>
    </row>
    <row r="36" spans="1:6" ht="30" hidden="1" customHeight="1" x14ac:dyDescent="0.25">
      <c r="A36" s="258"/>
      <c r="B36" s="259"/>
      <c r="C36" s="259"/>
      <c r="D36" s="259"/>
      <c r="E36" s="260"/>
      <c r="F36" s="85">
        <f t="shared" si="1"/>
        <v>0</v>
      </c>
    </row>
    <row r="37" spans="1:6" ht="30" hidden="1" customHeight="1" x14ac:dyDescent="0.25">
      <c r="A37" s="258"/>
      <c r="B37" s="259"/>
      <c r="C37" s="259"/>
      <c r="D37" s="259"/>
      <c r="E37" s="260"/>
      <c r="F37" s="85">
        <f t="shared" si="1"/>
        <v>0</v>
      </c>
    </row>
    <row r="38" spans="1:6" ht="30" hidden="1" customHeight="1" x14ac:dyDescent="0.25">
      <c r="A38" s="258"/>
      <c r="B38" s="259"/>
      <c r="C38" s="259"/>
      <c r="D38" s="259"/>
      <c r="E38" s="260"/>
      <c r="F38" s="85">
        <f t="shared" si="1"/>
        <v>0</v>
      </c>
    </row>
    <row r="39" spans="1:6" ht="30" hidden="1" customHeight="1" x14ac:dyDescent="0.25">
      <c r="A39" s="258"/>
      <c r="B39" s="259"/>
      <c r="C39" s="259"/>
      <c r="D39" s="259"/>
      <c r="E39" s="260"/>
      <c r="F39" s="85">
        <f t="shared" si="1"/>
        <v>0</v>
      </c>
    </row>
    <row r="40" spans="1:6" ht="30" hidden="1" customHeight="1" x14ac:dyDescent="0.25">
      <c r="A40" s="258"/>
      <c r="B40" s="259"/>
      <c r="C40" s="259"/>
      <c r="D40" s="259"/>
      <c r="E40" s="260"/>
      <c r="F40" s="85">
        <f t="shared" si="1"/>
        <v>0</v>
      </c>
    </row>
    <row r="41" spans="1:6" ht="21.75" customHeight="1" x14ac:dyDescent="0.25">
      <c r="A41" s="261" t="s">
        <v>8</v>
      </c>
      <c r="B41" s="262"/>
      <c r="C41" s="262"/>
      <c r="D41" s="262"/>
      <c r="E41" s="263"/>
      <c r="F41" s="85" t="str">
        <f t="shared" si="1"/>
        <v>ÁMBITOS DE DESEMPEÑO</v>
      </c>
    </row>
    <row r="42" spans="1:6" ht="129" customHeight="1" x14ac:dyDescent="0.25">
      <c r="A42" s="271" t="s">
        <v>552</v>
      </c>
      <c r="B42" s="272"/>
      <c r="C42" s="272"/>
      <c r="D42" s="272"/>
      <c r="E42" s="273"/>
      <c r="F42" s="85" t="str">
        <f t="shared" si="1"/>
        <v xml:space="preserve">El egresado de este programa podrá desempeñarse en las siguientes áreas:
• Informática, tecnologías de la información y sistemas de cualquier organización.        
• Desarrollo de infraestructura tecnológica de redes, servidores y comunicaciones.                                                                                                     
• Cableado, estructurado en fibra y cobre.    
• Mantenimiento de redes de comunicaciones y redes fijas ADSL.                                                                             
• Instalación y Manteminiento de Redes Wi Fi.
• Soporte tecnico de computadoras   
• Administración de servicios de TI      
• Implementación y monitoreo de sistemas de redes
 ó en consultoras especializadas en desarrollo de infraestructura tecnológica de redes, servidores y comunicaciones.       </v>
      </c>
    </row>
    <row r="43" spans="1:6" ht="148.5" customHeight="1" x14ac:dyDescent="0.25">
      <c r="A43" s="270" t="s">
        <v>159</v>
      </c>
      <c r="B43" s="270"/>
      <c r="C43" s="270"/>
      <c r="D43" s="270"/>
      <c r="E43" s="270"/>
      <c r="F43" s="85" t="str">
        <f>A43</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autoFilter ref="A17:F43" xr:uid="{00000000-0009-0000-0000-000000000000}">
    <filterColumn colId="0" showButton="0">
      <customFilters>
        <customFilter operator="notEqual" val=" "/>
      </customFilters>
    </filterColumn>
    <filterColumn colId="1" showButton="0"/>
    <filterColumn colId="2" showButton="0"/>
    <filterColumn colId="3" showButton="0"/>
  </autoFilter>
  <mergeCells count="35">
    <mergeCell ref="A43:E43"/>
    <mergeCell ref="A32:E32"/>
    <mergeCell ref="A33:E33"/>
    <mergeCell ref="A28:E28"/>
    <mergeCell ref="A29:E29"/>
    <mergeCell ref="A30:E30"/>
    <mergeCell ref="A41:E41"/>
    <mergeCell ref="A42:E42"/>
    <mergeCell ref="A37:E37"/>
    <mergeCell ref="A40:E40"/>
    <mergeCell ref="A38:E38"/>
    <mergeCell ref="A39:E39"/>
    <mergeCell ref="A34:E34"/>
    <mergeCell ref="A35:E35"/>
    <mergeCell ref="A36:E36"/>
    <mergeCell ref="A31:E31"/>
    <mergeCell ref="A1:E1"/>
    <mergeCell ref="D5:E5"/>
    <mergeCell ref="B7:E7"/>
    <mergeCell ref="A17:E17"/>
    <mergeCell ref="A18:E18"/>
    <mergeCell ref="B3:C3"/>
    <mergeCell ref="B11:C11"/>
    <mergeCell ref="B9:E9"/>
    <mergeCell ref="B15:E15"/>
    <mergeCell ref="D13:E13"/>
    <mergeCell ref="A24:E24"/>
    <mergeCell ref="A25:E25"/>
    <mergeCell ref="A26:E26"/>
    <mergeCell ref="A27:E27"/>
    <mergeCell ref="A19:E19"/>
    <mergeCell ref="A20:E20"/>
    <mergeCell ref="A21:E21"/>
    <mergeCell ref="A22:E22"/>
    <mergeCell ref="A23:E23"/>
  </mergeCells>
  <conditionalFormatting sqref="B3:C3 E3 B5 D5:E5 B7:E7 B9:E9 B11:C11 E11 B13 D13:E13 B15:E15 A18:E18 A20:E27 A29:E40 A42:E42">
    <cfRule type="containsBlanks" dxfId="96" priority="1">
      <formula>LEN(TRIM(A3))=0</formula>
    </cfRule>
  </conditionalFormatting>
  <printOptions horizontalCentered="1"/>
  <pageMargins left="0.11811023622047245" right="0.11811023622047245" top="0.15748031496062992" bottom="0.15748031496062992"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tabColor theme="9" tint="-0.249977111117893"/>
  </sheetPr>
  <dimension ref="A1:I198"/>
  <sheetViews>
    <sheetView showGridLines="0" view="pageBreakPreview" topLeftCell="A157" zoomScaleNormal="100" zoomScaleSheetLayoutView="100" workbookViewId="0">
      <selection activeCell="A15" sqref="A15:B29"/>
    </sheetView>
  </sheetViews>
  <sheetFormatPr baseColWidth="10" defaultColWidth="11.42578125" defaultRowHeight="15" x14ac:dyDescent="0.25"/>
  <cols>
    <col min="1" max="1" width="23.5703125" style="3" customWidth="1"/>
    <col min="2" max="2" width="35" style="3" customWidth="1"/>
    <col min="3" max="3" width="20.7109375" style="3" customWidth="1"/>
    <col min="4" max="4" width="24.85546875" style="3" customWidth="1"/>
    <col min="5" max="5" width="17.140625" style="3" customWidth="1"/>
    <col min="6" max="6" width="23.5703125" style="3" customWidth="1"/>
    <col min="7" max="7" width="5.85546875" style="84" customWidth="1"/>
    <col min="8" max="8" width="8.5703125" style="3" customWidth="1"/>
    <col min="9" max="9" width="8.28515625" style="3" customWidth="1"/>
    <col min="10" max="16384" width="11.42578125" style="3"/>
  </cols>
  <sheetData>
    <row r="1" spans="1:9" s="1" customFormat="1" ht="52.15" customHeight="1" x14ac:dyDescent="0.2">
      <c r="A1" s="290" t="s">
        <v>178</v>
      </c>
      <c r="B1" s="291"/>
      <c r="C1" s="291"/>
      <c r="D1" s="291"/>
      <c r="E1" s="291"/>
      <c r="F1" s="291"/>
      <c r="G1" s="83"/>
    </row>
    <row r="2" spans="1:9" s="1" customFormat="1" ht="8.1" customHeight="1" x14ac:dyDescent="0.2">
      <c r="A2" s="71"/>
      <c r="B2" s="72"/>
      <c r="C2" s="72"/>
      <c r="D2" s="72"/>
      <c r="E2" s="73"/>
      <c r="F2" s="73"/>
      <c r="G2" s="83"/>
    </row>
    <row r="3" spans="1:9" s="2" customFormat="1" ht="25.5" customHeight="1" x14ac:dyDescent="0.2">
      <c r="A3" s="75" t="str">
        <f>Perfil_Egreso!A3</f>
        <v>DENOMINACIÓN DE LA INSTITUCIÓN</v>
      </c>
      <c r="B3" s="292" t="str">
        <f>Perfil_Egreso!B3</f>
        <v>CETPRO JUANJUI</v>
      </c>
      <c r="C3" s="292"/>
      <c r="D3" s="75" t="str">
        <f>Perfil_Egreso!D3</f>
        <v>CÓDIGO MODULAR DEL CETPRO</v>
      </c>
      <c r="E3" s="293" t="str">
        <f>Perfil_Egreso!E3</f>
        <v>0533836</v>
      </c>
      <c r="F3" s="293"/>
      <c r="G3" s="51"/>
    </row>
    <row r="4" spans="1:9" s="2" customFormat="1" ht="8.1" customHeight="1" x14ac:dyDescent="0.2">
      <c r="A4" s="35"/>
      <c r="B4" s="35"/>
      <c r="C4" s="20"/>
      <c r="D4" s="20"/>
      <c r="E4" s="20"/>
      <c r="F4" s="20"/>
      <c r="G4" s="51"/>
    </row>
    <row r="5" spans="1:9" s="2" customFormat="1" ht="44.25" customHeight="1" x14ac:dyDescent="0.2">
      <c r="A5" s="75" t="s">
        <v>42</v>
      </c>
      <c r="B5" s="81" t="str">
        <f>Perfil_Egreso!B5</f>
        <v>INFORMACIÓN Y COMUNICACIONES</v>
      </c>
      <c r="C5" s="143" t="s">
        <v>43</v>
      </c>
      <c r="D5" s="5" t="str">
        <f>Perfil_Egreso!D5</f>
        <v>TECNOLOGÍAS DE LA INFORMACIÓN Y COMUNICACIONES - TICS</v>
      </c>
      <c r="E5" s="30" t="s">
        <v>44</v>
      </c>
      <c r="F5" s="80" t="str">
        <f>Perfil_Egreso!B7</f>
        <v>PROGRAMACIÓN INFORMÁTICA, CONSULTORÍA DE INFORMÁTICA Y ACTIVIDADES CONEXAS</v>
      </c>
      <c r="G5" s="51"/>
    </row>
    <row r="6" spans="1:9" s="2" customFormat="1" ht="11.25" customHeight="1" x14ac:dyDescent="0.2">
      <c r="A6" s="75"/>
      <c r="B6" s="75"/>
      <c r="C6" s="23"/>
      <c r="D6" s="23"/>
      <c r="E6" s="23"/>
      <c r="F6" s="23"/>
      <c r="G6" s="51"/>
    </row>
    <row r="7" spans="1:9" s="2" customFormat="1" ht="69" customHeight="1" x14ac:dyDescent="0.2">
      <c r="A7" s="144" t="s">
        <v>555</v>
      </c>
      <c r="B7" s="80">
        <f>Perfil_Egreso!B9</f>
        <v>0</v>
      </c>
      <c r="C7" s="144" t="s">
        <v>155</v>
      </c>
      <c r="D7" s="5" t="str">
        <f>Perfil_Egreso!B11</f>
        <v>REDES Y COMUNICACIONES</v>
      </c>
      <c r="E7" s="75" t="s">
        <v>124</v>
      </c>
      <c r="F7" s="135" t="str">
        <f>Perfil_Egreso!E11</f>
        <v>J2662-2-001</v>
      </c>
      <c r="G7" s="51"/>
    </row>
    <row r="8" spans="1:9" s="2" customFormat="1" ht="8.1" customHeight="1" x14ac:dyDescent="0.2">
      <c r="A8" s="26"/>
      <c r="B8" s="26"/>
      <c r="C8" s="26"/>
      <c r="D8" s="26"/>
      <c r="E8" s="26"/>
      <c r="F8" s="26"/>
      <c r="G8" s="51"/>
    </row>
    <row r="9" spans="1:9" s="2" customFormat="1" ht="23.25" customHeight="1" x14ac:dyDescent="0.2">
      <c r="A9" s="145" t="s">
        <v>41</v>
      </c>
      <c r="B9" s="80" t="str">
        <f>Perfil_Egreso!B15</f>
        <v>TÉCNICO</v>
      </c>
      <c r="C9" s="144" t="s">
        <v>6</v>
      </c>
      <c r="D9" s="6">
        <f>Itinerario!W17</f>
        <v>2112</v>
      </c>
      <c r="E9" s="75" t="s">
        <v>35</v>
      </c>
      <c r="F9" s="5">
        <f>Itinerario!T17</f>
        <v>80</v>
      </c>
      <c r="G9" s="51"/>
    </row>
    <row r="10" spans="1:9" s="2" customFormat="1" ht="8.1" customHeight="1" x14ac:dyDescent="0.2">
      <c r="A10" s="30"/>
      <c r="B10" s="30"/>
      <c r="C10" s="30"/>
      <c r="D10" s="30"/>
      <c r="E10" s="26"/>
      <c r="F10" s="26"/>
      <c r="G10" s="51"/>
    </row>
    <row r="11" spans="1:9" s="2" customFormat="1" ht="27" customHeight="1" x14ac:dyDescent="0.2">
      <c r="A11" s="144" t="s">
        <v>156</v>
      </c>
      <c r="B11" s="268">
        <f>Perfil_Egreso!B13</f>
        <v>0</v>
      </c>
      <c r="C11" s="269"/>
      <c r="D11" s="70" t="s">
        <v>45</v>
      </c>
      <c r="E11" s="268" t="str">
        <f>Perfil_Egreso!D13</f>
        <v>PRESENCIAL</v>
      </c>
      <c r="F11" s="269"/>
      <c r="G11" s="51"/>
    </row>
    <row r="12" spans="1:9" ht="8.1" customHeight="1" x14ac:dyDescent="0.25">
      <c r="A12" s="74"/>
      <c r="B12" s="30"/>
      <c r="C12" s="30"/>
      <c r="D12" s="30"/>
      <c r="E12" s="26"/>
      <c r="F12" s="26"/>
    </row>
    <row r="13" spans="1:9" ht="15" customHeight="1" x14ac:dyDescent="0.25">
      <c r="A13" s="277" t="s">
        <v>157</v>
      </c>
      <c r="B13" s="277"/>
      <c r="C13" s="277"/>
      <c r="D13" s="277"/>
      <c r="E13" s="277"/>
      <c r="F13" s="277"/>
    </row>
    <row r="14" spans="1:9" ht="15" customHeight="1" x14ac:dyDescent="0.25">
      <c r="A14" s="294" t="s">
        <v>9</v>
      </c>
      <c r="B14" s="294"/>
      <c r="C14" s="294" t="s">
        <v>10</v>
      </c>
      <c r="D14" s="294"/>
      <c r="E14" s="294"/>
      <c r="F14" s="294"/>
      <c r="G14" s="82" t="s">
        <v>117</v>
      </c>
    </row>
    <row r="15" spans="1:9" s="4" customFormat="1" ht="62.25" customHeight="1" x14ac:dyDescent="0.25">
      <c r="A15" s="279" t="str">
        <f>CONCATENATE("Unidad de Competencia N° 01 (UC1):
",Perfil_Egreso!A20)</f>
        <v>Unidad de Competencia N° 01 (UC1):
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c r="B15" s="279"/>
      <c r="C15" s="274" t="s">
        <v>399</v>
      </c>
      <c r="D15" s="275"/>
      <c r="E15" s="275"/>
      <c r="F15" s="276"/>
      <c r="G15" s="85" t="str">
        <f>C15</f>
        <v>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c r="H15" s="3">
        <v>1</v>
      </c>
      <c r="I15" s="3" t="str">
        <f>CONCATENATE(H15,". ",C15)</f>
        <v>1. 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row>
    <row r="16" spans="1:9" s="4" customFormat="1" ht="51" customHeight="1" x14ac:dyDescent="0.25">
      <c r="A16" s="279"/>
      <c r="B16" s="279"/>
      <c r="C16" s="274" t="s">
        <v>194</v>
      </c>
      <c r="D16" s="275"/>
      <c r="E16" s="275"/>
      <c r="F16" s="276"/>
      <c r="G16" s="85" t="str">
        <f t="shared" ref="G16:G79" si="0">C16</f>
        <v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c r="H16" s="3">
        <v>2</v>
      </c>
      <c r="I16" s="3" t="str">
        <f t="shared" ref="I16:I109" si="1">CONCATENATE(H16,". ",C16)</f>
        <v xml:space="preserve">2. 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row>
    <row r="17" spans="1:9" s="4" customFormat="1" ht="35.450000000000003" customHeight="1" x14ac:dyDescent="0.25">
      <c r="A17" s="279"/>
      <c r="B17" s="279"/>
      <c r="C17" s="274" t="s">
        <v>195</v>
      </c>
      <c r="D17" s="275"/>
      <c r="E17" s="275"/>
      <c r="F17" s="276"/>
      <c r="G17" s="85" t="str">
        <f t="shared" si="0"/>
        <v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c r="H17" s="3">
        <v>3</v>
      </c>
      <c r="I17" s="3" t="str">
        <f t="shared" si="1"/>
        <v xml:space="preserve">3. 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row>
    <row r="18" spans="1:9" s="4" customFormat="1" ht="30" customHeight="1" x14ac:dyDescent="0.25">
      <c r="A18" s="279"/>
      <c r="B18" s="279"/>
      <c r="C18" s="274" t="s">
        <v>196</v>
      </c>
      <c r="D18" s="275"/>
      <c r="E18" s="275"/>
      <c r="F18" s="276"/>
      <c r="G18" s="85" t="str">
        <f t="shared" si="0"/>
        <v xml:space="preserve">4. Asiste a los usuarios en el uso del sistema, de acuerdo con el diseño funcional del sistema y buenas prácticas de entrega de servicio. </v>
      </c>
      <c r="H18" s="3">
        <v>4</v>
      </c>
      <c r="I18" s="3" t="str">
        <f t="shared" si="1"/>
        <v xml:space="preserve">4. 4. Asiste a los usuarios en el uso del sistema, de acuerdo con el diseño funcional del sistema y buenas prácticas de entrega de servicio. </v>
      </c>
    </row>
    <row r="19" spans="1:9" s="4" customFormat="1" ht="45.75" customHeight="1" x14ac:dyDescent="0.25">
      <c r="A19" s="279"/>
      <c r="B19" s="279"/>
      <c r="C19" s="274" t="s">
        <v>197</v>
      </c>
      <c r="D19" s="275"/>
      <c r="E19" s="275"/>
      <c r="F19" s="276"/>
      <c r="G19" s="85" t="str">
        <f t="shared" si="0"/>
        <v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c r="H19" s="3">
        <v>5</v>
      </c>
      <c r="I19" s="3" t="str">
        <f t="shared" si="1"/>
        <v xml:space="preserve">5. 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row>
    <row r="20" spans="1:9" s="4" customFormat="1" ht="51.75" customHeight="1" x14ac:dyDescent="0.25">
      <c r="A20" s="279"/>
      <c r="B20" s="279"/>
      <c r="C20" s="274" t="s">
        <v>198</v>
      </c>
      <c r="D20" s="275"/>
      <c r="E20" s="275"/>
      <c r="F20" s="276"/>
      <c r="G20" s="85" t="str">
        <f t="shared" si="0"/>
        <v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c r="H20" s="3">
        <v>6</v>
      </c>
      <c r="I20" s="3" t="str">
        <f t="shared" si="1"/>
        <v xml:space="preserve">6. 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row>
    <row r="21" spans="1:9" s="4" customFormat="1" ht="50.25" customHeight="1" x14ac:dyDescent="0.25">
      <c r="A21" s="279"/>
      <c r="B21" s="279"/>
      <c r="C21" s="274" t="s">
        <v>199</v>
      </c>
      <c r="D21" s="275"/>
      <c r="E21" s="275"/>
      <c r="F21" s="276"/>
      <c r="G21" s="85" t="str">
        <f t="shared" si="0"/>
        <v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c r="H21" s="3">
        <v>7</v>
      </c>
      <c r="I21" s="3" t="str">
        <f t="shared" si="1"/>
        <v xml:space="preserve">7. 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row>
    <row r="22" spans="1:9" s="4" customFormat="1" hidden="1" x14ac:dyDescent="0.25">
      <c r="A22" s="279"/>
      <c r="B22" s="279"/>
      <c r="C22" s="274"/>
      <c r="D22" s="275"/>
      <c r="E22" s="275"/>
      <c r="F22" s="276"/>
      <c r="G22" s="85">
        <f t="shared" si="0"/>
        <v>0</v>
      </c>
      <c r="H22" s="3">
        <v>8</v>
      </c>
      <c r="I22" s="3" t="str">
        <f t="shared" si="1"/>
        <v xml:space="preserve">8. </v>
      </c>
    </row>
    <row r="23" spans="1:9" s="4" customFormat="1" hidden="1" x14ac:dyDescent="0.25">
      <c r="A23" s="279"/>
      <c r="B23" s="279"/>
      <c r="C23" s="274"/>
      <c r="D23" s="275"/>
      <c r="E23" s="275"/>
      <c r="F23" s="276"/>
      <c r="G23" s="85">
        <f t="shared" si="0"/>
        <v>0</v>
      </c>
      <c r="H23" s="3">
        <v>9</v>
      </c>
      <c r="I23" s="3" t="str">
        <f t="shared" si="1"/>
        <v xml:space="preserve">9. </v>
      </c>
    </row>
    <row r="24" spans="1:9" s="4" customFormat="1" hidden="1" x14ac:dyDescent="0.25">
      <c r="A24" s="279"/>
      <c r="B24" s="279"/>
      <c r="C24" s="274"/>
      <c r="D24" s="275"/>
      <c r="E24" s="275"/>
      <c r="F24" s="276"/>
      <c r="G24" s="85">
        <f t="shared" si="0"/>
        <v>0</v>
      </c>
      <c r="H24" s="3">
        <v>10</v>
      </c>
      <c r="I24" s="3" t="str">
        <f t="shared" si="1"/>
        <v xml:space="preserve">10. </v>
      </c>
    </row>
    <row r="25" spans="1:9" s="4" customFormat="1" hidden="1" x14ac:dyDescent="0.25">
      <c r="A25" s="279"/>
      <c r="B25" s="279"/>
      <c r="C25" s="274"/>
      <c r="D25" s="275"/>
      <c r="E25" s="275"/>
      <c r="F25" s="276"/>
      <c r="G25" s="85">
        <f t="shared" si="0"/>
        <v>0</v>
      </c>
      <c r="H25" s="3">
        <v>11</v>
      </c>
      <c r="I25" s="3" t="str">
        <f t="shared" si="1"/>
        <v xml:space="preserve">11. </v>
      </c>
    </row>
    <row r="26" spans="1:9" s="4" customFormat="1" hidden="1" x14ac:dyDescent="0.25">
      <c r="A26" s="279"/>
      <c r="B26" s="279"/>
      <c r="C26" s="274"/>
      <c r="D26" s="275"/>
      <c r="E26" s="275"/>
      <c r="F26" s="276"/>
      <c r="G26" s="85">
        <f t="shared" si="0"/>
        <v>0</v>
      </c>
      <c r="H26" s="3">
        <v>12</v>
      </c>
      <c r="I26" s="3" t="str">
        <f t="shared" si="1"/>
        <v xml:space="preserve">12. </v>
      </c>
    </row>
    <row r="27" spans="1:9" s="4" customFormat="1" hidden="1" x14ac:dyDescent="0.25">
      <c r="A27" s="279"/>
      <c r="B27" s="279"/>
      <c r="C27" s="274"/>
      <c r="D27" s="275"/>
      <c r="E27" s="275"/>
      <c r="F27" s="276"/>
      <c r="G27" s="85">
        <f t="shared" si="0"/>
        <v>0</v>
      </c>
      <c r="H27" s="3">
        <v>13</v>
      </c>
      <c r="I27" s="3" t="str">
        <f t="shared" si="1"/>
        <v xml:space="preserve">13. </v>
      </c>
    </row>
    <row r="28" spans="1:9" s="4" customFormat="1" hidden="1" x14ac:dyDescent="0.25">
      <c r="A28" s="279"/>
      <c r="B28" s="279"/>
      <c r="C28" s="274"/>
      <c r="D28" s="275"/>
      <c r="E28" s="275"/>
      <c r="F28" s="276"/>
      <c r="G28" s="85">
        <f t="shared" si="0"/>
        <v>0</v>
      </c>
      <c r="H28" s="3">
        <v>14</v>
      </c>
      <c r="I28" s="3" t="str">
        <f t="shared" si="1"/>
        <v xml:space="preserve">14. </v>
      </c>
    </row>
    <row r="29" spans="1:9" s="4" customFormat="1" hidden="1" x14ac:dyDescent="0.25">
      <c r="A29" s="279"/>
      <c r="B29" s="279"/>
      <c r="C29" s="274"/>
      <c r="D29" s="275"/>
      <c r="E29" s="275"/>
      <c r="F29" s="276"/>
      <c r="G29" s="85">
        <f t="shared" si="0"/>
        <v>0</v>
      </c>
      <c r="H29" s="3">
        <v>15</v>
      </c>
      <c r="I29" s="3" t="str">
        <f t="shared" si="1"/>
        <v xml:space="preserve">15. </v>
      </c>
    </row>
    <row r="30" spans="1:9" s="4" customFormat="1" ht="53.25" customHeight="1" x14ac:dyDescent="0.25">
      <c r="A30" s="279" t="str">
        <f>CONCATENATE("Unidad de Competencia N° 02 (UC2):
",Perfil_Egreso!A21)</f>
        <v>Unidad de Competencia N° 02 (UC2):
UC2: Ejecutar acciones de monitoreo y otras acciones operativas programadas, de acuerdo con las buenas prácticas de aseguramiento de operación del CPD y salvaguarda de la información del negocio.</v>
      </c>
      <c r="B30" s="279"/>
      <c r="C30" s="274" t="s">
        <v>200</v>
      </c>
      <c r="D30" s="275"/>
      <c r="E30" s="275"/>
      <c r="F30" s="276"/>
      <c r="G30" s="85" t="str">
        <f t="shared" si="0"/>
        <v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c r="H30" s="3">
        <v>1</v>
      </c>
      <c r="I30" s="3" t="str">
        <f t="shared" si="1"/>
        <v xml:space="preserve">1. 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row>
    <row r="31" spans="1:9" s="4" customFormat="1" ht="28.5" customHeight="1" x14ac:dyDescent="0.25">
      <c r="A31" s="279"/>
      <c r="B31" s="279"/>
      <c r="C31" s="274" t="s">
        <v>201</v>
      </c>
      <c r="D31" s="275"/>
      <c r="E31" s="275"/>
      <c r="F31" s="276"/>
      <c r="G31" s="85" t="str">
        <f t="shared" si="0"/>
        <v xml:space="preserve">2. Elabora reportes de cumplimiento de niveles de operación, según los acuerdos de nivel de operación, unidades de contratos con proveedores, continuidad del negocio y políticas de la organización. </v>
      </c>
      <c r="H31" s="3">
        <v>2</v>
      </c>
      <c r="I31" s="3" t="str">
        <f t="shared" si="1"/>
        <v xml:space="preserve">2. 2. Elabora reportes de cumplimiento de niveles de operación, según los acuerdos de nivel de operación, unidades de contratos con proveedores, continuidad del negocio y políticas de la organización. </v>
      </c>
    </row>
    <row r="32" spans="1:9" s="4" customFormat="1" ht="48.75" customHeight="1" x14ac:dyDescent="0.25">
      <c r="A32" s="279"/>
      <c r="B32" s="279"/>
      <c r="C32" s="274" t="s">
        <v>202</v>
      </c>
      <c r="D32" s="275"/>
      <c r="E32" s="275"/>
      <c r="F32" s="276"/>
      <c r="G32" s="85" t="str">
        <f t="shared" si="0"/>
        <v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c r="H32" s="3">
        <v>3</v>
      </c>
      <c r="I32" s="3" t="str">
        <f t="shared" si="1"/>
        <v xml:space="preserve">3. 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row>
    <row r="33" spans="1:9" s="4" customFormat="1" ht="38.25" customHeight="1" x14ac:dyDescent="0.25">
      <c r="A33" s="279"/>
      <c r="B33" s="279"/>
      <c r="C33" s="274" t="s">
        <v>203</v>
      </c>
      <c r="D33" s="275"/>
      <c r="E33" s="275"/>
      <c r="F33" s="276"/>
      <c r="G33" s="85" t="str">
        <f t="shared" si="0"/>
        <v xml:space="preserve">4. Reporta las acciones ejecutadas y los eventos inesperados de manera programada o de grado urgencia, de acuerdo con el plan de actividades programadas, gestión de riesgos, continuidad de negocio y políticas de seguridad. </v>
      </c>
      <c r="H33" s="3">
        <v>4</v>
      </c>
      <c r="I33" s="3" t="str">
        <f t="shared" si="1"/>
        <v xml:space="preserve">4. 4. Reporta las acciones ejecutadas y los eventos inesperados de manera programada o de grado urgencia, de acuerdo con el plan de actividades programadas, gestión de riesgos, continuidad de negocio y políticas de seguridad. </v>
      </c>
    </row>
    <row r="34" spans="1:9" s="4" customFormat="1" hidden="1" x14ac:dyDescent="0.25">
      <c r="A34" s="279"/>
      <c r="B34" s="279"/>
      <c r="C34" s="274"/>
      <c r="D34" s="275"/>
      <c r="E34" s="275"/>
      <c r="F34" s="276"/>
      <c r="G34" s="85">
        <f t="shared" si="0"/>
        <v>0</v>
      </c>
      <c r="H34" s="3">
        <v>5</v>
      </c>
      <c r="I34" s="3" t="str">
        <f t="shared" si="1"/>
        <v xml:space="preserve">5. </v>
      </c>
    </row>
    <row r="35" spans="1:9" s="4" customFormat="1" hidden="1" x14ac:dyDescent="0.25">
      <c r="A35" s="279"/>
      <c r="B35" s="279"/>
      <c r="C35" s="274"/>
      <c r="D35" s="275"/>
      <c r="E35" s="275"/>
      <c r="F35" s="276"/>
      <c r="G35" s="85">
        <f t="shared" si="0"/>
        <v>0</v>
      </c>
      <c r="H35" s="3">
        <v>6</v>
      </c>
      <c r="I35" s="3" t="str">
        <f t="shared" si="1"/>
        <v xml:space="preserve">6. </v>
      </c>
    </row>
    <row r="36" spans="1:9" s="4" customFormat="1" hidden="1" x14ac:dyDescent="0.25">
      <c r="A36" s="279"/>
      <c r="B36" s="279"/>
      <c r="C36" s="274"/>
      <c r="D36" s="275"/>
      <c r="E36" s="275"/>
      <c r="F36" s="276"/>
      <c r="G36" s="85">
        <f t="shared" si="0"/>
        <v>0</v>
      </c>
      <c r="H36" s="3">
        <v>7</v>
      </c>
      <c r="I36" s="3" t="str">
        <f t="shared" si="1"/>
        <v xml:space="preserve">7. </v>
      </c>
    </row>
    <row r="37" spans="1:9" s="4" customFormat="1" hidden="1" x14ac:dyDescent="0.25">
      <c r="A37" s="279"/>
      <c r="B37" s="279"/>
      <c r="C37" s="274"/>
      <c r="D37" s="275"/>
      <c r="E37" s="275"/>
      <c r="F37" s="276"/>
      <c r="G37" s="85">
        <f t="shared" si="0"/>
        <v>0</v>
      </c>
      <c r="H37" s="3">
        <v>8</v>
      </c>
      <c r="I37" s="3" t="str">
        <f t="shared" si="1"/>
        <v xml:space="preserve">8. </v>
      </c>
    </row>
    <row r="38" spans="1:9" s="4" customFormat="1" hidden="1" x14ac:dyDescent="0.25">
      <c r="A38" s="279"/>
      <c r="B38" s="279"/>
      <c r="C38" s="274"/>
      <c r="D38" s="275"/>
      <c r="E38" s="275"/>
      <c r="F38" s="276"/>
      <c r="G38" s="85">
        <f t="shared" si="0"/>
        <v>0</v>
      </c>
      <c r="H38" s="3">
        <v>9</v>
      </c>
      <c r="I38" s="3" t="str">
        <f t="shared" si="1"/>
        <v xml:space="preserve">9. </v>
      </c>
    </row>
    <row r="39" spans="1:9" s="4" customFormat="1" hidden="1" x14ac:dyDescent="0.25">
      <c r="A39" s="279"/>
      <c r="B39" s="279"/>
      <c r="C39" s="274"/>
      <c r="D39" s="275"/>
      <c r="E39" s="275"/>
      <c r="F39" s="276"/>
      <c r="G39" s="85">
        <f t="shared" si="0"/>
        <v>0</v>
      </c>
      <c r="H39" s="3">
        <v>10</v>
      </c>
      <c r="I39" s="3" t="str">
        <f t="shared" si="1"/>
        <v xml:space="preserve">10. </v>
      </c>
    </row>
    <row r="40" spans="1:9" s="4" customFormat="1" hidden="1" x14ac:dyDescent="0.25">
      <c r="A40" s="279"/>
      <c r="B40" s="279"/>
      <c r="C40" s="274"/>
      <c r="D40" s="275"/>
      <c r="E40" s="275"/>
      <c r="F40" s="276"/>
      <c r="G40" s="85">
        <f t="shared" si="0"/>
        <v>0</v>
      </c>
      <c r="H40" s="3">
        <v>11</v>
      </c>
      <c r="I40" s="3" t="str">
        <f t="shared" si="1"/>
        <v xml:space="preserve">11. </v>
      </c>
    </row>
    <row r="41" spans="1:9" s="4" customFormat="1" hidden="1" x14ac:dyDescent="0.25">
      <c r="A41" s="279"/>
      <c r="B41" s="279"/>
      <c r="C41" s="274"/>
      <c r="D41" s="275"/>
      <c r="E41" s="275"/>
      <c r="F41" s="276"/>
      <c r="G41" s="85">
        <f t="shared" si="0"/>
        <v>0</v>
      </c>
      <c r="H41" s="3">
        <v>12</v>
      </c>
      <c r="I41" s="3" t="str">
        <f t="shared" si="1"/>
        <v xml:space="preserve">12. </v>
      </c>
    </row>
    <row r="42" spans="1:9" s="4" customFormat="1" hidden="1" x14ac:dyDescent="0.25">
      <c r="A42" s="279"/>
      <c r="B42" s="279"/>
      <c r="C42" s="274"/>
      <c r="D42" s="275"/>
      <c r="E42" s="275"/>
      <c r="F42" s="276"/>
      <c r="G42" s="85">
        <f t="shared" si="0"/>
        <v>0</v>
      </c>
      <c r="H42" s="3">
        <v>13</v>
      </c>
      <c r="I42" s="3" t="str">
        <f t="shared" si="1"/>
        <v xml:space="preserve">13. </v>
      </c>
    </row>
    <row r="43" spans="1:9" s="4" customFormat="1" hidden="1" x14ac:dyDescent="0.25">
      <c r="A43" s="279"/>
      <c r="B43" s="279"/>
      <c r="C43" s="274"/>
      <c r="D43" s="275"/>
      <c r="E43" s="275"/>
      <c r="F43" s="276"/>
      <c r="G43" s="85">
        <f t="shared" si="0"/>
        <v>0</v>
      </c>
      <c r="H43" s="3">
        <v>14</v>
      </c>
      <c r="I43" s="3" t="str">
        <f t="shared" si="1"/>
        <v xml:space="preserve">14. </v>
      </c>
    </row>
    <row r="44" spans="1:9" s="4" customFormat="1" hidden="1" x14ac:dyDescent="0.25">
      <c r="A44" s="279"/>
      <c r="B44" s="279"/>
      <c r="C44" s="274"/>
      <c r="D44" s="275"/>
      <c r="E44" s="275"/>
      <c r="F44" s="276"/>
      <c r="G44" s="85">
        <f t="shared" si="0"/>
        <v>0</v>
      </c>
      <c r="H44" s="3">
        <v>15</v>
      </c>
      <c r="I44" s="3" t="str">
        <f t="shared" si="1"/>
        <v xml:space="preserve">15. </v>
      </c>
    </row>
    <row r="45" spans="1:9" s="4" customFormat="1" ht="36" customHeight="1" x14ac:dyDescent="0.25">
      <c r="A45" s="279" t="str">
        <f>CONCATENATE("Unidad de Competencia N° 03 (UC3):
",Perfil_Egreso!A22)</f>
        <v xml:space="preserve">Unidad de Competencia N° 03 (UC3):
UC3: Realizar la puesta en producción de los sistemas de información o servicios de TI, de acuerdo con la planificación efectuada. </v>
      </c>
      <c r="B45" s="279"/>
      <c r="C45" s="274" t="s">
        <v>204</v>
      </c>
      <c r="D45" s="275"/>
      <c r="E45" s="275"/>
      <c r="F45" s="276"/>
      <c r="G45" s="85" t="str">
        <f t="shared" si="0"/>
        <v xml:space="preserve">1. Instala y/o despliega los componentes del sistema en el ambiente de producción de acuerdo con la arquitectura del sistema o servicio de TI, recomendaciones del fabricante y plan de implementación. </v>
      </c>
      <c r="H45" s="3">
        <v>1</v>
      </c>
      <c r="I45" s="3" t="str">
        <f t="shared" si="1"/>
        <v xml:space="preserve">1. 1. Instala y/o despliega los componentes del sistema en el ambiente de producción de acuerdo con la arquitectura del sistema o servicio de TI, recomendaciones del fabricante y plan de implementación. </v>
      </c>
    </row>
    <row r="46" spans="1:9" s="4" customFormat="1" ht="33" customHeight="1" x14ac:dyDescent="0.25">
      <c r="A46" s="279"/>
      <c r="B46" s="279"/>
      <c r="C46" s="274" t="s">
        <v>205</v>
      </c>
      <c r="D46" s="275"/>
      <c r="E46" s="275"/>
      <c r="F46" s="276"/>
      <c r="G46" s="85" t="str">
        <f t="shared" si="0"/>
        <v xml:space="preserve">2. Desarrolla el plan de pruebas unitarias de cada arreglo y componente informático por separado y de manera conjunta, según el alcance de la función que se le ha asignado en el proceso de implantación. </v>
      </c>
      <c r="H46" s="3">
        <v>2</v>
      </c>
      <c r="I46" s="3" t="str">
        <f t="shared" si="1"/>
        <v xml:space="preserve">2. 2. Desarrolla el plan de pruebas unitarias de cada arreglo y componente informático por separado y de manera conjunta, según el alcance de la función que se le ha asignado en el proceso de implantación. </v>
      </c>
    </row>
    <row r="47" spans="1:9" s="4" customFormat="1" ht="54.75" customHeight="1" x14ac:dyDescent="0.25">
      <c r="A47" s="279"/>
      <c r="B47" s="279"/>
      <c r="C47" s="274" t="s">
        <v>206</v>
      </c>
      <c r="D47" s="275"/>
      <c r="E47" s="275"/>
      <c r="F47" s="276"/>
      <c r="G47" s="85" t="str">
        <f t="shared" si="0"/>
        <v>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v>
      </c>
      <c r="H47" s="3">
        <v>3</v>
      </c>
      <c r="I47" s="3" t="str">
        <f t="shared" si="1"/>
        <v>3. 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v>
      </c>
    </row>
    <row r="48" spans="1:9" s="4" customFormat="1" hidden="1" x14ac:dyDescent="0.25">
      <c r="A48" s="279"/>
      <c r="B48" s="279"/>
      <c r="C48" s="274"/>
      <c r="D48" s="275"/>
      <c r="E48" s="275"/>
      <c r="F48" s="276"/>
      <c r="G48" s="85">
        <f t="shared" si="0"/>
        <v>0</v>
      </c>
      <c r="H48" s="3">
        <v>4</v>
      </c>
      <c r="I48" s="3" t="str">
        <f t="shared" si="1"/>
        <v xml:space="preserve">4. </v>
      </c>
    </row>
    <row r="49" spans="1:9" s="4" customFormat="1" hidden="1" x14ac:dyDescent="0.25">
      <c r="A49" s="279"/>
      <c r="B49" s="279"/>
      <c r="C49" s="274"/>
      <c r="D49" s="275"/>
      <c r="E49" s="275"/>
      <c r="F49" s="276"/>
      <c r="G49" s="85">
        <f t="shared" si="0"/>
        <v>0</v>
      </c>
      <c r="H49" s="3">
        <v>5</v>
      </c>
      <c r="I49" s="3" t="str">
        <f t="shared" si="1"/>
        <v xml:space="preserve">5. </v>
      </c>
    </row>
    <row r="50" spans="1:9" s="4" customFormat="1" hidden="1" x14ac:dyDescent="0.25">
      <c r="A50" s="279"/>
      <c r="B50" s="279"/>
      <c r="C50" s="274"/>
      <c r="D50" s="275"/>
      <c r="E50" s="275"/>
      <c r="F50" s="276"/>
      <c r="G50" s="85">
        <f t="shared" si="0"/>
        <v>0</v>
      </c>
      <c r="H50" s="3">
        <v>6</v>
      </c>
      <c r="I50" s="3" t="str">
        <f t="shared" si="1"/>
        <v xml:space="preserve">6. </v>
      </c>
    </row>
    <row r="51" spans="1:9" s="4" customFormat="1" hidden="1" x14ac:dyDescent="0.25">
      <c r="A51" s="279"/>
      <c r="B51" s="279"/>
      <c r="C51" s="274"/>
      <c r="D51" s="275"/>
      <c r="E51" s="275"/>
      <c r="F51" s="276"/>
      <c r="G51" s="85">
        <f t="shared" si="0"/>
        <v>0</v>
      </c>
      <c r="H51" s="3">
        <v>7</v>
      </c>
      <c r="I51" s="3" t="str">
        <f t="shared" si="1"/>
        <v xml:space="preserve">7. </v>
      </c>
    </row>
    <row r="52" spans="1:9" s="4" customFormat="1" hidden="1" x14ac:dyDescent="0.25">
      <c r="A52" s="279"/>
      <c r="B52" s="279"/>
      <c r="C52" s="274"/>
      <c r="D52" s="275"/>
      <c r="E52" s="275"/>
      <c r="F52" s="276"/>
      <c r="G52" s="85">
        <f t="shared" si="0"/>
        <v>0</v>
      </c>
      <c r="H52" s="3">
        <v>8</v>
      </c>
      <c r="I52" s="3" t="str">
        <f t="shared" si="1"/>
        <v xml:space="preserve">8. </v>
      </c>
    </row>
    <row r="53" spans="1:9" s="4" customFormat="1" hidden="1" x14ac:dyDescent="0.25">
      <c r="A53" s="279"/>
      <c r="B53" s="279"/>
      <c r="C53" s="274"/>
      <c r="D53" s="275"/>
      <c r="E53" s="275"/>
      <c r="F53" s="276"/>
      <c r="G53" s="85">
        <f t="shared" si="0"/>
        <v>0</v>
      </c>
      <c r="H53" s="3">
        <v>9</v>
      </c>
      <c r="I53" s="3" t="str">
        <f t="shared" si="1"/>
        <v xml:space="preserve">9. </v>
      </c>
    </row>
    <row r="54" spans="1:9" s="4" customFormat="1" hidden="1" x14ac:dyDescent="0.25">
      <c r="A54" s="279"/>
      <c r="B54" s="279"/>
      <c r="C54" s="274"/>
      <c r="D54" s="275"/>
      <c r="E54" s="275"/>
      <c r="F54" s="276"/>
      <c r="G54" s="85">
        <f t="shared" si="0"/>
        <v>0</v>
      </c>
      <c r="H54" s="3">
        <v>10</v>
      </c>
      <c r="I54" s="3" t="str">
        <f t="shared" si="1"/>
        <v xml:space="preserve">10. </v>
      </c>
    </row>
    <row r="55" spans="1:9" s="4" customFormat="1" hidden="1" x14ac:dyDescent="0.25">
      <c r="A55" s="279"/>
      <c r="B55" s="279"/>
      <c r="C55" s="274"/>
      <c r="D55" s="275"/>
      <c r="E55" s="275"/>
      <c r="F55" s="276"/>
      <c r="G55" s="85">
        <f t="shared" si="0"/>
        <v>0</v>
      </c>
      <c r="H55" s="3">
        <v>11</v>
      </c>
      <c r="I55" s="3" t="str">
        <f t="shared" si="1"/>
        <v xml:space="preserve">11. </v>
      </c>
    </row>
    <row r="56" spans="1:9" s="4" customFormat="1" hidden="1" x14ac:dyDescent="0.25">
      <c r="A56" s="279"/>
      <c r="B56" s="279"/>
      <c r="C56" s="274"/>
      <c r="D56" s="275"/>
      <c r="E56" s="275"/>
      <c r="F56" s="276"/>
      <c r="G56" s="85">
        <f t="shared" si="0"/>
        <v>0</v>
      </c>
      <c r="H56" s="3">
        <v>12</v>
      </c>
      <c r="I56" s="3" t="str">
        <f t="shared" si="1"/>
        <v xml:space="preserve">12. </v>
      </c>
    </row>
    <row r="57" spans="1:9" s="4" customFormat="1" hidden="1" x14ac:dyDescent="0.25">
      <c r="A57" s="279"/>
      <c r="B57" s="279"/>
      <c r="C57" s="274"/>
      <c r="D57" s="275"/>
      <c r="E57" s="275"/>
      <c r="F57" s="276"/>
      <c r="G57" s="85">
        <f t="shared" si="0"/>
        <v>0</v>
      </c>
      <c r="H57" s="3">
        <v>13</v>
      </c>
      <c r="I57" s="3" t="str">
        <f t="shared" si="1"/>
        <v xml:space="preserve">13. </v>
      </c>
    </row>
    <row r="58" spans="1:9" s="4" customFormat="1" hidden="1" x14ac:dyDescent="0.25">
      <c r="A58" s="279"/>
      <c r="B58" s="279"/>
      <c r="C58" s="274"/>
      <c r="D58" s="275"/>
      <c r="E58" s="275"/>
      <c r="F58" s="276"/>
      <c r="G58" s="85">
        <f t="shared" si="0"/>
        <v>0</v>
      </c>
      <c r="H58" s="3">
        <v>14</v>
      </c>
      <c r="I58" s="3" t="str">
        <f t="shared" si="1"/>
        <v xml:space="preserve">14. </v>
      </c>
    </row>
    <row r="59" spans="1:9" s="4" customFormat="1" hidden="1" x14ac:dyDescent="0.25">
      <c r="A59" s="279"/>
      <c r="B59" s="279"/>
      <c r="C59" s="274"/>
      <c r="D59" s="275"/>
      <c r="E59" s="275"/>
      <c r="F59" s="276"/>
      <c r="G59" s="85">
        <f>C59</f>
        <v>0</v>
      </c>
      <c r="H59" s="3">
        <v>15</v>
      </c>
      <c r="I59" s="3" t="str">
        <f>CONCATENATE(H59,". ",C59)</f>
        <v xml:space="preserve">15. </v>
      </c>
    </row>
    <row r="60" spans="1:9" s="4" customFormat="1" ht="24.6" customHeight="1" x14ac:dyDescent="0.25">
      <c r="A60" s="279" t="str">
        <f>CONCATENATE("Unidad de Competencia N° 04 (UC4):
",Perfil_Egreso!A23)</f>
        <v>Unidad de Competencia N° 04 (UC4):
UC4: Implementar y configurar las redes y servicios de comunicaciones efectuando las pruebas y certificaciones, de 
acuerdo con las necesidades del negocio, estándares internacionales de TI y políticas de seguridad de la organización.</v>
      </c>
      <c r="B60" s="279"/>
      <c r="C60" s="284" t="s">
        <v>556</v>
      </c>
      <c r="D60" s="284"/>
      <c r="E60" s="284"/>
      <c r="F60" s="284"/>
      <c r="G60" s="85" t="str">
        <f>C60</f>
        <v>1. Planifica las acciones de mejoras y evalúa los detalles técnicos de la infraestructura de redes comprometidos, de acuerdo con el plan de mejoras.</v>
      </c>
      <c r="H60" s="3">
        <v>1</v>
      </c>
      <c r="I60" s="3" t="str">
        <f>CONCATENATE(H60,". ",C60)</f>
        <v>1. 1. Planifica las acciones de mejoras y evalúa los detalles técnicos de la infraestructura de redes comprometidos, de acuerdo con el plan de mejoras.</v>
      </c>
    </row>
    <row r="61" spans="1:9" s="4" customFormat="1" ht="38.450000000000003" customHeight="1" x14ac:dyDescent="0.25">
      <c r="A61" s="279"/>
      <c r="B61" s="279"/>
      <c r="C61" s="284" t="s">
        <v>557</v>
      </c>
      <c r="D61" s="284"/>
      <c r="E61" s="284"/>
      <c r="F61" s="284"/>
      <c r="G61" s="85" t="str">
        <f t="shared" si="0"/>
        <v>2. Configura la infraestructura de redes y telecomunicaciones de la organización de acuerdo con la arquitectura de infraestructura, arquitectura de sistemas, requerimientos del negocio, estándares internacionales de TI y políticas de seguridad de la organización.</v>
      </c>
      <c r="H61" s="3">
        <v>2</v>
      </c>
      <c r="I61" s="3" t="str">
        <f t="shared" si="1"/>
        <v>2. 2. Configura la infraestructura de redes y telecomunicaciones de la organización de acuerdo con la arquitectura de infraestructura, arquitectura de sistemas, requerimientos del negocio, estándares internacionales de TI y políticas de seguridad de la organización.</v>
      </c>
    </row>
    <row r="62" spans="1:9" s="4" customFormat="1" ht="24.6" customHeight="1" x14ac:dyDescent="0.25">
      <c r="A62" s="279"/>
      <c r="B62" s="279"/>
      <c r="C62" s="284" t="s">
        <v>558</v>
      </c>
      <c r="D62" s="284"/>
      <c r="E62" s="284"/>
      <c r="F62" s="284"/>
      <c r="G62" s="85" t="str">
        <f t="shared" si="0"/>
        <v xml:space="preserve">3. Supervisa la implementación del protocolo de pruebas o comprobación de las funcionalidades de la infraestructura de redes, de acuerdo al plan de mejoras. </v>
      </c>
      <c r="H62" s="3">
        <v>3</v>
      </c>
      <c r="I62" s="3" t="str">
        <f t="shared" si="1"/>
        <v xml:space="preserve">3. 3. Supervisa la implementación del protocolo de pruebas o comprobación de las funcionalidades de la infraestructura de redes, de acuerdo al plan de mejoras. </v>
      </c>
    </row>
    <row r="63" spans="1:9" s="4" customFormat="1" ht="55.5" customHeight="1" x14ac:dyDescent="0.25">
      <c r="A63" s="279"/>
      <c r="B63" s="279"/>
      <c r="C63" s="281" t="s">
        <v>559</v>
      </c>
      <c r="D63" s="282"/>
      <c r="E63" s="282"/>
      <c r="F63" s="283"/>
      <c r="G63" s="85" t="str">
        <f t="shared" si="0"/>
        <v>4. Realiza el mantenimiento de las redes y comunicaciones de la organización y actualiza la base de datos de los componentes de configuración, según las buenas prácticas de gestión de la configuración, arquitectura de infraestructura, arquitectura de sistemas, requerimientos del negocio, estándares internacionales de TI y políticas de seguridad de la organización.</v>
      </c>
      <c r="H63" s="3">
        <v>4</v>
      </c>
      <c r="I63" s="3" t="str">
        <f t="shared" si="1"/>
        <v>4. 4. Realiza el mantenimiento de las redes y comunicaciones de la organización y actualiza la base de datos de los componentes de configuración, según las buenas prácticas de gestión de la configuración, arquitectura de infraestructura, arquitectura de sistemas, requerimientos del negocio, estándares internacionales de TI y políticas de seguridad de la organización.</v>
      </c>
    </row>
    <row r="64" spans="1:9" s="4" customFormat="1" ht="36.950000000000003" customHeight="1" x14ac:dyDescent="0.25">
      <c r="A64" s="279"/>
      <c r="B64" s="279"/>
      <c r="C64" s="281" t="s">
        <v>560</v>
      </c>
      <c r="D64" s="282"/>
      <c r="E64" s="282"/>
      <c r="F64" s="283"/>
      <c r="G64" s="85" t="str">
        <f t="shared" si="0"/>
        <v>5. Realiza acciones correctivas que garanticen el rendimiento y capacidad esperado de las redes y comunicaciones, de acuerdo con buenas prácticas de gestión de redes, recomendaciones del fabricantes, proveedores de servicios, capacity planning y gestión de riesgos.</v>
      </c>
      <c r="H64" s="3">
        <v>5</v>
      </c>
      <c r="I64" s="3" t="str">
        <f t="shared" si="1"/>
        <v>5. 5. Realiza acciones correctivas que garanticen el rendimiento y capacidad esperado de las redes y comunicaciones, de acuerdo con buenas prácticas de gestión de redes, recomendaciones del fabricantes, proveedores de servicios, capacity planning y gestión de riesgos.</v>
      </c>
    </row>
    <row r="65" spans="1:9" s="4" customFormat="1" ht="27.6" customHeight="1" x14ac:dyDescent="0.25">
      <c r="A65" s="279"/>
      <c r="B65" s="279"/>
      <c r="C65" s="281" t="s">
        <v>561</v>
      </c>
      <c r="D65" s="282"/>
      <c r="E65" s="282"/>
      <c r="F65" s="283"/>
      <c r="G65" s="85" t="str">
        <f t="shared" si="0"/>
        <v>6. Documenta el historial de mantenimiento y los cambios relevantes de la infraestructura y/o sistemas de TI, de acuerdo con buenas prácticas de gestión de la configuración y políticas de la organización.</v>
      </c>
      <c r="H65" s="3">
        <v>6</v>
      </c>
      <c r="I65" s="3" t="str">
        <f t="shared" si="1"/>
        <v>6. 6. Documenta el historial de mantenimiento y los cambios relevantes de la infraestructura y/o sistemas de TI, de acuerdo con buenas prácticas de gestión de la configuración y políticas de la organización.</v>
      </c>
    </row>
    <row r="66" spans="1:9" s="4" customFormat="1" ht="40.5" customHeight="1" x14ac:dyDescent="0.25">
      <c r="A66" s="279"/>
      <c r="B66" s="279"/>
      <c r="C66" s="285" t="s">
        <v>562</v>
      </c>
      <c r="D66" s="285"/>
      <c r="E66" s="285"/>
      <c r="F66" s="285"/>
      <c r="G66" s="85" t="str">
        <f t="shared" si="0"/>
        <v>7. Reporta las acciones ejecutadas y las observaciones detectadas en el proceso, de acuerdo con el plan de actividades programadas, gestión de riesgos, continuidad de negocio y políticas de seguridad de la organización.</v>
      </c>
      <c r="H66" s="3">
        <v>7</v>
      </c>
      <c r="I66" s="3" t="str">
        <f t="shared" si="1"/>
        <v>7. 7. Reporta las acciones ejecutadas y las observaciones detectadas en el proceso, de acuerdo con el plan de actividades programadas, gestión de riesgos, continuidad de negocio y políticas de seguridad de la organización.</v>
      </c>
    </row>
    <row r="67" spans="1:9" s="4" customFormat="1" hidden="1" x14ac:dyDescent="0.25">
      <c r="A67" s="279"/>
      <c r="B67" s="279"/>
      <c r="C67" s="274"/>
      <c r="D67" s="275"/>
      <c r="E67" s="275"/>
      <c r="F67" s="276"/>
      <c r="G67" s="85">
        <f t="shared" si="0"/>
        <v>0</v>
      </c>
      <c r="H67" s="3">
        <v>8</v>
      </c>
      <c r="I67" s="3" t="str">
        <f t="shared" si="1"/>
        <v xml:space="preserve">8. </v>
      </c>
    </row>
    <row r="68" spans="1:9" s="4" customFormat="1" hidden="1" x14ac:dyDescent="0.25">
      <c r="A68" s="279"/>
      <c r="B68" s="279"/>
      <c r="C68" s="274"/>
      <c r="D68" s="275"/>
      <c r="E68" s="275"/>
      <c r="F68" s="276"/>
      <c r="G68" s="85">
        <f t="shared" si="0"/>
        <v>0</v>
      </c>
      <c r="H68" s="3">
        <v>9</v>
      </c>
      <c r="I68" s="3" t="str">
        <f t="shared" si="1"/>
        <v xml:space="preserve">9. </v>
      </c>
    </row>
    <row r="69" spans="1:9" s="4" customFormat="1" hidden="1" x14ac:dyDescent="0.25">
      <c r="A69" s="279"/>
      <c r="B69" s="279"/>
      <c r="C69" s="274"/>
      <c r="D69" s="275"/>
      <c r="E69" s="275"/>
      <c r="F69" s="276"/>
      <c r="G69" s="85">
        <f t="shared" si="0"/>
        <v>0</v>
      </c>
      <c r="H69" s="3">
        <v>10</v>
      </c>
      <c r="I69" s="3" t="str">
        <f t="shared" si="1"/>
        <v xml:space="preserve">10. </v>
      </c>
    </row>
    <row r="70" spans="1:9" s="4" customFormat="1" hidden="1" x14ac:dyDescent="0.25">
      <c r="A70" s="279"/>
      <c r="B70" s="279"/>
      <c r="C70" s="274"/>
      <c r="D70" s="275"/>
      <c r="E70" s="275"/>
      <c r="F70" s="276"/>
      <c r="G70" s="85">
        <f t="shared" si="0"/>
        <v>0</v>
      </c>
      <c r="H70" s="3">
        <v>11</v>
      </c>
      <c r="I70" s="3" t="str">
        <f t="shared" si="1"/>
        <v xml:space="preserve">11. </v>
      </c>
    </row>
    <row r="71" spans="1:9" s="4" customFormat="1" hidden="1" x14ac:dyDescent="0.25">
      <c r="A71" s="279"/>
      <c r="B71" s="279"/>
      <c r="C71" s="274"/>
      <c r="D71" s="275"/>
      <c r="E71" s="275"/>
      <c r="F71" s="276"/>
      <c r="G71" s="85">
        <f t="shared" si="0"/>
        <v>0</v>
      </c>
      <c r="H71" s="3">
        <v>12</v>
      </c>
      <c r="I71" s="3" t="str">
        <f t="shared" si="1"/>
        <v xml:space="preserve">12. </v>
      </c>
    </row>
    <row r="72" spans="1:9" s="4" customFormat="1" hidden="1" x14ac:dyDescent="0.25">
      <c r="A72" s="279"/>
      <c r="B72" s="279"/>
      <c r="C72" s="274"/>
      <c r="D72" s="275"/>
      <c r="E72" s="275"/>
      <c r="F72" s="276"/>
      <c r="G72" s="85">
        <f t="shared" si="0"/>
        <v>0</v>
      </c>
      <c r="H72" s="3">
        <v>13</v>
      </c>
      <c r="I72" s="3" t="str">
        <f t="shared" si="1"/>
        <v xml:space="preserve">13. </v>
      </c>
    </row>
    <row r="73" spans="1:9" s="4" customFormat="1" hidden="1" x14ac:dyDescent="0.25">
      <c r="A73" s="279"/>
      <c r="B73" s="279"/>
      <c r="C73" s="274"/>
      <c r="D73" s="275"/>
      <c r="E73" s="275"/>
      <c r="F73" s="276"/>
      <c r="G73" s="85">
        <f t="shared" si="0"/>
        <v>0</v>
      </c>
      <c r="H73" s="3">
        <v>14</v>
      </c>
      <c r="I73" s="3" t="str">
        <f t="shared" si="1"/>
        <v xml:space="preserve">14. </v>
      </c>
    </row>
    <row r="74" spans="1:9" s="4" customFormat="1" hidden="1" x14ac:dyDescent="0.25">
      <c r="A74" s="279"/>
      <c r="B74" s="279"/>
      <c r="C74" s="274"/>
      <c r="D74" s="275"/>
      <c r="E74" s="275"/>
      <c r="F74" s="276"/>
      <c r="G74" s="85">
        <f t="shared" si="0"/>
        <v>0</v>
      </c>
      <c r="H74" s="3">
        <v>15</v>
      </c>
      <c r="I74" s="3" t="str">
        <f t="shared" si="1"/>
        <v xml:space="preserve">15. </v>
      </c>
    </row>
    <row r="75" spans="1:9" s="4" customFormat="1" hidden="1" x14ac:dyDescent="0.25">
      <c r="A75" s="279" t="str">
        <f>CONCATENATE("Unidad de Competencia N° 05 (UC5):
",Perfil_Egreso!A24)</f>
        <v xml:space="preserve">Unidad de Competencia N° 05 (UC5):
</v>
      </c>
      <c r="B75" s="279"/>
      <c r="C75" s="274"/>
      <c r="D75" s="275"/>
      <c r="E75" s="275"/>
      <c r="F75" s="276"/>
      <c r="G75" s="85">
        <f t="shared" si="0"/>
        <v>0</v>
      </c>
      <c r="H75" s="3">
        <v>1</v>
      </c>
      <c r="I75" s="3" t="str">
        <f t="shared" si="1"/>
        <v xml:space="preserve">1. </v>
      </c>
    </row>
    <row r="76" spans="1:9" s="4" customFormat="1" hidden="1" x14ac:dyDescent="0.25">
      <c r="A76" s="279"/>
      <c r="B76" s="279"/>
      <c r="C76" s="274"/>
      <c r="D76" s="275"/>
      <c r="E76" s="275"/>
      <c r="F76" s="276"/>
      <c r="G76" s="85">
        <f t="shared" si="0"/>
        <v>0</v>
      </c>
      <c r="H76" s="3">
        <v>2</v>
      </c>
      <c r="I76" s="3" t="str">
        <f t="shared" si="1"/>
        <v xml:space="preserve">2. </v>
      </c>
    </row>
    <row r="77" spans="1:9" s="4" customFormat="1" hidden="1" x14ac:dyDescent="0.25">
      <c r="A77" s="279"/>
      <c r="B77" s="279"/>
      <c r="C77" s="274"/>
      <c r="D77" s="275"/>
      <c r="E77" s="275"/>
      <c r="F77" s="276"/>
      <c r="G77" s="85">
        <f t="shared" si="0"/>
        <v>0</v>
      </c>
      <c r="H77" s="3">
        <v>3</v>
      </c>
      <c r="I77" s="3" t="str">
        <f t="shared" si="1"/>
        <v xml:space="preserve">3. </v>
      </c>
    </row>
    <row r="78" spans="1:9" s="4" customFormat="1" hidden="1" x14ac:dyDescent="0.25">
      <c r="A78" s="279"/>
      <c r="B78" s="279"/>
      <c r="C78" s="274"/>
      <c r="D78" s="275"/>
      <c r="E78" s="275"/>
      <c r="F78" s="276"/>
      <c r="G78" s="85">
        <f t="shared" si="0"/>
        <v>0</v>
      </c>
      <c r="H78" s="3">
        <v>4</v>
      </c>
      <c r="I78" s="3" t="str">
        <f t="shared" si="1"/>
        <v xml:space="preserve">4. </v>
      </c>
    </row>
    <row r="79" spans="1:9" s="4" customFormat="1" hidden="1" x14ac:dyDescent="0.25">
      <c r="A79" s="279"/>
      <c r="B79" s="279"/>
      <c r="C79" s="274"/>
      <c r="D79" s="275"/>
      <c r="E79" s="275"/>
      <c r="F79" s="276"/>
      <c r="G79" s="85">
        <f t="shared" si="0"/>
        <v>0</v>
      </c>
      <c r="H79" s="3">
        <v>5</v>
      </c>
      <c r="I79" s="3" t="str">
        <f t="shared" si="1"/>
        <v xml:space="preserve">5. </v>
      </c>
    </row>
    <row r="80" spans="1:9" s="4" customFormat="1" hidden="1" x14ac:dyDescent="0.25">
      <c r="A80" s="279"/>
      <c r="B80" s="279"/>
      <c r="C80" s="274"/>
      <c r="D80" s="275"/>
      <c r="E80" s="275"/>
      <c r="F80" s="276"/>
      <c r="G80" s="85">
        <f t="shared" ref="G80:G134" si="2">C80</f>
        <v>0</v>
      </c>
      <c r="H80" s="3">
        <v>6</v>
      </c>
      <c r="I80" s="3" t="str">
        <f t="shared" si="1"/>
        <v xml:space="preserve">6. </v>
      </c>
    </row>
    <row r="81" spans="1:9" s="4" customFormat="1" hidden="1" x14ac:dyDescent="0.25">
      <c r="A81" s="279"/>
      <c r="B81" s="279"/>
      <c r="C81" s="274"/>
      <c r="D81" s="275"/>
      <c r="E81" s="275"/>
      <c r="F81" s="276"/>
      <c r="G81" s="85">
        <f t="shared" si="2"/>
        <v>0</v>
      </c>
      <c r="H81" s="3">
        <v>7</v>
      </c>
      <c r="I81" s="3" t="str">
        <f t="shared" si="1"/>
        <v xml:space="preserve">7. </v>
      </c>
    </row>
    <row r="82" spans="1:9" s="4" customFormat="1" hidden="1" x14ac:dyDescent="0.25">
      <c r="A82" s="279"/>
      <c r="B82" s="279"/>
      <c r="C82" s="274"/>
      <c r="D82" s="275"/>
      <c r="E82" s="275"/>
      <c r="F82" s="276"/>
      <c r="G82" s="85">
        <f t="shared" si="2"/>
        <v>0</v>
      </c>
      <c r="H82" s="3">
        <v>8</v>
      </c>
      <c r="I82" s="3" t="str">
        <f t="shared" si="1"/>
        <v xml:space="preserve">8. </v>
      </c>
    </row>
    <row r="83" spans="1:9" s="4" customFormat="1" hidden="1" x14ac:dyDescent="0.25">
      <c r="A83" s="279"/>
      <c r="B83" s="279"/>
      <c r="C83" s="274"/>
      <c r="D83" s="275"/>
      <c r="E83" s="275"/>
      <c r="F83" s="276"/>
      <c r="G83" s="85">
        <f t="shared" si="2"/>
        <v>0</v>
      </c>
      <c r="H83" s="3">
        <v>9</v>
      </c>
      <c r="I83" s="3" t="str">
        <f t="shared" si="1"/>
        <v xml:space="preserve">9. </v>
      </c>
    </row>
    <row r="84" spans="1:9" s="4" customFormat="1" hidden="1" x14ac:dyDescent="0.25">
      <c r="A84" s="279"/>
      <c r="B84" s="279"/>
      <c r="C84" s="274"/>
      <c r="D84" s="275"/>
      <c r="E84" s="275"/>
      <c r="F84" s="276"/>
      <c r="G84" s="85">
        <f t="shared" si="2"/>
        <v>0</v>
      </c>
      <c r="H84" s="3">
        <v>10</v>
      </c>
      <c r="I84" s="3" t="str">
        <f t="shared" si="1"/>
        <v xml:space="preserve">10. </v>
      </c>
    </row>
    <row r="85" spans="1:9" s="4" customFormat="1" hidden="1" x14ac:dyDescent="0.25">
      <c r="A85" s="279"/>
      <c r="B85" s="279"/>
      <c r="C85" s="274"/>
      <c r="D85" s="275"/>
      <c r="E85" s="275"/>
      <c r="F85" s="276"/>
      <c r="G85" s="85">
        <f t="shared" si="2"/>
        <v>0</v>
      </c>
      <c r="H85" s="3">
        <v>11</v>
      </c>
      <c r="I85" s="3" t="str">
        <f t="shared" si="1"/>
        <v xml:space="preserve">11. </v>
      </c>
    </row>
    <row r="86" spans="1:9" s="4" customFormat="1" hidden="1" x14ac:dyDescent="0.25">
      <c r="A86" s="279"/>
      <c r="B86" s="279"/>
      <c r="C86" s="274"/>
      <c r="D86" s="275"/>
      <c r="E86" s="275"/>
      <c r="F86" s="276"/>
      <c r="G86" s="85">
        <f t="shared" si="2"/>
        <v>0</v>
      </c>
      <c r="H86" s="3">
        <v>12</v>
      </c>
      <c r="I86" s="3" t="str">
        <f t="shared" si="1"/>
        <v xml:space="preserve">12. </v>
      </c>
    </row>
    <row r="87" spans="1:9" s="4" customFormat="1" hidden="1" x14ac:dyDescent="0.25">
      <c r="A87" s="279"/>
      <c r="B87" s="279"/>
      <c r="C87" s="274"/>
      <c r="D87" s="275"/>
      <c r="E87" s="275"/>
      <c r="F87" s="276"/>
      <c r="G87" s="85">
        <f t="shared" si="2"/>
        <v>0</v>
      </c>
      <c r="H87" s="3">
        <v>13</v>
      </c>
      <c r="I87" s="3" t="str">
        <f t="shared" si="1"/>
        <v xml:space="preserve">13. </v>
      </c>
    </row>
    <row r="88" spans="1:9" s="4" customFormat="1" hidden="1" x14ac:dyDescent="0.25">
      <c r="A88" s="279"/>
      <c r="B88" s="279"/>
      <c r="C88" s="274"/>
      <c r="D88" s="275"/>
      <c r="E88" s="275"/>
      <c r="F88" s="276"/>
      <c r="G88" s="85">
        <f t="shared" si="2"/>
        <v>0</v>
      </c>
      <c r="H88" s="3">
        <v>14</v>
      </c>
      <c r="I88" s="3" t="str">
        <f t="shared" si="1"/>
        <v xml:space="preserve">14. </v>
      </c>
    </row>
    <row r="89" spans="1:9" s="4" customFormat="1" hidden="1" x14ac:dyDescent="0.25">
      <c r="A89" s="279"/>
      <c r="B89" s="279"/>
      <c r="C89" s="274"/>
      <c r="D89" s="275"/>
      <c r="E89" s="275"/>
      <c r="F89" s="276"/>
      <c r="G89" s="85">
        <f t="shared" si="2"/>
        <v>0</v>
      </c>
      <c r="H89" s="3">
        <v>15</v>
      </c>
      <c r="I89" s="3" t="str">
        <f t="shared" si="1"/>
        <v xml:space="preserve">15. </v>
      </c>
    </row>
    <row r="90" spans="1:9" s="4" customFormat="1" hidden="1" x14ac:dyDescent="0.25">
      <c r="A90" s="279" t="str">
        <f>CONCATENATE("Unidad de Competencia N° 06 (UC6):
",Perfil_Egreso!A25)</f>
        <v xml:space="preserve">Unidad de Competencia N° 06 (UC6):
</v>
      </c>
      <c r="B90" s="279"/>
      <c r="C90" s="274"/>
      <c r="D90" s="275"/>
      <c r="E90" s="275"/>
      <c r="F90" s="276"/>
      <c r="G90" s="85">
        <f t="shared" si="2"/>
        <v>0</v>
      </c>
      <c r="H90" s="3">
        <v>1</v>
      </c>
      <c r="I90" s="3" t="str">
        <f t="shared" si="1"/>
        <v xml:space="preserve">1. </v>
      </c>
    </row>
    <row r="91" spans="1:9" s="4" customFormat="1" hidden="1" x14ac:dyDescent="0.25">
      <c r="A91" s="279"/>
      <c r="B91" s="279"/>
      <c r="C91" s="274"/>
      <c r="D91" s="275"/>
      <c r="E91" s="275"/>
      <c r="F91" s="276"/>
      <c r="G91" s="85">
        <f t="shared" si="2"/>
        <v>0</v>
      </c>
      <c r="H91" s="3">
        <v>2</v>
      </c>
      <c r="I91" s="3" t="str">
        <f t="shared" si="1"/>
        <v xml:space="preserve">2. </v>
      </c>
    </row>
    <row r="92" spans="1:9" s="4" customFormat="1" hidden="1" x14ac:dyDescent="0.25">
      <c r="A92" s="279"/>
      <c r="B92" s="279"/>
      <c r="C92" s="274"/>
      <c r="D92" s="275"/>
      <c r="E92" s="275"/>
      <c r="F92" s="276"/>
      <c r="G92" s="85">
        <f t="shared" si="2"/>
        <v>0</v>
      </c>
      <c r="H92" s="3">
        <v>3</v>
      </c>
      <c r="I92" s="3" t="str">
        <f t="shared" si="1"/>
        <v xml:space="preserve">3. </v>
      </c>
    </row>
    <row r="93" spans="1:9" s="4" customFormat="1" hidden="1" x14ac:dyDescent="0.25">
      <c r="A93" s="279"/>
      <c r="B93" s="279"/>
      <c r="C93" s="274"/>
      <c r="D93" s="275"/>
      <c r="E93" s="275"/>
      <c r="F93" s="276"/>
      <c r="G93" s="85">
        <f t="shared" si="2"/>
        <v>0</v>
      </c>
      <c r="H93" s="3">
        <v>4</v>
      </c>
      <c r="I93" s="3" t="str">
        <f t="shared" si="1"/>
        <v xml:space="preserve">4. </v>
      </c>
    </row>
    <row r="94" spans="1:9" s="4" customFormat="1" hidden="1" x14ac:dyDescent="0.25">
      <c r="A94" s="279"/>
      <c r="B94" s="279"/>
      <c r="C94" s="274"/>
      <c r="D94" s="275"/>
      <c r="E94" s="275"/>
      <c r="F94" s="276"/>
      <c r="G94" s="85">
        <f t="shared" si="2"/>
        <v>0</v>
      </c>
      <c r="H94" s="3">
        <v>5</v>
      </c>
      <c r="I94" s="3" t="str">
        <f t="shared" si="1"/>
        <v xml:space="preserve">5. </v>
      </c>
    </row>
    <row r="95" spans="1:9" s="4" customFormat="1" hidden="1" x14ac:dyDescent="0.25">
      <c r="A95" s="279"/>
      <c r="B95" s="279"/>
      <c r="C95" s="274"/>
      <c r="D95" s="275"/>
      <c r="E95" s="275"/>
      <c r="F95" s="276"/>
      <c r="G95" s="85">
        <f t="shared" si="2"/>
        <v>0</v>
      </c>
      <c r="H95" s="3">
        <v>6</v>
      </c>
      <c r="I95" s="3" t="str">
        <f t="shared" si="1"/>
        <v xml:space="preserve">6. </v>
      </c>
    </row>
    <row r="96" spans="1:9" s="4" customFormat="1" hidden="1" x14ac:dyDescent="0.25">
      <c r="A96" s="279"/>
      <c r="B96" s="279"/>
      <c r="C96" s="274"/>
      <c r="D96" s="275"/>
      <c r="E96" s="275"/>
      <c r="F96" s="276"/>
      <c r="G96" s="85">
        <f t="shared" si="2"/>
        <v>0</v>
      </c>
      <c r="H96" s="3">
        <v>7</v>
      </c>
      <c r="I96" s="3" t="str">
        <f t="shared" si="1"/>
        <v xml:space="preserve">7. </v>
      </c>
    </row>
    <row r="97" spans="1:9" s="4" customFormat="1" hidden="1" x14ac:dyDescent="0.25">
      <c r="A97" s="279"/>
      <c r="B97" s="279"/>
      <c r="C97" s="274"/>
      <c r="D97" s="275"/>
      <c r="E97" s="275"/>
      <c r="F97" s="276"/>
      <c r="G97" s="85">
        <f t="shared" si="2"/>
        <v>0</v>
      </c>
      <c r="H97" s="3">
        <v>8</v>
      </c>
      <c r="I97" s="3" t="str">
        <f t="shared" si="1"/>
        <v xml:space="preserve">8. </v>
      </c>
    </row>
    <row r="98" spans="1:9" s="4" customFormat="1" hidden="1" x14ac:dyDescent="0.25">
      <c r="A98" s="279"/>
      <c r="B98" s="279"/>
      <c r="C98" s="274"/>
      <c r="D98" s="275"/>
      <c r="E98" s="275"/>
      <c r="F98" s="276"/>
      <c r="G98" s="85">
        <f t="shared" si="2"/>
        <v>0</v>
      </c>
      <c r="H98" s="3">
        <v>9</v>
      </c>
      <c r="I98" s="3" t="str">
        <f t="shared" si="1"/>
        <v xml:space="preserve">9. </v>
      </c>
    </row>
    <row r="99" spans="1:9" s="4" customFormat="1" hidden="1" x14ac:dyDescent="0.25">
      <c r="A99" s="279"/>
      <c r="B99" s="279"/>
      <c r="C99" s="274"/>
      <c r="D99" s="275"/>
      <c r="E99" s="275"/>
      <c r="F99" s="276"/>
      <c r="G99" s="85">
        <f t="shared" si="2"/>
        <v>0</v>
      </c>
      <c r="H99" s="3">
        <v>10</v>
      </c>
      <c r="I99" s="3" t="str">
        <f t="shared" si="1"/>
        <v xml:space="preserve">10. </v>
      </c>
    </row>
    <row r="100" spans="1:9" s="4" customFormat="1" hidden="1" x14ac:dyDescent="0.25">
      <c r="A100" s="279"/>
      <c r="B100" s="279"/>
      <c r="C100" s="274"/>
      <c r="D100" s="275"/>
      <c r="E100" s="275"/>
      <c r="F100" s="276"/>
      <c r="G100" s="85">
        <f t="shared" si="2"/>
        <v>0</v>
      </c>
      <c r="H100" s="3">
        <v>11</v>
      </c>
      <c r="I100" s="3" t="str">
        <f t="shared" si="1"/>
        <v xml:space="preserve">11. </v>
      </c>
    </row>
    <row r="101" spans="1:9" s="4" customFormat="1" hidden="1" x14ac:dyDescent="0.25">
      <c r="A101" s="279"/>
      <c r="B101" s="279"/>
      <c r="C101" s="274"/>
      <c r="D101" s="275"/>
      <c r="E101" s="275"/>
      <c r="F101" s="276"/>
      <c r="G101" s="85">
        <f t="shared" si="2"/>
        <v>0</v>
      </c>
      <c r="H101" s="3">
        <v>12</v>
      </c>
      <c r="I101" s="3" t="str">
        <f t="shared" si="1"/>
        <v xml:space="preserve">12. </v>
      </c>
    </row>
    <row r="102" spans="1:9" s="4" customFormat="1" hidden="1" x14ac:dyDescent="0.25">
      <c r="A102" s="279"/>
      <c r="B102" s="279"/>
      <c r="C102" s="274"/>
      <c r="D102" s="275"/>
      <c r="E102" s="275"/>
      <c r="F102" s="276"/>
      <c r="G102" s="85">
        <f t="shared" si="2"/>
        <v>0</v>
      </c>
      <c r="H102" s="3">
        <v>13</v>
      </c>
      <c r="I102" s="3" t="str">
        <f t="shared" si="1"/>
        <v xml:space="preserve">13. </v>
      </c>
    </row>
    <row r="103" spans="1:9" s="4" customFormat="1" hidden="1" x14ac:dyDescent="0.25">
      <c r="A103" s="279"/>
      <c r="B103" s="279"/>
      <c r="C103" s="274"/>
      <c r="D103" s="275"/>
      <c r="E103" s="275"/>
      <c r="F103" s="276"/>
      <c r="G103" s="85">
        <f t="shared" si="2"/>
        <v>0</v>
      </c>
      <c r="H103" s="3">
        <v>14</v>
      </c>
      <c r="I103" s="3" t="str">
        <f t="shared" si="1"/>
        <v xml:space="preserve">14. </v>
      </c>
    </row>
    <row r="104" spans="1:9" s="4" customFormat="1" hidden="1" x14ac:dyDescent="0.25">
      <c r="A104" s="279"/>
      <c r="B104" s="279"/>
      <c r="C104" s="274"/>
      <c r="D104" s="275"/>
      <c r="E104" s="275"/>
      <c r="F104" s="276"/>
      <c r="G104" s="85">
        <f t="shared" si="2"/>
        <v>0</v>
      </c>
      <c r="H104" s="3">
        <v>15</v>
      </c>
      <c r="I104" s="3" t="str">
        <f t="shared" si="1"/>
        <v xml:space="preserve">15. </v>
      </c>
    </row>
    <row r="105" spans="1:9" s="4" customFormat="1" hidden="1" x14ac:dyDescent="0.25">
      <c r="A105" s="279" t="str">
        <f>CONCATENATE("Unidad de Competencia N° 07 (UC7):
",Perfil_Egreso!A26)</f>
        <v xml:space="preserve">Unidad de Competencia N° 07 (UC7):
</v>
      </c>
      <c r="B105" s="279"/>
      <c r="C105" s="274"/>
      <c r="D105" s="275"/>
      <c r="E105" s="275"/>
      <c r="F105" s="276"/>
      <c r="G105" s="85">
        <f t="shared" si="2"/>
        <v>0</v>
      </c>
      <c r="H105" s="3">
        <v>1</v>
      </c>
      <c r="I105" s="3" t="str">
        <f t="shared" si="1"/>
        <v xml:space="preserve">1. </v>
      </c>
    </row>
    <row r="106" spans="1:9" s="4" customFormat="1" hidden="1" x14ac:dyDescent="0.25">
      <c r="A106" s="279"/>
      <c r="B106" s="279"/>
      <c r="C106" s="274"/>
      <c r="D106" s="275"/>
      <c r="E106" s="275"/>
      <c r="F106" s="276"/>
      <c r="G106" s="85">
        <f t="shared" si="2"/>
        <v>0</v>
      </c>
      <c r="H106" s="3">
        <v>2</v>
      </c>
      <c r="I106" s="3" t="str">
        <f t="shared" si="1"/>
        <v xml:space="preserve">2. </v>
      </c>
    </row>
    <row r="107" spans="1:9" s="4" customFormat="1" hidden="1" x14ac:dyDescent="0.25">
      <c r="A107" s="279"/>
      <c r="B107" s="279"/>
      <c r="C107" s="274"/>
      <c r="D107" s="275"/>
      <c r="E107" s="275"/>
      <c r="F107" s="276"/>
      <c r="G107" s="85">
        <f t="shared" si="2"/>
        <v>0</v>
      </c>
      <c r="H107" s="3">
        <v>3</v>
      </c>
      <c r="I107" s="3" t="str">
        <f t="shared" si="1"/>
        <v xml:space="preserve">3. </v>
      </c>
    </row>
    <row r="108" spans="1:9" s="4" customFormat="1" hidden="1" x14ac:dyDescent="0.25">
      <c r="A108" s="279"/>
      <c r="B108" s="279"/>
      <c r="C108" s="274"/>
      <c r="D108" s="275"/>
      <c r="E108" s="275"/>
      <c r="F108" s="276"/>
      <c r="G108" s="85">
        <f t="shared" si="2"/>
        <v>0</v>
      </c>
      <c r="H108" s="3">
        <v>4</v>
      </c>
      <c r="I108" s="3" t="str">
        <f t="shared" si="1"/>
        <v xml:space="preserve">4. </v>
      </c>
    </row>
    <row r="109" spans="1:9" s="4" customFormat="1" hidden="1" x14ac:dyDescent="0.25">
      <c r="A109" s="279"/>
      <c r="B109" s="279"/>
      <c r="C109" s="274"/>
      <c r="D109" s="275"/>
      <c r="E109" s="275"/>
      <c r="F109" s="276"/>
      <c r="G109" s="85">
        <f t="shared" si="2"/>
        <v>0</v>
      </c>
      <c r="H109" s="3">
        <v>5</v>
      </c>
      <c r="I109" s="3" t="str">
        <f t="shared" si="1"/>
        <v xml:space="preserve">5. </v>
      </c>
    </row>
    <row r="110" spans="1:9" s="4" customFormat="1" hidden="1" x14ac:dyDescent="0.25">
      <c r="A110" s="279"/>
      <c r="B110" s="279"/>
      <c r="C110" s="274"/>
      <c r="D110" s="275"/>
      <c r="E110" s="275"/>
      <c r="F110" s="276"/>
      <c r="G110" s="85">
        <f t="shared" si="2"/>
        <v>0</v>
      </c>
      <c r="H110" s="3">
        <v>6</v>
      </c>
      <c r="I110" s="3" t="str">
        <f t="shared" ref="I110:I186" si="3">CONCATENATE(H110,". ",C110)</f>
        <v xml:space="preserve">6. </v>
      </c>
    </row>
    <row r="111" spans="1:9" s="4" customFormat="1" hidden="1" x14ac:dyDescent="0.25">
      <c r="A111" s="279"/>
      <c r="B111" s="279"/>
      <c r="C111" s="274"/>
      <c r="D111" s="275"/>
      <c r="E111" s="275"/>
      <c r="F111" s="276"/>
      <c r="G111" s="85">
        <f t="shared" si="2"/>
        <v>0</v>
      </c>
      <c r="H111" s="3">
        <v>7</v>
      </c>
      <c r="I111" s="3" t="str">
        <f t="shared" si="3"/>
        <v xml:space="preserve">7. </v>
      </c>
    </row>
    <row r="112" spans="1:9" s="4" customFormat="1" hidden="1" x14ac:dyDescent="0.25">
      <c r="A112" s="279"/>
      <c r="B112" s="279"/>
      <c r="C112" s="274"/>
      <c r="D112" s="275"/>
      <c r="E112" s="275"/>
      <c r="F112" s="276"/>
      <c r="G112" s="85">
        <f t="shared" si="2"/>
        <v>0</v>
      </c>
      <c r="H112" s="3">
        <v>8</v>
      </c>
      <c r="I112" s="3" t="str">
        <f t="shared" si="3"/>
        <v xml:space="preserve">8. </v>
      </c>
    </row>
    <row r="113" spans="1:9" s="4" customFormat="1" hidden="1" x14ac:dyDescent="0.25">
      <c r="A113" s="279"/>
      <c r="B113" s="279"/>
      <c r="C113" s="274"/>
      <c r="D113" s="275"/>
      <c r="E113" s="275"/>
      <c r="F113" s="276"/>
      <c r="G113" s="85">
        <f t="shared" si="2"/>
        <v>0</v>
      </c>
      <c r="H113" s="3">
        <v>9</v>
      </c>
      <c r="I113" s="3" t="str">
        <f t="shared" si="3"/>
        <v xml:space="preserve">9. </v>
      </c>
    </row>
    <row r="114" spans="1:9" s="4" customFormat="1" hidden="1" x14ac:dyDescent="0.25">
      <c r="A114" s="279"/>
      <c r="B114" s="279"/>
      <c r="C114" s="274"/>
      <c r="D114" s="275"/>
      <c r="E114" s="275"/>
      <c r="F114" s="276"/>
      <c r="G114" s="85">
        <f t="shared" si="2"/>
        <v>0</v>
      </c>
      <c r="H114" s="3">
        <v>10</v>
      </c>
      <c r="I114" s="3" t="str">
        <f t="shared" si="3"/>
        <v xml:space="preserve">10. </v>
      </c>
    </row>
    <row r="115" spans="1:9" s="4" customFormat="1" hidden="1" x14ac:dyDescent="0.25">
      <c r="A115" s="279"/>
      <c r="B115" s="279"/>
      <c r="C115" s="274"/>
      <c r="D115" s="275"/>
      <c r="E115" s="275"/>
      <c r="F115" s="276"/>
      <c r="G115" s="85">
        <f t="shared" si="2"/>
        <v>0</v>
      </c>
      <c r="H115" s="3">
        <v>11</v>
      </c>
      <c r="I115" s="3" t="str">
        <f t="shared" si="3"/>
        <v xml:space="preserve">11. </v>
      </c>
    </row>
    <row r="116" spans="1:9" s="4" customFormat="1" hidden="1" x14ac:dyDescent="0.25">
      <c r="A116" s="279"/>
      <c r="B116" s="279"/>
      <c r="C116" s="274"/>
      <c r="D116" s="275"/>
      <c r="E116" s="275"/>
      <c r="F116" s="276"/>
      <c r="G116" s="85">
        <f t="shared" si="2"/>
        <v>0</v>
      </c>
      <c r="H116" s="3">
        <v>12</v>
      </c>
      <c r="I116" s="3" t="str">
        <f t="shared" si="3"/>
        <v xml:space="preserve">12. </v>
      </c>
    </row>
    <row r="117" spans="1:9" s="4" customFormat="1" hidden="1" x14ac:dyDescent="0.25">
      <c r="A117" s="279"/>
      <c r="B117" s="279"/>
      <c r="C117" s="274"/>
      <c r="D117" s="275"/>
      <c r="E117" s="275"/>
      <c r="F117" s="276"/>
      <c r="G117" s="85">
        <f t="shared" si="2"/>
        <v>0</v>
      </c>
      <c r="H117" s="3">
        <v>13</v>
      </c>
      <c r="I117" s="3" t="str">
        <f t="shared" si="3"/>
        <v xml:space="preserve">13. </v>
      </c>
    </row>
    <row r="118" spans="1:9" s="4" customFormat="1" hidden="1" x14ac:dyDescent="0.25">
      <c r="A118" s="279"/>
      <c r="B118" s="279"/>
      <c r="C118" s="274"/>
      <c r="D118" s="275"/>
      <c r="E118" s="275"/>
      <c r="F118" s="276"/>
      <c r="G118" s="85">
        <f t="shared" si="2"/>
        <v>0</v>
      </c>
      <c r="H118" s="3">
        <v>14</v>
      </c>
      <c r="I118" s="3" t="str">
        <f t="shared" si="3"/>
        <v xml:space="preserve">14. </v>
      </c>
    </row>
    <row r="119" spans="1:9" s="4" customFormat="1" hidden="1" x14ac:dyDescent="0.25">
      <c r="A119" s="279"/>
      <c r="B119" s="279"/>
      <c r="C119" s="274"/>
      <c r="D119" s="275"/>
      <c r="E119" s="275"/>
      <c r="F119" s="276"/>
      <c r="G119" s="85">
        <f t="shared" si="2"/>
        <v>0</v>
      </c>
      <c r="H119" s="3">
        <v>15</v>
      </c>
      <c r="I119" s="3" t="str">
        <f t="shared" si="3"/>
        <v xml:space="preserve">15. </v>
      </c>
    </row>
    <row r="120" spans="1:9" s="4" customFormat="1" hidden="1" x14ac:dyDescent="0.25">
      <c r="A120" s="279" t="str">
        <f>CONCATENATE("Unidad de Competencia N° 08 (UC8):
",Perfil_Egreso!A27)</f>
        <v xml:space="preserve">Unidad de Competencia N° 08 (UC8):
</v>
      </c>
      <c r="B120" s="279"/>
      <c r="C120" s="274"/>
      <c r="D120" s="275"/>
      <c r="E120" s="275"/>
      <c r="F120" s="276"/>
      <c r="G120" s="85">
        <f t="shared" si="2"/>
        <v>0</v>
      </c>
      <c r="H120" s="3">
        <v>1</v>
      </c>
      <c r="I120" s="3" t="str">
        <f t="shared" si="3"/>
        <v xml:space="preserve">1. </v>
      </c>
    </row>
    <row r="121" spans="1:9" s="4" customFormat="1" hidden="1" x14ac:dyDescent="0.25">
      <c r="A121" s="279"/>
      <c r="B121" s="279"/>
      <c r="C121" s="274"/>
      <c r="D121" s="275"/>
      <c r="E121" s="275"/>
      <c r="F121" s="276"/>
      <c r="G121" s="85">
        <f t="shared" si="2"/>
        <v>0</v>
      </c>
      <c r="H121" s="3">
        <v>2</v>
      </c>
      <c r="I121" s="3" t="str">
        <f t="shared" si="3"/>
        <v xml:space="preserve">2. </v>
      </c>
    </row>
    <row r="122" spans="1:9" s="4" customFormat="1" hidden="1" x14ac:dyDescent="0.25">
      <c r="A122" s="279"/>
      <c r="B122" s="279"/>
      <c r="C122" s="274"/>
      <c r="D122" s="275"/>
      <c r="E122" s="275"/>
      <c r="F122" s="276"/>
      <c r="G122" s="85">
        <f t="shared" si="2"/>
        <v>0</v>
      </c>
      <c r="H122" s="3">
        <v>3</v>
      </c>
      <c r="I122" s="3" t="str">
        <f t="shared" si="3"/>
        <v xml:space="preserve">3. </v>
      </c>
    </row>
    <row r="123" spans="1:9" s="4" customFormat="1" hidden="1" x14ac:dyDescent="0.25">
      <c r="A123" s="279"/>
      <c r="B123" s="279"/>
      <c r="C123" s="274"/>
      <c r="D123" s="275"/>
      <c r="E123" s="275"/>
      <c r="F123" s="276"/>
      <c r="G123" s="85">
        <f t="shared" si="2"/>
        <v>0</v>
      </c>
      <c r="H123" s="3">
        <v>4</v>
      </c>
      <c r="I123" s="3" t="str">
        <f t="shared" si="3"/>
        <v xml:space="preserve">4. </v>
      </c>
    </row>
    <row r="124" spans="1:9" s="4" customFormat="1" hidden="1" x14ac:dyDescent="0.25">
      <c r="A124" s="279"/>
      <c r="B124" s="279"/>
      <c r="C124" s="274"/>
      <c r="D124" s="275"/>
      <c r="E124" s="275"/>
      <c r="F124" s="276"/>
      <c r="G124" s="85">
        <f t="shared" si="2"/>
        <v>0</v>
      </c>
      <c r="H124" s="3">
        <v>5</v>
      </c>
      <c r="I124" s="3" t="str">
        <f t="shared" si="3"/>
        <v xml:space="preserve">5. </v>
      </c>
    </row>
    <row r="125" spans="1:9" s="4" customFormat="1" hidden="1" x14ac:dyDescent="0.25">
      <c r="A125" s="279"/>
      <c r="B125" s="279"/>
      <c r="C125" s="274"/>
      <c r="D125" s="275"/>
      <c r="E125" s="275"/>
      <c r="F125" s="276"/>
      <c r="G125" s="85">
        <f t="shared" si="2"/>
        <v>0</v>
      </c>
      <c r="H125" s="3">
        <v>6</v>
      </c>
      <c r="I125" s="3" t="str">
        <f t="shared" si="3"/>
        <v xml:space="preserve">6. </v>
      </c>
    </row>
    <row r="126" spans="1:9" s="4" customFormat="1" hidden="1" x14ac:dyDescent="0.25">
      <c r="A126" s="279"/>
      <c r="B126" s="279"/>
      <c r="C126" s="274"/>
      <c r="D126" s="275"/>
      <c r="E126" s="275"/>
      <c r="F126" s="276"/>
      <c r="G126" s="85">
        <f t="shared" si="2"/>
        <v>0</v>
      </c>
      <c r="H126" s="3">
        <v>7</v>
      </c>
      <c r="I126" s="3" t="str">
        <f t="shared" si="3"/>
        <v xml:space="preserve">7. </v>
      </c>
    </row>
    <row r="127" spans="1:9" s="4" customFormat="1" hidden="1" x14ac:dyDescent="0.25">
      <c r="A127" s="279"/>
      <c r="B127" s="279"/>
      <c r="C127" s="274"/>
      <c r="D127" s="275"/>
      <c r="E127" s="275"/>
      <c r="F127" s="276"/>
      <c r="G127" s="85">
        <f t="shared" si="2"/>
        <v>0</v>
      </c>
      <c r="H127" s="3">
        <v>8</v>
      </c>
      <c r="I127" s="3" t="str">
        <f t="shared" si="3"/>
        <v xml:space="preserve">8. </v>
      </c>
    </row>
    <row r="128" spans="1:9" s="4" customFormat="1" hidden="1" x14ac:dyDescent="0.25">
      <c r="A128" s="279"/>
      <c r="B128" s="279"/>
      <c r="C128" s="274"/>
      <c r="D128" s="275"/>
      <c r="E128" s="275"/>
      <c r="F128" s="276"/>
      <c r="G128" s="85">
        <f t="shared" si="2"/>
        <v>0</v>
      </c>
      <c r="H128" s="3">
        <v>9</v>
      </c>
      <c r="I128" s="3" t="str">
        <f t="shared" si="3"/>
        <v xml:space="preserve">9. </v>
      </c>
    </row>
    <row r="129" spans="1:9" s="4" customFormat="1" hidden="1" x14ac:dyDescent="0.25">
      <c r="A129" s="279"/>
      <c r="B129" s="279"/>
      <c r="C129" s="274"/>
      <c r="D129" s="275"/>
      <c r="E129" s="275"/>
      <c r="F129" s="276"/>
      <c r="G129" s="85">
        <f t="shared" si="2"/>
        <v>0</v>
      </c>
      <c r="H129" s="3">
        <v>10</v>
      </c>
      <c r="I129" s="3" t="str">
        <f t="shared" si="3"/>
        <v xml:space="preserve">10. </v>
      </c>
    </row>
    <row r="130" spans="1:9" s="4" customFormat="1" hidden="1" x14ac:dyDescent="0.25">
      <c r="A130" s="279"/>
      <c r="B130" s="279"/>
      <c r="C130" s="274"/>
      <c r="D130" s="275"/>
      <c r="E130" s="275"/>
      <c r="F130" s="276"/>
      <c r="G130" s="85">
        <f t="shared" si="2"/>
        <v>0</v>
      </c>
      <c r="H130" s="3">
        <v>11</v>
      </c>
      <c r="I130" s="3" t="str">
        <f t="shared" si="3"/>
        <v xml:space="preserve">11. </v>
      </c>
    </row>
    <row r="131" spans="1:9" s="4" customFormat="1" hidden="1" x14ac:dyDescent="0.25">
      <c r="A131" s="279"/>
      <c r="B131" s="279"/>
      <c r="C131" s="274"/>
      <c r="D131" s="275"/>
      <c r="E131" s="275"/>
      <c r="F131" s="276"/>
      <c r="G131" s="85">
        <f t="shared" si="2"/>
        <v>0</v>
      </c>
      <c r="H131" s="3">
        <v>12</v>
      </c>
      <c r="I131" s="3" t="str">
        <f t="shared" si="3"/>
        <v xml:space="preserve">12. </v>
      </c>
    </row>
    <row r="132" spans="1:9" s="4" customFormat="1" hidden="1" x14ac:dyDescent="0.25">
      <c r="A132" s="279"/>
      <c r="B132" s="279"/>
      <c r="C132" s="274"/>
      <c r="D132" s="275"/>
      <c r="E132" s="275"/>
      <c r="F132" s="276"/>
      <c r="G132" s="85">
        <f t="shared" si="2"/>
        <v>0</v>
      </c>
      <c r="H132" s="3">
        <v>13</v>
      </c>
      <c r="I132" s="3" t="str">
        <f t="shared" si="3"/>
        <v xml:space="preserve">13. </v>
      </c>
    </row>
    <row r="133" spans="1:9" s="4" customFormat="1" hidden="1" x14ac:dyDescent="0.25">
      <c r="A133" s="279"/>
      <c r="B133" s="279"/>
      <c r="C133" s="274"/>
      <c r="D133" s="275"/>
      <c r="E133" s="275"/>
      <c r="F133" s="276"/>
      <c r="G133" s="85">
        <f t="shared" si="2"/>
        <v>0</v>
      </c>
      <c r="H133" s="3">
        <v>14</v>
      </c>
      <c r="I133" s="3" t="str">
        <f t="shared" si="3"/>
        <v xml:space="preserve">14. </v>
      </c>
    </row>
    <row r="134" spans="1:9" s="4" customFormat="1" hidden="1" x14ac:dyDescent="0.25">
      <c r="A134" s="279"/>
      <c r="B134" s="279"/>
      <c r="C134" s="274"/>
      <c r="D134" s="275"/>
      <c r="E134" s="275"/>
      <c r="F134" s="276"/>
      <c r="G134" s="85">
        <f t="shared" si="2"/>
        <v>0</v>
      </c>
      <c r="H134" s="3">
        <v>15</v>
      </c>
      <c r="I134" s="3" t="str">
        <f t="shared" si="3"/>
        <v xml:space="preserve">15. </v>
      </c>
    </row>
    <row r="135" spans="1:9" ht="22.5" hidden="1" customHeight="1" x14ac:dyDescent="0.25">
      <c r="A135" s="277" t="s">
        <v>5</v>
      </c>
      <c r="B135" s="277"/>
      <c r="C135" s="277"/>
      <c r="D135" s="277"/>
      <c r="E135" s="277"/>
      <c r="F135" s="277"/>
      <c r="G135" s="85" t="str">
        <f>A135</f>
        <v>COMPETENCIAS PARA LA EMPLEABILIDAD</v>
      </c>
    </row>
    <row r="136" spans="1:9" ht="0.75" hidden="1" customHeight="1" x14ac:dyDescent="0.25">
      <c r="A136" s="286" t="s">
        <v>37</v>
      </c>
      <c r="B136" s="286"/>
      <c r="C136" s="278" t="s">
        <v>10</v>
      </c>
      <c r="D136" s="278"/>
      <c r="E136" s="278"/>
      <c r="F136" s="278"/>
      <c r="G136" s="85" t="str">
        <f>C136</f>
        <v>INDICADORES DE LOGRO DE LA COMPETENCIA</v>
      </c>
    </row>
    <row r="137" spans="1:9" ht="30" customHeight="1" x14ac:dyDescent="0.25">
      <c r="A137" s="279" t="str">
        <f>CONCATENATE("Competencia para la empleabilidad N° 01 (CE1):
",Perfil_Egreso!A29)</f>
        <v>Competencia para la empleabilidad N° 01 (CE1):
CE1 Comunicación efectiva.- Expresar  de manera clara los conceptos, ideas, sentimientos, hechos y opiniones en forma oral y escrita para comunicarse e interactuar con otras personas en contextos sociales y laborales diversos. (UD)</v>
      </c>
      <c r="B137" s="279"/>
      <c r="C137" s="274" t="s">
        <v>252</v>
      </c>
      <c r="D137" s="275"/>
      <c r="E137" s="275"/>
      <c r="F137" s="276"/>
      <c r="G137" s="85" t="str">
        <f t="shared" ref="G137:G186" si="4">C137</f>
        <v>1. Utiliza estrategias de escucha activa y asertiva en contextos sociales y laborales, sin estereotipos de género u otros.</v>
      </c>
      <c r="H137" s="3">
        <v>1</v>
      </c>
      <c r="I137" s="3" t="str">
        <f t="shared" si="3"/>
        <v>1. 1. Utiliza estrategias de escucha activa y asertiva en contextos sociales y laborales, sin estereotipos de género u otros.</v>
      </c>
    </row>
    <row r="138" spans="1:9" ht="30" customHeight="1" x14ac:dyDescent="0.25">
      <c r="A138" s="279"/>
      <c r="B138" s="279"/>
      <c r="C138" s="274" t="s">
        <v>253</v>
      </c>
      <c r="D138" s="275"/>
      <c r="E138" s="275"/>
      <c r="F138" s="276"/>
      <c r="G138" s="85" t="str">
        <f t="shared" si="4"/>
        <v>2. Organiza información de manera oral y escrita en contextos sociales y laborales, de manera objetiva y empática.</v>
      </c>
      <c r="H138" s="3">
        <v>2</v>
      </c>
      <c r="I138" s="3" t="str">
        <f t="shared" si="3"/>
        <v>2. 2. Organiza información de manera oral y escrita en contextos sociales y laborales, de manera objetiva y empática.</v>
      </c>
    </row>
    <row r="139" spans="1:9" ht="37.5" customHeight="1" x14ac:dyDescent="0.25">
      <c r="A139" s="279"/>
      <c r="B139" s="279"/>
      <c r="C139" s="274" t="s">
        <v>254</v>
      </c>
      <c r="D139" s="275"/>
      <c r="E139" s="275"/>
      <c r="F139" s="276"/>
      <c r="G139" s="85" t="str">
        <f t="shared" si="4"/>
        <v xml:space="preserve">3.- Expresa de manera clara conceptos, ideas, sentimientos y hechos en forma oral y escrita a través de distintos medios, incluyendo los medios virtuales, utilizando el lenguaje de acuerdo a los contextos sociales y laborales, sin estereotipos de género u otro. </v>
      </c>
      <c r="H139" s="3">
        <v>3</v>
      </c>
      <c r="I139" s="3" t="str">
        <f t="shared" si="3"/>
        <v xml:space="preserve">3. 3.- Expresa de manera clara conceptos, ideas, sentimientos y hechos en forma oral y escrita a través de distintos medios, incluyendo los medios virtuales, utilizando el lenguaje de acuerdo a los contextos sociales y laborales, sin estereotipos de género u otro. </v>
      </c>
    </row>
    <row r="140" spans="1:9" ht="15" hidden="1" customHeight="1" x14ac:dyDescent="0.25">
      <c r="A140" s="279"/>
      <c r="B140" s="279"/>
      <c r="C140" s="274"/>
      <c r="D140" s="275"/>
      <c r="E140" s="275"/>
      <c r="F140" s="276"/>
      <c r="G140" s="85">
        <f t="shared" si="4"/>
        <v>0</v>
      </c>
      <c r="H140" s="3">
        <v>4</v>
      </c>
      <c r="I140" s="3" t="str">
        <f t="shared" si="3"/>
        <v xml:space="preserve">4. </v>
      </c>
    </row>
    <row r="141" spans="1:9" ht="6.75" hidden="1" customHeight="1" x14ac:dyDescent="0.25">
      <c r="A141" s="279"/>
      <c r="B141" s="279"/>
      <c r="C141" s="274"/>
      <c r="D141" s="275"/>
      <c r="E141" s="275"/>
      <c r="F141" s="276"/>
      <c r="G141" s="85">
        <f t="shared" si="4"/>
        <v>0</v>
      </c>
      <c r="H141" s="3">
        <v>5</v>
      </c>
      <c r="I141" s="3" t="str">
        <f t="shared" si="3"/>
        <v xml:space="preserve">5. </v>
      </c>
    </row>
    <row r="142" spans="1:9" ht="25.5" customHeight="1" x14ac:dyDescent="0.25">
      <c r="A142" s="279" t="str">
        <f>CONCATENATE("Competencia para la empleabilidad N° 02 (CE2):
",Perfil_Egreso!A30)</f>
        <v>Competencia para la empleabilidad N° 02 (CE2):
CE2 Tecnologías de la información.- Manejar herramientas informáticas  de las TIC para buscar y analizar información, comunicarse y realizar procedimientos o tareas vinculadas al área profesional, de acuerdo a los requerimientos de su entorno laboral.(UD)</v>
      </c>
      <c r="B142" s="279"/>
      <c r="C142" s="274" t="s">
        <v>255</v>
      </c>
      <c r="D142" s="275"/>
      <c r="E142" s="275"/>
      <c r="F142" s="276"/>
      <c r="G142" s="85" t="str">
        <f t="shared" si="4"/>
        <v xml:space="preserve">1. Utiliza herramientas de ofimática y especializadas para responder a los requerimientos del entorno laboral, de manera ética, eficiente y responsable. </v>
      </c>
      <c r="H142" s="3">
        <v>1</v>
      </c>
      <c r="I142" s="3" t="str">
        <f t="shared" si="3"/>
        <v xml:space="preserve">1. 1. Utiliza herramientas de ofimática y especializadas para responder a los requerimientos del entorno laboral, de manera ética, eficiente y responsable. </v>
      </c>
    </row>
    <row r="143" spans="1:9" ht="15" customHeight="1" x14ac:dyDescent="0.25">
      <c r="A143" s="279"/>
      <c r="B143" s="279"/>
      <c r="C143" s="274" t="s">
        <v>256</v>
      </c>
      <c r="D143" s="275"/>
      <c r="E143" s="275"/>
      <c r="F143" s="276"/>
      <c r="G143" s="85" t="str">
        <f t="shared" si="4"/>
        <v xml:space="preserve">2.- Evalúa la información de la red, considerando su calidad, fiabilidad y pertinencia. </v>
      </c>
      <c r="H143" s="3">
        <v>2</v>
      </c>
      <c r="I143" s="3" t="str">
        <f t="shared" si="3"/>
        <v xml:space="preserve">2. 2.- Evalúa la información de la red, considerando su calidad, fiabilidad y pertinencia. </v>
      </c>
    </row>
    <row r="144" spans="1:9" ht="24.75" customHeight="1" x14ac:dyDescent="0.25">
      <c r="A144" s="279"/>
      <c r="B144" s="279"/>
      <c r="C144" s="274" t="s">
        <v>257</v>
      </c>
      <c r="D144" s="275"/>
      <c r="E144" s="275"/>
      <c r="F144" s="276"/>
      <c r="G144" s="85" t="str">
        <f t="shared" si="4"/>
        <v xml:space="preserve">3.- Contribuye al aprendizaje entre iguales en medios digitales respetando fuentes, de manera ética y responsable. </v>
      </c>
      <c r="H144" s="3">
        <v>3</v>
      </c>
      <c r="I144" s="3" t="str">
        <f t="shared" si="3"/>
        <v xml:space="preserve">3. 3.- Contribuye al aprendizaje entre iguales en medios digitales respetando fuentes, de manera ética y responsable. </v>
      </c>
    </row>
    <row r="145" spans="1:9" ht="15" hidden="1" customHeight="1" x14ac:dyDescent="0.25">
      <c r="A145" s="279"/>
      <c r="B145" s="279"/>
      <c r="C145" s="274"/>
      <c r="D145" s="275"/>
      <c r="E145" s="275"/>
      <c r="F145" s="276"/>
      <c r="G145" s="85">
        <f t="shared" si="4"/>
        <v>0</v>
      </c>
      <c r="H145" s="3">
        <v>4</v>
      </c>
      <c r="I145" s="3" t="str">
        <f t="shared" si="3"/>
        <v xml:space="preserve">4. </v>
      </c>
    </row>
    <row r="146" spans="1:9" ht="15" hidden="1" customHeight="1" x14ac:dyDescent="0.25">
      <c r="A146" s="279"/>
      <c r="B146" s="279"/>
      <c r="C146" s="274"/>
      <c r="D146" s="275"/>
      <c r="E146" s="275"/>
      <c r="F146" s="276"/>
      <c r="G146" s="85">
        <f t="shared" si="4"/>
        <v>0</v>
      </c>
      <c r="H146" s="3">
        <v>5</v>
      </c>
      <c r="I146" s="3" t="str">
        <f t="shared" si="3"/>
        <v xml:space="preserve">5. </v>
      </c>
    </row>
    <row r="147" spans="1:9" ht="54.75" customHeight="1" x14ac:dyDescent="0.25">
      <c r="A147" s="279" t="str">
        <f>CONCATENATE("Competencia para la empleabilidad N° 03 (CE3):
",Perfil_Egreso!A31)</f>
        <v>Competencia para la empleabilidad N° 03 (CE3):
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47" s="279"/>
      <c r="C147" s="274" t="s">
        <v>258</v>
      </c>
      <c r="D147" s="275"/>
      <c r="E147" s="275"/>
      <c r="F147" s="276"/>
      <c r="G147" s="85" t="str">
        <f t="shared" si="4"/>
        <v xml:space="preserve">1.- Identifica las oportunidades que generen ideas de proyectos o negocios nuevos, mejoras en procesos, productos o servicios ya existentes, de manera ética, utilizando, utilizando metodologías que promuevan la creatividad e innovación. </v>
      </c>
      <c r="H147" s="3">
        <v>1</v>
      </c>
      <c r="I147" s="3" t="str">
        <f t="shared" si="3"/>
        <v xml:space="preserve">1. 1.- Identifica las oportunidades que generen ideas de proyectos o negocios nuevos, mejoras en procesos, productos o servicios ya existentes, de manera ética, utilizando, utilizando metodologías que promuevan la creatividad e innovación. </v>
      </c>
    </row>
    <row r="148" spans="1:9" ht="48.75" customHeight="1" x14ac:dyDescent="0.25">
      <c r="A148" s="279"/>
      <c r="B148" s="279"/>
      <c r="C148" s="274" t="s">
        <v>259</v>
      </c>
      <c r="D148" s="275"/>
      <c r="E148" s="275"/>
      <c r="F148" s="276"/>
      <c r="G148" s="85" t="str">
        <f t="shared" si="4"/>
        <v xml:space="preserve">2.- Propone el plan de acción del emprendimiento, asumiendo su rol de liderazgo y tomando en cuenta principios éticos, obligaciones tributarias y contables, normas establecidas para la protección de la propiedad. </v>
      </c>
      <c r="H148" s="3">
        <v>2</v>
      </c>
      <c r="I148" s="3" t="str">
        <f t="shared" si="3"/>
        <v xml:space="preserve">2. 2.- Propone el plan de acción del emprendimiento, asumiendo su rol de liderazgo y tomando en cuenta principios éticos, obligaciones tributarias y contables, normas establecidas para la protección de la propiedad. </v>
      </c>
    </row>
    <row r="149" spans="1:9" ht="37.5" customHeight="1" x14ac:dyDescent="0.25">
      <c r="A149" s="279"/>
      <c r="B149" s="279"/>
      <c r="C149" s="274" t="s">
        <v>260</v>
      </c>
      <c r="D149" s="275"/>
      <c r="E149" s="275"/>
      <c r="F149" s="276"/>
      <c r="G149" s="85" t="str">
        <f t="shared" si="4"/>
        <v xml:space="preserve">3.- Diseña el monitoreo para el cumplimiento del plan de acción, utilizando diferentes metodologías para la mejora continua, recursos para la sostenibilidad y escalamiento de su emprendimiento. </v>
      </c>
      <c r="H149" s="3">
        <v>3</v>
      </c>
      <c r="I149" s="3" t="str">
        <f t="shared" si="3"/>
        <v xml:space="preserve">3. 3.- Diseña el monitoreo para el cumplimiento del plan de acción, utilizando diferentes metodologías para la mejora continua, recursos para la sostenibilidad y escalamiento de su emprendimiento. </v>
      </c>
    </row>
    <row r="150" spans="1:9" ht="15" hidden="1" customHeight="1" x14ac:dyDescent="0.25">
      <c r="A150" s="279"/>
      <c r="B150" s="279"/>
      <c r="C150" s="274"/>
      <c r="D150" s="275"/>
      <c r="E150" s="275"/>
      <c r="F150" s="276"/>
      <c r="G150" s="85">
        <f t="shared" si="4"/>
        <v>0</v>
      </c>
      <c r="H150" s="3">
        <v>4</v>
      </c>
      <c r="I150" s="3" t="str">
        <f t="shared" si="3"/>
        <v xml:space="preserve">4. </v>
      </c>
    </row>
    <row r="151" spans="1:9" ht="15" hidden="1" customHeight="1" x14ac:dyDescent="0.25">
      <c r="A151" s="279"/>
      <c r="B151" s="279"/>
      <c r="C151" s="274"/>
      <c r="D151" s="275"/>
      <c r="E151" s="275"/>
      <c r="F151" s="276"/>
      <c r="G151" s="85">
        <f t="shared" si="4"/>
        <v>0</v>
      </c>
      <c r="H151" s="3">
        <v>5</v>
      </c>
      <c r="I151" s="3" t="str">
        <f t="shared" si="3"/>
        <v xml:space="preserve">5. </v>
      </c>
    </row>
    <row r="152" spans="1:9" ht="44.25" customHeight="1" x14ac:dyDescent="0.25">
      <c r="A152" s="279" t="str">
        <f>CONCATENATE("Competencia para la empleabilidad N° 04 (CE4):
",Perfil_Egreso!A32)</f>
        <v xml:space="preserve">Competencia para la empleabilidad N° 04 (CE4):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52" s="279"/>
      <c r="C152" s="274" t="s">
        <v>261</v>
      </c>
      <c r="D152" s="275"/>
      <c r="E152" s="275"/>
      <c r="F152" s="276"/>
      <c r="G152" s="85" t="str">
        <f t="shared" si="4"/>
        <v xml:space="preserve">1.- Actúa con honestidad, honradez, integridad y ética en los múltiples roles que asume, fomentando una cultura transparente, orientada al bien común, en contextos sociales y laborales. </v>
      </c>
      <c r="H152" s="3">
        <v>1</v>
      </c>
      <c r="I152" s="3" t="str">
        <f t="shared" si="3"/>
        <v xml:space="preserve">1. 1.- Actúa con honestidad, honradez, integridad y ética en los múltiples roles que asume, fomentando una cultura transparente, orientada al bien común, en contextos sociales y laborales. </v>
      </c>
    </row>
    <row r="153" spans="1:9" ht="45.75" customHeight="1" x14ac:dyDescent="0.25">
      <c r="A153" s="279"/>
      <c r="B153" s="279"/>
      <c r="C153" s="274" t="s">
        <v>262</v>
      </c>
      <c r="D153" s="275"/>
      <c r="E153" s="275"/>
      <c r="F153" s="276"/>
      <c r="G153" s="85" t="str">
        <f t="shared" si="4"/>
        <v xml:space="preserve">2.- Contribuye al establecimiento de relaciones justas, basadas en el respeto de los derechos de la persona y cumplimiento de las obligaciones y de las normas que aseguren una convivencia democrática. </v>
      </c>
      <c r="H153" s="3">
        <v>2</v>
      </c>
      <c r="I153" s="3" t="str">
        <f t="shared" si="3"/>
        <v xml:space="preserve">2. 2.- Contribuye al establecimiento de relaciones justas, basadas en el respeto de los derechos de la persona y cumplimiento de las obligaciones y de las normas que aseguren una convivencia democrática. </v>
      </c>
    </row>
    <row r="154" spans="1:9" ht="38.25" customHeight="1" x14ac:dyDescent="0.25">
      <c r="A154" s="279"/>
      <c r="B154" s="279"/>
      <c r="C154" s="274" t="s">
        <v>263</v>
      </c>
      <c r="D154" s="275"/>
      <c r="E154" s="275"/>
      <c r="F154" s="276"/>
      <c r="G154" s="85" t="str">
        <f t="shared" si="4"/>
        <v xml:space="preserve">3.- Aplica los códigos de ética en su quehacer profesional de manera autónoma, con responsabilidad y haciendo uso eficiente de los recursos. </v>
      </c>
      <c r="H154" s="3">
        <v>3</v>
      </c>
      <c r="I154" s="3" t="str">
        <f t="shared" si="3"/>
        <v xml:space="preserve">3. 3.- Aplica los códigos de ética en su quehacer profesional de manera autónoma, con responsabilidad y haciendo uso eficiente de los recursos. </v>
      </c>
    </row>
    <row r="155" spans="1:9" ht="15" hidden="1" customHeight="1" x14ac:dyDescent="0.25">
      <c r="A155" s="279"/>
      <c r="B155" s="279"/>
      <c r="C155" s="274"/>
      <c r="D155" s="275"/>
      <c r="E155" s="275"/>
      <c r="F155" s="276"/>
      <c r="G155" s="85">
        <f t="shared" si="4"/>
        <v>0</v>
      </c>
      <c r="H155" s="3">
        <v>4</v>
      </c>
      <c r="I155" s="3" t="str">
        <f t="shared" si="3"/>
        <v xml:space="preserve">4. </v>
      </c>
    </row>
    <row r="156" spans="1:9" ht="15" hidden="1" customHeight="1" x14ac:dyDescent="0.25">
      <c r="A156" s="279"/>
      <c r="B156" s="279"/>
      <c r="C156" s="274"/>
      <c r="D156" s="275"/>
      <c r="E156" s="275"/>
      <c r="F156" s="276"/>
      <c r="G156" s="85">
        <f t="shared" si="4"/>
        <v>0</v>
      </c>
      <c r="H156" s="3">
        <v>5</v>
      </c>
      <c r="I156" s="3" t="str">
        <f t="shared" si="3"/>
        <v xml:space="preserve">5. </v>
      </c>
    </row>
    <row r="157" spans="1:9" ht="33" customHeight="1" x14ac:dyDescent="0.25">
      <c r="A157" s="279" t="str">
        <f>CONCATENATE("Competencia para la empleabilidad N° 05 (CE5):
",Perfil_Egreso!A33)</f>
        <v xml:space="preserve">Competencia para la empleabilidad N° 05 (CE5):
CE5 Solución de problemas.-  Identificar situaciones complejas para evaluar posibles soluciones, aplicando un conjunto de herramientas flexibles que conlleven a la atención de una necesidad.(UD) </v>
      </c>
      <c r="B157" s="279"/>
      <c r="C157" s="274" t="s">
        <v>264</v>
      </c>
      <c r="D157" s="275"/>
      <c r="E157" s="275"/>
      <c r="F157" s="276"/>
      <c r="G157" s="85" t="str">
        <f t="shared" si="4"/>
        <v xml:space="preserve">1.- Identifica las causas que originan el problema, teniendo en cuenta el contexto. </v>
      </c>
      <c r="H157" s="3">
        <v>1</v>
      </c>
      <c r="I157" s="3" t="str">
        <f t="shared" si="3"/>
        <v xml:space="preserve">1. 1.- Identifica las causas que originan el problema, teniendo en cuenta el contexto. </v>
      </c>
    </row>
    <row r="158" spans="1:9" ht="26.25" customHeight="1" x14ac:dyDescent="0.25">
      <c r="A158" s="279"/>
      <c r="B158" s="279"/>
      <c r="C158" s="274" t="s">
        <v>265</v>
      </c>
      <c r="D158" s="275"/>
      <c r="E158" s="275"/>
      <c r="F158" s="276"/>
      <c r="G158" s="85" t="str">
        <f t="shared" si="4"/>
        <v xml:space="preserve">2.- Propone estrategias de solución, teniendo en cuenta criterios de pertinencia, ética, igualdad e inclusión. </v>
      </c>
      <c r="H158" s="3">
        <v>2</v>
      </c>
      <c r="I158" s="3" t="str">
        <f t="shared" si="3"/>
        <v xml:space="preserve">2. 2.- Propone estrategias de solución, teniendo en cuenta criterios de pertinencia, ética, igualdad e inclusión. </v>
      </c>
    </row>
    <row r="159" spans="1:9" ht="42.75" customHeight="1" x14ac:dyDescent="0.25">
      <c r="A159" s="279"/>
      <c r="B159" s="279"/>
      <c r="C159" s="274" t="s">
        <v>266</v>
      </c>
      <c r="D159" s="275"/>
      <c r="E159" s="275"/>
      <c r="F159" s="276"/>
      <c r="G159" s="85" t="str">
        <f t="shared" si="4"/>
        <v xml:space="preserve">3.- Evalúa posibles soluciones al problema, teniendo en cuenta criterios de pertinencia, ética, igualdad e inclusión. </v>
      </c>
      <c r="H159" s="3">
        <v>3</v>
      </c>
      <c r="I159" s="3" t="str">
        <f t="shared" si="3"/>
        <v xml:space="preserve">3. 3.- Evalúa posibles soluciones al problema, teniendo en cuenta criterios de pertinencia, ética, igualdad e inclusión. </v>
      </c>
    </row>
    <row r="160" spans="1:9" ht="22.5" customHeight="1" x14ac:dyDescent="0.25">
      <c r="A160" s="279"/>
      <c r="B160" s="279"/>
      <c r="C160" s="274" t="s">
        <v>267</v>
      </c>
      <c r="D160" s="275"/>
      <c r="E160" s="275"/>
      <c r="F160" s="276"/>
      <c r="G160" s="85" t="str">
        <f t="shared" si="4"/>
        <v xml:space="preserve">4.- Aplica herramientas para dar solución al problema, de manera sostenible. </v>
      </c>
      <c r="H160" s="3">
        <v>4</v>
      </c>
      <c r="I160" s="3" t="str">
        <f t="shared" si="3"/>
        <v xml:space="preserve">4. 4.- Aplica herramientas para dar solución al problema, de manera sostenible. </v>
      </c>
    </row>
    <row r="161" spans="1:9" ht="15" hidden="1" customHeight="1" x14ac:dyDescent="0.25">
      <c r="A161" s="279"/>
      <c r="B161" s="279"/>
      <c r="C161" s="274"/>
      <c r="D161" s="275"/>
      <c r="E161" s="275"/>
      <c r="F161" s="276"/>
      <c r="G161" s="85">
        <f t="shared" si="4"/>
        <v>0</v>
      </c>
      <c r="H161" s="3">
        <v>5</v>
      </c>
      <c r="I161" s="3" t="str">
        <f t="shared" si="3"/>
        <v xml:space="preserve">5. </v>
      </c>
    </row>
    <row r="162" spans="1:9" ht="29.1" customHeight="1" x14ac:dyDescent="0.25">
      <c r="A162" s="279" t="str">
        <f>CONCATENATE("Competencia para la empleabilidad N° 06 (CE6):
",Perfil_Egreso!A34)</f>
        <v xml:space="preserve">Competencia para la empleabilidad N° 06 (CE6):
CE6 Liderazgo personal y profesional. - Demostrar comportamiento de liderazgo que permita coordinar y organizar eficazmente las ideas, decisiones y actividades en el desempeño laboral y social. (T) </v>
      </c>
      <c r="B162" s="279"/>
      <c r="C162" s="274" t="s">
        <v>269</v>
      </c>
      <c r="D162" s="275"/>
      <c r="E162" s="275"/>
      <c r="F162" s="276"/>
      <c r="G162" s="85" t="str">
        <f t="shared" si="4"/>
        <v>1. Identifica sus fortalezas y debilidades, mostrando disposición a las recomendaciones y evaluaciones de los otros.</v>
      </c>
      <c r="H162" s="3">
        <v>1</v>
      </c>
      <c r="I162" s="3" t="str">
        <f t="shared" si="3"/>
        <v>1. 1. Identifica sus fortalezas y debilidades, mostrando disposición a las recomendaciones y evaluaciones de los otros.</v>
      </c>
    </row>
    <row r="163" spans="1:9" ht="37.5" customHeight="1" x14ac:dyDescent="0.25">
      <c r="A163" s="279"/>
      <c r="B163" s="279"/>
      <c r="C163" s="274" t="s">
        <v>270</v>
      </c>
      <c r="D163" s="275"/>
      <c r="E163" s="275"/>
      <c r="F163" s="276"/>
      <c r="G163" s="85" t="str">
        <f t="shared" si="4"/>
        <v>2. Establece comunicación oral y escrita, empática, inclusiva y horizontal, fomentando una cultura organizacional de respeto por la dignidad de la persona y la equidad.</v>
      </c>
      <c r="H163" s="3">
        <v>2</v>
      </c>
      <c r="I163" s="3" t="str">
        <f t="shared" si="3"/>
        <v>2. 2. Establece comunicación oral y escrita, empática, inclusiva y horizontal, fomentando una cultura organizacional de respeto por la dignidad de la persona y la equidad.</v>
      </c>
    </row>
    <row r="164" spans="1:9" ht="43.5" customHeight="1" x14ac:dyDescent="0.25">
      <c r="A164" s="279"/>
      <c r="B164" s="279"/>
      <c r="C164" s="274" t="s">
        <v>268</v>
      </c>
      <c r="D164" s="275"/>
      <c r="E164" s="275"/>
      <c r="F164" s="276"/>
      <c r="G164" s="85" t="str">
        <f t="shared" si="4"/>
        <v xml:space="preserve">3.- Expresa asertivamente y sin discriminación propuestas e ideas a quienes integran su equipo, considerando el contexto de la tarea, fomentando el espíritu de equipo y la interacción de los puntos de vista de los demás. </v>
      </c>
      <c r="H164" s="3">
        <v>3</v>
      </c>
      <c r="I164" s="3" t="str">
        <f t="shared" si="3"/>
        <v xml:space="preserve">3. 3.- Expresa asertivamente y sin discriminación propuestas e ideas a quienes integran su equipo, considerando el contexto de la tarea, fomentando el espíritu de equipo y la interacción de los puntos de vista de los demás. </v>
      </c>
    </row>
    <row r="165" spans="1:9" ht="24.6" customHeight="1" x14ac:dyDescent="0.25">
      <c r="A165" s="279"/>
      <c r="B165" s="279"/>
      <c r="C165" s="274" t="s">
        <v>271</v>
      </c>
      <c r="D165" s="275"/>
      <c r="E165" s="275"/>
      <c r="F165" s="276"/>
      <c r="G165" s="85" t="str">
        <f t="shared" si="4"/>
        <v>3. Desarrolla una cultura de calidad y mejora continua para el logro de objetivos, fomentando la participación y el compromiso del equipo y de sí mismo, con su entorno local, regional y nacional.</v>
      </c>
      <c r="H165" s="3">
        <v>4</v>
      </c>
      <c r="I165" s="3" t="str">
        <f t="shared" si="3"/>
        <v>4. 3. Desarrolla una cultura de calidad y mejora continua para el logro de objetivos, fomentando la participación y el compromiso del equipo y de sí mismo, con su entorno local, regional y nacional.</v>
      </c>
    </row>
    <row r="166" spans="1:9" hidden="1" x14ac:dyDescent="0.25">
      <c r="A166" s="279"/>
      <c r="B166" s="279"/>
      <c r="C166" s="280"/>
      <c r="D166" s="280"/>
      <c r="E166" s="280"/>
      <c r="F166" s="280"/>
      <c r="G166" s="85">
        <f t="shared" si="4"/>
        <v>0</v>
      </c>
      <c r="H166" s="3">
        <v>5</v>
      </c>
      <c r="I166" s="3" t="str">
        <f t="shared" si="3"/>
        <v xml:space="preserve">5. </v>
      </c>
    </row>
    <row r="167" spans="1:9" ht="22.5" customHeight="1" x14ac:dyDescent="0.25">
      <c r="A167" s="279" t="str">
        <f>CONCATENATE("Competencia para la empleabilidad N° 07 (CE7):
",Perfil_Egreso!A35)</f>
        <v xml:space="preserve">Competencia para la empleabilidad N° 07 (CE7):
CE7 Cultura ambiental. - Convivir de manera ética, autónoma, responsable y sostenible, previniendo, reduciendo y controlando permanente y progresivamente los impactos ambientales. (T) </v>
      </c>
      <c r="B167" s="279"/>
      <c r="C167" s="274" t="s">
        <v>272</v>
      </c>
      <c r="D167" s="275"/>
      <c r="E167" s="275"/>
      <c r="F167" s="276"/>
      <c r="G167" s="85" t="str">
        <f t="shared" si="4"/>
        <v xml:space="preserve">1. Asume una actitud ética, crítica y propositiva en relación a las acciones y factores de riesgo que afectan la salud comunitaria, el ambiente y los servicios ecosistémicos. </v>
      </c>
      <c r="H167" s="3">
        <v>1</v>
      </c>
      <c r="I167" s="3" t="str">
        <f t="shared" si="3"/>
        <v xml:space="preserve">1. 1. Asume una actitud ética, crítica y propositiva en relación a las acciones y factores de riesgo que afectan la salud comunitaria, el ambiente y los servicios ecosistémicos. </v>
      </c>
    </row>
    <row r="168" spans="1:9" ht="34.5" customHeight="1" x14ac:dyDescent="0.25">
      <c r="A168" s="279"/>
      <c r="B168" s="279"/>
      <c r="C168" s="274" t="s">
        <v>273</v>
      </c>
      <c r="D168" s="275"/>
      <c r="E168" s="275"/>
      <c r="F168" s="276"/>
      <c r="G168" s="85" t="str">
        <f t="shared" si="4"/>
        <v xml:space="preserve">2. Analiza el impacto ambiental del desarrollo de actividades productivas y de servicio, en concordancia con las normas vigentes, adoptando y promoviendo acciones a favor del aprovechamiento y uso sostenible de los servicios ecosistémicos. </v>
      </c>
      <c r="H168" s="3">
        <v>2</v>
      </c>
      <c r="I168" s="3" t="str">
        <f t="shared" si="3"/>
        <v xml:space="preserve">2. 2. Analiza el impacto ambiental del desarrollo de actividades productivas y de servicio, en concordancia con las normas vigentes, adoptando y promoviendo acciones a favor del aprovechamiento y uso sostenible de los servicios ecosistémicos. </v>
      </c>
    </row>
    <row r="169" spans="1:9" ht="21.6" customHeight="1" x14ac:dyDescent="0.25">
      <c r="A169" s="279"/>
      <c r="B169" s="279"/>
      <c r="C169" s="274" t="s">
        <v>274</v>
      </c>
      <c r="D169" s="275"/>
      <c r="E169" s="275"/>
      <c r="F169" s="276"/>
      <c r="G169" s="85" t="str">
        <f t="shared" si="4"/>
        <v>3. Desarrolla acciones eco-eficientes con conciencia ambiental, como el reciclaje, el uso eficiente de la energía y de los recursos naturales, de acuerdo a su contexto social y laboral.</v>
      </c>
      <c r="H169" s="3">
        <v>3</v>
      </c>
      <c r="I169" s="3" t="str">
        <f t="shared" si="3"/>
        <v>3. 3. Desarrolla acciones eco-eficientes con conciencia ambiental, como el reciclaje, el uso eficiente de la energía y de los recursos naturales, de acuerdo a su contexto social y laboral.</v>
      </c>
    </row>
    <row r="170" spans="1:9" ht="15" hidden="1" customHeight="1" x14ac:dyDescent="0.25">
      <c r="A170" s="279"/>
      <c r="B170" s="279"/>
      <c r="C170" s="274"/>
      <c r="D170" s="275"/>
      <c r="E170" s="275"/>
      <c r="F170" s="276"/>
      <c r="G170" s="85">
        <f t="shared" si="4"/>
        <v>0</v>
      </c>
      <c r="H170" s="3">
        <v>4</v>
      </c>
      <c r="I170" s="3" t="str">
        <f t="shared" si="3"/>
        <v xml:space="preserve">4. </v>
      </c>
    </row>
    <row r="171" spans="1:9" hidden="1" x14ac:dyDescent="0.25">
      <c r="A171" s="279"/>
      <c r="B171" s="279"/>
      <c r="C171" s="280"/>
      <c r="D171" s="280"/>
      <c r="E171" s="280"/>
      <c r="F171" s="280"/>
      <c r="G171" s="85">
        <f t="shared" si="4"/>
        <v>0</v>
      </c>
      <c r="H171" s="3">
        <v>5</v>
      </c>
      <c r="I171" s="3" t="str">
        <f t="shared" si="3"/>
        <v xml:space="preserve">5. </v>
      </c>
    </row>
    <row r="172" spans="1:9" ht="21" hidden="1" customHeight="1" x14ac:dyDescent="0.25">
      <c r="A172" s="279" t="str">
        <f>CONCATENATE("Competencia para la empleabilidad N° 08 (CE8):
",Perfil_Egreso!A36)</f>
        <v xml:space="preserve">Competencia para la empleabilidad N° 08 (CE8):
</v>
      </c>
      <c r="B172" s="279"/>
      <c r="C172" s="274"/>
      <c r="D172" s="275"/>
      <c r="E172" s="275"/>
      <c r="F172" s="276"/>
      <c r="G172" s="85">
        <f t="shared" si="4"/>
        <v>0</v>
      </c>
      <c r="H172" s="3">
        <v>1</v>
      </c>
      <c r="I172" s="3" t="str">
        <f t="shared" si="3"/>
        <v xml:space="preserve">1. </v>
      </c>
    </row>
    <row r="173" spans="1:9" ht="21" hidden="1" customHeight="1" x14ac:dyDescent="0.25">
      <c r="A173" s="279"/>
      <c r="B173" s="279"/>
      <c r="C173" s="274"/>
      <c r="D173" s="275"/>
      <c r="E173" s="275"/>
      <c r="F173" s="276"/>
      <c r="G173" s="85">
        <f t="shared" si="4"/>
        <v>0</v>
      </c>
      <c r="H173" s="3">
        <v>2</v>
      </c>
      <c r="I173" s="3" t="str">
        <f t="shared" si="3"/>
        <v xml:space="preserve">2. </v>
      </c>
    </row>
    <row r="174" spans="1:9" ht="24.6" hidden="1" customHeight="1" x14ac:dyDescent="0.25">
      <c r="A174" s="279"/>
      <c r="B174" s="279"/>
      <c r="C174" s="274"/>
      <c r="D174" s="275"/>
      <c r="E174" s="275"/>
      <c r="F174" s="276"/>
      <c r="G174" s="85">
        <f t="shared" si="4"/>
        <v>0</v>
      </c>
      <c r="H174" s="3">
        <v>3</v>
      </c>
      <c r="I174" s="3" t="str">
        <f t="shared" si="3"/>
        <v xml:space="preserve">3. </v>
      </c>
    </row>
    <row r="175" spans="1:9" hidden="1" x14ac:dyDescent="0.25">
      <c r="A175" s="279"/>
      <c r="B175" s="279"/>
      <c r="C175" s="274"/>
      <c r="D175" s="275"/>
      <c r="E175" s="275"/>
      <c r="F175" s="276"/>
      <c r="G175" s="85">
        <f t="shared" si="4"/>
        <v>0</v>
      </c>
      <c r="H175" s="3">
        <v>4</v>
      </c>
      <c r="I175" s="3" t="str">
        <f t="shared" si="3"/>
        <v xml:space="preserve">4. </v>
      </c>
    </row>
    <row r="176" spans="1:9" hidden="1" x14ac:dyDescent="0.25">
      <c r="A176" s="279"/>
      <c r="B176" s="279"/>
      <c r="C176" s="274"/>
      <c r="D176" s="275"/>
      <c r="E176" s="275"/>
      <c r="F176" s="276"/>
      <c r="G176" s="85">
        <f t="shared" si="4"/>
        <v>0</v>
      </c>
      <c r="H176" s="3">
        <v>5</v>
      </c>
      <c r="I176" s="3" t="str">
        <f t="shared" si="3"/>
        <v xml:space="preserve">5. </v>
      </c>
    </row>
    <row r="177" spans="1:9" hidden="1" x14ac:dyDescent="0.25">
      <c r="A177" s="279" t="str">
        <f>CONCATENATE("Competencia para la empleabilidad N° 09 (CE9):
",Perfil_Egreso!A37)</f>
        <v xml:space="preserve">Competencia para la empleabilidad N° 09 (CE9):
</v>
      </c>
      <c r="B177" s="279"/>
      <c r="C177" s="280"/>
      <c r="D177" s="280"/>
      <c r="E177" s="280"/>
      <c r="F177" s="280"/>
      <c r="G177" s="85">
        <f t="shared" si="4"/>
        <v>0</v>
      </c>
      <c r="H177" s="3">
        <v>1</v>
      </c>
      <c r="I177" s="3" t="str">
        <f t="shared" si="3"/>
        <v xml:space="preserve">1. </v>
      </c>
    </row>
    <row r="178" spans="1:9" hidden="1" x14ac:dyDescent="0.25">
      <c r="A178" s="279"/>
      <c r="B178" s="279"/>
      <c r="C178" s="280"/>
      <c r="D178" s="280"/>
      <c r="E178" s="280"/>
      <c r="F178" s="280"/>
      <c r="G178" s="85">
        <f t="shared" si="4"/>
        <v>0</v>
      </c>
      <c r="H178" s="3">
        <v>2</v>
      </c>
      <c r="I178" s="3" t="str">
        <f t="shared" si="3"/>
        <v xml:space="preserve">2. </v>
      </c>
    </row>
    <row r="179" spans="1:9" hidden="1" x14ac:dyDescent="0.25">
      <c r="A179" s="279"/>
      <c r="B179" s="279"/>
      <c r="C179" s="280"/>
      <c r="D179" s="280"/>
      <c r="E179" s="280"/>
      <c r="F179" s="280"/>
      <c r="G179" s="85">
        <f t="shared" si="4"/>
        <v>0</v>
      </c>
      <c r="H179" s="3">
        <v>3</v>
      </c>
      <c r="I179" s="3" t="str">
        <f t="shared" si="3"/>
        <v xml:space="preserve">3. </v>
      </c>
    </row>
    <row r="180" spans="1:9" hidden="1" x14ac:dyDescent="0.25">
      <c r="A180" s="279"/>
      <c r="B180" s="279"/>
      <c r="C180" s="280"/>
      <c r="D180" s="280"/>
      <c r="E180" s="280"/>
      <c r="F180" s="280"/>
      <c r="G180" s="85">
        <f t="shared" si="4"/>
        <v>0</v>
      </c>
      <c r="H180" s="3">
        <v>4</v>
      </c>
      <c r="I180" s="3" t="str">
        <f t="shared" si="3"/>
        <v xml:space="preserve">4. </v>
      </c>
    </row>
    <row r="181" spans="1:9" hidden="1" x14ac:dyDescent="0.25">
      <c r="A181" s="279"/>
      <c r="B181" s="279"/>
      <c r="C181" s="280"/>
      <c r="D181" s="280"/>
      <c r="E181" s="280"/>
      <c r="F181" s="280"/>
      <c r="G181" s="85">
        <f t="shared" si="4"/>
        <v>0</v>
      </c>
      <c r="H181" s="3">
        <v>5</v>
      </c>
      <c r="I181" s="3" t="str">
        <f t="shared" si="3"/>
        <v xml:space="preserve">5. </v>
      </c>
    </row>
    <row r="182" spans="1:9" hidden="1" x14ac:dyDescent="0.25">
      <c r="A182" s="279" t="str">
        <f>CONCATENATE("Competencia para la empleabilidad N° 10 (CE10):
",Perfil_Egreso!A38)</f>
        <v xml:space="preserve">Competencia para la empleabilidad N° 10 (CE10):
</v>
      </c>
      <c r="B182" s="279"/>
      <c r="C182" s="280"/>
      <c r="D182" s="280"/>
      <c r="E182" s="280"/>
      <c r="F182" s="280"/>
      <c r="G182" s="85">
        <f t="shared" si="4"/>
        <v>0</v>
      </c>
      <c r="H182" s="3">
        <v>1</v>
      </c>
      <c r="I182" s="3" t="str">
        <f t="shared" si="3"/>
        <v xml:space="preserve">1. </v>
      </c>
    </row>
    <row r="183" spans="1:9" hidden="1" x14ac:dyDescent="0.25">
      <c r="A183" s="279"/>
      <c r="B183" s="279"/>
      <c r="C183" s="280"/>
      <c r="D183" s="280"/>
      <c r="E183" s="280"/>
      <c r="F183" s="280"/>
      <c r="G183" s="85">
        <f t="shared" si="4"/>
        <v>0</v>
      </c>
      <c r="H183" s="3">
        <v>2</v>
      </c>
      <c r="I183" s="3" t="str">
        <f t="shared" si="3"/>
        <v xml:space="preserve">2. </v>
      </c>
    </row>
    <row r="184" spans="1:9" hidden="1" x14ac:dyDescent="0.25">
      <c r="A184" s="279"/>
      <c r="B184" s="279"/>
      <c r="C184" s="280"/>
      <c r="D184" s="280"/>
      <c r="E184" s="280"/>
      <c r="F184" s="280"/>
      <c r="G184" s="85">
        <f t="shared" si="4"/>
        <v>0</v>
      </c>
      <c r="H184" s="3">
        <v>3</v>
      </c>
      <c r="I184" s="3" t="str">
        <f t="shared" si="3"/>
        <v xml:space="preserve">3. </v>
      </c>
    </row>
    <row r="185" spans="1:9" hidden="1" x14ac:dyDescent="0.25">
      <c r="A185" s="279"/>
      <c r="B185" s="279"/>
      <c r="C185" s="280"/>
      <c r="D185" s="280"/>
      <c r="E185" s="280"/>
      <c r="F185" s="280"/>
      <c r="G185" s="85">
        <f t="shared" si="4"/>
        <v>0</v>
      </c>
      <c r="H185" s="3">
        <v>4</v>
      </c>
      <c r="I185" s="3" t="str">
        <f t="shared" si="3"/>
        <v xml:space="preserve">4. </v>
      </c>
    </row>
    <row r="186" spans="1:9" hidden="1" x14ac:dyDescent="0.25">
      <c r="A186" s="279"/>
      <c r="B186" s="279"/>
      <c r="C186" s="280"/>
      <c r="D186" s="280"/>
      <c r="E186" s="280"/>
      <c r="F186" s="280"/>
      <c r="G186" s="85">
        <f t="shared" si="4"/>
        <v>0</v>
      </c>
      <c r="H186" s="3">
        <v>5</v>
      </c>
      <c r="I186" s="3" t="str">
        <f t="shared" si="3"/>
        <v xml:space="preserve">5. </v>
      </c>
    </row>
    <row r="187" spans="1:9" hidden="1" x14ac:dyDescent="0.25">
      <c r="A187" s="279" t="str">
        <f>CONCATENATE("Competencia para la empleabilidad N° 11 (CE11):
",Perfil_Egreso!A39)</f>
        <v xml:space="preserve">Competencia para la empleabilidad N° 11 (CE11):
</v>
      </c>
      <c r="B187" s="279"/>
      <c r="C187" s="280"/>
      <c r="D187" s="280"/>
      <c r="E187" s="280"/>
      <c r="F187" s="280"/>
      <c r="G187" s="85">
        <f t="shared" ref="G187:G196" si="5">C187</f>
        <v>0</v>
      </c>
      <c r="H187" s="3">
        <v>1</v>
      </c>
      <c r="I187" s="3" t="str">
        <f t="shared" ref="I187:I196" si="6">CONCATENATE(H187,". ",C187)</f>
        <v xml:space="preserve">1. </v>
      </c>
    </row>
    <row r="188" spans="1:9" hidden="1" x14ac:dyDescent="0.25">
      <c r="A188" s="279"/>
      <c r="B188" s="279"/>
      <c r="C188" s="280"/>
      <c r="D188" s="280"/>
      <c r="E188" s="280"/>
      <c r="F188" s="280"/>
      <c r="G188" s="85">
        <f t="shared" si="5"/>
        <v>0</v>
      </c>
      <c r="H188" s="3">
        <v>2</v>
      </c>
      <c r="I188" s="3" t="str">
        <f t="shared" si="6"/>
        <v xml:space="preserve">2. </v>
      </c>
    </row>
    <row r="189" spans="1:9" hidden="1" x14ac:dyDescent="0.25">
      <c r="A189" s="279"/>
      <c r="B189" s="279"/>
      <c r="C189" s="280"/>
      <c r="D189" s="280"/>
      <c r="E189" s="280"/>
      <c r="F189" s="280"/>
      <c r="G189" s="85">
        <f t="shared" si="5"/>
        <v>0</v>
      </c>
      <c r="H189" s="3">
        <v>3</v>
      </c>
      <c r="I189" s="3" t="str">
        <f t="shared" si="6"/>
        <v xml:space="preserve">3. </v>
      </c>
    </row>
    <row r="190" spans="1:9" hidden="1" x14ac:dyDescent="0.25">
      <c r="A190" s="279"/>
      <c r="B190" s="279"/>
      <c r="C190" s="280"/>
      <c r="D190" s="280"/>
      <c r="E190" s="280"/>
      <c r="F190" s="280"/>
      <c r="G190" s="85">
        <f t="shared" si="5"/>
        <v>0</v>
      </c>
      <c r="H190" s="3">
        <v>4</v>
      </c>
      <c r="I190" s="3" t="str">
        <f t="shared" si="6"/>
        <v xml:space="preserve">4. </v>
      </c>
    </row>
    <row r="191" spans="1:9" hidden="1" x14ac:dyDescent="0.25">
      <c r="A191" s="279"/>
      <c r="B191" s="279"/>
      <c r="C191" s="280"/>
      <c r="D191" s="280"/>
      <c r="E191" s="280"/>
      <c r="F191" s="280"/>
      <c r="G191" s="85">
        <f t="shared" si="5"/>
        <v>0</v>
      </c>
      <c r="H191" s="3">
        <v>5</v>
      </c>
      <c r="I191" s="3" t="str">
        <f t="shared" si="6"/>
        <v xml:space="preserve">5. </v>
      </c>
    </row>
    <row r="192" spans="1:9" hidden="1" x14ac:dyDescent="0.25">
      <c r="A192" s="279" t="str">
        <f>CONCATENATE("Competencia para la empleabilidad N° 12 (CE12):
",Perfil_Egreso!A40)</f>
        <v xml:space="preserve">Competencia para la empleabilidad N° 12 (CE12):
</v>
      </c>
      <c r="B192" s="279"/>
      <c r="C192" s="280"/>
      <c r="D192" s="280"/>
      <c r="E192" s="280"/>
      <c r="F192" s="280"/>
      <c r="G192" s="85">
        <f t="shared" si="5"/>
        <v>0</v>
      </c>
      <c r="H192" s="3">
        <v>1</v>
      </c>
      <c r="I192" s="3" t="str">
        <f t="shared" si="6"/>
        <v xml:space="preserve">1. </v>
      </c>
    </row>
    <row r="193" spans="1:9" hidden="1" x14ac:dyDescent="0.25">
      <c r="A193" s="279"/>
      <c r="B193" s="279"/>
      <c r="C193" s="280"/>
      <c r="D193" s="280"/>
      <c r="E193" s="280"/>
      <c r="F193" s="280"/>
      <c r="G193" s="85">
        <f t="shared" si="5"/>
        <v>0</v>
      </c>
      <c r="H193" s="3">
        <v>2</v>
      </c>
      <c r="I193" s="3" t="str">
        <f t="shared" si="6"/>
        <v xml:space="preserve">2. </v>
      </c>
    </row>
    <row r="194" spans="1:9" hidden="1" x14ac:dyDescent="0.25">
      <c r="A194" s="279"/>
      <c r="B194" s="279"/>
      <c r="C194" s="280"/>
      <c r="D194" s="280"/>
      <c r="E194" s="280"/>
      <c r="F194" s="280"/>
      <c r="G194" s="85">
        <f t="shared" si="5"/>
        <v>0</v>
      </c>
      <c r="H194" s="3">
        <v>3</v>
      </c>
      <c r="I194" s="3" t="str">
        <f t="shared" si="6"/>
        <v xml:space="preserve">3. </v>
      </c>
    </row>
    <row r="195" spans="1:9" hidden="1" x14ac:dyDescent="0.25">
      <c r="A195" s="279"/>
      <c r="B195" s="279"/>
      <c r="C195" s="280"/>
      <c r="D195" s="280"/>
      <c r="E195" s="280"/>
      <c r="F195" s="280"/>
      <c r="G195" s="85">
        <f t="shared" si="5"/>
        <v>0</v>
      </c>
      <c r="H195" s="3">
        <v>4</v>
      </c>
      <c r="I195" s="3" t="str">
        <f t="shared" si="6"/>
        <v xml:space="preserve">4. </v>
      </c>
    </row>
    <row r="196" spans="1:9" hidden="1" x14ac:dyDescent="0.25">
      <c r="A196" s="279"/>
      <c r="B196" s="279"/>
      <c r="C196" s="280"/>
      <c r="D196" s="280"/>
      <c r="E196" s="280"/>
      <c r="F196" s="280"/>
      <c r="G196" s="85">
        <f t="shared" si="5"/>
        <v>0</v>
      </c>
      <c r="H196" s="3">
        <v>5</v>
      </c>
      <c r="I196" s="3" t="str">
        <f t="shared" si="6"/>
        <v xml:space="preserve">5. </v>
      </c>
    </row>
    <row r="197" spans="1:9" hidden="1" x14ac:dyDescent="0.25">
      <c r="A197" s="288"/>
      <c r="B197" s="289"/>
      <c r="C197" s="289"/>
      <c r="D197" s="289"/>
      <c r="E197" s="289"/>
      <c r="F197" s="289"/>
      <c r="G197" s="85">
        <f>A197</f>
        <v>0</v>
      </c>
    </row>
    <row r="198" spans="1:9" ht="93" hidden="1" customHeight="1" x14ac:dyDescent="0.25">
      <c r="A198" s="287" t="s">
        <v>184</v>
      </c>
      <c r="B198" s="287"/>
      <c r="C198" s="287"/>
      <c r="D198" s="287"/>
      <c r="E198" s="287"/>
      <c r="F198" s="287"/>
      <c r="G198" s="85" t="str">
        <f>A198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row>
  </sheetData>
  <autoFilter ref="A14:G198" xr:uid="{00000000-0009-0000-0000-000001000000}">
    <filterColumn colId="0" showButton="0"/>
    <filterColumn colId="2" showButton="0">
      <customFilters>
        <customFilter operator="notEqual" val=" "/>
      </customFilters>
    </filterColumn>
    <filterColumn colId="3" showButton="0"/>
    <filterColumn colId="4" showButton="0"/>
  </autoFilter>
  <mergeCells count="213">
    <mergeCell ref="C179:F179"/>
    <mergeCell ref="C181:F181"/>
    <mergeCell ref="C167:F167"/>
    <mergeCell ref="C168:F168"/>
    <mergeCell ref="C169:F169"/>
    <mergeCell ref="C171:F171"/>
    <mergeCell ref="C184:F184"/>
    <mergeCell ref="C186:F186"/>
    <mergeCell ref="C185:F185"/>
    <mergeCell ref="C180:F180"/>
    <mergeCell ref="C175:F175"/>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31:F31"/>
    <mergeCell ref="C36:F36"/>
    <mergeCell ref="C30:F30"/>
    <mergeCell ref="C32:F32"/>
    <mergeCell ref="C35:F35"/>
    <mergeCell ref="C33:F33"/>
    <mergeCell ref="C34:F34"/>
    <mergeCell ref="C37:F37"/>
    <mergeCell ref="C38:F38"/>
    <mergeCell ref="A198:F198"/>
    <mergeCell ref="A197:F197"/>
    <mergeCell ref="C144:F144"/>
    <mergeCell ref="C146:F146"/>
    <mergeCell ref="C147:F147"/>
    <mergeCell ref="C148:F148"/>
    <mergeCell ref="C149:F149"/>
    <mergeCell ref="A147:B151"/>
    <mergeCell ref="C151:F151"/>
    <mergeCell ref="A172:B176"/>
    <mergeCell ref="C172:F172"/>
    <mergeCell ref="C173:F173"/>
    <mergeCell ref="A157:B161"/>
    <mergeCell ref="C157:F157"/>
    <mergeCell ref="C158:F158"/>
    <mergeCell ref="C159:F159"/>
    <mergeCell ref="C174:F174"/>
    <mergeCell ref="C176:F176"/>
    <mergeCell ref="A182:B186"/>
    <mergeCell ref="C182:F182"/>
    <mergeCell ref="C183:F183"/>
    <mergeCell ref="A177:B181"/>
    <mergeCell ref="C177:F177"/>
    <mergeCell ref="C178:F178"/>
    <mergeCell ref="C162:F162"/>
    <mergeCell ref="C163:F163"/>
    <mergeCell ref="C164:F164"/>
    <mergeCell ref="C166:F166"/>
    <mergeCell ref="A162:B166"/>
    <mergeCell ref="A167:B171"/>
    <mergeCell ref="A136:B136"/>
    <mergeCell ref="A137:B141"/>
    <mergeCell ref="C138:F138"/>
    <mergeCell ref="A152:B156"/>
    <mergeCell ref="C152:F152"/>
    <mergeCell ref="C153:F153"/>
    <mergeCell ref="C154:F154"/>
    <mergeCell ref="C156:F156"/>
    <mergeCell ref="C161:F161"/>
    <mergeCell ref="C139:F139"/>
    <mergeCell ref="C141:F141"/>
    <mergeCell ref="A142:B146"/>
    <mergeCell ref="C142:F142"/>
    <mergeCell ref="C143:F143"/>
    <mergeCell ref="C140:F140"/>
    <mergeCell ref="C170:F170"/>
    <mergeCell ref="C165:F165"/>
    <mergeCell ref="C160:F160"/>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C94:F94"/>
    <mergeCell ref="C95:F95"/>
    <mergeCell ref="C96:F96"/>
    <mergeCell ref="C97:F97"/>
    <mergeCell ref="C90:F90"/>
    <mergeCell ref="C91:F91"/>
    <mergeCell ref="C77:F77"/>
    <mergeCell ref="C78:F78"/>
    <mergeCell ref="C79:F79"/>
    <mergeCell ref="C80:F80"/>
    <mergeCell ref="C81:F81"/>
    <mergeCell ref="C82:F82"/>
    <mergeCell ref="C83:F83"/>
    <mergeCell ref="C89:F89"/>
    <mergeCell ref="C84:F84"/>
    <mergeCell ref="C85:F85"/>
    <mergeCell ref="C86:F86"/>
    <mergeCell ref="C87:F87"/>
    <mergeCell ref="C88:F88"/>
    <mergeCell ref="A187:B191"/>
    <mergeCell ref="C187:F187"/>
    <mergeCell ref="C188:F188"/>
    <mergeCell ref="C189:F189"/>
    <mergeCell ref="C191:F191"/>
    <mergeCell ref="A192:B196"/>
    <mergeCell ref="C192:F192"/>
    <mergeCell ref="C193:F193"/>
    <mergeCell ref="C194:F194"/>
    <mergeCell ref="C196:F196"/>
    <mergeCell ref="C195:F195"/>
    <mergeCell ref="C190:F190"/>
    <mergeCell ref="C39:F39"/>
    <mergeCell ref="C40:F40"/>
    <mergeCell ref="C41:F41"/>
    <mergeCell ref="C42:F42"/>
    <mergeCell ref="C43:F43"/>
    <mergeCell ref="C54:F54"/>
    <mergeCell ref="C55:F55"/>
    <mergeCell ref="C56:F56"/>
    <mergeCell ref="C57:F57"/>
    <mergeCell ref="C48:F48"/>
    <mergeCell ref="C155:F155"/>
    <mergeCell ref="C150:F150"/>
    <mergeCell ref="C145:F14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35:F135"/>
    <mergeCell ref="C136:F136"/>
    <mergeCell ref="C137:F137"/>
    <mergeCell ref="A105:B119"/>
    <mergeCell ref="C105:F105"/>
    <mergeCell ref="C110:F110"/>
    <mergeCell ref="C111:F111"/>
    <mergeCell ref="C112:F112"/>
  </mergeCells>
  <conditionalFormatting sqref="C60:C65">
    <cfRule type="containsBlanks" dxfId="95" priority="1">
      <formula>LEN(TRIM(C60))=0</formula>
    </cfRule>
    <cfRule type="containsBlanks" dxfId="94" priority="3">
      <formula>LEN(TRIM(C60))=0</formula>
    </cfRule>
  </conditionalFormatting>
  <conditionalFormatting sqref="C15:F59 C137:F196">
    <cfRule type="containsBlanks" dxfId="93" priority="4">
      <formula>LEN(TRIM(C15))=0</formula>
    </cfRule>
  </conditionalFormatting>
  <conditionalFormatting sqref="C66:F134">
    <cfRule type="containsBlanks" dxfId="92" priority="2">
      <formula>LEN(TRIM(C66))=0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FFC000"/>
  </sheetPr>
  <dimension ref="A1:M1144"/>
  <sheetViews>
    <sheetView showGridLines="0" view="pageBreakPreview" topLeftCell="D1134" zoomScaleNormal="100" zoomScaleSheetLayoutView="100" workbookViewId="0">
      <selection activeCell="I1163" sqref="I1163"/>
    </sheetView>
  </sheetViews>
  <sheetFormatPr baseColWidth="10" defaultColWidth="11.42578125" defaultRowHeight="12.75" x14ac:dyDescent="0.2"/>
  <cols>
    <col min="1" max="1" width="9.85546875" style="2" customWidth="1"/>
    <col min="2" max="2" width="10.28515625" style="2" customWidth="1"/>
    <col min="3" max="3" width="8.85546875" style="50" customWidth="1"/>
    <col min="4" max="4" width="13.7109375" style="48" customWidth="1"/>
    <col min="5" max="6" width="25.7109375" style="48" customWidth="1"/>
    <col min="7" max="7" width="8.28515625" style="50" customWidth="1"/>
    <col min="8" max="8" width="13.7109375" style="48" customWidth="1"/>
    <col min="9" max="10" width="25.7109375" style="48" customWidth="1"/>
    <col min="11" max="11" width="7.28515625" style="2" customWidth="1" collapsed="1"/>
    <col min="12" max="12" width="61.5703125" style="8" customWidth="1"/>
    <col min="13" max="13" width="60.140625" style="8" customWidth="1"/>
    <col min="14" max="16384" width="11.42578125" style="2"/>
  </cols>
  <sheetData>
    <row r="1" spans="1:13" ht="23.25" customHeight="1" x14ac:dyDescent="0.35">
      <c r="C1" s="301" t="s">
        <v>175</v>
      </c>
      <c r="D1" s="301"/>
      <c r="E1" s="301"/>
      <c r="F1" s="301"/>
      <c r="G1" s="301"/>
      <c r="H1" s="301"/>
      <c r="I1" s="301"/>
      <c r="J1" s="301"/>
      <c r="K1" s="47"/>
      <c r="L1" s="302"/>
      <c r="M1" s="302"/>
    </row>
    <row r="2" spans="1:13" x14ac:dyDescent="0.2">
      <c r="L2" s="7"/>
      <c r="M2" s="7"/>
    </row>
    <row r="3" spans="1:13" ht="5.25" customHeight="1" x14ac:dyDescent="0.2">
      <c r="L3" s="7"/>
      <c r="M3" s="7"/>
    </row>
    <row r="4" spans="1:13" ht="5.25" customHeight="1" x14ac:dyDescent="0.2">
      <c r="L4" s="7"/>
      <c r="M4" s="7"/>
    </row>
    <row r="5" spans="1:13" ht="20.25" customHeight="1" x14ac:dyDescent="0.35">
      <c r="C5" s="303" t="s">
        <v>82</v>
      </c>
      <c r="D5" s="303"/>
      <c r="E5" s="304" t="str">
        <f>Perfil_Egreso!B11</f>
        <v>REDES Y COMUNICACIONES</v>
      </c>
      <c r="F5" s="304"/>
      <c r="G5" s="304"/>
      <c r="H5" s="304"/>
      <c r="I5" s="304"/>
      <c r="J5" s="304"/>
      <c r="K5" s="49"/>
      <c r="L5" s="305" t="s">
        <v>81</v>
      </c>
      <c r="M5" s="305"/>
    </row>
    <row r="6" spans="1:13" ht="6" customHeight="1" x14ac:dyDescent="0.2">
      <c r="D6" s="50"/>
      <c r="G6" s="48"/>
    </row>
    <row r="7" spans="1:13" ht="44.25" customHeight="1" x14ac:dyDescent="0.2">
      <c r="A7" s="51"/>
      <c r="B7" s="51"/>
      <c r="C7" s="2"/>
      <c r="D7" s="306" t="s">
        <v>80</v>
      </c>
      <c r="E7" s="306"/>
      <c r="F7" s="306"/>
      <c r="G7" s="86"/>
      <c r="H7" s="306" t="s">
        <v>79</v>
      </c>
      <c r="I7" s="306"/>
      <c r="J7" s="306"/>
      <c r="K7" s="52"/>
      <c r="L7" s="9"/>
      <c r="M7" s="9"/>
    </row>
    <row r="8" spans="1:13" ht="5.25" customHeight="1" x14ac:dyDescent="0.2">
      <c r="A8" s="51"/>
      <c r="B8" s="51"/>
      <c r="C8" s="53"/>
      <c r="D8" s="54"/>
      <c r="E8" s="54"/>
      <c r="F8" s="54"/>
      <c r="G8" s="53"/>
      <c r="H8" s="54"/>
      <c r="I8" s="54"/>
      <c r="J8" s="54"/>
      <c r="K8" s="52"/>
      <c r="L8" s="10"/>
      <c r="M8" s="10"/>
    </row>
    <row r="9" spans="1:13" ht="35.25" customHeight="1" x14ac:dyDescent="0.2">
      <c r="A9" s="166" t="s">
        <v>77</v>
      </c>
      <c r="B9" s="163" t="s">
        <v>121</v>
      </c>
      <c r="C9" s="163" t="s">
        <v>119</v>
      </c>
      <c r="D9" s="163" t="s">
        <v>75</v>
      </c>
      <c r="E9" s="163" t="s">
        <v>74</v>
      </c>
      <c r="F9" s="163" t="s">
        <v>73</v>
      </c>
      <c r="G9" s="163" t="s">
        <v>120</v>
      </c>
      <c r="H9" s="163" t="s">
        <v>75</v>
      </c>
      <c r="I9" s="163" t="s">
        <v>74</v>
      </c>
      <c r="J9" s="163" t="s">
        <v>73</v>
      </c>
      <c r="K9" s="77" t="s">
        <v>126</v>
      </c>
      <c r="L9" s="160" t="s">
        <v>76</v>
      </c>
      <c r="M9" s="160" t="s">
        <v>78</v>
      </c>
    </row>
    <row r="10" spans="1:13" s="55" customFormat="1" ht="77.25" customHeight="1" x14ac:dyDescent="0.2">
      <c r="A10" s="300" t="s">
        <v>72</v>
      </c>
      <c r="B10" s="297" t="s">
        <v>107</v>
      </c>
      <c r="C10" s="112" t="s">
        <v>207</v>
      </c>
      <c r="D10" s="112" t="s">
        <v>293</v>
      </c>
      <c r="E10" s="194" t="s">
        <v>397</v>
      </c>
      <c r="F10" s="194" t="s">
        <v>401</v>
      </c>
      <c r="G10" s="113" t="s">
        <v>208</v>
      </c>
      <c r="H10" s="195" t="s">
        <v>216</v>
      </c>
      <c r="I10" s="194" t="s">
        <v>411</v>
      </c>
      <c r="J10" s="194" t="s">
        <v>217</v>
      </c>
      <c r="K10" s="86"/>
      <c r="L10" s="253" t="str">
        <f>CONCATENATE(C10," ",D10," ",E10," ",F10," ",C11," ",D11," ",E11," ",F11)</f>
        <v xml:space="preserve">UC1 C1 Identificar las necesidades o requerimientos del cliente  considerando procedimientos establecidos y buenas prácticas de gestión de incidentes.    </v>
      </c>
      <c r="M10" s="247" t="str">
        <f>CONCATENATE(G10," ",H10," ",I10," ",J10)</f>
        <v>C1 I1 Interpreta los reportes del funcionamiento del sistema de información en producción o puesta en marcha según las funciones y alcance de los sistemas.</v>
      </c>
    </row>
    <row r="11" spans="1:13" s="55" customFormat="1" ht="57" customHeight="1" x14ac:dyDescent="0.2">
      <c r="A11" s="300"/>
      <c r="B11" s="297"/>
      <c r="C11" s="115"/>
      <c r="D11" s="201"/>
      <c r="E11" s="202"/>
      <c r="F11" s="203"/>
      <c r="G11" s="113" t="s">
        <v>210</v>
      </c>
      <c r="H11" s="195" t="s">
        <v>414</v>
      </c>
      <c r="I11" s="194" t="s">
        <v>412</v>
      </c>
      <c r="J11" s="194" t="s">
        <v>401</v>
      </c>
      <c r="K11" s="86"/>
      <c r="L11" s="255"/>
      <c r="M11" s="247" t="str">
        <f>CONCATENATE(G11," ",H11," ",I11," ",J11)</f>
        <v>C1 I2 Detecta las fallas e incidencias del sistema de información en producción o puesta en marcha  considerando procedimientos establecidos y buenas prácticas de gestión de incidentes.</v>
      </c>
    </row>
    <row r="12" spans="1:13" s="55" customFormat="1" ht="68.25" customHeight="1" x14ac:dyDescent="0.2">
      <c r="A12" s="300"/>
      <c r="B12" s="297"/>
      <c r="C12" s="115"/>
      <c r="D12" s="204"/>
      <c r="E12" s="205"/>
      <c r="F12" s="206"/>
      <c r="G12" s="113" t="s">
        <v>212</v>
      </c>
      <c r="H12" s="195" t="s">
        <v>413</v>
      </c>
      <c r="I12" s="194" t="s">
        <v>412</v>
      </c>
      <c r="J12" s="194" t="s">
        <v>401</v>
      </c>
      <c r="K12" s="86"/>
      <c r="L12" s="255"/>
      <c r="M12" s="247" t="str">
        <f>CONCATENATE(G12," ",H12," ",I12," ",J12)</f>
        <v>C1 I3 Clasifica las fallas e incidencias del sistema de información en producción o puesta en marcha  considerando procedimientos establecidos y buenas prácticas de gestión de incidentes.</v>
      </c>
    </row>
    <row r="13" spans="1:13" s="55" customFormat="1" ht="56.25" hidden="1" customHeight="1" x14ac:dyDescent="0.2">
      <c r="A13" s="300"/>
      <c r="B13" s="297"/>
      <c r="C13" s="115"/>
      <c r="D13" s="204"/>
      <c r="E13" s="205"/>
      <c r="F13" s="206"/>
      <c r="G13" s="113"/>
      <c r="H13" s="195"/>
      <c r="I13" s="194"/>
      <c r="J13" s="194"/>
      <c r="K13" s="86"/>
      <c r="L13" s="255"/>
      <c r="M13" s="114" t="str">
        <f t="shared" ref="M13:M15" si="0">CONCATENATE(G13," ",H13," ",I13," ",J13)</f>
        <v xml:space="preserve">   </v>
      </c>
    </row>
    <row r="14" spans="1:13" s="55" customFormat="1" hidden="1" x14ac:dyDescent="0.2">
      <c r="A14" s="300"/>
      <c r="B14" s="297"/>
      <c r="C14" s="115"/>
      <c r="D14" s="204"/>
      <c r="E14" s="205"/>
      <c r="F14" s="206"/>
      <c r="G14" s="198"/>
      <c r="H14" s="195"/>
      <c r="I14" s="195"/>
      <c r="J14" s="195"/>
      <c r="K14" s="86"/>
      <c r="L14" s="255"/>
      <c r="M14" s="114" t="str">
        <f t="shared" si="0"/>
        <v xml:space="preserve">   </v>
      </c>
    </row>
    <row r="15" spans="1:13" s="55" customFormat="1" hidden="1" x14ac:dyDescent="0.2">
      <c r="A15" s="300"/>
      <c r="B15" s="297"/>
      <c r="C15" s="115"/>
      <c r="D15" s="116"/>
      <c r="E15" s="117"/>
      <c r="F15" s="118"/>
      <c r="G15" s="198"/>
      <c r="H15" s="198"/>
      <c r="I15" s="200"/>
      <c r="J15" s="194"/>
      <c r="K15" s="86"/>
      <c r="L15" s="255"/>
      <c r="M15" s="114" t="str">
        <f t="shared" si="0"/>
        <v xml:space="preserve">   </v>
      </c>
    </row>
    <row r="16" spans="1:13" s="55" customFormat="1" hidden="1" x14ac:dyDescent="0.2">
      <c r="A16" s="300"/>
      <c r="B16" s="297"/>
      <c r="C16" s="115"/>
      <c r="D16" s="116"/>
      <c r="E16" s="117"/>
      <c r="F16" s="118"/>
      <c r="G16" s="198"/>
      <c r="H16" s="198"/>
      <c r="I16" s="200"/>
      <c r="J16" s="200"/>
      <c r="K16" s="86"/>
      <c r="L16" s="255"/>
      <c r="M16" s="114" t="str">
        <f t="shared" ref="M16:M74" si="1">CONCATENATE(G16," ",H16," ",I16," ",J16)</f>
        <v xml:space="preserve">   </v>
      </c>
    </row>
    <row r="17" spans="1:13" s="55" customFormat="1" hidden="1" x14ac:dyDescent="0.2">
      <c r="A17" s="300"/>
      <c r="B17" s="297"/>
      <c r="C17" s="115"/>
      <c r="D17" s="116"/>
      <c r="E17" s="117"/>
      <c r="F17" s="118"/>
      <c r="G17" s="198"/>
      <c r="H17" s="198"/>
      <c r="I17" s="199"/>
      <c r="J17" s="199"/>
      <c r="K17" s="86"/>
      <c r="L17" s="255"/>
      <c r="M17" s="114" t="str">
        <f t="shared" si="1"/>
        <v xml:space="preserve">   </v>
      </c>
    </row>
    <row r="18" spans="1:13" s="55" customFormat="1" hidden="1" x14ac:dyDescent="0.2">
      <c r="A18" s="300"/>
      <c r="B18" s="297"/>
      <c r="C18" s="115"/>
      <c r="D18" s="116"/>
      <c r="E18" s="117"/>
      <c r="F18" s="118"/>
      <c r="G18" s="113"/>
      <c r="H18" s="198"/>
      <c r="I18" s="199"/>
      <c r="J18" s="199"/>
      <c r="K18" s="86"/>
      <c r="L18" s="255"/>
      <c r="M18" s="114" t="str">
        <f t="shared" si="1"/>
        <v xml:space="preserve">   </v>
      </c>
    </row>
    <row r="19" spans="1:13" s="55" customFormat="1" hidden="1" x14ac:dyDescent="0.2">
      <c r="A19" s="300"/>
      <c r="B19" s="297"/>
      <c r="C19" s="115"/>
      <c r="D19" s="116"/>
      <c r="E19" s="117"/>
      <c r="F19" s="118"/>
      <c r="G19" s="113"/>
      <c r="H19" s="198"/>
      <c r="I19" s="199"/>
      <c r="J19" s="199"/>
      <c r="K19" s="86"/>
      <c r="L19" s="255"/>
      <c r="M19" s="114" t="str">
        <f t="shared" si="1"/>
        <v xml:space="preserve">   </v>
      </c>
    </row>
    <row r="20" spans="1:13" s="55" customFormat="1" ht="73.5" customHeight="1" x14ac:dyDescent="0.2">
      <c r="A20" s="300" t="s">
        <v>72</v>
      </c>
      <c r="B20" s="297" t="s">
        <v>107</v>
      </c>
      <c r="C20" s="112" t="s">
        <v>213</v>
      </c>
      <c r="D20" s="112" t="s">
        <v>408</v>
      </c>
      <c r="E20" s="194" t="s">
        <v>415</v>
      </c>
      <c r="F20" s="194" t="s">
        <v>409</v>
      </c>
      <c r="G20" s="113" t="s">
        <v>215</v>
      </c>
      <c r="H20" s="113" t="s">
        <v>417</v>
      </c>
      <c r="I20" s="194" t="s">
        <v>415</v>
      </c>
      <c r="J20" s="194" t="s">
        <v>409</v>
      </c>
      <c r="K20" s="86"/>
      <c r="L20" s="253" t="str">
        <f>CONCATENATE(C20," ",D20," ",E20," ",F20," ",C21," ",D21," ",E21," ",F21)</f>
        <v xml:space="preserve">UC1 C2 Resolver las incidencias o fallas del sistema de información en el primer nivel  considerando procedimientos establecidos y buenas prácticas de gestión de TI (marco metodologias COBIT y ITIL)     </v>
      </c>
      <c r="M20" s="247" t="str">
        <f t="shared" si="1"/>
        <v xml:space="preserve">C2 I1 Analiza las incidencias o fallas del sistema de información en el primer nivel  considerando procedimientos establecidos y buenas prácticas de gestión de TI (marco metodologias COBIT y ITIL) </v>
      </c>
    </row>
    <row r="21" spans="1:13" s="55" customFormat="1" ht="86.25" customHeight="1" x14ac:dyDescent="0.2">
      <c r="A21" s="300"/>
      <c r="B21" s="297"/>
      <c r="C21" s="115"/>
      <c r="D21" s="207"/>
      <c r="E21" s="208"/>
      <c r="F21" s="209"/>
      <c r="G21" s="113" t="s">
        <v>218</v>
      </c>
      <c r="H21" s="113" t="s">
        <v>416</v>
      </c>
      <c r="I21" s="194" t="s">
        <v>418</v>
      </c>
      <c r="J21" s="194" t="s">
        <v>423</v>
      </c>
      <c r="K21" s="86"/>
      <c r="L21" s="255"/>
      <c r="M21" s="247" t="str">
        <f t="shared" si="1"/>
        <v xml:space="preserve">C2 I2 Plantea estrategias de solución  teniendo en cuenta las incidencia o falla del sistema de información, los procedimiento establecidos y buenas prácticas de gestión de TI </v>
      </c>
    </row>
    <row r="22" spans="1:13" s="55" customFormat="1" ht="83.25" customHeight="1" x14ac:dyDescent="0.2">
      <c r="A22" s="300"/>
      <c r="B22" s="297"/>
      <c r="C22" s="115"/>
      <c r="D22" s="210"/>
      <c r="E22" s="211"/>
      <c r="F22" s="212"/>
      <c r="G22" s="113" t="s">
        <v>219</v>
      </c>
      <c r="H22" s="113" t="s">
        <v>420</v>
      </c>
      <c r="I22" s="194" t="s">
        <v>421</v>
      </c>
      <c r="J22" s="194" t="s">
        <v>423</v>
      </c>
      <c r="K22" s="86"/>
      <c r="L22" s="255"/>
      <c r="M22" s="247" t="str">
        <f t="shared" si="1"/>
        <v xml:space="preserve">C2 I3 Determina  la estrategia de solución  teniendo en cuenta las incidencia o falla del sistema de información, los procedimiento establecidos y buenas prácticas de gestión de TI </v>
      </c>
    </row>
    <row r="23" spans="1:13" s="55" customFormat="1" ht="41.25" customHeight="1" x14ac:dyDescent="0.2">
      <c r="A23" s="300"/>
      <c r="B23" s="297"/>
      <c r="C23" s="115"/>
      <c r="D23" s="116"/>
      <c r="E23" s="117"/>
      <c r="F23" s="118"/>
      <c r="G23" s="113" t="s">
        <v>402</v>
      </c>
      <c r="H23" s="113" t="s">
        <v>419</v>
      </c>
      <c r="I23" s="194" t="s">
        <v>422</v>
      </c>
      <c r="J23" s="194" t="s">
        <v>424</v>
      </c>
      <c r="K23" s="86"/>
      <c r="L23" s="255"/>
      <c r="M23" s="247" t="str">
        <f t="shared" si="1"/>
        <v xml:space="preserve">C2 I4 Aplica  estrategia de solución  siguiendo los procedimiento establecidos y buenas prácticas de gestión de TI </v>
      </c>
    </row>
    <row r="24" spans="1:13" s="55" customFormat="1" ht="53.25" customHeight="1" x14ac:dyDescent="0.2">
      <c r="A24" s="300"/>
      <c r="B24" s="297"/>
      <c r="C24" s="115"/>
      <c r="D24" s="116"/>
      <c r="E24" s="117"/>
      <c r="F24" s="118"/>
      <c r="G24" s="113" t="s">
        <v>425</v>
      </c>
      <c r="H24" s="113" t="s">
        <v>395</v>
      </c>
      <c r="I24" s="194" t="s">
        <v>426</v>
      </c>
      <c r="J24" s="194" t="s">
        <v>427</v>
      </c>
      <c r="K24" s="86"/>
      <c r="L24" s="255"/>
      <c r="M24" s="247" t="str">
        <f t="shared" si="1"/>
        <v>C2 I5 Comprueba el funcionamiento del sistema de información  considerando los estándares de calidad establecidos.</v>
      </c>
    </row>
    <row r="25" spans="1:13" s="55" customFormat="1" hidden="1" x14ac:dyDescent="0.2">
      <c r="A25" s="300"/>
      <c r="B25" s="297"/>
      <c r="C25" s="115"/>
      <c r="D25" s="116"/>
      <c r="E25" s="117"/>
      <c r="F25" s="118"/>
      <c r="G25" s="113"/>
      <c r="H25" s="198"/>
      <c r="I25" s="198"/>
      <c r="J25" s="194"/>
      <c r="K25" s="86"/>
      <c r="L25" s="255"/>
      <c r="M25" s="114" t="str">
        <f>CONCATENATE(G25," ",H26," ",I26," ",J25)</f>
        <v xml:space="preserve">   </v>
      </c>
    </row>
    <row r="26" spans="1:13" s="55" customFormat="1" hidden="1" x14ac:dyDescent="0.2">
      <c r="A26" s="300"/>
      <c r="B26" s="297"/>
      <c r="C26" s="115"/>
      <c r="D26" s="116"/>
      <c r="E26" s="117"/>
      <c r="F26" s="118"/>
      <c r="G26" s="113"/>
      <c r="H26" s="198"/>
      <c r="I26" s="199"/>
      <c r="J26" s="200"/>
      <c r="K26" s="86"/>
      <c r="L26" s="255"/>
      <c r="M26" s="114"/>
    </row>
    <row r="27" spans="1:13" s="55" customFormat="1" hidden="1" x14ac:dyDescent="0.2">
      <c r="A27" s="300"/>
      <c r="B27" s="297"/>
      <c r="C27" s="115"/>
      <c r="D27" s="116"/>
      <c r="E27" s="117"/>
      <c r="F27" s="118"/>
      <c r="G27" s="113"/>
      <c r="H27" s="198"/>
      <c r="I27" s="199"/>
      <c r="J27" s="199"/>
      <c r="K27" s="86"/>
      <c r="L27" s="255"/>
      <c r="M27" s="114"/>
    </row>
    <row r="28" spans="1:13" s="55" customFormat="1" hidden="1" x14ac:dyDescent="0.2">
      <c r="A28" s="300"/>
      <c r="B28" s="297"/>
      <c r="C28" s="115"/>
      <c r="D28" s="116"/>
      <c r="E28" s="117"/>
      <c r="F28" s="118"/>
      <c r="G28" s="113"/>
      <c r="H28" s="198"/>
      <c r="I28" s="199"/>
      <c r="J28" s="199"/>
      <c r="K28" s="86"/>
      <c r="L28" s="255"/>
      <c r="M28" s="114" t="str">
        <f t="shared" si="1"/>
        <v xml:space="preserve">   </v>
      </c>
    </row>
    <row r="29" spans="1:13" s="55" customFormat="1" hidden="1" x14ac:dyDescent="0.2">
      <c r="A29" s="300"/>
      <c r="B29" s="297"/>
      <c r="C29" s="115"/>
      <c r="D29" s="116"/>
      <c r="E29" s="117"/>
      <c r="F29" s="118"/>
      <c r="G29" s="113"/>
      <c r="H29" s="198"/>
      <c r="I29" s="199"/>
      <c r="J29" s="199"/>
      <c r="K29" s="86"/>
      <c r="L29" s="255"/>
      <c r="M29" s="114" t="str">
        <f t="shared" si="1"/>
        <v xml:space="preserve">   </v>
      </c>
    </row>
    <row r="30" spans="1:13" s="55" customFormat="1" ht="73.5" customHeight="1" x14ac:dyDescent="0.2">
      <c r="A30" s="300" t="s">
        <v>72</v>
      </c>
      <c r="B30" s="297" t="s">
        <v>107</v>
      </c>
      <c r="C30" s="112" t="s">
        <v>245</v>
      </c>
      <c r="D30" s="217" t="s">
        <v>400</v>
      </c>
      <c r="E30" s="217" t="s">
        <v>410</v>
      </c>
      <c r="F30" s="218" t="s">
        <v>409</v>
      </c>
      <c r="G30" s="219" t="s">
        <v>215</v>
      </c>
      <c r="H30" s="219" t="s">
        <v>403</v>
      </c>
      <c r="I30" s="218" t="s">
        <v>428</v>
      </c>
      <c r="J30" s="218" t="s">
        <v>429</v>
      </c>
      <c r="K30" s="86"/>
      <c r="L30" s="253" t="str">
        <f>CONCATENATE(C30," ",D30," ",E30," ",F30," ",C31," ",D31," ",E31," ",F31)</f>
        <v xml:space="preserve">UC1 C3 Elaborar  los reportes de las incidencia de los sistemas de información  considerando procedimientos establecidos y buenas prácticas de gestión de TI (marco metodologias COBIT y ITIL)     </v>
      </c>
      <c r="M30" s="247" t="str">
        <f t="shared" si="1"/>
        <v>C2 I1 Identifica  los incidentes o requerimientos de los usuarios atendidos aplicando los procedimientos establecidos según la política de la organización.</v>
      </c>
    </row>
    <row r="31" spans="1:13" s="55" customFormat="1" ht="53.25" customHeight="1" x14ac:dyDescent="0.2">
      <c r="A31" s="300"/>
      <c r="B31" s="297"/>
      <c r="C31" s="115"/>
      <c r="D31" s="220"/>
      <c r="E31" s="221"/>
      <c r="F31" s="222"/>
      <c r="G31" s="219" t="s">
        <v>218</v>
      </c>
      <c r="H31" s="219" t="s">
        <v>431</v>
      </c>
      <c r="I31" s="218" t="s">
        <v>430</v>
      </c>
      <c r="J31" s="218" t="s">
        <v>432</v>
      </c>
      <c r="K31" s="86"/>
      <c r="L31" s="255"/>
      <c r="M31" s="247" t="str">
        <f t="shared" si="1"/>
        <v>C2 I2 Señala  las lecciones aprendidas considerando procedimientos establecidos y buenas practicas de gestión de TI.</v>
      </c>
    </row>
    <row r="32" spans="1:13" s="55" customFormat="1" ht="53.25" customHeight="1" x14ac:dyDescent="0.2">
      <c r="A32" s="300"/>
      <c r="B32" s="297"/>
      <c r="C32" s="115"/>
      <c r="D32" s="223"/>
      <c r="E32" s="224"/>
      <c r="F32" s="225"/>
      <c r="G32" s="219" t="s">
        <v>219</v>
      </c>
      <c r="H32" s="219" t="s">
        <v>413</v>
      </c>
      <c r="I32" s="218" t="s">
        <v>433</v>
      </c>
      <c r="J32" s="218" t="s">
        <v>432</v>
      </c>
      <c r="K32" s="86"/>
      <c r="L32" s="255"/>
      <c r="M32" s="247" t="str">
        <f t="shared" si="1"/>
        <v>C2 I3 Clasifica los incidentes o requerimientos de los usuarios atendidos en una BD o repositorio considerando procedimientos establecidos y buenas practicas de gestión de TI.</v>
      </c>
    </row>
    <row r="33" spans="1:13" s="55" customFormat="1" ht="42" customHeight="1" x14ac:dyDescent="0.2">
      <c r="A33" s="300"/>
      <c r="B33" s="297"/>
      <c r="C33" s="115"/>
      <c r="D33" s="223"/>
      <c r="E33" s="224"/>
      <c r="F33" s="225"/>
      <c r="G33" s="219" t="s">
        <v>402</v>
      </c>
      <c r="H33" s="226" t="s">
        <v>223</v>
      </c>
      <c r="I33" s="218" t="s">
        <v>434</v>
      </c>
      <c r="J33" s="218" t="s">
        <v>435</v>
      </c>
      <c r="K33" s="86"/>
      <c r="L33" s="255"/>
      <c r="M33" s="247" t="str">
        <f t="shared" si="1"/>
        <v>C2 I4 Documenta las acciones de gestión de inicdenicias y/o requerimientos  generando reportes de cumplimiento, de acuerdo a los niveles de servicio TI.</v>
      </c>
    </row>
    <row r="34" spans="1:13" s="55" customFormat="1" ht="27.75" customHeight="1" x14ac:dyDescent="0.2">
      <c r="A34" s="300"/>
      <c r="B34" s="297"/>
      <c r="C34" s="115"/>
      <c r="D34" s="223"/>
      <c r="E34" s="224"/>
      <c r="F34" s="225"/>
      <c r="G34" s="219" t="s">
        <v>425</v>
      </c>
      <c r="H34" s="219" t="s">
        <v>404</v>
      </c>
      <c r="I34" s="217" t="s">
        <v>405</v>
      </c>
      <c r="J34" s="218" t="s">
        <v>406</v>
      </c>
      <c r="K34" s="86"/>
      <c r="L34" s="255"/>
      <c r="M34" s="247" t="str">
        <f t="shared" si="1"/>
        <v xml:space="preserve">C2 I5 Realiza   copias de seguridad  según los procedimientos establecidos. </v>
      </c>
    </row>
    <row r="35" spans="1:13" s="55" customFormat="1" hidden="1" x14ac:dyDescent="0.2">
      <c r="A35" s="300"/>
      <c r="B35" s="297"/>
      <c r="C35" s="115"/>
      <c r="D35" s="116"/>
      <c r="E35" s="117"/>
      <c r="F35" s="118"/>
      <c r="G35" s="113"/>
      <c r="H35" s="113"/>
      <c r="I35" s="194"/>
      <c r="J35" s="194"/>
      <c r="K35" s="86"/>
      <c r="L35" s="255"/>
      <c r="M35" s="114" t="str">
        <f t="shared" si="1"/>
        <v xml:space="preserve">   </v>
      </c>
    </row>
    <row r="36" spans="1:13" s="55" customFormat="1" hidden="1" x14ac:dyDescent="0.2">
      <c r="A36" s="300"/>
      <c r="B36" s="297"/>
      <c r="C36" s="115"/>
      <c r="D36" s="116"/>
      <c r="E36" s="117"/>
      <c r="F36" s="118"/>
      <c r="G36" s="113"/>
      <c r="H36" s="198"/>
      <c r="I36" s="200"/>
      <c r="J36" s="200"/>
      <c r="K36" s="86"/>
      <c r="L36" s="255"/>
      <c r="M36" s="114" t="str">
        <f t="shared" si="1"/>
        <v xml:space="preserve">   </v>
      </c>
    </row>
    <row r="37" spans="1:13" s="55" customFormat="1" hidden="1" x14ac:dyDescent="0.2">
      <c r="A37" s="300"/>
      <c r="B37" s="297"/>
      <c r="C37" s="115"/>
      <c r="D37" s="116"/>
      <c r="E37" s="117"/>
      <c r="F37" s="118"/>
      <c r="G37" s="113"/>
      <c r="H37" s="198"/>
      <c r="I37" s="200"/>
      <c r="J37" s="200"/>
      <c r="K37" s="86"/>
      <c r="L37" s="255"/>
      <c r="M37" s="114" t="str">
        <f t="shared" si="1"/>
        <v xml:space="preserve">   </v>
      </c>
    </row>
    <row r="38" spans="1:13" s="55" customFormat="1" hidden="1" x14ac:dyDescent="0.2">
      <c r="A38" s="300"/>
      <c r="B38" s="297"/>
      <c r="C38" s="115"/>
      <c r="D38" s="116"/>
      <c r="E38" s="117"/>
      <c r="F38" s="118"/>
      <c r="G38" s="113"/>
      <c r="H38" s="198"/>
      <c r="I38" s="200"/>
      <c r="J38" s="200"/>
      <c r="K38" s="86"/>
      <c r="L38" s="255"/>
      <c r="M38" s="114" t="str">
        <f t="shared" si="1"/>
        <v xml:space="preserve">   </v>
      </c>
    </row>
    <row r="39" spans="1:13" s="55" customFormat="1" hidden="1" x14ac:dyDescent="0.2">
      <c r="A39" s="300"/>
      <c r="B39" s="297"/>
      <c r="C39" s="115"/>
      <c r="D39" s="116"/>
      <c r="E39" s="117"/>
      <c r="F39" s="118"/>
      <c r="G39" s="113"/>
      <c r="H39" s="113"/>
      <c r="I39" s="112"/>
      <c r="J39" s="112"/>
      <c r="K39" s="86"/>
      <c r="L39" s="255"/>
      <c r="M39" s="114" t="str">
        <f t="shared" si="1"/>
        <v xml:space="preserve">   </v>
      </c>
    </row>
    <row r="40" spans="1:13" s="55" customFormat="1" ht="36" hidden="1" customHeight="1" x14ac:dyDescent="0.2">
      <c r="A40" s="300" t="s">
        <v>72</v>
      </c>
      <c r="B40" s="297" t="s">
        <v>107</v>
      </c>
      <c r="C40" s="112"/>
      <c r="D40" s="112"/>
      <c r="E40" s="112"/>
      <c r="F40" s="194"/>
      <c r="G40" s="113"/>
      <c r="H40" s="195"/>
      <c r="I40" s="194"/>
      <c r="J40" s="194"/>
      <c r="K40" s="86"/>
      <c r="L40" s="253" t="str">
        <f>CONCATENATE(C40," ",D40," ",E40," ",F40," ",C41," ",D41," ",E41," ",F41)</f>
        <v xml:space="preserve">       </v>
      </c>
      <c r="M40" s="114" t="str">
        <f t="shared" si="1"/>
        <v xml:space="preserve">   </v>
      </c>
    </row>
    <row r="41" spans="1:13" s="55" customFormat="1" hidden="1" x14ac:dyDescent="0.2">
      <c r="A41" s="300"/>
      <c r="B41" s="297"/>
      <c r="C41" s="115"/>
      <c r="D41" s="116"/>
      <c r="E41" s="117"/>
      <c r="F41" s="118"/>
      <c r="G41" s="113"/>
      <c r="H41" s="195"/>
      <c r="I41" s="194"/>
      <c r="J41" s="194"/>
      <c r="K41" s="86"/>
      <c r="L41" s="255"/>
      <c r="M41" s="114" t="str">
        <f t="shared" si="1"/>
        <v xml:space="preserve">   </v>
      </c>
    </row>
    <row r="42" spans="1:13" s="55" customFormat="1" hidden="1" x14ac:dyDescent="0.2">
      <c r="A42" s="300"/>
      <c r="B42" s="297"/>
      <c r="C42" s="115"/>
      <c r="D42" s="116"/>
      <c r="E42" s="117"/>
      <c r="F42" s="118"/>
      <c r="G42" s="113"/>
      <c r="H42" s="195"/>
      <c r="I42" s="194"/>
      <c r="J42" s="194"/>
      <c r="K42" s="86"/>
      <c r="L42" s="255"/>
      <c r="M42" s="114" t="str">
        <f t="shared" si="1"/>
        <v xml:space="preserve">   </v>
      </c>
    </row>
    <row r="43" spans="1:13" s="55" customFormat="1" hidden="1" x14ac:dyDescent="0.2">
      <c r="A43" s="300"/>
      <c r="B43" s="297"/>
      <c r="C43" s="115"/>
      <c r="D43" s="116"/>
      <c r="E43" s="117"/>
      <c r="F43" s="118"/>
      <c r="G43" s="113"/>
      <c r="H43" s="195"/>
      <c r="I43" s="194"/>
      <c r="J43" s="194"/>
      <c r="K43" s="86"/>
      <c r="L43" s="255"/>
      <c r="M43" s="114" t="str">
        <f t="shared" si="1"/>
        <v xml:space="preserve">   </v>
      </c>
    </row>
    <row r="44" spans="1:13" s="55" customFormat="1" hidden="1" x14ac:dyDescent="0.2">
      <c r="A44" s="300"/>
      <c r="B44" s="297"/>
      <c r="C44" s="115"/>
      <c r="D44" s="116"/>
      <c r="E44" s="117"/>
      <c r="F44" s="118"/>
      <c r="G44" s="113"/>
      <c r="H44" s="195"/>
      <c r="I44" s="194"/>
      <c r="J44" s="194"/>
      <c r="K44" s="86"/>
      <c r="L44" s="255"/>
      <c r="M44" s="114" t="str">
        <f t="shared" si="1"/>
        <v xml:space="preserve">   </v>
      </c>
    </row>
    <row r="45" spans="1:13" s="55" customFormat="1" hidden="1" x14ac:dyDescent="0.2">
      <c r="A45" s="300"/>
      <c r="B45" s="297"/>
      <c r="C45" s="115"/>
      <c r="D45" s="116"/>
      <c r="E45" s="117"/>
      <c r="F45" s="118"/>
      <c r="G45" s="113"/>
      <c r="H45" s="195"/>
      <c r="I45" s="194"/>
      <c r="J45" s="194"/>
      <c r="K45" s="86"/>
      <c r="L45" s="255"/>
      <c r="M45" s="114" t="str">
        <f t="shared" si="1"/>
        <v xml:space="preserve">   </v>
      </c>
    </row>
    <row r="46" spans="1:13" s="55" customFormat="1" hidden="1" x14ac:dyDescent="0.2">
      <c r="A46" s="300"/>
      <c r="B46" s="297"/>
      <c r="C46" s="115"/>
      <c r="D46" s="116"/>
      <c r="E46" s="117"/>
      <c r="F46" s="118"/>
      <c r="G46" s="113"/>
      <c r="H46" s="195"/>
      <c r="I46" s="194"/>
      <c r="J46" s="194"/>
      <c r="K46" s="86"/>
      <c r="L46" s="255"/>
      <c r="M46" s="114" t="str">
        <f t="shared" si="1"/>
        <v xml:space="preserve">   </v>
      </c>
    </row>
    <row r="47" spans="1:13" s="55" customFormat="1" hidden="1" x14ac:dyDescent="0.2">
      <c r="A47" s="300"/>
      <c r="B47" s="297"/>
      <c r="C47" s="115"/>
      <c r="D47" s="116"/>
      <c r="E47" s="117"/>
      <c r="F47" s="118"/>
      <c r="G47" s="113"/>
      <c r="H47" s="195"/>
      <c r="I47" s="194"/>
      <c r="J47" s="194"/>
      <c r="K47" s="86"/>
      <c r="L47" s="255"/>
      <c r="M47" s="114" t="str">
        <f>CONCATENATE(G47," ",H47," ",I47," ",J47)</f>
        <v xml:space="preserve">   </v>
      </c>
    </row>
    <row r="48" spans="1:13" s="55" customFormat="1" hidden="1" x14ac:dyDescent="0.2">
      <c r="A48" s="300"/>
      <c r="B48" s="297"/>
      <c r="C48" s="115"/>
      <c r="D48" s="116"/>
      <c r="E48" s="117"/>
      <c r="F48" s="118"/>
      <c r="G48" s="113"/>
      <c r="H48" s="113"/>
      <c r="I48" s="112"/>
      <c r="J48" s="112"/>
      <c r="K48" s="86"/>
      <c r="L48" s="255"/>
      <c r="M48" s="114" t="str">
        <f>CONCATENATE(G48," ",H48," ",I48," ",J48)</f>
        <v xml:space="preserve">   </v>
      </c>
    </row>
    <row r="49" spans="1:13" s="55" customFormat="1" hidden="1" x14ac:dyDescent="0.2">
      <c r="A49" s="300"/>
      <c r="B49" s="297"/>
      <c r="C49" s="115"/>
      <c r="D49" s="116"/>
      <c r="E49" s="117"/>
      <c r="F49" s="118"/>
      <c r="G49" s="113"/>
      <c r="H49" s="113"/>
      <c r="I49" s="112"/>
      <c r="J49" s="112"/>
      <c r="K49" s="86"/>
      <c r="L49" s="255"/>
      <c r="M49" s="114" t="str">
        <f t="shared" si="1"/>
        <v xml:space="preserve">   </v>
      </c>
    </row>
    <row r="50" spans="1:13" s="55" customFormat="1" ht="12.75" hidden="1" customHeight="1" x14ac:dyDescent="0.2">
      <c r="A50" s="300" t="s">
        <v>72</v>
      </c>
      <c r="B50" s="297" t="s">
        <v>107</v>
      </c>
      <c r="C50" s="112"/>
      <c r="D50" s="112"/>
      <c r="E50" s="112"/>
      <c r="F50" s="112"/>
      <c r="G50" s="113"/>
      <c r="H50" s="113"/>
      <c r="I50" s="112"/>
      <c r="J50" s="112"/>
      <c r="K50" s="86"/>
      <c r="L50" s="253" t="str">
        <f>CONCATENATE(C50," ",D50," ",E50," ",F50," ",C51," ",D51," ",E51," ",F51)</f>
        <v xml:space="preserve">       </v>
      </c>
      <c r="M50" s="114" t="str">
        <f t="shared" si="1"/>
        <v xml:space="preserve">   </v>
      </c>
    </row>
    <row r="51" spans="1:13" s="55" customFormat="1" hidden="1" x14ac:dyDescent="0.2">
      <c r="A51" s="300"/>
      <c r="B51" s="297"/>
      <c r="C51" s="115"/>
      <c r="D51" s="116"/>
      <c r="E51" s="117"/>
      <c r="F51" s="118"/>
      <c r="G51" s="113"/>
      <c r="H51" s="113"/>
      <c r="I51" s="112"/>
      <c r="J51" s="112"/>
      <c r="K51" s="86"/>
      <c r="L51" s="255"/>
      <c r="M51" s="114" t="str">
        <f t="shared" si="1"/>
        <v xml:space="preserve">   </v>
      </c>
    </row>
    <row r="52" spans="1:13" s="55" customFormat="1" hidden="1" x14ac:dyDescent="0.2">
      <c r="A52" s="300"/>
      <c r="B52" s="297"/>
      <c r="C52" s="115"/>
      <c r="D52" s="116"/>
      <c r="E52" s="117"/>
      <c r="F52" s="118"/>
      <c r="G52" s="113"/>
      <c r="H52" s="113"/>
      <c r="I52" s="112"/>
      <c r="J52" s="112"/>
      <c r="K52" s="86"/>
      <c r="L52" s="255"/>
      <c r="M52" s="114" t="str">
        <f t="shared" si="1"/>
        <v xml:space="preserve">   </v>
      </c>
    </row>
    <row r="53" spans="1:13" s="55" customFormat="1" hidden="1" x14ac:dyDescent="0.2">
      <c r="A53" s="300"/>
      <c r="B53" s="297"/>
      <c r="C53" s="115"/>
      <c r="D53" s="116"/>
      <c r="E53" s="117"/>
      <c r="F53" s="118"/>
      <c r="G53" s="113"/>
      <c r="H53" s="113"/>
      <c r="I53" s="112"/>
      <c r="J53" s="112"/>
      <c r="K53" s="86"/>
      <c r="L53" s="255"/>
      <c r="M53" s="114" t="str">
        <f t="shared" si="1"/>
        <v xml:space="preserve">   </v>
      </c>
    </row>
    <row r="54" spans="1:13" s="55" customFormat="1" hidden="1" x14ac:dyDescent="0.2">
      <c r="A54" s="300"/>
      <c r="B54" s="297"/>
      <c r="C54" s="115"/>
      <c r="D54" s="116"/>
      <c r="E54" s="117"/>
      <c r="F54" s="118"/>
      <c r="G54" s="113"/>
      <c r="H54" s="113"/>
      <c r="I54" s="112"/>
      <c r="J54" s="112"/>
      <c r="K54" s="86"/>
      <c r="L54" s="255"/>
      <c r="M54" s="114" t="str">
        <f t="shared" si="1"/>
        <v xml:space="preserve">   </v>
      </c>
    </row>
    <row r="55" spans="1:13" s="55" customFormat="1" hidden="1" x14ac:dyDescent="0.2">
      <c r="A55" s="300"/>
      <c r="B55" s="297"/>
      <c r="C55" s="115"/>
      <c r="D55" s="116"/>
      <c r="E55" s="117"/>
      <c r="F55" s="118"/>
      <c r="G55" s="113"/>
      <c r="H55" s="113"/>
      <c r="I55" s="112"/>
      <c r="J55" s="112"/>
      <c r="K55" s="86"/>
      <c r="L55" s="255"/>
      <c r="M55" s="114" t="str">
        <f t="shared" si="1"/>
        <v xml:space="preserve">   </v>
      </c>
    </row>
    <row r="56" spans="1:13" s="55" customFormat="1" hidden="1" x14ac:dyDescent="0.2">
      <c r="A56" s="300"/>
      <c r="B56" s="297"/>
      <c r="C56" s="115"/>
      <c r="D56" s="116"/>
      <c r="E56" s="117"/>
      <c r="F56" s="118"/>
      <c r="G56" s="113"/>
      <c r="H56" s="113"/>
      <c r="I56" s="112"/>
      <c r="J56" s="112"/>
      <c r="K56" s="86"/>
      <c r="L56" s="255"/>
      <c r="M56" s="114" t="str">
        <f t="shared" si="1"/>
        <v xml:space="preserve">   </v>
      </c>
    </row>
    <row r="57" spans="1:13" s="55" customFormat="1" hidden="1" x14ac:dyDescent="0.2">
      <c r="A57" s="300"/>
      <c r="B57" s="297"/>
      <c r="C57" s="115"/>
      <c r="D57" s="116"/>
      <c r="E57" s="117"/>
      <c r="F57" s="118"/>
      <c r="G57" s="113"/>
      <c r="H57" s="113"/>
      <c r="I57" s="112"/>
      <c r="J57" s="112"/>
      <c r="K57" s="86"/>
      <c r="L57" s="255"/>
      <c r="M57" s="114" t="str">
        <f t="shared" si="1"/>
        <v xml:space="preserve">   </v>
      </c>
    </row>
    <row r="58" spans="1:13" s="55" customFormat="1" hidden="1" x14ac:dyDescent="0.2">
      <c r="A58" s="300"/>
      <c r="B58" s="297"/>
      <c r="C58" s="115"/>
      <c r="D58" s="116"/>
      <c r="E58" s="117"/>
      <c r="F58" s="118"/>
      <c r="G58" s="113"/>
      <c r="H58" s="113"/>
      <c r="I58" s="112"/>
      <c r="J58" s="112"/>
      <c r="K58" s="86"/>
      <c r="L58" s="255"/>
      <c r="M58" s="114" t="str">
        <f t="shared" si="1"/>
        <v xml:space="preserve">   </v>
      </c>
    </row>
    <row r="59" spans="1:13" s="55" customFormat="1" hidden="1" x14ac:dyDescent="0.2">
      <c r="A59" s="300"/>
      <c r="B59" s="297"/>
      <c r="C59" s="115"/>
      <c r="D59" s="116"/>
      <c r="E59" s="117"/>
      <c r="F59" s="118"/>
      <c r="G59" s="113"/>
      <c r="H59" s="113"/>
      <c r="I59" s="112"/>
      <c r="J59" s="112"/>
      <c r="K59" s="86"/>
      <c r="L59" s="255"/>
      <c r="M59" s="114" t="str">
        <f t="shared" si="1"/>
        <v xml:space="preserve">   </v>
      </c>
    </row>
    <row r="60" spans="1:13" s="55" customFormat="1" ht="12.75" hidden="1" customHeight="1" x14ac:dyDescent="0.2">
      <c r="A60" s="300" t="s">
        <v>72</v>
      </c>
      <c r="B60" s="297" t="s">
        <v>107</v>
      </c>
      <c r="C60" s="112"/>
      <c r="D60" s="112"/>
      <c r="E60" s="112"/>
      <c r="F60" s="112"/>
      <c r="G60" s="113"/>
      <c r="H60" s="113"/>
      <c r="I60" s="112"/>
      <c r="J60" s="112"/>
      <c r="K60" s="86"/>
      <c r="L60" s="253" t="str">
        <f>CONCATENATE(C60," ",D60," ",E60," ",F60," ",C61," ",D61," ",E61," ",F61)</f>
        <v xml:space="preserve">       </v>
      </c>
      <c r="M60" s="114" t="str">
        <f t="shared" si="1"/>
        <v xml:space="preserve">   </v>
      </c>
    </row>
    <row r="61" spans="1:13" s="55" customFormat="1" ht="4.5" hidden="1" customHeight="1" x14ac:dyDescent="0.2">
      <c r="A61" s="300"/>
      <c r="B61" s="297"/>
      <c r="C61" s="115"/>
      <c r="D61" s="116"/>
      <c r="E61" s="117"/>
      <c r="F61" s="118"/>
      <c r="G61" s="113"/>
      <c r="H61" s="113"/>
      <c r="I61" s="112"/>
      <c r="J61" s="112"/>
      <c r="K61" s="86"/>
      <c r="L61" s="255"/>
      <c r="M61" s="114" t="str">
        <f t="shared" si="1"/>
        <v xml:space="preserve">   </v>
      </c>
    </row>
    <row r="62" spans="1:13" s="55" customFormat="1" hidden="1" x14ac:dyDescent="0.2">
      <c r="A62" s="300"/>
      <c r="B62" s="297"/>
      <c r="C62" s="115"/>
      <c r="D62" s="116"/>
      <c r="E62" s="117"/>
      <c r="F62" s="118"/>
      <c r="G62" s="113"/>
      <c r="H62" s="113"/>
      <c r="I62" s="112"/>
      <c r="J62" s="112"/>
      <c r="K62" s="86"/>
      <c r="L62" s="255"/>
      <c r="M62" s="114" t="str">
        <f t="shared" si="1"/>
        <v xml:space="preserve">   </v>
      </c>
    </row>
    <row r="63" spans="1:13" s="55" customFormat="1" hidden="1" x14ac:dyDescent="0.2">
      <c r="A63" s="300"/>
      <c r="B63" s="297"/>
      <c r="C63" s="115"/>
      <c r="D63" s="116"/>
      <c r="E63" s="117"/>
      <c r="F63" s="118"/>
      <c r="G63" s="113"/>
      <c r="H63" s="113"/>
      <c r="I63" s="112"/>
      <c r="J63" s="112"/>
      <c r="K63" s="86"/>
      <c r="L63" s="255"/>
      <c r="M63" s="114" t="str">
        <f t="shared" si="1"/>
        <v xml:space="preserve">   </v>
      </c>
    </row>
    <row r="64" spans="1:13" s="55" customFormat="1" hidden="1" x14ac:dyDescent="0.2">
      <c r="A64" s="300"/>
      <c r="B64" s="297"/>
      <c r="C64" s="115"/>
      <c r="D64" s="116"/>
      <c r="E64" s="117"/>
      <c r="F64" s="118"/>
      <c r="G64" s="113"/>
      <c r="H64" s="113"/>
      <c r="I64" s="112"/>
      <c r="J64" s="112"/>
      <c r="K64" s="86"/>
      <c r="L64" s="255"/>
      <c r="M64" s="114" t="str">
        <f t="shared" si="1"/>
        <v xml:space="preserve">   </v>
      </c>
    </row>
    <row r="65" spans="1:13" s="55" customFormat="1" hidden="1" x14ac:dyDescent="0.2">
      <c r="A65" s="300"/>
      <c r="B65" s="297"/>
      <c r="C65" s="115"/>
      <c r="D65" s="116"/>
      <c r="E65" s="117"/>
      <c r="F65" s="118"/>
      <c r="G65" s="113"/>
      <c r="H65" s="113"/>
      <c r="I65" s="112"/>
      <c r="J65" s="112"/>
      <c r="K65" s="86"/>
      <c r="L65" s="255"/>
      <c r="M65" s="114" t="str">
        <f t="shared" si="1"/>
        <v xml:space="preserve">   </v>
      </c>
    </row>
    <row r="66" spans="1:13" s="55" customFormat="1" hidden="1" x14ac:dyDescent="0.2">
      <c r="A66" s="300"/>
      <c r="B66" s="297"/>
      <c r="C66" s="115"/>
      <c r="D66" s="116"/>
      <c r="E66" s="117"/>
      <c r="F66" s="118"/>
      <c r="G66" s="113"/>
      <c r="H66" s="113"/>
      <c r="I66" s="112"/>
      <c r="J66" s="112"/>
      <c r="K66" s="86"/>
      <c r="L66" s="255"/>
      <c r="M66" s="114" t="str">
        <f t="shared" si="1"/>
        <v xml:space="preserve">   </v>
      </c>
    </row>
    <row r="67" spans="1:13" s="55" customFormat="1" hidden="1" x14ac:dyDescent="0.2">
      <c r="A67" s="300"/>
      <c r="B67" s="297"/>
      <c r="C67" s="115"/>
      <c r="D67" s="116"/>
      <c r="E67" s="117"/>
      <c r="F67" s="118"/>
      <c r="G67" s="113"/>
      <c r="H67" s="113"/>
      <c r="I67" s="112"/>
      <c r="J67" s="112"/>
      <c r="K67" s="86"/>
      <c r="L67" s="255"/>
      <c r="M67" s="114" t="str">
        <f t="shared" si="1"/>
        <v xml:space="preserve">   </v>
      </c>
    </row>
    <row r="68" spans="1:13" s="55" customFormat="1" hidden="1" x14ac:dyDescent="0.2">
      <c r="A68" s="300"/>
      <c r="B68" s="297"/>
      <c r="C68" s="115"/>
      <c r="D68" s="116"/>
      <c r="E68" s="117"/>
      <c r="F68" s="118"/>
      <c r="G68" s="113"/>
      <c r="H68" s="113"/>
      <c r="I68" s="112"/>
      <c r="J68" s="112"/>
      <c r="K68" s="86"/>
      <c r="L68" s="255"/>
      <c r="M68" s="114" t="str">
        <f t="shared" si="1"/>
        <v xml:space="preserve">   </v>
      </c>
    </row>
    <row r="69" spans="1:13" s="55" customFormat="1" hidden="1" x14ac:dyDescent="0.2">
      <c r="A69" s="300"/>
      <c r="B69" s="297"/>
      <c r="C69" s="115"/>
      <c r="D69" s="116"/>
      <c r="E69" s="117"/>
      <c r="F69" s="118"/>
      <c r="G69" s="113"/>
      <c r="H69" s="113"/>
      <c r="I69" s="112"/>
      <c r="J69" s="112"/>
      <c r="K69" s="86"/>
      <c r="L69" s="255"/>
      <c r="M69" s="114" t="str">
        <f t="shared" si="1"/>
        <v xml:space="preserve">   </v>
      </c>
    </row>
    <row r="70" spans="1:13" s="55" customFormat="1" ht="12.75" hidden="1" customHeight="1" x14ac:dyDescent="0.2">
      <c r="A70" s="300" t="s">
        <v>72</v>
      </c>
      <c r="B70" s="297" t="s">
        <v>107</v>
      </c>
      <c r="C70" s="112"/>
      <c r="D70" s="112"/>
      <c r="E70" s="112"/>
      <c r="F70" s="112"/>
      <c r="G70" s="113"/>
      <c r="H70" s="113"/>
      <c r="I70" s="112"/>
      <c r="J70" s="112"/>
      <c r="K70" s="86"/>
      <c r="L70" s="253" t="str">
        <f>CONCATENATE(C70," ",D70," ",E70," ",F70," ",C71," ",D71," ",E71," ",F71)</f>
        <v xml:space="preserve">       </v>
      </c>
      <c r="M70" s="114" t="str">
        <f t="shared" si="1"/>
        <v xml:space="preserve">   </v>
      </c>
    </row>
    <row r="71" spans="1:13" s="55" customFormat="1" hidden="1" x14ac:dyDescent="0.2">
      <c r="A71" s="300"/>
      <c r="B71" s="297"/>
      <c r="C71" s="115"/>
      <c r="D71" s="116"/>
      <c r="E71" s="117"/>
      <c r="F71" s="118"/>
      <c r="G71" s="113"/>
      <c r="H71" s="113"/>
      <c r="I71" s="112"/>
      <c r="J71" s="112"/>
      <c r="K71" s="86"/>
      <c r="L71" s="255"/>
      <c r="M71" s="114" t="str">
        <f t="shared" si="1"/>
        <v xml:space="preserve">   </v>
      </c>
    </row>
    <row r="72" spans="1:13" s="55" customFormat="1" hidden="1" x14ac:dyDescent="0.2">
      <c r="A72" s="300"/>
      <c r="B72" s="297"/>
      <c r="C72" s="115"/>
      <c r="D72" s="116"/>
      <c r="E72" s="117"/>
      <c r="F72" s="118"/>
      <c r="G72" s="113"/>
      <c r="H72" s="113"/>
      <c r="I72" s="112"/>
      <c r="J72" s="112"/>
      <c r="K72" s="86"/>
      <c r="L72" s="255"/>
      <c r="M72" s="114" t="str">
        <f t="shared" si="1"/>
        <v xml:space="preserve">   </v>
      </c>
    </row>
    <row r="73" spans="1:13" s="55" customFormat="1" hidden="1" x14ac:dyDescent="0.2">
      <c r="A73" s="300"/>
      <c r="B73" s="297"/>
      <c r="C73" s="115"/>
      <c r="D73" s="116"/>
      <c r="E73" s="117"/>
      <c r="F73" s="118"/>
      <c r="G73" s="113"/>
      <c r="H73" s="113"/>
      <c r="I73" s="112"/>
      <c r="J73" s="112"/>
      <c r="K73" s="86"/>
      <c r="L73" s="255"/>
      <c r="M73" s="114" t="str">
        <f t="shared" si="1"/>
        <v xml:space="preserve">   </v>
      </c>
    </row>
    <row r="74" spans="1:13" s="55" customFormat="1" hidden="1" x14ac:dyDescent="0.2">
      <c r="A74" s="300"/>
      <c r="B74" s="297"/>
      <c r="C74" s="115"/>
      <c r="D74" s="116"/>
      <c r="E74" s="117"/>
      <c r="F74" s="118"/>
      <c r="G74" s="113"/>
      <c r="H74" s="113"/>
      <c r="I74" s="112"/>
      <c r="J74" s="112"/>
      <c r="K74" s="86"/>
      <c r="L74" s="255"/>
      <c r="M74" s="114" t="str">
        <f t="shared" si="1"/>
        <v xml:space="preserve">   </v>
      </c>
    </row>
    <row r="75" spans="1:13" s="55" customFormat="1" hidden="1" x14ac:dyDescent="0.2">
      <c r="A75" s="300"/>
      <c r="B75" s="297"/>
      <c r="C75" s="115"/>
      <c r="D75" s="116"/>
      <c r="E75" s="117"/>
      <c r="F75" s="118"/>
      <c r="G75" s="113"/>
      <c r="H75" s="113"/>
      <c r="I75" s="112"/>
      <c r="J75" s="112"/>
      <c r="K75" s="86"/>
      <c r="L75" s="255"/>
      <c r="M75" s="114" t="str">
        <f t="shared" ref="M75:M138" si="2">CONCATENATE(G75," ",H75," ",I75," ",J75)</f>
        <v xml:space="preserve">   </v>
      </c>
    </row>
    <row r="76" spans="1:13" s="55" customFormat="1" hidden="1" x14ac:dyDescent="0.2">
      <c r="A76" s="300"/>
      <c r="B76" s="297"/>
      <c r="C76" s="115"/>
      <c r="D76" s="116"/>
      <c r="E76" s="117"/>
      <c r="F76" s="118"/>
      <c r="G76" s="113"/>
      <c r="H76" s="113"/>
      <c r="I76" s="112"/>
      <c r="J76" s="112"/>
      <c r="K76" s="86"/>
      <c r="L76" s="255"/>
      <c r="M76" s="114" t="str">
        <f t="shared" si="2"/>
        <v xml:space="preserve">   </v>
      </c>
    </row>
    <row r="77" spans="1:13" s="55" customFormat="1" hidden="1" x14ac:dyDescent="0.2">
      <c r="A77" s="300"/>
      <c r="B77" s="297"/>
      <c r="C77" s="115"/>
      <c r="D77" s="116"/>
      <c r="E77" s="117"/>
      <c r="F77" s="118"/>
      <c r="G77" s="113"/>
      <c r="H77" s="113"/>
      <c r="I77" s="112"/>
      <c r="J77" s="112"/>
      <c r="K77" s="86"/>
      <c r="L77" s="255"/>
      <c r="M77" s="114" t="str">
        <f t="shared" si="2"/>
        <v xml:space="preserve">   </v>
      </c>
    </row>
    <row r="78" spans="1:13" s="55" customFormat="1" hidden="1" x14ac:dyDescent="0.2">
      <c r="A78" s="300"/>
      <c r="B78" s="297"/>
      <c r="C78" s="115"/>
      <c r="D78" s="116"/>
      <c r="E78" s="117"/>
      <c r="F78" s="118"/>
      <c r="G78" s="113"/>
      <c r="H78" s="113"/>
      <c r="I78" s="112"/>
      <c r="J78" s="112"/>
      <c r="K78" s="86"/>
      <c r="L78" s="255"/>
      <c r="M78" s="114" t="str">
        <f t="shared" si="2"/>
        <v xml:space="preserve">   </v>
      </c>
    </row>
    <row r="79" spans="1:13" s="55" customFormat="1" hidden="1" x14ac:dyDescent="0.2">
      <c r="A79" s="300"/>
      <c r="B79" s="297"/>
      <c r="C79" s="115"/>
      <c r="D79" s="116"/>
      <c r="E79" s="117"/>
      <c r="F79" s="118"/>
      <c r="G79" s="113"/>
      <c r="H79" s="113"/>
      <c r="I79" s="112"/>
      <c r="J79" s="112"/>
      <c r="K79" s="86"/>
      <c r="L79" s="255"/>
      <c r="M79" s="114" t="str">
        <f t="shared" si="2"/>
        <v xml:space="preserve">   </v>
      </c>
    </row>
    <row r="80" spans="1:13" s="55" customFormat="1" ht="12.75" hidden="1" customHeight="1" x14ac:dyDescent="0.2">
      <c r="A80" s="300" t="s">
        <v>72</v>
      </c>
      <c r="B80" s="297" t="s">
        <v>107</v>
      </c>
      <c r="C80" s="112"/>
      <c r="D80" s="112"/>
      <c r="E80" s="112"/>
      <c r="F80" s="112"/>
      <c r="G80" s="113"/>
      <c r="H80" s="113"/>
      <c r="I80" s="112"/>
      <c r="J80" s="112"/>
      <c r="K80" s="86"/>
      <c r="L80" s="253" t="str">
        <f>CONCATENATE(C80," ",D80," ",E80," ",F80," ",C81," ",D81," ",E81," ",F81)</f>
        <v xml:space="preserve">       </v>
      </c>
      <c r="M80" s="114" t="str">
        <f t="shared" si="2"/>
        <v xml:space="preserve">   </v>
      </c>
    </row>
    <row r="81" spans="1:13" s="55" customFormat="1" hidden="1" x14ac:dyDescent="0.2">
      <c r="A81" s="300"/>
      <c r="B81" s="297"/>
      <c r="C81" s="115"/>
      <c r="D81" s="116"/>
      <c r="E81" s="117"/>
      <c r="F81" s="118"/>
      <c r="G81" s="113"/>
      <c r="H81" s="113"/>
      <c r="I81" s="112"/>
      <c r="J81" s="112"/>
      <c r="K81" s="86"/>
      <c r="L81" s="255"/>
      <c r="M81" s="114" t="str">
        <f t="shared" si="2"/>
        <v xml:space="preserve">   </v>
      </c>
    </row>
    <row r="82" spans="1:13" s="55" customFormat="1" hidden="1" x14ac:dyDescent="0.2">
      <c r="A82" s="300"/>
      <c r="B82" s="297"/>
      <c r="C82" s="115"/>
      <c r="D82" s="116"/>
      <c r="E82" s="117"/>
      <c r="F82" s="118"/>
      <c r="G82" s="113"/>
      <c r="H82" s="113"/>
      <c r="I82" s="112"/>
      <c r="J82" s="112"/>
      <c r="K82" s="86"/>
      <c r="L82" s="255"/>
      <c r="M82" s="114" t="str">
        <f t="shared" si="2"/>
        <v xml:space="preserve">   </v>
      </c>
    </row>
    <row r="83" spans="1:13" s="55" customFormat="1" hidden="1" x14ac:dyDescent="0.2">
      <c r="A83" s="300"/>
      <c r="B83" s="297"/>
      <c r="C83" s="115"/>
      <c r="D83" s="116"/>
      <c r="E83" s="117"/>
      <c r="F83" s="118"/>
      <c r="G83" s="113"/>
      <c r="H83" s="113"/>
      <c r="I83" s="112"/>
      <c r="J83" s="112"/>
      <c r="K83" s="86"/>
      <c r="L83" s="255"/>
      <c r="M83" s="114" t="str">
        <f t="shared" si="2"/>
        <v xml:space="preserve">   </v>
      </c>
    </row>
    <row r="84" spans="1:13" s="55" customFormat="1" hidden="1" x14ac:dyDescent="0.2">
      <c r="A84" s="300"/>
      <c r="B84" s="297"/>
      <c r="C84" s="115"/>
      <c r="D84" s="116"/>
      <c r="E84" s="117"/>
      <c r="F84" s="118"/>
      <c r="G84" s="113"/>
      <c r="H84" s="113"/>
      <c r="I84" s="112"/>
      <c r="J84" s="112"/>
      <c r="K84" s="86"/>
      <c r="L84" s="255"/>
      <c r="M84" s="114" t="str">
        <f t="shared" si="2"/>
        <v xml:space="preserve">   </v>
      </c>
    </row>
    <row r="85" spans="1:13" s="55" customFormat="1" hidden="1" x14ac:dyDescent="0.2">
      <c r="A85" s="300"/>
      <c r="B85" s="297"/>
      <c r="C85" s="115"/>
      <c r="D85" s="116"/>
      <c r="E85" s="117"/>
      <c r="F85" s="118"/>
      <c r="G85" s="113"/>
      <c r="H85" s="113"/>
      <c r="I85" s="112"/>
      <c r="J85" s="112"/>
      <c r="K85" s="86"/>
      <c r="L85" s="255"/>
      <c r="M85" s="114" t="str">
        <f t="shared" si="2"/>
        <v xml:space="preserve">   </v>
      </c>
    </row>
    <row r="86" spans="1:13" s="55" customFormat="1" hidden="1" x14ac:dyDescent="0.2">
      <c r="A86" s="300"/>
      <c r="B86" s="297"/>
      <c r="C86" s="115"/>
      <c r="D86" s="116"/>
      <c r="E86" s="117"/>
      <c r="F86" s="118"/>
      <c r="G86" s="113"/>
      <c r="H86" s="113"/>
      <c r="I86" s="112"/>
      <c r="J86" s="112"/>
      <c r="K86" s="86"/>
      <c r="L86" s="255"/>
      <c r="M86" s="114" t="str">
        <f t="shared" si="2"/>
        <v xml:space="preserve">   </v>
      </c>
    </row>
    <row r="87" spans="1:13" s="55" customFormat="1" hidden="1" x14ac:dyDescent="0.2">
      <c r="A87" s="300"/>
      <c r="B87" s="297"/>
      <c r="C87" s="115"/>
      <c r="D87" s="116"/>
      <c r="E87" s="117"/>
      <c r="F87" s="118"/>
      <c r="G87" s="113"/>
      <c r="H87" s="113"/>
      <c r="I87" s="112"/>
      <c r="J87" s="112"/>
      <c r="K87" s="86"/>
      <c r="L87" s="255"/>
      <c r="M87" s="114" t="str">
        <f t="shared" si="2"/>
        <v xml:space="preserve">   </v>
      </c>
    </row>
    <row r="88" spans="1:13" s="55" customFormat="1" hidden="1" x14ac:dyDescent="0.2">
      <c r="A88" s="300"/>
      <c r="B88" s="297"/>
      <c r="C88" s="115"/>
      <c r="D88" s="116"/>
      <c r="E88" s="117"/>
      <c r="F88" s="118"/>
      <c r="G88" s="113"/>
      <c r="H88" s="113"/>
      <c r="I88" s="112"/>
      <c r="J88" s="112"/>
      <c r="K88" s="86"/>
      <c r="L88" s="255"/>
      <c r="M88" s="114" t="str">
        <f t="shared" si="2"/>
        <v xml:space="preserve">   </v>
      </c>
    </row>
    <row r="89" spans="1:13" s="55" customFormat="1" hidden="1" x14ac:dyDescent="0.2">
      <c r="A89" s="300"/>
      <c r="B89" s="297"/>
      <c r="C89" s="115"/>
      <c r="D89" s="116"/>
      <c r="E89" s="117"/>
      <c r="F89" s="118"/>
      <c r="G89" s="113"/>
      <c r="H89" s="113"/>
      <c r="I89" s="112"/>
      <c r="J89" s="112"/>
      <c r="K89" s="86"/>
      <c r="L89" s="255"/>
      <c r="M89" s="114" t="str">
        <f t="shared" si="2"/>
        <v xml:space="preserve">   </v>
      </c>
    </row>
    <row r="90" spans="1:13" s="55" customFormat="1" ht="12.75" hidden="1" customHeight="1" x14ac:dyDescent="0.2">
      <c r="A90" s="300" t="s">
        <v>72</v>
      </c>
      <c r="B90" s="297" t="s">
        <v>107</v>
      </c>
      <c r="C90" s="112"/>
      <c r="D90" s="112"/>
      <c r="E90" s="112"/>
      <c r="F90" s="112"/>
      <c r="G90" s="113"/>
      <c r="H90" s="113"/>
      <c r="I90" s="112"/>
      <c r="J90" s="112"/>
      <c r="K90" s="86"/>
      <c r="L90" s="253" t="str">
        <f>CONCATENATE(C90," ",D90," ",E90," ",F90," ",C91," ",D91," ",E91," ",F91)</f>
        <v xml:space="preserve">       </v>
      </c>
      <c r="M90" s="114" t="str">
        <f t="shared" si="2"/>
        <v xml:space="preserve">   </v>
      </c>
    </row>
    <row r="91" spans="1:13" s="55" customFormat="1" hidden="1" x14ac:dyDescent="0.2">
      <c r="A91" s="300"/>
      <c r="B91" s="297"/>
      <c r="C91" s="115"/>
      <c r="D91" s="116"/>
      <c r="E91" s="117"/>
      <c r="F91" s="118"/>
      <c r="G91" s="113"/>
      <c r="H91" s="113"/>
      <c r="I91" s="112"/>
      <c r="J91" s="112"/>
      <c r="K91" s="86"/>
      <c r="L91" s="255"/>
      <c r="M91" s="114" t="str">
        <f t="shared" si="2"/>
        <v xml:space="preserve">   </v>
      </c>
    </row>
    <row r="92" spans="1:13" s="55" customFormat="1" hidden="1" x14ac:dyDescent="0.2">
      <c r="A92" s="300"/>
      <c r="B92" s="297"/>
      <c r="C92" s="115"/>
      <c r="D92" s="116"/>
      <c r="E92" s="117"/>
      <c r="F92" s="118"/>
      <c r="G92" s="113"/>
      <c r="H92" s="113"/>
      <c r="I92" s="112"/>
      <c r="J92" s="112"/>
      <c r="K92" s="86"/>
      <c r="L92" s="255"/>
      <c r="M92" s="114" t="str">
        <f t="shared" si="2"/>
        <v xml:space="preserve">   </v>
      </c>
    </row>
    <row r="93" spans="1:13" s="55" customFormat="1" hidden="1" x14ac:dyDescent="0.2">
      <c r="A93" s="300"/>
      <c r="B93" s="297"/>
      <c r="C93" s="115"/>
      <c r="D93" s="116"/>
      <c r="E93" s="117"/>
      <c r="F93" s="118"/>
      <c r="G93" s="113"/>
      <c r="H93" s="113"/>
      <c r="I93" s="112"/>
      <c r="J93" s="112"/>
      <c r="K93" s="86"/>
      <c r="L93" s="255"/>
      <c r="M93" s="114" t="str">
        <f t="shared" si="2"/>
        <v xml:space="preserve">   </v>
      </c>
    </row>
    <row r="94" spans="1:13" s="55" customFormat="1" hidden="1" x14ac:dyDescent="0.2">
      <c r="A94" s="300"/>
      <c r="B94" s="297"/>
      <c r="C94" s="115"/>
      <c r="D94" s="116"/>
      <c r="E94" s="117"/>
      <c r="F94" s="118"/>
      <c r="G94" s="113"/>
      <c r="H94" s="113"/>
      <c r="I94" s="112"/>
      <c r="J94" s="112"/>
      <c r="K94" s="86"/>
      <c r="L94" s="255"/>
      <c r="M94" s="114" t="str">
        <f t="shared" si="2"/>
        <v xml:space="preserve">   </v>
      </c>
    </row>
    <row r="95" spans="1:13" s="55" customFormat="1" hidden="1" x14ac:dyDescent="0.2">
      <c r="A95" s="300"/>
      <c r="B95" s="297"/>
      <c r="C95" s="115"/>
      <c r="D95" s="116"/>
      <c r="E95" s="117"/>
      <c r="F95" s="118"/>
      <c r="G95" s="113"/>
      <c r="H95" s="113"/>
      <c r="I95" s="112"/>
      <c r="J95" s="112"/>
      <c r="K95" s="86"/>
      <c r="L95" s="255"/>
      <c r="M95" s="114" t="str">
        <f t="shared" si="2"/>
        <v xml:space="preserve">   </v>
      </c>
    </row>
    <row r="96" spans="1:13" s="55" customFormat="1" hidden="1" x14ac:dyDescent="0.2">
      <c r="A96" s="300"/>
      <c r="B96" s="297"/>
      <c r="C96" s="115"/>
      <c r="D96" s="116"/>
      <c r="E96" s="117"/>
      <c r="F96" s="118"/>
      <c r="G96" s="113"/>
      <c r="H96" s="113"/>
      <c r="I96" s="112"/>
      <c r="J96" s="112"/>
      <c r="K96" s="86"/>
      <c r="L96" s="255"/>
      <c r="M96" s="114" t="str">
        <f t="shared" si="2"/>
        <v xml:space="preserve">   </v>
      </c>
    </row>
    <row r="97" spans="1:13" s="55" customFormat="1" hidden="1" x14ac:dyDescent="0.2">
      <c r="A97" s="300"/>
      <c r="B97" s="297"/>
      <c r="C97" s="115"/>
      <c r="D97" s="116"/>
      <c r="E97" s="117"/>
      <c r="F97" s="118"/>
      <c r="G97" s="113"/>
      <c r="H97" s="113"/>
      <c r="I97" s="112"/>
      <c r="J97" s="112"/>
      <c r="K97" s="86"/>
      <c r="L97" s="255"/>
      <c r="M97" s="114" t="str">
        <f t="shared" si="2"/>
        <v xml:space="preserve">   </v>
      </c>
    </row>
    <row r="98" spans="1:13" s="55" customFormat="1" hidden="1" x14ac:dyDescent="0.2">
      <c r="A98" s="300"/>
      <c r="B98" s="297"/>
      <c r="C98" s="115"/>
      <c r="D98" s="116"/>
      <c r="E98" s="117"/>
      <c r="F98" s="118"/>
      <c r="G98" s="113"/>
      <c r="H98" s="113"/>
      <c r="I98" s="112"/>
      <c r="J98" s="112"/>
      <c r="K98" s="86"/>
      <c r="L98" s="255"/>
      <c r="M98" s="114" t="str">
        <f t="shared" si="2"/>
        <v xml:space="preserve">   </v>
      </c>
    </row>
    <row r="99" spans="1:13" s="55" customFormat="1" hidden="1" x14ac:dyDescent="0.2">
      <c r="A99" s="300"/>
      <c r="B99" s="297"/>
      <c r="C99" s="115"/>
      <c r="D99" s="116"/>
      <c r="E99" s="117"/>
      <c r="F99" s="118"/>
      <c r="G99" s="113"/>
      <c r="H99" s="113"/>
      <c r="I99" s="112"/>
      <c r="J99" s="112"/>
      <c r="K99" s="86"/>
      <c r="L99" s="255"/>
      <c r="M99" s="114" t="str">
        <f t="shared" si="2"/>
        <v xml:space="preserve">   </v>
      </c>
    </row>
    <row r="100" spans="1:13" s="55" customFormat="1" ht="12.75" hidden="1" customHeight="1" x14ac:dyDescent="0.2">
      <c r="A100" s="300" t="s">
        <v>72</v>
      </c>
      <c r="B100" s="297" t="s">
        <v>107</v>
      </c>
      <c r="C100" s="112"/>
      <c r="D100" s="112"/>
      <c r="E100" s="112"/>
      <c r="F100" s="112"/>
      <c r="G100" s="113"/>
      <c r="H100" s="113"/>
      <c r="I100" s="112"/>
      <c r="J100" s="112"/>
      <c r="K100" s="86"/>
      <c r="L100" s="253" t="str">
        <f>CONCATENATE(C100," ",D100," ",E100," ",F100," ",C101," ",D101," ",E101," ",F101)</f>
        <v xml:space="preserve">       </v>
      </c>
      <c r="M100" s="114" t="str">
        <f t="shared" si="2"/>
        <v xml:space="preserve">   </v>
      </c>
    </row>
    <row r="101" spans="1:13" s="55" customFormat="1" hidden="1" x14ac:dyDescent="0.2">
      <c r="A101" s="300"/>
      <c r="B101" s="297"/>
      <c r="C101" s="115"/>
      <c r="D101" s="116"/>
      <c r="E101" s="117"/>
      <c r="F101" s="118"/>
      <c r="G101" s="113"/>
      <c r="H101" s="113"/>
      <c r="I101" s="112"/>
      <c r="J101" s="112"/>
      <c r="K101" s="86"/>
      <c r="L101" s="255"/>
      <c r="M101" s="114" t="str">
        <f t="shared" si="2"/>
        <v xml:space="preserve">   </v>
      </c>
    </row>
    <row r="102" spans="1:13" s="55" customFormat="1" hidden="1" x14ac:dyDescent="0.2">
      <c r="A102" s="300"/>
      <c r="B102" s="297"/>
      <c r="C102" s="115"/>
      <c r="D102" s="116"/>
      <c r="E102" s="117"/>
      <c r="F102" s="118"/>
      <c r="G102" s="113"/>
      <c r="H102" s="113"/>
      <c r="I102" s="112"/>
      <c r="J102" s="112"/>
      <c r="K102" s="86"/>
      <c r="L102" s="255"/>
      <c r="M102" s="114" t="str">
        <f t="shared" si="2"/>
        <v xml:space="preserve">   </v>
      </c>
    </row>
    <row r="103" spans="1:13" s="55" customFormat="1" hidden="1" x14ac:dyDescent="0.2">
      <c r="A103" s="300"/>
      <c r="B103" s="297"/>
      <c r="C103" s="115"/>
      <c r="D103" s="116"/>
      <c r="E103" s="117"/>
      <c r="F103" s="118"/>
      <c r="G103" s="113"/>
      <c r="H103" s="113"/>
      <c r="I103" s="112"/>
      <c r="J103" s="112"/>
      <c r="K103" s="86"/>
      <c r="L103" s="255"/>
      <c r="M103" s="114" t="str">
        <f t="shared" si="2"/>
        <v xml:space="preserve">   </v>
      </c>
    </row>
    <row r="104" spans="1:13" s="55" customFormat="1" hidden="1" x14ac:dyDescent="0.2">
      <c r="A104" s="300"/>
      <c r="B104" s="297"/>
      <c r="C104" s="115"/>
      <c r="D104" s="116"/>
      <c r="E104" s="117"/>
      <c r="F104" s="118"/>
      <c r="G104" s="113"/>
      <c r="H104" s="113"/>
      <c r="I104" s="112"/>
      <c r="J104" s="112"/>
      <c r="K104" s="86"/>
      <c r="L104" s="255"/>
      <c r="M104" s="114" t="str">
        <f t="shared" si="2"/>
        <v xml:space="preserve">   </v>
      </c>
    </row>
    <row r="105" spans="1:13" s="55" customFormat="1" hidden="1" x14ac:dyDescent="0.2">
      <c r="A105" s="300"/>
      <c r="B105" s="297"/>
      <c r="C105" s="115"/>
      <c r="D105" s="116"/>
      <c r="E105" s="117"/>
      <c r="F105" s="118"/>
      <c r="G105" s="113"/>
      <c r="H105" s="113"/>
      <c r="I105" s="112"/>
      <c r="J105" s="112"/>
      <c r="K105" s="86"/>
      <c r="L105" s="255"/>
      <c r="M105" s="114" t="str">
        <f t="shared" si="2"/>
        <v xml:space="preserve">   </v>
      </c>
    </row>
    <row r="106" spans="1:13" s="55" customFormat="1" hidden="1" x14ac:dyDescent="0.2">
      <c r="A106" s="300"/>
      <c r="B106" s="297"/>
      <c r="C106" s="115"/>
      <c r="D106" s="116"/>
      <c r="E106" s="117"/>
      <c r="F106" s="118"/>
      <c r="G106" s="113"/>
      <c r="H106" s="113"/>
      <c r="I106" s="112"/>
      <c r="J106" s="112"/>
      <c r="K106" s="86"/>
      <c r="L106" s="255"/>
      <c r="M106" s="114" t="str">
        <f t="shared" si="2"/>
        <v xml:space="preserve">   </v>
      </c>
    </row>
    <row r="107" spans="1:13" s="55" customFormat="1" hidden="1" x14ac:dyDescent="0.2">
      <c r="A107" s="300"/>
      <c r="B107" s="297"/>
      <c r="C107" s="115"/>
      <c r="D107" s="116"/>
      <c r="E107" s="117"/>
      <c r="F107" s="118"/>
      <c r="G107" s="113"/>
      <c r="H107" s="113"/>
      <c r="I107" s="112"/>
      <c r="J107" s="112"/>
      <c r="K107" s="86"/>
      <c r="L107" s="255"/>
      <c r="M107" s="114" t="str">
        <f t="shared" si="2"/>
        <v xml:space="preserve">   </v>
      </c>
    </row>
    <row r="108" spans="1:13" s="55" customFormat="1" hidden="1" x14ac:dyDescent="0.2">
      <c r="A108" s="300"/>
      <c r="B108" s="297"/>
      <c r="C108" s="115"/>
      <c r="D108" s="116"/>
      <c r="E108" s="117"/>
      <c r="F108" s="118"/>
      <c r="G108" s="113"/>
      <c r="H108" s="113"/>
      <c r="I108" s="112"/>
      <c r="J108" s="112"/>
      <c r="K108" s="86"/>
      <c r="L108" s="255"/>
      <c r="M108" s="114" t="str">
        <f t="shared" si="2"/>
        <v xml:space="preserve">   </v>
      </c>
    </row>
    <row r="109" spans="1:13" s="55" customFormat="1" hidden="1" x14ac:dyDescent="0.2">
      <c r="A109" s="300"/>
      <c r="B109" s="297"/>
      <c r="C109" s="115"/>
      <c r="D109" s="116"/>
      <c r="E109" s="117"/>
      <c r="F109" s="118"/>
      <c r="G109" s="113"/>
      <c r="H109" s="113"/>
      <c r="I109" s="112"/>
      <c r="J109" s="112"/>
      <c r="K109" s="86"/>
      <c r="L109" s="255"/>
      <c r="M109" s="114" t="str">
        <f t="shared" si="2"/>
        <v xml:space="preserve">   </v>
      </c>
    </row>
    <row r="110" spans="1:13" s="55" customFormat="1" ht="12.75" hidden="1" customHeight="1" x14ac:dyDescent="0.2">
      <c r="A110" s="300" t="s">
        <v>72</v>
      </c>
      <c r="B110" s="297" t="s">
        <v>107</v>
      </c>
      <c r="C110" s="112"/>
      <c r="D110" s="112"/>
      <c r="E110" s="112"/>
      <c r="F110" s="112"/>
      <c r="G110" s="113"/>
      <c r="H110" s="113"/>
      <c r="I110" s="112"/>
      <c r="J110" s="112"/>
      <c r="K110" s="86"/>
      <c r="L110" s="253" t="str">
        <f>CONCATENATE(C110," ",D110," ",E110," ",F110," ",C111," ",D111," ",E111," ",F111)</f>
        <v xml:space="preserve">       </v>
      </c>
      <c r="M110" s="114" t="str">
        <f t="shared" si="2"/>
        <v xml:space="preserve">   </v>
      </c>
    </row>
    <row r="111" spans="1:13" s="55" customFormat="1" hidden="1" x14ac:dyDescent="0.2">
      <c r="A111" s="300"/>
      <c r="B111" s="297"/>
      <c r="C111" s="115"/>
      <c r="D111" s="116"/>
      <c r="E111" s="117"/>
      <c r="F111" s="118"/>
      <c r="G111" s="113"/>
      <c r="H111" s="113"/>
      <c r="I111" s="112"/>
      <c r="J111" s="112"/>
      <c r="K111" s="86"/>
      <c r="L111" s="255"/>
      <c r="M111" s="114" t="str">
        <f t="shared" si="2"/>
        <v xml:space="preserve">   </v>
      </c>
    </row>
    <row r="112" spans="1:13" s="55" customFormat="1" hidden="1" x14ac:dyDescent="0.2">
      <c r="A112" s="300"/>
      <c r="B112" s="297"/>
      <c r="C112" s="115"/>
      <c r="D112" s="116"/>
      <c r="E112" s="117"/>
      <c r="F112" s="118"/>
      <c r="G112" s="113"/>
      <c r="H112" s="113"/>
      <c r="I112" s="112"/>
      <c r="J112" s="112"/>
      <c r="K112" s="86"/>
      <c r="L112" s="255"/>
      <c r="M112" s="114" t="str">
        <f t="shared" si="2"/>
        <v xml:space="preserve">   </v>
      </c>
    </row>
    <row r="113" spans="1:13" s="55" customFormat="1" hidden="1" x14ac:dyDescent="0.2">
      <c r="A113" s="300"/>
      <c r="B113" s="297"/>
      <c r="C113" s="115"/>
      <c r="D113" s="116"/>
      <c r="E113" s="117"/>
      <c r="F113" s="118"/>
      <c r="G113" s="113"/>
      <c r="H113" s="113"/>
      <c r="I113" s="112"/>
      <c r="J113" s="112"/>
      <c r="K113" s="86"/>
      <c r="L113" s="255"/>
      <c r="M113" s="114" t="str">
        <f t="shared" si="2"/>
        <v xml:space="preserve">   </v>
      </c>
    </row>
    <row r="114" spans="1:13" s="55" customFormat="1" hidden="1" x14ac:dyDescent="0.2">
      <c r="A114" s="300"/>
      <c r="B114" s="297"/>
      <c r="C114" s="115"/>
      <c r="D114" s="116"/>
      <c r="E114" s="117"/>
      <c r="F114" s="118"/>
      <c r="G114" s="113"/>
      <c r="H114" s="113"/>
      <c r="I114" s="112"/>
      <c r="J114" s="112"/>
      <c r="K114" s="86"/>
      <c r="L114" s="255"/>
      <c r="M114" s="114" t="str">
        <f t="shared" si="2"/>
        <v xml:space="preserve">   </v>
      </c>
    </row>
    <row r="115" spans="1:13" s="55" customFormat="1" hidden="1" x14ac:dyDescent="0.2">
      <c r="A115" s="300"/>
      <c r="B115" s="297"/>
      <c r="C115" s="115"/>
      <c r="D115" s="116"/>
      <c r="E115" s="117"/>
      <c r="F115" s="118"/>
      <c r="G115" s="113"/>
      <c r="H115" s="113"/>
      <c r="I115" s="112"/>
      <c r="J115" s="112"/>
      <c r="K115" s="86"/>
      <c r="L115" s="255"/>
      <c r="M115" s="114" t="str">
        <f t="shared" si="2"/>
        <v xml:space="preserve">   </v>
      </c>
    </row>
    <row r="116" spans="1:13" s="55" customFormat="1" hidden="1" x14ac:dyDescent="0.2">
      <c r="A116" s="300"/>
      <c r="B116" s="297"/>
      <c r="C116" s="115"/>
      <c r="D116" s="116"/>
      <c r="E116" s="117"/>
      <c r="F116" s="118"/>
      <c r="G116" s="113"/>
      <c r="H116" s="113"/>
      <c r="I116" s="112"/>
      <c r="J116" s="112"/>
      <c r="K116" s="86"/>
      <c r="L116" s="255"/>
      <c r="M116" s="114" t="str">
        <f t="shared" si="2"/>
        <v xml:space="preserve">   </v>
      </c>
    </row>
    <row r="117" spans="1:13" s="55" customFormat="1" hidden="1" x14ac:dyDescent="0.2">
      <c r="A117" s="300"/>
      <c r="B117" s="297"/>
      <c r="C117" s="115"/>
      <c r="D117" s="116"/>
      <c r="E117" s="117"/>
      <c r="F117" s="118"/>
      <c r="G117" s="113"/>
      <c r="H117" s="113"/>
      <c r="I117" s="112"/>
      <c r="J117" s="112"/>
      <c r="K117" s="86"/>
      <c r="L117" s="255"/>
      <c r="M117" s="114" t="str">
        <f t="shared" si="2"/>
        <v xml:space="preserve">   </v>
      </c>
    </row>
    <row r="118" spans="1:13" s="55" customFormat="1" hidden="1" x14ac:dyDescent="0.2">
      <c r="A118" s="300"/>
      <c r="B118" s="297"/>
      <c r="C118" s="115"/>
      <c r="D118" s="116"/>
      <c r="E118" s="117"/>
      <c r="F118" s="118"/>
      <c r="G118" s="113"/>
      <c r="H118" s="113"/>
      <c r="I118" s="112"/>
      <c r="J118" s="112"/>
      <c r="K118" s="86"/>
      <c r="L118" s="255"/>
      <c r="M118" s="114" t="str">
        <f t="shared" si="2"/>
        <v xml:space="preserve">   </v>
      </c>
    </row>
    <row r="119" spans="1:13" s="55" customFormat="1" hidden="1" x14ac:dyDescent="0.2">
      <c r="A119" s="300"/>
      <c r="B119" s="297"/>
      <c r="C119" s="115"/>
      <c r="D119" s="116"/>
      <c r="E119" s="117"/>
      <c r="F119" s="118"/>
      <c r="G119" s="113"/>
      <c r="H119" s="113"/>
      <c r="I119" s="112"/>
      <c r="J119" s="112"/>
      <c r="K119" s="86"/>
      <c r="L119" s="255"/>
      <c r="M119" s="114" t="str">
        <f t="shared" si="2"/>
        <v xml:space="preserve">   </v>
      </c>
    </row>
    <row r="120" spans="1:13" s="55" customFormat="1" ht="12.75" hidden="1" customHeight="1" x14ac:dyDescent="0.2">
      <c r="A120" s="300" t="s">
        <v>72</v>
      </c>
      <c r="B120" s="297" t="s">
        <v>107</v>
      </c>
      <c r="C120" s="112"/>
      <c r="D120" s="112"/>
      <c r="E120" s="112"/>
      <c r="F120" s="112"/>
      <c r="G120" s="113"/>
      <c r="H120" s="113"/>
      <c r="I120" s="112"/>
      <c r="J120" s="112"/>
      <c r="K120" s="86"/>
      <c r="L120" s="253" t="str">
        <f>CONCATENATE(C120," ",D120," ",E120," ",F120," ",C121," ",D121," ",E121," ",F121)</f>
        <v xml:space="preserve">       </v>
      </c>
      <c r="M120" s="114" t="str">
        <f t="shared" si="2"/>
        <v xml:space="preserve">   </v>
      </c>
    </row>
    <row r="121" spans="1:13" s="55" customFormat="1" hidden="1" x14ac:dyDescent="0.2">
      <c r="A121" s="300"/>
      <c r="B121" s="297"/>
      <c r="C121" s="115"/>
      <c r="D121" s="116"/>
      <c r="E121" s="117"/>
      <c r="F121" s="118"/>
      <c r="G121" s="113"/>
      <c r="H121" s="113"/>
      <c r="I121" s="112"/>
      <c r="J121" s="112"/>
      <c r="K121" s="86"/>
      <c r="L121" s="255"/>
      <c r="M121" s="114" t="str">
        <f t="shared" si="2"/>
        <v xml:space="preserve">   </v>
      </c>
    </row>
    <row r="122" spans="1:13" s="55" customFormat="1" hidden="1" x14ac:dyDescent="0.2">
      <c r="A122" s="300"/>
      <c r="B122" s="297"/>
      <c r="C122" s="115"/>
      <c r="D122" s="116"/>
      <c r="E122" s="117"/>
      <c r="F122" s="118"/>
      <c r="G122" s="113"/>
      <c r="H122" s="113"/>
      <c r="I122" s="112"/>
      <c r="J122" s="112"/>
      <c r="K122" s="86"/>
      <c r="L122" s="255"/>
      <c r="M122" s="114" t="str">
        <f t="shared" si="2"/>
        <v xml:space="preserve">   </v>
      </c>
    </row>
    <row r="123" spans="1:13" s="55" customFormat="1" hidden="1" x14ac:dyDescent="0.2">
      <c r="A123" s="300"/>
      <c r="B123" s="297"/>
      <c r="C123" s="115"/>
      <c r="D123" s="116"/>
      <c r="E123" s="117"/>
      <c r="F123" s="118"/>
      <c r="G123" s="113"/>
      <c r="H123" s="113"/>
      <c r="I123" s="112"/>
      <c r="J123" s="112"/>
      <c r="K123" s="86"/>
      <c r="L123" s="255"/>
      <c r="M123" s="114" t="str">
        <f t="shared" si="2"/>
        <v xml:space="preserve">   </v>
      </c>
    </row>
    <row r="124" spans="1:13" s="55" customFormat="1" hidden="1" x14ac:dyDescent="0.2">
      <c r="A124" s="300"/>
      <c r="B124" s="297"/>
      <c r="C124" s="115"/>
      <c r="D124" s="116"/>
      <c r="E124" s="117"/>
      <c r="F124" s="118"/>
      <c r="G124" s="113"/>
      <c r="H124" s="113"/>
      <c r="I124" s="112"/>
      <c r="J124" s="112"/>
      <c r="K124" s="86"/>
      <c r="L124" s="255"/>
      <c r="M124" s="114" t="str">
        <f t="shared" si="2"/>
        <v xml:space="preserve">   </v>
      </c>
    </row>
    <row r="125" spans="1:13" s="55" customFormat="1" hidden="1" x14ac:dyDescent="0.2">
      <c r="A125" s="300"/>
      <c r="B125" s="297"/>
      <c r="C125" s="115"/>
      <c r="D125" s="116"/>
      <c r="E125" s="117"/>
      <c r="F125" s="118"/>
      <c r="G125" s="113"/>
      <c r="H125" s="113"/>
      <c r="I125" s="112"/>
      <c r="J125" s="112"/>
      <c r="K125" s="86"/>
      <c r="L125" s="255"/>
      <c r="M125" s="114" t="str">
        <f t="shared" si="2"/>
        <v xml:space="preserve">   </v>
      </c>
    </row>
    <row r="126" spans="1:13" s="55" customFormat="1" hidden="1" x14ac:dyDescent="0.2">
      <c r="A126" s="300"/>
      <c r="B126" s="297"/>
      <c r="C126" s="115"/>
      <c r="D126" s="116"/>
      <c r="E126" s="117"/>
      <c r="F126" s="118"/>
      <c r="G126" s="113"/>
      <c r="H126" s="113"/>
      <c r="I126" s="112"/>
      <c r="J126" s="112"/>
      <c r="K126" s="86"/>
      <c r="L126" s="255"/>
      <c r="M126" s="114" t="str">
        <f t="shared" si="2"/>
        <v xml:space="preserve">   </v>
      </c>
    </row>
    <row r="127" spans="1:13" s="55" customFormat="1" hidden="1" x14ac:dyDescent="0.2">
      <c r="A127" s="300"/>
      <c r="B127" s="297"/>
      <c r="C127" s="115"/>
      <c r="D127" s="116"/>
      <c r="E127" s="117"/>
      <c r="F127" s="118"/>
      <c r="G127" s="113"/>
      <c r="H127" s="113"/>
      <c r="I127" s="112"/>
      <c r="J127" s="112"/>
      <c r="K127" s="86"/>
      <c r="L127" s="255"/>
      <c r="M127" s="114" t="str">
        <f t="shared" si="2"/>
        <v xml:space="preserve">   </v>
      </c>
    </row>
    <row r="128" spans="1:13" s="55" customFormat="1" hidden="1" x14ac:dyDescent="0.2">
      <c r="A128" s="300"/>
      <c r="B128" s="297"/>
      <c r="C128" s="115"/>
      <c r="D128" s="116"/>
      <c r="E128" s="117"/>
      <c r="F128" s="118"/>
      <c r="G128" s="113"/>
      <c r="H128" s="113"/>
      <c r="I128" s="112"/>
      <c r="J128" s="112"/>
      <c r="K128" s="86"/>
      <c r="L128" s="255"/>
      <c r="M128" s="114" t="str">
        <f t="shared" si="2"/>
        <v xml:space="preserve">   </v>
      </c>
    </row>
    <row r="129" spans="1:13" s="55" customFormat="1" hidden="1" x14ac:dyDescent="0.2">
      <c r="A129" s="300"/>
      <c r="B129" s="297"/>
      <c r="C129" s="115"/>
      <c r="D129" s="116"/>
      <c r="E129" s="117"/>
      <c r="F129" s="118"/>
      <c r="G129" s="113"/>
      <c r="H129" s="113"/>
      <c r="I129" s="112"/>
      <c r="J129" s="112"/>
      <c r="K129" s="86"/>
      <c r="L129" s="255"/>
      <c r="M129" s="114" t="str">
        <f t="shared" si="2"/>
        <v xml:space="preserve">   </v>
      </c>
    </row>
    <row r="130" spans="1:13" s="55" customFormat="1" ht="12.75" hidden="1" customHeight="1" x14ac:dyDescent="0.2">
      <c r="A130" s="300" t="s">
        <v>72</v>
      </c>
      <c r="B130" s="297" t="s">
        <v>107</v>
      </c>
      <c r="C130" s="112"/>
      <c r="D130" s="112"/>
      <c r="E130" s="112"/>
      <c r="F130" s="112"/>
      <c r="G130" s="113"/>
      <c r="H130" s="113"/>
      <c r="I130" s="112"/>
      <c r="J130" s="112"/>
      <c r="K130" s="86"/>
      <c r="L130" s="253" t="str">
        <f>CONCATENATE(C130," ",D130," ",E130," ",F130," ",C131," ",D131," ",E131," ",F131)</f>
        <v xml:space="preserve">       </v>
      </c>
      <c r="M130" s="114" t="str">
        <f t="shared" si="2"/>
        <v xml:space="preserve">   </v>
      </c>
    </row>
    <row r="131" spans="1:13" s="55" customFormat="1" hidden="1" x14ac:dyDescent="0.2">
      <c r="A131" s="300"/>
      <c r="B131" s="297"/>
      <c r="C131" s="115"/>
      <c r="D131" s="116"/>
      <c r="E131" s="117"/>
      <c r="F131" s="118"/>
      <c r="G131" s="113"/>
      <c r="H131" s="113"/>
      <c r="I131" s="112"/>
      <c r="J131" s="112"/>
      <c r="K131" s="86"/>
      <c r="L131" s="255"/>
      <c r="M131" s="114" t="str">
        <f t="shared" si="2"/>
        <v xml:space="preserve">   </v>
      </c>
    </row>
    <row r="132" spans="1:13" s="55" customFormat="1" hidden="1" x14ac:dyDescent="0.2">
      <c r="A132" s="300"/>
      <c r="B132" s="297"/>
      <c r="C132" s="115"/>
      <c r="D132" s="116"/>
      <c r="E132" s="117"/>
      <c r="F132" s="118"/>
      <c r="G132" s="113"/>
      <c r="H132" s="113"/>
      <c r="I132" s="112"/>
      <c r="J132" s="112"/>
      <c r="K132" s="86"/>
      <c r="L132" s="255"/>
      <c r="M132" s="114" t="str">
        <f t="shared" si="2"/>
        <v xml:space="preserve">   </v>
      </c>
    </row>
    <row r="133" spans="1:13" s="55" customFormat="1" hidden="1" x14ac:dyDescent="0.2">
      <c r="A133" s="300"/>
      <c r="B133" s="297"/>
      <c r="C133" s="115"/>
      <c r="D133" s="116"/>
      <c r="E133" s="117"/>
      <c r="F133" s="118"/>
      <c r="G133" s="113"/>
      <c r="H133" s="113"/>
      <c r="I133" s="112"/>
      <c r="J133" s="112"/>
      <c r="K133" s="86"/>
      <c r="L133" s="255"/>
      <c r="M133" s="114" t="str">
        <f t="shared" si="2"/>
        <v xml:space="preserve">   </v>
      </c>
    </row>
    <row r="134" spans="1:13" s="55" customFormat="1" hidden="1" x14ac:dyDescent="0.2">
      <c r="A134" s="300"/>
      <c r="B134" s="297"/>
      <c r="C134" s="115"/>
      <c r="D134" s="116"/>
      <c r="E134" s="117"/>
      <c r="F134" s="118"/>
      <c r="G134" s="113"/>
      <c r="H134" s="113"/>
      <c r="I134" s="112"/>
      <c r="J134" s="112"/>
      <c r="K134" s="86"/>
      <c r="L134" s="255"/>
      <c r="M134" s="114" t="str">
        <f t="shared" si="2"/>
        <v xml:space="preserve">   </v>
      </c>
    </row>
    <row r="135" spans="1:13" s="55" customFormat="1" hidden="1" x14ac:dyDescent="0.2">
      <c r="A135" s="300"/>
      <c r="B135" s="297"/>
      <c r="C135" s="115"/>
      <c r="D135" s="116"/>
      <c r="E135" s="117"/>
      <c r="F135" s="118"/>
      <c r="G135" s="113"/>
      <c r="H135" s="113"/>
      <c r="I135" s="112"/>
      <c r="J135" s="112"/>
      <c r="K135" s="86"/>
      <c r="L135" s="255"/>
      <c r="M135" s="114" t="str">
        <f t="shared" si="2"/>
        <v xml:space="preserve">   </v>
      </c>
    </row>
    <row r="136" spans="1:13" s="55" customFormat="1" hidden="1" x14ac:dyDescent="0.2">
      <c r="A136" s="300"/>
      <c r="B136" s="297"/>
      <c r="C136" s="115"/>
      <c r="D136" s="116"/>
      <c r="E136" s="117"/>
      <c r="F136" s="118"/>
      <c r="G136" s="113"/>
      <c r="H136" s="113"/>
      <c r="I136" s="112"/>
      <c r="J136" s="112"/>
      <c r="K136" s="86"/>
      <c r="L136" s="255"/>
      <c r="M136" s="114" t="str">
        <f t="shared" si="2"/>
        <v xml:space="preserve">   </v>
      </c>
    </row>
    <row r="137" spans="1:13" s="55" customFormat="1" hidden="1" x14ac:dyDescent="0.2">
      <c r="A137" s="300"/>
      <c r="B137" s="297"/>
      <c r="C137" s="115"/>
      <c r="D137" s="116"/>
      <c r="E137" s="117"/>
      <c r="F137" s="118"/>
      <c r="G137" s="113"/>
      <c r="H137" s="113"/>
      <c r="I137" s="112"/>
      <c r="J137" s="112"/>
      <c r="K137" s="86"/>
      <c r="L137" s="255"/>
      <c r="M137" s="114" t="str">
        <f t="shared" si="2"/>
        <v xml:space="preserve">   </v>
      </c>
    </row>
    <row r="138" spans="1:13" s="55" customFormat="1" hidden="1" x14ac:dyDescent="0.2">
      <c r="A138" s="300"/>
      <c r="B138" s="297"/>
      <c r="C138" s="115"/>
      <c r="D138" s="116"/>
      <c r="E138" s="117"/>
      <c r="F138" s="118"/>
      <c r="G138" s="113"/>
      <c r="H138" s="113"/>
      <c r="I138" s="112"/>
      <c r="J138" s="112"/>
      <c r="K138" s="86"/>
      <c r="L138" s="255"/>
      <c r="M138" s="114" t="str">
        <f t="shared" si="2"/>
        <v xml:space="preserve">   </v>
      </c>
    </row>
    <row r="139" spans="1:13" s="55" customFormat="1" hidden="1" x14ac:dyDescent="0.2">
      <c r="A139" s="300"/>
      <c r="B139" s="297"/>
      <c r="C139" s="115"/>
      <c r="D139" s="116"/>
      <c r="E139" s="117"/>
      <c r="F139" s="118"/>
      <c r="G139" s="113"/>
      <c r="H139" s="113"/>
      <c r="I139" s="112"/>
      <c r="J139" s="112"/>
      <c r="K139" s="86"/>
      <c r="L139" s="255"/>
      <c r="M139" s="114" t="str">
        <f t="shared" ref="M139:M202" si="3">CONCATENATE(G139," ",H139," ",I139," ",J139)</f>
        <v xml:space="preserve">   </v>
      </c>
    </row>
    <row r="140" spans="1:13" s="55" customFormat="1" ht="12.75" hidden="1" customHeight="1" x14ac:dyDescent="0.2">
      <c r="A140" s="300" t="s">
        <v>72</v>
      </c>
      <c r="B140" s="297" t="s">
        <v>107</v>
      </c>
      <c r="C140" s="112"/>
      <c r="D140" s="112"/>
      <c r="E140" s="112"/>
      <c r="F140" s="112"/>
      <c r="G140" s="113"/>
      <c r="H140" s="113"/>
      <c r="I140" s="112"/>
      <c r="J140" s="112"/>
      <c r="K140" s="86"/>
      <c r="L140" s="253" t="str">
        <f>CONCATENATE(C140," ",D140," ",E140," ",F140," ",C141," ",D141," ",E141," ",F141)</f>
        <v xml:space="preserve">       </v>
      </c>
      <c r="M140" s="114" t="str">
        <f t="shared" si="3"/>
        <v xml:space="preserve">   </v>
      </c>
    </row>
    <row r="141" spans="1:13" s="55" customFormat="1" hidden="1" x14ac:dyDescent="0.2">
      <c r="A141" s="300"/>
      <c r="B141" s="297"/>
      <c r="C141" s="115"/>
      <c r="D141" s="116"/>
      <c r="E141" s="117"/>
      <c r="F141" s="118"/>
      <c r="G141" s="113"/>
      <c r="H141" s="113"/>
      <c r="I141" s="112"/>
      <c r="J141" s="112"/>
      <c r="K141" s="86"/>
      <c r="L141" s="255"/>
      <c r="M141" s="114" t="str">
        <f t="shared" si="3"/>
        <v xml:space="preserve">   </v>
      </c>
    </row>
    <row r="142" spans="1:13" s="55" customFormat="1" hidden="1" x14ac:dyDescent="0.2">
      <c r="A142" s="300"/>
      <c r="B142" s="297"/>
      <c r="C142" s="115"/>
      <c r="D142" s="116"/>
      <c r="E142" s="117"/>
      <c r="F142" s="118"/>
      <c r="G142" s="113"/>
      <c r="H142" s="113"/>
      <c r="I142" s="112"/>
      <c r="J142" s="112"/>
      <c r="K142" s="86"/>
      <c r="L142" s="255"/>
      <c r="M142" s="114" t="str">
        <f t="shared" si="3"/>
        <v xml:space="preserve">   </v>
      </c>
    </row>
    <row r="143" spans="1:13" s="55" customFormat="1" hidden="1" x14ac:dyDescent="0.2">
      <c r="A143" s="300"/>
      <c r="B143" s="297"/>
      <c r="C143" s="115"/>
      <c r="D143" s="116"/>
      <c r="E143" s="117"/>
      <c r="F143" s="118"/>
      <c r="G143" s="113"/>
      <c r="H143" s="113"/>
      <c r="I143" s="112"/>
      <c r="J143" s="112"/>
      <c r="K143" s="86"/>
      <c r="L143" s="255"/>
      <c r="M143" s="114" t="str">
        <f t="shared" si="3"/>
        <v xml:space="preserve">   </v>
      </c>
    </row>
    <row r="144" spans="1:13" s="55" customFormat="1" hidden="1" x14ac:dyDescent="0.2">
      <c r="A144" s="300"/>
      <c r="B144" s="297"/>
      <c r="C144" s="115"/>
      <c r="D144" s="116"/>
      <c r="E144" s="117"/>
      <c r="F144" s="118"/>
      <c r="G144" s="113"/>
      <c r="H144" s="113"/>
      <c r="I144" s="112"/>
      <c r="J144" s="112"/>
      <c r="K144" s="86"/>
      <c r="L144" s="255"/>
      <c r="M144" s="114" t="str">
        <f t="shared" si="3"/>
        <v xml:space="preserve">   </v>
      </c>
    </row>
    <row r="145" spans="1:13" s="55" customFormat="1" hidden="1" x14ac:dyDescent="0.2">
      <c r="A145" s="300"/>
      <c r="B145" s="297"/>
      <c r="C145" s="115"/>
      <c r="D145" s="116"/>
      <c r="E145" s="117"/>
      <c r="F145" s="118"/>
      <c r="G145" s="113"/>
      <c r="H145" s="113"/>
      <c r="I145" s="112"/>
      <c r="J145" s="112"/>
      <c r="K145" s="86"/>
      <c r="L145" s="255"/>
      <c r="M145" s="114" t="str">
        <f t="shared" si="3"/>
        <v xml:space="preserve">   </v>
      </c>
    </row>
    <row r="146" spans="1:13" s="55" customFormat="1" hidden="1" x14ac:dyDescent="0.2">
      <c r="A146" s="300"/>
      <c r="B146" s="297"/>
      <c r="C146" s="115"/>
      <c r="D146" s="116"/>
      <c r="E146" s="117"/>
      <c r="F146" s="118"/>
      <c r="G146" s="113"/>
      <c r="H146" s="113"/>
      <c r="I146" s="112"/>
      <c r="J146" s="112"/>
      <c r="K146" s="86"/>
      <c r="L146" s="255"/>
      <c r="M146" s="114" t="str">
        <f t="shared" si="3"/>
        <v xml:space="preserve">   </v>
      </c>
    </row>
    <row r="147" spans="1:13" s="55" customFormat="1" ht="6.75" hidden="1" customHeight="1" x14ac:dyDescent="0.2">
      <c r="A147" s="300"/>
      <c r="B147" s="297"/>
      <c r="C147" s="115"/>
      <c r="D147" s="116"/>
      <c r="E147" s="117"/>
      <c r="F147" s="118"/>
      <c r="G147" s="113"/>
      <c r="H147" s="113"/>
      <c r="I147" s="112"/>
      <c r="J147" s="112"/>
      <c r="K147" s="86"/>
      <c r="L147" s="255"/>
      <c r="M147" s="114" t="str">
        <f t="shared" si="3"/>
        <v xml:space="preserve">   </v>
      </c>
    </row>
    <row r="148" spans="1:13" s="55" customFormat="1" hidden="1" x14ac:dyDescent="0.2">
      <c r="A148" s="300"/>
      <c r="B148" s="297"/>
      <c r="C148" s="115"/>
      <c r="D148" s="116"/>
      <c r="E148" s="117"/>
      <c r="F148" s="118"/>
      <c r="G148" s="113"/>
      <c r="H148" s="113"/>
      <c r="I148" s="112"/>
      <c r="J148" s="112"/>
      <c r="K148" s="86"/>
      <c r="L148" s="255"/>
      <c r="M148" s="114" t="str">
        <f t="shared" si="3"/>
        <v xml:space="preserve">   </v>
      </c>
    </row>
    <row r="149" spans="1:13" s="55" customFormat="1" hidden="1" x14ac:dyDescent="0.2">
      <c r="A149" s="300"/>
      <c r="B149" s="297"/>
      <c r="C149" s="115"/>
      <c r="D149" s="116"/>
      <c r="E149" s="117"/>
      <c r="F149" s="118"/>
      <c r="G149" s="113"/>
      <c r="H149" s="113"/>
      <c r="I149" s="112"/>
      <c r="J149" s="112"/>
      <c r="K149" s="86"/>
      <c r="L149" s="255"/>
      <c r="M149" s="114" t="str">
        <f t="shared" si="3"/>
        <v xml:space="preserve">   </v>
      </c>
    </row>
    <row r="150" spans="1:13" s="55" customFormat="1" ht="12.75" hidden="1" customHeight="1" x14ac:dyDescent="0.2">
      <c r="A150" s="300" t="s">
        <v>72</v>
      </c>
      <c r="B150" s="297" t="s">
        <v>107</v>
      </c>
      <c r="C150" s="112"/>
      <c r="D150" s="112"/>
      <c r="E150" s="112"/>
      <c r="F150" s="112"/>
      <c r="G150" s="113"/>
      <c r="H150" s="113"/>
      <c r="I150" s="112"/>
      <c r="J150" s="112"/>
      <c r="K150" s="86"/>
      <c r="L150" s="253" t="str">
        <f>CONCATENATE(C150," ",D150," ",E150," ",F150," ",C151," ",D151," ",E151," ",F151)</f>
        <v xml:space="preserve">       </v>
      </c>
      <c r="M150" s="114" t="str">
        <f t="shared" si="3"/>
        <v xml:space="preserve">   </v>
      </c>
    </row>
    <row r="151" spans="1:13" s="55" customFormat="1" hidden="1" x14ac:dyDescent="0.2">
      <c r="A151" s="300"/>
      <c r="B151" s="297"/>
      <c r="C151" s="115"/>
      <c r="D151" s="116"/>
      <c r="E151" s="117"/>
      <c r="F151" s="118"/>
      <c r="G151" s="113"/>
      <c r="H151" s="113"/>
      <c r="I151" s="112"/>
      <c r="J151" s="112"/>
      <c r="K151" s="86"/>
      <c r="L151" s="255"/>
      <c r="M151" s="114" t="str">
        <f t="shared" si="3"/>
        <v xml:space="preserve">   </v>
      </c>
    </row>
    <row r="152" spans="1:13" s="55" customFormat="1" hidden="1" x14ac:dyDescent="0.2">
      <c r="A152" s="300"/>
      <c r="B152" s="297"/>
      <c r="C152" s="115"/>
      <c r="D152" s="116"/>
      <c r="E152" s="117"/>
      <c r="F152" s="118"/>
      <c r="G152" s="113"/>
      <c r="H152" s="113"/>
      <c r="I152" s="112"/>
      <c r="J152" s="112"/>
      <c r="K152" s="86"/>
      <c r="L152" s="255"/>
      <c r="M152" s="114" t="str">
        <f t="shared" si="3"/>
        <v xml:space="preserve">   </v>
      </c>
    </row>
    <row r="153" spans="1:13" s="55" customFormat="1" hidden="1" x14ac:dyDescent="0.2">
      <c r="A153" s="300"/>
      <c r="B153" s="297"/>
      <c r="C153" s="115"/>
      <c r="D153" s="116"/>
      <c r="E153" s="117"/>
      <c r="F153" s="118"/>
      <c r="G153" s="113"/>
      <c r="H153" s="113"/>
      <c r="I153" s="112"/>
      <c r="J153" s="112"/>
      <c r="K153" s="86"/>
      <c r="L153" s="255"/>
      <c r="M153" s="114" t="str">
        <f t="shared" si="3"/>
        <v xml:space="preserve">   </v>
      </c>
    </row>
    <row r="154" spans="1:13" s="55" customFormat="1" hidden="1" x14ac:dyDescent="0.2">
      <c r="A154" s="300"/>
      <c r="B154" s="297"/>
      <c r="C154" s="115"/>
      <c r="D154" s="116"/>
      <c r="E154" s="117"/>
      <c r="F154" s="118"/>
      <c r="G154" s="113"/>
      <c r="H154" s="113"/>
      <c r="I154" s="112"/>
      <c r="J154" s="112"/>
      <c r="K154" s="86"/>
      <c r="L154" s="255"/>
      <c r="M154" s="114" t="str">
        <f t="shared" si="3"/>
        <v xml:space="preserve">   </v>
      </c>
    </row>
    <row r="155" spans="1:13" s="55" customFormat="1" hidden="1" x14ac:dyDescent="0.2">
      <c r="A155" s="300"/>
      <c r="B155" s="297"/>
      <c r="C155" s="115"/>
      <c r="D155" s="116"/>
      <c r="E155" s="117"/>
      <c r="F155" s="118"/>
      <c r="G155" s="113"/>
      <c r="H155" s="113"/>
      <c r="I155" s="112"/>
      <c r="J155" s="112"/>
      <c r="K155" s="86"/>
      <c r="L155" s="255"/>
      <c r="M155" s="114" t="str">
        <f t="shared" si="3"/>
        <v xml:space="preserve">   </v>
      </c>
    </row>
    <row r="156" spans="1:13" s="55" customFormat="1" hidden="1" x14ac:dyDescent="0.2">
      <c r="A156" s="300"/>
      <c r="B156" s="297"/>
      <c r="C156" s="115"/>
      <c r="D156" s="116"/>
      <c r="E156" s="117"/>
      <c r="F156" s="118"/>
      <c r="G156" s="113"/>
      <c r="H156" s="113"/>
      <c r="I156" s="112"/>
      <c r="J156" s="112"/>
      <c r="K156" s="86"/>
      <c r="L156" s="255"/>
      <c r="M156" s="114" t="str">
        <f t="shared" si="3"/>
        <v xml:space="preserve">   </v>
      </c>
    </row>
    <row r="157" spans="1:13" s="55" customFormat="1" hidden="1" x14ac:dyDescent="0.2">
      <c r="A157" s="300"/>
      <c r="B157" s="297"/>
      <c r="C157" s="115"/>
      <c r="D157" s="116"/>
      <c r="E157" s="117"/>
      <c r="F157" s="118"/>
      <c r="G157" s="113"/>
      <c r="H157" s="113"/>
      <c r="I157" s="112"/>
      <c r="J157" s="112"/>
      <c r="K157" s="86"/>
      <c r="L157" s="255"/>
      <c r="M157" s="114" t="str">
        <f t="shared" si="3"/>
        <v xml:space="preserve">   </v>
      </c>
    </row>
    <row r="158" spans="1:13" s="55" customFormat="1" hidden="1" x14ac:dyDescent="0.2">
      <c r="A158" s="300"/>
      <c r="B158" s="297"/>
      <c r="C158" s="115"/>
      <c r="D158" s="116"/>
      <c r="E158" s="117"/>
      <c r="F158" s="118"/>
      <c r="G158" s="113"/>
      <c r="H158" s="113"/>
      <c r="I158" s="112"/>
      <c r="J158" s="112"/>
      <c r="K158" s="86"/>
      <c r="L158" s="255"/>
      <c r="M158" s="114" t="str">
        <f t="shared" si="3"/>
        <v xml:space="preserve">   </v>
      </c>
    </row>
    <row r="159" spans="1:13" s="55" customFormat="1" hidden="1" x14ac:dyDescent="0.2">
      <c r="A159" s="300"/>
      <c r="B159" s="297"/>
      <c r="C159" s="115"/>
      <c r="D159" s="116"/>
      <c r="E159" s="117"/>
      <c r="F159" s="118"/>
      <c r="G159" s="113"/>
      <c r="H159" s="113"/>
      <c r="I159" s="112"/>
      <c r="J159" s="112"/>
      <c r="K159" s="86"/>
      <c r="L159" s="255"/>
      <c r="M159" s="114" t="str">
        <f t="shared" si="3"/>
        <v xml:space="preserve">   </v>
      </c>
    </row>
    <row r="160" spans="1:13" s="55" customFormat="1" ht="12.75" hidden="1" customHeight="1" x14ac:dyDescent="0.2">
      <c r="A160" s="300" t="s">
        <v>72</v>
      </c>
      <c r="B160" s="297" t="s">
        <v>107</v>
      </c>
      <c r="C160" s="112"/>
      <c r="D160" s="112"/>
      <c r="E160" s="112"/>
      <c r="F160" s="112"/>
      <c r="G160" s="113"/>
      <c r="H160" s="113"/>
      <c r="I160" s="112"/>
      <c r="J160" s="112"/>
      <c r="K160" s="86"/>
      <c r="L160" s="253" t="str">
        <f>CONCATENATE(C160," ",D160," ",E160," ",F160," ",C161," ",D161," ",E161," ",F161)</f>
        <v xml:space="preserve">       </v>
      </c>
      <c r="M160" s="114" t="str">
        <f t="shared" si="3"/>
        <v xml:space="preserve">   </v>
      </c>
    </row>
    <row r="161" spans="1:13" s="55" customFormat="1" hidden="1" x14ac:dyDescent="0.2">
      <c r="A161" s="300"/>
      <c r="B161" s="297"/>
      <c r="C161" s="115"/>
      <c r="D161" s="116"/>
      <c r="E161" s="117"/>
      <c r="F161" s="118"/>
      <c r="G161" s="113"/>
      <c r="H161" s="113"/>
      <c r="I161" s="112"/>
      <c r="J161" s="112"/>
      <c r="K161" s="86"/>
      <c r="L161" s="255"/>
      <c r="M161" s="114" t="str">
        <f t="shared" si="3"/>
        <v xml:space="preserve">   </v>
      </c>
    </row>
    <row r="162" spans="1:13" s="55" customFormat="1" hidden="1" x14ac:dyDescent="0.2">
      <c r="A162" s="300"/>
      <c r="B162" s="297"/>
      <c r="C162" s="115"/>
      <c r="D162" s="116"/>
      <c r="E162" s="117"/>
      <c r="F162" s="118"/>
      <c r="G162" s="113"/>
      <c r="H162" s="113"/>
      <c r="I162" s="112"/>
      <c r="J162" s="112"/>
      <c r="K162" s="86"/>
      <c r="L162" s="255"/>
      <c r="M162" s="114" t="str">
        <f t="shared" si="3"/>
        <v xml:space="preserve">   </v>
      </c>
    </row>
    <row r="163" spans="1:13" s="55" customFormat="1" hidden="1" x14ac:dyDescent="0.2">
      <c r="A163" s="300"/>
      <c r="B163" s="297"/>
      <c r="C163" s="115"/>
      <c r="D163" s="116"/>
      <c r="E163" s="117"/>
      <c r="F163" s="118"/>
      <c r="G163" s="113"/>
      <c r="H163" s="113"/>
      <c r="I163" s="112"/>
      <c r="J163" s="112"/>
      <c r="K163" s="86"/>
      <c r="L163" s="255"/>
      <c r="M163" s="114" t="str">
        <f t="shared" si="3"/>
        <v xml:space="preserve">   </v>
      </c>
    </row>
    <row r="164" spans="1:13" s="55" customFormat="1" hidden="1" x14ac:dyDescent="0.2">
      <c r="A164" s="300"/>
      <c r="B164" s="297"/>
      <c r="C164" s="115"/>
      <c r="D164" s="116"/>
      <c r="E164" s="117"/>
      <c r="F164" s="118"/>
      <c r="G164" s="113"/>
      <c r="H164" s="113"/>
      <c r="I164" s="112"/>
      <c r="J164" s="112"/>
      <c r="K164" s="86"/>
      <c r="L164" s="255"/>
      <c r="M164" s="114" t="str">
        <f t="shared" si="3"/>
        <v xml:space="preserve">   </v>
      </c>
    </row>
    <row r="165" spans="1:13" s="55" customFormat="1" hidden="1" x14ac:dyDescent="0.2">
      <c r="A165" s="300"/>
      <c r="B165" s="297"/>
      <c r="C165" s="115"/>
      <c r="D165" s="116"/>
      <c r="E165" s="117"/>
      <c r="F165" s="118"/>
      <c r="G165" s="113"/>
      <c r="H165" s="113"/>
      <c r="I165" s="112"/>
      <c r="J165" s="112"/>
      <c r="K165" s="86"/>
      <c r="L165" s="255"/>
      <c r="M165" s="114" t="str">
        <f t="shared" si="3"/>
        <v xml:space="preserve">   </v>
      </c>
    </row>
    <row r="166" spans="1:13" s="55" customFormat="1" hidden="1" x14ac:dyDescent="0.2">
      <c r="A166" s="300"/>
      <c r="B166" s="297"/>
      <c r="C166" s="115"/>
      <c r="D166" s="116"/>
      <c r="E166" s="117"/>
      <c r="F166" s="118"/>
      <c r="G166" s="113"/>
      <c r="H166" s="113"/>
      <c r="I166" s="112"/>
      <c r="J166" s="112"/>
      <c r="K166" s="86"/>
      <c r="L166" s="255"/>
      <c r="M166" s="114" t="str">
        <f t="shared" si="3"/>
        <v xml:space="preserve">   </v>
      </c>
    </row>
    <row r="167" spans="1:13" s="55" customFormat="1" hidden="1" x14ac:dyDescent="0.2">
      <c r="A167" s="300"/>
      <c r="B167" s="297"/>
      <c r="C167" s="115"/>
      <c r="D167" s="116"/>
      <c r="E167" s="117"/>
      <c r="F167" s="118"/>
      <c r="G167" s="113"/>
      <c r="H167" s="113"/>
      <c r="I167" s="112"/>
      <c r="J167" s="112"/>
      <c r="K167" s="86"/>
      <c r="L167" s="255"/>
      <c r="M167" s="114" t="str">
        <f t="shared" si="3"/>
        <v xml:space="preserve">   </v>
      </c>
    </row>
    <row r="168" spans="1:13" s="55" customFormat="1" hidden="1" x14ac:dyDescent="0.2">
      <c r="A168" s="300"/>
      <c r="B168" s="297"/>
      <c r="C168" s="115"/>
      <c r="D168" s="116"/>
      <c r="E168" s="117"/>
      <c r="F168" s="118"/>
      <c r="G168" s="113"/>
      <c r="H168" s="113"/>
      <c r="I168" s="112"/>
      <c r="J168" s="112"/>
      <c r="K168" s="86"/>
      <c r="L168" s="255"/>
      <c r="M168" s="114" t="str">
        <f t="shared" si="3"/>
        <v xml:space="preserve">   </v>
      </c>
    </row>
    <row r="169" spans="1:13" s="55" customFormat="1" hidden="1" x14ac:dyDescent="0.2">
      <c r="A169" s="300"/>
      <c r="B169" s="297"/>
      <c r="C169" s="115"/>
      <c r="D169" s="116"/>
      <c r="E169" s="117"/>
      <c r="F169" s="118"/>
      <c r="G169" s="113"/>
      <c r="H169" s="113"/>
      <c r="I169" s="112"/>
      <c r="J169" s="112"/>
      <c r="K169" s="86"/>
      <c r="L169" s="255"/>
      <c r="M169" s="114" t="str">
        <f t="shared" si="3"/>
        <v xml:space="preserve">   </v>
      </c>
    </row>
    <row r="170" spans="1:13" s="55" customFormat="1" ht="12.75" hidden="1" customHeight="1" x14ac:dyDescent="0.2">
      <c r="A170" s="300" t="s">
        <v>72</v>
      </c>
      <c r="B170" s="297" t="s">
        <v>107</v>
      </c>
      <c r="C170" s="112"/>
      <c r="D170" s="112"/>
      <c r="E170" s="112"/>
      <c r="F170" s="112"/>
      <c r="G170" s="113"/>
      <c r="H170" s="113"/>
      <c r="I170" s="112"/>
      <c r="J170" s="112"/>
      <c r="K170" s="86"/>
      <c r="L170" s="253" t="str">
        <f>CONCATENATE(C170," ",D170," ",E170," ",F170," ",C171," ",D171," ",E171," ",F171)</f>
        <v xml:space="preserve">       </v>
      </c>
      <c r="M170" s="114" t="str">
        <f t="shared" si="3"/>
        <v xml:space="preserve">   </v>
      </c>
    </row>
    <row r="171" spans="1:13" s="55" customFormat="1" hidden="1" x14ac:dyDescent="0.2">
      <c r="A171" s="300"/>
      <c r="B171" s="297"/>
      <c r="C171" s="115"/>
      <c r="D171" s="116"/>
      <c r="E171" s="117"/>
      <c r="F171" s="118"/>
      <c r="G171" s="113"/>
      <c r="H171" s="113"/>
      <c r="I171" s="112"/>
      <c r="J171" s="112"/>
      <c r="K171" s="86"/>
      <c r="L171" s="255"/>
      <c r="M171" s="114" t="str">
        <f t="shared" si="3"/>
        <v xml:space="preserve">   </v>
      </c>
    </row>
    <row r="172" spans="1:13" s="55" customFormat="1" hidden="1" x14ac:dyDescent="0.2">
      <c r="A172" s="300"/>
      <c r="B172" s="297"/>
      <c r="C172" s="115"/>
      <c r="D172" s="116"/>
      <c r="E172" s="117"/>
      <c r="F172" s="118"/>
      <c r="G172" s="113"/>
      <c r="H172" s="113"/>
      <c r="I172" s="112"/>
      <c r="J172" s="112"/>
      <c r="K172" s="86"/>
      <c r="L172" s="255"/>
      <c r="M172" s="114" t="str">
        <f t="shared" si="3"/>
        <v xml:space="preserve">   </v>
      </c>
    </row>
    <row r="173" spans="1:13" s="55" customFormat="1" hidden="1" x14ac:dyDescent="0.2">
      <c r="A173" s="300"/>
      <c r="B173" s="297"/>
      <c r="C173" s="115"/>
      <c r="D173" s="116"/>
      <c r="E173" s="117"/>
      <c r="F173" s="118"/>
      <c r="G173" s="113"/>
      <c r="H173" s="113"/>
      <c r="I173" s="112"/>
      <c r="J173" s="112"/>
      <c r="K173" s="86"/>
      <c r="L173" s="255"/>
      <c r="M173" s="114" t="str">
        <f t="shared" si="3"/>
        <v xml:space="preserve">   </v>
      </c>
    </row>
    <row r="174" spans="1:13" s="55" customFormat="1" hidden="1" x14ac:dyDescent="0.2">
      <c r="A174" s="300"/>
      <c r="B174" s="297"/>
      <c r="C174" s="115"/>
      <c r="D174" s="116"/>
      <c r="E174" s="117"/>
      <c r="F174" s="118"/>
      <c r="G174" s="113"/>
      <c r="H174" s="113"/>
      <c r="I174" s="112"/>
      <c r="J174" s="112"/>
      <c r="K174" s="86"/>
      <c r="L174" s="255"/>
      <c r="M174" s="114" t="str">
        <f t="shared" si="3"/>
        <v xml:space="preserve">   </v>
      </c>
    </row>
    <row r="175" spans="1:13" s="55" customFormat="1" hidden="1" x14ac:dyDescent="0.2">
      <c r="A175" s="300"/>
      <c r="B175" s="297"/>
      <c r="C175" s="115"/>
      <c r="D175" s="116"/>
      <c r="E175" s="117"/>
      <c r="F175" s="118"/>
      <c r="G175" s="113"/>
      <c r="H175" s="113"/>
      <c r="I175" s="112"/>
      <c r="J175" s="112"/>
      <c r="K175" s="86"/>
      <c r="L175" s="255"/>
      <c r="M175" s="114" t="str">
        <f t="shared" si="3"/>
        <v xml:space="preserve">   </v>
      </c>
    </row>
    <row r="176" spans="1:13" s="55" customFormat="1" hidden="1" x14ac:dyDescent="0.2">
      <c r="A176" s="300"/>
      <c r="B176" s="297"/>
      <c r="C176" s="115"/>
      <c r="D176" s="116"/>
      <c r="E176" s="117"/>
      <c r="F176" s="118"/>
      <c r="G176" s="113"/>
      <c r="H176" s="113"/>
      <c r="I176" s="112"/>
      <c r="J176" s="112"/>
      <c r="K176" s="86"/>
      <c r="L176" s="255"/>
      <c r="M176" s="114" t="str">
        <f t="shared" si="3"/>
        <v xml:space="preserve">   </v>
      </c>
    </row>
    <row r="177" spans="1:13" s="55" customFormat="1" hidden="1" x14ac:dyDescent="0.2">
      <c r="A177" s="300"/>
      <c r="B177" s="297"/>
      <c r="C177" s="115"/>
      <c r="D177" s="116"/>
      <c r="E177" s="117"/>
      <c r="F177" s="118"/>
      <c r="G177" s="113"/>
      <c r="H177" s="113"/>
      <c r="I177" s="112"/>
      <c r="J177" s="112"/>
      <c r="K177" s="86"/>
      <c r="L177" s="255"/>
      <c r="M177" s="114" t="str">
        <f t="shared" si="3"/>
        <v xml:space="preserve">   </v>
      </c>
    </row>
    <row r="178" spans="1:13" s="55" customFormat="1" hidden="1" x14ac:dyDescent="0.2">
      <c r="A178" s="300"/>
      <c r="B178" s="297"/>
      <c r="C178" s="115"/>
      <c r="D178" s="116"/>
      <c r="E178" s="117"/>
      <c r="F178" s="118"/>
      <c r="G178" s="113"/>
      <c r="H178" s="113"/>
      <c r="I178" s="112"/>
      <c r="J178" s="112"/>
      <c r="K178" s="86"/>
      <c r="L178" s="255"/>
      <c r="M178" s="114" t="str">
        <f t="shared" si="3"/>
        <v xml:space="preserve">   </v>
      </c>
    </row>
    <row r="179" spans="1:13" s="55" customFormat="1" hidden="1" x14ac:dyDescent="0.2">
      <c r="A179" s="300"/>
      <c r="B179" s="297"/>
      <c r="C179" s="115"/>
      <c r="D179" s="116"/>
      <c r="E179" s="117"/>
      <c r="F179" s="118"/>
      <c r="G179" s="113"/>
      <c r="H179" s="113"/>
      <c r="I179" s="112"/>
      <c r="J179" s="112"/>
      <c r="K179" s="86"/>
      <c r="L179" s="255"/>
      <c r="M179" s="114" t="str">
        <f t="shared" si="3"/>
        <v xml:space="preserve">   </v>
      </c>
    </row>
    <row r="180" spans="1:13" s="55" customFormat="1" ht="12.75" hidden="1" customHeight="1" x14ac:dyDescent="0.2">
      <c r="A180" s="300" t="s">
        <v>72</v>
      </c>
      <c r="B180" s="297" t="s">
        <v>107</v>
      </c>
      <c r="C180" s="112"/>
      <c r="D180" s="112"/>
      <c r="E180" s="112"/>
      <c r="F180" s="112"/>
      <c r="G180" s="113"/>
      <c r="H180" s="113"/>
      <c r="I180" s="112"/>
      <c r="J180" s="112"/>
      <c r="K180" s="86"/>
      <c r="L180" s="253" t="str">
        <f>CONCATENATE(C180," ",D180," ",E180," ",F180," ",C181," ",D181," ",E181," ",F181)</f>
        <v xml:space="preserve">       </v>
      </c>
      <c r="M180" s="114" t="str">
        <f t="shared" si="3"/>
        <v xml:space="preserve">   </v>
      </c>
    </row>
    <row r="181" spans="1:13" s="55" customFormat="1" hidden="1" x14ac:dyDescent="0.2">
      <c r="A181" s="300"/>
      <c r="B181" s="297"/>
      <c r="C181" s="115"/>
      <c r="D181" s="116"/>
      <c r="E181" s="117"/>
      <c r="F181" s="118"/>
      <c r="G181" s="113"/>
      <c r="H181" s="113"/>
      <c r="I181" s="112"/>
      <c r="J181" s="112"/>
      <c r="K181" s="86"/>
      <c r="L181" s="255"/>
      <c r="M181" s="114" t="str">
        <f t="shared" si="3"/>
        <v xml:space="preserve">   </v>
      </c>
    </row>
    <row r="182" spans="1:13" s="55" customFormat="1" hidden="1" x14ac:dyDescent="0.2">
      <c r="A182" s="300"/>
      <c r="B182" s="297"/>
      <c r="C182" s="115"/>
      <c r="D182" s="116"/>
      <c r="E182" s="117"/>
      <c r="F182" s="118"/>
      <c r="G182" s="113"/>
      <c r="H182" s="113"/>
      <c r="I182" s="112"/>
      <c r="J182" s="112"/>
      <c r="K182" s="86"/>
      <c r="L182" s="255"/>
      <c r="M182" s="114" t="str">
        <f t="shared" si="3"/>
        <v xml:space="preserve">   </v>
      </c>
    </row>
    <row r="183" spans="1:13" s="55" customFormat="1" hidden="1" x14ac:dyDescent="0.2">
      <c r="A183" s="300"/>
      <c r="B183" s="297"/>
      <c r="C183" s="115"/>
      <c r="D183" s="116"/>
      <c r="E183" s="117"/>
      <c r="F183" s="118"/>
      <c r="G183" s="113"/>
      <c r="H183" s="113"/>
      <c r="I183" s="112"/>
      <c r="J183" s="112"/>
      <c r="K183" s="86"/>
      <c r="L183" s="255"/>
      <c r="M183" s="114" t="str">
        <f t="shared" si="3"/>
        <v xml:space="preserve">   </v>
      </c>
    </row>
    <row r="184" spans="1:13" s="55" customFormat="1" hidden="1" x14ac:dyDescent="0.2">
      <c r="A184" s="300"/>
      <c r="B184" s="297"/>
      <c r="C184" s="115"/>
      <c r="D184" s="116"/>
      <c r="E184" s="117"/>
      <c r="F184" s="118"/>
      <c r="G184" s="113"/>
      <c r="H184" s="113"/>
      <c r="I184" s="112"/>
      <c r="J184" s="112"/>
      <c r="K184" s="86"/>
      <c r="L184" s="255"/>
      <c r="M184" s="114" t="str">
        <f t="shared" si="3"/>
        <v xml:space="preserve">   </v>
      </c>
    </row>
    <row r="185" spans="1:13" s="55" customFormat="1" ht="10.5" hidden="1" customHeight="1" x14ac:dyDescent="0.2">
      <c r="A185" s="300"/>
      <c r="B185" s="297"/>
      <c r="C185" s="115"/>
      <c r="D185" s="116"/>
      <c r="E185" s="117"/>
      <c r="F185" s="118"/>
      <c r="G185" s="113"/>
      <c r="H185" s="113"/>
      <c r="I185" s="112"/>
      <c r="J185" s="112"/>
      <c r="K185" s="86"/>
      <c r="L185" s="255"/>
      <c r="M185" s="114" t="str">
        <f t="shared" si="3"/>
        <v xml:space="preserve">   </v>
      </c>
    </row>
    <row r="186" spans="1:13" s="55" customFormat="1" hidden="1" x14ac:dyDescent="0.2">
      <c r="A186" s="300"/>
      <c r="B186" s="297"/>
      <c r="C186" s="115"/>
      <c r="D186" s="116"/>
      <c r="E186" s="117"/>
      <c r="F186" s="118"/>
      <c r="G186" s="113"/>
      <c r="H186" s="113"/>
      <c r="I186" s="112"/>
      <c r="J186" s="112"/>
      <c r="K186" s="86"/>
      <c r="L186" s="255"/>
      <c r="M186" s="114" t="str">
        <f t="shared" si="3"/>
        <v xml:space="preserve">   </v>
      </c>
    </row>
    <row r="187" spans="1:13" s="55" customFormat="1" hidden="1" x14ac:dyDescent="0.2">
      <c r="A187" s="300"/>
      <c r="B187" s="297"/>
      <c r="C187" s="115"/>
      <c r="D187" s="116"/>
      <c r="E187" s="117"/>
      <c r="F187" s="118"/>
      <c r="G187" s="113"/>
      <c r="H187" s="113"/>
      <c r="I187" s="112"/>
      <c r="J187" s="112"/>
      <c r="K187" s="86"/>
      <c r="L187" s="255"/>
      <c r="M187" s="114" t="str">
        <f t="shared" si="3"/>
        <v xml:space="preserve">   </v>
      </c>
    </row>
    <row r="188" spans="1:13" s="55" customFormat="1" hidden="1" x14ac:dyDescent="0.2">
      <c r="A188" s="300"/>
      <c r="B188" s="297"/>
      <c r="C188" s="115"/>
      <c r="D188" s="116"/>
      <c r="E188" s="117"/>
      <c r="F188" s="118"/>
      <c r="G188" s="113"/>
      <c r="H188" s="113"/>
      <c r="I188" s="112"/>
      <c r="J188" s="112"/>
      <c r="K188" s="86"/>
      <c r="L188" s="255"/>
      <c r="M188" s="114" t="str">
        <f t="shared" si="3"/>
        <v xml:space="preserve">   </v>
      </c>
    </row>
    <row r="189" spans="1:13" s="55" customFormat="1" hidden="1" x14ac:dyDescent="0.2">
      <c r="A189" s="300"/>
      <c r="B189" s="297"/>
      <c r="C189" s="115"/>
      <c r="D189" s="116"/>
      <c r="E189" s="117"/>
      <c r="F189" s="118"/>
      <c r="G189" s="113"/>
      <c r="H189" s="113"/>
      <c r="I189" s="112"/>
      <c r="J189" s="112"/>
      <c r="K189" s="86"/>
      <c r="L189" s="255"/>
      <c r="M189" s="114" t="str">
        <f t="shared" si="3"/>
        <v xml:space="preserve">   </v>
      </c>
    </row>
    <row r="190" spans="1:13" s="55" customFormat="1" ht="12.75" hidden="1" customHeight="1" x14ac:dyDescent="0.2">
      <c r="A190" s="300" t="s">
        <v>72</v>
      </c>
      <c r="B190" s="297" t="s">
        <v>107</v>
      </c>
      <c r="C190" s="112"/>
      <c r="D190" s="112"/>
      <c r="E190" s="112"/>
      <c r="F190" s="112"/>
      <c r="G190" s="113"/>
      <c r="H190" s="113"/>
      <c r="I190" s="112"/>
      <c r="J190" s="112"/>
      <c r="K190" s="86"/>
      <c r="L190" s="253" t="str">
        <f>CONCATENATE(C190," ",D190," ",E190," ",F190," ",C191," ",D191," ",E191," ",F191)</f>
        <v xml:space="preserve">       </v>
      </c>
      <c r="M190" s="114" t="str">
        <f t="shared" si="3"/>
        <v xml:space="preserve">   </v>
      </c>
    </row>
    <row r="191" spans="1:13" s="55" customFormat="1" hidden="1" x14ac:dyDescent="0.2">
      <c r="A191" s="300"/>
      <c r="B191" s="297"/>
      <c r="C191" s="115"/>
      <c r="D191" s="116"/>
      <c r="E191" s="117"/>
      <c r="F191" s="118"/>
      <c r="G191" s="113"/>
      <c r="H191" s="113"/>
      <c r="I191" s="112"/>
      <c r="J191" s="112"/>
      <c r="K191" s="86"/>
      <c r="L191" s="255"/>
      <c r="M191" s="114" t="str">
        <f t="shared" si="3"/>
        <v xml:space="preserve">   </v>
      </c>
    </row>
    <row r="192" spans="1:13" s="55" customFormat="1" hidden="1" x14ac:dyDescent="0.2">
      <c r="A192" s="300"/>
      <c r="B192" s="297"/>
      <c r="C192" s="115"/>
      <c r="D192" s="116"/>
      <c r="E192" s="117"/>
      <c r="F192" s="118"/>
      <c r="G192" s="113"/>
      <c r="H192" s="113"/>
      <c r="I192" s="112"/>
      <c r="J192" s="112"/>
      <c r="K192" s="86"/>
      <c r="L192" s="255"/>
      <c r="M192" s="114" t="str">
        <f t="shared" si="3"/>
        <v xml:space="preserve">   </v>
      </c>
    </row>
    <row r="193" spans="1:13" s="55" customFormat="1" hidden="1" x14ac:dyDescent="0.2">
      <c r="A193" s="300"/>
      <c r="B193" s="297"/>
      <c r="C193" s="115"/>
      <c r="D193" s="116"/>
      <c r="E193" s="117"/>
      <c r="F193" s="118"/>
      <c r="G193" s="113"/>
      <c r="H193" s="113"/>
      <c r="I193" s="112"/>
      <c r="J193" s="112"/>
      <c r="K193" s="86"/>
      <c r="L193" s="255"/>
      <c r="M193" s="114" t="str">
        <f t="shared" si="3"/>
        <v xml:space="preserve">   </v>
      </c>
    </row>
    <row r="194" spans="1:13" s="55" customFormat="1" hidden="1" x14ac:dyDescent="0.2">
      <c r="A194" s="300"/>
      <c r="B194" s="297"/>
      <c r="C194" s="115"/>
      <c r="D194" s="116"/>
      <c r="E194" s="117"/>
      <c r="F194" s="118"/>
      <c r="G194" s="113"/>
      <c r="H194" s="113"/>
      <c r="I194" s="112"/>
      <c r="J194" s="112"/>
      <c r="K194" s="86"/>
      <c r="L194" s="255"/>
      <c r="M194" s="114" t="str">
        <f t="shared" si="3"/>
        <v xml:space="preserve">   </v>
      </c>
    </row>
    <row r="195" spans="1:13" s="55" customFormat="1" hidden="1" x14ac:dyDescent="0.2">
      <c r="A195" s="300"/>
      <c r="B195" s="297"/>
      <c r="C195" s="115"/>
      <c r="D195" s="116"/>
      <c r="E195" s="117"/>
      <c r="F195" s="118"/>
      <c r="G195" s="113"/>
      <c r="H195" s="113"/>
      <c r="I195" s="112"/>
      <c r="J195" s="112"/>
      <c r="K195" s="86"/>
      <c r="L195" s="255"/>
      <c r="M195" s="114" t="str">
        <f t="shared" si="3"/>
        <v xml:space="preserve">   </v>
      </c>
    </row>
    <row r="196" spans="1:13" s="55" customFormat="1" hidden="1" x14ac:dyDescent="0.2">
      <c r="A196" s="300"/>
      <c r="B196" s="297"/>
      <c r="C196" s="115"/>
      <c r="D196" s="116"/>
      <c r="E196" s="117"/>
      <c r="F196" s="118"/>
      <c r="G196" s="113"/>
      <c r="H196" s="113"/>
      <c r="I196" s="112"/>
      <c r="J196" s="112"/>
      <c r="K196" s="86"/>
      <c r="L196" s="255"/>
      <c r="M196" s="114" t="str">
        <f t="shared" si="3"/>
        <v xml:space="preserve">   </v>
      </c>
    </row>
    <row r="197" spans="1:13" s="55" customFormat="1" hidden="1" x14ac:dyDescent="0.2">
      <c r="A197" s="300"/>
      <c r="B197" s="297"/>
      <c r="C197" s="115"/>
      <c r="D197" s="116"/>
      <c r="E197" s="117"/>
      <c r="F197" s="118"/>
      <c r="G197" s="113"/>
      <c r="H197" s="113"/>
      <c r="I197" s="112"/>
      <c r="J197" s="112"/>
      <c r="K197" s="86"/>
      <c r="L197" s="255"/>
      <c r="M197" s="114" t="str">
        <f t="shared" si="3"/>
        <v xml:space="preserve">   </v>
      </c>
    </row>
    <row r="198" spans="1:13" s="55" customFormat="1" ht="4.5" hidden="1" customHeight="1" x14ac:dyDescent="0.2">
      <c r="A198" s="300"/>
      <c r="B198" s="297"/>
      <c r="C198" s="115"/>
      <c r="D198" s="116"/>
      <c r="E198" s="117"/>
      <c r="F198" s="118"/>
      <c r="G198" s="113"/>
      <c r="H198" s="113"/>
      <c r="I198" s="112"/>
      <c r="J198" s="112"/>
      <c r="K198" s="86"/>
      <c r="L198" s="255"/>
      <c r="M198" s="114" t="str">
        <f t="shared" si="3"/>
        <v xml:space="preserve">   </v>
      </c>
    </row>
    <row r="199" spans="1:13" s="55" customFormat="1" hidden="1" x14ac:dyDescent="0.2">
      <c r="A199" s="300"/>
      <c r="B199" s="297"/>
      <c r="C199" s="115"/>
      <c r="D199" s="116"/>
      <c r="E199" s="117"/>
      <c r="F199" s="118"/>
      <c r="G199" s="113"/>
      <c r="H199" s="113"/>
      <c r="I199" s="112"/>
      <c r="J199" s="112"/>
      <c r="K199" s="86"/>
      <c r="L199" s="255"/>
      <c r="M199" s="114" t="str">
        <f t="shared" si="3"/>
        <v xml:space="preserve">   </v>
      </c>
    </row>
    <row r="200" spans="1:13" s="55" customFormat="1" ht="12.75" hidden="1" customHeight="1" x14ac:dyDescent="0.2">
      <c r="A200" s="300" t="s">
        <v>72</v>
      </c>
      <c r="B200" s="297" t="s">
        <v>107</v>
      </c>
      <c r="C200" s="112"/>
      <c r="D200" s="112"/>
      <c r="E200" s="112"/>
      <c r="F200" s="112"/>
      <c r="G200" s="113"/>
      <c r="H200" s="113"/>
      <c r="I200" s="112"/>
      <c r="J200" s="112"/>
      <c r="K200" s="86"/>
      <c r="L200" s="253" t="str">
        <f>CONCATENATE(C200," ",D200," ",E200," ",F200," ",C201," ",D201," ",E201," ",F201)</f>
        <v xml:space="preserve">       </v>
      </c>
      <c r="M200" s="114" t="str">
        <f t="shared" si="3"/>
        <v xml:space="preserve">   </v>
      </c>
    </row>
    <row r="201" spans="1:13" s="55" customFormat="1" hidden="1" x14ac:dyDescent="0.2">
      <c r="A201" s="300"/>
      <c r="B201" s="297"/>
      <c r="C201" s="115"/>
      <c r="D201" s="116"/>
      <c r="E201" s="117"/>
      <c r="F201" s="118"/>
      <c r="G201" s="113"/>
      <c r="H201" s="113"/>
      <c r="I201" s="112"/>
      <c r="J201" s="112"/>
      <c r="K201" s="86"/>
      <c r="L201" s="255"/>
      <c r="M201" s="114" t="str">
        <f t="shared" si="3"/>
        <v xml:space="preserve">   </v>
      </c>
    </row>
    <row r="202" spans="1:13" s="55" customFormat="1" hidden="1" x14ac:dyDescent="0.2">
      <c r="A202" s="300"/>
      <c r="B202" s="297"/>
      <c r="C202" s="115"/>
      <c r="D202" s="116"/>
      <c r="E202" s="117"/>
      <c r="F202" s="118"/>
      <c r="G202" s="113"/>
      <c r="H202" s="113"/>
      <c r="I202" s="112"/>
      <c r="J202" s="112"/>
      <c r="K202" s="86"/>
      <c r="L202" s="255"/>
      <c r="M202" s="114" t="str">
        <f t="shared" si="3"/>
        <v xml:space="preserve">   </v>
      </c>
    </row>
    <row r="203" spans="1:13" s="55" customFormat="1" hidden="1" x14ac:dyDescent="0.2">
      <c r="A203" s="300"/>
      <c r="B203" s="297"/>
      <c r="C203" s="115"/>
      <c r="D203" s="116"/>
      <c r="E203" s="117"/>
      <c r="F203" s="118"/>
      <c r="G203" s="113"/>
      <c r="H203" s="113"/>
      <c r="I203" s="112"/>
      <c r="J203" s="112"/>
      <c r="K203" s="86"/>
      <c r="L203" s="255"/>
      <c r="M203" s="114" t="str">
        <f t="shared" ref="M203:M266" si="4">CONCATENATE(G203," ",H203," ",I203," ",J203)</f>
        <v xml:space="preserve">   </v>
      </c>
    </row>
    <row r="204" spans="1:13" s="55" customFormat="1" hidden="1" x14ac:dyDescent="0.2">
      <c r="A204" s="300"/>
      <c r="B204" s="297"/>
      <c r="C204" s="115"/>
      <c r="D204" s="116"/>
      <c r="E204" s="117"/>
      <c r="F204" s="118"/>
      <c r="G204" s="113"/>
      <c r="H204" s="113"/>
      <c r="I204" s="112"/>
      <c r="J204" s="112"/>
      <c r="K204" s="86"/>
      <c r="L204" s="255"/>
      <c r="M204" s="114" t="str">
        <f t="shared" si="4"/>
        <v xml:space="preserve">   </v>
      </c>
    </row>
    <row r="205" spans="1:13" s="55" customFormat="1" hidden="1" x14ac:dyDescent="0.2">
      <c r="A205" s="300"/>
      <c r="B205" s="297"/>
      <c r="C205" s="115"/>
      <c r="D205" s="116"/>
      <c r="E205" s="117"/>
      <c r="F205" s="118"/>
      <c r="G205" s="113"/>
      <c r="H205" s="113"/>
      <c r="I205" s="112"/>
      <c r="J205" s="112"/>
      <c r="K205" s="86"/>
      <c r="L205" s="255"/>
      <c r="M205" s="114" t="str">
        <f t="shared" si="4"/>
        <v xml:space="preserve">   </v>
      </c>
    </row>
    <row r="206" spans="1:13" s="55" customFormat="1" hidden="1" x14ac:dyDescent="0.2">
      <c r="A206" s="300"/>
      <c r="B206" s="297"/>
      <c r="C206" s="115"/>
      <c r="D206" s="116"/>
      <c r="E206" s="117"/>
      <c r="F206" s="118"/>
      <c r="G206" s="113"/>
      <c r="H206" s="113"/>
      <c r="I206" s="112"/>
      <c r="J206" s="112"/>
      <c r="K206" s="86"/>
      <c r="L206" s="255"/>
      <c r="M206" s="114" t="str">
        <f t="shared" si="4"/>
        <v xml:space="preserve">   </v>
      </c>
    </row>
    <row r="207" spans="1:13" s="55" customFormat="1" hidden="1" x14ac:dyDescent="0.2">
      <c r="A207" s="300"/>
      <c r="B207" s="297"/>
      <c r="C207" s="115"/>
      <c r="D207" s="116"/>
      <c r="E207" s="117"/>
      <c r="F207" s="118"/>
      <c r="G207" s="113"/>
      <c r="H207" s="113"/>
      <c r="I207" s="112"/>
      <c r="J207" s="112"/>
      <c r="K207" s="86"/>
      <c r="L207" s="255"/>
      <c r="M207" s="114" t="str">
        <f t="shared" si="4"/>
        <v xml:space="preserve">   </v>
      </c>
    </row>
    <row r="208" spans="1:13" s="55" customFormat="1" hidden="1" x14ac:dyDescent="0.2">
      <c r="A208" s="300"/>
      <c r="B208" s="297"/>
      <c r="C208" s="115"/>
      <c r="D208" s="116"/>
      <c r="E208" s="117"/>
      <c r="F208" s="118"/>
      <c r="G208" s="113"/>
      <c r="H208" s="113"/>
      <c r="I208" s="112"/>
      <c r="J208" s="112"/>
      <c r="K208" s="86"/>
      <c r="L208" s="255"/>
      <c r="M208" s="114" t="str">
        <f t="shared" si="4"/>
        <v xml:space="preserve">   </v>
      </c>
    </row>
    <row r="209" spans="1:13" s="55" customFormat="1" hidden="1" x14ac:dyDescent="0.2">
      <c r="A209" s="300"/>
      <c r="B209" s="297"/>
      <c r="C209" s="115"/>
      <c r="D209" s="116"/>
      <c r="E209" s="117"/>
      <c r="F209" s="118"/>
      <c r="G209" s="113"/>
      <c r="H209" s="113"/>
      <c r="I209" s="112"/>
      <c r="J209" s="112"/>
      <c r="K209" s="86"/>
      <c r="L209" s="255"/>
      <c r="M209" s="114" t="str">
        <f t="shared" si="4"/>
        <v xml:space="preserve">   </v>
      </c>
    </row>
    <row r="210" spans="1:13" s="48" customFormat="1" ht="70.5" customHeight="1" x14ac:dyDescent="0.2">
      <c r="A210" s="300" t="s">
        <v>72</v>
      </c>
      <c r="B210" s="296" t="s">
        <v>108</v>
      </c>
      <c r="C210" s="112" t="s">
        <v>276</v>
      </c>
      <c r="D210" s="112" t="s">
        <v>275</v>
      </c>
      <c r="E210" s="194" t="s">
        <v>277</v>
      </c>
      <c r="F210" s="194" t="s">
        <v>278</v>
      </c>
      <c r="G210" s="113" t="s">
        <v>208</v>
      </c>
      <c r="H210" s="113" t="s">
        <v>279</v>
      </c>
      <c r="I210" s="112" t="s">
        <v>280</v>
      </c>
      <c r="J210" s="194" t="s">
        <v>281</v>
      </c>
      <c r="K210" s="86"/>
      <c r="L210" s="254" t="str">
        <f>CONCATENATE(C210," ",D210," ",E210," ",F210," ",C211," ",D211," ",E211," ",F211)</f>
        <v xml:space="preserve">CE1 C1 Comunicar conceptos, ideas, opiniones, sentimientos y hechos  en forma oral en situaciones relacionadas a su entorno personal y profesional.    </v>
      </c>
      <c r="M210" s="247" t="str">
        <f t="shared" si="4"/>
        <v>C1 I1 Participa  en diálogos planteando sus opiniones, proponiendo ideas, compartiendo saberes y escuchando a los demás.</v>
      </c>
    </row>
    <row r="211" spans="1:13" s="48" customFormat="1" ht="62.25" customHeight="1" x14ac:dyDescent="0.2">
      <c r="A211" s="300"/>
      <c r="B211" s="296"/>
      <c r="C211" s="120"/>
      <c r="D211" s="116"/>
      <c r="E211" s="117"/>
      <c r="F211" s="118"/>
      <c r="G211" s="113" t="s">
        <v>210</v>
      </c>
      <c r="H211" s="113" t="s">
        <v>282</v>
      </c>
      <c r="I211" s="194" t="s">
        <v>283</v>
      </c>
      <c r="J211" s="194" t="s">
        <v>284</v>
      </c>
      <c r="K211" s="86"/>
      <c r="L211" s="255"/>
      <c r="M211" s="247" t="str">
        <f t="shared" si="4"/>
        <v>C1 I2 Explica   información de situaciones vinculadas a su entorno personal y laboral  formulando preguntas frente a aquello que no se entiende.</v>
      </c>
    </row>
    <row r="212" spans="1:13" s="48" customFormat="1" hidden="1" x14ac:dyDescent="0.2">
      <c r="A212" s="300"/>
      <c r="B212" s="296"/>
      <c r="C212" s="115"/>
      <c r="D212" s="116"/>
      <c r="E212" s="117"/>
      <c r="F212" s="118"/>
      <c r="G212" s="113"/>
      <c r="H212" s="113"/>
      <c r="I212" s="112"/>
      <c r="J212" s="112"/>
      <c r="K212" s="86"/>
      <c r="L212" s="255"/>
      <c r="M212" s="114" t="str">
        <f t="shared" si="4"/>
        <v xml:space="preserve">   </v>
      </c>
    </row>
    <row r="213" spans="1:13" s="48" customFormat="1" hidden="1" x14ac:dyDescent="0.2">
      <c r="A213" s="300"/>
      <c r="B213" s="296"/>
      <c r="C213" s="115"/>
      <c r="D213" s="116"/>
      <c r="E213" s="117"/>
      <c r="F213" s="118"/>
      <c r="G213" s="113"/>
      <c r="H213" s="113"/>
      <c r="I213" s="112"/>
      <c r="J213" s="112"/>
      <c r="K213" s="86"/>
      <c r="L213" s="255"/>
      <c r="M213" s="114" t="str">
        <f t="shared" si="4"/>
        <v xml:space="preserve">   </v>
      </c>
    </row>
    <row r="214" spans="1:13" s="48" customFormat="1" hidden="1" x14ac:dyDescent="0.2">
      <c r="A214" s="300"/>
      <c r="B214" s="296"/>
      <c r="C214" s="115"/>
      <c r="D214" s="116"/>
      <c r="E214" s="117"/>
      <c r="F214" s="118"/>
      <c r="G214" s="113"/>
      <c r="H214" s="113"/>
      <c r="I214" s="112"/>
      <c r="J214" s="112"/>
      <c r="K214" s="86"/>
      <c r="L214" s="255"/>
      <c r="M214" s="114" t="str">
        <f t="shared" si="4"/>
        <v xml:space="preserve">   </v>
      </c>
    </row>
    <row r="215" spans="1:13" s="48" customFormat="1" hidden="1" x14ac:dyDescent="0.2">
      <c r="A215" s="300"/>
      <c r="B215" s="296"/>
      <c r="C215" s="115"/>
      <c r="D215" s="116"/>
      <c r="E215" s="117"/>
      <c r="F215" s="118"/>
      <c r="G215" s="113"/>
      <c r="H215" s="113"/>
      <c r="I215" s="112"/>
      <c r="J215" s="112"/>
      <c r="K215" s="86"/>
      <c r="L215" s="255"/>
      <c r="M215" s="114" t="str">
        <f t="shared" si="4"/>
        <v xml:space="preserve">   </v>
      </c>
    </row>
    <row r="216" spans="1:13" s="48" customFormat="1" hidden="1" x14ac:dyDescent="0.2">
      <c r="A216" s="300"/>
      <c r="B216" s="296"/>
      <c r="C216" s="115"/>
      <c r="D216" s="116"/>
      <c r="E216" s="117"/>
      <c r="F216" s="118"/>
      <c r="G216" s="113"/>
      <c r="H216" s="113"/>
      <c r="I216" s="112"/>
      <c r="J216" s="112"/>
      <c r="K216" s="86"/>
      <c r="L216" s="255"/>
      <c r="M216" s="114" t="str">
        <f t="shared" si="4"/>
        <v xml:space="preserve">   </v>
      </c>
    </row>
    <row r="217" spans="1:13" s="48" customFormat="1" hidden="1" x14ac:dyDescent="0.2">
      <c r="A217" s="300"/>
      <c r="B217" s="296"/>
      <c r="C217" s="115"/>
      <c r="D217" s="116"/>
      <c r="E217" s="117"/>
      <c r="F217" s="118"/>
      <c r="G217" s="113"/>
      <c r="H217" s="113"/>
      <c r="I217" s="112"/>
      <c r="J217" s="112"/>
      <c r="K217" s="86"/>
      <c r="L217" s="255"/>
      <c r="M217" s="114" t="str">
        <f t="shared" si="4"/>
        <v xml:space="preserve">   </v>
      </c>
    </row>
    <row r="218" spans="1:13" s="48" customFormat="1" hidden="1" x14ac:dyDescent="0.2">
      <c r="A218" s="300"/>
      <c r="B218" s="296"/>
      <c r="C218" s="115"/>
      <c r="D218" s="116"/>
      <c r="E218" s="117"/>
      <c r="F218" s="118"/>
      <c r="G218" s="113"/>
      <c r="H218" s="113"/>
      <c r="I218" s="112"/>
      <c r="J218" s="112"/>
      <c r="K218" s="86"/>
      <c r="L218" s="255"/>
      <c r="M218" s="114" t="str">
        <f t="shared" si="4"/>
        <v xml:space="preserve">   </v>
      </c>
    </row>
    <row r="219" spans="1:13" s="48" customFormat="1" hidden="1" x14ac:dyDescent="0.2">
      <c r="A219" s="300"/>
      <c r="B219" s="296"/>
      <c r="C219" s="121"/>
      <c r="D219" s="122"/>
      <c r="E219" s="123"/>
      <c r="F219" s="124"/>
      <c r="G219" s="113"/>
      <c r="H219" s="113"/>
      <c r="I219" s="112"/>
      <c r="J219" s="112"/>
      <c r="K219" s="86"/>
      <c r="L219" s="255"/>
      <c r="M219" s="114" t="str">
        <f t="shared" si="4"/>
        <v xml:space="preserve">   </v>
      </c>
    </row>
    <row r="220" spans="1:13" s="48" customFormat="1" ht="43.5" customHeight="1" x14ac:dyDescent="0.2">
      <c r="A220" s="300" t="s">
        <v>72</v>
      </c>
      <c r="B220" s="296" t="s">
        <v>108</v>
      </c>
      <c r="C220" s="112" t="s">
        <v>285</v>
      </c>
      <c r="D220" s="112" t="s">
        <v>275</v>
      </c>
      <c r="E220" s="194" t="s">
        <v>286</v>
      </c>
      <c r="F220" s="194" t="s">
        <v>287</v>
      </c>
      <c r="G220" s="113" t="s">
        <v>215</v>
      </c>
      <c r="H220" s="113" t="s">
        <v>211</v>
      </c>
      <c r="I220" s="194" t="s">
        <v>288</v>
      </c>
      <c r="J220" s="194" t="s">
        <v>289</v>
      </c>
      <c r="K220" s="86"/>
      <c r="L220" s="254" t="str">
        <f>CONCATENATE(C220," ",D220," ",E220," ",F220," ",C221," ",D221," ",E221," ",F221)</f>
        <v xml:space="preserve">CE1 C2 Comunicar conceptos, ideas, opiniones, sentimientos y hechos en forma escrita en situaciones relacionadas a su entorno social, educativo y laboral.    </v>
      </c>
      <c r="M220" s="247" t="str">
        <f t="shared" si="4"/>
        <v>C2 I1 Identifica  las ideas principales del texto   utilizando estrategias de comprensión lectora.</v>
      </c>
    </row>
    <row r="221" spans="1:13" s="48" customFormat="1" ht="63" customHeight="1" x14ac:dyDescent="0.2">
      <c r="A221" s="300"/>
      <c r="B221" s="296"/>
      <c r="C221" s="120"/>
      <c r="D221" s="116"/>
      <c r="E221" s="117"/>
      <c r="F221" s="118"/>
      <c r="G221" s="113" t="s">
        <v>218</v>
      </c>
      <c r="H221" s="113" t="s">
        <v>290</v>
      </c>
      <c r="I221" s="112" t="s">
        <v>291</v>
      </c>
      <c r="J221" s="194" t="s">
        <v>292</v>
      </c>
      <c r="K221" s="86"/>
      <c r="L221" s="255"/>
      <c r="M221" s="247" t="str">
        <f t="shared" si="4"/>
        <v>C2 I2 Escribe textos variados  con coherencia, cohesión y corrección, considerando las etapas del proceso de producción escrita.</v>
      </c>
    </row>
    <row r="222" spans="1:13" s="48" customFormat="1" hidden="1" x14ac:dyDescent="0.2">
      <c r="A222" s="300"/>
      <c r="B222" s="296"/>
      <c r="C222" s="115"/>
      <c r="D222" s="116"/>
      <c r="E222" s="117"/>
      <c r="F222" s="118"/>
      <c r="G222" s="113"/>
      <c r="H222" s="113"/>
      <c r="I222" s="112"/>
      <c r="J222" s="112"/>
      <c r="K222" s="86"/>
      <c r="L222" s="255"/>
      <c r="M222" s="114" t="str">
        <f t="shared" si="4"/>
        <v xml:space="preserve">   </v>
      </c>
    </row>
    <row r="223" spans="1:13" s="48" customFormat="1" hidden="1" x14ac:dyDescent="0.2">
      <c r="A223" s="300"/>
      <c r="B223" s="296"/>
      <c r="C223" s="115"/>
      <c r="D223" s="116"/>
      <c r="E223" s="117"/>
      <c r="F223" s="118"/>
      <c r="G223" s="113"/>
      <c r="H223" s="113"/>
      <c r="I223" s="112"/>
      <c r="J223" s="112"/>
      <c r="K223" s="86"/>
      <c r="L223" s="255"/>
      <c r="M223" s="114" t="str">
        <f t="shared" si="4"/>
        <v xml:space="preserve">   </v>
      </c>
    </row>
    <row r="224" spans="1:13" s="48" customFormat="1" hidden="1" x14ac:dyDescent="0.2">
      <c r="A224" s="300"/>
      <c r="B224" s="296"/>
      <c r="C224" s="115"/>
      <c r="D224" s="116"/>
      <c r="E224" s="117"/>
      <c r="F224" s="118"/>
      <c r="G224" s="113"/>
      <c r="H224" s="113"/>
      <c r="I224" s="112"/>
      <c r="J224" s="112"/>
      <c r="K224" s="86"/>
      <c r="L224" s="255"/>
      <c r="M224" s="114" t="str">
        <f t="shared" si="4"/>
        <v xml:space="preserve">   </v>
      </c>
    </row>
    <row r="225" spans="1:13" s="48" customFormat="1" hidden="1" x14ac:dyDescent="0.2">
      <c r="A225" s="300"/>
      <c r="B225" s="296"/>
      <c r="C225" s="115"/>
      <c r="D225" s="116"/>
      <c r="E225" s="117"/>
      <c r="F225" s="118"/>
      <c r="G225" s="113"/>
      <c r="H225" s="113"/>
      <c r="I225" s="112"/>
      <c r="J225" s="112"/>
      <c r="K225" s="86"/>
      <c r="L225" s="255"/>
      <c r="M225" s="114" t="str">
        <f t="shared" si="4"/>
        <v xml:space="preserve">   </v>
      </c>
    </row>
    <row r="226" spans="1:13" s="48" customFormat="1" hidden="1" x14ac:dyDescent="0.2">
      <c r="A226" s="300"/>
      <c r="B226" s="296"/>
      <c r="C226" s="115"/>
      <c r="D226" s="116"/>
      <c r="E226" s="117"/>
      <c r="F226" s="118"/>
      <c r="G226" s="113"/>
      <c r="H226" s="113"/>
      <c r="I226" s="112"/>
      <c r="J226" s="112"/>
      <c r="K226" s="86"/>
      <c r="L226" s="255"/>
      <c r="M226" s="114" t="str">
        <f t="shared" si="4"/>
        <v xml:space="preserve">   </v>
      </c>
    </row>
    <row r="227" spans="1:13" s="48" customFormat="1" hidden="1" x14ac:dyDescent="0.2">
      <c r="A227" s="300"/>
      <c r="B227" s="296"/>
      <c r="C227" s="115"/>
      <c r="D227" s="116"/>
      <c r="E227" s="117"/>
      <c r="F227" s="118"/>
      <c r="G227" s="113"/>
      <c r="H227" s="113"/>
      <c r="I227" s="112"/>
      <c r="J227" s="112"/>
      <c r="K227" s="86"/>
      <c r="L227" s="255"/>
      <c r="M227" s="114" t="str">
        <f t="shared" si="4"/>
        <v xml:space="preserve">   </v>
      </c>
    </row>
    <row r="228" spans="1:13" s="48" customFormat="1" ht="7.5" hidden="1" customHeight="1" x14ac:dyDescent="0.2">
      <c r="A228" s="300"/>
      <c r="B228" s="296"/>
      <c r="C228" s="115"/>
      <c r="D228" s="116"/>
      <c r="E228" s="117"/>
      <c r="F228" s="118"/>
      <c r="G228" s="113"/>
      <c r="H228" s="113"/>
      <c r="I228" s="112"/>
      <c r="J228" s="112"/>
      <c r="K228" s="86"/>
      <c r="L228" s="255"/>
      <c r="M228" s="114" t="str">
        <f t="shared" si="4"/>
        <v xml:space="preserve">   </v>
      </c>
    </row>
    <row r="229" spans="1:13" s="48" customFormat="1" hidden="1" x14ac:dyDescent="0.2">
      <c r="A229" s="300"/>
      <c r="B229" s="296"/>
      <c r="C229" s="121"/>
      <c r="D229" s="122"/>
      <c r="E229" s="123"/>
      <c r="F229" s="124"/>
      <c r="G229" s="113"/>
      <c r="H229" s="113"/>
      <c r="I229" s="112"/>
      <c r="J229" s="112"/>
      <c r="K229" s="86"/>
      <c r="L229" s="256"/>
      <c r="M229" s="114" t="str">
        <f t="shared" si="4"/>
        <v xml:space="preserve">   </v>
      </c>
    </row>
    <row r="230" spans="1:13" s="48" customFormat="1" ht="15" hidden="1" customHeight="1" x14ac:dyDescent="0.2">
      <c r="A230" s="300" t="s">
        <v>72</v>
      </c>
      <c r="B230" s="296" t="s">
        <v>108</v>
      </c>
      <c r="C230" s="112"/>
      <c r="D230" s="112"/>
      <c r="E230" s="112"/>
      <c r="F230" s="112"/>
      <c r="G230" s="113"/>
      <c r="H230" s="113"/>
      <c r="I230" s="112"/>
      <c r="J230" s="112"/>
      <c r="K230" s="86"/>
      <c r="L230" s="254" t="str">
        <f>CONCATENATE(C230," ",D230," ",E230," ",F230," ",C231," ",D231," ",E231," ",F231)</f>
        <v xml:space="preserve">       </v>
      </c>
      <c r="M230" s="114" t="str">
        <f t="shared" si="4"/>
        <v xml:space="preserve">   </v>
      </c>
    </row>
    <row r="231" spans="1:13" s="48" customFormat="1" hidden="1" x14ac:dyDescent="0.2">
      <c r="A231" s="300"/>
      <c r="B231" s="296"/>
      <c r="C231" s="120"/>
      <c r="D231" s="116"/>
      <c r="E231" s="117"/>
      <c r="F231" s="118"/>
      <c r="G231" s="113"/>
      <c r="H231" s="113"/>
      <c r="I231" s="112"/>
      <c r="J231" s="112"/>
      <c r="K231" s="86"/>
      <c r="L231" s="255"/>
      <c r="M231" s="114" t="str">
        <f t="shared" si="4"/>
        <v xml:space="preserve">   </v>
      </c>
    </row>
    <row r="232" spans="1:13" s="48" customFormat="1" hidden="1" x14ac:dyDescent="0.2">
      <c r="A232" s="300"/>
      <c r="B232" s="296"/>
      <c r="C232" s="115"/>
      <c r="D232" s="116"/>
      <c r="E232" s="117"/>
      <c r="F232" s="118"/>
      <c r="G232" s="113"/>
      <c r="H232" s="113"/>
      <c r="I232" s="112"/>
      <c r="J232" s="112"/>
      <c r="K232" s="86"/>
      <c r="L232" s="255"/>
      <c r="M232" s="114" t="str">
        <f t="shared" si="4"/>
        <v xml:space="preserve">   </v>
      </c>
    </row>
    <row r="233" spans="1:13" s="48" customFormat="1" hidden="1" x14ac:dyDescent="0.2">
      <c r="A233" s="300"/>
      <c r="B233" s="296"/>
      <c r="C233" s="115"/>
      <c r="D233" s="116"/>
      <c r="E233" s="117"/>
      <c r="F233" s="118"/>
      <c r="G233" s="113"/>
      <c r="H233" s="113"/>
      <c r="I233" s="112"/>
      <c r="J233" s="112"/>
      <c r="K233" s="86"/>
      <c r="L233" s="255"/>
      <c r="M233" s="114" t="str">
        <f t="shared" si="4"/>
        <v xml:space="preserve">   </v>
      </c>
    </row>
    <row r="234" spans="1:13" s="48" customFormat="1" hidden="1" x14ac:dyDescent="0.2">
      <c r="A234" s="300"/>
      <c r="B234" s="296"/>
      <c r="C234" s="115"/>
      <c r="D234" s="116"/>
      <c r="E234" s="117"/>
      <c r="F234" s="118"/>
      <c r="G234" s="113"/>
      <c r="H234" s="113"/>
      <c r="I234" s="112"/>
      <c r="J234" s="112"/>
      <c r="K234" s="86"/>
      <c r="L234" s="255"/>
      <c r="M234" s="114" t="str">
        <f t="shared" si="4"/>
        <v xml:space="preserve">   </v>
      </c>
    </row>
    <row r="235" spans="1:13" s="48" customFormat="1" hidden="1" x14ac:dyDescent="0.2">
      <c r="A235" s="300"/>
      <c r="B235" s="296"/>
      <c r="C235" s="115"/>
      <c r="D235" s="116"/>
      <c r="E235" s="117"/>
      <c r="F235" s="118"/>
      <c r="G235" s="113"/>
      <c r="H235" s="113"/>
      <c r="I235" s="112"/>
      <c r="J235" s="112"/>
      <c r="K235" s="86"/>
      <c r="L235" s="255"/>
      <c r="M235" s="114" t="str">
        <f t="shared" si="4"/>
        <v xml:space="preserve">   </v>
      </c>
    </row>
    <row r="236" spans="1:13" s="48" customFormat="1" hidden="1" x14ac:dyDescent="0.2">
      <c r="A236" s="300"/>
      <c r="B236" s="296"/>
      <c r="C236" s="115"/>
      <c r="D236" s="116"/>
      <c r="E236" s="117"/>
      <c r="F236" s="118"/>
      <c r="G236" s="113"/>
      <c r="H236" s="113"/>
      <c r="I236" s="112"/>
      <c r="J236" s="112"/>
      <c r="K236" s="86"/>
      <c r="L236" s="255"/>
      <c r="M236" s="114" t="str">
        <f t="shared" si="4"/>
        <v xml:space="preserve">   </v>
      </c>
    </row>
    <row r="237" spans="1:13" s="48" customFormat="1" hidden="1" x14ac:dyDescent="0.2">
      <c r="A237" s="300"/>
      <c r="B237" s="296"/>
      <c r="C237" s="115"/>
      <c r="D237" s="116"/>
      <c r="E237" s="117"/>
      <c r="F237" s="118"/>
      <c r="G237" s="113"/>
      <c r="H237" s="113"/>
      <c r="I237" s="112"/>
      <c r="J237" s="112"/>
      <c r="K237" s="86"/>
      <c r="L237" s="255"/>
      <c r="M237" s="114" t="str">
        <f t="shared" si="4"/>
        <v xml:space="preserve">   </v>
      </c>
    </row>
    <row r="238" spans="1:13" s="48" customFormat="1" hidden="1" x14ac:dyDescent="0.2">
      <c r="A238" s="300"/>
      <c r="B238" s="296"/>
      <c r="C238" s="115"/>
      <c r="D238" s="116"/>
      <c r="E238" s="117"/>
      <c r="F238" s="118"/>
      <c r="G238" s="113"/>
      <c r="H238" s="113"/>
      <c r="I238" s="112"/>
      <c r="J238" s="112"/>
      <c r="K238" s="86"/>
      <c r="L238" s="255"/>
      <c r="M238" s="114" t="str">
        <f t="shared" si="4"/>
        <v xml:space="preserve">   </v>
      </c>
    </row>
    <row r="239" spans="1:13" s="48" customFormat="1" hidden="1" x14ac:dyDescent="0.2">
      <c r="A239" s="300"/>
      <c r="B239" s="296"/>
      <c r="C239" s="121"/>
      <c r="D239" s="122"/>
      <c r="E239" s="123"/>
      <c r="F239" s="124"/>
      <c r="G239" s="113"/>
      <c r="H239" s="113"/>
      <c r="I239" s="112"/>
      <c r="J239" s="112"/>
      <c r="K239" s="86"/>
      <c r="L239" s="255"/>
      <c r="M239" s="114" t="str">
        <f t="shared" si="4"/>
        <v xml:space="preserve">   </v>
      </c>
    </row>
    <row r="240" spans="1:13" s="48" customFormat="1" ht="15" hidden="1" customHeight="1" x14ac:dyDescent="0.2">
      <c r="A240" s="300" t="s">
        <v>72</v>
      </c>
      <c r="B240" s="296" t="s">
        <v>108</v>
      </c>
      <c r="C240" s="112"/>
      <c r="D240" s="112"/>
      <c r="E240" s="112"/>
      <c r="F240" s="112"/>
      <c r="G240" s="113"/>
      <c r="H240" s="113"/>
      <c r="I240" s="112"/>
      <c r="J240" s="112"/>
      <c r="K240" s="86"/>
      <c r="L240" s="254" t="str">
        <f>CONCATENATE(C240," ",D240," ",E240," ",F240," ",C241," ",D241," ",E241," ",F241)</f>
        <v xml:space="preserve">       </v>
      </c>
      <c r="M240" s="114" t="str">
        <f t="shared" si="4"/>
        <v xml:space="preserve">   </v>
      </c>
    </row>
    <row r="241" spans="1:13" s="48" customFormat="1" hidden="1" x14ac:dyDescent="0.2">
      <c r="A241" s="300"/>
      <c r="B241" s="296"/>
      <c r="C241" s="120"/>
      <c r="D241" s="116"/>
      <c r="E241" s="117"/>
      <c r="F241" s="118"/>
      <c r="G241" s="113"/>
      <c r="H241" s="113"/>
      <c r="I241" s="112"/>
      <c r="J241" s="112"/>
      <c r="K241" s="86"/>
      <c r="L241" s="255"/>
      <c r="M241" s="114" t="str">
        <f t="shared" si="4"/>
        <v xml:space="preserve">   </v>
      </c>
    </row>
    <row r="242" spans="1:13" s="48" customFormat="1" hidden="1" x14ac:dyDescent="0.2">
      <c r="A242" s="300"/>
      <c r="B242" s="296"/>
      <c r="C242" s="115"/>
      <c r="D242" s="116"/>
      <c r="E242" s="117"/>
      <c r="F242" s="118"/>
      <c r="G242" s="113"/>
      <c r="H242" s="113"/>
      <c r="I242" s="112"/>
      <c r="J242" s="112"/>
      <c r="K242" s="86"/>
      <c r="L242" s="255"/>
      <c r="M242" s="114" t="str">
        <f t="shared" si="4"/>
        <v xml:space="preserve">   </v>
      </c>
    </row>
    <row r="243" spans="1:13" s="48" customFormat="1" hidden="1" x14ac:dyDescent="0.2">
      <c r="A243" s="300"/>
      <c r="B243" s="296"/>
      <c r="C243" s="115"/>
      <c r="D243" s="116"/>
      <c r="E243" s="117"/>
      <c r="F243" s="118"/>
      <c r="G243" s="113"/>
      <c r="H243" s="113"/>
      <c r="I243" s="112"/>
      <c r="J243" s="112"/>
      <c r="K243" s="86"/>
      <c r="L243" s="255"/>
      <c r="M243" s="114" t="str">
        <f t="shared" si="4"/>
        <v xml:space="preserve">   </v>
      </c>
    </row>
    <row r="244" spans="1:13" s="48" customFormat="1" hidden="1" x14ac:dyDescent="0.2">
      <c r="A244" s="300"/>
      <c r="B244" s="296"/>
      <c r="C244" s="115"/>
      <c r="D244" s="116"/>
      <c r="E244" s="117"/>
      <c r="F244" s="118"/>
      <c r="G244" s="113"/>
      <c r="H244" s="113"/>
      <c r="I244" s="112"/>
      <c r="J244" s="112"/>
      <c r="K244" s="86"/>
      <c r="L244" s="255"/>
      <c r="M244" s="114" t="str">
        <f t="shared" si="4"/>
        <v xml:space="preserve">   </v>
      </c>
    </row>
    <row r="245" spans="1:13" s="48" customFormat="1" hidden="1" x14ac:dyDescent="0.2">
      <c r="A245" s="300"/>
      <c r="B245" s="296"/>
      <c r="C245" s="115"/>
      <c r="D245" s="116"/>
      <c r="E245" s="117"/>
      <c r="F245" s="118"/>
      <c r="G245" s="113"/>
      <c r="H245" s="113"/>
      <c r="I245" s="112"/>
      <c r="J245" s="112"/>
      <c r="K245" s="86"/>
      <c r="L245" s="255"/>
      <c r="M245" s="114" t="str">
        <f t="shared" si="4"/>
        <v xml:space="preserve">   </v>
      </c>
    </row>
    <row r="246" spans="1:13" s="48" customFormat="1" hidden="1" x14ac:dyDescent="0.2">
      <c r="A246" s="300"/>
      <c r="B246" s="296"/>
      <c r="C246" s="115"/>
      <c r="D246" s="116"/>
      <c r="E246" s="117"/>
      <c r="F246" s="118"/>
      <c r="G246" s="113"/>
      <c r="H246" s="113"/>
      <c r="I246" s="112"/>
      <c r="J246" s="112"/>
      <c r="K246" s="86"/>
      <c r="L246" s="255"/>
      <c r="M246" s="114" t="str">
        <f t="shared" si="4"/>
        <v xml:space="preserve">   </v>
      </c>
    </row>
    <row r="247" spans="1:13" s="48" customFormat="1" hidden="1" x14ac:dyDescent="0.2">
      <c r="A247" s="300"/>
      <c r="B247" s="296"/>
      <c r="C247" s="115"/>
      <c r="D247" s="116"/>
      <c r="E247" s="117"/>
      <c r="F247" s="118"/>
      <c r="G247" s="113"/>
      <c r="H247" s="113"/>
      <c r="I247" s="112"/>
      <c r="J247" s="112"/>
      <c r="K247" s="86"/>
      <c r="L247" s="255"/>
      <c r="M247" s="114" t="str">
        <f t="shared" si="4"/>
        <v xml:space="preserve">   </v>
      </c>
    </row>
    <row r="248" spans="1:13" s="48" customFormat="1" hidden="1" x14ac:dyDescent="0.2">
      <c r="A248" s="300"/>
      <c r="B248" s="296"/>
      <c r="C248" s="115"/>
      <c r="D248" s="116"/>
      <c r="E248" s="117"/>
      <c r="F248" s="118"/>
      <c r="G248" s="113"/>
      <c r="H248" s="113"/>
      <c r="I248" s="112"/>
      <c r="J248" s="112"/>
      <c r="K248" s="86"/>
      <c r="L248" s="255"/>
      <c r="M248" s="114" t="str">
        <f t="shared" si="4"/>
        <v xml:space="preserve">   </v>
      </c>
    </row>
    <row r="249" spans="1:13" s="48" customFormat="1" hidden="1" x14ac:dyDescent="0.2">
      <c r="A249" s="300"/>
      <c r="B249" s="296"/>
      <c r="C249" s="121"/>
      <c r="D249" s="122"/>
      <c r="E249" s="123"/>
      <c r="F249" s="124"/>
      <c r="G249" s="113"/>
      <c r="H249" s="113"/>
      <c r="I249" s="112"/>
      <c r="J249" s="112"/>
      <c r="K249" s="86"/>
      <c r="L249" s="256"/>
      <c r="M249" s="114" t="str">
        <f t="shared" si="4"/>
        <v xml:space="preserve">   </v>
      </c>
    </row>
    <row r="250" spans="1:13" s="48" customFormat="1" ht="15" hidden="1" customHeight="1" x14ac:dyDescent="0.2">
      <c r="A250" s="300" t="s">
        <v>72</v>
      </c>
      <c r="B250" s="296" t="s">
        <v>108</v>
      </c>
      <c r="C250" s="112"/>
      <c r="D250" s="112"/>
      <c r="E250" s="112"/>
      <c r="F250" s="112"/>
      <c r="G250" s="113"/>
      <c r="H250" s="113"/>
      <c r="I250" s="112"/>
      <c r="J250" s="112"/>
      <c r="K250" s="86"/>
      <c r="L250" s="254" t="str">
        <f>CONCATENATE(C250," ",D250," ",E250," ",F250," ",C251," ",D251," ",E251," ",F251)</f>
        <v xml:space="preserve">       </v>
      </c>
      <c r="M250" s="114" t="str">
        <f t="shared" si="4"/>
        <v xml:space="preserve">   </v>
      </c>
    </row>
    <row r="251" spans="1:13" s="48" customFormat="1" hidden="1" x14ac:dyDescent="0.2">
      <c r="A251" s="300"/>
      <c r="B251" s="296"/>
      <c r="C251" s="120"/>
      <c r="D251" s="116"/>
      <c r="E251" s="117"/>
      <c r="F251" s="118"/>
      <c r="G251" s="113"/>
      <c r="H251" s="113"/>
      <c r="I251" s="112"/>
      <c r="J251" s="112"/>
      <c r="K251" s="86"/>
      <c r="L251" s="255"/>
      <c r="M251" s="114" t="str">
        <f t="shared" si="4"/>
        <v xml:space="preserve">   </v>
      </c>
    </row>
    <row r="252" spans="1:13" s="48" customFormat="1" hidden="1" x14ac:dyDescent="0.2">
      <c r="A252" s="300"/>
      <c r="B252" s="296"/>
      <c r="C252" s="115"/>
      <c r="D252" s="116"/>
      <c r="E252" s="117"/>
      <c r="F252" s="118"/>
      <c r="G252" s="113"/>
      <c r="H252" s="113"/>
      <c r="I252" s="112"/>
      <c r="J252" s="112"/>
      <c r="K252" s="86"/>
      <c r="L252" s="255"/>
      <c r="M252" s="114" t="str">
        <f t="shared" si="4"/>
        <v xml:space="preserve">   </v>
      </c>
    </row>
    <row r="253" spans="1:13" s="48" customFormat="1" hidden="1" x14ac:dyDescent="0.2">
      <c r="A253" s="300"/>
      <c r="B253" s="296"/>
      <c r="C253" s="115"/>
      <c r="D253" s="116"/>
      <c r="E253" s="117"/>
      <c r="F253" s="118"/>
      <c r="G253" s="113"/>
      <c r="H253" s="113"/>
      <c r="I253" s="112"/>
      <c r="J253" s="112"/>
      <c r="K253" s="86"/>
      <c r="L253" s="255"/>
      <c r="M253" s="114" t="str">
        <f t="shared" si="4"/>
        <v xml:space="preserve">   </v>
      </c>
    </row>
    <row r="254" spans="1:13" s="48" customFormat="1" hidden="1" x14ac:dyDescent="0.2">
      <c r="A254" s="300"/>
      <c r="B254" s="296"/>
      <c r="C254" s="115"/>
      <c r="D254" s="116"/>
      <c r="E254" s="117"/>
      <c r="F254" s="118"/>
      <c r="G254" s="113"/>
      <c r="H254" s="113"/>
      <c r="I254" s="112"/>
      <c r="J254" s="112"/>
      <c r="K254" s="86"/>
      <c r="L254" s="255"/>
      <c r="M254" s="114" t="str">
        <f t="shared" si="4"/>
        <v xml:space="preserve">   </v>
      </c>
    </row>
    <row r="255" spans="1:13" s="48" customFormat="1" hidden="1" x14ac:dyDescent="0.2">
      <c r="A255" s="300"/>
      <c r="B255" s="296"/>
      <c r="C255" s="115"/>
      <c r="D255" s="116"/>
      <c r="E255" s="117"/>
      <c r="F255" s="118"/>
      <c r="G255" s="113"/>
      <c r="H255" s="113"/>
      <c r="I255" s="112"/>
      <c r="J255" s="112"/>
      <c r="K255" s="86"/>
      <c r="L255" s="255"/>
      <c r="M255" s="114" t="str">
        <f t="shared" si="4"/>
        <v xml:space="preserve">   </v>
      </c>
    </row>
    <row r="256" spans="1:13" s="48" customFormat="1" hidden="1" x14ac:dyDescent="0.2">
      <c r="A256" s="300"/>
      <c r="B256" s="296"/>
      <c r="C256" s="115"/>
      <c r="D256" s="116"/>
      <c r="E256" s="117"/>
      <c r="F256" s="118"/>
      <c r="G256" s="113"/>
      <c r="H256" s="113"/>
      <c r="I256" s="112"/>
      <c r="J256" s="112"/>
      <c r="K256" s="86"/>
      <c r="L256" s="255"/>
      <c r="M256" s="114" t="str">
        <f t="shared" si="4"/>
        <v xml:space="preserve">   </v>
      </c>
    </row>
    <row r="257" spans="1:13" s="48" customFormat="1" hidden="1" x14ac:dyDescent="0.2">
      <c r="A257" s="300"/>
      <c r="B257" s="296"/>
      <c r="C257" s="115"/>
      <c r="D257" s="116"/>
      <c r="E257" s="117"/>
      <c r="F257" s="118"/>
      <c r="G257" s="113"/>
      <c r="H257" s="113"/>
      <c r="I257" s="112"/>
      <c r="J257" s="112"/>
      <c r="K257" s="86"/>
      <c r="L257" s="255"/>
      <c r="M257" s="114" t="str">
        <f t="shared" si="4"/>
        <v xml:space="preserve">   </v>
      </c>
    </row>
    <row r="258" spans="1:13" s="48" customFormat="1" hidden="1" x14ac:dyDescent="0.2">
      <c r="A258" s="300"/>
      <c r="B258" s="296"/>
      <c r="C258" s="115"/>
      <c r="D258" s="116"/>
      <c r="E258" s="117"/>
      <c r="F258" s="118"/>
      <c r="G258" s="113"/>
      <c r="H258" s="113"/>
      <c r="I258" s="112"/>
      <c r="J258" s="112"/>
      <c r="K258" s="86"/>
      <c r="L258" s="255"/>
      <c r="M258" s="114" t="str">
        <f t="shared" si="4"/>
        <v xml:space="preserve">   </v>
      </c>
    </row>
    <row r="259" spans="1:13" s="48" customFormat="1" hidden="1" x14ac:dyDescent="0.2">
      <c r="A259" s="300"/>
      <c r="B259" s="296"/>
      <c r="C259" s="121"/>
      <c r="D259" s="122"/>
      <c r="E259" s="123"/>
      <c r="F259" s="124"/>
      <c r="G259" s="113"/>
      <c r="H259" s="113"/>
      <c r="I259" s="112"/>
      <c r="J259" s="112"/>
      <c r="K259" s="86"/>
      <c r="L259" s="255"/>
      <c r="M259" s="114" t="str">
        <f t="shared" si="4"/>
        <v xml:space="preserve">   </v>
      </c>
    </row>
    <row r="260" spans="1:13" s="48" customFormat="1" ht="15" hidden="1" customHeight="1" x14ac:dyDescent="0.2">
      <c r="A260" s="300" t="s">
        <v>72</v>
      </c>
      <c r="B260" s="296" t="s">
        <v>108</v>
      </c>
      <c r="C260" s="112"/>
      <c r="D260" s="112"/>
      <c r="E260" s="112"/>
      <c r="F260" s="112"/>
      <c r="G260" s="113"/>
      <c r="H260" s="113"/>
      <c r="I260" s="112"/>
      <c r="J260" s="112"/>
      <c r="K260" s="86"/>
      <c r="L260" s="254" t="str">
        <f>CONCATENATE(C260," ",D260," ",E260," ",F260," ",C261," ",D261," ",E261," ",F261)</f>
        <v xml:space="preserve">       </v>
      </c>
      <c r="M260" s="114" t="str">
        <f t="shared" si="4"/>
        <v xml:space="preserve">   </v>
      </c>
    </row>
    <row r="261" spans="1:13" s="48" customFormat="1" hidden="1" x14ac:dyDescent="0.2">
      <c r="A261" s="300"/>
      <c r="B261" s="296"/>
      <c r="C261" s="120"/>
      <c r="D261" s="116"/>
      <c r="E261" s="117"/>
      <c r="F261" s="118"/>
      <c r="G261" s="113"/>
      <c r="H261" s="113"/>
      <c r="I261" s="112"/>
      <c r="J261" s="112"/>
      <c r="K261" s="86"/>
      <c r="L261" s="255"/>
      <c r="M261" s="114" t="str">
        <f t="shared" si="4"/>
        <v xml:space="preserve">   </v>
      </c>
    </row>
    <row r="262" spans="1:13" s="48" customFormat="1" hidden="1" x14ac:dyDescent="0.2">
      <c r="A262" s="300"/>
      <c r="B262" s="296"/>
      <c r="C262" s="115"/>
      <c r="D262" s="116"/>
      <c r="E262" s="117"/>
      <c r="F262" s="118"/>
      <c r="G262" s="113"/>
      <c r="H262" s="113"/>
      <c r="I262" s="112"/>
      <c r="J262" s="112"/>
      <c r="K262" s="86"/>
      <c r="L262" s="255"/>
      <c r="M262" s="114" t="str">
        <f t="shared" si="4"/>
        <v xml:space="preserve">   </v>
      </c>
    </row>
    <row r="263" spans="1:13" s="48" customFormat="1" hidden="1" x14ac:dyDescent="0.2">
      <c r="A263" s="300"/>
      <c r="B263" s="296"/>
      <c r="C263" s="115"/>
      <c r="D263" s="116"/>
      <c r="E263" s="117"/>
      <c r="F263" s="118"/>
      <c r="G263" s="113"/>
      <c r="H263" s="113"/>
      <c r="I263" s="112"/>
      <c r="J263" s="112"/>
      <c r="K263" s="86"/>
      <c r="L263" s="255"/>
      <c r="M263" s="114" t="str">
        <f t="shared" si="4"/>
        <v xml:space="preserve">   </v>
      </c>
    </row>
    <row r="264" spans="1:13" s="48" customFormat="1" hidden="1" x14ac:dyDescent="0.2">
      <c r="A264" s="300"/>
      <c r="B264" s="296"/>
      <c r="C264" s="115"/>
      <c r="D264" s="116"/>
      <c r="E264" s="117"/>
      <c r="F264" s="118"/>
      <c r="G264" s="113"/>
      <c r="H264" s="113"/>
      <c r="I264" s="112"/>
      <c r="J264" s="112"/>
      <c r="K264" s="86"/>
      <c r="L264" s="255"/>
      <c r="M264" s="114" t="str">
        <f t="shared" si="4"/>
        <v xml:space="preserve">   </v>
      </c>
    </row>
    <row r="265" spans="1:13" s="48" customFormat="1" ht="3" hidden="1" customHeight="1" x14ac:dyDescent="0.2">
      <c r="A265" s="300"/>
      <c r="B265" s="296"/>
      <c r="C265" s="115"/>
      <c r="D265" s="116"/>
      <c r="E265" s="117"/>
      <c r="F265" s="118"/>
      <c r="G265" s="113"/>
      <c r="H265" s="113"/>
      <c r="I265" s="112"/>
      <c r="J265" s="112"/>
      <c r="K265" s="86"/>
      <c r="L265" s="255"/>
      <c r="M265" s="114" t="str">
        <f t="shared" si="4"/>
        <v xml:space="preserve">   </v>
      </c>
    </row>
    <row r="266" spans="1:13" s="48" customFormat="1" hidden="1" x14ac:dyDescent="0.2">
      <c r="A266" s="300"/>
      <c r="B266" s="296"/>
      <c r="C266" s="115"/>
      <c r="D266" s="116"/>
      <c r="E266" s="117"/>
      <c r="F266" s="118"/>
      <c r="G266" s="113"/>
      <c r="H266" s="113"/>
      <c r="I266" s="112"/>
      <c r="J266" s="112"/>
      <c r="K266" s="86"/>
      <c r="L266" s="255"/>
      <c r="M266" s="114" t="str">
        <f t="shared" si="4"/>
        <v xml:space="preserve">   </v>
      </c>
    </row>
    <row r="267" spans="1:13" s="48" customFormat="1" hidden="1" x14ac:dyDescent="0.2">
      <c r="A267" s="300"/>
      <c r="B267" s="296"/>
      <c r="C267" s="115"/>
      <c r="D267" s="116"/>
      <c r="E267" s="117"/>
      <c r="F267" s="118"/>
      <c r="G267" s="113"/>
      <c r="H267" s="113"/>
      <c r="I267" s="112"/>
      <c r="J267" s="112"/>
      <c r="K267" s="86"/>
      <c r="L267" s="255"/>
      <c r="M267" s="114" t="str">
        <f t="shared" ref="M267:M330" si="5">CONCATENATE(G267," ",H267," ",I267," ",J267)</f>
        <v xml:space="preserve">   </v>
      </c>
    </row>
    <row r="268" spans="1:13" s="48" customFormat="1" hidden="1" x14ac:dyDescent="0.2">
      <c r="A268" s="300"/>
      <c r="B268" s="296"/>
      <c r="C268" s="115"/>
      <c r="D268" s="116"/>
      <c r="E268" s="117"/>
      <c r="F268" s="118"/>
      <c r="G268" s="113"/>
      <c r="H268" s="113"/>
      <c r="I268" s="112"/>
      <c r="J268" s="112"/>
      <c r="K268" s="86"/>
      <c r="L268" s="255"/>
      <c r="M268" s="114" t="str">
        <f t="shared" si="5"/>
        <v xml:space="preserve">   </v>
      </c>
    </row>
    <row r="269" spans="1:13" s="48" customFormat="1" hidden="1" x14ac:dyDescent="0.2">
      <c r="A269" s="300"/>
      <c r="B269" s="296"/>
      <c r="C269" s="121"/>
      <c r="D269" s="122"/>
      <c r="E269" s="123"/>
      <c r="F269" s="124"/>
      <c r="G269" s="113"/>
      <c r="H269" s="113"/>
      <c r="I269" s="112"/>
      <c r="J269" s="112"/>
      <c r="K269" s="86"/>
      <c r="L269" s="256"/>
      <c r="M269" s="114" t="str">
        <f t="shared" si="5"/>
        <v xml:space="preserve">   </v>
      </c>
    </row>
    <row r="270" spans="1:13" s="48" customFormat="1" ht="15" hidden="1" customHeight="1" x14ac:dyDescent="0.2">
      <c r="A270" s="300" t="s">
        <v>72</v>
      </c>
      <c r="B270" s="296" t="s">
        <v>108</v>
      </c>
      <c r="C270" s="112"/>
      <c r="D270" s="112"/>
      <c r="E270" s="112"/>
      <c r="F270" s="112"/>
      <c r="G270" s="113"/>
      <c r="H270" s="113"/>
      <c r="I270" s="112"/>
      <c r="J270" s="112"/>
      <c r="K270" s="86"/>
      <c r="L270" s="254" t="str">
        <f>CONCATENATE(C270," ",D270," ",E270," ",F270," ",C271," ",D271," ",E271," ",F271)</f>
        <v xml:space="preserve">       </v>
      </c>
      <c r="M270" s="114" t="str">
        <f t="shared" si="5"/>
        <v xml:space="preserve">   </v>
      </c>
    </row>
    <row r="271" spans="1:13" s="48" customFormat="1" hidden="1" x14ac:dyDescent="0.2">
      <c r="A271" s="300"/>
      <c r="B271" s="296"/>
      <c r="C271" s="120"/>
      <c r="D271" s="116"/>
      <c r="E271" s="117"/>
      <c r="F271" s="118"/>
      <c r="G271" s="113"/>
      <c r="H271" s="113"/>
      <c r="I271" s="112"/>
      <c r="J271" s="112"/>
      <c r="K271" s="86"/>
      <c r="L271" s="255"/>
      <c r="M271" s="114" t="str">
        <f t="shared" si="5"/>
        <v xml:space="preserve">   </v>
      </c>
    </row>
    <row r="272" spans="1:13" s="48" customFormat="1" hidden="1" x14ac:dyDescent="0.2">
      <c r="A272" s="300"/>
      <c r="B272" s="296"/>
      <c r="C272" s="115"/>
      <c r="D272" s="116"/>
      <c r="E272" s="117"/>
      <c r="F272" s="118"/>
      <c r="G272" s="113"/>
      <c r="H272" s="113"/>
      <c r="I272" s="112"/>
      <c r="J272" s="112"/>
      <c r="K272" s="86"/>
      <c r="L272" s="255"/>
      <c r="M272" s="114" t="str">
        <f t="shared" si="5"/>
        <v xml:space="preserve">   </v>
      </c>
    </row>
    <row r="273" spans="1:13" s="48" customFormat="1" hidden="1" x14ac:dyDescent="0.2">
      <c r="A273" s="300"/>
      <c r="B273" s="296"/>
      <c r="C273" s="115"/>
      <c r="D273" s="116"/>
      <c r="E273" s="117"/>
      <c r="F273" s="118"/>
      <c r="G273" s="113"/>
      <c r="H273" s="113"/>
      <c r="I273" s="112"/>
      <c r="J273" s="112"/>
      <c r="K273" s="86"/>
      <c r="L273" s="255"/>
      <c r="M273" s="114" t="str">
        <f t="shared" si="5"/>
        <v xml:space="preserve">   </v>
      </c>
    </row>
    <row r="274" spans="1:13" s="48" customFormat="1" hidden="1" x14ac:dyDescent="0.2">
      <c r="A274" s="300"/>
      <c r="B274" s="296"/>
      <c r="C274" s="115"/>
      <c r="D274" s="116"/>
      <c r="E274" s="117"/>
      <c r="F274" s="118"/>
      <c r="G274" s="113"/>
      <c r="H274" s="113"/>
      <c r="I274" s="112"/>
      <c r="J274" s="112"/>
      <c r="K274" s="86"/>
      <c r="L274" s="255"/>
      <c r="M274" s="114" t="str">
        <f t="shared" si="5"/>
        <v xml:space="preserve">   </v>
      </c>
    </row>
    <row r="275" spans="1:13" s="48" customFormat="1" hidden="1" x14ac:dyDescent="0.2">
      <c r="A275" s="300"/>
      <c r="B275" s="296"/>
      <c r="C275" s="115"/>
      <c r="D275" s="116"/>
      <c r="E275" s="117"/>
      <c r="F275" s="118"/>
      <c r="G275" s="113"/>
      <c r="H275" s="113"/>
      <c r="I275" s="112"/>
      <c r="J275" s="112"/>
      <c r="K275" s="86"/>
      <c r="L275" s="255"/>
      <c r="M275" s="114" t="str">
        <f t="shared" si="5"/>
        <v xml:space="preserve">   </v>
      </c>
    </row>
    <row r="276" spans="1:13" s="48" customFormat="1" hidden="1" x14ac:dyDescent="0.2">
      <c r="A276" s="300"/>
      <c r="B276" s="296"/>
      <c r="C276" s="115"/>
      <c r="D276" s="116"/>
      <c r="E276" s="117"/>
      <c r="F276" s="118"/>
      <c r="G276" s="113"/>
      <c r="H276" s="113"/>
      <c r="I276" s="112"/>
      <c r="J276" s="112"/>
      <c r="K276" s="86"/>
      <c r="L276" s="255"/>
      <c r="M276" s="114" t="str">
        <f t="shared" si="5"/>
        <v xml:space="preserve">   </v>
      </c>
    </row>
    <row r="277" spans="1:13" s="48" customFormat="1" hidden="1" x14ac:dyDescent="0.2">
      <c r="A277" s="300"/>
      <c r="B277" s="296"/>
      <c r="C277" s="115"/>
      <c r="D277" s="116"/>
      <c r="E277" s="117"/>
      <c r="F277" s="118"/>
      <c r="G277" s="113"/>
      <c r="H277" s="113"/>
      <c r="I277" s="112"/>
      <c r="J277" s="112"/>
      <c r="K277" s="86"/>
      <c r="L277" s="255"/>
      <c r="M277" s="114" t="str">
        <f t="shared" si="5"/>
        <v xml:space="preserve">   </v>
      </c>
    </row>
    <row r="278" spans="1:13" s="48" customFormat="1" hidden="1" x14ac:dyDescent="0.2">
      <c r="A278" s="300"/>
      <c r="B278" s="296"/>
      <c r="C278" s="115"/>
      <c r="D278" s="116"/>
      <c r="E278" s="117"/>
      <c r="F278" s="118"/>
      <c r="G278" s="113"/>
      <c r="H278" s="113"/>
      <c r="I278" s="112"/>
      <c r="J278" s="112"/>
      <c r="K278" s="86"/>
      <c r="L278" s="255"/>
      <c r="M278" s="114" t="str">
        <f t="shared" si="5"/>
        <v xml:space="preserve">   </v>
      </c>
    </row>
    <row r="279" spans="1:13" s="48" customFormat="1" hidden="1" x14ac:dyDescent="0.2">
      <c r="A279" s="300"/>
      <c r="B279" s="296"/>
      <c r="C279" s="121"/>
      <c r="D279" s="122"/>
      <c r="E279" s="123"/>
      <c r="F279" s="124"/>
      <c r="G279" s="113"/>
      <c r="H279" s="113"/>
      <c r="I279" s="112"/>
      <c r="J279" s="112"/>
      <c r="K279" s="86"/>
      <c r="L279" s="255"/>
      <c r="M279" s="114" t="str">
        <f t="shared" si="5"/>
        <v xml:space="preserve">   </v>
      </c>
    </row>
    <row r="280" spans="1:13" s="48" customFormat="1" ht="15" hidden="1" customHeight="1" x14ac:dyDescent="0.2">
      <c r="A280" s="300" t="s">
        <v>72</v>
      </c>
      <c r="B280" s="296" t="s">
        <v>108</v>
      </c>
      <c r="C280" s="112"/>
      <c r="D280" s="112"/>
      <c r="E280" s="112"/>
      <c r="F280" s="112"/>
      <c r="G280" s="113"/>
      <c r="H280" s="113"/>
      <c r="I280" s="112"/>
      <c r="J280" s="112"/>
      <c r="K280" s="86"/>
      <c r="L280" s="254" t="str">
        <f>CONCATENATE(C280," ",D280," ",E280," ",F280," ",C281," ",D281," ",E281," ",F281)</f>
        <v xml:space="preserve">       </v>
      </c>
      <c r="M280" s="114" t="str">
        <f t="shared" si="5"/>
        <v xml:space="preserve">   </v>
      </c>
    </row>
    <row r="281" spans="1:13" s="48" customFormat="1" hidden="1" x14ac:dyDescent="0.2">
      <c r="A281" s="300"/>
      <c r="B281" s="296"/>
      <c r="C281" s="120"/>
      <c r="D281" s="116"/>
      <c r="E281" s="117"/>
      <c r="F281" s="118"/>
      <c r="G281" s="113"/>
      <c r="H281" s="113"/>
      <c r="I281" s="112"/>
      <c r="J281" s="112"/>
      <c r="K281" s="86"/>
      <c r="L281" s="255"/>
      <c r="M281" s="114" t="str">
        <f t="shared" si="5"/>
        <v xml:space="preserve">   </v>
      </c>
    </row>
    <row r="282" spans="1:13" s="48" customFormat="1" hidden="1" x14ac:dyDescent="0.2">
      <c r="A282" s="300"/>
      <c r="B282" s="296"/>
      <c r="C282" s="115"/>
      <c r="D282" s="116"/>
      <c r="E282" s="117"/>
      <c r="F282" s="118"/>
      <c r="G282" s="113"/>
      <c r="H282" s="113"/>
      <c r="I282" s="112"/>
      <c r="J282" s="112"/>
      <c r="K282" s="86"/>
      <c r="L282" s="255"/>
      <c r="M282" s="114" t="str">
        <f t="shared" si="5"/>
        <v xml:space="preserve">   </v>
      </c>
    </row>
    <row r="283" spans="1:13" s="48" customFormat="1" hidden="1" x14ac:dyDescent="0.2">
      <c r="A283" s="300"/>
      <c r="B283" s="296"/>
      <c r="C283" s="115"/>
      <c r="D283" s="116"/>
      <c r="E283" s="117"/>
      <c r="F283" s="118"/>
      <c r="G283" s="113"/>
      <c r="H283" s="113"/>
      <c r="I283" s="112"/>
      <c r="J283" s="112"/>
      <c r="K283" s="86"/>
      <c r="L283" s="255"/>
      <c r="M283" s="114" t="str">
        <f t="shared" si="5"/>
        <v xml:space="preserve">   </v>
      </c>
    </row>
    <row r="284" spans="1:13" s="48" customFormat="1" hidden="1" x14ac:dyDescent="0.2">
      <c r="A284" s="300"/>
      <c r="B284" s="296"/>
      <c r="C284" s="115"/>
      <c r="D284" s="116"/>
      <c r="E284" s="117"/>
      <c r="F284" s="118"/>
      <c r="G284" s="113"/>
      <c r="H284" s="113"/>
      <c r="I284" s="112"/>
      <c r="J284" s="112"/>
      <c r="K284" s="86"/>
      <c r="L284" s="255"/>
      <c r="M284" s="114" t="str">
        <f t="shared" si="5"/>
        <v xml:space="preserve">   </v>
      </c>
    </row>
    <row r="285" spans="1:13" s="48" customFormat="1" hidden="1" x14ac:dyDescent="0.2">
      <c r="A285" s="300"/>
      <c r="B285" s="296"/>
      <c r="C285" s="115"/>
      <c r="D285" s="116"/>
      <c r="E285" s="117"/>
      <c r="F285" s="118"/>
      <c r="G285" s="113"/>
      <c r="H285" s="113"/>
      <c r="I285" s="112"/>
      <c r="J285" s="112"/>
      <c r="K285" s="86"/>
      <c r="L285" s="255"/>
      <c r="M285" s="114" t="str">
        <f t="shared" si="5"/>
        <v xml:space="preserve">   </v>
      </c>
    </row>
    <row r="286" spans="1:13" s="48" customFormat="1" ht="0.75" hidden="1" customHeight="1" x14ac:dyDescent="0.2">
      <c r="A286" s="300"/>
      <c r="B286" s="296"/>
      <c r="C286" s="115"/>
      <c r="D286" s="116"/>
      <c r="E286" s="117"/>
      <c r="F286" s="118"/>
      <c r="G286" s="113"/>
      <c r="H286" s="113"/>
      <c r="I286" s="112"/>
      <c r="J286" s="112"/>
      <c r="K286" s="86"/>
      <c r="L286" s="255"/>
      <c r="M286" s="114" t="str">
        <f t="shared" si="5"/>
        <v xml:space="preserve">   </v>
      </c>
    </row>
    <row r="287" spans="1:13" s="48" customFormat="1" hidden="1" x14ac:dyDescent="0.2">
      <c r="A287" s="300"/>
      <c r="B287" s="296"/>
      <c r="C287" s="115"/>
      <c r="D287" s="116"/>
      <c r="E287" s="117"/>
      <c r="F287" s="118"/>
      <c r="G287" s="113"/>
      <c r="H287" s="113"/>
      <c r="I287" s="112"/>
      <c r="J287" s="112"/>
      <c r="K287" s="86"/>
      <c r="L287" s="255"/>
      <c r="M287" s="114" t="str">
        <f t="shared" si="5"/>
        <v xml:space="preserve">   </v>
      </c>
    </row>
    <row r="288" spans="1:13" s="48" customFormat="1" hidden="1" x14ac:dyDescent="0.2">
      <c r="A288" s="300"/>
      <c r="B288" s="296"/>
      <c r="C288" s="115"/>
      <c r="D288" s="116"/>
      <c r="E288" s="117"/>
      <c r="F288" s="118"/>
      <c r="G288" s="113"/>
      <c r="H288" s="113"/>
      <c r="I288" s="112"/>
      <c r="J288" s="112"/>
      <c r="K288" s="86"/>
      <c r="L288" s="255"/>
      <c r="M288" s="114" t="str">
        <f t="shared" si="5"/>
        <v xml:space="preserve">   </v>
      </c>
    </row>
    <row r="289" spans="1:13" s="48" customFormat="1" hidden="1" x14ac:dyDescent="0.2">
      <c r="A289" s="300"/>
      <c r="B289" s="296"/>
      <c r="C289" s="121"/>
      <c r="D289" s="122"/>
      <c r="E289" s="123"/>
      <c r="F289" s="124"/>
      <c r="G289" s="113"/>
      <c r="H289" s="113"/>
      <c r="I289" s="112"/>
      <c r="J289" s="112"/>
      <c r="K289" s="86"/>
      <c r="L289" s="256"/>
      <c r="M289" s="114" t="str">
        <f t="shared" si="5"/>
        <v xml:space="preserve">   </v>
      </c>
    </row>
    <row r="290" spans="1:13" s="48" customFormat="1" ht="15" hidden="1" customHeight="1" x14ac:dyDescent="0.2">
      <c r="A290" s="300" t="s">
        <v>72</v>
      </c>
      <c r="B290" s="296" t="s">
        <v>108</v>
      </c>
      <c r="C290" s="112"/>
      <c r="D290" s="112"/>
      <c r="E290" s="112"/>
      <c r="F290" s="112"/>
      <c r="G290" s="113"/>
      <c r="H290" s="113"/>
      <c r="I290" s="112"/>
      <c r="J290" s="112"/>
      <c r="K290" s="86"/>
      <c r="L290" s="254" t="str">
        <f>CONCATENATE(C290," ",D290," ",E290," ",F290," ",C291," ",D291," ",E291," ",F291)</f>
        <v xml:space="preserve">       </v>
      </c>
      <c r="M290" s="114" t="str">
        <f t="shared" si="5"/>
        <v xml:space="preserve">   </v>
      </c>
    </row>
    <row r="291" spans="1:13" s="48" customFormat="1" hidden="1" x14ac:dyDescent="0.2">
      <c r="A291" s="300"/>
      <c r="B291" s="296"/>
      <c r="C291" s="120"/>
      <c r="D291" s="116"/>
      <c r="E291" s="117"/>
      <c r="F291" s="118"/>
      <c r="G291" s="113"/>
      <c r="H291" s="113"/>
      <c r="I291" s="112"/>
      <c r="J291" s="112"/>
      <c r="K291" s="86"/>
      <c r="L291" s="255"/>
      <c r="M291" s="114" t="str">
        <f t="shared" si="5"/>
        <v xml:space="preserve">   </v>
      </c>
    </row>
    <row r="292" spans="1:13" s="48" customFormat="1" hidden="1" x14ac:dyDescent="0.2">
      <c r="A292" s="300"/>
      <c r="B292" s="296"/>
      <c r="C292" s="115"/>
      <c r="D292" s="116"/>
      <c r="E292" s="117"/>
      <c r="F292" s="118"/>
      <c r="G292" s="113"/>
      <c r="H292" s="113"/>
      <c r="I292" s="112"/>
      <c r="J292" s="112"/>
      <c r="K292" s="86"/>
      <c r="L292" s="255"/>
      <c r="M292" s="114" t="str">
        <f t="shared" si="5"/>
        <v xml:space="preserve">   </v>
      </c>
    </row>
    <row r="293" spans="1:13" s="48" customFormat="1" hidden="1" x14ac:dyDescent="0.2">
      <c r="A293" s="300"/>
      <c r="B293" s="296"/>
      <c r="C293" s="115"/>
      <c r="D293" s="116"/>
      <c r="E293" s="117"/>
      <c r="F293" s="118"/>
      <c r="G293" s="113"/>
      <c r="H293" s="113"/>
      <c r="I293" s="112"/>
      <c r="J293" s="112"/>
      <c r="K293" s="86"/>
      <c r="L293" s="255"/>
      <c r="M293" s="114" t="str">
        <f t="shared" si="5"/>
        <v xml:space="preserve">   </v>
      </c>
    </row>
    <row r="294" spans="1:13" s="48" customFormat="1" hidden="1" x14ac:dyDescent="0.2">
      <c r="A294" s="300"/>
      <c r="B294" s="296"/>
      <c r="C294" s="115"/>
      <c r="D294" s="116"/>
      <c r="E294" s="117"/>
      <c r="F294" s="118"/>
      <c r="G294" s="113"/>
      <c r="H294" s="113"/>
      <c r="I294" s="112"/>
      <c r="J294" s="112"/>
      <c r="K294" s="86"/>
      <c r="L294" s="255"/>
      <c r="M294" s="114" t="str">
        <f t="shared" si="5"/>
        <v xml:space="preserve">   </v>
      </c>
    </row>
    <row r="295" spans="1:13" s="48" customFormat="1" hidden="1" x14ac:dyDescent="0.2">
      <c r="A295" s="300"/>
      <c r="B295" s="296"/>
      <c r="C295" s="115"/>
      <c r="D295" s="116"/>
      <c r="E295" s="117"/>
      <c r="F295" s="118"/>
      <c r="G295" s="113"/>
      <c r="H295" s="113"/>
      <c r="I295" s="112"/>
      <c r="J295" s="112"/>
      <c r="K295" s="86"/>
      <c r="L295" s="255"/>
      <c r="M295" s="114" t="str">
        <f t="shared" si="5"/>
        <v xml:space="preserve">   </v>
      </c>
    </row>
    <row r="296" spans="1:13" s="48" customFormat="1" hidden="1" x14ac:dyDescent="0.2">
      <c r="A296" s="300"/>
      <c r="B296" s="296"/>
      <c r="C296" s="115"/>
      <c r="D296" s="116"/>
      <c r="E296" s="117"/>
      <c r="F296" s="118"/>
      <c r="G296" s="113"/>
      <c r="H296" s="113"/>
      <c r="I296" s="112"/>
      <c r="J296" s="112"/>
      <c r="K296" s="86"/>
      <c r="L296" s="255"/>
      <c r="M296" s="114" t="str">
        <f t="shared" si="5"/>
        <v xml:space="preserve">   </v>
      </c>
    </row>
    <row r="297" spans="1:13" s="48" customFormat="1" hidden="1" x14ac:dyDescent="0.2">
      <c r="A297" s="300"/>
      <c r="B297" s="296"/>
      <c r="C297" s="115"/>
      <c r="D297" s="116"/>
      <c r="E297" s="117"/>
      <c r="F297" s="118"/>
      <c r="G297" s="113"/>
      <c r="H297" s="113"/>
      <c r="I297" s="112"/>
      <c r="J297" s="112"/>
      <c r="K297" s="86"/>
      <c r="L297" s="255"/>
      <c r="M297" s="114" t="str">
        <f t="shared" si="5"/>
        <v xml:space="preserve">   </v>
      </c>
    </row>
    <row r="298" spans="1:13" s="48" customFormat="1" hidden="1" x14ac:dyDescent="0.2">
      <c r="A298" s="300"/>
      <c r="B298" s="296"/>
      <c r="C298" s="115"/>
      <c r="D298" s="116"/>
      <c r="E298" s="117"/>
      <c r="F298" s="118"/>
      <c r="G298" s="113"/>
      <c r="H298" s="113"/>
      <c r="I298" s="112"/>
      <c r="J298" s="112"/>
      <c r="K298" s="86"/>
      <c r="L298" s="255"/>
      <c r="M298" s="114" t="str">
        <f t="shared" si="5"/>
        <v xml:space="preserve">   </v>
      </c>
    </row>
    <row r="299" spans="1:13" s="48" customFormat="1" hidden="1" x14ac:dyDescent="0.2">
      <c r="A299" s="300"/>
      <c r="B299" s="296"/>
      <c r="C299" s="121"/>
      <c r="D299" s="122"/>
      <c r="E299" s="123"/>
      <c r="F299" s="124"/>
      <c r="G299" s="113"/>
      <c r="H299" s="113"/>
      <c r="I299" s="112"/>
      <c r="J299" s="112"/>
      <c r="K299" s="86"/>
      <c r="L299" s="255"/>
      <c r="M299" s="114" t="str">
        <f t="shared" si="5"/>
        <v xml:space="preserve">   </v>
      </c>
    </row>
    <row r="300" spans="1:13" s="48" customFormat="1" ht="15" hidden="1" customHeight="1" x14ac:dyDescent="0.2">
      <c r="A300" s="300" t="s">
        <v>72</v>
      </c>
      <c r="B300" s="296" t="s">
        <v>108</v>
      </c>
      <c r="C300" s="112"/>
      <c r="D300" s="112"/>
      <c r="E300" s="112"/>
      <c r="F300" s="112"/>
      <c r="G300" s="113"/>
      <c r="H300" s="113"/>
      <c r="I300" s="112"/>
      <c r="J300" s="112"/>
      <c r="K300" s="86"/>
      <c r="L300" s="254" t="str">
        <f>CONCATENATE(C300," ",D300," ",E300," ",F300," ",C301," ",D301," ",E301," ",F301)</f>
        <v xml:space="preserve">       </v>
      </c>
      <c r="M300" s="114" t="str">
        <f t="shared" si="5"/>
        <v xml:space="preserve">   </v>
      </c>
    </row>
    <row r="301" spans="1:13" s="48" customFormat="1" hidden="1" x14ac:dyDescent="0.2">
      <c r="A301" s="300"/>
      <c r="B301" s="296"/>
      <c r="C301" s="120"/>
      <c r="D301" s="116"/>
      <c r="E301" s="117"/>
      <c r="F301" s="118"/>
      <c r="G301" s="113"/>
      <c r="H301" s="113"/>
      <c r="I301" s="112"/>
      <c r="J301" s="112"/>
      <c r="K301" s="86"/>
      <c r="L301" s="255"/>
      <c r="M301" s="114" t="str">
        <f t="shared" si="5"/>
        <v xml:space="preserve">   </v>
      </c>
    </row>
    <row r="302" spans="1:13" s="48" customFormat="1" hidden="1" x14ac:dyDescent="0.2">
      <c r="A302" s="300"/>
      <c r="B302" s="296"/>
      <c r="C302" s="115"/>
      <c r="D302" s="116"/>
      <c r="E302" s="117"/>
      <c r="F302" s="118"/>
      <c r="G302" s="113"/>
      <c r="H302" s="113"/>
      <c r="I302" s="112"/>
      <c r="J302" s="112"/>
      <c r="K302" s="86"/>
      <c r="L302" s="255"/>
      <c r="M302" s="114" t="str">
        <f t="shared" si="5"/>
        <v xml:space="preserve">   </v>
      </c>
    </row>
    <row r="303" spans="1:13" s="48" customFormat="1" hidden="1" x14ac:dyDescent="0.2">
      <c r="A303" s="300"/>
      <c r="B303" s="296"/>
      <c r="C303" s="115"/>
      <c r="D303" s="116"/>
      <c r="E303" s="117"/>
      <c r="F303" s="118"/>
      <c r="G303" s="113"/>
      <c r="H303" s="113"/>
      <c r="I303" s="112"/>
      <c r="J303" s="112"/>
      <c r="K303" s="86"/>
      <c r="L303" s="255"/>
      <c r="M303" s="114" t="str">
        <f t="shared" si="5"/>
        <v xml:space="preserve">   </v>
      </c>
    </row>
    <row r="304" spans="1:13" s="48" customFormat="1" hidden="1" x14ac:dyDescent="0.2">
      <c r="A304" s="300"/>
      <c r="B304" s="296"/>
      <c r="C304" s="115"/>
      <c r="D304" s="116"/>
      <c r="E304" s="117"/>
      <c r="F304" s="118"/>
      <c r="G304" s="113"/>
      <c r="H304" s="113"/>
      <c r="I304" s="112"/>
      <c r="J304" s="112"/>
      <c r="K304" s="86"/>
      <c r="L304" s="255"/>
      <c r="M304" s="114" t="str">
        <f t="shared" si="5"/>
        <v xml:space="preserve">   </v>
      </c>
    </row>
    <row r="305" spans="1:13" s="48" customFormat="1" hidden="1" x14ac:dyDescent="0.2">
      <c r="A305" s="300"/>
      <c r="B305" s="296"/>
      <c r="C305" s="115"/>
      <c r="D305" s="116"/>
      <c r="E305" s="117"/>
      <c r="F305" s="118"/>
      <c r="G305" s="113"/>
      <c r="H305" s="113"/>
      <c r="I305" s="112"/>
      <c r="J305" s="112"/>
      <c r="K305" s="86"/>
      <c r="L305" s="255"/>
      <c r="M305" s="114" t="str">
        <f t="shared" si="5"/>
        <v xml:space="preserve">   </v>
      </c>
    </row>
    <row r="306" spans="1:13" s="48" customFormat="1" hidden="1" x14ac:dyDescent="0.2">
      <c r="A306" s="300"/>
      <c r="B306" s="296"/>
      <c r="C306" s="115"/>
      <c r="D306" s="116"/>
      <c r="E306" s="117"/>
      <c r="F306" s="118"/>
      <c r="G306" s="113"/>
      <c r="H306" s="113"/>
      <c r="I306" s="112"/>
      <c r="J306" s="112"/>
      <c r="K306" s="86"/>
      <c r="L306" s="255"/>
      <c r="M306" s="114" t="str">
        <f t="shared" si="5"/>
        <v xml:space="preserve">   </v>
      </c>
    </row>
    <row r="307" spans="1:13" s="48" customFormat="1" hidden="1" x14ac:dyDescent="0.2">
      <c r="A307" s="300"/>
      <c r="B307" s="296"/>
      <c r="C307" s="115"/>
      <c r="D307" s="116"/>
      <c r="E307" s="117"/>
      <c r="F307" s="118"/>
      <c r="G307" s="113"/>
      <c r="H307" s="113"/>
      <c r="I307" s="112"/>
      <c r="J307" s="112"/>
      <c r="K307" s="86"/>
      <c r="L307" s="255"/>
      <c r="M307" s="114" t="str">
        <f t="shared" si="5"/>
        <v xml:space="preserve">   </v>
      </c>
    </row>
    <row r="308" spans="1:13" s="48" customFormat="1" hidden="1" x14ac:dyDescent="0.2">
      <c r="A308" s="300"/>
      <c r="B308" s="296"/>
      <c r="C308" s="115"/>
      <c r="D308" s="116"/>
      <c r="E308" s="117"/>
      <c r="F308" s="118"/>
      <c r="G308" s="113"/>
      <c r="H308" s="113"/>
      <c r="I308" s="112"/>
      <c r="J308" s="112"/>
      <c r="K308" s="86"/>
      <c r="L308" s="255"/>
      <c r="M308" s="114" t="str">
        <f t="shared" si="5"/>
        <v xml:space="preserve">   </v>
      </c>
    </row>
    <row r="309" spans="1:13" s="48" customFormat="1" hidden="1" x14ac:dyDescent="0.2">
      <c r="A309" s="300"/>
      <c r="B309" s="296"/>
      <c r="C309" s="121"/>
      <c r="D309" s="122"/>
      <c r="E309" s="123"/>
      <c r="F309" s="124"/>
      <c r="G309" s="113"/>
      <c r="H309" s="113"/>
      <c r="I309" s="112"/>
      <c r="J309" s="112"/>
      <c r="K309" s="86"/>
      <c r="L309" s="256"/>
      <c r="M309" s="114" t="str">
        <f t="shared" si="5"/>
        <v xml:space="preserve">   </v>
      </c>
    </row>
    <row r="310" spans="1:13" hidden="1" x14ac:dyDescent="0.2">
      <c r="A310" s="56"/>
      <c r="B310" s="56"/>
      <c r="C310" s="125"/>
      <c r="D310" s="56"/>
      <c r="E310" s="56"/>
      <c r="F310" s="56"/>
      <c r="G310" s="125"/>
      <c r="H310" s="56"/>
      <c r="I310" s="56"/>
      <c r="J310" s="56"/>
      <c r="K310" s="56"/>
      <c r="L310" s="257"/>
      <c r="M310" s="114" t="str">
        <f t="shared" si="5"/>
        <v xml:space="preserve">   </v>
      </c>
    </row>
    <row r="311" spans="1:13" s="55" customFormat="1" ht="49.5" customHeight="1" x14ac:dyDescent="0.2">
      <c r="A311" s="299" t="s">
        <v>85</v>
      </c>
      <c r="B311" s="297" t="s">
        <v>107</v>
      </c>
      <c r="C311" s="112" t="s">
        <v>225</v>
      </c>
      <c r="D311" s="112" t="s">
        <v>436</v>
      </c>
      <c r="E311" s="194" t="s">
        <v>445</v>
      </c>
      <c r="F311" s="194" t="s">
        <v>444</v>
      </c>
      <c r="G311" s="113" t="s">
        <v>208</v>
      </c>
      <c r="H311" s="113" t="s">
        <v>403</v>
      </c>
      <c r="I311" s="194" t="s">
        <v>464</v>
      </c>
      <c r="J311" s="194" t="s">
        <v>447</v>
      </c>
      <c r="K311" s="86"/>
      <c r="L311" s="253" t="str">
        <f>CONCATENATE(C311," ",D311," ",E311," ",F311," ",C312," ",D312," ",E312," ",F312)</f>
        <v xml:space="preserve">UC2 C1 Realizar  el seguimiento de la infraestructua de TI de acuerdo a las buenas prácticas y normativa vigente.    </v>
      </c>
      <c r="M311" s="247" t="str">
        <f t="shared" si="5"/>
        <v xml:space="preserve">C1 I1 Identifica  las incidencias y/o acciones operativas durante el monitoreo  relacionadas a la infraestructura de TI. </v>
      </c>
    </row>
    <row r="312" spans="1:13" s="55" customFormat="1" ht="65.25" customHeight="1" x14ac:dyDescent="0.2">
      <c r="A312" s="299"/>
      <c r="B312" s="297"/>
      <c r="C312" s="115"/>
      <c r="D312" s="116"/>
      <c r="E312" s="118"/>
      <c r="F312" s="118"/>
      <c r="G312" s="113" t="s">
        <v>210</v>
      </c>
      <c r="H312" s="219" t="s">
        <v>226</v>
      </c>
      <c r="I312" s="218" t="s">
        <v>446</v>
      </c>
      <c r="J312" s="218" t="s">
        <v>447</v>
      </c>
      <c r="K312" s="86"/>
      <c r="L312" s="255"/>
      <c r="M312" s="247" t="str">
        <f t="shared" si="5"/>
        <v xml:space="preserve">C1 I2 Organiza los reportes de incidencias y/o acciones durante el monitoreo  relacionadas a la infraestructura de TI. </v>
      </c>
    </row>
    <row r="313" spans="1:13" s="55" customFormat="1" ht="63.75" customHeight="1" x14ac:dyDescent="0.2">
      <c r="A313" s="299"/>
      <c r="B313" s="297"/>
      <c r="C313" s="115"/>
      <c r="D313" s="116"/>
      <c r="E313" s="117"/>
      <c r="F313" s="118"/>
      <c r="G313" s="113" t="s">
        <v>212</v>
      </c>
      <c r="H313" s="219" t="s">
        <v>209</v>
      </c>
      <c r="I313" s="218" t="s">
        <v>462</v>
      </c>
      <c r="J313" s="218" t="s">
        <v>463</v>
      </c>
      <c r="K313" s="86"/>
      <c r="L313" s="255"/>
      <c r="M313" s="247" t="str">
        <f t="shared" si="5"/>
        <v xml:space="preserve">C1 I3 Elabora un informe de incidencias y/o acciones de monitoreo teniendo en cuenta las estándares establecidos y las políticas de la organización </v>
      </c>
    </row>
    <row r="314" spans="1:13" s="55" customFormat="1" hidden="1" x14ac:dyDescent="0.2">
      <c r="A314" s="299"/>
      <c r="B314" s="297"/>
      <c r="C314" s="115"/>
      <c r="D314" s="116"/>
      <c r="E314" s="117"/>
      <c r="F314" s="118"/>
      <c r="G314" s="113"/>
      <c r="H314" s="113"/>
      <c r="I314" s="194"/>
      <c r="J314" s="194"/>
      <c r="K314" s="86"/>
      <c r="L314" s="255"/>
      <c r="M314" s="114" t="str">
        <f t="shared" si="5"/>
        <v xml:space="preserve">   </v>
      </c>
    </row>
    <row r="315" spans="1:13" s="55" customFormat="1" hidden="1" x14ac:dyDescent="0.2">
      <c r="A315" s="299"/>
      <c r="B315" s="297"/>
      <c r="C315" s="115"/>
      <c r="D315" s="116"/>
      <c r="E315" s="117"/>
      <c r="F315" s="118"/>
      <c r="G315" s="113"/>
      <c r="H315" s="195"/>
      <c r="I315" s="194"/>
      <c r="J315" s="194"/>
      <c r="K315" s="86"/>
      <c r="L315" s="255"/>
      <c r="M315" s="114" t="str">
        <f t="shared" si="5"/>
        <v xml:space="preserve">   </v>
      </c>
    </row>
    <row r="316" spans="1:13" s="55" customFormat="1" hidden="1" x14ac:dyDescent="0.2">
      <c r="A316" s="299"/>
      <c r="B316" s="297"/>
      <c r="C316" s="115"/>
      <c r="D316" s="116"/>
      <c r="E316" s="117"/>
      <c r="F316" s="118"/>
      <c r="G316" s="113"/>
      <c r="H316" s="113"/>
      <c r="I316" s="112"/>
      <c r="J316" s="112"/>
      <c r="K316" s="86"/>
      <c r="L316" s="255"/>
      <c r="M316" s="114" t="str">
        <f t="shared" si="5"/>
        <v xml:space="preserve">   </v>
      </c>
    </row>
    <row r="317" spans="1:13" s="55" customFormat="1" hidden="1" x14ac:dyDescent="0.2">
      <c r="A317" s="299"/>
      <c r="B317" s="297"/>
      <c r="C317" s="115"/>
      <c r="D317" s="116"/>
      <c r="E317" s="117"/>
      <c r="F317" s="118"/>
      <c r="G317" s="113"/>
      <c r="H317" s="113"/>
      <c r="I317" s="112"/>
      <c r="J317" s="112"/>
      <c r="K317" s="86"/>
      <c r="L317" s="255"/>
      <c r="M317" s="114" t="str">
        <f t="shared" si="5"/>
        <v xml:space="preserve">   </v>
      </c>
    </row>
    <row r="318" spans="1:13" s="55" customFormat="1" hidden="1" x14ac:dyDescent="0.2">
      <c r="A318" s="299"/>
      <c r="B318" s="297"/>
      <c r="C318" s="115"/>
      <c r="D318" s="116"/>
      <c r="E318" s="117"/>
      <c r="F318" s="118"/>
      <c r="G318" s="113"/>
      <c r="H318" s="113"/>
      <c r="I318" s="112"/>
      <c r="J318" s="112"/>
      <c r="K318" s="86"/>
      <c r="L318" s="255"/>
      <c r="M318" s="114" t="str">
        <f t="shared" si="5"/>
        <v xml:space="preserve">   </v>
      </c>
    </row>
    <row r="319" spans="1:13" s="55" customFormat="1" hidden="1" x14ac:dyDescent="0.2">
      <c r="A319" s="299"/>
      <c r="B319" s="297"/>
      <c r="C319" s="115"/>
      <c r="D319" s="116"/>
      <c r="E319" s="117"/>
      <c r="F319" s="118"/>
      <c r="G319" s="113"/>
      <c r="H319" s="113"/>
      <c r="I319" s="112"/>
      <c r="J319" s="112"/>
      <c r="K319" s="86"/>
      <c r="L319" s="255"/>
      <c r="M319" s="114" t="str">
        <f t="shared" si="5"/>
        <v xml:space="preserve">   </v>
      </c>
    </row>
    <row r="320" spans="1:13" s="55" customFormat="1" hidden="1" x14ac:dyDescent="0.2">
      <c r="A320" s="299"/>
      <c r="B320" s="297"/>
      <c r="C320" s="115"/>
      <c r="D320" s="116"/>
      <c r="E320" s="117"/>
      <c r="F320" s="118"/>
      <c r="G320" s="113"/>
      <c r="H320" s="113"/>
      <c r="I320" s="112"/>
      <c r="J320" s="112"/>
      <c r="K320" s="86"/>
      <c r="L320" s="255"/>
      <c r="M320" s="114" t="str">
        <f t="shared" si="5"/>
        <v xml:space="preserve">   </v>
      </c>
    </row>
    <row r="321" spans="1:13" s="55" customFormat="1" ht="67.5" customHeight="1" x14ac:dyDescent="0.2">
      <c r="A321" s="299" t="s">
        <v>85</v>
      </c>
      <c r="B321" s="297" t="s">
        <v>107</v>
      </c>
      <c r="C321" s="112" t="s">
        <v>227</v>
      </c>
      <c r="D321" s="112" t="s">
        <v>436</v>
      </c>
      <c r="E321" s="194" t="s">
        <v>437</v>
      </c>
      <c r="F321" s="194" t="s">
        <v>438</v>
      </c>
      <c r="G321" s="113" t="s">
        <v>215</v>
      </c>
      <c r="H321" s="113" t="s">
        <v>239</v>
      </c>
      <c r="I321" s="194" t="s">
        <v>437</v>
      </c>
      <c r="J321" s="194" t="s">
        <v>438</v>
      </c>
      <c r="K321" s="86"/>
      <c r="L321" s="253" t="str">
        <f>CONCATENATE(C321," ",D321," ",E321," ",F321," ",C322," ",D322," ",E322," ",F322)</f>
        <v xml:space="preserve">UC2 C2 Realizar  el mantenimiento preventivo de la infraestructura de plataformas y servicios de TI teniendo en cuenta las especificaciones técnicas y políticas del servicio.    </v>
      </c>
      <c r="M321" s="247" t="str">
        <f t="shared" si="5"/>
        <v>C2 I1 Planifica el mantenimiento preventivo de la infraestructura de plataformas y servicios de TI teniendo en cuenta las especificaciones técnicas y políticas del servicio.</v>
      </c>
    </row>
    <row r="322" spans="1:13" s="55" customFormat="1" ht="44.25" customHeight="1" x14ac:dyDescent="0.2">
      <c r="A322" s="299"/>
      <c r="B322" s="297"/>
      <c r="C322" s="115"/>
      <c r="D322" s="227"/>
      <c r="E322" s="228"/>
      <c r="F322" s="229"/>
      <c r="G322" s="113" t="s">
        <v>218</v>
      </c>
      <c r="H322" s="113" t="s">
        <v>420</v>
      </c>
      <c r="I322" s="194" t="s">
        <v>452</v>
      </c>
      <c r="J322" s="194" t="s">
        <v>449</v>
      </c>
      <c r="K322" s="86"/>
      <c r="L322" s="255"/>
      <c r="M322" s="247" t="str">
        <f t="shared" si="5"/>
        <v xml:space="preserve">C2 I2 Determina  el inventario, la infraestructura de TI y herramientas necesarias teniendo en  cuenta la continuidad de negocio y políticas de seguridad. </v>
      </c>
    </row>
    <row r="323" spans="1:13" s="55" customFormat="1" ht="43.5" customHeight="1" x14ac:dyDescent="0.2">
      <c r="A323" s="299"/>
      <c r="B323" s="297"/>
      <c r="C323" s="115"/>
      <c r="D323" s="116"/>
      <c r="E323" s="117"/>
      <c r="F323" s="118"/>
      <c r="G323" s="113" t="s">
        <v>219</v>
      </c>
      <c r="H323" s="195" t="s">
        <v>450</v>
      </c>
      <c r="I323" s="194" t="s">
        <v>451</v>
      </c>
      <c r="J323" s="194" t="s">
        <v>449</v>
      </c>
      <c r="K323" s="86"/>
      <c r="L323" s="255"/>
      <c r="M323" s="247" t="str">
        <f t="shared" si="5"/>
        <v xml:space="preserve">C2 I3 Efectúa  el mantenimiento preventivo de la infraestructura  teniendo en  cuenta la continuidad de negocio y políticas de seguridad. </v>
      </c>
    </row>
    <row r="324" spans="1:13" s="55" customFormat="1" hidden="1" x14ac:dyDescent="0.2">
      <c r="A324" s="299"/>
      <c r="B324" s="297"/>
      <c r="C324" s="115"/>
      <c r="D324" s="116"/>
      <c r="E324" s="117"/>
      <c r="F324" s="118"/>
      <c r="G324" s="113"/>
      <c r="H324" s="113"/>
      <c r="I324" s="112"/>
      <c r="J324" s="112"/>
      <c r="K324" s="86"/>
      <c r="L324" s="255"/>
      <c r="M324" s="114" t="str">
        <f t="shared" si="5"/>
        <v xml:space="preserve">   </v>
      </c>
    </row>
    <row r="325" spans="1:13" s="55" customFormat="1" hidden="1" x14ac:dyDescent="0.2">
      <c r="A325" s="299"/>
      <c r="B325" s="297"/>
      <c r="C325" s="115"/>
      <c r="D325" s="116"/>
      <c r="E325" s="117"/>
      <c r="F325" s="118"/>
      <c r="G325" s="113"/>
      <c r="H325" s="113"/>
      <c r="I325" s="112"/>
      <c r="J325" s="112"/>
      <c r="K325" s="86"/>
      <c r="L325" s="255"/>
      <c r="M325" s="114" t="str">
        <f t="shared" si="5"/>
        <v xml:space="preserve">   </v>
      </c>
    </row>
    <row r="326" spans="1:13" s="55" customFormat="1" hidden="1" x14ac:dyDescent="0.2">
      <c r="A326" s="299"/>
      <c r="B326" s="297"/>
      <c r="C326" s="115"/>
      <c r="D326" s="116"/>
      <c r="E326" s="117"/>
      <c r="F326" s="118"/>
      <c r="G326" s="113"/>
      <c r="H326" s="113"/>
      <c r="I326" s="112"/>
      <c r="J326" s="112"/>
      <c r="K326" s="86"/>
      <c r="L326" s="255"/>
      <c r="M326" s="114" t="str">
        <f t="shared" si="5"/>
        <v xml:space="preserve">   </v>
      </c>
    </row>
    <row r="327" spans="1:13" s="55" customFormat="1" hidden="1" x14ac:dyDescent="0.2">
      <c r="A327" s="299"/>
      <c r="B327" s="297"/>
      <c r="C327" s="115"/>
      <c r="D327" s="116"/>
      <c r="E327" s="117"/>
      <c r="F327" s="118"/>
      <c r="G327" s="113"/>
      <c r="H327" s="113"/>
      <c r="I327" s="112"/>
      <c r="J327" s="112"/>
      <c r="K327" s="86"/>
      <c r="L327" s="255"/>
      <c r="M327" s="114" t="str">
        <f t="shared" si="5"/>
        <v xml:space="preserve">   </v>
      </c>
    </row>
    <row r="328" spans="1:13" s="55" customFormat="1" hidden="1" x14ac:dyDescent="0.2">
      <c r="A328" s="299"/>
      <c r="B328" s="297"/>
      <c r="C328" s="115"/>
      <c r="D328" s="116"/>
      <c r="E328" s="117"/>
      <c r="F328" s="118"/>
      <c r="G328" s="113"/>
      <c r="H328" s="113"/>
      <c r="I328" s="112"/>
      <c r="J328" s="112"/>
      <c r="K328" s="86"/>
      <c r="L328" s="255"/>
      <c r="M328" s="114" t="str">
        <f t="shared" si="5"/>
        <v xml:space="preserve">   </v>
      </c>
    </row>
    <row r="329" spans="1:13" s="55" customFormat="1" hidden="1" x14ac:dyDescent="0.2">
      <c r="A329" s="299"/>
      <c r="B329" s="297"/>
      <c r="C329" s="115"/>
      <c r="D329" s="116"/>
      <c r="E329" s="117"/>
      <c r="F329" s="118"/>
      <c r="G329" s="113"/>
      <c r="H329" s="113"/>
      <c r="I329" s="112"/>
      <c r="J329" s="112"/>
      <c r="K329" s="86"/>
      <c r="L329" s="255"/>
      <c r="M329" s="114" t="str">
        <f t="shared" si="5"/>
        <v xml:space="preserve">   </v>
      </c>
    </row>
    <row r="330" spans="1:13" s="55" customFormat="1" hidden="1" x14ac:dyDescent="0.2">
      <c r="A330" s="299"/>
      <c r="B330" s="297"/>
      <c r="C330" s="115"/>
      <c r="D330" s="116"/>
      <c r="E330" s="117"/>
      <c r="F330" s="118"/>
      <c r="G330" s="113"/>
      <c r="H330" s="113"/>
      <c r="I330" s="112"/>
      <c r="J330" s="112"/>
      <c r="K330" s="86"/>
      <c r="L330" s="255"/>
      <c r="M330" s="114" t="str">
        <f t="shared" si="5"/>
        <v xml:space="preserve">   </v>
      </c>
    </row>
    <row r="331" spans="1:13" s="55" customFormat="1" ht="52.5" customHeight="1" x14ac:dyDescent="0.2">
      <c r="A331" s="299" t="s">
        <v>85</v>
      </c>
      <c r="B331" s="297" t="s">
        <v>107</v>
      </c>
      <c r="C331" s="112" t="s">
        <v>230</v>
      </c>
      <c r="D331" s="112" t="s">
        <v>436</v>
      </c>
      <c r="E331" s="194" t="s">
        <v>439</v>
      </c>
      <c r="F331" s="194" t="s">
        <v>438</v>
      </c>
      <c r="G331" s="113" t="s">
        <v>221</v>
      </c>
      <c r="H331" s="195" t="s">
        <v>448</v>
      </c>
      <c r="I331" s="194" t="s">
        <v>453</v>
      </c>
      <c r="J331" s="194" t="s">
        <v>455</v>
      </c>
      <c r="K331" s="86"/>
      <c r="L331" s="253" t="str">
        <f>CONCATENATE(C331," ",D331," ",E331," ",F331," ",C332," ",D332," ",E332," ",F332)</f>
        <v xml:space="preserve">UC2 C3 Realizar  el mantenimiento correctivo de la infraestructura de plataformas y servicios de TI teniendo en cuenta las especificaciones técnicas y políticas del servicio.    </v>
      </c>
      <c r="M331" s="247" t="str">
        <f t="shared" ref="M331:M394" si="6">CONCATENATE(G331," ",H331," ",I331," ",J331)</f>
        <v>C3 I1 Diagnostica las incidencias y posible averias realacionada a la infraestructura de TI teniendo en cuenta los procedimientos establecidos y las buenas práctica</v>
      </c>
    </row>
    <row r="332" spans="1:13" s="55" customFormat="1" ht="45.75" customHeight="1" x14ac:dyDescent="0.2">
      <c r="A332" s="299"/>
      <c r="B332" s="297"/>
      <c r="C332" s="115"/>
      <c r="D332" s="227"/>
      <c r="E332" s="228"/>
      <c r="F332" s="229"/>
      <c r="G332" s="113" t="s">
        <v>222</v>
      </c>
      <c r="H332" s="113" t="s">
        <v>454</v>
      </c>
      <c r="I332" s="194" t="s">
        <v>453</v>
      </c>
      <c r="J332" s="194" t="s">
        <v>455</v>
      </c>
      <c r="K332" s="86"/>
      <c r="L332" s="255"/>
      <c r="M332" s="247" t="str">
        <f t="shared" si="6"/>
        <v>C3 I2 Clasifica  las incidencias y posible averias realacionada a la infraestructura de TI teniendo en cuenta los procedimientos establecidos y las buenas práctica</v>
      </c>
    </row>
    <row r="333" spans="1:13" s="55" customFormat="1" ht="60" customHeight="1" x14ac:dyDescent="0.2">
      <c r="A333" s="299"/>
      <c r="B333" s="297"/>
      <c r="C333" s="115"/>
      <c r="D333" s="116"/>
      <c r="E333" s="117"/>
      <c r="F333" s="118"/>
      <c r="G333" s="113" t="s">
        <v>224</v>
      </c>
      <c r="H333" s="195" t="s">
        <v>220</v>
      </c>
      <c r="I333" s="194" t="s">
        <v>439</v>
      </c>
      <c r="J333" s="194" t="s">
        <v>455</v>
      </c>
      <c r="K333" s="86"/>
      <c r="L333" s="255"/>
      <c r="M333" s="247" t="str">
        <f t="shared" si="6"/>
        <v>C3 I3 Ejecuta el mantenimiento correctivo de la infraestructura de plataformas y servicios de TI teniendo en cuenta los procedimientos establecidos y las buenas práctica</v>
      </c>
    </row>
    <row r="334" spans="1:13" s="55" customFormat="1" hidden="1" x14ac:dyDescent="0.2">
      <c r="A334" s="299"/>
      <c r="B334" s="297"/>
      <c r="C334" s="115"/>
      <c r="D334" s="116"/>
      <c r="E334" s="117"/>
      <c r="F334" s="118"/>
      <c r="G334" s="113"/>
      <c r="H334" s="113"/>
      <c r="I334" s="112"/>
      <c r="J334" s="112"/>
      <c r="K334" s="86"/>
      <c r="L334" s="255"/>
      <c r="M334" s="114" t="str">
        <f t="shared" si="6"/>
        <v xml:space="preserve">   </v>
      </c>
    </row>
    <row r="335" spans="1:13" s="55" customFormat="1" hidden="1" x14ac:dyDescent="0.2">
      <c r="A335" s="299"/>
      <c r="B335" s="297"/>
      <c r="C335" s="115"/>
      <c r="D335" s="116"/>
      <c r="E335" s="117"/>
      <c r="F335" s="118"/>
      <c r="G335" s="113"/>
      <c r="H335" s="113"/>
      <c r="I335" s="112"/>
      <c r="J335" s="112"/>
      <c r="K335" s="86"/>
      <c r="L335" s="255"/>
      <c r="M335" s="114" t="str">
        <f t="shared" si="6"/>
        <v xml:space="preserve">   </v>
      </c>
    </row>
    <row r="336" spans="1:13" s="55" customFormat="1" hidden="1" x14ac:dyDescent="0.2">
      <c r="A336" s="299"/>
      <c r="B336" s="297"/>
      <c r="C336" s="115"/>
      <c r="D336" s="116"/>
      <c r="E336" s="117"/>
      <c r="F336" s="118"/>
      <c r="G336" s="113"/>
      <c r="H336" s="113"/>
      <c r="I336" s="112"/>
      <c r="J336" s="112"/>
      <c r="K336" s="86"/>
      <c r="L336" s="255"/>
      <c r="M336" s="114" t="str">
        <f t="shared" si="6"/>
        <v xml:space="preserve">   </v>
      </c>
    </row>
    <row r="337" spans="1:13" s="55" customFormat="1" ht="24.75" hidden="1" customHeight="1" x14ac:dyDescent="0.2">
      <c r="A337" s="299"/>
      <c r="B337" s="297"/>
      <c r="C337" s="115"/>
      <c r="D337" s="210"/>
      <c r="E337" s="211"/>
      <c r="F337" s="212"/>
      <c r="G337" s="113"/>
      <c r="H337" s="198"/>
      <c r="I337" s="199"/>
      <c r="J337" s="200"/>
      <c r="K337" s="86"/>
      <c r="L337" s="255"/>
      <c r="M337" s="114" t="str">
        <f t="shared" si="6"/>
        <v xml:space="preserve">   </v>
      </c>
    </row>
    <row r="338" spans="1:13" s="55" customFormat="1" hidden="1" x14ac:dyDescent="0.2">
      <c r="A338" s="299"/>
      <c r="B338" s="297"/>
      <c r="C338" s="115"/>
      <c r="D338" s="116"/>
      <c r="E338" s="117"/>
      <c r="F338" s="118"/>
      <c r="G338" s="113"/>
      <c r="H338" s="213"/>
      <c r="I338" s="200"/>
      <c r="J338" s="200"/>
      <c r="K338" s="86"/>
      <c r="L338" s="255"/>
      <c r="M338" s="114" t="str">
        <f t="shared" si="6"/>
        <v xml:space="preserve">   </v>
      </c>
    </row>
    <row r="339" spans="1:13" s="55" customFormat="1" hidden="1" x14ac:dyDescent="0.2">
      <c r="A339" s="299"/>
      <c r="B339" s="297"/>
      <c r="C339" s="115"/>
      <c r="D339" s="116"/>
      <c r="E339" s="117"/>
      <c r="F339" s="118"/>
      <c r="G339" s="113"/>
      <c r="H339" s="113"/>
      <c r="I339" s="112"/>
      <c r="J339" s="112"/>
      <c r="K339" s="86"/>
      <c r="L339" s="255"/>
      <c r="M339" s="114" t="str">
        <f t="shared" si="6"/>
        <v xml:space="preserve">   </v>
      </c>
    </row>
    <row r="340" spans="1:13" s="55" customFormat="1" hidden="1" x14ac:dyDescent="0.2">
      <c r="A340" s="299"/>
      <c r="B340" s="297"/>
      <c r="C340" s="115"/>
      <c r="D340" s="116"/>
      <c r="E340" s="117"/>
      <c r="F340" s="118"/>
      <c r="G340" s="113"/>
      <c r="H340" s="113"/>
      <c r="I340" s="112"/>
      <c r="J340" s="112"/>
      <c r="K340" s="86"/>
      <c r="L340" s="255"/>
      <c r="M340" s="114" t="str">
        <f t="shared" si="6"/>
        <v xml:space="preserve">   </v>
      </c>
    </row>
    <row r="341" spans="1:13" s="55" customFormat="1" ht="52.5" customHeight="1" x14ac:dyDescent="0.2">
      <c r="A341" s="299" t="s">
        <v>85</v>
      </c>
      <c r="B341" s="297" t="s">
        <v>107</v>
      </c>
      <c r="C341" s="112" t="s">
        <v>443</v>
      </c>
      <c r="D341" s="194" t="s">
        <v>440</v>
      </c>
      <c r="E341" s="194" t="s">
        <v>441</v>
      </c>
      <c r="F341" s="194" t="s">
        <v>442</v>
      </c>
      <c r="G341" s="113" t="s">
        <v>456</v>
      </c>
      <c r="H341" s="195" t="s">
        <v>457</v>
      </c>
      <c r="I341" s="194" t="s">
        <v>465</v>
      </c>
      <c r="J341" s="194" t="s">
        <v>458</v>
      </c>
      <c r="K341" s="86"/>
      <c r="L341" s="253" t="str">
        <f>CONCATENATE(C341," ",D341," ",E341," ",F341," ",C342," ",D342," ",E342," ",F342)</f>
        <v xml:space="preserve">UC2 C4 Reportar  incidencias y/o acciones  relacionadas a la infraestructura de sistemas de información     </v>
      </c>
      <c r="M341" s="247" t="str">
        <f t="shared" si="6"/>
        <v>C4I1 Evalua  las incidencias presentadas durante el mantenimiento  según los niveles de operación de los servicios de TI .</v>
      </c>
    </row>
    <row r="342" spans="1:13" s="55" customFormat="1" ht="48" customHeight="1" x14ac:dyDescent="0.2">
      <c r="A342" s="299"/>
      <c r="B342" s="297"/>
      <c r="C342" s="115"/>
      <c r="D342" s="116"/>
      <c r="E342" s="117"/>
      <c r="F342" s="118"/>
      <c r="G342" s="113" t="s">
        <v>459</v>
      </c>
      <c r="H342" s="195" t="s">
        <v>209</v>
      </c>
      <c r="I342" s="194" t="s">
        <v>461</v>
      </c>
      <c r="J342" s="194" t="s">
        <v>458</v>
      </c>
      <c r="K342" s="86"/>
      <c r="L342" s="255"/>
      <c r="M342" s="247" t="str">
        <f t="shared" si="6"/>
        <v>C4I2 Elabora reportes de incidencias y/o acciones, según los niveles de operación de los servicios de TI .</v>
      </c>
    </row>
    <row r="343" spans="1:13" s="55" customFormat="1" ht="46.5" customHeight="1" x14ac:dyDescent="0.2">
      <c r="A343" s="299"/>
      <c r="B343" s="297"/>
      <c r="C343" s="115"/>
      <c r="D343" s="116"/>
      <c r="E343" s="117"/>
      <c r="F343" s="118"/>
      <c r="G343" s="113" t="s">
        <v>460</v>
      </c>
      <c r="H343" s="195" t="s">
        <v>231</v>
      </c>
      <c r="I343" s="194" t="s">
        <v>232</v>
      </c>
      <c r="J343" s="194" t="s">
        <v>233</v>
      </c>
      <c r="K343" s="86"/>
      <c r="L343" s="255"/>
      <c r="M343" s="247" t="str">
        <f t="shared" si="6"/>
        <v>C4I3 Reporta  acciones ejecutadas y los eventos inesperados de manera programada,  de acuerdo a la continuidad de negocio.</v>
      </c>
    </row>
    <row r="344" spans="1:13" s="55" customFormat="1" hidden="1" x14ac:dyDescent="0.2">
      <c r="A344" s="299"/>
      <c r="B344" s="297"/>
      <c r="C344" s="115"/>
      <c r="D344" s="116"/>
      <c r="E344" s="117"/>
      <c r="F344" s="118"/>
      <c r="G344" s="113"/>
      <c r="H344" s="113"/>
      <c r="I344" s="112"/>
      <c r="J344" s="112"/>
      <c r="K344" s="86"/>
      <c r="L344" s="255"/>
      <c r="M344" s="114" t="str">
        <f t="shared" si="6"/>
        <v xml:space="preserve">   </v>
      </c>
    </row>
    <row r="345" spans="1:13" s="55" customFormat="1" hidden="1" x14ac:dyDescent="0.2">
      <c r="A345" s="299"/>
      <c r="B345" s="297"/>
      <c r="C345" s="115"/>
      <c r="D345" s="116"/>
      <c r="E345" s="117"/>
      <c r="F345" s="118"/>
      <c r="G345" s="113"/>
      <c r="H345" s="113"/>
      <c r="I345" s="112"/>
      <c r="J345" s="112"/>
      <c r="K345" s="86"/>
      <c r="L345" s="255"/>
      <c r="M345" s="114" t="str">
        <f t="shared" si="6"/>
        <v xml:space="preserve">   </v>
      </c>
    </row>
    <row r="346" spans="1:13" s="55" customFormat="1" hidden="1" x14ac:dyDescent="0.2">
      <c r="A346" s="299"/>
      <c r="B346" s="297"/>
      <c r="C346" s="115"/>
      <c r="D346" s="116"/>
      <c r="E346" s="117"/>
      <c r="F346" s="118"/>
      <c r="G346" s="113"/>
      <c r="H346" s="113"/>
      <c r="I346" s="112"/>
      <c r="J346" s="112"/>
      <c r="K346" s="86"/>
      <c r="L346" s="255"/>
      <c r="M346" s="114" t="str">
        <f t="shared" si="6"/>
        <v xml:space="preserve">   </v>
      </c>
    </row>
    <row r="347" spans="1:13" s="55" customFormat="1" hidden="1" x14ac:dyDescent="0.2">
      <c r="A347" s="299"/>
      <c r="B347" s="297"/>
      <c r="C347" s="115"/>
      <c r="D347" s="116"/>
      <c r="E347" s="117"/>
      <c r="F347" s="118"/>
      <c r="G347" s="113"/>
      <c r="H347" s="113"/>
      <c r="I347" s="112"/>
      <c r="J347" s="112"/>
      <c r="K347" s="86"/>
      <c r="L347" s="255"/>
      <c r="M347" s="114" t="str">
        <f t="shared" si="6"/>
        <v xml:space="preserve">   </v>
      </c>
    </row>
    <row r="348" spans="1:13" s="55" customFormat="1" hidden="1" x14ac:dyDescent="0.2">
      <c r="A348" s="299"/>
      <c r="B348" s="297"/>
      <c r="C348" s="115"/>
      <c r="D348" s="116"/>
      <c r="E348" s="117"/>
      <c r="F348" s="118"/>
      <c r="G348" s="113"/>
      <c r="H348" s="113"/>
      <c r="I348" s="112"/>
      <c r="J348" s="112"/>
      <c r="K348" s="86"/>
      <c r="L348" s="255"/>
      <c r="M348" s="114" t="str">
        <f t="shared" si="6"/>
        <v xml:space="preserve">   </v>
      </c>
    </row>
    <row r="349" spans="1:13" s="55" customFormat="1" hidden="1" x14ac:dyDescent="0.2">
      <c r="A349" s="299"/>
      <c r="B349" s="297"/>
      <c r="C349" s="115"/>
      <c r="D349" s="116"/>
      <c r="E349" s="117"/>
      <c r="F349" s="118"/>
      <c r="G349" s="113"/>
      <c r="H349" s="113"/>
      <c r="I349" s="112"/>
      <c r="J349" s="112"/>
      <c r="K349" s="86"/>
      <c r="L349" s="255"/>
      <c r="M349" s="114" t="str">
        <f t="shared" si="6"/>
        <v xml:space="preserve">   </v>
      </c>
    </row>
    <row r="350" spans="1:13" s="55" customFormat="1" hidden="1" x14ac:dyDescent="0.2">
      <c r="A350" s="299"/>
      <c r="B350" s="297"/>
      <c r="C350" s="115"/>
      <c r="D350" s="116"/>
      <c r="E350" s="117"/>
      <c r="F350" s="118"/>
      <c r="G350" s="113"/>
      <c r="H350" s="113"/>
      <c r="I350" s="112"/>
      <c r="J350" s="112"/>
      <c r="K350" s="86"/>
      <c r="L350" s="255"/>
      <c r="M350" s="114" t="str">
        <f t="shared" si="6"/>
        <v xml:space="preserve">   </v>
      </c>
    </row>
    <row r="351" spans="1:13" s="55" customFormat="1" ht="7.5" hidden="1" customHeight="1" x14ac:dyDescent="0.2">
      <c r="A351" s="299" t="s">
        <v>85</v>
      </c>
      <c r="B351" s="297" t="s">
        <v>107</v>
      </c>
      <c r="C351" s="112"/>
      <c r="D351" s="112"/>
      <c r="E351" s="112"/>
      <c r="F351" s="112"/>
      <c r="G351" s="113"/>
      <c r="H351" s="113"/>
      <c r="I351" s="112"/>
      <c r="J351" s="112"/>
      <c r="K351" s="86"/>
      <c r="L351" s="253" t="str">
        <f>CONCATENATE(C351," ",D351," ",E351," ",F351," ",C352," ",D352," ",E352," ",F352)</f>
        <v xml:space="preserve">       </v>
      </c>
      <c r="M351" s="114" t="str">
        <f t="shared" si="6"/>
        <v xml:space="preserve">   </v>
      </c>
    </row>
    <row r="352" spans="1:13" s="55" customFormat="1" hidden="1" x14ac:dyDescent="0.2">
      <c r="A352" s="299"/>
      <c r="B352" s="297"/>
      <c r="C352" s="115"/>
      <c r="D352" s="116"/>
      <c r="E352" s="117"/>
      <c r="F352" s="118"/>
      <c r="G352" s="113"/>
      <c r="H352" s="113"/>
      <c r="I352" s="112"/>
      <c r="J352" s="112"/>
      <c r="K352" s="86"/>
      <c r="L352" s="255"/>
      <c r="M352" s="114" t="str">
        <f t="shared" si="6"/>
        <v xml:space="preserve">   </v>
      </c>
    </row>
    <row r="353" spans="1:13" s="55" customFormat="1" hidden="1" x14ac:dyDescent="0.2">
      <c r="A353" s="299"/>
      <c r="B353" s="297"/>
      <c r="C353" s="115"/>
      <c r="D353" s="116"/>
      <c r="E353" s="117"/>
      <c r="F353" s="118"/>
      <c r="G353" s="113"/>
      <c r="H353" s="113"/>
      <c r="I353" s="112"/>
      <c r="J353" s="112"/>
      <c r="K353" s="86"/>
      <c r="L353" s="255"/>
      <c r="M353" s="114" t="str">
        <f t="shared" si="6"/>
        <v xml:space="preserve">   </v>
      </c>
    </row>
    <row r="354" spans="1:13" s="55" customFormat="1" hidden="1" x14ac:dyDescent="0.2">
      <c r="A354" s="299"/>
      <c r="B354" s="297"/>
      <c r="C354" s="115"/>
      <c r="D354" s="116"/>
      <c r="E354" s="117"/>
      <c r="F354" s="118"/>
      <c r="G354" s="113"/>
      <c r="H354" s="113"/>
      <c r="I354" s="112"/>
      <c r="J354" s="112"/>
      <c r="K354" s="86"/>
      <c r="L354" s="255"/>
      <c r="M354" s="114" t="str">
        <f t="shared" si="6"/>
        <v xml:space="preserve">   </v>
      </c>
    </row>
    <row r="355" spans="1:13" s="55" customFormat="1" hidden="1" x14ac:dyDescent="0.2">
      <c r="A355" s="299"/>
      <c r="B355" s="297"/>
      <c r="C355" s="115"/>
      <c r="D355" s="116"/>
      <c r="E355" s="117"/>
      <c r="F355" s="118"/>
      <c r="G355" s="113"/>
      <c r="H355" s="113"/>
      <c r="I355" s="112"/>
      <c r="J355" s="112"/>
      <c r="K355" s="86"/>
      <c r="L355" s="255"/>
      <c r="M355" s="114" t="str">
        <f t="shared" si="6"/>
        <v xml:space="preserve">   </v>
      </c>
    </row>
    <row r="356" spans="1:13" s="55" customFormat="1" hidden="1" x14ac:dyDescent="0.2">
      <c r="A356" s="299"/>
      <c r="B356" s="297"/>
      <c r="C356" s="115"/>
      <c r="D356" s="116"/>
      <c r="E356" s="117"/>
      <c r="F356" s="118"/>
      <c r="G356" s="113"/>
      <c r="H356" s="113"/>
      <c r="I356" s="112"/>
      <c r="J356" s="112"/>
      <c r="K356" s="86"/>
      <c r="L356" s="255"/>
      <c r="M356" s="114" t="str">
        <f t="shared" si="6"/>
        <v xml:space="preserve">   </v>
      </c>
    </row>
    <row r="357" spans="1:13" s="55" customFormat="1" hidden="1" x14ac:dyDescent="0.2">
      <c r="A357" s="299"/>
      <c r="B357" s="297"/>
      <c r="C357" s="115"/>
      <c r="D357" s="116"/>
      <c r="E357" s="117"/>
      <c r="F357" s="118"/>
      <c r="G357" s="113"/>
      <c r="H357" s="113"/>
      <c r="I357" s="112"/>
      <c r="J357" s="112"/>
      <c r="K357" s="86"/>
      <c r="L357" s="255"/>
      <c r="M357" s="114" t="str">
        <f t="shared" si="6"/>
        <v xml:space="preserve">   </v>
      </c>
    </row>
    <row r="358" spans="1:13" s="55" customFormat="1" hidden="1" x14ac:dyDescent="0.2">
      <c r="A358" s="299"/>
      <c r="B358" s="297"/>
      <c r="C358" s="115"/>
      <c r="D358" s="116"/>
      <c r="E358" s="117"/>
      <c r="F358" s="118"/>
      <c r="G358" s="113"/>
      <c r="H358" s="113"/>
      <c r="I358" s="112"/>
      <c r="J358" s="112"/>
      <c r="K358" s="86"/>
      <c r="L358" s="255"/>
      <c r="M358" s="114" t="str">
        <f t="shared" si="6"/>
        <v xml:space="preserve">   </v>
      </c>
    </row>
    <row r="359" spans="1:13" s="55" customFormat="1" hidden="1" x14ac:dyDescent="0.2">
      <c r="A359" s="299"/>
      <c r="B359" s="297"/>
      <c r="C359" s="115"/>
      <c r="D359" s="116"/>
      <c r="E359" s="117"/>
      <c r="F359" s="118"/>
      <c r="G359" s="113"/>
      <c r="H359" s="113"/>
      <c r="I359" s="112"/>
      <c r="J359" s="112"/>
      <c r="K359" s="86"/>
      <c r="L359" s="255"/>
      <c r="M359" s="114" t="str">
        <f t="shared" si="6"/>
        <v xml:space="preserve">   </v>
      </c>
    </row>
    <row r="360" spans="1:13" s="55" customFormat="1" hidden="1" x14ac:dyDescent="0.2">
      <c r="A360" s="299"/>
      <c r="B360" s="297"/>
      <c r="C360" s="115"/>
      <c r="D360" s="116"/>
      <c r="E360" s="117"/>
      <c r="F360" s="118"/>
      <c r="G360" s="113"/>
      <c r="H360" s="113"/>
      <c r="I360" s="112"/>
      <c r="J360" s="112"/>
      <c r="K360" s="86"/>
      <c r="L360" s="255"/>
      <c r="M360" s="114" t="str">
        <f t="shared" si="6"/>
        <v xml:space="preserve">   </v>
      </c>
    </row>
    <row r="361" spans="1:13" s="55" customFormat="1" ht="12.75" hidden="1" customHeight="1" x14ac:dyDescent="0.2">
      <c r="A361" s="299" t="s">
        <v>85</v>
      </c>
      <c r="B361" s="297" t="s">
        <v>107</v>
      </c>
      <c r="C361" s="112"/>
      <c r="D361" s="112"/>
      <c r="E361" s="112"/>
      <c r="F361" s="112"/>
      <c r="G361" s="113"/>
      <c r="H361" s="113"/>
      <c r="I361" s="112"/>
      <c r="J361" s="112"/>
      <c r="K361" s="86"/>
      <c r="L361" s="253" t="str">
        <f>CONCATENATE(C361," ",D361," ",E361," ",F361," ",C362," ",D362," ",E362," ",F362)</f>
        <v xml:space="preserve">       </v>
      </c>
      <c r="M361" s="114" t="str">
        <f t="shared" si="6"/>
        <v xml:space="preserve">   </v>
      </c>
    </row>
    <row r="362" spans="1:13" s="55" customFormat="1" hidden="1" x14ac:dyDescent="0.2">
      <c r="A362" s="299"/>
      <c r="B362" s="297"/>
      <c r="C362" s="115"/>
      <c r="D362" s="116"/>
      <c r="E362" s="117"/>
      <c r="F362" s="118"/>
      <c r="G362" s="113"/>
      <c r="H362" s="113"/>
      <c r="I362" s="112"/>
      <c r="J362" s="112"/>
      <c r="K362" s="86"/>
      <c r="L362" s="255"/>
      <c r="M362" s="114" t="str">
        <f t="shared" si="6"/>
        <v xml:space="preserve">   </v>
      </c>
    </row>
    <row r="363" spans="1:13" s="55" customFormat="1" hidden="1" x14ac:dyDescent="0.2">
      <c r="A363" s="299"/>
      <c r="B363" s="297"/>
      <c r="C363" s="115"/>
      <c r="D363" s="116"/>
      <c r="E363" s="117"/>
      <c r="F363" s="118"/>
      <c r="G363" s="113"/>
      <c r="H363" s="113"/>
      <c r="I363" s="112"/>
      <c r="J363" s="112"/>
      <c r="K363" s="86"/>
      <c r="L363" s="255"/>
      <c r="M363" s="114" t="str">
        <f t="shared" si="6"/>
        <v xml:space="preserve">   </v>
      </c>
    </row>
    <row r="364" spans="1:13" s="55" customFormat="1" hidden="1" x14ac:dyDescent="0.2">
      <c r="A364" s="299"/>
      <c r="B364" s="297"/>
      <c r="C364" s="115"/>
      <c r="D364" s="116"/>
      <c r="E364" s="117"/>
      <c r="F364" s="118"/>
      <c r="G364" s="113"/>
      <c r="H364" s="113"/>
      <c r="I364" s="112"/>
      <c r="J364" s="112"/>
      <c r="K364" s="86"/>
      <c r="L364" s="255"/>
      <c r="M364" s="114" t="str">
        <f t="shared" si="6"/>
        <v xml:space="preserve">   </v>
      </c>
    </row>
    <row r="365" spans="1:13" s="55" customFormat="1" hidden="1" x14ac:dyDescent="0.2">
      <c r="A365" s="299"/>
      <c r="B365" s="297"/>
      <c r="C365" s="115"/>
      <c r="D365" s="116"/>
      <c r="E365" s="117"/>
      <c r="F365" s="118"/>
      <c r="G365" s="113"/>
      <c r="H365" s="113"/>
      <c r="I365" s="112"/>
      <c r="J365" s="112"/>
      <c r="K365" s="86"/>
      <c r="L365" s="255"/>
      <c r="M365" s="114" t="str">
        <f t="shared" si="6"/>
        <v xml:space="preserve">   </v>
      </c>
    </row>
    <row r="366" spans="1:13" s="55" customFormat="1" hidden="1" x14ac:dyDescent="0.2">
      <c r="A366" s="299"/>
      <c r="B366" s="297"/>
      <c r="C366" s="115"/>
      <c r="D366" s="116"/>
      <c r="E366" s="117"/>
      <c r="F366" s="118"/>
      <c r="G366" s="113"/>
      <c r="H366" s="113"/>
      <c r="I366" s="112"/>
      <c r="J366" s="112"/>
      <c r="K366" s="86"/>
      <c r="L366" s="255"/>
      <c r="M366" s="114" t="str">
        <f t="shared" si="6"/>
        <v xml:space="preserve">   </v>
      </c>
    </row>
    <row r="367" spans="1:13" s="55" customFormat="1" hidden="1" x14ac:dyDescent="0.2">
      <c r="A367" s="299"/>
      <c r="B367" s="297"/>
      <c r="C367" s="115"/>
      <c r="D367" s="116"/>
      <c r="E367" s="117"/>
      <c r="F367" s="118"/>
      <c r="G367" s="113"/>
      <c r="H367" s="113"/>
      <c r="I367" s="112"/>
      <c r="J367" s="112"/>
      <c r="K367" s="86"/>
      <c r="L367" s="255"/>
      <c r="M367" s="114" t="str">
        <f t="shared" si="6"/>
        <v xml:space="preserve">   </v>
      </c>
    </row>
    <row r="368" spans="1:13" s="55" customFormat="1" hidden="1" x14ac:dyDescent="0.2">
      <c r="A368" s="299"/>
      <c r="B368" s="297"/>
      <c r="C368" s="115"/>
      <c r="D368" s="116"/>
      <c r="E368" s="117"/>
      <c r="F368" s="118"/>
      <c r="G368" s="113"/>
      <c r="H368" s="113"/>
      <c r="I368" s="112"/>
      <c r="J368" s="112"/>
      <c r="K368" s="86"/>
      <c r="L368" s="255"/>
      <c r="M368" s="114" t="str">
        <f t="shared" si="6"/>
        <v xml:space="preserve">   </v>
      </c>
    </row>
    <row r="369" spans="1:13" s="55" customFormat="1" hidden="1" x14ac:dyDescent="0.2">
      <c r="A369" s="299"/>
      <c r="B369" s="297"/>
      <c r="C369" s="115"/>
      <c r="D369" s="116"/>
      <c r="E369" s="117"/>
      <c r="F369" s="118"/>
      <c r="G369" s="113"/>
      <c r="H369" s="113"/>
      <c r="I369" s="112"/>
      <c r="J369" s="112"/>
      <c r="K369" s="86"/>
      <c r="L369" s="255"/>
      <c r="M369" s="114" t="str">
        <f t="shared" si="6"/>
        <v xml:space="preserve">   </v>
      </c>
    </row>
    <row r="370" spans="1:13" s="55" customFormat="1" hidden="1" x14ac:dyDescent="0.2">
      <c r="A370" s="299"/>
      <c r="B370" s="297"/>
      <c r="C370" s="115"/>
      <c r="D370" s="116"/>
      <c r="E370" s="117"/>
      <c r="F370" s="118"/>
      <c r="G370" s="113"/>
      <c r="H370" s="113"/>
      <c r="I370" s="112"/>
      <c r="J370" s="112"/>
      <c r="K370" s="86"/>
      <c r="L370" s="255"/>
      <c r="M370" s="114" t="str">
        <f t="shared" si="6"/>
        <v xml:space="preserve">   </v>
      </c>
    </row>
    <row r="371" spans="1:13" s="55" customFormat="1" ht="12.75" hidden="1" customHeight="1" x14ac:dyDescent="0.2">
      <c r="A371" s="299" t="s">
        <v>85</v>
      </c>
      <c r="B371" s="297" t="s">
        <v>107</v>
      </c>
      <c r="C371" s="112"/>
      <c r="D371" s="112"/>
      <c r="E371" s="112"/>
      <c r="F371" s="112"/>
      <c r="G371" s="113"/>
      <c r="H371" s="113"/>
      <c r="I371" s="112"/>
      <c r="J371" s="112"/>
      <c r="K371" s="86"/>
      <c r="L371" s="253" t="str">
        <f>CONCATENATE(C371," ",D371," ",E371," ",F371," ",C372," ",D372," ",E372," ",F372)</f>
        <v xml:space="preserve">       </v>
      </c>
      <c r="M371" s="114" t="str">
        <f t="shared" si="6"/>
        <v xml:space="preserve">   </v>
      </c>
    </row>
    <row r="372" spans="1:13" s="55" customFormat="1" hidden="1" x14ac:dyDescent="0.2">
      <c r="A372" s="299"/>
      <c r="B372" s="297"/>
      <c r="C372" s="115"/>
      <c r="D372" s="116"/>
      <c r="E372" s="117"/>
      <c r="F372" s="118"/>
      <c r="G372" s="113"/>
      <c r="H372" s="113"/>
      <c r="I372" s="112"/>
      <c r="J372" s="112"/>
      <c r="K372" s="86"/>
      <c r="L372" s="255"/>
      <c r="M372" s="114" t="str">
        <f t="shared" si="6"/>
        <v xml:space="preserve">   </v>
      </c>
    </row>
    <row r="373" spans="1:13" s="55" customFormat="1" hidden="1" x14ac:dyDescent="0.2">
      <c r="A373" s="299"/>
      <c r="B373" s="297"/>
      <c r="C373" s="115"/>
      <c r="D373" s="116"/>
      <c r="E373" s="117"/>
      <c r="F373" s="118"/>
      <c r="G373" s="113"/>
      <c r="H373" s="113"/>
      <c r="I373" s="112"/>
      <c r="J373" s="112"/>
      <c r="K373" s="86"/>
      <c r="L373" s="255"/>
      <c r="M373" s="114" t="str">
        <f t="shared" si="6"/>
        <v xml:space="preserve">   </v>
      </c>
    </row>
    <row r="374" spans="1:13" s="55" customFormat="1" hidden="1" x14ac:dyDescent="0.2">
      <c r="A374" s="299"/>
      <c r="B374" s="297"/>
      <c r="C374" s="115"/>
      <c r="D374" s="116"/>
      <c r="E374" s="117"/>
      <c r="F374" s="118"/>
      <c r="G374" s="113"/>
      <c r="H374" s="113"/>
      <c r="I374" s="112"/>
      <c r="J374" s="112"/>
      <c r="K374" s="86"/>
      <c r="L374" s="255"/>
      <c r="M374" s="114" t="str">
        <f t="shared" si="6"/>
        <v xml:space="preserve">   </v>
      </c>
    </row>
    <row r="375" spans="1:13" s="55" customFormat="1" hidden="1" x14ac:dyDescent="0.2">
      <c r="A375" s="299"/>
      <c r="B375" s="297"/>
      <c r="C375" s="115"/>
      <c r="D375" s="116"/>
      <c r="E375" s="117"/>
      <c r="F375" s="118"/>
      <c r="G375" s="113"/>
      <c r="H375" s="113"/>
      <c r="I375" s="112"/>
      <c r="J375" s="112"/>
      <c r="K375" s="86"/>
      <c r="L375" s="255"/>
      <c r="M375" s="114" t="str">
        <f t="shared" si="6"/>
        <v xml:space="preserve">   </v>
      </c>
    </row>
    <row r="376" spans="1:13" s="55" customFormat="1" hidden="1" x14ac:dyDescent="0.2">
      <c r="A376" s="299"/>
      <c r="B376" s="297"/>
      <c r="C376" s="115"/>
      <c r="D376" s="116"/>
      <c r="E376" s="117"/>
      <c r="F376" s="118"/>
      <c r="G376" s="113"/>
      <c r="H376" s="113"/>
      <c r="I376" s="112"/>
      <c r="J376" s="112"/>
      <c r="K376" s="86"/>
      <c r="L376" s="255"/>
      <c r="M376" s="114" t="str">
        <f t="shared" si="6"/>
        <v xml:space="preserve">   </v>
      </c>
    </row>
    <row r="377" spans="1:13" s="55" customFormat="1" hidden="1" x14ac:dyDescent="0.2">
      <c r="A377" s="299"/>
      <c r="B377" s="297"/>
      <c r="C377" s="115"/>
      <c r="D377" s="116"/>
      <c r="E377" s="117"/>
      <c r="F377" s="118"/>
      <c r="G377" s="113"/>
      <c r="H377" s="113"/>
      <c r="I377" s="112"/>
      <c r="J377" s="112"/>
      <c r="K377" s="86"/>
      <c r="L377" s="255"/>
      <c r="M377" s="114" t="str">
        <f t="shared" si="6"/>
        <v xml:space="preserve">   </v>
      </c>
    </row>
    <row r="378" spans="1:13" s="55" customFormat="1" hidden="1" x14ac:dyDescent="0.2">
      <c r="A378" s="299"/>
      <c r="B378" s="297"/>
      <c r="C378" s="115"/>
      <c r="D378" s="116"/>
      <c r="E378" s="117"/>
      <c r="F378" s="118"/>
      <c r="G378" s="113"/>
      <c r="H378" s="113"/>
      <c r="I378" s="112"/>
      <c r="J378" s="112"/>
      <c r="K378" s="86"/>
      <c r="L378" s="255"/>
      <c r="M378" s="114" t="str">
        <f t="shared" si="6"/>
        <v xml:space="preserve">   </v>
      </c>
    </row>
    <row r="379" spans="1:13" s="55" customFormat="1" hidden="1" x14ac:dyDescent="0.2">
      <c r="A379" s="299"/>
      <c r="B379" s="297"/>
      <c r="C379" s="115"/>
      <c r="D379" s="116"/>
      <c r="E379" s="117"/>
      <c r="F379" s="118"/>
      <c r="G379" s="113"/>
      <c r="H379" s="113"/>
      <c r="I379" s="112"/>
      <c r="J379" s="112"/>
      <c r="K379" s="86"/>
      <c r="L379" s="255"/>
      <c r="M379" s="114" t="str">
        <f t="shared" si="6"/>
        <v xml:space="preserve">   </v>
      </c>
    </row>
    <row r="380" spans="1:13" s="55" customFormat="1" hidden="1" x14ac:dyDescent="0.2">
      <c r="A380" s="299"/>
      <c r="B380" s="297"/>
      <c r="C380" s="115"/>
      <c r="D380" s="116"/>
      <c r="E380" s="117"/>
      <c r="F380" s="118"/>
      <c r="G380" s="113"/>
      <c r="H380" s="113"/>
      <c r="I380" s="112"/>
      <c r="J380" s="112"/>
      <c r="K380" s="86"/>
      <c r="L380" s="255"/>
      <c r="M380" s="114" t="str">
        <f t="shared" si="6"/>
        <v xml:space="preserve">   </v>
      </c>
    </row>
    <row r="381" spans="1:13" s="55" customFormat="1" ht="12.75" hidden="1" customHeight="1" x14ac:dyDescent="0.2">
      <c r="A381" s="299" t="s">
        <v>85</v>
      </c>
      <c r="B381" s="297" t="s">
        <v>107</v>
      </c>
      <c r="C381" s="112"/>
      <c r="D381" s="112"/>
      <c r="E381" s="112"/>
      <c r="F381" s="112"/>
      <c r="G381" s="113"/>
      <c r="H381" s="113"/>
      <c r="I381" s="112"/>
      <c r="J381" s="112"/>
      <c r="K381" s="86"/>
      <c r="L381" s="253" t="str">
        <f>CONCATENATE(C381," ",D381," ",E381," ",F381," ",C382," ",D382," ",E382," ",F382)</f>
        <v xml:space="preserve">       </v>
      </c>
      <c r="M381" s="114" t="str">
        <f t="shared" si="6"/>
        <v xml:space="preserve">   </v>
      </c>
    </row>
    <row r="382" spans="1:13" s="55" customFormat="1" hidden="1" x14ac:dyDescent="0.2">
      <c r="A382" s="299"/>
      <c r="B382" s="297"/>
      <c r="C382" s="115"/>
      <c r="D382" s="116"/>
      <c r="E382" s="117"/>
      <c r="F382" s="118"/>
      <c r="G382" s="113"/>
      <c r="H382" s="113"/>
      <c r="I382" s="112"/>
      <c r="J382" s="112"/>
      <c r="K382" s="86"/>
      <c r="L382" s="255"/>
      <c r="M382" s="114" t="str">
        <f t="shared" si="6"/>
        <v xml:space="preserve">   </v>
      </c>
    </row>
    <row r="383" spans="1:13" s="55" customFormat="1" hidden="1" x14ac:dyDescent="0.2">
      <c r="A383" s="299"/>
      <c r="B383" s="297"/>
      <c r="C383" s="115"/>
      <c r="D383" s="116"/>
      <c r="E383" s="117"/>
      <c r="F383" s="118"/>
      <c r="G383" s="113"/>
      <c r="H383" s="113"/>
      <c r="I383" s="112"/>
      <c r="J383" s="112"/>
      <c r="K383" s="86"/>
      <c r="L383" s="255"/>
      <c r="M383" s="114" t="str">
        <f t="shared" si="6"/>
        <v xml:space="preserve">   </v>
      </c>
    </row>
    <row r="384" spans="1:13" s="55" customFormat="1" hidden="1" x14ac:dyDescent="0.2">
      <c r="A384" s="299"/>
      <c r="B384" s="297"/>
      <c r="C384" s="115"/>
      <c r="D384" s="116"/>
      <c r="E384" s="117"/>
      <c r="F384" s="118"/>
      <c r="G384" s="113"/>
      <c r="H384" s="113"/>
      <c r="I384" s="112"/>
      <c r="J384" s="112"/>
      <c r="K384" s="86"/>
      <c r="L384" s="255"/>
      <c r="M384" s="114" t="str">
        <f t="shared" si="6"/>
        <v xml:space="preserve">   </v>
      </c>
    </row>
    <row r="385" spans="1:13" s="55" customFormat="1" hidden="1" x14ac:dyDescent="0.2">
      <c r="A385" s="299"/>
      <c r="B385" s="297"/>
      <c r="C385" s="115"/>
      <c r="D385" s="116"/>
      <c r="E385" s="117"/>
      <c r="F385" s="118"/>
      <c r="G385" s="113"/>
      <c r="H385" s="113"/>
      <c r="I385" s="112"/>
      <c r="J385" s="112"/>
      <c r="K385" s="86"/>
      <c r="L385" s="255"/>
      <c r="M385" s="114" t="str">
        <f t="shared" si="6"/>
        <v xml:space="preserve">   </v>
      </c>
    </row>
    <row r="386" spans="1:13" s="55" customFormat="1" hidden="1" x14ac:dyDescent="0.2">
      <c r="A386" s="299"/>
      <c r="B386" s="297"/>
      <c r="C386" s="115"/>
      <c r="D386" s="116"/>
      <c r="E386" s="117"/>
      <c r="F386" s="118"/>
      <c r="G386" s="113"/>
      <c r="H386" s="113"/>
      <c r="I386" s="112"/>
      <c r="J386" s="112"/>
      <c r="K386" s="86"/>
      <c r="L386" s="255"/>
      <c r="M386" s="114" t="str">
        <f t="shared" si="6"/>
        <v xml:space="preserve">   </v>
      </c>
    </row>
    <row r="387" spans="1:13" s="55" customFormat="1" hidden="1" x14ac:dyDescent="0.2">
      <c r="A387" s="299"/>
      <c r="B387" s="297"/>
      <c r="C387" s="115"/>
      <c r="D387" s="116"/>
      <c r="E387" s="117"/>
      <c r="F387" s="118"/>
      <c r="G387" s="113"/>
      <c r="H387" s="113"/>
      <c r="I387" s="112"/>
      <c r="J387" s="112"/>
      <c r="K387" s="86"/>
      <c r="L387" s="255"/>
      <c r="M387" s="114" t="str">
        <f t="shared" si="6"/>
        <v xml:space="preserve">   </v>
      </c>
    </row>
    <row r="388" spans="1:13" s="55" customFormat="1" hidden="1" x14ac:dyDescent="0.2">
      <c r="A388" s="299"/>
      <c r="B388" s="297"/>
      <c r="C388" s="115"/>
      <c r="D388" s="116"/>
      <c r="E388" s="117"/>
      <c r="F388" s="118"/>
      <c r="G388" s="113"/>
      <c r="H388" s="113"/>
      <c r="I388" s="112"/>
      <c r="J388" s="112"/>
      <c r="K388" s="86"/>
      <c r="L388" s="255"/>
      <c r="M388" s="114" t="str">
        <f t="shared" si="6"/>
        <v xml:space="preserve">   </v>
      </c>
    </row>
    <row r="389" spans="1:13" s="55" customFormat="1" hidden="1" x14ac:dyDescent="0.2">
      <c r="A389" s="299"/>
      <c r="B389" s="297"/>
      <c r="C389" s="115"/>
      <c r="D389" s="116"/>
      <c r="E389" s="117"/>
      <c r="F389" s="118"/>
      <c r="G389" s="113"/>
      <c r="H389" s="113"/>
      <c r="I389" s="112"/>
      <c r="J389" s="112"/>
      <c r="K389" s="86"/>
      <c r="L389" s="255"/>
      <c r="M389" s="114" t="str">
        <f t="shared" si="6"/>
        <v xml:space="preserve">   </v>
      </c>
    </row>
    <row r="390" spans="1:13" s="55" customFormat="1" hidden="1" x14ac:dyDescent="0.2">
      <c r="A390" s="299"/>
      <c r="B390" s="297"/>
      <c r="C390" s="115"/>
      <c r="D390" s="116"/>
      <c r="E390" s="117"/>
      <c r="F390" s="118"/>
      <c r="G390" s="113"/>
      <c r="H390" s="113"/>
      <c r="I390" s="112"/>
      <c r="J390" s="112"/>
      <c r="K390" s="86"/>
      <c r="L390" s="255"/>
      <c r="M390" s="114" t="str">
        <f t="shared" si="6"/>
        <v xml:space="preserve">   </v>
      </c>
    </row>
    <row r="391" spans="1:13" s="55" customFormat="1" ht="12.75" hidden="1" customHeight="1" x14ac:dyDescent="0.2">
      <c r="A391" s="299" t="s">
        <v>85</v>
      </c>
      <c r="B391" s="297" t="s">
        <v>107</v>
      </c>
      <c r="C391" s="112"/>
      <c r="D391" s="112"/>
      <c r="E391" s="112"/>
      <c r="F391" s="112"/>
      <c r="G391" s="113"/>
      <c r="H391" s="113"/>
      <c r="I391" s="112"/>
      <c r="J391" s="112"/>
      <c r="K391" s="86"/>
      <c r="L391" s="253" t="str">
        <f>CONCATENATE(C391," ",D391," ",E391," ",F391," ",C392," ",D392," ",E392," ",F392)</f>
        <v xml:space="preserve">       </v>
      </c>
      <c r="M391" s="114" t="str">
        <f t="shared" si="6"/>
        <v xml:space="preserve">   </v>
      </c>
    </row>
    <row r="392" spans="1:13" s="55" customFormat="1" hidden="1" x14ac:dyDescent="0.2">
      <c r="A392" s="299"/>
      <c r="B392" s="297"/>
      <c r="C392" s="115"/>
      <c r="D392" s="116"/>
      <c r="E392" s="117"/>
      <c r="F392" s="118"/>
      <c r="G392" s="113"/>
      <c r="H392" s="113"/>
      <c r="I392" s="112"/>
      <c r="J392" s="112"/>
      <c r="K392" s="86"/>
      <c r="L392" s="255"/>
      <c r="M392" s="114" t="str">
        <f t="shared" si="6"/>
        <v xml:space="preserve">   </v>
      </c>
    </row>
    <row r="393" spans="1:13" s="55" customFormat="1" hidden="1" x14ac:dyDescent="0.2">
      <c r="A393" s="299"/>
      <c r="B393" s="297"/>
      <c r="C393" s="115"/>
      <c r="D393" s="116"/>
      <c r="E393" s="117"/>
      <c r="F393" s="118"/>
      <c r="G393" s="113"/>
      <c r="H393" s="113"/>
      <c r="I393" s="112"/>
      <c r="J393" s="112"/>
      <c r="K393" s="86"/>
      <c r="L393" s="255"/>
      <c r="M393" s="114" t="str">
        <f t="shared" si="6"/>
        <v xml:space="preserve">   </v>
      </c>
    </row>
    <row r="394" spans="1:13" s="55" customFormat="1" hidden="1" x14ac:dyDescent="0.2">
      <c r="A394" s="299"/>
      <c r="B394" s="297"/>
      <c r="C394" s="115"/>
      <c r="D394" s="116"/>
      <c r="E394" s="117"/>
      <c r="F394" s="118"/>
      <c r="G394" s="113"/>
      <c r="H394" s="113"/>
      <c r="I394" s="112"/>
      <c r="J394" s="112"/>
      <c r="K394" s="86"/>
      <c r="L394" s="255"/>
      <c r="M394" s="114" t="str">
        <f t="shared" si="6"/>
        <v xml:space="preserve">   </v>
      </c>
    </row>
    <row r="395" spans="1:13" s="55" customFormat="1" hidden="1" x14ac:dyDescent="0.2">
      <c r="A395" s="299"/>
      <c r="B395" s="297"/>
      <c r="C395" s="115"/>
      <c r="D395" s="116"/>
      <c r="E395" s="117"/>
      <c r="F395" s="118"/>
      <c r="G395" s="113"/>
      <c r="H395" s="113"/>
      <c r="I395" s="112"/>
      <c r="J395" s="112"/>
      <c r="K395" s="86"/>
      <c r="L395" s="255"/>
      <c r="M395" s="114" t="str">
        <f t="shared" ref="M395:M458" si="7">CONCATENATE(G395," ",H395," ",I395," ",J395)</f>
        <v xml:space="preserve">   </v>
      </c>
    </row>
    <row r="396" spans="1:13" s="55" customFormat="1" hidden="1" x14ac:dyDescent="0.2">
      <c r="A396" s="299"/>
      <c r="B396" s="297"/>
      <c r="C396" s="115"/>
      <c r="D396" s="116"/>
      <c r="E396" s="117"/>
      <c r="F396" s="118"/>
      <c r="G396" s="113"/>
      <c r="H396" s="113"/>
      <c r="I396" s="112"/>
      <c r="J396" s="112"/>
      <c r="K396" s="86"/>
      <c r="L396" s="255"/>
      <c r="M396" s="114" t="str">
        <f t="shared" si="7"/>
        <v xml:space="preserve">   </v>
      </c>
    </row>
    <row r="397" spans="1:13" s="55" customFormat="1" ht="10.5" hidden="1" customHeight="1" x14ac:dyDescent="0.2">
      <c r="A397" s="299"/>
      <c r="B397" s="297"/>
      <c r="C397" s="115"/>
      <c r="D397" s="116"/>
      <c r="E397" s="117"/>
      <c r="F397" s="118"/>
      <c r="G397" s="113"/>
      <c r="H397" s="113"/>
      <c r="I397" s="112"/>
      <c r="J397" s="112"/>
      <c r="K397" s="86"/>
      <c r="L397" s="255"/>
      <c r="M397" s="114" t="str">
        <f t="shared" si="7"/>
        <v xml:space="preserve">   </v>
      </c>
    </row>
    <row r="398" spans="1:13" s="55" customFormat="1" hidden="1" x14ac:dyDescent="0.2">
      <c r="A398" s="299"/>
      <c r="B398" s="297"/>
      <c r="C398" s="115"/>
      <c r="D398" s="116"/>
      <c r="E398" s="117"/>
      <c r="F398" s="118"/>
      <c r="G398" s="113"/>
      <c r="H398" s="113"/>
      <c r="I398" s="112"/>
      <c r="J398" s="112"/>
      <c r="K398" s="86"/>
      <c r="L398" s="255"/>
      <c r="M398" s="114" t="str">
        <f t="shared" si="7"/>
        <v xml:space="preserve">   </v>
      </c>
    </row>
    <row r="399" spans="1:13" s="55" customFormat="1" hidden="1" x14ac:dyDescent="0.2">
      <c r="A399" s="299"/>
      <c r="B399" s="297"/>
      <c r="C399" s="115"/>
      <c r="D399" s="116"/>
      <c r="E399" s="117"/>
      <c r="F399" s="118"/>
      <c r="G399" s="113"/>
      <c r="H399" s="113"/>
      <c r="I399" s="112"/>
      <c r="J399" s="112"/>
      <c r="K399" s="86"/>
      <c r="L399" s="255"/>
      <c r="M399" s="114" t="str">
        <f t="shared" si="7"/>
        <v xml:space="preserve">   </v>
      </c>
    </row>
    <row r="400" spans="1:13" s="55" customFormat="1" hidden="1" x14ac:dyDescent="0.2">
      <c r="A400" s="299"/>
      <c r="B400" s="297"/>
      <c r="C400" s="115"/>
      <c r="D400" s="116"/>
      <c r="E400" s="117"/>
      <c r="F400" s="118"/>
      <c r="G400" s="113"/>
      <c r="H400" s="113"/>
      <c r="I400" s="112"/>
      <c r="J400" s="112"/>
      <c r="K400" s="86"/>
      <c r="L400" s="255"/>
      <c r="M400" s="114" t="str">
        <f t="shared" si="7"/>
        <v xml:space="preserve">   </v>
      </c>
    </row>
    <row r="401" spans="1:13" s="55" customFormat="1" ht="12.75" hidden="1" customHeight="1" x14ac:dyDescent="0.2">
      <c r="A401" s="299" t="s">
        <v>85</v>
      </c>
      <c r="B401" s="297" t="s">
        <v>107</v>
      </c>
      <c r="C401" s="112"/>
      <c r="D401" s="112"/>
      <c r="E401" s="112"/>
      <c r="F401" s="112"/>
      <c r="G401" s="113"/>
      <c r="H401" s="113"/>
      <c r="I401" s="112"/>
      <c r="J401" s="112"/>
      <c r="K401" s="86"/>
      <c r="L401" s="253" t="str">
        <f>CONCATENATE(C401," ",D401," ",E401," ",F401," ",C402," ",D402," ",E402," ",F402)</f>
        <v xml:space="preserve">       </v>
      </c>
      <c r="M401" s="114" t="str">
        <f t="shared" si="7"/>
        <v xml:space="preserve">   </v>
      </c>
    </row>
    <row r="402" spans="1:13" s="55" customFormat="1" hidden="1" x14ac:dyDescent="0.2">
      <c r="A402" s="299"/>
      <c r="B402" s="297"/>
      <c r="C402" s="115"/>
      <c r="D402" s="116"/>
      <c r="E402" s="117"/>
      <c r="F402" s="118"/>
      <c r="G402" s="113"/>
      <c r="H402" s="113"/>
      <c r="I402" s="112"/>
      <c r="J402" s="112"/>
      <c r="K402" s="86"/>
      <c r="L402" s="255"/>
      <c r="M402" s="114" t="str">
        <f t="shared" si="7"/>
        <v xml:space="preserve">   </v>
      </c>
    </row>
    <row r="403" spans="1:13" s="55" customFormat="1" hidden="1" x14ac:dyDescent="0.2">
      <c r="A403" s="299"/>
      <c r="B403" s="297"/>
      <c r="C403" s="115"/>
      <c r="D403" s="116"/>
      <c r="E403" s="117"/>
      <c r="F403" s="118"/>
      <c r="G403" s="113"/>
      <c r="H403" s="113"/>
      <c r="I403" s="112"/>
      <c r="J403" s="112"/>
      <c r="K403" s="86"/>
      <c r="L403" s="255"/>
      <c r="M403" s="114" t="str">
        <f t="shared" si="7"/>
        <v xml:space="preserve">   </v>
      </c>
    </row>
    <row r="404" spans="1:13" s="55" customFormat="1" hidden="1" x14ac:dyDescent="0.2">
      <c r="A404" s="299"/>
      <c r="B404" s="297"/>
      <c r="C404" s="115"/>
      <c r="D404" s="116"/>
      <c r="E404" s="117"/>
      <c r="F404" s="118"/>
      <c r="G404" s="113"/>
      <c r="H404" s="113"/>
      <c r="I404" s="112"/>
      <c r="J404" s="112"/>
      <c r="K404" s="86"/>
      <c r="L404" s="255"/>
      <c r="M404" s="114" t="str">
        <f t="shared" si="7"/>
        <v xml:space="preserve">   </v>
      </c>
    </row>
    <row r="405" spans="1:13" s="55" customFormat="1" hidden="1" x14ac:dyDescent="0.2">
      <c r="A405" s="299"/>
      <c r="B405" s="297"/>
      <c r="C405" s="115"/>
      <c r="D405" s="116"/>
      <c r="E405" s="117"/>
      <c r="F405" s="118"/>
      <c r="G405" s="113"/>
      <c r="H405" s="113"/>
      <c r="I405" s="112"/>
      <c r="J405" s="112"/>
      <c r="K405" s="86"/>
      <c r="L405" s="255"/>
      <c r="M405" s="114" t="str">
        <f t="shared" si="7"/>
        <v xml:space="preserve">   </v>
      </c>
    </row>
    <row r="406" spans="1:13" s="55" customFormat="1" hidden="1" x14ac:dyDescent="0.2">
      <c r="A406" s="299"/>
      <c r="B406" s="297"/>
      <c r="C406" s="115"/>
      <c r="D406" s="116"/>
      <c r="E406" s="117"/>
      <c r="F406" s="118"/>
      <c r="G406" s="113"/>
      <c r="H406" s="113"/>
      <c r="I406" s="112"/>
      <c r="J406" s="112"/>
      <c r="K406" s="86"/>
      <c r="L406" s="255"/>
      <c r="M406" s="114" t="str">
        <f t="shared" si="7"/>
        <v xml:space="preserve">   </v>
      </c>
    </row>
    <row r="407" spans="1:13" s="55" customFormat="1" hidden="1" x14ac:dyDescent="0.2">
      <c r="A407" s="299"/>
      <c r="B407" s="297"/>
      <c r="C407" s="115"/>
      <c r="D407" s="116"/>
      <c r="E407" s="117"/>
      <c r="F407" s="118"/>
      <c r="G407" s="113"/>
      <c r="H407" s="113"/>
      <c r="I407" s="112"/>
      <c r="J407" s="112"/>
      <c r="K407" s="86"/>
      <c r="L407" s="255"/>
      <c r="M407" s="114" t="str">
        <f t="shared" si="7"/>
        <v xml:space="preserve">   </v>
      </c>
    </row>
    <row r="408" spans="1:13" s="55" customFormat="1" hidden="1" x14ac:dyDescent="0.2">
      <c r="A408" s="299"/>
      <c r="B408" s="297"/>
      <c r="C408" s="115"/>
      <c r="D408" s="116"/>
      <c r="E408" s="117"/>
      <c r="F408" s="118"/>
      <c r="G408" s="113"/>
      <c r="H408" s="113"/>
      <c r="I408" s="112"/>
      <c r="J408" s="112"/>
      <c r="K408" s="86"/>
      <c r="L408" s="255"/>
      <c r="M408" s="114" t="str">
        <f t="shared" si="7"/>
        <v xml:space="preserve">   </v>
      </c>
    </row>
    <row r="409" spans="1:13" s="55" customFormat="1" hidden="1" x14ac:dyDescent="0.2">
      <c r="A409" s="299"/>
      <c r="B409" s="297"/>
      <c r="C409" s="115"/>
      <c r="D409" s="116"/>
      <c r="E409" s="117"/>
      <c r="F409" s="118"/>
      <c r="G409" s="113"/>
      <c r="H409" s="113"/>
      <c r="I409" s="112"/>
      <c r="J409" s="112"/>
      <c r="K409" s="86"/>
      <c r="L409" s="255"/>
      <c r="M409" s="114" t="str">
        <f t="shared" si="7"/>
        <v xml:space="preserve">   </v>
      </c>
    </row>
    <row r="410" spans="1:13" s="55" customFormat="1" hidden="1" x14ac:dyDescent="0.2">
      <c r="A410" s="299"/>
      <c r="B410" s="297"/>
      <c r="C410" s="115"/>
      <c r="D410" s="116"/>
      <c r="E410" s="117"/>
      <c r="F410" s="118"/>
      <c r="G410" s="113"/>
      <c r="H410" s="113"/>
      <c r="I410" s="112"/>
      <c r="J410" s="112"/>
      <c r="K410" s="86"/>
      <c r="L410" s="255"/>
      <c r="M410" s="114" t="str">
        <f t="shared" si="7"/>
        <v xml:space="preserve">   </v>
      </c>
    </row>
    <row r="411" spans="1:13" s="55" customFormat="1" ht="12.75" hidden="1" customHeight="1" x14ac:dyDescent="0.2">
      <c r="A411" s="299" t="s">
        <v>85</v>
      </c>
      <c r="B411" s="297" t="s">
        <v>107</v>
      </c>
      <c r="C411" s="112"/>
      <c r="D411" s="112"/>
      <c r="E411" s="112"/>
      <c r="F411" s="112"/>
      <c r="G411" s="113"/>
      <c r="H411" s="113"/>
      <c r="I411" s="112"/>
      <c r="J411" s="112"/>
      <c r="K411" s="86"/>
      <c r="L411" s="253" t="str">
        <f>CONCATENATE(C411," ",D411," ",E411," ",F411," ",C412," ",D412," ",E412," ",F412)</f>
        <v xml:space="preserve">       </v>
      </c>
      <c r="M411" s="114" t="str">
        <f t="shared" si="7"/>
        <v xml:space="preserve">   </v>
      </c>
    </row>
    <row r="412" spans="1:13" s="55" customFormat="1" hidden="1" x14ac:dyDescent="0.2">
      <c r="A412" s="299"/>
      <c r="B412" s="297"/>
      <c r="C412" s="115"/>
      <c r="D412" s="116"/>
      <c r="E412" s="117"/>
      <c r="F412" s="118"/>
      <c r="G412" s="113"/>
      <c r="H412" s="113"/>
      <c r="I412" s="112"/>
      <c r="J412" s="112"/>
      <c r="K412" s="86"/>
      <c r="L412" s="255"/>
      <c r="M412" s="114" t="str">
        <f t="shared" si="7"/>
        <v xml:space="preserve">   </v>
      </c>
    </row>
    <row r="413" spans="1:13" s="55" customFormat="1" hidden="1" x14ac:dyDescent="0.2">
      <c r="A413" s="299"/>
      <c r="B413" s="297"/>
      <c r="C413" s="115"/>
      <c r="D413" s="116"/>
      <c r="E413" s="117"/>
      <c r="F413" s="118"/>
      <c r="G413" s="113"/>
      <c r="H413" s="113"/>
      <c r="I413" s="112"/>
      <c r="J413" s="112"/>
      <c r="K413" s="86"/>
      <c r="L413" s="255"/>
      <c r="M413" s="114" t="str">
        <f t="shared" si="7"/>
        <v xml:space="preserve">   </v>
      </c>
    </row>
    <row r="414" spans="1:13" s="55" customFormat="1" hidden="1" x14ac:dyDescent="0.2">
      <c r="A414" s="299"/>
      <c r="B414" s="297"/>
      <c r="C414" s="115"/>
      <c r="D414" s="116"/>
      <c r="E414" s="117"/>
      <c r="F414" s="118"/>
      <c r="G414" s="113"/>
      <c r="H414" s="113"/>
      <c r="I414" s="112"/>
      <c r="J414" s="112"/>
      <c r="K414" s="86"/>
      <c r="L414" s="255"/>
      <c r="M414" s="114" t="str">
        <f t="shared" si="7"/>
        <v xml:space="preserve">   </v>
      </c>
    </row>
    <row r="415" spans="1:13" s="55" customFormat="1" hidden="1" x14ac:dyDescent="0.2">
      <c r="A415" s="299"/>
      <c r="B415" s="297"/>
      <c r="C415" s="115"/>
      <c r="D415" s="116"/>
      <c r="E415" s="117"/>
      <c r="F415" s="118"/>
      <c r="G415" s="113"/>
      <c r="H415" s="113"/>
      <c r="I415" s="112"/>
      <c r="J415" s="112"/>
      <c r="K415" s="86"/>
      <c r="L415" s="255"/>
      <c r="M415" s="114" t="str">
        <f t="shared" si="7"/>
        <v xml:space="preserve">   </v>
      </c>
    </row>
    <row r="416" spans="1:13" s="55" customFormat="1" hidden="1" x14ac:dyDescent="0.2">
      <c r="A416" s="299"/>
      <c r="B416" s="297"/>
      <c r="C416" s="115"/>
      <c r="D416" s="116"/>
      <c r="E416" s="117"/>
      <c r="F416" s="118"/>
      <c r="G416" s="113"/>
      <c r="H416" s="113"/>
      <c r="I416" s="112"/>
      <c r="J416" s="112"/>
      <c r="K416" s="86"/>
      <c r="L416" s="255"/>
      <c r="M416" s="114" t="str">
        <f t="shared" si="7"/>
        <v xml:space="preserve">   </v>
      </c>
    </row>
    <row r="417" spans="1:13" s="55" customFormat="1" hidden="1" x14ac:dyDescent="0.2">
      <c r="A417" s="299"/>
      <c r="B417" s="297"/>
      <c r="C417" s="115"/>
      <c r="D417" s="116"/>
      <c r="E417" s="117"/>
      <c r="F417" s="118"/>
      <c r="G417" s="113"/>
      <c r="H417" s="113"/>
      <c r="I417" s="112"/>
      <c r="J417" s="112"/>
      <c r="K417" s="86"/>
      <c r="L417" s="255"/>
      <c r="M417" s="114" t="str">
        <f t="shared" si="7"/>
        <v xml:space="preserve">   </v>
      </c>
    </row>
    <row r="418" spans="1:13" s="55" customFormat="1" hidden="1" x14ac:dyDescent="0.2">
      <c r="A418" s="299"/>
      <c r="B418" s="297"/>
      <c r="C418" s="115"/>
      <c r="D418" s="116"/>
      <c r="E418" s="117"/>
      <c r="F418" s="118"/>
      <c r="G418" s="113"/>
      <c r="H418" s="113"/>
      <c r="I418" s="112"/>
      <c r="J418" s="112"/>
      <c r="K418" s="86"/>
      <c r="L418" s="255"/>
      <c r="M418" s="114" t="str">
        <f t="shared" si="7"/>
        <v xml:space="preserve">   </v>
      </c>
    </row>
    <row r="419" spans="1:13" s="55" customFormat="1" hidden="1" x14ac:dyDescent="0.2">
      <c r="A419" s="299"/>
      <c r="B419" s="297"/>
      <c r="C419" s="115"/>
      <c r="D419" s="116"/>
      <c r="E419" s="117"/>
      <c r="F419" s="118"/>
      <c r="G419" s="113"/>
      <c r="H419" s="113"/>
      <c r="I419" s="112"/>
      <c r="J419" s="112"/>
      <c r="K419" s="86"/>
      <c r="L419" s="255"/>
      <c r="M419" s="114" t="str">
        <f t="shared" si="7"/>
        <v xml:space="preserve">   </v>
      </c>
    </row>
    <row r="420" spans="1:13" s="55" customFormat="1" hidden="1" x14ac:dyDescent="0.2">
      <c r="A420" s="299"/>
      <c r="B420" s="297"/>
      <c r="C420" s="115"/>
      <c r="D420" s="116"/>
      <c r="E420" s="117"/>
      <c r="F420" s="118"/>
      <c r="G420" s="113"/>
      <c r="H420" s="113"/>
      <c r="I420" s="112"/>
      <c r="J420" s="112"/>
      <c r="K420" s="86"/>
      <c r="L420" s="255"/>
      <c r="M420" s="114" t="str">
        <f t="shared" si="7"/>
        <v xml:space="preserve">   </v>
      </c>
    </row>
    <row r="421" spans="1:13" s="55" customFormat="1" ht="12.75" hidden="1" customHeight="1" x14ac:dyDescent="0.2">
      <c r="A421" s="299" t="s">
        <v>85</v>
      </c>
      <c r="B421" s="297" t="s">
        <v>107</v>
      </c>
      <c r="C421" s="112"/>
      <c r="D421" s="112"/>
      <c r="E421" s="112"/>
      <c r="F421" s="112"/>
      <c r="G421" s="113"/>
      <c r="H421" s="113"/>
      <c r="I421" s="112"/>
      <c r="J421" s="112"/>
      <c r="K421" s="86"/>
      <c r="L421" s="253" t="str">
        <f>CONCATENATE(C421," ",D421," ",E421," ",F421," ",C422," ",D422," ",E422," ",F422)</f>
        <v xml:space="preserve">       </v>
      </c>
      <c r="M421" s="114" t="str">
        <f t="shared" si="7"/>
        <v xml:space="preserve">   </v>
      </c>
    </row>
    <row r="422" spans="1:13" s="55" customFormat="1" hidden="1" x14ac:dyDescent="0.2">
      <c r="A422" s="299"/>
      <c r="B422" s="297"/>
      <c r="C422" s="115"/>
      <c r="D422" s="116"/>
      <c r="E422" s="117"/>
      <c r="F422" s="118"/>
      <c r="G422" s="113"/>
      <c r="H422" s="113"/>
      <c r="I422" s="112"/>
      <c r="J422" s="112"/>
      <c r="K422" s="86"/>
      <c r="L422" s="255"/>
      <c r="M422" s="114" t="str">
        <f t="shared" si="7"/>
        <v xml:space="preserve">   </v>
      </c>
    </row>
    <row r="423" spans="1:13" s="55" customFormat="1" hidden="1" x14ac:dyDescent="0.2">
      <c r="A423" s="299"/>
      <c r="B423" s="297"/>
      <c r="C423" s="115"/>
      <c r="D423" s="116"/>
      <c r="E423" s="117"/>
      <c r="F423" s="118"/>
      <c r="G423" s="113"/>
      <c r="H423" s="113"/>
      <c r="I423" s="112"/>
      <c r="J423" s="112"/>
      <c r="K423" s="86"/>
      <c r="L423" s="255"/>
      <c r="M423" s="114" t="str">
        <f t="shared" si="7"/>
        <v xml:space="preserve">   </v>
      </c>
    </row>
    <row r="424" spans="1:13" s="55" customFormat="1" hidden="1" x14ac:dyDescent="0.2">
      <c r="A424" s="299"/>
      <c r="B424" s="297"/>
      <c r="C424" s="115"/>
      <c r="D424" s="116"/>
      <c r="E424" s="117"/>
      <c r="F424" s="118"/>
      <c r="G424" s="113"/>
      <c r="H424" s="113"/>
      <c r="I424" s="112"/>
      <c r="J424" s="112"/>
      <c r="K424" s="86"/>
      <c r="L424" s="255"/>
      <c r="M424" s="114" t="str">
        <f t="shared" si="7"/>
        <v xml:space="preserve">   </v>
      </c>
    </row>
    <row r="425" spans="1:13" s="55" customFormat="1" hidden="1" x14ac:dyDescent="0.2">
      <c r="A425" s="299"/>
      <c r="B425" s="297"/>
      <c r="C425" s="115"/>
      <c r="D425" s="116"/>
      <c r="E425" s="117"/>
      <c r="F425" s="118"/>
      <c r="G425" s="113"/>
      <c r="H425" s="113"/>
      <c r="I425" s="112"/>
      <c r="J425" s="112"/>
      <c r="K425" s="86"/>
      <c r="L425" s="255"/>
      <c r="M425" s="114" t="str">
        <f t="shared" si="7"/>
        <v xml:space="preserve">   </v>
      </c>
    </row>
    <row r="426" spans="1:13" s="55" customFormat="1" hidden="1" x14ac:dyDescent="0.2">
      <c r="A426" s="299"/>
      <c r="B426" s="297"/>
      <c r="C426" s="115"/>
      <c r="D426" s="116"/>
      <c r="E426" s="117"/>
      <c r="F426" s="118"/>
      <c r="G426" s="113"/>
      <c r="H426" s="113"/>
      <c r="I426" s="112"/>
      <c r="J426" s="112"/>
      <c r="K426" s="86"/>
      <c r="L426" s="255"/>
      <c r="M426" s="114" t="str">
        <f t="shared" si="7"/>
        <v xml:space="preserve">   </v>
      </c>
    </row>
    <row r="427" spans="1:13" s="55" customFormat="1" hidden="1" x14ac:dyDescent="0.2">
      <c r="A427" s="299"/>
      <c r="B427" s="297"/>
      <c r="C427" s="115"/>
      <c r="D427" s="116"/>
      <c r="E427" s="117"/>
      <c r="F427" s="118"/>
      <c r="G427" s="113"/>
      <c r="H427" s="113"/>
      <c r="I427" s="112"/>
      <c r="J427" s="112"/>
      <c r="K427" s="86"/>
      <c r="L427" s="255"/>
      <c r="M427" s="114" t="str">
        <f t="shared" si="7"/>
        <v xml:space="preserve">   </v>
      </c>
    </row>
    <row r="428" spans="1:13" s="55" customFormat="1" hidden="1" x14ac:dyDescent="0.2">
      <c r="A428" s="299"/>
      <c r="B428" s="297"/>
      <c r="C428" s="115"/>
      <c r="D428" s="116"/>
      <c r="E428" s="117"/>
      <c r="F428" s="118"/>
      <c r="G428" s="113"/>
      <c r="H428" s="113"/>
      <c r="I428" s="112"/>
      <c r="J428" s="112"/>
      <c r="K428" s="86"/>
      <c r="L428" s="255"/>
      <c r="M428" s="114" t="str">
        <f t="shared" si="7"/>
        <v xml:space="preserve">   </v>
      </c>
    </row>
    <row r="429" spans="1:13" s="55" customFormat="1" hidden="1" x14ac:dyDescent="0.2">
      <c r="A429" s="299"/>
      <c r="B429" s="297"/>
      <c r="C429" s="115"/>
      <c r="D429" s="116"/>
      <c r="E429" s="117"/>
      <c r="F429" s="118"/>
      <c r="G429" s="113"/>
      <c r="H429" s="113"/>
      <c r="I429" s="112"/>
      <c r="J429" s="112"/>
      <c r="K429" s="86"/>
      <c r="L429" s="255"/>
      <c r="M429" s="114" t="str">
        <f t="shared" si="7"/>
        <v xml:space="preserve">   </v>
      </c>
    </row>
    <row r="430" spans="1:13" s="55" customFormat="1" hidden="1" x14ac:dyDescent="0.2">
      <c r="A430" s="299"/>
      <c r="B430" s="297"/>
      <c r="C430" s="115"/>
      <c r="D430" s="116"/>
      <c r="E430" s="117"/>
      <c r="F430" s="118"/>
      <c r="G430" s="113"/>
      <c r="H430" s="113"/>
      <c r="I430" s="112"/>
      <c r="J430" s="112"/>
      <c r="K430" s="86"/>
      <c r="L430" s="255"/>
      <c r="M430" s="114" t="str">
        <f t="shared" si="7"/>
        <v xml:space="preserve">   </v>
      </c>
    </row>
    <row r="431" spans="1:13" s="55" customFormat="1" ht="12.75" hidden="1" customHeight="1" x14ac:dyDescent="0.2">
      <c r="A431" s="299" t="s">
        <v>85</v>
      </c>
      <c r="B431" s="297" t="s">
        <v>107</v>
      </c>
      <c r="C431" s="112"/>
      <c r="D431" s="112"/>
      <c r="E431" s="112"/>
      <c r="F431" s="112"/>
      <c r="G431" s="113"/>
      <c r="H431" s="113"/>
      <c r="I431" s="112"/>
      <c r="J431" s="112"/>
      <c r="K431" s="86"/>
      <c r="L431" s="253" t="str">
        <f>CONCATENATE(C431," ",D431," ",E431," ",F431," ",C432," ",D432," ",E432," ",F432)</f>
        <v xml:space="preserve">       </v>
      </c>
      <c r="M431" s="114" t="str">
        <f t="shared" si="7"/>
        <v xml:space="preserve">   </v>
      </c>
    </row>
    <row r="432" spans="1:13" s="55" customFormat="1" hidden="1" x14ac:dyDescent="0.2">
      <c r="A432" s="299"/>
      <c r="B432" s="297"/>
      <c r="C432" s="115"/>
      <c r="D432" s="116"/>
      <c r="E432" s="117"/>
      <c r="F432" s="118"/>
      <c r="G432" s="113"/>
      <c r="H432" s="113"/>
      <c r="I432" s="112"/>
      <c r="J432" s="112"/>
      <c r="K432" s="86"/>
      <c r="L432" s="255"/>
      <c r="M432" s="114" t="str">
        <f t="shared" si="7"/>
        <v xml:space="preserve">   </v>
      </c>
    </row>
    <row r="433" spans="1:13" s="55" customFormat="1" hidden="1" x14ac:dyDescent="0.2">
      <c r="A433" s="299"/>
      <c r="B433" s="297"/>
      <c r="C433" s="115"/>
      <c r="D433" s="116"/>
      <c r="E433" s="117"/>
      <c r="F433" s="118"/>
      <c r="G433" s="113"/>
      <c r="H433" s="113"/>
      <c r="I433" s="112"/>
      <c r="J433" s="112"/>
      <c r="K433" s="86"/>
      <c r="L433" s="255"/>
      <c r="M433" s="114" t="str">
        <f t="shared" si="7"/>
        <v xml:space="preserve">   </v>
      </c>
    </row>
    <row r="434" spans="1:13" s="55" customFormat="1" hidden="1" x14ac:dyDescent="0.2">
      <c r="A434" s="299"/>
      <c r="B434" s="297"/>
      <c r="C434" s="115"/>
      <c r="D434" s="116"/>
      <c r="E434" s="117"/>
      <c r="F434" s="118"/>
      <c r="G434" s="113"/>
      <c r="H434" s="113"/>
      <c r="I434" s="112"/>
      <c r="J434" s="112"/>
      <c r="K434" s="86"/>
      <c r="L434" s="255"/>
      <c r="M434" s="114" t="str">
        <f t="shared" si="7"/>
        <v xml:space="preserve">   </v>
      </c>
    </row>
    <row r="435" spans="1:13" s="55" customFormat="1" hidden="1" x14ac:dyDescent="0.2">
      <c r="A435" s="299"/>
      <c r="B435" s="297"/>
      <c r="C435" s="115"/>
      <c r="D435" s="116"/>
      <c r="E435" s="117"/>
      <c r="F435" s="118"/>
      <c r="G435" s="113"/>
      <c r="H435" s="113"/>
      <c r="I435" s="112"/>
      <c r="J435" s="112"/>
      <c r="K435" s="86"/>
      <c r="L435" s="255"/>
      <c r="M435" s="114" t="str">
        <f t="shared" si="7"/>
        <v xml:space="preserve">   </v>
      </c>
    </row>
    <row r="436" spans="1:13" s="55" customFormat="1" ht="10.5" hidden="1" customHeight="1" x14ac:dyDescent="0.2">
      <c r="A436" s="299"/>
      <c r="B436" s="297"/>
      <c r="C436" s="115"/>
      <c r="D436" s="116"/>
      <c r="E436" s="117"/>
      <c r="F436" s="118"/>
      <c r="G436" s="113"/>
      <c r="H436" s="113"/>
      <c r="I436" s="112"/>
      <c r="J436" s="112"/>
      <c r="K436" s="86"/>
      <c r="L436" s="255"/>
      <c r="M436" s="114" t="str">
        <f t="shared" si="7"/>
        <v xml:space="preserve">   </v>
      </c>
    </row>
    <row r="437" spans="1:13" s="55" customFormat="1" hidden="1" x14ac:dyDescent="0.2">
      <c r="A437" s="299"/>
      <c r="B437" s="297"/>
      <c r="C437" s="115"/>
      <c r="D437" s="116"/>
      <c r="E437" s="117"/>
      <c r="F437" s="118"/>
      <c r="G437" s="113"/>
      <c r="H437" s="113"/>
      <c r="I437" s="112"/>
      <c r="J437" s="112"/>
      <c r="K437" s="86"/>
      <c r="L437" s="255"/>
      <c r="M437" s="114" t="str">
        <f t="shared" si="7"/>
        <v xml:space="preserve">   </v>
      </c>
    </row>
    <row r="438" spans="1:13" s="55" customFormat="1" hidden="1" x14ac:dyDescent="0.2">
      <c r="A438" s="299"/>
      <c r="B438" s="297"/>
      <c r="C438" s="115"/>
      <c r="D438" s="116"/>
      <c r="E438" s="117"/>
      <c r="F438" s="118"/>
      <c r="G438" s="113"/>
      <c r="H438" s="113"/>
      <c r="I438" s="112"/>
      <c r="J438" s="112"/>
      <c r="K438" s="86"/>
      <c r="L438" s="255"/>
      <c r="M438" s="114" t="str">
        <f t="shared" si="7"/>
        <v xml:space="preserve">   </v>
      </c>
    </row>
    <row r="439" spans="1:13" s="55" customFormat="1" hidden="1" x14ac:dyDescent="0.2">
      <c r="A439" s="299"/>
      <c r="B439" s="297"/>
      <c r="C439" s="115"/>
      <c r="D439" s="116"/>
      <c r="E439" s="117"/>
      <c r="F439" s="118"/>
      <c r="G439" s="113"/>
      <c r="H439" s="113"/>
      <c r="I439" s="112"/>
      <c r="J439" s="112"/>
      <c r="K439" s="86"/>
      <c r="L439" s="255"/>
      <c r="M439" s="114" t="str">
        <f t="shared" si="7"/>
        <v xml:space="preserve">   </v>
      </c>
    </row>
    <row r="440" spans="1:13" s="55" customFormat="1" hidden="1" x14ac:dyDescent="0.2">
      <c r="A440" s="299"/>
      <c r="B440" s="297"/>
      <c r="C440" s="115"/>
      <c r="D440" s="116"/>
      <c r="E440" s="117"/>
      <c r="F440" s="118"/>
      <c r="G440" s="113"/>
      <c r="H440" s="113"/>
      <c r="I440" s="112"/>
      <c r="J440" s="112"/>
      <c r="K440" s="86"/>
      <c r="L440" s="255"/>
      <c r="M440" s="114" t="str">
        <f t="shared" si="7"/>
        <v xml:space="preserve">   </v>
      </c>
    </row>
    <row r="441" spans="1:13" s="55" customFormat="1" ht="12.75" hidden="1" customHeight="1" x14ac:dyDescent="0.2">
      <c r="A441" s="299" t="s">
        <v>85</v>
      </c>
      <c r="B441" s="297" t="s">
        <v>107</v>
      </c>
      <c r="C441" s="112"/>
      <c r="D441" s="112"/>
      <c r="E441" s="112"/>
      <c r="F441" s="112"/>
      <c r="G441" s="113"/>
      <c r="H441" s="113"/>
      <c r="I441" s="112"/>
      <c r="J441" s="112"/>
      <c r="K441" s="86"/>
      <c r="L441" s="253" t="str">
        <f>CONCATENATE(C441," ",D441," ",E441," ",F441," ",C442," ",D442," ",E442," ",F442)</f>
        <v xml:space="preserve">       </v>
      </c>
      <c r="M441" s="114" t="str">
        <f t="shared" si="7"/>
        <v xml:space="preserve">   </v>
      </c>
    </row>
    <row r="442" spans="1:13" s="55" customFormat="1" hidden="1" x14ac:dyDescent="0.2">
      <c r="A442" s="299"/>
      <c r="B442" s="297"/>
      <c r="C442" s="115"/>
      <c r="D442" s="116"/>
      <c r="E442" s="117"/>
      <c r="F442" s="118"/>
      <c r="G442" s="113"/>
      <c r="H442" s="113"/>
      <c r="I442" s="112"/>
      <c r="J442" s="112"/>
      <c r="K442" s="86"/>
      <c r="L442" s="255"/>
      <c r="M442" s="114" t="str">
        <f t="shared" si="7"/>
        <v xml:space="preserve">   </v>
      </c>
    </row>
    <row r="443" spans="1:13" s="55" customFormat="1" hidden="1" x14ac:dyDescent="0.2">
      <c r="A443" s="299"/>
      <c r="B443" s="297"/>
      <c r="C443" s="115"/>
      <c r="D443" s="116"/>
      <c r="E443" s="117"/>
      <c r="F443" s="118"/>
      <c r="G443" s="113"/>
      <c r="H443" s="113"/>
      <c r="I443" s="112"/>
      <c r="J443" s="112"/>
      <c r="K443" s="86"/>
      <c r="L443" s="255"/>
      <c r="M443" s="114" t="str">
        <f t="shared" si="7"/>
        <v xml:space="preserve">   </v>
      </c>
    </row>
    <row r="444" spans="1:13" s="55" customFormat="1" hidden="1" x14ac:dyDescent="0.2">
      <c r="A444" s="299"/>
      <c r="B444" s="297"/>
      <c r="C444" s="115"/>
      <c r="D444" s="116"/>
      <c r="E444" s="117"/>
      <c r="F444" s="118"/>
      <c r="G444" s="113"/>
      <c r="H444" s="113"/>
      <c r="I444" s="112"/>
      <c r="J444" s="112"/>
      <c r="K444" s="86"/>
      <c r="L444" s="255"/>
      <c r="M444" s="114" t="str">
        <f t="shared" si="7"/>
        <v xml:space="preserve">   </v>
      </c>
    </row>
    <row r="445" spans="1:13" s="55" customFormat="1" hidden="1" x14ac:dyDescent="0.2">
      <c r="A445" s="299"/>
      <c r="B445" s="297"/>
      <c r="C445" s="115"/>
      <c r="D445" s="116"/>
      <c r="E445" s="117"/>
      <c r="F445" s="118"/>
      <c r="G445" s="113"/>
      <c r="H445" s="113"/>
      <c r="I445" s="112"/>
      <c r="J445" s="112"/>
      <c r="K445" s="86"/>
      <c r="L445" s="255"/>
      <c r="M445" s="114" t="str">
        <f t="shared" si="7"/>
        <v xml:space="preserve">   </v>
      </c>
    </row>
    <row r="446" spans="1:13" s="55" customFormat="1" hidden="1" x14ac:dyDescent="0.2">
      <c r="A446" s="299"/>
      <c r="B446" s="297"/>
      <c r="C446" s="115"/>
      <c r="D446" s="116"/>
      <c r="E446" s="117"/>
      <c r="F446" s="118"/>
      <c r="G446" s="113"/>
      <c r="H446" s="113"/>
      <c r="I446" s="112"/>
      <c r="J446" s="112"/>
      <c r="K446" s="86"/>
      <c r="L446" s="255"/>
      <c r="M446" s="114" t="str">
        <f t="shared" si="7"/>
        <v xml:space="preserve">   </v>
      </c>
    </row>
    <row r="447" spans="1:13" s="55" customFormat="1" hidden="1" x14ac:dyDescent="0.2">
      <c r="A447" s="299"/>
      <c r="B447" s="297"/>
      <c r="C447" s="115"/>
      <c r="D447" s="116"/>
      <c r="E447" s="117"/>
      <c r="F447" s="118"/>
      <c r="G447" s="113"/>
      <c r="H447" s="113"/>
      <c r="I447" s="112"/>
      <c r="J447" s="112"/>
      <c r="K447" s="86"/>
      <c r="L447" s="255"/>
      <c r="M447" s="114" t="str">
        <f t="shared" si="7"/>
        <v xml:space="preserve">   </v>
      </c>
    </row>
    <row r="448" spans="1:13" s="55" customFormat="1" hidden="1" x14ac:dyDescent="0.2">
      <c r="A448" s="299"/>
      <c r="B448" s="297"/>
      <c r="C448" s="115"/>
      <c r="D448" s="116"/>
      <c r="E448" s="117"/>
      <c r="F448" s="118"/>
      <c r="G448" s="113"/>
      <c r="H448" s="113"/>
      <c r="I448" s="112"/>
      <c r="J448" s="112"/>
      <c r="K448" s="86"/>
      <c r="L448" s="255"/>
      <c r="M448" s="114" t="str">
        <f t="shared" si="7"/>
        <v xml:space="preserve">   </v>
      </c>
    </row>
    <row r="449" spans="1:13" s="55" customFormat="1" hidden="1" x14ac:dyDescent="0.2">
      <c r="A449" s="299"/>
      <c r="B449" s="297"/>
      <c r="C449" s="115"/>
      <c r="D449" s="116"/>
      <c r="E449" s="117"/>
      <c r="F449" s="118"/>
      <c r="G449" s="113"/>
      <c r="H449" s="113"/>
      <c r="I449" s="112"/>
      <c r="J449" s="112"/>
      <c r="K449" s="86"/>
      <c r="L449" s="255"/>
      <c r="M449" s="114" t="str">
        <f t="shared" si="7"/>
        <v xml:space="preserve">   </v>
      </c>
    </row>
    <row r="450" spans="1:13" s="55" customFormat="1" hidden="1" x14ac:dyDescent="0.2">
      <c r="A450" s="299"/>
      <c r="B450" s="297"/>
      <c r="C450" s="115"/>
      <c r="D450" s="116"/>
      <c r="E450" s="117"/>
      <c r="F450" s="118"/>
      <c r="G450" s="113"/>
      <c r="H450" s="113"/>
      <c r="I450" s="112"/>
      <c r="J450" s="112"/>
      <c r="K450" s="86"/>
      <c r="L450" s="255"/>
      <c r="M450" s="114" t="str">
        <f t="shared" si="7"/>
        <v xml:space="preserve">   </v>
      </c>
    </row>
    <row r="451" spans="1:13" s="55" customFormat="1" ht="12.75" hidden="1" customHeight="1" x14ac:dyDescent="0.2">
      <c r="A451" s="299" t="s">
        <v>85</v>
      </c>
      <c r="B451" s="297" t="s">
        <v>107</v>
      </c>
      <c r="C451" s="112"/>
      <c r="D451" s="112"/>
      <c r="E451" s="112"/>
      <c r="F451" s="112"/>
      <c r="G451" s="113"/>
      <c r="H451" s="113"/>
      <c r="I451" s="112"/>
      <c r="J451" s="112"/>
      <c r="K451" s="86"/>
      <c r="L451" s="253" t="str">
        <f>CONCATENATE(C451," ",D451," ",E451," ",F451," ",C452," ",D452," ",E452," ",F452)</f>
        <v xml:space="preserve">       </v>
      </c>
      <c r="M451" s="114" t="str">
        <f t="shared" si="7"/>
        <v xml:space="preserve">   </v>
      </c>
    </row>
    <row r="452" spans="1:13" s="55" customFormat="1" hidden="1" x14ac:dyDescent="0.2">
      <c r="A452" s="299"/>
      <c r="B452" s="297"/>
      <c r="C452" s="115"/>
      <c r="D452" s="116"/>
      <c r="E452" s="117"/>
      <c r="F452" s="118"/>
      <c r="G452" s="113"/>
      <c r="H452" s="113"/>
      <c r="I452" s="112"/>
      <c r="J452" s="112"/>
      <c r="K452" s="86"/>
      <c r="L452" s="255"/>
      <c r="M452" s="114" t="str">
        <f t="shared" si="7"/>
        <v xml:space="preserve">   </v>
      </c>
    </row>
    <row r="453" spans="1:13" s="55" customFormat="1" hidden="1" x14ac:dyDescent="0.2">
      <c r="A453" s="299"/>
      <c r="B453" s="297"/>
      <c r="C453" s="115"/>
      <c r="D453" s="116"/>
      <c r="E453" s="117"/>
      <c r="F453" s="118"/>
      <c r="G453" s="113"/>
      <c r="H453" s="113"/>
      <c r="I453" s="112"/>
      <c r="J453" s="112"/>
      <c r="K453" s="86"/>
      <c r="L453" s="255"/>
      <c r="M453" s="114" t="str">
        <f t="shared" si="7"/>
        <v xml:space="preserve">   </v>
      </c>
    </row>
    <row r="454" spans="1:13" s="55" customFormat="1" hidden="1" x14ac:dyDescent="0.2">
      <c r="A454" s="299"/>
      <c r="B454" s="297"/>
      <c r="C454" s="115"/>
      <c r="D454" s="116"/>
      <c r="E454" s="117"/>
      <c r="F454" s="118"/>
      <c r="G454" s="113"/>
      <c r="H454" s="113"/>
      <c r="I454" s="112"/>
      <c r="J454" s="112"/>
      <c r="K454" s="86"/>
      <c r="L454" s="255"/>
      <c r="M454" s="114" t="str">
        <f t="shared" si="7"/>
        <v xml:space="preserve">   </v>
      </c>
    </row>
    <row r="455" spans="1:13" s="55" customFormat="1" hidden="1" x14ac:dyDescent="0.2">
      <c r="A455" s="299"/>
      <c r="B455" s="297"/>
      <c r="C455" s="115"/>
      <c r="D455" s="116"/>
      <c r="E455" s="117"/>
      <c r="F455" s="118"/>
      <c r="G455" s="113"/>
      <c r="H455" s="113"/>
      <c r="I455" s="112"/>
      <c r="J455" s="112"/>
      <c r="K455" s="86"/>
      <c r="L455" s="255"/>
      <c r="M455" s="114" t="str">
        <f t="shared" si="7"/>
        <v xml:space="preserve">   </v>
      </c>
    </row>
    <row r="456" spans="1:13" s="55" customFormat="1" hidden="1" x14ac:dyDescent="0.2">
      <c r="A456" s="299"/>
      <c r="B456" s="297"/>
      <c r="C456" s="115"/>
      <c r="D456" s="116"/>
      <c r="E456" s="117"/>
      <c r="F456" s="118"/>
      <c r="G456" s="113"/>
      <c r="H456" s="113"/>
      <c r="I456" s="112"/>
      <c r="J456" s="112"/>
      <c r="K456" s="86"/>
      <c r="L456" s="255"/>
      <c r="M456" s="114" t="str">
        <f t="shared" si="7"/>
        <v xml:space="preserve">   </v>
      </c>
    </row>
    <row r="457" spans="1:13" s="55" customFormat="1" hidden="1" x14ac:dyDescent="0.2">
      <c r="A457" s="299"/>
      <c r="B457" s="297"/>
      <c r="C457" s="115"/>
      <c r="D457" s="116"/>
      <c r="E457" s="117"/>
      <c r="F457" s="118"/>
      <c r="G457" s="113"/>
      <c r="H457" s="113"/>
      <c r="I457" s="112"/>
      <c r="J457" s="112"/>
      <c r="K457" s="86"/>
      <c r="L457" s="255"/>
      <c r="M457" s="114" t="str">
        <f t="shared" si="7"/>
        <v xml:space="preserve">   </v>
      </c>
    </row>
    <row r="458" spans="1:13" s="55" customFormat="1" hidden="1" x14ac:dyDescent="0.2">
      <c r="A458" s="299"/>
      <c r="B458" s="297"/>
      <c r="C458" s="115"/>
      <c r="D458" s="116"/>
      <c r="E458" s="117"/>
      <c r="F458" s="118"/>
      <c r="G458" s="113"/>
      <c r="H458" s="113"/>
      <c r="I458" s="112"/>
      <c r="J458" s="112"/>
      <c r="K458" s="86"/>
      <c r="L458" s="255"/>
      <c r="M458" s="114" t="str">
        <f t="shared" si="7"/>
        <v xml:space="preserve">   </v>
      </c>
    </row>
    <row r="459" spans="1:13" s="55" customFormat="1" hidden="1" x14ac:dyDescent="0.2">
      <c r="A459" s="299"/>
      <c r="B459" s="297"/>
      <c r="C459" s="115"/>
      <c r="D459" s="116"/>
      <c r="E459" s="117"/>
      <c r="F459" s="118"/>
      <c r="G459" s="113"/>
      <c r="H459" s="113"/>
      <c r="I459" s="112"/>
      <c r="J459" s="112"/>
      <c r="K459" s="86"/>
      <c r="L459" s="255"/>
      <c r="M459" s="114" t="str">
        <f t="shared" ref="M459:M522" si="8">CONCATENATE(G459," ",H459," ",I459," ",J459)</f>
        <v xml:space="preserve">   </v>
      </c>
    </row>
    <row r="460" spans="1:13" s="55" customFormat="1" hidden="1" x14ac:dyDescent="0.2">
      <c r="A460" s="299"/>
      <c r="B460" s="297"/>
      <c r="C460" s="115"/>
      <c r="D460" s="116"/>
      <c r="E460" s="117"/>
      <c r="F460" s="118"/>
      <c r="G460" s="113"/>
      <c r="H460" s="113"/>
      <c r="I460" s="112"/>
      <c r="J460" s="112"/>
      <c r="K460" s="86"/>
      <c r="L460" s="255"/>
      <c r="M460" s="114" t="str">
        <f t="shared" si="8"/>
        <v xml:space="preserve">   </v>
      </c>
    </row>
    <row r="461" spans="1:13" s="55" customFormat="1" ht="12.75" hidden="1" customHeight="1" x14ac:dyDescent="0.2">
      <c r="A461" s="299" t="s">
        <v>85</v>
      </c>
      <c r="B461" s="297" t="s">
        <v>107</v>
      </c>
      <c r="C461" s="112"/>
      <c r="D461" s="112"/>
      <c r="E461" s="112"/>
      <c r="F461" s="112"/>
      <c r="G461" s="113"/>
      <c r="H461" s="113"/>
      <c r="I461" s="112"/>
      <c r="J461" s="112"/>
      <c r="K461" s="86"/>
      <c r="L461" s="253" t="str">
        <f>CONCATENATE(C461," ",D461," ",E461," ",F461," ",C462," ",D462," ",E462," ",F462)</f>
        <v xml:space="preserve">       </v>
      </c>
      <c r="M461" s="114" t="str">
        <f t="shared" si="8"/>
        <v xml:space="preserve">   </v>
      </c>
    </row>
    <row r="462" spans="1:13" s="55" customFormat="1" hidden="1" x14ac:dyDescent="0.2">
      <c r="A462" s="299"/>
      <c r="B462" s="297"/>
      <c r="C462" s="115"/>
      <c r="D462" s="116"/>
      <c r="E462" s="117"/>
      <c r="F462" s="118"/>
      <c r="G462" s="113"/>
      <c r="H462" s="113"/>
      <c r="I462" s="112"/>
      <c r="J462" s="112"/>
      <c r="K462" s="86"/>
      <c r="L462" s="255"/>
      <c r="M462" s="114" t="str">
        <f t="shared" si="8"/>
        <v xml:space="preserve">   </v>
      </c>
    </row>
    <row r="463" spans="1:13" s="55" customFormat="1" hidden="1" x14ac:dyDescent="0.2">
      <c r="A463" s="299"/>
      <c r="B463" s="297"/>
      <c r="C463" s="115"/>
      <c r="D463" s="116"/>
      <c r="E463" s="117"/>
      <c r="F463" s="118"/>
      <c r="G463" s="113"/>
      <c r="H463" s="113"/>
      <c r="I463" s="112"/>
      <c r="J463" s="112"/>
      <c r="K463" s="86"/>
      <c r="L463" s="255"/>
      <c r="M463" s="114" t="str">
        <f t="shared" si="8"/>
        <v xml:space="preserve">   </v>
      </c>
    </row>
    <row r="464" spans="1:13" s="55" customFormat="1" hidden="1" x14ac:dyDescent="0.2">
      <c r="A464" s="299"/>
      <c r="B464" s="297"/>
      <c r="C464" s="115"/>
      <c r="D464" s="116"/>
      <c r="E464" s="117"/>
      <c r="F464" s="118"/>
      <c r="G464" s="113"/>
      <c r="H464" s="113"/>
      <c r="I464" s="112"/>
      <c r="J464" s="112"/>
      <c r="K464" s="86"/>
      <c r="L464" s="255"/>
      <c r="M464" s="114" t="str">
        <f t="shared" si="8"/>
        <v xml:space="preserve">   </v>
      </c>
    </row>
    <row r="465" spans="1:13" s="55" customFormat="1" hidden="1" x14ac:dyDescent="0.2">
      <c r="A465" s="299"/>
      <c r="B465" s="297"/>
      <c r="C465" s="115"/>
      <c r="D465" s="116"/>
      <c r="E465" s="117"/>
      <c r="F465" s="118"/>
      <c r="G465" s="113"/>
      <c r="H465" s="113"/>
      <c r="I465" s="112"/>
      <c r="J465" s="112"/>
      <c r="K465" s="86"/>
      <c r="L465" s="255"/>
      <c r="M465" s="114" t="str">
        <f t="shared" si="8"/>
        <v xml:space="preserve">   </v>
      </c>
    </row>
    <row r="466" spans="1:13" s="55" customFormat="1" hidden="1" x14ac:dyDescent="0.2">
      <c r="A466" s="299"/>
      <c r="B466" s="297"/>
      <c r="C466" s="115"/>
      <c r="D466" s="116"/>
      <c r="E466" s="117"/>
      <c r="F466" s="118"/>
      <c r="G466" s="113"/>
      <c r="H466" s="113"/>
      <c r="I466" s="112"/>
      <c r="J466" s="112"/>
      <c r="K466" s="86"/>
      <c r="L466" s="255"/>
      <c r="M466" s="114" t="str">
        <f t="shared" si="8"/>
        <v xml:space="preserve">   </v>
      </c>
    </row>
    <row r="467" spans="1:13" s="55" customFormat="1" hidden="1" x14ac:dyDescent="0.2">
      <c r="A467" s="299"/>
      <c r="B467" s="297"/>
      <c r="C467" s="115"/>
      <c r="D467" s="116"/>
      <c r="E467" s="117"/>
      <c r="F467" s="118"/>
      <c r="G467" s="113"/>
      <c r="H467" s="113"/>
      <c r="I467" s="112"/>
      <c r="J467" s="112"/>
      <c r="K467" s="86"/>
      <c r="L467" s="255"/>
      <c r="M467" s="114" t="str">
        <f t="shared" si="8"/>
        <v xml:space="preserve">   </v>
      </c>
    </row>
    <row r="468" spans="1:13" s="55" customFormat="1" hidden="1" x14ac:dyDescent="0.2">
      <c r="A468" s="299"/>
      <c r="B468" s="297"/>
      <c r="C468" s="115"/>
      <c r="D468" s="116"/>
      <c r="E468" s="117"/>
      <c r="F468" s="118"/>
      <c r="G468" s="113"/>
      <c r="H468" s="113"/>
      <c r="I468" s="112"/>
      <c r="J468" s="112"/>
      <c r="K468" s="86"/>
      <c r="L468" s="255"/>
      <c r="M468" s="114" t="str">
        <f t="shared" si="8"/>
        <v xml:space="preserve">   </v>
      </c>
    </row>
    <row r="469" spans="1:13" s="55" customFormat="1" hidden="1" x14ac:dyDescent="0.2">
      <c r="A469" s="299"/>
      <c r="B469" s="297"/>
      <c r="C469" s="115"/>
      <c r="D469" s="116"/>
      <c r="E469" s="117"/>
      <c r="F469" s="118"/>
      <c r="G469" s="113"/>
      <c r="H469" s="113"/>
      <c r="I469" s="112"/>
      <c r="J469" s="112"/>
      <c r="K469" s="86"/>
      <c r="L469" s="255"/>
      <c r="M469" s="114" t="str">
        <f t="shared" si="8"/>
        <v xml:space="preserve">   </v>
      </c>
    </row>
    <row r="470" spans="1:13" s="55" customFormat="1" hidden="1" x14ac:dyDescent="0.2">
      <c r="A470" s="299"/>
      <c r="B470" s="297"/>
      <c r="C470" s="115"/>
      <c r="D470" s="116"/>
      <c r="E470" s="117"/>
      <c r="F470" s="118"/>
      <c r="G470" s="113"/>
      <c r="H470" s="113"/>
      <c r="I470" s="112"/>
      <c r="J470" s="112"/>
      <c r="K470" s="86"/>
      <c r="L470" s="255"/>
      <c r="M470" s="114" t="str">
        <f t="shared" si="8"/>
        <v xml:space="preserve">   </v>
      </c>
    </row>
    <row r="471" spans="1:13" s="55" customFormat="1" ht="12.75" hidden="1" customHeight="1" x14ac:dyDescent="0.2">
      <c r="A471" s="299" t="s">
        <v>85</v>
      </c>
      <c r="B471" s="297" t="s">
        <v>107</v>
      </c>
      <c r="C471" s="112"/>
      <c r="D471" s="112"/>
      <c r="E471" s="112"/>
      <c r="F471" s="112"/>
      <c r="G471" s="113"/>
      <c r="H471" s="113"/>
      <c r="I471" s="112"/>
      <c r="J471" s="112"/>
      <c r="K471" s="86"/>
      <c r="L471" s="253" t="str">
        <f>CONCATENATE(C471," ",D471," ",E471," ",F471," ",C472," ",D472," ",E472," ",F472)</f>
        <v xml:space="preserve">       </v>
      </c>
      <c r="M471" s="114" t="str">
        <f t="shared" si="8"/>
        <v xml:space="preserve">   </v>
      </c>
    </row>
    <row r="472" spans="1:13" s="55" customFormat="1" hidden="1" x14ac:dyDescent="0.2">
      <c r="A472" s="299"/>
      <c r="B472" s="297"/>
      <c r="C472" s="115"/>
      <c r="D472" s="116"/>
      <c r="E472" s="117"/>
      <c r="F472" s="118"/>
      <c r="G472" s="113"/>
      <c r="H472" s="113"/>
      <c r="I472" s="112"/>
      <c r="J472" s="112"/>
      <c r="K472" s="86"/>
      <c r="L472" s="255"/>
      <c r="M472" s="114" t="str">
        <f t="shared" si="8"/>
        <v xml:space="preserve">   </v>
      </c>
    </row>
    <row r="473" spans="1:13" s="55" customFormat="1" ht="12" hidden="1" customHeight="1" x14ac:dyDescent="0.2">
      <c r="A473" s="299"/>
      <c r="B473" s="297"/>
      <c r="C473" s="115"/>
      <c r="D473" s="116"/>
      <c r="E473" s="117"/>
      <c r="F473" s="118"/>
      <c r="G473" s="113"/>
      <c r="H473" s="113"/>
      <c r="I473" s="112"/>
      <c r="J473" s="112"/>
      <c r="K473" s="86"/>
      <c r="L473" s="255"/>
      <c r="M473" s="114" t="str">
        <f t="shared" si="8"/>
        <v xml:space="preserve">   </v>
      </c>
    </row>
    <row r="474" spans="1:13" s="55" customFormat="1" hidden="1" x14ac:dyDescent="0.2">
      <c r="A474" s="299"/>
      <c r="B474" s="297"/>
      <c r="C474" s="115"/>
      <c r="D474" s="116"/>
      <c r="E474" s="117"/>
      <c r="F474" s="118"/>
      <c r="G474" s="113"/>
      <c r="H474" s="113"/>
      <c r="I474" s="112"/>
      <c r="J474" s="112"/>
      <c r="K474" s="86"/>
      <c r="L474" s="255"/>
      <c r="M474" s="114" t="str">
        <f t="shared" si="8"/>
        <v xml:space="preserve">   </v>
      </c>
    </row>
    <row r="475" spans="1:13" s="55" customFormat="1" hidden="1" x14ac:dyDescent="0.2">
      <c r="A475" s="299"/>
      <c r="B475" s="297"/>
      <c r="C475" s="115"/>
      <c r="D475" s="116"/>
      <c r="E475" s="117"/>
      <c r="F475" s="118"/>
      <c r="G475" s="113"/>
      <c r="H475" s="113"/>
      <c r="I475" s="112"/>
      <c r="J475" s="112"/>
      <c r="K475" s="86"/>
      <c r="L475" s="255"/>
      <c r="M475" s="114" t="str">
        <f t="shared" si="8"/>
        <v xml:space="preserve">   </v>
      </c>
    </row>
    <row r="476" spans="1:13" s="55" customFormat="1" hidden="1" x14ac:dyDescent="0.2">
      <c r="A476" s="299"/>
      <c r="B476" s="297"/>
      <c r="C476" s="115"/>
      <c r="D476" s="116"/>
      <c r="E476" s="117"/>
      <c r="F476" s="118"/>
      <c r="G476" s="113"/>
      <c r="H476" s="113"/>
      <c r="I476" s="112"/>
      <c r="J476" s="112"/>
      <c r="K476" s="86"/>
      <c r="L476" s="255"/>
      <c r="M476" s="114" t="str">
        <f t="shared" si="8"/>
        <v xml:space="preserve">   </v>
      </c>
    </row>
    <row r="477" spans="1:13" s="55" customFormat="1" hidden="1" x14ac:dyDescent="0.2">
      <c r="A477" s="299"/>
      <c r="B477" s="297"/>
      <c r="C477" s="115"/>
      <c r="D477" s="116"/>
      <c r="E477" s="117"/>
      <c r="F477" s="118"/>
      <c r="G477" s="113"/>
      <c r="H477" s="113"/>
      <c r="I477" s="112"/>
      <c r="J477" s="112"/>
      <c r="K477" s="86"/>
      <c r="L477" s="255"/>
      <c r="M477" s="114" t="str">
        <f t="shared" si="8"/>
        <v xml:space="preserve">   </v>
      </c>
    </row>
    <row r="478" spans="1:13" s="55" customFormat="1" hidden="1" x14ac:dyDescent="0.2">
      <c r="A478" s="299"/>
      <c r="B478" s="297"/>
      <c r="C478" s="115"/>
      <c r="D478" s="116"/>
      <c r="E478" s="117"/>
      <c r="F478" s="118"/>
      <c r="G478" s="113"/>
      <c r="H478" s="113"/>
      <c r="I478" s="112"/>
      <c r="J478" s="112"/>
      <c r="K478" s="86"/>
      <c r="L478" s="255"/>
      <c r="M478" s="114" t="str">
        <f t="shared" si="8"/>
        <v xml:space="preserve">   </v>
      </c>
    </row>
    <row r="479" spans="1:13" s="55" customFormat="1" hidden="1" x14ac:dyDescent="0.2">
      <c r="A479" s="299"/>
      <c r="B479" s="297"/>
      <c r="C479" s="115"/>
      <c r="D479" s="116"/>
      <c r="E479" s="117"/>
      <c r="F479" s="118"/>
      <c r="G479" s="113"/>
      <c r="H479" s="113"/>
      <c r="I479" s="112"/>
      <c r="J479" s="112"/>
      <c r="K479" s="86"/>
      <c r="L479" s="255"/>
      <c r="M479" s="114" t="str">
        <f t="shared" si="8"/>
        <v xml:space="preserve">   </v>
      </c>
    </row>
    <row r="480" spans="1:13" s="55" customFormat="1" hidden="1" x14ac:dyDescent="0.2">
      <c r="A480" s="299"/>
      <c r="B480" s="297"/>
      <c r="C480" s="115"/>
      <c r="D480" s="116"/>
      <c r="E480" s="117"/>
      <c r="F480" s="118"/>
      <c r="G480" s="113"/>
      <c r="H480" s="113"/>
      <c r="I480" s="112"/>
      <c r="J480" s="112"/>
      <c r="K480" s="86"/>
      <c r="L480" s="255"/>
      <c r="M480" s="114" t="str">
        <f t="shared" si="8"/>
        <v xml:space="preserve">   </v>
      </c>
    </row>
    <row r="481" spans="1:13" s="55" customFormat="1" ht="12.75" hidden="1" customHeight="1" x14ac:dyDescent="0.2">
      <c r="A481" s="299" t="s">
        <v>85</v>
      </c>
      <c r="B481" s="297" t="s">
        <v>107</v>
      </c>
      <c r="C481" s="112"/>
      <c r="D481" s="112"/>
      <c r="E481" s="112"/>
      <c r="F481" s="112"/>
      <c r="G481" s="113"/>
      <c r="H481" s="113"/>
      <c r="I481" s="112"/>
      <c r="J481" s="112"/>
      <c r="K481" s="86"/>
      <c r="L481" s="253" t="str">
        <f>CONCATENATE(C481," ",D481," ",E481," ",F481," ",C482," ",D482," ",E482," ",F482)</f>
        <v xml:space="preserve">       </v>
      </c>
      <c r="M481" s="114" t="str">
        <f t="shared" si="8"/>
        <v xml:space="preserve">   </v>
      </c>
    </row>
    <row r="482" spans="1:13" s="55" customFormat="1" hidden="1" x14ac:dyDescent="0.2">
      <c r="A482" s="299"/>
      <c r="B482" s="297"/>
      <c r="C482" s="115"/>
      <c r="D482" s="116"/>
      <c r="E482" s="117"/>
      <c r="F482" s="118"/>
      <c r="G482" s="113"/>
      <c r="H482" s="113"/>
      <c r="I482" s="112"/>
      <c r="J482" s="112"/>
      <c r="K482" s="86"/>
      <c r="L482" s="255"/>
      <c r="M482" s="114" t="str">
        <f t="shared" si="8"/>
        <v xml:space="preserve">   </v>
      </c>
    </row>
    <row r="483" spans="1:13" s="55" customFormat="1" hidden="1" x14ac:dyDescent="0.2">
      <c r="A483" s="299"/>
      <c r="B483" s="297"/>
      <c r="C483" s="115"/>
      <c r="D483" s="116"/>
      <c r="E483" s="117"/>
      <c r="F483" s="118"/>
      <c r="G483" s="113"/>
      <c r="H483" s="113"/>
      <c r="I483" s="112"/>
      <c r="J483" s="112"/>
      <c r="K483" s="86"/>
      <c r="L483" s="255"/>
      <c r="M483" s="114" t="str">
        <f t="shared" si="8"/>
        <v xml:space="preserve">   </v>
      </c>
    </row>
    <row r="484" spans="1:13" s="55" customFormat="1" hidden="1" x14ac:dyDescent="0.2">
      <c r="A484" s="299"/>
      <c r="B484" s="297"/>
      <c r="C484" s="115"/>
      <c r="D484" s="116"/>
      <c r="E484" s="117"/>
      <c r="F484" s="118"/>
      <c r="G484" s="113"/>
      <c r="H484" s="113"/>
      <c r="I484" s="112"/>
      <c r="J484" s="112"/>
      <c r="K484" s="86"/>
      <c r="L484" s="255"/>
      <c r="M484" s="114" t="str">
        <f t="shared" si="8"/>
        <v xml:space="preserve">   </v>
      </c>
    </row>
    <row r="485" spans="1:13" s="55" customFormat="1" hidden="1" x14ac:dyDescent="0.2">
      <c r="A485" s="299"/>
      <c r="B485" s="297"/>
      <c r="C485" s="115"/>
      <c r="D485" s="116"/>
      <c r="E485" s="117"/>
      <c r="F485" s="118"/>
      <c r="G485" s="113"/>
      <c r="H485" s="113"/>
      <c r="I485" s="112"/>
      <c r="J485" s="112"/>
      <c r="K485" s="86"/>
      <c r="L485" s="255"/>
      <c r="M485" s="114" t="str">
        <f t="shared" si="8"/>
        <v xml:space="preserve">   </v>
      </c>
    </row>
    <row r="486" spans="1:13" s="55" customFormat="1" hidden="1" x14ac:dyDescent="0.2">
      <c r="A486" s="299"/>
      <c r="B486" s="297"/>
      <c r="C486" s="115"/>
      <c r="D486" s="116"/>
      <c r="E486" s="117"/>
      <c r="F486" s="118"/>
      <c r="G486" s="113"/>
      <c r="H486" s="113"/>
      <c r="I486" s="112"/>
      <c r="J486" s="112"/>
      <c r="K486" s="86"/>
      <c r="L486" s="255"/>
      <c r="M486" s="114" t="str">
        <f t="shared" si="8"/>
        <v xml:space="preserve">   </v>
      </c>
    </row>
    <row r="487" spans="1:13" s="55" customFormat="1" hidden="1" x14ac:dyDescent="0.2">
      <c r="A487" s="299"/>
      <c r="B487" s="297"/>
      <c r="C487" s="115"/>
      <c r="D487" s="116"/>
      <c r="E487" s="117"/>
      <c r="F487" s="118"/>
      <c r="G487" s="113"/>
      <c r="H487" s="113"/>
      <c r="I487" s="112"/>
      <c r="J487" s="112"/>
      <c r="K487" s="86"/>
      <c r="L487" s="255"/>
      <c r="M487" s="114" t="str">
        <f t="shared" si="8"/>
        <v xml:space="preserve">   </v>
      </c>
    </row>
    <row r="488" spans="1:13" s="55" customFormat="1" hidden="1" x14ac:dyDescent="0.2">
      <c r="A488" s="299"/>
      <c r="B488" s="297"/>
      <c r="C488" s="115"/>
      <c r="D488" s="116"/>
      <c r="E488" s="117"/>
      <c r="F488" s="118"/>
      <c r="G488" s="113"/>
      <c r="H488" s="113"/>
      <c r="I488" s="112"/>
      <c r="J488" s="112"/>
      <c r="K488" s="86"/>
      <c r="L488" s="255"/>
      <c r="M488" s="114" t="str">
        <f t="shared" si="8"/>
        <v xml:space="preserve">   </v>
      </c>
    </row>
    <row r="489" spans="1:13" s="55" customFormat="1" hidden="1" x14ac:dyDescent="0.2">
      <c r="A489" s="299"/>
      <c r="B489" s="297"/>
      <c r="C489" s="115"/>
      <c r="D489" s="116"/>
      <c r="E489" s="117"/>
      <c r="F489" s="118"/>
      <c r="G489" s="113"/>
      <c r="H489" s="113"/>
      <c r="I489" s="112"/>
      <c r="J489" s="112"/>
      <c r="K489" s="86"/>
      <c r="L489" s="255"/>
      <c r="M489" s="114" t="str">
        <f t="shared" si="8"/>
        <v xml:space="preserve">   </v>
      </c>
    </row>
    <row r="490" spans="1:13" s="55" customFormat="1" hidden="1" x14ac:dyDescent="0.2">
      <c r="A490" s="299"/>
      <c r="B490" s="297"/>
      <c r="C490" s="115"/>
      <c r="D490" s="116"/>
      <c r="E490" s="117"/>
      <c r="F490" s="118"/>
      <c r="G490" s="113"/>
      <c r="H490" s="113"/>
      <c r="I490" s="112"/>
      <c r="J490" s="112"/>
      <c r="K490" s="86"/>
      <c r="L490" s="255"/>
      <c r="M490" s="114" t="str">
        <f t="shared" si="8"/>
        <v xml:space="preserve">   </v>
      </c>
    </row>
    <row r="491" spans="1:13" s="55" customFormat="1" ht="12.75" hidden="1" customHeight="1" x14ac:dyDescent="0.2">
      <c r="A491" s="299" t="s">
        <v>85</v>
      </c>
      <c r="B491" s="297" t="s">
        <v>107</v>
      </c>
      <c r="C491" s="112"/>
      <c r="D491" s="112"/>
      <c r="E491" s="112"/>
      <c r="F491" s="112"/>
      <c r="G491" s="113"/>
      <c r="H491" s="113"/>
      <c r="I491" s="112"/>
      <c r="J491" s="112"/>
      <c r="K491" s="86"/>
      <c r="L491" s="253" t="str">
        <f>CONCATENATE(C491," ",D491," ",E491," ",F491," ",C492," ",D492," ",E492," ",F492)</f>
        <v xml:space="preserve">       </v>
      </c>
      <c r="M491" s="114" t="str">
        <f t="shared" si="8"/>
        <v xml:space="preserve">   </v>
      </c>
    </row>
    <row r="492" spans="1:13" s="55" customFormat="1" hidden="1" x14ac:dyDescent="0.2">
      <c r="A492" s="299"/>
      <c r="B492" s="297"/>
      <c r="C492" s="115"/>
      <c r="D492" s="116"/>
      <c r="E492" s="117"/>
      <c r="F492" s="118"/>
      <c r="G492" s="113"/>
      <c r="H492" s="113"/>
      <c r="I492" s="112"/>
      <c r="J492" s="112"/>
      <c r="K492" s="86"/>
      <c r="L492" s="255"/>
      <c r="M492" s="114" t="str">
        <f t="shared" si="8"/>
        <v xml:space="preserve">   </v>
      </c>
    </row>
    <row r="493" spans="1:13" s="55" customFormat="1" hidden="1" x14ac:dyDescent="0.2">
      <c r="A493" s="299"/>
      <c r="B493" s="297"/>
      <c r="C493" s="115"/>
      <c r="D493" s="116"/>
      <c r="E493" s="117"/>
      <c r="F493" s="118"/>
      <c r="G493" s="113"/>
      <c r="H493" s="113"/>
      <c r="I493" s="112"/>
      <c r="J493" s="112"/>
      <c r="K493" s="86"/>
      <c r="L493" s="255"/>
      <c r="M493" s="114" t="str">
        <f t="shared" si="8"/>
        <v xml:space="preserve">   </v>
      </c>
    </row>
    <row r="494" spans="1:13" s="55" customFormat="1" hidden="1" x14ac:dyDescent="0.2">
      <c r="A494" s="299"/>
      <c r="B494" s="297"/>
      <c r="C494" s="115"/>
      <c r="D494" s="116"/>
      <c r="E494" s="117"/>
      <c r="F494" s="118"/>
      <c r="G494" s="113"/>
      <c r="H494" s="113"/>
      <c r="I494" s="112"/>
      <c r="J494" s="112"/>
      <c r="K494" s="86"/>
      <c r="L494" s="255"/>
      <c r="M494" s="114" t="str">
        <f t="shared" si="8"/>
        <v xml:space="preserve">   </v>
      </c>
    </row>
    <row r="495" spans="1:13" s="55" customFormat="1" hidden="1" x14ac:dyDescent="0.2">
      <c r="A495" s="299"/>
      <c r="B495" s="297"/>
      <c r="C495" s="115"/>
      <c r="D495" s="116"/>
      <c r="E495" s="117"/>
      <c r="F495" s="118"/>
      <c r="G495" s="113"/>
      <c r="H495" s="113"/>
      <c r="I495" s="112"/>
      <c r="J495" s="112"/>
      <c r="K495" s="86"/>
      <c r="L495" s="255"/>
      <c r="M495" s="114" t="str">
        <f t="shared" si="8"/>
        <v xml:space="preserve">   </v>
      </c>
    </row>
    <row r="496" spans="1:13" s="55" customFormat="1" hidden="1" x14ac:dyDescent="0.2">
      <c r="A496" s="299"/>
      <c r="B496" s="297"/>
      <c r="C496" s="115"/>
      <c r="D496" s="116"/>
      <c r="E496" s="117"/>
      <c r="F496" s="118"/>
      <c r="G496" s="113"/>
      <c r="H496" s="113"/>
      <c r="I496" s="112"/>
      <c r="J496" s="112"/>
      <c r="K496" s="86"/>
      <c r="L496" s="255"/>
      <c r="M496" s="114" t="str">
        <f t="shared" si="8"/>
        <v xml:space="preserve">   </v>
      </c>
    </row>
    <row r="497" spans="1:13" s="55" customFormat="1" hidden="1" x14ac:dyDescent="0.2">
      <c r="A497" s="299"/>
      <c r="B497" s="297"/>
      <c r="C497" s="115"/>
      <c r="D497" s="116"/>
      <c r="E497" s="117"/>
      <c r="F497" s="118"/>
      <c r="G497" s="113"/>
      <c r="H497" s="113"/>
      <c r="I497" s="112"/>
      <c r="J497" s="112"/>
      <c r="K497" s="86"/>
      <c r="L497" s="255"/>
      <c r="M497" s="114" t="str">
        <f t="shared" si="8"/>
        <v xml:space="preserve">   </v>
      </c>
    </row>
    <row r="498" spans="1:13" s="55" customFormat="1" hidden="1" x14ac:dyDescent="0.2">
      <c r="A498" s="299"/>
      <c r="B498" s="297"/>
      <c r="C498" s="115"/>
      <c r="D498" s="116"/>
      <c r="E498" s="117"/>
      <c r="F498" s="118"/>
      <c r="G498" s="113"/>
      <c r="H498" s="113"/>
      <c r="I498" s="112"/>
      <c r="J498" s="112"/>
      <c r="K498" s="86"/>
      <c r="L498" s="255"/>
      <c r="M498" s="114" t="str">
        <f t="shared" si="8"/>
        <v xml:space="preserve">   </v>
      </c>
    </row>
    <row r="499" spans="1:13" s="55" customFormat="1" hidden="1" x14ac:dyDescent="0.2">
      <c r="A499" s="299"/>
      <c r="B499" s="297"/>
      <c r="C499" s="115"/>
      <c r="D499" s="116"/>
      <c r="E499" s="117"/>
      <c r="F499" s="118"/>
      <c r="G499" s="113"/>
      <c r="H499" s="113"/>
      <c r="I499" s="112"/>
      <c r="J499" s="112"/>
      <c r="K499" s="86"/>
      <c r="L499" s="255"/>
      <c r="M499" s="114" t="str">
        <f t="shared" si="8"/>
        <v xml:space="preserve">   </v>
      </c>
    </row>
    <row r="500" spans="1:13" s="55" customFormat="1" hidden="1" x14ac:dyDescent="0.2">
      <c r="A500" s="299"/>
      <c r="B500" s="297"/>
      <c r="C500" s="115"/>
      <c r="D500" s="116"/>
      <c r="E500" s="117"/>
      <c r="F500" s="118"/>
      <c r="G500" s="113"/>
      <c r="H500" s="113"/>
      <c r="I500" s="112"/>
      <c r="J500" s="112"/>
      <c r="K500" s="86"/>
      <c r="L500" s="255"/>
      <c r="M500" s="114" t="str">
        <f t="shared" si="8"/>
        <v xml:space="preserve">   </v>
      </c>
    </row>
    <row r="501" spans="1:13" s="55" customFormat="1" ht="12.75" hidden="1" customHeight="1" x14ac:dyDescent="0.2">
      <c r="A501" s="299" t="s">
        <v>85</v>
      </c>
      <c r="B501" s="297" t="s">
        <v>107</v>
      </c>
      <c r="C501" s="112"/>
      <c r="D501" s="112"/>
      <c r="E501" s="112"/>
      <c r="F501" s="112"/>
      <c r="G501" s="113"/>
      <c r="H501" s="113"/>
      <c r="I501" s="112"/>
      <c r="J501" s="112"/>
      <c r="K501" s="86"/>
      <c r="L501" s="253" t="str">
        <f>CONCATENATE(C501," ",D501," ",E501," ",F501," ",C502," ",D502," ",E502," ",F502)</f>
        <v xml:space="preserve">       </v>
      </c>
      <c r="M501" s="114" t="str">
        <f t="shared" si="8"/>
        <v xml:space="preserve">   </v>
      </c>
    </row>
    <row r="502" spans="1:13" s="55" customFormat="1" hidden="1" x14ac:dyDescent="0.2">
      <c r="A502" s="299"/>
      <c r="B502" s="297"/>
      <c r="C502" s="115"/>
      <c r="D502" s="116"/>
      <c r="E502" s="117"/>
      <c r="F502" s="118"/>
      <c r="G502" s="113"/>
      <c r="H502" s="113"/>
      <c r="I502" s="112"/>
      <c r="J502" s="112"/>
      <c r="K502" s="86"/>
      <c r="L502" s="255"/>
      <c r="M502" s="114" t="str">
        <f t="shared" si="8"/>
        <v xml:space="preserve">   </v>
      </c>
    </row>
    <row r="503" spans="1:13" s="55" customFormat="1" hidden="1" x14ac:dyDescent="0.2">
      <c r="A503" s="299"/>
      <c r="B503" s="297"/>
      <c r="C503" s="115"/>
      <c r="D503" s="116"/>
      <c r="E503" s="117"/>
      <c r="F503" s="118"/>
      <c r="G503" s="113"/>
      <c r="H503" s="113"/>
      <c r="I503" s="112"/>
      <c r="J503" s="112"/>
      <c r="K503" s="86"/>
      <c r="L503" s="255"/>
      <c r="M503" s="114" t="str">
        <f t="shared" si="8"/>
        <v xml:space="preserve">   </v>
      </c>
    </row>
    <row r="504" spans="1:13" s="55" customFormat="1" hidden="1" x14ac:dyDescent="0.2">
      <c r="A504" s="299"/>
      <c r="B504" s="297"/>
      <c r="C504" s="115"/>
      <c r="D504" s="116"/>
      <c r="E504" s="117"/>
      <c r="F504" s="118"/>
      <c r="G504" s="113"/>
      <c r="H504" s="113"/>
      <c r="I504" s="112"/>
      <c r="J504" s="112"/>
      <c r="K504" s="86"/>
      <c r="L504" s="255"/>
      <c r="M504" s="114" t="str">
        <f t="shared" si="8"/>
        <v xml:space="preserve">   </v>
      </c>
    </row>
    <row r="505" spans="1:13" s="55" customFormat="1" hidden="1" x14ac:dyDescent="0.2">
      <c r="A505" s="299"/>
      <c r="B505" s="297"/>
      <c r="C505" s="115"/>
      <c r="D505" s="116"/>
      <c r="E505" s="117"/>
      <c r="F505" s="118"/>
      <c r="G505" s="113"/>
      <c r="H505" s="113"/>
      <c r="I505" s="112"/>
      <c r="J505" s="112"/>
      <c r="K505" s="86"/>
      <c r="L505" s="255"/>
      <c r="M505" s="114" t="str">
        <f t="shared" si="8"/>
        <v xml:space="preserve">   </v>
      </c>
    </row>
    <row r="506" spans="1:13" s="55" customFormat="1" hidden="1" x14ac:dyDescent="0.2">
      <c r="A506" s="299"/>
      <c r="B506" s="297"/>
      <c r="C506" s="115"/>
      <c r="D506" s="116"/>
      <c r="E506" s="117"/>
      <c r="F506" s="118"/>
      <c r="G506" s="113"/>
      <c r="H506" s="113"/>
      <c r="I506" s="112"/>
      <c r="J506" s="112"/>
      <c r="K506" s="86"/>
      <c r="L506" s="255"/>
      <c r="M506" s="114" t="str">
        <f t="shared" si="8"/>
        <v xml:space="preserve">   </v>
      </c>
    </row>
    <row r="507" spans="1:13" s="55" customFormat="1" hidden="1" x14ac:dyDescent="0.2">
      <c r="A507" s="299"/>
      <c r="B507" s="297"/>
      <c r="C507" s="115"/>
      <c r="D507" s="116"/>
      <c r="E507" s="117"/>
      <c r="F507" s="118"/>
      <c r="G507" s="113"/>
      <c r="H507" s="113"/>
      <c r="I507" s="112"/>
      <c r="J507" s="112"/>
      <c r="K507" s="86"/>
      <c r="L507" s="255"/>
      <c r="M507" s="114" t="str">
        <f t="shared" si="8"/>
        <v xml:space="preserve">   </v>
      </c>
    </row>
    <row r="508" spans="1:13" s="55" customFormat="1" hidden="1" x14ac:dyDescent="0.2">
      <c r="A508" s="299"/>
      <c r="B508" s="297"/>
      <c r="C508" s="115"/>
      <c r="D508" s="116"/>
      <c r="E508" s="117"/>
      <c r="F508" s="118"/>
      <c r="G508" s="113"/>
      <c r="H508" s="113"/>
      <c r="I508" s="112"/>
      <c r="J508" s="112"/>
      <c r="K508" s="86"/>
      <c r="L508" s="255"/>
      <c r="M508" s="114" t="str">
        <f t="shared" si="8"/>
        <v xml:space="preserve">   </v>
      </c>
    </row>
    <row r="509" spans="1:13" s="55" customFormat="1" hidden="1" x14ac:dyDescent="0.2">
      <c r="A509" s="299"/>
      <c r="B509" s="297"/>
      <c r="C509" s="115"/>
      <c r="D509" s="116"/>
      <c r="E509" s="117"/>
      <c r="F509" s="118"/>
      <c r="G509" s="113"/>
      <c r="H509" s="113"/>
      <c r="I509" s="112"/>
      <c r="J509" s="112"/>
      <c r="K509" s="86"/>
      <c r="L509" s="255"/>
      <c r="M509" s="114" t="str">
        <f t="shared" si="8"/>
        <v xml:space="preserve">   </v>
      </c>
    </row>
    <row r="510" spans="1:13" s="55" customFormat="1" hidden="1" x14ac:dyDescent="0.2">
      <c r="A510" s="299"/>
      <c r="B510" s="297"/>
      <c r="C510" s="115"/>
      <c r="D510" s="116"/>
      <c r="E510" s="117"/>
      <c r="F510" s="118"/>
      <c r="G510" s="113"/>
      <c r="H510" s="113"/>
      <c r="I510" s="112"/>
      <c r="J510" s="112"/>
      <c r="K510" s="86"/>
      <c r="L510" s="255"/>
      <c r="M510" s="114" t="str">
        <f t="shared" si="8"/>
        <v xml:space="preserve">   </v>
      </c>
    </row>
    <row r="511" spans="1:13" s="48" customFormat="1" ht="42" customHeight="1" x14ac:dyDescent="0.2">
      <c r="A511" s="299" t="s">
        <v>85</v>
      </c>
      <c r="B511" s="296" t="s">
        <v>108</v>
      </c>
      <c r="C511" s="112" t="s">
        <v>294</v>
      </c>
      <c r="D511" s="112" t="s">
        <v>293</v>
      </c>
      <c r="E511" s="194" t="s">
        <v>296</v>
      </c>
      <c r="F511" s="194" t="s">
        <v>297</v>
      </c>
      <c r="G511" s="113" t="s">
        <v>208</v>
      </c>
      <c r="H511" s="113" t="s">
        <v>229</v>
      </c>
      <c r="I511" s="112" t="s">
        <v>298</v>
      </c>
      <c r="J511" s="194" t="s">
        <v>299</v>
      </c>
      <c r="K511" s="86"/>
      <c r="L511" s="254" t="str">
        <f>CONCATENATE(C511," ",D511," ",E511," ",F511," ",C512," ",D512," ",E512," ",F512)</f>
        <v xml:space="preserve">CE5 C1 Identificar situaciones o problemas del proceso productivo o de servicios  considerando los objetivos del  área de desempeño.    </v>
      </c>
      <c r="M511" s="247" t="str">
        <f t="shared" si="8"/>
        <v>C1 I1 Describe  problemas de su área,  considerando sus características y efectos.</v>
      </c>
    </row>
    <row r="512" spans="1:13" s="48" customFormat="1" ht="55.5" customHeight="1" x14ac:dyDescent="0.2">
      <c r="A512" s="299"/>
      <c r="B512" s="296"/>
      <c r="C512" s="120"/>
      <c r="D512" s="116"/>
      <c r="E512" s="117"/>
      <c r="F512" s="118"/>
      <c r="G512" s="113" t="s">
        <v>218</v>
      </c>
      <c r="H512" s="113" t="s">
        <v>384</v>
      </c>
      <c r="I512" s="194" t="s">
        <v>383</v>
      </c>
      <c r="J512" s="194" t="s">
        <v>385</v>
      </c>
      <c r="K512" s="86"/>
      <c r="L512" s="255"/>
      <c r="M512" s="247" t="str">
        <f t="shared" si="8"/>
        <v xml:space="preserve">C2 I2 Caracteriza las causas y consecuencias de situaciones o  problemas del área de desempeño, analizando la información disponible. </v>
      </c>
    </row>
    <row r="513" spans="1:13" s="48" customFormat="1" ht="2.25" hidden="1" customHeight="1" x14ac:dyDescent="0.2">
      <c r="A513" s="299"/>
      <c r="B513" s="296"/>
      <c r="C513" s="115"/>
      <c r="D513" s="116"/>
      <c r="E513" s="117"/>
      <c r="F513" s="118"/>
      <c r="G513" s="113"/>
      <c r="H513" s="113"/>
      <c r="I513" s="112"/>
      <c r="J513" s="112"/>
      <c r="K513" s="86"/>
      <c r="L513" s="255"/>
      <c r="M513" s="114" t="str">
        <f t="shared" si="8"/>
        <v xml:space="preserve">   </v>
      </c>
    </row>
    <row r="514" spans="1:13" s="48" customFormat="1" hidden="1" x14ac:dyDescent="0.2">
      <c r="A514" s="299"/>
      <c r="B514" s="296"/>
      <c r="C514" s="115"/>
      <c r="D514" s="116"/>
      <c r="E514" s="117"/>
      <c r="F514" s="118"/>
      <c r="G514" s="113"/>
      <c r="H514" s="113"/>
      <c r="I514" s="112"/>
      <c r="J514" s="112"/>
      <c r="K514" s="86"/>
      <c r="L514" s="255"/>
      <c r="M514" s="114" t="str">
        <f t="shared" si="8"/>
        <v xml:space="preserve">   </v>
      </c>
    </row>
    <row r="515" spans="1:13" s="55" customFormat="1" hidden="1" x14ac:dyDescent="0.2">
      <c r="A515" s="299"/>
      <c r="B515" s="296"/>
      <c r="C515" s="115"/>
      <c r="D515" s="116"/>
      <c r="E515" s="117"/>
      <c r="F515" s="118"/>
      <c r="G515" s="113"/>
      <c r="H515" s="113"/>
      <c r="I515" s="112"/>
      <c r="J515" s="112"/>
      <c r="K515" s="86"/>
      <c r="L515" s="255"/>
      <c r="M515" s="114" t="str">
        <f t="shared" si="8"/>
        <v xml:space="preserve">   </v>
      </c>
    </row>
    <row r="516" spans="1:13" s="55" customFormat="1" hidden="1" x14ac:dyDescent="0.2">
      <c r="A516" s="299"/>
      <c r="B516" s="296"/>
      <c r="C516" s="115"/>
      <c r="D516" s="116"/>
      <c r="E516" s="117"/>
      <c r="F516" s="118"/>
      <c r="G516" s="113"/>
      <c r="H516" s="113"/>
      <c r="I516" s="112"/>
      <c r="J516" s="112"/>
      <c r="K516" s="86"/>
      <c r="L516" s="255"/>
      <c r="M516" s="114" t="str">
        <f t="shared" si="8"/>
        <v xml:space="preserve">   </v>
      </c>
    </row>
    <row r="517" spans="1:13" s="55" customFormat="1" hidden="1" x14ac:dyDescent="0.2">
      <c r="A517" s="299"/>
      <c r="B517" s="296"/>
      <c r="C517" s="115"/>
      <c r="D517" s="116"/>
      <c r="E517" s="117"/>
      <c r="F517" s="118"/>
      <c r="G517" s="113"/>
      <c r="H517" s="113"/>
      <c r="I517" s="112"/>
      <c r="J517" s="112"/>
      <c r="K517" s="86"/>
      <c r="L517" s="255"/>
      <c r="M517" s="114" t="str">
        <f t="shared" si="8"/>
        <v xml:space="preserve">   </v>
      </c>
    </row>
    <row r="518" spans="1:13" s="55" customFormat="1" hidden="1" x14ac:dyDescent="0.2">
      <c r="A518" s="299"/>
      <c r="B518" s="296"/>
      <c r="C518" s="115"/>
      <c r="D518" s="116"/>
      <c r="E518" s="117"/>
      <c r="F518" s="118"/>
      <c r="G518" s="113"/>
      <c r="H518" s="113"/>
      <c r="I518" s="112"/>
      <c r="J518" s="112"/>
      <c r="K518" s="86"/>
      <c r="L518" s="255"/>
      <c r="M518" s="114" t="str">
        <f t="shared" si="8"/>
        <v xml:space="preserve">   </v>
      </c>
    </row>
    <row r="519" spans="1:13" s="48" customFormat="1" hidden="1" x14ac:dyDescent="0.2">
      <c r="A519" s="299"/>
      <c r="B519" s="296"/>
      <c r="C519" s="115"/>
      <c r="D519" s="116"/>
      <c r="E519" s="117"/>
      <c r="F519" s="118"/>
      <c r="G519" s="113"/>
      <c r="H519" s="113"/>
      <c r="I519" s="112"/>
      <c r="J519" s="112"/>
      <c r="K519" s="86"/>
      <c r="L519" s="255"/>
      <c r="M519" s="114" t="str">
        <f t="shared" si="8"/>
        <v xml:space="preserve">   </v>
      </c>
    </row>
    <row r="520" spans="1:13" s="48" customFormat="1" ht="0.75" customHeight="1" x14ac:dyDescent="0.2">
      <c r="A520" s="299"/>
      <c r="B520" s="296"/>
      <c r="C520" s="121"/>
      <c r="D520" s="122"/>
      <c r="E520" s="123"/>
      <c r="F520" s="124"/>
      <c r="G520" s="113"/>
      <c r="H520" s="113"/>
      <c r="I520" s="112"/>
      <c r="J520" s="112"/>
      <c r="K520" s="86"/>
      <c r="L520" s="255"/>
      <c r="M520" s="114" t="str">
        <f t="shared" si="8"/>
        <v xml:space="preserve">   </v>
      </c>
    </row>
    <row r="521" spans="1:13" s="48" customFormat="1" ht="48.75" customHeight="1" x14ac:dyDescent="0.2">
      <c r="A521" s="299" t="s">
        <v>85</v>
      </c>
      <c r="B521" s="296" t="s">
        <v>108</v>
      </c>
      <c r="C521" s="112" t="s">
        <v>295</v>
      </c>
      <c r="D521" s="196" t="s">
        <v>377</v>
      </c>
      <c r="E521" s="194" t="s">
        <v>376</v>
      </c>
      <c r="F521" s="194" t="s">
        <v>382</v>
      </c>
      <c r="G521" s="113" t="s">
        <v>373</v>
      </c>
      <c r="H521" s="113" t="s">
        <v>242</v>
      </c>
      <c r="I521" s="194" t="s">
        <v>380</v>
      </c>
      <c r="J521" s="194" t="s">
        <v>381</v>
      </c>
      <c r="K521" s="86"/>
      <c r="L521" s="254" t="str">
        <f>CONCATENATE(C521," ",D521," ",E521," ",F521," ",C522," ",D522," ",E522," ",F522)</f>
        <v xml:space="preserve">CE5 C2 Plantear alternativas de soluciones a situaciones o problemas del proceso productivo o de servicios,  considerando los objetivos del 
 área de desempeño.    </v>
      </c>
      <c r="M521" s="247" t="str">
        <f t="shared" si="8"/>
        <v>CE5 I1 Selecciona las herramientas considerando el problema 
identificado y su eficacia de 
acción.</v>
      </c>
    </row>
    <row r="522" spans="1:13" s="48" customFormat="1" ht="66" customHeight="1" x14ac:dyDescent="0.2">
      <c r="A522" s="299"/>
      <c r="B522" s="296"/>
      <c r="C522" s="120"/>
      <c r="D522" s="116"/>
      <c r="E522" s="117"/>
      <c r="F522" s="118"/>
      <c r="G522" s="113" t="s">
        <v>295</v>
      </c>
      <c r="H522" s="195" t="s">
        <v>300</v>
      </c>
      <c r="I522" s="194" t="s">
        <v>378</v>
      </c>
      <c r="J522" s="194" t="s">
        <v>379</v>
      </c>
      <c r="K522" s="86"/>
      <c r="L522" s="255"/>
      <c r="M522" s="247" t="str">
        <f t="shared" si="8"/>
        <v>CE5 C2 Propone alternativas de solución
 efectiva del problema, teniendo en cuenta hechos, 
referentes de fuentes
 bibliográficas y las
 herramientas de apoyo.</v>
      </c>
    </row>
    <row r="523" spans="1:13" s="48" customFormat="1" hidden="1" x14ac:dyDescent="0.2">
      <c r="A523" s="299"/>
      <c r="B523" s="296"/>
      <c r="C523" s="115"/>
      <c r="D523" s="116"/>
      <c r="E523" s="117"/>
      <c r="F523" s="118"/>
      <c r="G523" s="113"/>
      <c r="H523" s="113"/>
      <c r="I523" s="112"/>
      <c r="J523" s="112"/>
      <c r="K523" s="86"/>
      <c r="L523" s="255"/>
      <c r="M523" s="114" t="str">
        <f t="shared" ref="M523:M586" si="9">CONCATENATE(G523," ",H523," ",I523," ",J523)</f>
        <v xml:space="preserve">   </v>
      </c>
    </row>
    <row r="524" spans="1:13" s="48" customFormat="1" hidden="1" x14ac:dyDescent="0.2">
      <c r="A524" s="299"/>
      <c r="B524" s="296"/>
      <c r="C524" s="115"/>
      <c r="D524" s="116"/>
      <c r="E524" s="117"/>
      <c r="F524" s="118"/>
      <c r="G524" s="113"/>
      <c r="H524" s="113"/>
      <c r="I524" s="112"/>
      <c r="J524" s="112"/>
      <c r="K524" s="86"/>
      <c r="L524" s="255"/>
      <c r="M524" s="114" t="str">
        <f t="shared" si="9"/>
        <v xml:space="preserve">   </v>
      </c>
    </row>
    <row r="525" spans="1:13" s="55" customFormat="1" hidden="1" x14ac:dyDescent="0.2">
      <c r="A525" s="299"/>
      <c r="B525" s="296"/>
      <c r="C525" s="115"/>
      <c r="D525" s="116"/>
      <c r="E525" s="117"/>
      <c r="F525" s="118"/>
      <c r="G525" s="113"/>
      <c r="H525" s="113"/>
      <c r="I525" s="112"/>
      <c r="J525" s="112"/>
      <c r="K525" s="86"/>
      <c r="L525" s="255"/>
      <c r="M525" s="114" t="str">
        <f t="shared" si="9"/>
        <v xml:space="preserve">   </v>
      </c>
    </row>
    <row r="526" spans="1:13" s="55" customFormat="1" hidden="1" x14ac:dyDescent="0.2">
      <c r="A526" s="299"/>
      <c r="B526" s="296"/>
      <c r="C526" s="115"/>
      <c r="D526" s="116"/>
      <c r="E526" s="117"/>
      <c r="F526" s="118"/>
      <c r="G526" s="113"/>
      <c r="H526" s="113"/>
      <c r="I526" s="112"/>
      <c r="J526" s="112"/>
      <c r="K526" s="86"/>
      <c r="L526" s="255"/>
      <c r="M526" s="114" t="str">
        <f t="shared" si="9"/>
        <v xml:space="preserve">   </v>
      </c>
    </row>
    <row r="527" spans="1:13" s="55" customFormat="1" hidden="1" x14ac:dyDescent="0.2">
      <c r="A527" s="299"/>
      <c r="B527" s="296"/>
      <c r="C527" s="115"/>
      <c r="D527" s="116"/>
      <c r="E527" s="117"/>
      <c r="F527" s="118"/>
      <c r="G527" s="113"/>
      <c r="H527" s="113"/>
      <c r="I527" s="112"/>
      <c r="J527" s="112"/>
      <c r="K527" s="86"/>
      <c r="L527" s="255"/>
      <c r="M527" s="114" t="str">
        <f t="shared" si="9"/>
        <v xml:space="preserve">   </v>
      </c>
    </row>
    <row r="528" spans="1:13" s="55" customFormat="1" hidden="1" x14ac:dyDescent="0.2">
      <c r="A528" s="299"/>
      <c r="B528" s="296"/>
      <c r="C528" s="115"/>
      <c r="D528" s="116"/>
      <c r="E528" s="117"/>
      <c r="F528" s="118"/>
      <c r="G528" s="113"/>
      <c r="H528" s="113"/>
      <c r="I528" s="112"/>
      <c r="J528" s="112"/>
      <c r="K528" s="86"/>
      <c r="L528" s="255"/>
      <c r="M528" s="114" t="str">
        <f t="shared" si="9"/>
        <v xml:space="preserve">   </v>
      </c>
    </row>
    <row r="529" spans="1:13" s="48" customFormat="1" hidden="1" x14ac:dyDescent="0.2">
      <c r="A529" s="299"/>
      <c r="B529" s="296"/>
      <c r="C529" s="115"/>
      <c r="D529" s="116"/>
      <c r="E529" s="117"/>
      <c r="F529" s="118"/>
      <c r="G529" s="113"/>
      <c r="H529" s="113"/>
      <c r="I529" s="112"/>
      <c r="J529" s="112"/>
      <c r="K529" s="86"/>
      <c r="L529" s="255"/>
      <c r="M529" s="114" t="str">
        <f t="shared" si="9"/>
        <v xml:space="preserve">   </v>
      </c>
    </row>
    <row r="530" spans="1:13" s="48" customFormat="1" hidden="1" x14ac:dyDescent="0.2">
      <c r="A530" s="299"/>
      <c r="B530" s="296"/>
      <c r="C530" s="121"/>
      <c r="D530" s="122"/>
      <c r="E530" s="123"/>
      <c r="F530" s="124"/>
      <c r="G530" s="113"/>
      <c r="H530" s="113"/>
      <c r="I530" s="112"/>
      <c r="J530" s="112"/>
      <c r="K530" s="86"/>
      <c r="L530" s="256"/>
      <c r="M530" s="114" t="str">
        <f t="shared" si="9"/>
        <v xml:space="preserve">   </v>
      </c>
    </row>
    <row r="531" spans="1:13" s="48" customFormat="1" ht="46.5" hidden="1" customHeight="1" x14ac:dyDescent="0.2">
      <c r="A531" s="299" t="s">
        <v>85</v>
      </c>
      <c r="B531" s="296" t="s">
        <v>108</v>
      </c>
      <c r="C531" s="112"/>
      <c r="D531" s="112"/>
      <c r="E531" s="194"/>
      <c r="F531" s="194"/>
      <c r="G531" s="113"/>
      <c r="H531" s="113"/>
      <c r="I531" s="194"/>
      <c r="J531" s="194"/>
      <c r="K531" s="86"/>
      <c r="L531" s="254" t="str">
        <f>CONCATENATE(C531," ",D531," ",E531," ",F531," ",C532," ",D532," ",E532," ",F532)</f>
        <v xml:space="preserve">       </v>
      </c>
      <c r="M531" s="114" t="str">
        <f t="shared" si="9"/>
        <v xml:space="preserve">   </v>
      </c>
    </row>
    <row r="532" spans="1:13" s="48" customFormat="1" hidden="1" x14ac:dyDescent="0.2">
      <c r="A532" s="299"/>
      <c r="B532" s="296"/>
      <c r="C532" s="120"/>
      <c r="D532" s="116"/>
      <c r="E532" s="117"/>
      <c r="F532" s="118"/>
      <c r="G532" s="113"/>
      <c r="H532" s="113"/>
      <c r="I532" s="194"/>
      <c r="J532" s="194"/>
      <c r="K532" s="86"/>
      <c r="L532" s="255"/>
      <c r="M532" s="114" t="str">
        <f t="shared" si="9"/>
        <v xml:space="preserve">   </v>
      </c>
    </row>
    <row r="533" spans="1:13" s="48" customFormat="1" hidden="1" x14ac:dyDescent="0.2">
      <c r="A533" s="299"/>
      <c r="B533" s="296"/>
      <c r="C533" s="115"/>
      <c r="D533" s="116"/>
      <c r="E533" s="117"/>
      <c r="F533" s="118"/>
      <c r="G533" s="113"/>
      <c r="H533" s="113"/>
      <c r="I533" s="112"/>
      <c r="J533" s="112"/>
      <c r="K533" s="86"/>
      <c r="L533" s="255"/>
      <c r="M533" s="114" t="str">
        <f t="shared" si="9"/>
        <v xml:space="preserve">   </v>
      </c>
    </row>
    <row r="534" spans="1:13" s="48" customFormat="1" hidden="1" x14ac:dyDescent="0.2">
      <c r="A534" s="299"/>
      <c r="B534" s="296"/>
      <c r="C534" s="115"/>
      <c r="D534" s="116"/>
      <c r="E534" s="117"/>
      <c r="F534" s="118"/>
      <c r="G534" s="113"/>
      <c r="H534" s="113"/>
      <c r="I534" s="112"/>
      <c r="J534" s="112"/>
      <c r="K534" s="86"/>
      <c r="L534" s="255"/>
      <c r="M534" s="114" t="str">
        <f t="shared" si="9"/>
        <v xml:space="preserve">   </v>
      </c>
    </row>
    <row r="535" spans="1:13" s="55" customFormat="1" hidden="1" x14ac:dyDescent="0.2">
      <c r="A535" s="299"/>
      <c r="B535" s="296"/>
      <c r="C535" s="115"/>
      <c r="D535" s="116"/>
      <c r="E535" s="117"/>
      <c r="F535" s="118"/>
      <c r="G535" s="113"/>
      <c r="H535" s="113"/>
      <c r="I535" s="112"/>
      <c r="J535" s="112"/>
      <c r="K535" s="86"/>
      <c r="L535" s="255"/>
      <c r="M535" s="114" t="str">
        <f t="shared" si="9"/>
        <v xml:space="preserve">   </v>
      </c>
    </row>
    <row r="536" spans="1:13" s="55" customFormat="1" hidden="1" x14ac:dyDescent="0.2">
      <c r="A536" s="299"/>
      <c r="B536" s="296"/>
      <c r="C536" s="115"/>
      <c r="D536" s="116"/>
      <c r="E536" s="117"/>
      <c r="F536" s="118"/>
      <c r="G536" s="113"/>
      <c r="H536" s="113"/>
      <c r="I536" s="112"/>
      <c r="J536" s="112"/>
      <c r="K536" s="86"/>
      <c r="L536" s="255"/>
      <c r="M536" s="114" t="str">
        <f t="shared" si="9"/>
        <v xml:space="preserve">   </v>
      </c>
    </row>
    <row r="537" spans="1:13" s="55" customFormat="1" hidden="1" x14ac:dyDescent="0.2">
      <c r="A537" s="299"/>
      <c r="B537" s="296"/>
      <c r="C537" s="115"/>
      <c r="D537" s="116"/>
      <c r="E537" s="117"/>
      <c r="F537" s="118"/>
      <c r="G537" s="113"/>
      <c r="H537" s="113"/>
      <c r="I537" s="112"/>
      <c r="J537" s="112"/>
      <c r="K537" s="86"/>
      <c r="L537" s="255"/>
      <c r="M537" s="114" t="str">
        <f t="shared" si="9"/>
        <v xml:space="preserve">   </v>
      </c>
    </row>
    <row r="538" spans="1:13" s="55" customFormat="1" hidden="1" x14ac:dyDescent="0.2">
      <c r="A538" s="299"/>
      <c r="B538" s="296"/>
      <c r="C538" s="115"/>
      <c r="D538" s="116"/>
      <c r="E538" s="117"/>
      <c r="F538" s="118"/>
      <c r="G538" s="113"/>
      <c r="H538" s="113"/>
      <c r="I538" s="112"/>
      <c r="J538" s="112"/>
      <c r="K538" s="86"/>
      <c r="L538" s="255"/>
      <c r="M538" s="114" t="str">
        <f t="shared" si="9"/>
        <v xml:space="preserve">   </v>
      </c>
    </row>
    <row r="539" spans="1:13" s="48" customFormat="1" hidden="1" x14ac:dyDescent="0.2">
      <c r="A539" s="299"/>
      <c r="B539" s="296"/>
      <c r="C539" s="115"/>
      <c r="D539" s="116"/>
      <c r="E539" s="117"/>
      <c r="F539" s="118"/>
      <c r="G539" s="113"/>
      <c r="H539" s="113"/>
      <c r="I539" s="112"/>
      <c r="J539" s="112"/>
      <c r="K539" s="86"/>
      <c r="L539" s="255"/>
      <c r="M539" s="114" t="str">
        <f t="shared" si="9"/>
        <v xml:space="preserve">   </v>
      </c>
    </row>
    <row r="540" spans="1:13" s="48" customFormat="1" hidden="1" x14ac:dyDescent="0.2">
      <c r="A540" s="299"/>
      <c r="B540" s="296"/>
      <c r="C540" s="121"/>
      <c r="D540" s="122"/>
      <c r="E540" s="123"/>
      <c r="F540" s="124"/>
      <c r="G540" s="113"/>
      <c r="H540" s="113"/>
      <c r="I540" s="112"/>
      <c r="J540" s="112"/>
      <c r="K540" s="86"/>
      <c r="L540" s="255"/>
      <c r="M540" s="114" t="str">
        <f t="shared" si="9"/>
        <v xml:space="preserve">   </v>
      </c>
    </row>
    <row r="541" spans="1:13" s="48" customFormat="1" ht="9.75" hidden="1" customHeight="1" x14ac:dyDescent="0.2">
      <c r="A541" s="299" t="s">
        <v>85</v>
      </c>
      <c r="B541" s="296" t="s">
        <v>108</v>
      </c>
      <c r="C541" s="112"/>
      <c r="D541" s="112"/>
      <c r="E541" s="112"/>
      <c r="F541" s="112"/>
      <c r="G541" s="113"/>
      <c r="H541" s="113"/>
      <c r="I541" s="112"/>
      <c r="J541" s="112"/>
      <c r="K541" s="86"/>
      <c r="L541" s="254" t="str">
        <f>CONCATENATE(C541," ",D541," ",E541," ",F541," ",C542," ",D542," ",E542," ",F542)</f>
        <v xml:space="preserve">       </v>
      </c>
      <c r="M541" s="114" t="str">
        <f t="shared" si="9"/>
        <v xml:space="preserve">   </v>
      </c>
    </row>
    <row r="542" spans="1:13" s="48" customFormat="1" hidden="1" x14ac:dyDescent="0.2">
      <c r="A542" s="299"/>
      <c r="B542" s="296"/>
      <c r="C542" s="120"/>
      <c r="D542" s="116"/>
      <c r="E542" s="117"/>
      <c r="F542" s="118"/>
      <c r="G542" s="113"/>
      <c r="H542" s="113"/>
      <c r="I542" s="112"/>
      <c r="J542" s="112"/>
      <c r="K542" s="86"/>
      <c r="L542" s="255"/>
      <c r="M542" s="114" t="str">
        <f t="shared" si="9"/>
        <v xml:space="preserve">   </v>
      </c>
    </row>
    <row r="543" spans="1:13" s="48" customFormat="1" hidden="1" x14ac:dyDescent="0.2">
      <c r="A543" s="299"/>
      <c r="B543" s="296"/>
      <c r="C543" s="115"/>
      <c r="D543" s="116"/>
      <c r="E543" s="117"/>
      <c r="F543" s="118"/>
      <c r="G543" s="113"/>
      <c r="H543" s="113"/>
      <c r="I543" s="112"/>
      <c r="J543" s="112"/>
      <c r="K543" s="86"/>
      <c r="L543" s="255"/>
      <c r="M543" s="114" t="str">
        <f t="shared" si="9"/>
        <v xml:space="preserve">   </v>
      </c>
    </row>
    <row r="544" spans="1:13" s="48" customFormat="1" hidden="1" x14ac:dyDescent="0.2">
      <c r="A544" s="299"/>
      <c r="B544" s="296"/>
      <c r="C544" s="115"/>
      <c r="D544" s="116"/>
      <c r="E544" s="117"/>
      <c r="F544" s="118"/>
      <c r="G544" s="113"/>
      <c r="H544" s="113"/>
      <c r="I544" s="112"/>
      <c r="J544" s="112"/>
      <c r="K544" s="86"/>
      <c r="L544" s="255"/>
      <c r="M544" s="114" t="str">
        <f t="shared" si="9"/>
        <v xml:space="preserve">   </v>
      </c>
    </row>
    <row r="545" spans="1:13" s="55" customFormat="1" hidden="1" x14ac:dyDescent="0.2">
      <c r="A545" s="299"/>
      <c r="B545" s="296"/>
      <c r="C545" s="115"/>
      <c r="D545" s="116"/>
      <c r="E545" s="117"/>
      <c r="F545" s="118"/>
      <c r="G545" s="113"/>
      <c r="H545" s="113"/>
      <c r="I545" s="112"/>
      <c r="J545" s="112"/>
      <c r="K545" s="86"/>
      <c r="L545" s="255"/>
      <c r="M545" s="114" t="str">
        <f t="shared" si="9"/>
        <v xml:space="preserve">   </v>
      </c>
    </row>
    <row r="546" spans="1:13" s="55" customFormat="1" hidden="1" x14ac:dyDescent="0.2">
      <c r="A546" s="299"/>
      <c r="B546" s="296"/>
      <c r="C546" s="115"/>
      <c r="D546" s="116"/>
      <c r="E546" s="117"/>
      <c r="F546" s="118"/>
      <c r="G546" s="113"/>
      <c r="H546" s="113"/>
      <c r="I546" s="112"/>
      <c r="J546" s="112"/>
      <c r="K546" s="86"/>
      <c r="L546" s="255"/>
      <c r="M546" s="114" t="str">
        <f t="shared" si="9"/>
        <v xml:space="preserve">   </v>
      </c>
    </row>
    <row r="547" spans="1:13" s="55" customFormat="1" hidden="1" x14ac:dyDescent="0.2">
      <c r="A547" s="299"/>
      <c r="B547" s="296"/>
      <c r="C547" s="115"/>
      <c r="D547" s="116"/>
      <c r="E547" s="117"/>
      <c r="F547" s="118"/>
      <c r="G547" s="113"/>
      <c r="H547" s="113"/>
      <c r="I547" s="112"/>
      <c r="J547" s="112"/>
      <c r="K547" s="86"/>
      <c r="L547" s="255"/>
      <c r="M547" s="114" t="str">
        <f t="shared" si="9"/>
        <v xml:space="preserve">   </v>
      </c>
    </row>
    <row r="548" spans="1:13" s="55" customFormat="1" hidden="1" x14ac:dyDescent="0.2">
      <c r="A548" s="299"/>
      <c r="B548" s="296"/>
      <c r="C548" s="115"/>
      <c r="D548" s="116"/>
      <c r="E548" s="117"/>
      <c r="F548" s="118"/>
      <c r="G548" s="113"/>
      <c r="H548" s="113"/>
      <c r="I548" s="112"/>
      <c r="J548" s="112"/>
      <c r="K548" s="86"/>
      <c r="L548" s="255"/>
      <c r="M548" s="114" t="str">
        <f t="shared" si="9"/>
        <v xml:space="preserve">   </v>
      </c>
    </row>
    <row r="549" spans="1:13" s="48" customFormat="1" hidden="1" x14ac:dyDescent="0.2">
      <c r="A549" s="299"/>
      <c r="B549" s="296"/>
      <c r="C549" s="115"/>
      <c r="D549" s="116"/>
      <c r="E549" s="117"/>
      <c r="F549" s="118"/>
      <c r="G549" s="113"/>
      <c r="H549" s="113"/>
      <c r="I549" s="112"/>
      <c r="J549" s="112"/>
      <c r="K549" s="86"/>
      <c r="L549" s="255"/>
      <c r="M549" s="114" t="str">
        <f t="shared" si="9"/>
        <v xml:space="preserve">   </v>
      </c>
    </row>
    <row r="550" spans="1:13" s="48" customFormat="1" hidden="1" x14ac:dyDescent="0.2">
      <c r="A550" s="299"/>
      <c r="B550" s="296"/>
      <c r="C550" s="121"/>
      <c r="D550" s="122"/>
      <c r="E550" s="123"/>
      <c r="F550" s="124"/>
      <c r="G550" s="113"/>
      <c r="H550" s="113"/>
      <c r="I550" s="112"/>
      <c r="J550" s="112"/>
      <c r="K550" s="86"/>
      <c r="L550" s="256"/>
      <c r="M550" s="114" t="str">
        <f t="shared" si="9"/>
        <v xml:space="preserve">   </v>
      </c>
    </row>
    <row r="551" spans="1:13" s="48" customFormat="1" ht="15" hidden="1" customHeight="1" x14ac:dyDescent="0.2">
      <c r="A551" s="299" t="s">
        <v>85</v>
      </c>
      <c r="B551" s="296" t="s">
        <v>108</v>
      </c>
      <c r="C551" s="112"/>
      <c r="D551" s="112"/>
      <c r="E551" s="112"/>
      <c r="F551" s="112"/>
      <c r="G551" s="113"/>
      <c r="H551" s="113"/>
      <c r="I551" s="112"/>
      <c r="J551" s="112"/>
      <c r="K551" s="86"/>
      <c r="L551" s="254" t="str">
        <f>CONCATENATE(C551," ",D551," ",E551," ",F551," ",C552," ",D552," ",E552," ",F552)</f>
        <v xml:space="preserve">       </v>
      </c>
      <c r="M551" s="114" t="str">
        <f t="shared" si="9"/>
        <v xml:space="preserve">   </v>
      </c>
    </row>
    <row r="552" spans="1:13" s="48" customFormat="1" hidden="1" x14ac:dyDescent="0.2">
      <c r="A552" s="299"/>
      <c r="B552" s="296"/>
      <c r="C552" s="120"/>
      <c r="D552" s="116"/>
      <c r="E552" s="117"/>
      <c r="F552" s="118"/>
      <c r="G552" s="113"/>
      <c r="H552" s="113"/>
      <c r="I552" s="112"/>
      <c r="J552" s="112"/>
      <c r="K552" s="86"/>
      <c r="L552" s="255"/>
      <c r="M552" s="114" t="str">
        <f t="shared" si="9"/>
        <v xml:space="preserve">   </v>
      </c>
    </row>
    <row r="553" spans="1:13" s="48" customFormat="1" hidden="1" x14ac:dyDescent="0.2">
      <c r="A553" s="299"/>
      <c r="B553" s="296"/>
      <c r="C553" s="115"/>
      <c r="D553" s="116"/>
      <c r="E553" s="117"/>
      <c r="F553" s="118"/>
      <c r="G553" s="113"/>
      <c r="H553" s="113"/>
      <c r="I553" s="112"/>
      <c r="J553" s="112"/>
      <c r="K553" s="86"/>
      <c r="L553" s="255"/>
      <c r="M553" s="114" t="str">
        <f t="shared" si="9"/>
        <v xml:space="preserve">   </v>
      </c>
    </row>
    <row r="554" spans="1:13" s="48" customFormat="1" hidden="1" x14ac:dyDescent="0.2">
      <c r="A554" s="299"/>
      <c r="B554" s="296"/>
      <c r="C554" s="115"/>
      <c r="D554" s="116"/>
      <c r="E554" s="117"/>
      <c r="F554" s="118"/>
      <c r="G554" s="113"/>
      <c r="H554" s="113"/>
      <c r="I554" s="112"/>
      <c r="J554" s="112"/>
      <c r="K554" s="86"/>
      <c r="L554" s="255"/>
      <c r="M554" s="114" t="str">
        <f t="shared" si="9"/>
        <v xml:space="preserve">   </v>
      </c>
    </row>
    <row r="555" spans="1:13" s="55" customFormat="1" hidden="1" x14ac:dyDescent="0.2">
      <c r="A555" s="299"/>
      <c r="B555" s="296"/>
      <c r="C555" s="115"/>
      <c r="D555" s="116"/>
      <c r="E555" s="117"/>
      <c r="F555" s="118"/>
      <c r="G555" s="113"/>
      <c r="H555" s="113"/>
      <c r="I555" s="112"/>
      <c r="J555" s="112"/>
      <c r="K555" s="86"/>
      <c r="L555" s="255"/>
      <c r="M555" s="114" t="str">
        <f t="shared" si="9"/>
        <v xml:space="preserve">   </v>
      </c>
    </row>
    <row r="556" spans="1:13" s="55" customFormat="1" hidden="1" x14ac:dyDescent="0.2">
      <c r="A556" s="299"/>
      <c r="B556" s="296"/>
      <c r="C556" s="115"/>
      <c r="D556" s="116"/>
      <c r="E556" s="117"/>
      <c r="F556" s="118"/>
      <c r="G556" s="113"/>
      <c r="H556" s="113"/>
      <c r="I556" s="112"/>
      <c r="J556" s="112"/>
      <c r="K556" s="86"/>
      <c r="L556" s="255"/>
      <c r="M556" s="114" t="str">
        <f t="shared" si="9"/>
        <v xml:space="preserve">   </v>
      </c>
    </row>
    <row r="557" spans="1:13" s="55" customFormat="1" hidden="1" x14ac:dyDescent="0.2">
      <c r="A557" s="299"/>
      <c r="B557" s="296"/>
      <c r="C557" s="115"/>
      <c r="D557" s="116"/>
      <c r="E557" s="117"/>
      <c r="F557" s="118"/>
      <c r="G557" s="113"/>
      <c r="H557" s="113"/>
      <c r="I557" s="112"/>
      <c r="J557" s="112"/>
      <c r="K557" s="86"/>
      <c r="L557" s="255"/>
      <c r="M557" s="114" t="str">
        <f t="shared" si="9"/>
        <v xml:space="preserve">   </v>
      </c>
    </row>
    <row r="558" spans="1:13" s="55" customFormat="1" hidden="1" x14ac:dyDescent="0.2">
      <c r="A558" s="299"/>
      <c r="B558" s="296"/>
      <c r="C558" s="115"/>
      <c r="D558" s="116"/>
      <c r="E558" s="117"/>
      <c r="F558" s="118"/>
      <c r="G558" s="113"/>
      <c r="H558" s="113"/>
      <c r="I558" s="112"/>
      <c r="J558" s="112"/>
      <c r="K558" s="86"/>
      <c r="L558" s="255"/>
      <c r="M558" s="114" t="str">
        <f t="shared" si="9"/>
        <v xml:space="preserve">   </v>
      </c>
    </row>
    <row r="559" spans="1:13" s="48" customFormat="1" hidden="1" x14ac:dyDescent="0.2">
      <c r="A559" s="299"/>
      <c r="B559" s="296"/>
      <c r="C559" s="115"/>
      <c r="D559" s="116"/>
      <c r="E559" s="117"/>
      <c r="F559" s="118"/>
      <c r="G559" s="113"/>
      <c r="H559" s="113"/>
      <c r="I559" s="112"/>
      <c r="J559" s="112"/>
      <c r="K559" s="86"/>
      <c r="L559" s="255"/>
      <c r="M559" s="114" t="str">
        <f t="shared" si="9"/>
        <v xml:space="preserve">   </v>
      </c>
    </row>
    <row r="560" spans="1:13" s="48" customFormat="1" hidden="1" x14ac:dyDescent="0.2">
      <c r="A560" s="299"/>
      <c r="B560" s="296"/>
      <c r="C560" s="121"/>
      <c r="D560" s="122"/>
      <c r="E560" s="123"/>
      <c r="F560" s="124"/>
      <c r="G560" s="113"/>
      <c r="H560" s="113"/>
      <c r="I560" s="112"/>
      <c r="J560" s="112"/>
      <c r="K560" s="86"/>
      <c r="L560" s="255"/>
      <c r="M560" s="114" t="str">
        <f t="shared" si="9"/>
        <v xml:space="preserve">   </v>
      </c>
    </row>
    <row r="561" spans="1:13" s="48" customFormat="1" ht="15" hidden="1" customHeight="1" x14ac:dyDescent="0.2">
      <c r="A561" s="299" t="s">
        <v>85</v>
      </c>
      <c r="B561" s="296" t="s">
        <v>108</v>
      </c>
      <c r="C561" s="112"/>
      <c r="D561" s="112"/>
      <c r="E561" s="112"/>
      <c r="F561" s="112"/>
      <c r="G561" s="113"/>
      <c r="H561" s="113"/>
      <c r="I561" s="112"/>
      <c r="J561" s="112"/>
      <c r="K561" s="86"/>
      <c r="L561" s="254" t="str">
        <f>CONCATENATE(C561," ",D561," ",E561," ",F561," ",C562," ",D562," ",E562," ",F562)</f>
        <v xml:space="preserve">       </v>
      </c>
      <c r="M561" s="114" t="str">
        <f t="shared" si="9"/>
        <v xml:space="preserve">   </v>
      </c>
    </row>
    <row r="562" spans="1:13" s="48" customFormat="1" hidden="1" x14ac:dyDescent="0.2">
      <c r="A562" s="299"/>
      <c r="B562" s="296"/>
      <c r="C562" s="120"/>
      <c r="D562" s="116"/>
      <c r="E562" s="117"/>
      <c r="F562" s="118"/>
      <c r="G562" s="113"/>
      <c r="H562" s="113"/>
      <c r="I562" s="112"/>
      <c r="J562" s="112"/>
      <c r="K562" s="86"/>
      <c r="L562" s="255"/>
      <c r="M562" s="114" t="str">
        <f t="shared" si="9"/>
        <v xml:space="preserve">   </v>
      </c>
    </row>
    <row r="563" spans="1:13" s="48" customFormat="1" hidden="1" x14ac:dyDescent="0.2">
      <c r="A563" s="299"/>
      <c r="B563" s="296"/>
      <c r="C563" s="115"/>
      <c r="D563" s="116"/>
      <c r="E563" s="117"/>
      <c r="F563" s="118"/>
      <c r="G563" s="113"/>
      <c r="H563" s="113"/>
      <c r="I563" s="112"/>
      <c r="J563" s="112"/>
      <c r="K563" s="86"/>
      <c r="L563" s="255"/>
      <c r="M563" s="114" t="str">
        <f t="shared" si="9"/>
        <v xml:space="preserve">   </v>
      </c>
    </row>
    <row r="564" spans="1:13" s="48" customFormat="1" hidden="1" x14ac:dyDescent="0.2">
      <c r="A564" s="299"/>
      <c r="B564" s="296"/>
      <c r="C564" s="115"/>
      <c r="D564" s="116"/>
      <c r="E564" s="117"/>
      <c r="F564" s="118"/>
      <c r="G564" s="113"/>
      <c r="H564" s="113"/>
      <c r="I564" s="112"/>
      <c r="J564" s="112"/>
      <c r="K564" s="86"/>
      <c r="L564" s="255"/>
      <c r="M564" s="114" t="str">
        <f t="shared" si="9"/>
        <v xml:space="preserve">   </v>
      </c>
    </row>
    <row r="565" spans="1:13" s="55" customFormat="1" hidden="1" x14ac:dyDescent="0.2">
      <c r="A565" s="299"/>
      <c r="B565" s="296"/>
      <c r="C565" s="115"/>
      <c r="D565" s="116"/>
      <c r="E565" s="117"/>
      <c r="F565" s="118"/>
      <c r="G565" s="113"/>
      <c r="H565" s="113"/>
      <c r="I565" s="112"/>
      <c r="J565" s="112"/>
      <c r="K565" s="86"/>
      <c r="L565" s="255"/>
      <c r="M565" s="114" t="str">
        <f t="shared" si="9"/>
        <v xml:space="preserve">   </v>
      </c>
    </row>
    <row r="566" spans="1:13" s="55" customFormat="1" hidden="1" x14ac:dyDescent="0.2">
      <c r="A566" s="299"/>
      <c r="B566" s="296"/>
      <c r="C566" s="115"/>
      <c r="D566" s="116"/>
      <c r="E566" s="117"/>
      <c r="F566" s="118"/>
      <c r="G566" s="113"/>
      <c r="H566" s="113"/>
      <c r="I566" s="112"/>
      <c r="J566" s="112"/>
      <c r="K566" s="86"/>
      <c r="L566" s="255"/>
      <c r="M566" s="114" t="str">
        <f t="shared" si="9"/>
        <v xml:space="preserve">   </v>
      </c>
    </row>
    <row r="567" spans="1:13" s="55" customFormat="1" hidden="1" x14ac:dyDescent="0.2">
      <c r="A567" s="299"/>
      <c r="B567" s="296"/>
      <c r="C567" s="115"/>
      <c r="D567" s="116"/>
      <c r="E567" s="117"/>
      <c r="F567" s="118"/>
      <c r="G567" s="113"/>
      <c r="H567" s="113"/>
      <c r="I567" s="112"/>
      <c r="J567" s="112"/>
      <c r="K567" s="86"/>
      <c r="L567" s="255"/>
      <c r="M567" s="114" t="str">
        <f t="shared" si="9"/>
        <v xml:space="preserve">   </v>
      </c>
    </row>
    <row r="568" spans="1:13" s="55" customFormat="1" hidden="1" x14ac:dyDescent="0.2">
      <c r="A568" s="299"/>
      <c r="B568" s="296"/>
      <c r="C568" s="115"/>
      <c r="D568" s="116"/>
      <c r="E568" s="117"/>
      <c r="F568" s="118"/>
      <c r="G568" s="113"/>
      <c r="H568" s="113"/>
      <c r="I568" s="112"/>
      <c r="J568" s="112"/>
      <c r="K568" s="86"/>
      <c r="L568" s="255"/>
      <c r="M568" s="114" t="str">
        <f t="shared" si="9"/>
        <v xml:space="preserve">   </v>
      </c>
    </row>
    <row r="569" spans="1:13" s="48" customFormat="1" hidden="1" x14ac:dyDescent="0.2">
      <c r="A569" s="299"/>
      <c r="B569" s="296"/>
      <c r="C569" s="115"/>
      <c r="D569" s="116"/>
      <c r="E569" s="117"/>
      <c r="F569" s="118"/>
      <c r="G569" s="113"/>
      <c r="H569" s="113"/>
      <c r="I569" s="112"/>
      <c r="J569" s="112"/>
      <c r="K569" s="86"/>
      <c r="L569" s="255"/>
      <c r="M569" s="114" t="str">
        <f t="shared" si="9"/>
        <v xml:space="preserve">   </v>
      </c>
    </row>
    <row r="570" spans="1:13" s="48" customFormat="1" hidden="1" x14ac:dyDescent="0.2">
      <c r="A570" s="299"/>
      <c r="B570" s="296"/>
      <c r="C570" s="121"/>
      <c r="D570" s="122"/>
      <c r="E570" s="123"/>
      <c r="F570" s="124"/>
      <c r="G570" s="113"/>
      <c r="H570" s="113"/>
      <c r="I570" s="112"/>
      <c r="J570" s="112"/>
      <c r="K570" s="86"/>
      <c r="L570" s="256"/>
      <c r="M570" s="114" t="str">
        <f t="shared" si="9"/>
        <v xml:space="preserve">   </v>
      </c>
    </row>
    <row r="571" spans="1:13" s="48" customFormat="1" ht="15" hidden="1" customHeight="1" x14ac:dyDescent="0.2">
      <c r="A571" s="299" t="s">
        <v>85</v>
      </c>
      <c r="B571" s="296" t="s">
        <v>108</v>
      </c>
      <c r="C571" s="112"/>
      <c r="D571" s="112"/>
      <c r="E571" s="112"/>
      <c r="F571" s="112"/>
      <c r="G571" s="113"/>
      <c r="H571" s="113"/>
      <c r="I571" s="112"/>
      <c r="J571" s="112"/>
      <c r="K571" s="86"/>
      <c r="L571" s="254" t="str">
        <f>CONCATENATE(C571," ",D571," ",E571," ",F571," ",C572," ",D572," ",E572," ",F572)</f>
        <v xml:space="preserve">       </v>
      </c>
      <c r="M571" s="114" t="str">
        <f t="shared" si="9"/>
        <v xml:space="preserve">   </v>
      </c>
    </row>
    <row r="572" spans="1:13" s="48" customFormat="1" hidden="1" x14ac:dyDescent="0.2">
      <c r="A572" s="299"/>
      <c r="B572" s="296"/>
      <c r="C572" s="120"/>
      <c r="D572" s="116"/>
      <c r="E572" s="117"/>
      <c r="F572" s="118"/>
      <c r="G572" s="113"/>
      <c r="H572" s="113"/>
      <c r="I572" s="112"/>
      <c r="J572" s="112"/>
      <c r="K572" s="86"/>
      <c r="L572" s="255"/>
      <c r="M572" s="114" t="str">
        <f t="shared" si="9"/>
        <v xml:space="preserve">   </v>
      </c>
    </row>
    <row r="573" spans="1:13" s="48" customFormat="1" hidden="1" x14ac:dyDescent="0.2">
      <c r="A573" s="299"/>
      <c r="B573" s="296"/>
      <c r="C573" s="115"/>
      <c r="D573" s="116"/>
      <c r="E573" s="117"/>
      <c r="F573" s="118"/>
      <c r="G573" s="113"/>
      <c r="H573" s="113"/>
      <c r="I573" s="112"/>
      <c r="J573" s="112"/>
      <c r="K573" s="86"/>
      <c r="L573" s="255"/>
      <c r="M573" s="114" t="str">
        <f t="shared" si="9"/>
        <v xml:space="preserve">   </v>
      </c>
    </row>
    <row r="574" spans="1:13" s="48" customFormat="1" hidden="1" x14ac:dyDescent="0.2">
      <c r="A574" s="299"/>
      <c r="B574" s="296"/>
      <c r="C574" s="115"/>
      <c r="D574" s="116"/>
      <c r="E574" s="117"/>
      <c r="F574" s="118"/>
      <c r="G574" s="113"/>
      <c r="H574" s="113"/>
      <c r="I574" s="112"/>
      <c r="J574" s="112"/>
      <c r="K574" s="86"/>
      <c r="L574" s="255"/>
      <c r="M574" s="114" t="str">
        <f t="shared" si="9"/>
        <v xml:space="preserve">   </v>
      </c>
    </row>
    <row r="575" spans="1:13" s="55" customFormat="1" hidden="1" x14ac:dyDescent="0.2">
      <c r="A575" s="299"/>
      <c r="B575" s="296"/>
      <c r="C575" s="115"/>
      <c r="D575" s="116"/>
      <c r="E575" s="117"/>
      <c r="F575" s="118"/>
      <c r="G575" s="113"/>
      <c r="H575" s="113"/>
      <c r="I575" s="112"/>
      <c r="J575" s="112"/>
      <c r="K575" s="86"/>
      <c r="L575" s="255"/>
      <c r="M575" s="114" t="str">
        <f t="shared" si="9"/>
        <v xml:space="preserve">   </v>
      </c>
    </row>
    <row r="576" spans="1:13" s="55" customFormat="1" hidden="1" x14ac:dyDescent="0.2">
      <c r="A576" s="299"/>
      <c r="B576" s="296"/>
      <c r="C576" s="115"/>
      <c r="D576" s="116"/>
      <c r="E576" s="117"/>
      <c r="F576" s="118"/>
      <c r="G576" s="113"/>
      <c r="H576" s="113"/>
      <c r="I576" s="112"/>
      <c r="J576" s="112"/>
      <c r="K576" s="86"/>
      <c r="L576" s="255"/>
      <c r="M576" s="114" t="str">
        <f t="shared" si="9"/>
        <v xml:space="preserve">   </v>
      </c>
    </row>
    <row r="577" spans="1:13" s="55" customFormat="1" hidden="1" x14ac:dyDescent="0.2">
      <c r="A577" s="299"/>
      <c r="B577" s="296"/>
      <c r="C577" s="115"/>
      <c r="D577" s="116"/>
      <c r="E577" s="117"/>
      <c r="F577" s="118"/>
      <c r="G577" s="113"/>
      <c r="H577" s="113"/>
      <c r="I577" s="112"/>
      <c r="J577" s="112"/>
      <c r="K577" s="86"/>
      <c r="L577" s="255"/>
      <c r="M577" s="114" t="str">
        <f t="shared" si="9"/>
        <v xml:space="preserve">   </v>
      </c>
    </row>
    <row r="578" spans="1:13" s="55" customFormat="1" ht="12" hidden="1" customHeight="1" x14ac:dyDescent="0.2">
      <c r="A578" s="299"/>
      <c r="B578" s="296"/>
      <c r="C578" s="115"/>
      <c r="D578" s="116"/>
      <c r="E578" s="117"/>
      <c r="F578" s="118"/>
      <c r="G578" s="113"/>
      <c r="H578" s="113"/>
      <c r="I578" s="112"/>
      <c r="J578" s="112"/>
      <c r="K578" s="86"/>
      <c r="L578" s="255"/>
      <c r="M578" s="114" t="str">
        <f t="shared" si="9"/>
        <v xml:space="preserve">   </v>
      </c>
    </row>
    <row r="579" spans="1:13" s="48" customFormat="1" hidden="1" x14ac:dyDescent="0.2">
      <c r="A579" s="299"/>
      <c r="B579" s="296"/>
      <c r="C579" s="115"/>
      <c r="D579" s="116"/>
      <c r="E579" s="117"/>
      <c r="F579" s="118"/>
      <c r="G579" s="113"/>
      <c r="H579" s="113"/>
      <c r="I579" s="112"/>
      <c r="J579" s="112"/>
      <c r="K579" s="86"/>
      <c r="L579" s="255"/>
      <c r="M579" s="114" t="str">
        <f t="shared" si="9"/>
        <v xml:space="preserve">   </v>
      </c>
    </row>
    <row r="580" spans="1:13" s="48" customFormat="1" hidden="1" x14ac:dyDescent="0.2">
      <c r="A580" s="299"/>
      <c r="B580" s="296"/>
      <c r="C580" s="121"/>
      <c r="D580" s="122"/>
      <c r="E580" s="123"/>
      <c r="F580" s="124"/>
      <c r="G580" s="113"/>
      <c r="H580" s="113"/>
      <c r="I580" s="112"/>
      <c r="J580" s="112"/>
      <c r="K580" s="86"/>
      <c r="L580" s="255"/>
      <c r="M580" s="114" t="str">
        <f t="shared" si="9"/>
        <v xml:space="preserve">   </v>
      </c>
    </row>
    <row r="581" spans="1:13" s="48" customFormat="1" ht="15" hidden="1" customHeight="1" x14ac:dyDescent="0.2">
      <c r="A581" s="299" t="s">
        <v>85</v>
      </c>
      <c r="B581" s="296" t="s">
        <v>108</v>
      </c>
      <c r="C581" s="112"/>
      <c r="D581" s="112"/>
      <c r="E581" s="112"/>
      <c r="F581" s="112"/>
      <c r="G581" s="113"/>
      <c r="H581" s="113"/>
      <c r="I581" s="112"/>
      <c r="J581" s="112"/>
      <c r="K581" s="86"/>
      <c r="L581" s="254" t="str">
        <f>CONCATENATE(C581," ",D581," ",E581," ",F581," ",C582," ",D582," ",E582," ",F582)</f>
        <v xml:space="preserve">       </v>
      </c>
      <c r="M581" s="114" t="str">
        <f t="shared" si="9"/>
        <v xml:space="preserve">   </v>
      </c>
    </row>
    <row r="582" spans="1:13" s="48" customFormat="1" hidden="1" x14ac:dyDescent="0.2">
      <c r="A582" s="299"/>
      <c r="B582" s="296"/>
      <c r="C582" s="120"/>
      <c r="D582" s="116"/>
      <c r="E582" s="117"/>
      <c r="F582" s="118"/>
      <c r="G582" s="113"/>
      <c r="H582" s="113"/>
      <c r="I582" s="112"/>
      <c r="J582" s="112"/>
      <c r="K582" s="86"/>
      <c r="L582" s="255"/>
      <c r="M582" s="114" t="str">
        <f t="shared" si="9"/>
        <v xml:space="preserve">   </v>
      </c>
    </row>
    <row r="583" spans="1:13" s="48" customFormat="1" hidden="1" x14ac:dyDescent="0.2">
      <c r="A583" s="299"/>
      <c r="B583" s="296"/>
      <c r="C583" s="115"/>
      <c r="D583" s="116"/>
      <c r="E583" s="117"/>
      <c r="F583" s="118"/>
      <c r="G583" s="113"/>
      <c r="H583" s="113"/>
      <c r="I583" s="112"/>
      <c r="J583" s="112"/>
      <c r="K583" s="86"/>
      <c r="L583" s="255"/>
      <c r="M583" s="114" t="str">
        <f t="shared" si="9"/>
        <v xml:space="preserve">   </v>
      </c>
    </row>
    <row r="584" spans="1:13" s="48" customFormat="1" hidden="1" x14ac:dyDescent="0.2">
      <c r="A584" s="299"/>
      <c r="B584" s="296"/>
      <c r="C584" s="115"/>
      <c r="D584" s="116"/>
      <c r="E584" s="117"/>
      <c r="F584" s="118"/>
      <c r="G584" s="113"/>
      <c r="H584" s="113"/>
      <c r="I584" s="112"/>
      <c r="J584" s="112"/>
      <c r="K584" s="86"/>
      <c r="L584" s="255"/>
      <c r="M584" s="114" t="str">
        <f t="shared" si="9"/>
        <v xml:space="preserve">   </v>
      </c>
    </row>
    <row r="585" spans="1:13" s="55" customFormat="1" hidden="1" x14ac:dyDescent="0.2">
      <c r="A585" s="299"/>
      <c r="B585" s="296"/>
      <c r="C585" s="115"/>
      <c r="D585" s="116"/>
      <c r="E585" s="117"/>
      <c r="F585" s="118"/>
      <c r="G585" s="113"/>
      <c r="H585" s="113"/>
      <c r="I585" s="112"/>
      <c r="J585" s="112"/>
      <c r="K585" s="86"/>
      <c r="L585" s="255"/>
      <c r="M585" s="114" t="str">
        <f t="shared" si="9"/>
        <v xml:space="preserve">   </v>
      </c>
    </row>
    <row r="586" spans="1:13" s="55" customFormat="1" hidden="1" x14ac:dyDescent="0.2">
      <c r="A586" s="299"/>
      <c r="B586" s="296"/>
      <c r="C586" s="115"/>
      <c r="D586" s="116"/>
      <c r="E586" s="117"/>
      <c r="F586" s="118"/>
      <c r="G586" s="113"/>
      <c r="H586" s="113"/>
      <c r="I586" s="112"/>
      <c r="J586" s="112"/>
      <c r="K586" s="86"/>
      <c r="L586" s="255"/>
      <c r="M586" s="114" t="str">
        <f t="shared" si="9"/>
        <v xml:space="preserve">   </v>
      </c>
    </row>
    <row r="587" spans="1:13" s="55" customFormat="1" hidden="1" x14ac:dyDescent="0.2">
      <c r="A587" s="299"/>
      <c r="B587" s="296"/>
      <c r="C587" s="115"/>
      <c r="D587" s="116"/>
      <c r="E587" s="117"/>
      <c r="F587" s="118"/>
      <c r="G587" s="113"/>
      <c r="H587" s="113"/>
      <c r="I587" s="112"/>
      <c r="J587" s="112"/>
      <c r="K587" s="86"/>
      <c r="L587" s="255"/>
      <c r="M587" s="114" t="str">
        <f t="shared" ref="M587:M650" si="10">CONCATENATE(G587," ",H587," ",I587," ",J587)</f>
        <v xml:space="preserve">   </v>
      </c>
    </row>
    <row r="588" spans="1:13" s="55" customFormat="1" hidden="1" x14ac:dyDescent="0.2">
      <c r="A588" s="299"/>
      <c r="B588" s="296"/>
      <c r="C588" s="115"/>
      <c r="D588" s="116"/>
      <c r="E588" s="117"/>
      <c r="F588" s="118"/>
      <c r="G588" s="113"/>
      <c r="H588" s="113"/>
      <c r="I588" s="112"/>
      <c r="J588" s="112"/>
      <c r="K588" s="86"/>
      <c r="L588" s="255"/>
      <c r="M588" s="114" t="str">
        <f t="shared" si="10"/>
        <v xml:space="preserve">   </v>
      </c>
    </row>
    <row r="589" spans="1:13" s="48" customFormat="1" hidden="1" x14ac:dyDescent="0.2">
      <c r="A589" s="299"/>
      <c r="B589" s="296"/>
      <c r="C589" s="115"/>
      <c r="D589" s="116"/>
      <c r="E589" s="117"/>
      <c r="F589" s="118"/>
      <c r="G589" s="113"/>
      <c r="H589" s="113"/>
      <c r="I589" s="112"/>
      <c r="J589" s="112"/>
      <c r="K589" s="86"/>
      <c r="L589" s="255"/>
      <c r="M589" s="114" t="str">
        <f t="shared" si="10"/>
        <v xml:space="preserve">   </v>
      </c>
    </row>
    <row r="590" spans="1:13" s="48" customFormat="1" hidden="1" x14ac:dyDescent="0.2">
      <c r="A590" s="299"/>
      <c r="B590" s="296"/>
      <c r="C590" s="121"/>
      <c r="D590" s="122"/>
      <c r="E590" s="123"/>
      <c r="F590" s="124"/>
      <c r="G590" s="113"/>
      <c r="H590" s="113"/>
      <c r="I590" s="112"/>
      <c r="J590" s="112"/>
      <c r="K590" s="86"/>
      <c r="L590" s="256"/>
      <c r="M590" s="114" t="str">
        <f t="shared" si="10"/>
        <v xml:space="preserve">   </v>
      </c>
    </row>
    <row r="591" spans="1:13" s="48" customFormat="1" ht="15" hidden="1" customHeight="1" x14ac:dyDescent="0.2">
      <c r="A591" s="299" t="s">
        <v>85</v>
      </c>
      <c r="B591" s="296" t="s">
        <v>108</v>
      </c>
      <c r="C591" s="112"/>
      <c r="D591" s="112"/>
      <c r="E591" s="112"/>
      <c r="F591" s="112"/>
      <c r="G591" s="113"/>
      <c r="H591" s="113"/>
      <c r="I591" s="112"/>
      <c r="J591" s="112"/>
      <c r="K591" s="86"/>
      <c r="L591" s="254" t="str">
        <f>CONCATENATE(C591," ",D591," ",E591," ",F591," ",C592," ",D592," ",E592," ",F592)</f>
        <v xml:space="preserve">       </v>
      </c>
      <c r="M591" s="114" t="str">
        <f t="shared" si="10"/>
        <v xml:space="preserve">   </v>
      </c>
    </row>
    <row r="592" spans="1:13" s="48" customFormat="1" hidden="1" x14ac:dyDescent="0.2">
      <c r="A592" s="299"/>
      <c r="B592" s="296"/>
      <c r="C592" s="120"/>
      <c r="D592" s="116"/>
      <c r="E592" s="117"/>
      <c r="F592" s="118"/>
      <c r="G592" s="113"/>
      <c r="H592" s="113"/>
      <c r="I592" s="112"/>
      <c r="J592" s="112"/>
      <c r="K592" s="86"/>
      <c r="L592" s="255"/>
      <c r="M592" s="114" t="str">
        <f t="shared" si="10"/>
        <v xml:space="preserve">   </v>
      </c>
    </row>
    <row r="593" spans="1:13" s="48" customFormat="1" hidden="1" x14ac:dyDescent="0.2">
      <c r="A593" s="299"/>
      <c r="B593" s="296"/>
      <c r="C593" s="115"/>
      <c r="D593" s="116"/>
      <c r="E593" s="117"/>
      <c r="F593" s="118"/>
      <c r="G593" s="113"/>
      <c r="H593" s="113"/>
      <c r="I593" s="112"/>
      <c r="J593" s="112"/>
      <c r="K593" s="86"/>
      <c r="L593" s="255"/>
      <c r="M593" s="114" t="str">
        <f t="shared" si="10"/>
        <v xml:space="preserve">   </v>
      </c>
    </row>
    <row r="594" spans="1:13" s="48" customFormat="1" hidden="1" x14ac:dyDescent="0.2">
      <c r="A594" s="299"/>
      <c r="B594" s="296"/>
      <c r="C594" s="115"/>
      <c r="D594" s="116"/>
      <c r="E594" s="117"/>
      <c r="F594" s="118"/>
      <c r="G594" s="113"/>
      <c r="H594" s="113"/>
      <c r="I594" s="112"/>
      <c r="J594" s="112"/>
      <c r="K594" s="86"/>
      <c r="L594" s="255"/>
      <c r="M594" s="114" t="str">
        <f t="shared" si="10"/>
        <v xml:space="preserve">   </v>
      </c>
    </row>
    <row r="595" spans="1:13" s="55" customFormat="1" hidden="1" x14ac:dyDescent="0.2">
      <c r="A595" s="299"/>
      <c r="B595" s="296"/>
      <c r="C595" s="115"/>
      <c r="D595" s="116"/>
      <c r="E595" s="117"/>
      <c r="F595" s="118"/>
      <c r="G595" s="113"/>
      <c r="H595" s="113"/>
      <c r="I595" s="112"/>
      <c r="J595" s="112"/>
      <c r="K595" s="86"/>
      <c r="L595" s="255"/>
      <c r="M595" s="114" t="str">
        <f t="shared" si="10"/>
        <v xml:space="preserve">   </v>
      </c>
    </row>
    <row r="596" spans="1:13" s="55" customFormat="1" hidden="1" x14ac:dyDescent="0.2">
      <c r="A596" s="299"/>
      <c r="B596" s="296"/>
      <c r="C596" s="115"/>
      <c r="D596" s="116"/>
      <c r="E596" s="117"/>
      <c r="F596" s="118"/>
      <c r="G596" s="113"/>
      <c r="H596" s="113"/>
      <c r="I596" s="112"/>
      <c r="J596" s="112"/>
      <c r="K596" s="86"/>
      <c r="L596" s="255"/>
      <c r="M596" s="114" t="str">
        <f t="shared" si="10"/>
        <v xml:space="preserve">   </v>
      </c>
    </row>
    <row r="597" spans="1:13" s="55" customFormat="1" hidden="1" x14ac:dyDescent="0.2">
      <c r="A597" s="299"/>
      <c r="B597" s="296"/>
      <c r="C597" s="115"/>
      <c r="D597" s="116"/>
      <c r="E597" s="117"/>
      <c r="F597" s="118"/>
      <c r="G597" s="113"/>
      <c r="H597" s="113"/>
      <c r="I597" s="112"/>
      <c r="J597" s="112"/>
      <c r="K597" s="86"/>
      <c r="L597" s="255"/>
      <c r="M597" s="114" t="str">
        <f t="shared" si="10"/>
        <v xml:space="preserve">   </v>
      </c>
    </row>
    <row r="598" spans="1:13" s="55" customFormat="1" hidden="1" x14ac:dyDescent="0.2">
      <c r="A598" s="299"/>
      <c r="B598" s="296"/>
      <c r="C598" s="115"/>
      <c r="D598" s="116"/>
      <c r="E598" s="117"/>
      <c r="F598" s="118"/>
      <c r="G598" s="113"/>
      <c r="H598" s="113"/>
      <c r="I598" s="112"/>
      <c r="J598" s="112"/>
      <c r="K598" s="86"/>
      <c r="L598" s="255"/>
      <c r="M598" s="114" t="str">
        <f t="shared" si="10"/>
        <v xml:space="preserve">   </v>
      </c>
    </row>
    <row r="599" spans="1:13" s="48" customFormat="1" hidden="1" x14ac:dyDescent="0.2">
      <c r="A599" s="299"/>
      <c r="B599" s="296"/>
      <c r="C599" s="115"/>
      <c r="D599" s="116"/>
      <c r="E599" s="117"/>
      <c r="F599" s="118"/>
      <c r="G599" s="113"/>
      <c r="H599" s="113"/>
      <c r="I599" s="112"/>
      <c r="J599" s="112"/>
      <c r="K599" s="86"/>
      <c r="L599" s="255"/>
      <c r="M599" s="114" t="str">
        <f t="shared" si="10"/>
        <v xml:space="preserve">   </v>
      </c>
    </row>
    <row r="600" spans="1:13" s="48" customFormat="1" hidden="1" x14ac:dyDescent="0.2">
      <c r="A600" s="299"/>
      <c r="B600" s="296"/>
      <c r="C600" s="121"/>
      <c r="D600" s="122"/>
      <c r="E600" s="123"/>
      <c r="F600" s="124"/>
      <c r="G600" s="113"/>
      <c r="H600" s="113"/>
      <c r="I600" s="112"/>
      <c r="J600" s="112"/>
      <c r="K600" s="86"/>
      <c r="L600" s="255"/>
      <c r="M600" s="114" t="str">
        <f t="shared" si="10"/>
        <v xml:space="preserve">   </v>
      </c>
    </row>
    <row r="601" spans="1:13" s="48" customFormat="1" ht="15" hidden="1" customHeight="1" x14ac:dyDescent="0.2">
      <c r="A601" s="299" t="s">
        <v>85</v>
      </c>
      <c r="B601" s="296" t="s">
        <v>108</v>
      </c>
      <c r="C601" s="112"/>
      <c r="D601" s="112"/>
      <c r="E601" s="112"/>
      <c r="F601" s="112"/>
      <c r="G601" s="113"/>
      <c r="H601" s="113"/>
      <c r="I601" s="112"/>
      <c r="J601" s="112"/>
      <c r="K601" s="86"/>
      <c r="L601" s="254" t="str">
        <f>CONCATENATE(C601," ",D601," ",E601," ",F601," ",C602," ",D602," ",E602," ",F602)</f>
        <v xml:space="preserve">       </v>
      </c>
      <c r="M601" s="114" t="str">
        <f t="shared" si="10"/>
        <v xml:space="preserve">   </v>
      </c>
    </row>
    <row r="602" spans="1:13" s="48" customFormat="1" hidden="1" x14ac:dyDescent="0.2">
      <c r="A602" s="299"/>
      <c r="B602" s="296"/>
      <c r="C602" s="120"/>
      <c r="D602" s="116"/>
      <c r="E602" s="117"/>
      <c r="F602" s="118"/>
      <c r="G602" s="113"/>
      <c r="H602" s="113"/>
      <c r="I602" s="112"/>
      <c r="J602" s="112"/>
      <c r="K602" s="86"/>
      <c r="L602" s="255"/>
      <c r="M602" s="114" t="str">
        <f t="shared" si="10"/>
        <v xml:space="preserve">   </v>
      </c>
    </row>
    <row r="603" spans="1:13" s="48" customFormat="1" hidden="1" x14ac:dyDescent="0.2">
      <c r="A603" s="299"/>
      <c r="B603" s="296"/>
      <c r="C603" s="115"/>
      <c r="D603" s="116"/>
      <c r="E603" s="117"/>
      <c r="F603" s="118"/>
      <c r="G603" s="113"/>
      <c r="H603" s="113"/>
      <c r="I603" s="112"/>
      <c r="J603" s="112"/>
      <c r="K603" s="86"/>
      <c r="L603" s="255"/>
      <c r="M603" s="114" t="str">
        <f t="shared" si="10"/>
        <v xml:space="preserve">   </v>
      </c>
    </row>
    <row r="604" spans="1:13" s="48" customFormat="1" hidden="1" x14ac:dyDescent="0.2">
      <c r="A604" s="299"/>
      <c r="B604" s="296"/>
      <c r="C604" s="115"/>
      <c r="D604" s="116"/>
      <c r="E604" s="117"/>
      <c r="F604" s="118"/>
      <c r="G604" s="113"/>
      <c r="H604" s="113"/>
      <c r="I604" s="112"/>
      <c r="J604" s="112"/>
      <c r="K604" s="86"/>
      <c r="L604" s="255"/>
      <c r="M604" s="114" t="str">
        <f t="shared" si="10"/>
        <v xml:space="preserve">   </v>
      </c>
    </row>
    <row r="605" spans="1:13" s="55" customFormat="1" hidden="1" x14ac:dyDescent="0.2">
      <c r="A605" s="299"/>
      <c r="B605" s="296"/>
      <c r="C605" s="115"/>
      <c r="D605" s="116"/>
      <c r="E605" s="117"/>
      <c r="F605" s="118"/>
      <c r="G605" s="113"/>
      <c r="H605" s="113"/>
      <c r="I605" s="112"/>
      <c r="J605" s="112"/>
      <c r="K605" s="86"/>
      <c r="L605" s="255"/>
      <c r="M605" s="114" t="str">
        <f t="shared" si="10"/>
        <v xml:space="preserve">   </v>
      </c>
    </row>
    <row r="606" spans="1:13" s="55" customFormat="1" hidden="1" x14ac:dyDescent="0.2">
      <c r="A606" s="299"/>
      <c r="B606" s="296"/>
      <c r="C606" s="115"/>
      <c r="D606" s="116"/>
      <c r="E606" s="117"/>
      <c r="F606" s="118"/>
      <c r="G606" s="113"/>
      <c r="H606" s="113"/>
      <c r="I606" s="112"/>
      <c r="J606" s="112"/>
      <c r="K606" s="86"/>
      <c r="L606" s="255"/>
      <c r="M606" s="114" t="str">
        <f t="shared" si="10"/>
        <v xml:space="preserve">   </v>
      </c>
    </row>
    <row r="607" spans="1:13" s="55" customFormat="1" hidden="1" x14ac:dyDescent="0.2">
      <c r="A607" s="299"/>
      <c r="B607" s="296"/>
      <c r="C607" s="115"/>
      <c r="D607" s="116"/>
      <c r="E607" s="117"/>
      <c r="F607" s="118"/>
      <c r="G607" s="113"/>
      <c r="H607" s="113"/>
      <c r="I607" s="112"/>
      <c r="J607" s="112"/>
      <c r="K607" s="86"/>
      <c r="L607" s="255"/>
      <c r="M607" s="114" t="str">
        <f t="shared" si="10"/>
        <v xml:space="preserve">   </v>
      </c>
    </row>
    <row r="608" spans="1:13" s="55" customFormat="1" hidden="1" x14ac:dyDescent="0.2">
      <c r="A608" s="299"/>
      <c r="B608" s="296"/>
      <c r="C608" s="115"/>
      <c r="D608" s="116"/>
      <c r="E608" s="117"/>
      <c r="F608" s="118"/>
      <c r="G608" s="113"/>
      <c r="H608" s="113"/>
      <c r="I608" s="112"/>
      <c r="J608" s="112"/>
      <c r="K608" s="86"/>
      <c r="L608" s="255"/>
      <c r="M608" s="114" t="str">
        <f t="shared" si="10"/>
        <v xml:space="preserve">   </v>
      </c>
    </row>
    <row r="609" spans="1:13" s="48" customFormat="1" hidden="1" x14ac:dyDescent="0.2">
      <c r="A609" s="299"/>
      <c r="B609" s="296"/>
      <c r="C609" s="115"/>
      <c r="D609" s="116"/>
      <c r="E609" s="117"/>
      <c r="F609" s="118"/>
      <c r="G609" s="113"/>
      <c r="H609" s="113"/>
      <c r="I609" s="112"/>
      <c r="J609" s="112"/>
      <c r="K609" s="86"/>
      <c r="L609" s="255"/>
      <c r="M609" s="114" t="str">
        <f t="shared" si="10"/>
        <v xml:space="preserve">   </v>
      </c>
    </row>
    <row r="610" spans="1:13" s="48" customFormat="1" hidden="1" x14ac:dyDescent="0.2">
      <c r="A610" s="299"/>
      <c r="B610" s="296"/>
      <c r="C610" s="121"/>
      <c r="D610" s="122"/>
      <c r="E610" s="123"/>
      <c r="F610" s="124"/>
      <c r="G610" s="113"/>
      <c r="H610" s="113"/>
      <c r="I610" s="112"/>
      <c r="J610" s="112"/>
      <c r="K610" s="86"/>
      <c r="L610" s="256"/>
      <c r="M610" s="114" t="str">
        <f t="shared" si="10"/>
        <v xml:space="preserve">   </v>
      </c>
    </row>
    <row r="611" spans="1:13" hidden="1" x14ac:dyDescent="0.2">
      <c r="A611" s="56"/>
      <c r="B611" s="56"/>
      <c r="C611" s="125"/>
      <c r="D611" s="56"/>
      <c r="E611" s="56"/>
      <c r="F611" s="56"/>
      <c r="G611" s="125"/>
      <c r="H611" s="56"/>
      <c r="I611" s="56"/>
      <c r="J611" s="56"/>
      <c r="K611" s="56"/>
      <c r="L611" s="257"/>
      <c r="M611" s="114" t="str">
        <f t="shared" si="10"/>
        <v xml:space="preserve">   </v>
      </c>
    </row>
    <row r="612" spans="1:13" s="55" customFormat="1" ht="54" customHeight="1" x14ac:dyDescent="0.2">
      <c r="A612" s="298" t="s">
        <v>86</v>
      </c>
      <c r="B612" s="297" t="s">
        <v>107</v>
      </c>
      <c r="C612" s="112" t="s">
        <v>234</v>
      </c>
      <c r="D612" s="112" t="s">
        <v>228</v>
      </c>
      <c r="E612" s="194" t="s">
        <v>467</v>
      </c>
      <c r="F612" s="194" t="s">
        <v>468</v>
      </c>
      <c r="G612" s="113" t="s">
        <v>208</v>
      </c>
      <c r="H612" s="113" t="s">
        <v>403</v>
      </c>
      <c r="I612" s="194" t="s">
        <v>469</v>
      </c>
      <c r="J612" s="194" t="s">
        <v>474</v>
      </c>
      <c r="K612" s="86"/>
      <c r="L612" s="253" t="str">
        <f>CONCATENATE(C612," ",D612," ",E612," ",F612," ",C613," ",D613," ",E613," ",F613)</f>
        <v xml:space="preserve">UC3 C1 Desarrollar  las pruebas unitarias  de acuerdo a la funcionalidad del software y aplicando buenas prácticas de TI     </v>
      </c>
      <c r="M612" s="247" t="str">
        <f t="shared" si="10"/>
        <v xml:space="preserve">C1 I1 Identifica  los componentes del sistema de información a acuerdo ala arquitectura del sistema </v>
      </c>
    </row>
    <row r="613" spans="1:13" s="55" customFormat="1" ht="54" customHeight="1" x14ac:dyDescent="0.2">
      <c r="A613" s="298"/>
      <c r="B613" s="297"/>
      <c r="C613" s="115"/>
      <c r="D613" s="227"/>
      <c r="E613" s="228"/>
      <c r="F613" s="229"/>
      <c r="G613" s="113" t="s">
        <v>210</v>
      </c>
      <c r="H613" s="113" t="s">
        <v>470</v>
      </c>
      <c r="I613" s="194" t="s">
        <v>471</v>
      </c>
      <c r="J613" s="194" t="s">
        <v>472</v>
      </c>
      <c r="K613" s="86"/>
      <c r="L613" s="255"/>
      <c r="M613" s="247" t="str">
        <f t="shared" si="10"/>
        <v xml:space="preserve">C1 I2 Establece  entorno de pruebas  teniendo en cuenta los criterios de satisfaccion de funcionamento del sistema de información </v>
      </c>
    </row>
    <row r="614" spans="1:13" s="55" customFormat="1" ht="60" customHeight="1" x14ac:dyDescent="0.2">
      <c r="A614" s="298"/>
      <c r="B614" s="297"/>
      <c r="C614" s="115"/>
      <c r="D614" s="227"/>
      <c r="E614" s="228"/>
      <c r="F614" s="229"/>
      <c r="G614" s="113" t="s">
        <v>212</v>
      </c>
      <c r="H614" s="113" t="s">
        <v>398</v>
      </c>
      <c r="I614" s="194" t="s">
        <v>473</v>
      </c>
      <c r="J614" s="194" t="s">
        <v>472</v>
      </c>
      <c r="K614" s="86"/>
      <c r="L614" s="255"/>
      <c r="M614" s="247" t="str">
        <f t="shared" si="10"/>
        <v xml:space="preserve">C1 I3 Elabora  el plan de pruebas  teniendo en cuenta los criterios de satisfaccion de funcionamento del sistema de información </v>
      </c>
    </row>
    <row r="615" spans="1:13" s="55" customFormat="1" ht="60" customHeight="1" x14ac:dyDescent="0.2">
      <c r="A615" s="298"/>
      <c r="B615" s="297"/>
      <c r="C615" s="115"/>
      <c r="D615" s="227"/>
      <c r="E615" s="228"/>
      <c r="F615" s="229"/>
      <c r="G615" s="113" t="s">
        <v>494</v>
      </c>
      <c r="H615" s="195" t="s">
        <v>332</v>
      </c>
      <c r="I615" s="194" t="s">
        <v>473</v>
      </c>
      <c r="J615" s="194" t="s">
        <v>472</v>
      </c>
      <c r="K615" s="86"/>
      <c r="L615" s="255"/>
      <c r="M615" s="247" t="str">
        <f t="shared" si="10"/>
        <v xml:space="preserve">C1 I4 Ejecuta  el plan de pruebas  teniendo en cuenta los criterios de satisfaccion de funcionamento del sistema de información </v>
      </c>
    </row>
    <row r="616" spans="1:13" s="55" customFormat="1" hidden="1" x14ac:dyDescent="0.2">
      <c r="A616" s="298"/>
      <c r="B616" s="297"/>
      <c r="C616" s="115"/>
      <c r="D616" s="227"/>
      <c r="E616" s="228"/>
      <c r="F616" s="229"/>
      <c r="G616" s="113"/>
      <c r="H616" s="195"/>
      <c r="I616" s="194"/>
      <c r="J616" s="194"/>
      <c r="K616" s="86"/>
      <c r="L616" s="255"/>
      <c r="M616" s="114" t="str">
        <f t="shared" si="10"/>
        <v xml:space="preserve">   </v>
      </c>
    </row>
    <row r="617" spans="1:13" s="55" customFormat="1" ht="45.75" hidden="1" customHeight="1" x14ac:dyDescent="0.2">
      <c r="A617" s="298"/>
      <c r="B617" s="297"/>
      <c r="C617" s="115"/>
      <c r="D617" s="116"/>
      <c r="E617" s="117"/>
      <c r="F617" s="118"/>
      <c r="G617" s="113"/>
      <c r="H617" s="113"/>
      <c r="I617" s="112"/>
      <c r="J617" s="194"/>
      <c r="K617" s="86"/>
      <c r="L617" s="255"/>
      <c r="M617" s="114" t="str">
        <f t="shared" si="10"/>
        <v xml:space="preserve">   </v>
      </c>
    </row>
    <row r="618" spans="1:13" s="55" customFormat="1" hidden="1" x14ac:dyDescent="0.2">
      <c r="A618" s="298"/>
      <c r="B618" s="297"/>
      <c r="C618" s="115"/>
      <c r="D618" s="116"/>
      <c r="E618" s="117"/>
      <c r="F618" s="118"/>
      <c r="G618" s="113"/>
      <c r="H618" s="113"/>
      <c r="I618" s="112"/>
      <c r="J618" s="194"/>
      <c r="K618" s="86"/>
      <c r="L618" s="255"/>
      <c r="M618" s="114" t="str">
        <f t="shared" si="10"/>
        <v xml:space="preserve">   </v>
      </c>
    </row>
    <row r="619" spans="1:13" s="55" customFormat="1" hidden="1" x14ac:dyDescent="0.2">
      <c r="A619" s="298"/>
      <c r="B619" s="297"/>
      <c r="C619" s="115"/>
      <c r="D619" s="116"/>
      <c r="E619" s="117"/>
      <c r="F619" s="118"/>
      <c r="G619" s="113"/>
      <c r="H619" s="113"/>
      <c r="I619" s="112"/>
      <c r="J619" s="112"/>
      <c r="K619" s="86"/>
      <c r="L619" s="255"/>
      <c r="M619" s="114" t="str">
        <f t="shared" si="10"/>
        <v xml:space="preserve">   </v>
      </c>
    </row>
    <row r="620" spans="1:13" s="55" customFormat="1" hidden="1" x14ac:dyDescent="0.2">
      <c r="A620" s="298"/>
      <c r="B620" s="297"/>
      <c r="C620" s="115"/>
      <c r="D620" s="116"/>
      <c r="E620" s="117"/>
      <c r="F620" s="118"/>
      <c r="G620" s="113"/>
      <c r="H620" s="113"/>
      <c r="I620" s="112"/>
      <c r="J620" s="112"/>
      <c r="K620" s="86"/>
      <c r="L620" s="255"/>
      <c r="M620" s="114" t="str">
        <f t="shared" si="10"/>
        <v xml:space="preserve">   </v>
      </c>
    </row>
    <row r="621" spans="1:13" s="55" customFormat="1" hidden="1" x14ac:dyDescent="0.2">
      <c r="A621" s="298"/>
      <c r="B621" s="297"/>
      <c r="C621" s="115"/>
      <c r="D621" s="116"/>
      <c r="E621" s="117"/>
      <c r="F621" s="118"/>
      <c r="G621" s="113"/>
      <c r="H621" s="113"/>
      <c r="I621" s="112"/>
      <c r="J621" s="112"/>
      <c r="K621" s="86"/>
      <c r="L621" s="255"/>
      <c r="M621" s="114" t="str">
        <f t="shared" si="10"/>
        <v xml:space="preserve">   </v>
      </c>
    </row>
    <row r="622" spans="1:13" s="55" customFormat="1" ht="84" customHeight="1" x14ac:dyDescent="0.2">
      <c r="A622" s="298" t="s">
        <v>86</v>
      </c>
      <c r="B622" s="297" t="s">
        <v>107</v>
      </c>
      <c r="C622" s="112" t="s">
        <v>235</v>
      </c>
      <c r="D622" s="112" t="s">
        <v>214</v>
      </c>
      <c r="E622" s="194" t="s">
        <v>396</v>
      </c>
      <c r="F622" s="194" t="s">
        <v>466</v>
      </c>
      <c r="G622" s="113" t="s">
        <v>215</v>
      </c>
      <c r="H622" s="113" t="s">
        <v>475</v>
      </c>
      <c r="I622" s="194" t="s">
        <v>394</v>
      </c>
      <c r="J622" s="194" t="s">
        <v>476</v>
      </c>
      <c r="K622" s="86"/>
      <c r="L622" s="253" t="str">
        <f>CONCATENATE(C622," ",D622," ",E622," ",F622," ",C623," ",D623," ",E623," ",F623)</f>
        <v xml:space="preserve">UC3 C2 Implementar sistemas de información o servicios TI, de acuerdo a los requerimientos y aplicando buenas prácticas de TI.    </v>
      </c>
      <c r="M622" s="247" t="str">
        <f t="shared" si="10"/>
        <v xml:space="preserve">C2 I1 Instala  el sistema de información o servicios de TI, de acuerdo con la arquitectura del sistema o servicio de TI, recomendaciones del fabricante y plan de implementación. </v>
      </c>
    </row>
    <row r="623" spans="1:13" s="55" customFormat="1" ht="96" customHeight="1" x14ac:dyDescent="0.2">
      <c r="A623" s="298"/>
      <c r="B623" s="297"/>
      <c r="C623" s="115"/>
      <c r="D623" s="227"/>
      <c r="E623" s="228"/>
      <c r="F623" s="229"/>
      <c r="G623" s="113" t="s">
        <v>218</v>
      </c>
      <c r="H623" s="113" t="s">
        <v>477</v>
      </c>
      <c r="I623" s="194" t="s">
        <v>478</v>
      </c>
      <c r="J623" s="194" t="s">
        <v>476</v>
      </c>
      <c r="K623" s="86"/>
      <c r="L623" s="255"/>
      <c r="M623" s="247" t="str">
        <f t="shared" si="10"/>
        <v xml:space="preserve">C2 I2 Verifica el funcionamiento del sistema de información o servicios de TI de acuerdo con la arquitectura del sistema o servicio de TI, recomendaciones del fabricante y plan de implementación. </v>
      </c>
    </row>
    <row r="624" spans="1:13" s="55" customFormat="1" ht="57.75" customHeight="1" x14ac:dyDescent="0.2">
      <c r="A624" s="298"/>
      <c r="B624" s="297"/>
      <c r="C624" s="115"/>
      <c r="D624" s="116"/>
      <c r="E624" s="117"/>
      <c r="F624" s="118"/>
      <c r="G624" s="113" t="s">
        <v>219</v>
      </c>
      <c r="H624" s="195" t="s">
        <v>209</v>
      </c>
      <c r="I624" s="194" t="s">
        <v>479</v>
      </c>
      <c r="J624" s="194" t="s">
        <v>480</v>
      </c>
      <c r="K624" s="86"/>
      <c r="L624" s="255"/>
      <c r="M624" s="247" t="str">
        <f t="shared" si="10"/>
        <v xml:space="preserve">C2 I3 Elabora un informe de la implementación del sistema de información o servicios de TI considerando las políticas de la organización </v>
      </c>
    </row>
    <row r="625" spans="1:13" s="55" customFormat="1" hidden="1" x14ac:dyDescent="0.2">
      <c r="A625" s="298"/>
      <c r="B625" s="297"/>
      <c r="C625" s="115"/>
      <c r="D625" s="116"/>
      <c r="E625" s="117"/>
      <c r="F625" s="118"/>
      <c r="G625" s="113"/>
      <c r="H625" s="113"/>
      <c r="I625" s="194"/>
      <c r="J625" s="194"/>
      <c r="K625" s="86"/>
      <c r="L625" s="255"/>
      <c r="M625" s="114" t="str">
        <f t="shared" si="10"/>
        <v xml:space="preserve">   </v>
      </c>
    </row>
    <row r="626" spans="1:13" s="55" customFormat="1" hidden="1" x14ac:dyDescent="0.2">
      <c r="A626" s="298"/>
      <c r="B626" s="297"/>
      <c r="C626" s="115"/>
      <c r="D626" s="116"/>
      <c r="E626" s="117"/>
      <c r="F626" s="118"/>
      <c r="G626" s="113"/>
      <c r="H626" s="195"/>
      <c r="I626" s="194"/>
      <c r="J626" s="194"/>
      <c r="K626" s="86"/>
      <c r="L626" s="255"/>
      <c r="M626" s="114" t="str">
        <f t="shared" si="10"/>
        <v xml:space="preserve">   </v>
      </c>
    </row>
    <row r="627" spans="1:13" s="55" customFormat="1" hidden="1" x14ac:dyDescent="0.2">
      <c r="A627" s="298"/>
      <c r="B627" s="297"/>
      <c r="C627" s="115"/>
      <c r="D627" s="116"/>
      <c r="E627" s="117"/>
      <c r="F627" s="118"/>
      <c r="G627" s="113"/>
      <c r="H627" s="113"/>
      <c r="I627" s="112"/>
      <c r="J627" s="112"/>
      <c r="K627" s="86"/>
      <c r="L627" s="255"/>
      <c r="M627" s="114" t="str">
        <f t="shared" si="10"/>
        <v xml:space="preserve">   </v>
      </c>
    </row>
    <row r="628" spans="1:13" s="55" customFormat="1" hidden="1" x14ac:dyDescent="0.2">
      <c r="A628" s="298"/>
      <c r="B628" s="297"/>
      <c r="C628" s="115"/>
      <c r="D628" s="116"/>
      <c r="E628" s="117"/>
      <c r="F628" s="118"/>
      <c r="G628" s="113"/>
      <c r="H628" s="113"/>
      <c r="I628" s="112"/>
      <c r="J628" s="112"/>
      <c r="K628" s="86"/>
      <c r="L628" s="255"/>
      <c r="M628" s="114" t="str">
        <f t="shared" si="10"/>
        <v xml:space="preserve">   </v>
      </c>
    </row>
    <row r="629" spans="1:13" s="55" customFormat="1" hidden="1" x14ac:dyDescent="0.2">
      <c r="A629" s="298"/>
      <c r="B629" s="297"/>
      <c r="C629" s="115"/>
      <c r="D629" s="116"/>
      <c r="E629" s="117"/>
      <c r="F629" s="118"/>
      <c r="G629" s="113"/>
      <c r="H629" s="113"/>
      <c r="I629" s="112"/>
      <c r="J629" s="112"/>
      <c r="K629" s="86"/>
      <c r="L629" s="255"/>
      <c r="M629" s="114" t="str">
        <f t="shared" si="10"/>
        <v xml:space="preserve">   </v>
      </c>
    </row>
    <row r="630" spans="1:13" s="55" customFormat="1" hidden="1" x14ac:dyDescent="0.2">
      <c r="A630" s="298"/>
      <c r="B630" s="297"/>
      <c r="C630" s="115"/>
      <c r="D630" s="116"/>
      <c r="E630" s="117"/>
      <c r="F630" s="118"/>
      <c r="G630" s="113"/>
      <c r="H630" s="113"/>
      <c r="I630" s="112"/>
      <c r="J630" s="112"/>
      <c r="K630" s="86"/>
      <c r="L630" s="255"/>
      <c r="M630" s="114" t="str">
        <f t="shared" si="10"/>
        <v xml:space="preserve">   </v>
      </c>
    </row>
    <row r="631" spans="1:13" s="55" customFormat="1" hidden="1" x14ac:dyDescent="0.2">
      <c r="A631" s="298"/>
      <c r="B631" s="297"/>
      <c r="C631" s="115"/>
      <c r="D631" s="116"/>
      <c r="E631" s="117"/>
      <c r="F631" s="118"/>
      <c r="G631" s="113"/>
      <c r="H631" s="113"/>
      <c r="I631" s="112"/>
      <c r="J631" s="112"/>
      <c r="K631" s="86"/>
      <c r="L631" s="255"/>
      <c r="M631" s="114" t="str">
        <f t="shared" si="10"/>
        <v xml:space="preserve">   </v>
      </c>
    </row>
    <row r="632" spans="1:13" s="55" customFormat="1" ht="66.75" customHeight="1" x14ac:dyDescent="0.2">
      <c r="A632" s="298" t="s">
        <v>86</v>
      </c>
      <c r="B632" s="297" t="s">
        <v>107</v>
      </c>
      <c r="C632" s="196" t="s">
        <v>237</v>
      </c>
      <c r="D632" s="112" t="s">
        <v>214</v>
      </c>
      <c r="E632" s="194" t="s">
        <v>488</v>
      </c>
      <c r="F632" s="194" t="s">
        <v>481</v>
      </c>
      <c r="G632" s="113" t="s">
        <v>221</v>
      </c>
      <c r="H632" s="113" t="s">
        <v>485</v>
      </c>
      <c r="I632" s="194" t="s">
        <v>486</v>
      </c>
      <c r="J632" s="194" t="s">
        <v>484</v>
      </c>
      <c r="K632" s="86"/>
      <c r="L632" s="253" t="str">
        <f>CONCATENATE(C632," ",D632," ",E632," ",F632," ",C633," ",D633," ",E633," ",F633)</f>
        <v xml:space="preserve">UC3 C3 Implementar acciones correctivas ante un mal funcionamiento del sistema de información o servicios de TI,  de acuerdo con el diseño funcional del sistema o servicio de TI y buenas prácticas de TI.    </v>
      </c>
      <c r="M632" s="247" t="str">
        <f>CONCATENATE(G632," ",H632," ",I632," ",J632)</f>
        <v>C3 I1 Idenfica  la falla del sistema de información o servicios  de TI  considerando el diseño funcional del sistema de infomación o servicios de TI y aplicando buenas practicas de TI</v>
      </c>
    </row>
    <row r="633" spans="1:13" s="55" customFormat="1" ht="73.5" customHeight="1" x14ac:dyDescent="0.2">
      <c r="A633" s="298"/>
      <c r="B633" s="297"/>
      <c r="C633" s="230"/>
      <c r="D633" s="227"/>
      <c r="E633" s="228"/>
      <c r="F633" s="229"/>
      <c r="G633" s="113" t="s">
        <v>222</v>
      </c>
      <c r="H633" s="113" t="s">
        <v>482</v>
      </c>
      <c r="I633" s="112" t="s">
        <v>483</v>
      </c>
      <c r="J633" s="194" t="s">
        <v>484</v>
      </c>
      <c r="K633" s="86"/>
      <c r="L633" s="255"/>
      <c r="M633" s="247" t="str">
        <f t="shared" si="10"/>
        <v>C3 I2 Propone  alternativas de solución ante un mal funcionamiento del sistema de información o servicios de TI considerando el diseño funcional del sistema de infomación o servicios de TI y aplicando buenas practicas de TI</v>
      </c>
    </row>
    <row r="634" spans="1:13" s="55" customFormat="1" ht="79.5" customHeight="1" x14ac:dyDescent="0.2">
      <c r="A634" s="298"/>
      <c r="B634" s="297"/>
      <c r="C634" s="230"/>
      <c r="D634" s="116"/>
      <c r="E634" s="117"/>
      <c r="F634" s="118"/>
      <c r="G634" s="113" t="s">
        <v>224</v>
      </c>
      <c r="H634" s="113" t="s">
        <v>220</v>
      </c>
      <c r="I634" s="112" t="s">
        <v>487</v>
      </c>
      <c r="J634" s="194" t="s">
        <v>484</v>
      </c>
      <c r="K634" s="86"/>
      <c r="L634" s="255"/>
      <c r="M634" s="247" t="str">
        <f t="shared" si="10"/>
        <v>C3 I3 Ejecuta las acciones correctivas en el sistema de información de información o servicios de TI considerando el diseño funcional del sistema de infomación o servicios de TI y aplicando buenas practicas de TI</v>
      </c>
    </row>
    <row r="635" spans="1:13" s="55" customFormat="1" hidden="1" x14ac:dyDescent="0.2">
      <c r="A635" s="298"/>
      <c r="B635" s="297"/>
      <c r="C635" s="115"/>
      <c r="D635" s="116"/>
      <c r="E635" s="117"/>
      <c r="F635" s="118"/>
      <c r="G635" s="113"/>
      <c r="H635" s="216"/>
      <c r="I635" s="215"/>
      <c r="J635" s="215"/>
      <c r="K635" s="86"/>
      <c r="L635" s="255"/>
      <c r="M635" s="114" t="str">
        <f t="shared" si="10"/>
        <v xml:space="preserve">   </v>
      </c>
    </row>
    <row r="636" spans="1:13" s="55" customFormat="1" hidden="1" x14ac:dyDescent="0.2">
      <c r="A636" s="298"/>
      <c r="B636" s="297"/>
      <c r="C636" s="115"/>
      <c r="D636" s="116"/>
      <c r="E636" s="117"/>
      <c r="F636" s="118"/>
      <c r="G636" s="113"/>
      <c r="H636" s="216"/>
      <c r="I636" s="215"/>
      <c r="J636" s="215"/>
      <c r="K636" s="86"/>
      <c r="L636" s="255"/>
      <c r="M636" s="114" t="str">
        <f t="shared" si="10"/>
        <v xml:space="preserve">   </v>
      </c>
    </row>
    <row r="637" spans="1:13" s="55" customFormat="1" hidden="1" x14ac:dyDescent="0.2">
      <c r="A637" s="298"/>
      <c r="B637" s="297"/>
      <c r="C637" s="115"/>
      <c r="D637" s="116"/>
      <c r="E637" s="117"/>
      <c r="F637" s="118"/>
      <c r="G637" s="113"/>
      <c r="H637" s="214"/>
      <c r="I637" s="215"/>
      <c r="J637" s="215"/>
      <c r="K637" s="86"/>
      <c r="L637" s="255"/>
      <c r="M637" s="114" t="str">
        <f t="shared" si="10"/>
        <v xml:space="preserve">   </v>
      </c>
    </row>
    <row r="638" spans="1:13" s="55" customFormat="1" hidden="1" x14ac:dyDescent="0.2">
      <c r="A638" s="298"/>
      <c r="B638" s="297"/>
      <c r="C638" s="115"/>
      <c r="D638" s="116"/>
      <c r="E638" s="117"/>
      <c r="F638" s="118"/>
      <c r="G638" s="113"/>
      <c r="H638" s="113"/>
      <c r="I638" s="112"/>
      <c r="J638" s="112"/>
      <c r="K638" s="86"/>
      <c r="L638" s="255"/>
      <c r="M638" s="114" t="str">
        <f t="shared" si="10"/>
        <v xml:space="preserve">   </v>
      </c>
    </row>
    <row r="639" spans="1:13" s="55" customFormat="1" hidden="1" x14ac:dyDescent="0.2">
      <c r="A639" s="298"/>
      <c r="B639" s="297"/>
      <c r="C639" s="115"/>
      <c r="D639" s="116"/>
      <c r="E639" s="117"/>
      <c r="F639" s="118"/>
      <c r="G639" s="113"/>
      <c r="H639" s="113"/>
      <c r="I639" s="112"/>
      <c r="J639" s="112"/>
      <c r="K639" s="86"/>
      <c r="L639" s="255"/>
      <c r="M639" s="114" t="str">
        <f t="shared" si="10"/>
        <v xml:space="preserve">   </v>
      </c>
    </row>
    <row r="640" spans="1:13" s="55" customFormat="1" hidden="1" x14ac:dyDescent="0.2">
      <c r="A640" s="298"/>
      <c r="B640" s="297"/>
      <c r="C640" s="115"/>
      <c r="D640" s="116"/>
      <c r="E640" s="117"/>
      <c r="F640" s="118"/>
      <c r="G640" s="113"/>
      <c r="H640" s="113"/>
      <c r="I640" s="112"/>
      <c r="J640" s="112"/>
      <c r="K640" s="86"/>
      <c r="L640" s="255"/>
      <c r="M640" s="114" t="str">
        <f t="shared" si="10"/>
        <v xml:space="preserve">   </v>
      </c>
    </row>
    <row r="641" spans="1:13" s="55" customFormat="1" hidden="1" x14ac:dyDescent="0.2">
      <c r="A641" s="298"/>
      <c r="B641" s="297"/>
      <c r="C641" s="115"/>
      <c r="D641" s="116"/>
      <c r="E641" s="117"/>
      <c r="F641" s="118"/>
      <c r="G641" s="113"/>
      <c r="H641" s="113"/>
      <c r="I641" s="112"/>
      <c r="J641" s="112"/>
      <c r="K641" s="86"/>
      <c r="L641" s="255"/>
      <c r="M641" s="114" t="str">
        <f t="shared" si="10"/>
        <v xml:space="preserve">   </v>
      </c>
    </row>
    <row r="642" spans="1:13" s="55" customFormat="1" ht="12.75" hidden="1" customHeight="1" x14ac:dyDescent="0.2">
      <c r="A642" s="298" t="s">
        <v>86</v>
      </c>
      <c r="B642" s="297" t="s">
        <v>107</v>
      </c>
      <c r="C642" s="112"/>
      <c r="D642" s="112"/>
      <c r="E642" s="112"/>
      <c r="F642" s="112"/>
      <c r="G642" s="113"/>
      <c r="H642" s="113"/>
      <c r="I642" s="112"/>
      <c r="J642" s="112"/>
      <c r="K642" s="86"/>
      <c r="L642" s="253" t="str">
        <f>CONCATENATE(C642," ",D642," ",E642," ",F642," ",C643," ",D643," ",E643," ",F643)</f>
        <v xml:space="preserve">       </v>
      </c>
      <c r="M642" s="114" t="str">
        <f t="shared" si="10"/>
        <v xml:space="preserve">   </v>
      </c>
    </row>
    <row r="643" spans="1:13" s="55" customFormat="1" hidden="1" x14ac:dyDescent="0.2">
      <c r="A643" s="298"/>
      <c r="B643" s="297"/>
      <c r="C643" s="115"/>
      <c r="D643" s="116"/>
      <c r="E643" s="117"/>
      <c r="F643" s="118"/>
      <c r="G643" s="113"/>
      <c r="H643" s="113"/>
      <c r="I643" s="112"/>
      <c r="J643" s="112"/>
      <c r="K643" s="86"/>
      <c r="L643" s="255"/>
      <c r="M643" s="114" t="str">
        <f t="shared" si="10"/>
        <v xml:space="preserve">   </v>
      </c>
    </row>
    <row r="644" spans="1:13" s="55" customFormat="1" hidden="1" x14ac:dyDescent="0.2">
      <c r="A644" s="298"/>
      <c r="B644" s="297"/>
      <c r="C644" s="115"/>
      <c r="D644" s="116"/>
      <c r="E644" s="117"/>
      <c r="F644" s="118"/>
      <c r="G644" s="113"/>
      <c r="H644" s="113"/>
      <c r="I644" s="112"/>
      <c r="J644" s="112"/>
      <c r="K644" s="86"/>
      <c r="L644" s="255"/>
      <c r="M644" s="114" t="str">
        <f t="shared" si="10"/>
        <v xml:space="preserve">   </v>
      </c>
    </row>
    <row r="645" spans="1:13" s="55" customFormat="1" hidden="1" x14ac:dyDescent="0.2">
      <c r="A645" s="298"/>
      <c r="B645" s="297"/>
      <c r="C645" s="115"/>
      <c r="D645" s="116"/>
      <c r="E645" s="117"/>
      <c r="F645" s="118"/>
      <c r="G645" s="113"/>
      <c r="H645" s="113"/>
      <c r="I645" s="112"/>
      <c r="J645" s="112"/>
      <c r="K645" s="86"/>
      <c r="L645" s="255"/>
      <c r="M645" s="114" t="str">
        <f t="shared" si="10"/>
        <v xml:space="preserve">   </v>
      </c>
    </row>
    <row r="646" spans="1:13" s="55" customFormat="1" hidden="1" x14ac:dyDescent="0.2">
      <c r="A646" s="298"/>
      <c r="B646" s="297"/>
      <c r="C646" s="115"/>
      <c r="D646" s="116"/>
      <c r="E646" s="117"/>
      <c r="F646" s="118"/>
      <c r="G646" s="113"/>
      <c r="H646" s="113"/>
      <c r="I646" s="112"/>
      <c r="J646" s="112"/>
      <c r="K646" s="86"/>
      <c r="L646" s="255"/>
      <c r="M646" s="114" t="str">
        <f t="shared" si="10"/>
        <v xml:space="preserve">   </v>
      </c>
    </row>
    <row r="647" spans="1:13" s="55" customFormat="1" hidden="1" x14ac:dyDescent="0.2">
      <c r="A647" s="298"/>
      <c r="B647" s="297"/>
      <c r="C647" s="115"/>
      <c r="D647" s="116"/>
      <c r="E647" s="117"/>
      <c r="F647" s="118"/>
      <c r="G647" s="113"/>
      <c r="H647" s="113"/>
      <c r="I647" s="112"/>
      <c r="J647" s="112"/>
      <c r="K647" s="86"/>
      <c r="L647" s="255"/>
      <c r="M647" s="114" t="str">
        <f t="shared" si="10"/>
        <v xml:space="preserve">   </v>
      </c>
    </row>
    <row r="648" spans="1:13" s="55" customFormat="1" hidden="1" x14ac:dyDescent="0.2">
      <c r="A648" s="298"/>
      <c r="B648" s="297"/>
      <c r="C648" s="115"/>
      <c r="D648" s="116"/>
      <c r="E648" s="117"/>
      <c r="F648" s="118"/>
      <c r="G648" s="113"/>
      <c r="H648" s="113"/>
      <c r="I648" s="112"/>
      <c r="J648" s="112"/>
      <c r="K648" s="86"/>
      <c r="L648" s="255"/>
      <c r="M648" s="114" t="str">
        <f t="shared" si="10"/>
        <v xml:space="preserve">   </v>
      </c>
    </row>
    <row r="649" spans="1:13" s="55" customFormat="1" hidden="1" x14ac:dyDescent="0.2">
      <c r="A649" s="298"/>
      <c r="B649" s="297"/>
      <c r="C649" s="115"/>
      <c r="D649" s="116"/>
      <c r="E649" s="117"/>
      <c r="F649" s="118"/>
      <c r="G649" s="113"/>
      <c r="H649" s="113"/>
      <c r="I649" s="112"/>
      <c r="J649" s="112"/>
      <c r="K649" s="86"/>
      <c r="L649" s="255"/>
      <c r="M649" s="114" t="str">
        <f t="shared" si="10"/>
        <v xml:space="preserve">   </v>
      </c>
    </row>
    <row r="650" spans="1:13" s="55" customFormat="1" hidden="1" x14ac:dyDescent="0.2">
      <c r="A650" s="298"/>
      <c r="B650" s="297"/>
      <c r="C650" s="115"/>
      <c r="D650" s="116"/>
      <c r="E650" s="117"/>
      <c r="F650" s="118"/>
      <c r="G650" s="113"/>
      <c r="H650" s="113"/>
      <c r="I650" s="112"/>
      <c r="J650" s="112"/>
      <c r="K650" s="86"/>
      <c r="L650" s="255"/>
      <c r="M650" s="114" t="str">
        <f t="shared" si="10"/>
        <v xml:space="preserve">   </v>
      </c>
    </row>
    <row r="651" spans="1:13" s="55" customFormat="1" hidden="1" x14ac:dyDescent="0.2">
      <c r="A651" s="298"/>
      <c r="B651" s="297"/>
      <c r="C651" s="115"/>
      <c r="D651" s="116"/>
      <c r="E651" s="117"/>
      <c r="F651" s="118"/>
      <c r="G651" s="113"/>
      <c r="H651" s="113"/>
      <c r="I651" s="112"/>
      <c r="J651" s="112"/>
      <c r="K651" s="86"/>
      <c r="L651" s="255"/>
      <c r="M651" s="114" t="str">
        <f t="shared" ref="M651:M714" si="11">CONCATENATE(G651," ",H651," ",I651," ",J651)</f>
        <v xml:space="preserve">   </v>
      </c>
    </row>
    <row r="652" spans="1:13" s="55" customFormat="1" ht="12.75" hidden="1" customHeight="1" x14ac:dyDescent="0.2">
      <c r="A652" s="298" t="s">
        <v>86</v>
      </c>
      <c r="B652" s="297" t="s">
        <v>107</v>
      </c>
      <c r="C652" s="112"/>
      <c r="D652" s="112"/>
      <c r="E652" s="112"/>
      <c r="F652" s="112"/>
      <c r="G652" s="113"/>
      <c r="H652" s="113"/>
      <c r="I652" s="112"/>
      <c r="J652" s="112"/>
      <c r="K652" s="86"/>
      <c r="L652" s="253" t="str">
        <f>CONCATENATE(C652," ",D652," ",E652," ",F652," ",C653," ",D653," ",E653," ",F653)</f>
        <v xml:space="preserve">       </v>
      </c>
      <c r="M652" s="114" t="str">
        <f t="shared" si="11"/>
        <v xml:space="preserve">   </v>
      </c>
    </row>
    <row r="653" spans="1:13" s="55" customFormat="1" hidden="1" x14ac:dyDescent="0.2">
      <c r="A653" s="298"/>
      <c r="B653" s="297"/>
      <c r="C653" s="115"/>
      <c r="D653" s="116"/>
      <c r="E653" s="117"/>
      <c r="F653" s="118"/>
      <c r="G653" s="113"/>
      <c r="H653" s="113"/>
      <c r="I653" s="112"/>
      <c r="J653" s="112"/>
      <c r="K653" s="86"/>
      <c r="L653" s="255"/>
      <c r="M653" s="114" t="str">
        <f t="shared" si="11"/>
        <v xml:space="preserve">   </v>
      </c>
    </row>
    <row r="654" spans="1:13" s="55" customFormat="1" hidden="1" x14ac:dyDescent="0.2">
      <c r="A654" s="298"/>
      <c r="B654" s="297"/>
      <c r="C654" s="115"/>
      <c r="D654" s="116"/>
      <c r="E654" s="117"/>
      <c r="F654" s="118"/>
      <c r="G654" s="113"/>
      <c r="H654" s="113"/>
      <c r="I654" s="112"/>
      <c r="J654" s="112"/>
      <c r="K654" s="86"/>
      <c r="L654" s="255"/>
      <c r="M654" s="114" t="str">
        <f t="shared" si="11"/>
        <v xml:space="preserve">   </v>
      </c>
    </row>
    <row r="655" spans="1:13" s="55" customFormat="1" hidden="1" x14ac:dyDescent="0.2">
      <c r="A655" s="298"/>
      <c r="B655" s="297"/>
      <c r="C655" s="115"/>
      <c r="D655" s="116"/>
      <c r="E655" s="117"/>
      <c r="F655" s="118"/>
      <c r="G655" s="113"/>
      <c r="H655" s="113"/>
      <c r="I655" s="112"/>
      <c r="J655" s="112"/>
      <c r="K655" s="86"/>
      <c r="L655" s="255"/>
      <c r="M655" s="114" t="str">
        <f t="shared" si="11"/>
        <v xml:space="preserve">   </v>
      </c>
    </row>
    <row r="656" spans="1:13" s="55" customFormat="1" hidden="1" x14ac:dyDescent="0.2">
      <c r="A656" s="298"/>
      <c r="B656" s="297"/>
      <c r="C656" s="115"/>
      <c r="D656" s="116"/>
      <c r="E656" s="117"/>
      <c r="F656" s="118"/>
      <c r="G656" s="113"/>
      <c r="H656" s="113"/>
      <c r="I656" s="112"/>
      <c r="J656" s="112"/>
      <c r="K656" s="86"/>
      <c r="L656" s="255"/>
      <c r="M656" s="114" t="str">
        <f t="shared" si="11"/>
        <v xml:space="preserve">   </v>
      </c>
    </row>
    <row r="657" spans="1:13" s="55" customFormat="1" hidden="1" x14ac:dyDescent="0.2">
      <c r="A657" s="298"/>
      <c r="B657" s="297"/>
      <c r="C657" s="115"/>
      <c r="D657" s="116"/>
      <c r="E657" s="117"/>
      <c r="F657" s="118"/>
      <c r="G657" s="113"/>
      <c r="H657" s="113"/>
      <c r="I657" s="112"/>
      <c r="J657" s="112"/>
      <c r="K657" s="86"/>
      <c r="L657" s="255"/>
      <c r="M657" s="114" t="str">
        <f t="shared" si="11"/>
        <v xml:space="preserve">   </v>
      </c>
    </row>
    <row r="658" spans="1:13" s="55" customFormat="1" hidden="1" x14ac:dyDescent="0.2">
      <c r="A658" s="298"/>
      <c r="B658" s="297"/>
      <c r="C658" s="115"/>
      <c r="D658" s="116"/>
      <c r="E658" s="117"/>
      <c r="F658" s="118"/>
      <c r="G658" s="113"/>
      <c r="H658" s="113"/>
      <c r="I658" s="112"/>
      <c r="J658" s="112"/>
      <c r="K658" s="86"/>
      <c r="L658" s="255"/>
      <c r="M658" s="114" t="str">
        <f t="shared" si="11"/>
        <v xml:space="preserve">   </v>
      </c>
    </row>
    <row r="659" spans="1:13" s="55" customFormat="1" hidden="1" x14ac:dyDescent="0.2">
      <c r="A659" s="298"/>
      <c r="B659" s="297"/>
      <c r="C659" s="115"/>
      <c r="D659" s="116"/>
      <c r="E659" s="117"/>
      <c r="F659" s="118"/>
      <c r="G659" s="113"/>
      <c r="H659" s="113"/>
      <c r="I659" s="112"/>
      <c r="J659" s="112"/>
      <c r="K659" s="86"/>
      <c r="L659" s="255"/>
      <c r="M659" s="114" t="str">
        <f t="shared" si="11"/>
        <v xml:space="preserve">   </v>
      </c>
    </row>
    <row r="660" spans="1:13" s="55" customFormat="1" hidden="1" x14ac:dyDescent="0.2">
      <c r="A660" s="298"/>
      <c r="B660" s="297"/>
      <c r="C660" s="115"/>
      <c r="D660" s="116"/>
      <c r="E660" s="117"/>
      <c r="F660" s="118"/>
      <c r="G660" s="113"/>
      <c r="H660" s="113"/>
      <c r="I660" s="112"/>
      <c r="J660" s="112"/>
      <c r="K660" s="86"/>
      <c r="L660" s="255"/>
      <c r="M660" s="114" t="str">
        <f t="shared" si="11"/>
        <v xml:space="preserve">   </v>
      </c>
    </row>
    <row r="661" spans="1:13" s="55" customFormat="1" hidden="1" x14ac:dyDescent="0.2">
      <c r="A661" s="298"/>
      <c r="B661" s="297"/>
      <c r="C661" s="115"/>
      <c r="D661" s="116"/>
      <c r="E661" s="117"/>
      <c r="F661" s="118"/>
      <c r="G661" s="113"/>
      <c r="H661" s="113"/>
      <c r="I661" s="112"/>
      <c r="J661" s="112"/>
      <c r="K661" s="86"/>
      <c r="L661" s="255"/>
      <c r="M661" s="114" t="str">
        <f t="shared" si="11"/>
        <v xml:space="preserve">   </v>
      </c>
    </row>
    <row r="662" spans="1:13" s="55" customFormat="1" ht="12.75" hidden="1" customHeight="1" x14ac:dyDescent="0.2">
      <c r="A662" s="298" t="s">
        <v>86</v>
      </c>
      <c r="B662" s="297" t="s">
        <v>107</v>
      </c>
      <c r="C662" s="112"/>
      <c r="D662" s="112"/>
      <c r="E662" s="112"/>
      <c r="F662" s="112"/>
      <c r="G662" s="113"/>
      <c r="H662" s="113"/>
      <c r="I662" s="112"/>
      <c r="J662" s="112"/>
      <c r="K662" s="86"/>
      <c r="L662" s="253" t="str">
        <f>CONCATENATE(C662," ",D662," ",E662," ",F662," ",C663," ",D663," ",E663," ",F663)</f>
        <v xml:space="preserve">       </v>
      </c>
      <c r="M662" s="114" t="str">
        <f t="shared" si="11"/>
        <v xml:space="preserve">   </v>
      </c>
    </row>
    <row r="663" spans="1:13" s="55" customFormat="1" hidden="1" x14ac:dyDescent="0.2">
      <c r="A663" s="298"/>
      <c r="B663" s="297"/>
      <c r="C663" s="115"/>
      <c r="D663" s="116"/>
      <c r="E663" s="117"/>
      <c r="F663" s="118"/>
      <c r="G663" s="113"/>
      <c r="H663" s="113"/>
      <c r="I663" s="112"/>
      <c r="J663" s="112"/>
      <c r="K663" s="86"/>
      <c r="L663" s="255"/>
      <c r="M663" s="114" t="str">
        <f t="shared" si="11"/>
        <v xml:space="preserve">   </v>
      </c>
    </row>
    <row r="664" spans="1:13" s="55" customFormat="1" hidden="1" x14ac:dyDescent="0.2">
      <c r="A664" s="298"/>
      <c r="B664" s="297"/>
      <c r="C664" s="115"/>
      <c r="D664" s="116"/>
      <c r="E664" s="117"/>
      <c r="F664" s="118"/>
      <c r="G664" s="113"/>
      <c r="H664" s="113"/>
      <c r="I664" s="112"/>
      <c r="J664" s="112"/>
      <c r="K664" s="86"/>
      <c r="L664" s="255"/>
      <c r="M664" s="114" t="str">
        <f t="shared" si="11"/>
        <v xml:space="preserve">   </v>
      </c>
    </row>
    <row r="665" spans="1:13" s="55" customFormat="1" hidden="1" x14ac:dyDescent="0.2">
      <c r="A665" s="298"/>
      <c r="B665" s="297"/>
      <c r="C665" s="115"/>
      <c r="D665" s="116"/>
      <c r="E665" s="117"/>
      <c r="F665" s="118"/>
      <c r="G665" s="113"/>
      <c r="H665" s="113"/>
      <c r="I665" s="112"/>
      <c r="J665" s="112"/>
      <c r="K665" s="86"/>
      <c r="L665" s="255"/>
      <c r="M665" s="114" t="str">
        <f t="shared" si="11"/>
        <v xml:space="preserve">   </v>
      </c>
    </row>
    <row r="666" spans="1:13" s="55" customFormat="1" hidden="1" x14ac:dyDescent="0.2">
      <c r="A666" s="298"/>
      <c r="B666" s="297"/>
      <c r="C666" s="115"/>
      <c r="D666" s="116"/>
      <c r="E666" s="117"/>
      <c r="F666" s="118"/>
      <c r="G666" s="113"/>
      <c r="H666" s="113"/>
      <c r="I666" s="112"/>
      <c r="J666" s="112"/>
      <c r="K666" s="86"/>
      <c r="L666" s="255"/>
      <c r="M666" s="114" t="str">
        <f t="shared" si="11"/>
        <v xml:space="preserve">   </v>
      </c>
    </row>
    <row r="667" spans="1:13" s="55" customFormat="1" hidden="1" x14ac:dyDescent="0.2">
      <c r="A667" s="298"/>
      <c r="B667" s="297"/>
      <c r="C667" s="115"/>
      <c r="D667" s="116"/>
      <c r="E667" s="117"/>
      <c r="F667" s="118"/>
      <c r="G667" s="113"/>
      <c r="H667" s="113"/>
      <c r="I667" s="112"/>
      <c r="J667" s="112"/>
      <c r="K667" s="86"/>
      <c r="L667" s="255"/>
      <c r="M667" s="114" t="str">
        <f t="shared" si="11"/>
        <v xml:space="preserve">   </v>
      </c>
    </row>
    <row r="668" spans="1:13" s="55" customFormat="1" ht="9" hidden="1" customHeight="1" x14ac:dyDescent="0.2">
      <c r="A668" s="298"/>
      <c r="B668" s="297"/>
      <c r="C668" s="115"/>
      <c r="D668" s="116"/>
      <c r="E668" s="117"/>
      <c r="F668" s="118"/>
      <c r="G668" s="113"/>
      <c r="H668" s="113"/>
      <c r="I668" s="112"/>
      <c r="J668" s="112"/>
      <c r="K668" s="86"/>
      <c r="L668" s="255"/>
      <c r="M668" s="114" t="str">
        <f t="shared" si="11"/>
        <v xml:space="preserve">   </v>
      </c>
    </row>
    <row r="669" spans="1:13" s="55" customFormat="1" hidden="1" x14ac:dyDescent="0.2">
      <c r="A669" s="298"/>
      <c r="B669" s="297"/>
      <c r="C669" s="115"/>
      <c r="D669" s="116"/>
      <c r="E669" s="117"/>
      <c r="F669" s="118"/>
      <c r="G669" s="113"/>
      <c r="H669" s="113"/>
      <c r="I669" s="112"/>
      <c r="J669" s="112"/>
      <c r="K669" s="86"/>
      <c r="L669" s="255"/>
      <c r="M669" s="114" t="str">
        <f t="shared" si="11"/>
        <v xml:space="preserve">   </v>
      </c>
    </row>
    <row r="670" spans="1:13" s="55" customFormat="1" hidden="1" x14ac:dyDescent="0.2">
      <c r="A670" s="298"/>
      <c r="B670" s="297"/>
      <c r="C670" s="115"/>
      <c r="D670" s="116"/>
      <c r="E670" s="117"/>
      <c r="F670" s="118"/>
      <c r="G670" s="113"/>
      <c r="H670" s="113"/>
      <c r="I670" s="112"/>
      <c r="J670" s="112"/>
      <c r="K670" s="86"/>
      <c r="L670" s="255"/>
      <c r="M670" s="114" t="str">
        <f t="shared" si="11"/>
        <v xml:space="preserve">   </v>
      </c>
    </row>
    <row r="671" spans="1:13" s="55" customFormat="1" hidden="1" x14ac:dyDescent="0.2">
      <c r="A671" s="298"/>
      <c r="B671" s="297"/>
      <c r="C671" s="115"/>
      <c r="D671" s="116"/>
      <c r="E671" s="117"/>
      <c r="F671" s="118"/>
      <c r="G671" s="113"/>
      <c r="H671" s="113"/>
      <c r="I671" s="112"/>
      <c r="J671" s="112"/>
      <c r="K671" s="86"/>
      <c r="L671" s="255"/>
      <c r="M671" s="114" t="str">
        <f t="shared" si="11"/>
        <v xml:space="preserve">   </v>
      </c>
    </row>
    <row r="672" spans="1:13" s="55" customFormat="1" ht="12.75" hidden="1" customHeight="1" x14ac:dyDescent="0.2">
      <c r="A672" s="298" t="s">
        <v>86</v>
      </c>
      <c r="B672" s="297" t="s">
        <v>107</v>
      </c>
      <c r="C672" s="112"/>
      <c r="D672" s="112"/>
      <c r="E672" s="112"/>
      <c r="F672" s="112"/>
      <c r="G672" s="113"/>
      <c r="H672" s="113"/>
      <c r="I672" s="112"/>
      <c r="J672" s="112"/>
      <c r="K672" s="86"/>
      <c r="L672" s="253" t="str">
        <f>CONCATENATE(C672," ",D672," ",E672," ",F672," ",C673," ",D673," ",E673," ",F673)</f>
        <v xml:space="preserve">       </v>
      </c>
      <c r="M672" s="114" t="str">
        <f t="shared" si="11"/>
        <v xml:space="preserve">   </v>
      </c>
    </row>
    <row r="673" spans="1:13" s="55" customFormat="1" hidden="1" x14ac:dyDescent="0.2">
      <c r="A673" s="298"/>
      <c r="B673" s="297"/>
      <c r="C673" s="115"/>
      <c r="D673" s="116"/>
      <c r="E673" s="117"/>
      <c r="F673" s="118"/>
      <c r="G673" s="113"/>
      <c r="H673" s="113"/>
      <c r="I673" s="112"/>
      <c r="J673" s="112"/>
      <c r="K673" s="86"/>
      <c r="L673" s="255"/>
      <c r="M673" s="114" t="str">
        <f t="shared" si="11"/>
        <v xml:space="preserve">   </v>
      </c>
    </row>
    <row r="674" spans="1:13" s="55" customFormat="1" hidden="1" x14ac:dyDescent="0.2">
      <c r="A674" s="298"/>
      <c r="B674" s="297"/>
      <c r="C674" s="115"/>
      <c r="D674" s="116"/>
      <c r="E674" s="117"/>
      <c r="F674" s="118"/>
      <c r="G674" s="113"/>
      <c r="H674" s="113"/>
      <c r="I674" s="112"/>
      <c r="J674" s="112"/>
      <c r="K674" s="86"/>
      <c r="L674" s="255"/>
      <c r="M674" s="114" t="str">
        <f t="shared" si="11"/>
        <v xml:space="preserve">   </v>
      </c>
    </row>
    <row r="675" spans="1:13" s="55" customFormat="1" hidden="1" x14ac:dyDescent="0.2">
      <c r="A675" s="298"/>
      <c r="B675" s="297"/>
      <c r="C675" s="115"/>
      <c r="D675" s="116"/>
      <c r="E675" s="117"/>
      <c r="F675" s="118"/>
      <c r="G675" s="113"/>
      <c r="H675" s="113"/>
      <c r="I675" s="112"/>
      <c r="J675" s="112"/>
      <c r="K675" s="86"/>
      <c r="L675" s="255"/>
      <c r="M675" s="114" t="str">
        <f t="shared" si="11"/>
        <v xml:space="preserve">   </v>
      </c>
    </row>
    <row r="676" spans="1:13" s="55" customFormat="1" hidden="1" x14ac:dyDescent="0.2">
      <c r="A676" s="298"/>
      <c r="B676" s="297"/>
      <c r="C676" s="115"/>
      <c r="D676" s="116"/>
      <c r="E676" s="117"/>
      <c r="F676" s="118"/>
      <c r="G676" s="113"/>
      <c r="H676" s="113"/>
      <c r="I676" s="112"/>
      <c r="J676" s="112"/>
      <c r="K676" s="86"/>
      <c r="L676" s="255"/>
      <c r="M676" s="114" t="str">
        <f t="shared" si="11"/>
        <v xml:space="preserve">   </v>
      </c>
    </row>
    <row r="677" spans="1:13" s="55" customFormat="1" hidden="1" x14ac:dyDescent="0.2">
      <c r="A677" s="298"/>
      <c r="B677" s="297"/>
      <c r="C677" s="115"/>
      <c r="D677" s="116"/>
      <c r="E677" s="117"/>
      <c r="F677" s="118"/>
      <c r="G677" s="113"/>
      <c r="H677" s="113"/>
      <c r="I677" s="112"/>
      <c r="J677" s="112"/>
      <c r="K677" s="86"/>
      <c r="L677" s="255"/>
      <c r="M677" s="114" t="str">
        <f t="shared" si="11"/>
        <v xml:space="preserve">   </v>
      </c>
    </row>
    <row r="678" spans="1:13" s="55" customFormat="1" hidden="1" x14ac:dyDescent="0.2">
      <c r="A678" s="298"/>
      <c r="B678" s="297"/>
      <c r="C678" s="115"/>
      <c r="D678" s="116"/>
      <c r="E678" s="117"/>
      <c r="F678" s="118"/>
      <c r="G678" s="113"/>
      <c r="H678" s="113"/>
      <c r="I678" s="112"/>
      <c r="J678" s="112"/>
      <c r="K678" s="86"/>
      <c r="L678" s="255"/>
      <c r="M678" s="114" t="str">
        <f t="shared" si="11"/>
        <v xml:space="preserve">   </v>
      </c>
    </row>
    <row r="679" spans="1:13" s="55" customFormat="1" hidden="1" x14ac:dyDescent="0.2">
      <c r="A679" s="298"/>
      <c r="B679" s="297"/>
      <c r="C679" s="115"/>
      <c r="D679" s="116"/>
      <c r="E679" s="117"/>
      <c r="F679" s="118"/>
      <c r="G679" s="113"/>
      <c r="H679" s="113"/>
      <c r="I679" s="112"/>
      <c r="J679" s="112"/>
      <c r="K679" s="86"/>
      <c r="L679" s="255"/>
      <c r="M679" s="114" t="str">
        <f t="shared" si="11"/>
        <v xml:space="preserve">   </v>
      </c>
    </row>
    <row r="680" spans="1:13" s="55" customFormat="1" hidden="1" x14ac:dyDescent="0.2">
      <c r="A680" s="298"/>
      <c r="B680" s="297"/>
      <c r="C680" s="115"/>
      <c r="D680" s="116"/>
      <c r="E680" s="117"/>
      <c r="F680" s="118"/>
      <c r="G680" s="113"/>
      <c r="H680" s="113"/>
      <c r="I680" s="112"/>
      <c r="J680" s="112"/>
      <c r="K680" s="86"/>
      <c r="L680" s="255"/>
      <c r="M680" s="114" t="str">
        <f t="shared" si="11"/>
        <v xml:space="preserve">   </v>
      </c>
    </row>
    <row r="681" spans="1:13" s="55" customFormat="1" hidden="1" x14ac:dyDescent="0.2">
      <c r="A681" s="298"/>
      <c r="B681" s="297"/>
      <c r="C681" s="115"/>
      <c r="D681" s="116"/>
      <c r="E681" s="117"/>
      <c r="F681" s="118"/>
      <c r="G681" s="113"/>
      <c r="H681" s="113"/>
      <c r="I681" s="112"/>
      <c r="J681" s="112"/>
      <c r="K681" s="86"/>
      <c r="L681" s="255"/>
      <c r="M681" s="114" t="str">
        <f t="shared" si="11"/>
        <v xml:space="preserve">   </v>
      </c>
    </row>
    <row r="682" spans="1:13" s="55" customFormat="1" ht="12.75" hidden="1" customHeight="1" x14ac:dyDescent="0.2">
      <c r="A682" s="298" t="s">
        <v>86</v>
      </c>
      <c r="B682" s="297" t="s">
        <v>107</v>
      </c>
      <c r="C682" s="112"/>
      <c r="D682" s="112"/>
      <c r="E682" s="112"/>
      <c r="F682" s="112"/>
      <c r="G682" s="113"/>
      <c r="H682" s="113"/>
      <c r="I682" s="112"/>
      <c r="J682" s="112"/>
      <c r="K682" s="86"/>
      <c r="L682" s="253" t="str">
        <f>CONCATENATE(C682," ",D682," ",E682," ",F682," ",C683," ",D683," ",E683," ",F683)</f>
        <v xml:space="preserve">       </v>
      </c>
      <c r="M682" s="114" t="str">
        <f t="shared" si="11"/>
        <v xml:space="preserve">   </v>
      </c>
    </row>
    <row r="683" spans="1:13" s="55" customFormat="1" hidden="1" x14ac:dyDescent="0.2">
      <c r="A683" s="298"/>
      <c r="B683" s="297"/>
      <c r="C683" s="115"/>
      <c r="D683" s="116"/>
      <c r="E683" s="117"/>
      <c r="F683" s="118"/>
      <c r="G683" s="113"/>
      <c r="H683" s="113"/>
      <c r="I683" s="112"/>
      <c r="J683" s="112"/>
      <c r="K683" s="86"/>
      <c r="L683" s="255"/>
      <c r="M683" s="114" t="str">
        <f t="shared" si="11"/>
        <v xml:space="preserve">   </v>
      </c>
    </row>
    <row r="684" spans="1:13" s="55" customFormat="1" hidden="1" x14ac:dyDescent="0.2">
      <c r="A684" s="298"/>
      <c r="B684" s="297"/>
      <c r="C684" s="115"/>
      <c r="D684" s="116"/>
      <c r="E684" s="117"/>
      <c r="F684" s="118"/>
      <c r="G684" s="113"/>
      <c r="H684" s="113"/>
      <c r="I684" s="112"/>
      <c r="J684" s="112"/>
      <c r="K684" s="86"/>
      <c r="L684" s="255"/>
      <c r="M684" s="114" t="str">
        <f t="shared" si="11"/>
        <v xml:space="preserve">   </v>
      </c>
    </row>
    <row r="685" spans="1:13" s="55" customFormat="1" hidden="1" x14ac:dyDescent="0.2">
      <c r="A685" s="298"/>
      <c r="B685" s="297"/>
      <c r="C685" s="115"/>
      <c r="D685" s="116"/>
      <c r="E685" s="117"/>
      <c r="F685" s="118"/>
      <c r="G685" s="113"/>
      <c r="H685" s="113"/>
      <c r="I685" s="112"/>
      <c r="J685" s="112"/>
      <c r="K685" s="86"/>
      <c r="L685" s="255"/>
      <c r="M685" s="114" t="str">
        <f t="shared" si="11"/>
        <v xml:space="preserve">   </v>
      </c>
    </row>
    <row r="686" spans="1:13" s="55" customFormat="1" hidden="1" x14ac:dyDescent="0.2">
      <c r="A686" s="298"/>
      <c r="B686" s="297"/>
      <c r="C686" s="115"/>
      <c r="D686" s="116"/>
      <c r="E686" s="117"/>
      <c r="F686" s="118"/>
      <c r="G686" s="113"/>
      <c r="H686" s="113"/>
      <c r="I686" s="112"/>
      <c r="J686" s="112"/>
      <c r="K686" s="86"/>
      <c r="L686" s="255"/>
      <c r="M686" s="114" t="str">
        <f t="shared" si="11"/>
        <v xml:space="preserve">   </v>
      </c>
    </row>
    <row r="687" spans="1:13" s="55" customFormat="1" hidden="1" x14ac:dyDescent="0.2">
      <c r="A687" s="298"/>
      <c r="B687" s="297"/>
      <c r="C687" s="115"/>
      <c r="D687" s="116"/>
      <c r="E687" s="117"/>
      <c r="F687" s="118"/>
      <c r="G687" s="113"/>
      <c r="H687" s="113"/>
      <c r="I687" s="112"/>
      <c r="J687" s="112"/>
      <c r="K687" s="86"/>
      <c r="L687" s="255"/>
      <c r="M687" s="114" t="str">
        <f t="shared" si="11"/>
        <v xml:space="preserve">   </v>
      </c>
    </row>
    <row r="688" spans="1:13" s="55" customFormat="1" hidden="1" x14ac:dyDescent="0.2">
      <c r="A688" s="298"/>
      <c r="B688" s="297"/>
      <c r="C688" s="115"/>
      <c r="D688" s="116"/>
      <c r="E688" s="117"/>
      <c r="F688" s="118"/>
      <c r="G688" s="113"/>
      <c r="H688" s="113"/>
      <c r="I688" s="112"/>
      <c r="J688" s="112"/>
      <c r="K688" s="86"/>
      <c r="L688" s="255"/>
      <c r="M688" s="114" t="str">
        <f t="shared" si="11"/>
        <v xml:space="preserve">   </v>
      </c>
    </row>
    <row r="689" spans="1:13" s="55" customFormat="1" hidden="1" x14ac:dyDescent="0.2">
      <c r="A689" s="298"/>
      <c r="B689" s="297"/>
      <c r="C689" s="115"/>
      <c r="D689" s="116"/>
      <c r="E689" s="117"/>
      <c r="F689" s="118"/>
      <c r="G689" s="113"/>
      <c r="H689" s="113"/>
      <c r="I689" s="112"/>
      <c r="J689" s="112"/>
      <c r="K689" s="86"/>
      <c r="L689" s="255"/>
      <c r="M689" s="114" t="str">
        <f t="shared" si="11"/>
        <v xml:space="preserve">   </v>
      </c>
    </row>
    <row r="690" spans="1:13" s="55" customFormat="1" hidden="1" x14ac:dyDescent="0.2">
      <c r="A690" s="298"/>
      <c r="B690" s="297"/>
      <c r="C690" s="115"/>
      <c r="D690" s="116"/>
      <c r="E690" s="117"/>
      <c r="F690" s="118"/>
      <c r="G690" s="113"/>
      <c r="H690" s="113"/>
      <c r="I690" s="112"/>
      <c r="J690" s="112"/>
      <c r="K690" s="86"/>
      <c r="L690" s="255"/>
      <c r="M690" s="114" t="str">
        <f t="shared" si="11"/>
        <v xml:space="preserve">   </v>
      </c>
    </row>
    <row r="691" spans="1:13" s="55" customFormat="1" hidden="1" x14ac:dyDescent="0.2">
      <c r="A691" s="298"/>
      <c r="B691" s="297"/>
      <c r="C691" s="115"/>
      <c r="D691" s="116"/>
      <c r="E691" s="117"/>
      <c r="F691" s="118"/>
      <c r="G691" s="113"/>
      <c r="H691" s="113"/>
      <c r="I691" s="112"/>
      <c r="J691" s="112"/>
      <c r="K691" s="86"/>
      <c r="L691" s="255"/>
      <c r="M691" s="114" t="str">
        <f t="shared" si="11"/>
        <v xml:space="preserve">   </v>
      </c>
    </row>
    <row r="692" spans="1:13" s="55" customFormat="1" ht="12.75" hidden="1" customHeight="1" x14ac:dyDescent="0.2">
      <c r="A692" s="298" t="s">
        <v>86</v>
      </c>
      <c r="B692" s="297" t="s">
        <v>107</v>
      </c>
      <c r="C692" s="112"/>
      <c r="D692" s="112"/>
      <c r="E692" s="112"/>
      <c r="F692" s="112"/>
      <c r="G692" s="113"/>
      <c r="H692" s="113"/>
      <c r="I692" s="112"/>
      <c r="J692" s="112"/>
      <c r="K692" s="86"/>
      <c r="L692" s="253" t="str">
        <f>CONCATENATE(C692," ",D692," ",E692," ",F692," ",C693," ",D693," ",E693," ",F693)</f>
        <v xml:space="preserve">       </v>
      </c>
      <c r="M692" s="114" t="str">
        <f t="shared" si="11"/>
        <v xml:space="preserve">   </v>
      </c>
    </row>
    <row r="693" spans="1:13" s="55" customFormat="1" hidden="1" x14ac:dyDescent="0.2">
      <c r="A693" s="298"/>
      <c r="B693" s="297"/>
      <c r="C693" s="115"/>
      <c r="D693" s="116"/>
      <c r="E693" s="117"/>
      <c r="F693" s="118"/>
      <c r="G693" s="113"/>
      <c r="H693" s="113"/>
      <c r="I693" s="112"/>
      <c r="J693" s="112"/>
      <c r="K693" s="86"/>
      <c r="L693" s="255"/>
      <c r="M693" s="114" t="str">
        <f t="shared" si="11"/>
        <v xml:space="preserve">   </v>
      </c>
    </row>
    <row r="694" spans="1:13" s="55" customFormat="1" hidden="1" x14ac:dyDescent="0.2">
      <c r="A694" s="298"/>
      <c r="B694" s="297"/>
      <c r="C694" s="115"/>
      <c r="D694" s="116"/>
      <c r="E694" s="117"/>
      <c r="F694" s="118"/>
      <c r="G694" s="113"/>
      <c r="H694" s="113"/>
      <c r="I694" s="112"/>
      <c r="J694" s="112"/>
      <c r="K694" s="86"/>
      <c r="L694" s="255"/>
      <c r="M694" s="114" t="str">
        <f t="shared" si="11"/>
        <v xml:space="preserve">   </v>
      </c>
    </row>
    <row r="695" spans="1:13" s="55" customFormat="1" hidden="1" x14ac:dyDescent="0.2">
      <c r="A695" s="298"/>
      <c r="B695" s="297"/>
      <c r="C695" s="115"/>
      <c r="D695" s="116"/>
      <c r="E695" s="117"/>
      <c r="F695" s="118"/>
      <c r="G695" s="113"/>
      <c r="H695" s="113"/>
      <c r="I695" s="112"/>
      <c r="J695" s="112"/>
      <c r="K695" s="86"/>
      <c r="L695" s="255"/>
      <c r="M695" s="114" t="str">
        <f t="shared" si="11"/>
        <v xml:space="preserve">   </v>
      </c>
    </row>
    <row r="696" spans="1:13" s="55" customFormat="1" hidden="1" x14ac:dyDescent="0.2">
      <c r="A696" s="298"/>
      <c r="B696" s="297"/>
      <c r="C696" s="115"/>
      <c r="D696" s="116"/>
      <c r="E696" s="117"/>
      <c r="F696" s="118"/>
      <c r="G696" s="113"/>
      <c r="H696" s="113"/>
      <c r="I696" s="112"/>
      <c r="J696" s="112"/>
      <c r="K696" s="86"/>
      <c r="L696" s="255"/>
      <c r="M696" s="114" t="str">
        <f t="shared" si="11"/>
        <v xml:space="preserve">   </v>
      </c>
    </row>
    <row r="697" spans="1:13" s="55" customFormat="1" hidden="1" x14ac:dyDescent="0.2">
      <c r="A697" s="298"/>
      <c r="B697" s="297"/>
      <c r="C697" s="115"/>
      <c r="D697" s="116"/>
      <c r="E697" s="117"/>
      <c r="F697" s="118"/>
      <c r="G697" s="113"/>
      <c r="H697" s="113"/>
      <c r="I697" s="112"/>
      <c r="J697" s="112"/>
      <c r="K697" s="86"/>
      <c r="L697" s="255"/>
      <c r="M697" s="114" t="str">
        <f t="shared" si="11"/>
        <v xml:space="preserve">   </v>
      </c>
    </row>
    <row r="698" spans="1:13" s="55" customFormat="1" hidden="1" x14ac:dyDescent="0.2">
      <c r="A698" s="298"/>
      <c r="B698" s="297"/>
      <c r="C698" s="115"/>
      <c r="D698" s="116"/>
      <c r="E698" s="117"/>
      <c r="F698" s="118"/>
      <c r="G698" s="113"/>
      <c r="H698" s="113"/>
      <c r="I698" s="112"/>
      <c r="J698" s="112"/>
      <c r="K698" s="86"/>
      <c r="L698" s="255"/>
      <c r="M698" s="114" t="str">
        <f t="shared" si="11"/>
        <v xml:space="preserve">   </v>
      </c>
    </row>
    <row r="699" spans="1:13" s="55" customFormat="1" hidden="1" x14ac:dyDescent="0.2">
      <c r="A699" s="298"/>
      <c r="B699" s="297"/>
      <c r="C699" s="115"/>
      <c r="D699" s="116"/>
      <c r="E699" s="117"/>
      <c r="F699" s="118"/>
      <c r="G699" s="113"/>
      <c r="H699" s="113"/>
      <c r="I699" s="112"/>
      <c r="J699" s="112"/>
      <c r="K699" s="86"/>
      <c r="L699" s="255"/>
      <c r="M699" s="114" t="str">
        <f t="shared" si="11"/>
        <v xml:space="preserve">   </v>
      </c>
    </row>
    <row r="700" spans="1:13" s="55" customFormat="1" hidden="1" x14ac:dyDescent="0.2">
      <c r="A700" s="298"/>
      <c r="B700" s="297"/>
      <c r="C700" s="115"/>
      <c r="D700" s="116"/>
      <c r="E700" s="117"/>
      <c r="F700" s="118"/>
      <c r="G700" s="113"/>
      <c r="H700" s="113"/>
      <c r="I700" s="112"/>
      <c r="J700" s="112"/>
      <c r="K700" s="86"/>
      <c r="L700" s="255"/>
      <c r="M700" s="114" t="str">
        <f t="shared" si="11"/>
        <v xml:space="preserve">   </v>
      </c>
    </row>
    <row r="701" spans="1:13" s="55" customFormat="1" hidden="1" x14ac:dyDescent="0.2">
      <c r="A701" s="298"/>
      <c r="B701" s="297"/>
      <c r="C701" s="115"/>
      <c r="D701" s="116"/>
      <c r="E701" s="117"/>
      <c r="F701" s="118"/>
      <c r="G701" s="113"/>
      <c r="H701" s="113"/>
      <c r="I701" s="112"/>
      <c r="J701" s="112"/>
      <c r="K701" s="86"/>
      <c r="L701" s="255"/>
      <c r="M701" s="114" t="str">
        <f t="shared" si="11"/>
        <v xml:space="preserve">   </v>
      </c>
    </row>
    <row r="702" spans="1:13" s="55" customFormat="1" ht="12.75" hidden="1" customHeight="1" x14ac:dyDescent="0.2">
      <c r="A702" s="298" t="s">
        <v>86</v>
      </c>
      <c r="B702" s="297" t="s">
        <v>107</v>
      </c>
      <c r="C702" s="112"/>
      <c r="D702" s="112"/>
      <c r="E702" s="112"/>
      <c r="F702" s="112"/>
      <c r="G702" s="113"/>
      <c r="H702" s="113"/>
      <c r="I702" s="112"/>
      <c r="J702" s="112"/>
      <c r="K702" s="86"/>
      <c r="L702" s="253" t="str">
        <f>CONCATENATE(C702," ",D702," ",E702," ",F702," ",C703," ",D703," ",E703," ",F703)</f>
        <v xml:space="preserve">       </v>
      </c>
      <c r="M702" s="114" t="str">
        <f t="shared" si="11"/>
        <v xml:space="preserve">   </v>
      </c>
    </row>
    <row r="703" spans="1:13" s="55" customFormat="1" hidden="1" x14ac:dyDescent="0.2">
      <c r="A703" s="298"/>
      <c r="B703" s="297"/>
      <c r="C703" s="115"/>
      <c r="D703" s="116"/>
      <c r="E703" s="117"/>
      <c r="F703" s="118"/>
      <c r="G703" s="113"/>
      <c r="H703" s="113"/>
      <c r="I703" s="112"/>
      <c r="J703" s="112"/>
      <c r="K703" s="86"/>
      <c r="L703" s="255"/>
      <c r="M703" s="114" t="str">
        <f t="shared" si="11"/>
        <v xml:space="preserve">   </v>
      </c>
    </row>
    <row r="704" spans="1:13" s="55" customFormat="1" hidden="1" x14ac:dyDescent="0.2">
      <c r="A704" s="298"/>
      <c r="B704" s="297"/>
      <c r="C704" s="115"/>
      <c r="D704" s="116"/>
      <c r="E704" s="117"/>
      <c r="F704" s="118"/>
      <c r="G704" s="113"/>
      <c r="H704" s="113"/>
      <c r="I704" s="112"/>
      <c r="J704" s="112"/>
      <c r="K704" s="86"/>
      <c r="L704" s="255"/>
      <c r="M704" s="114" t="str">
        <f t="shared" si="11"/>
        <v xml:space="preserve">   </v>
      </c>
    </row>
    <row r="705" spans="1:13" s="55" customFormat="1" hidden="1" x14ac:dyDescent="0.2">
      <c r="A705" s="298"/>
      <c r="B705" s="297"/>
      <c r="C705" s="115"/>
      <c r="D705" s="116"/>
      <c r="E705" s="117"/>
      <c r="F705" s="118"/>
      <c r="G705" s="113"/>
      <c r="H705" s="113"/>
      <c r="I705" s="112"/>
      <c r="J705" s="112"/>
      <c r="K705" s="86"/>
      <c r="L705" s="255"/>
      <c r="M705" s="114" t="str">
        <f t="shared" si="11"/>
        <v xml:space="preserve">   </v>
      </c>
    </row>
    <row r="706" spans="1:13" s="55" customFormat="1" hidden="1" x14ac:dyDescent="0.2">
      <c r="A706" s="298"/>
      <c r="B706" s="297"/>
      <c r="C706" s="115"/>
      <c r="D706" s="116"/>
      <c r="E706" s="117"/>
      <c r="F706" s="118"/>
      <c r="G706" s="113"/>
      <c r="H706" s="113"/>
      <c r="I706" s="112"/>
      <c r="J706" s="112"/>
      <c r="K706" s="86"/>
      <c r="L706" s="255"/>
      <c r="M706" s="114" t="str">
        <f t="shared" si="11"/>
        <v xml:space="preserve">   </v>
      </c>
    </row>
    <row r="707" spans="1:13" s="55" customFormat="1" hidden="1" x14ac:dyDescent="0.2">
      <c r="A707" s="298"/>
      <c r="B707" s="297"/>
      <c r="C707" s="115"/>
      <c r="D707" s="116"/>
      <c r="E707" s="117"/>
      <c r="F707" s="118"/>
      <c r="G707" s="113"/>
      <c r="H707" s="113"/>
      <c r="I707" s="112"/>
      <c r="J707" s="112"/>
      <c r="K707" s="86"/>
      <c r="L707" s="255"/>
      <c r="M707" s="114" t="str">
        <f t="shared" si="11"/>
        <v xml:space="preserve">   </v>
      </c>
    </row>
    <row r="708" spans="1:13" s="55" customFormat="1" hidden="1" x14ac:dyDescent="0.2">
      <c r="A708" s="298"/>
      <c r="B708" s="297"/>
      <c r="C708" s="115"/>
      <c r="D708" s="116"/>
      <c r="E708" s="117"/>
      <c r="F708" s="118"/>
      <c r="G708" s="113"/>
      <c r="H708" s="113"/>
      <c r="I708" s="112"/>
      <c r="J708" s="112"/>
      <c r="K708" s="86"/>
      <c r="L708" s="255"/>
      <c r="M708" s="114" t="str">
        <f t="shared" si="11"/>
        <v xml:space="preserve">   </v>
      </c>
    </row>
    <row r="709" spans="1:13" s="55" customFormat="1" hidden="1" x14ac:dyDescent="0.2">
      <c r="A709" s="298"/>
      <c r="B709" s="297"/>
      <c r="C709" s="115"/>
      <c r="D709" s="116"/>
      <c r="E709" s="117"/>
      <c r="F709" s="118"/>
      <c r="G709" s="113"/>
      <c r="H709" s="113"/>
      <c r="I709" s="112"/>
      <c r="J709" s="112"/>
      <c r="K709" s="86"/>
      <c r="L709" s="255"/>
      <c r="M709" s="114" t="str">
        <f t="shared" si="11"/>
        <v xml:space="preserve">   </v>
      </c>
    </row>
    <row r="710" spans="1:13" s="55" customFormat="1" hidden="1" x14ac:dyDescent="0.2">
      <c r="A710" s="298"/>
      <c r="B710" s="297"/>
      <c r="C710" s="115"/>
      <c r="D710" s="116"/>
      <c r="E710" s="117"/>
      <c r="F710" s="118"/>
      <c r="G710" s="113"/>
      <c r="H710" s="113"/>
      <c r="I710" s="112"/>
      <c r="J710" s="112"/>
      <c r="K710" s="86"/>
      <c r="L710" s="255"/>
      <c r="M710" s="114" t="str">
        <f t="shared" si="11"/>
        <v xml:space="preserve">   </v>
      </c>
    </row>
    <row r="711" spans="1:13" s="55" customFormat="1" hidden="1" x14ac:dyDescent="0.2">
      <c r="A711" s="298"/>
      <c r="B711" s="297"/>
      <c r="C711" s="115"/>
      <c r="D711" s="116"/>
      <c r="E711" s="117"/>
      <c r="F711" s="118"/>
      <c r="G711" s="113"/>
      <c r="H711" s="113"/>
      <c r="I711" s="112"/>
      <c r="J711" s="112"/>
      <c r="K711" s="86"/>
      <c r="L711" s="255"/>
      <c r="M711" s="114" t="str">
        <f t="shared" si="11"/>
        <v xml:space="preserve">   </v>
      </c>
    </row>
    <row r="712" spans="1:13" s="55" customFormat="1" ht="12.75" hidden="1" customHeight="1" x14ac:dyDescent="0.2">
      <c r="A712" s="298" t="s">
        <v>86</v>
      </c>
      <c r="B712" s="297" t="s">
        <v>107</v>
      </c>
      <c r="C712" s="112"/>
      <c r="D712" s="112"/>
      <c r="E712" s="112"/>
      <c r="F712" s="112"/>
      <c r="G712" s="113"/>
      <c r="H712" s="113"/>
      <c r="I712" s="112"/>
      <c r="J712" s="112"/>
      <c r="K712" s="86"/>
      <c r="L712" s="253" t="str">
        <f>CONCATENATE(C712," ",D712," ",E712," ",F712," ",C713," ",D713," ",E713," ",F713)</f>
        <v xml:space="preserve">       </v>
      </c>
      <c r="M712" s="114" t="str">
        <f t="shared" si="11"/>
        <v xml:space="preserve">   </v>
      </c>
    </row>
    <row r="713" spans="1:13" s="55" customFormat="1" hidden="1" x14ac:dyDescent="0.2">
      <c r="A713" s="298"/>
      <c r="B713" s="297"/>
      <c r="C713" s="115"/>
      <c r="D713" s="116"/>
      <c r="E713" s="117"/>
      <c r="F713" s="118"/>
      <c r="G713" s="113"/>
      <c r="H713" s="113"/>
      <c r="I713" s="112"/>
      <c r="J713" s="112"/>
      <c r="K713" s="86"/>
      <c r="L713" s="255"/>
      <c r="M713" s="114" t="str">
        <f t="shared" si="11"/>
        <v xml:space="preserve">   </v>
      </c>
    </row>
    <row r="714" spans="1:13" s="55" customFormat="1" hidden="1" x14ac:dyDescent="0.2">
      <c r="A714" s="298"/>
      <c r="B714" s="297"/>
      <c r="C714" s="115"/>
      <c r="D714" s="116"/>
      <c r="E714" s="117"/>
      <c r="F714" s="118"/>
      <c r="G714" s="113"/>
      <c r="H714" s="113"/>
      <c r="I714" s="112"/>
      <c r="J714" s="112"/>
      <c r="K714" s="86"/>
      <c r="L714" s="255"/>
      <c r="M714" s="114" t="str">
        <f t="shared" si="11"/>
        <v xml:space="preserve">   </v>
      </c>
    </row>
    <row r="715" spans="1:13" s="55" customFormat="1" hidden="1" x14ac:dyDescent="0.2">
      <c r="A715" s="298"/>
      <c r="B715" s="297"/>
      <c r="C715" s="115"/>
      <c r="D715" s="116"/>
      <c r="E715" s="117"/>
      <c r="F715" s="118"/>
      <c r="G715" s="113"/>
      <c r="H715" s="113"/>
      <c r="I715" s="112"/>
      <c r="J715" s="112"/>
      <c r="K715" s="86"/>
      <c r="L715" s="255"/>
      <c r="M715" s="114" t="str">
        <f t="shared" ref="M715:M778" si="12">CONCATENATE(G715," ",H715," ",I715," ",J715)</f>
        <v xml:space="preserve">   </v>
      </c>
    </row>
    <row r="716" spans="1:13" s="55" customFormat="1" hidden="1" x14ac:dyDescent="0.2">
      <c r="A716" s="298"/>
      <c r="B716" s="297"/>
      <c r="C716" s="115"/>
      <c r="D716" s="116"/>
      <c r="E716" s="117"/>
      <c r="F716" s="118"/>
      <c r="G716" s="113"/>
      <c r="H716" s="113"/>
      <c r="I716" s="112"/>
      <c r="J716" s="112"/>
      <c r="K716" s="86"/>
      <c r="L716" s="255"/>
      <c r="M716" s="114" t="str">
        <f t="shared" si="12"/>
        <v xml:space="preserve">   </v>
      </c>
    </row>
    <row r="717" spans="1:13" s="55" customFormat="1" hidden="1" x14ac:dyDescent="0.2">
      <c r="A717" s="298"/>
      <c r="B717" s="297"/>
      <c r="C717" s="115"/>
      <c r="D717" s="116"/>
      <c r="E717" s="117"/>
      <c r="F717" s="118"/>
      <c r="G717" s="113"/>
      <c r="H717" s="113"/>
      <c r="I717" s="112"/>
      <c r="J717" s="112"/>
      <c r="K717" s="86"/>
      <c r="L717" s="255"/>
      <c r="M717" s="114" t="str">
        <f t="shared" si="12"/>
        <v xml:space="preserve">   </v>
      </c>
    </row>
    <row r="718" spans="1:13" s="55" customFormat="1" hidden="1" x14ac:dyDescent="0.2">
      <c r="A718" s="298"/>
      <c r="B718" s="297"/>
      <c r="C718" s="115"/>
      <c r="D718" s="116"/>
      <c r="E718" s="117"/>
      <c r="F718" s="118"/>
      <c r="G718" s="113"/>
      <c r="H718" s="113"/>
      <c r="I718" s="112"/>
      <c r="J718" s="112"/>
      <c r="K718" s="86"/>
      <c r="L718" s="255"/>
      <c r="M718" s="114" t="str">
        <f t="shared" si="12"/>
        <v xml:space="preserve">   </v>
      </c>
    </row>
    <row r="719" spans="1:13" s="55" customFormat="1" hidden="1" x14ac:dyDescent="0.2">
      <c r="A719" s="298"/>
      <c r="B719" s="297"/>
      <c r="C719" s="115"/>
      <c r="D719" s="116"/>
      <c r="E719" s="117"/>
      <c r="F719" s="118"/>
      <c r="G719" s="113"/>
      <c r="H719" s="113"/>
      <c r="I719" s="112"/>
      <c r="J719" s="112"/>
      <c r="K719" s="86"/>
      <c r="L719" s="255"/>
      <c r="M719" s="114" t="str">
        <f t="shared" si="12"/>
        <v xml:space="preserve">   </v>
      </c>
    </row>
    <row r="720" spans="1:13" s="55" customFormat="1" hidden="1" x14ac:dyDescent="0.2">
      <c r="A720" s="298"/>
      <c r="B720" s="297"/>
      <c r="C720" s="115"/>
      <c r="D720" s="116"/>
      <c r="E720" s="117"/>
      <c r="F720" s="118"/>
      <c r="G720" s="113"/>
      <c r="H720" s="113"/>
      <c r="I720" s="112"/>
      <c r="J720" s="112"/>
      <c r="K720" s="86"/>
      <c r="L720" s="255"/>
      <c r="M720" s="114" t="str">
        <f t="shared" si="12"/>
        <v xml:space="preserve">   </v>
      </c>
    </row>
    <row r="721" spans="1:13" s="55" customFormat="1" hidden="1" x14ac:dyDescent="0.2">
      <c r="A721" s="298"/>
      <c r="B721" s="297"/>
      <c r="C721" s="115"/>
      <c r="D721" s="116"/>
      <c r="E721" s="117"/>
      <c r="F721" s="118"/>
      <c r="G721" s="113"/>
      <c r="H721" s="113"/>
      <c r="I721" s="112"/>
      <c r="J721" s="112"/>
      <c r="K721" s="86"/>
      <c r="L721" s="255"/>
      <c r="M721" s="114" t="str">
        <f t="shared" si="12"/>
        <v xml:space="preserve">   </v>
      </c>
    </row>
    <row r="722" spans="1:13" s="55" customFormat="1" ht="12.75" hidden="1" customHeight="1" x14ac:dyDescent="0.2">
      <c r="A722" s="298" t="s">
        <v>86</v>
      </c>
      <c r="B722" s="297" t="s">
        <v>107</v>
      </c>
      <c r="C722" s="112"/>
      <c r="D722" s="112"/>
      <c r="E722" s="112"/>
      <c r="F722" s="112"/>
      <c r="G722" s="113"/>
      <c r="H722" s="113"/>
      <c r="I722" s="112"/>
      <c r="J722" s="112"/>
      <c r="K722" s="86"/>
      <c r="L722" s="253" t="str">
        <f>CONCATENATE(C722," ",D722," ",E722," ",F722," ",C723," ",D723," ",E723," ",F723)</f>
        <v xml:space="preserve">       </v>
      </c>
      <c r="M722" s="114" t="str">
        <f t="shared" si="12"/>
        <v xml:space="preserve">   </v>
      </c>
    </row>
    <row r="723" spans="1:13" s="55" customFormat="1" hidden="1" x14ac:dyDescent="0.2">
      <c r="A723" s="298"/>
      <c r="B723" s="297"/>
      <c r="C723" s="115"/>
      <c r="D723" s="116"/>
      <c r="E723" s="117"/>
      <c r="F723" s="118"/>
      <c r="G723" s="113"/>
      <c r="H723" s="113"/>
      <c r="I723" s="112"/>
      <c r="J723" s="112"/>
      <c r="K723" s="86"/>
      <c r="L723" s="255"/>
      <c r="M723" s="114" t="str">
        <f t="shared" si="12"/>
        <v xml:space="preserve">   </v>
      </c>
    </row>
    <row r="724" spans="1:13" s="55" customFormat="1" hidden="1" x14ac:dyDescent="0.2">
      <c r="A724" s="298"/>
      <c r="B724" s="297"/>
      <c r="C724" s="115"/>
      <c r="D724" s="116"/>
      <c r="E724" s="117"/>
      <c r="F724" s="118"/>
      <c r="G724" s="113"/>
      <c r="H724" s="113"/>
      <c r="I724" s="112"/>
      <c r="J724" s="112"/>
      <c r="K724" s="86"/>
      <c r="L724" s="255"/>
      <c r="M724" s="114" t="str">
        <f t="shared" si="12"/>
        <v xml:space="preserve">   </v>
      </c>
    </row>
    <row r="725" spans="1:13" s="55" customFormat="1" hidden="1" x14ac:dyDescent="0.2">
      <c r="A725" s="298"/>
      <c r="B725" s="297"/>
      <c r="C725" s="115"/>
      <c r="D725" s="116"/>
      <c r="E725" s="117"/>
      <c r="F725" s="118"/>
      <c r="G725" s="113"/>
      <c r="H725" s="113"/>
      <c r="I725" s="112"/>
      <c r="J725" s="112"/>
      <c r="K725" s="86"/>
      <c r="L725" s="255"/>
      <c r="M725" s="114" t="str">
        <f t="shared" si="12"/>
        <v xml:space="preserve">   </v>
      </c>
    </row>
    <row r="726" spans="1:13" s="55" customFormat="1" hidden="1" x14ac:dyDescent="0.2">
      <c r="A726" s="298"/>
      <c r="B726" s="297"/>
      <c r="C726" s="115"/>
      <c r="D726" s="116"/>
      <c r="E726" s="117"/>
      <c r="F726" s="118"/>
      <c r="G726" s="113"/>
      <c r="H726" s="113"/>
      <c r="I726" s="112"/>
      <c r="J726" s="112"/>
      <c r="K726" s="86"/>
      <c r="L726" s="255"/>
      <c r="M726" s="114" t="str">
        <f t="shared" si="12"/>
        <v xml:space="preserve">   </v>
      </c>
    </row>
    <row r="727" spans="1:13" s="55" customFormat="1" hidden="1" x14ac:dyDescent="0.2">
      <c r="A727" s="298"/>
      <c r="B727" s="297"/>
      <c r="C727" s="115"/>
      <c r="D727" s="116"/>
      <c r="E727" s="117"/>
      <c r="F727" s="118"/>
      <c r="G727" s="113"/>
      <c r="H727" s="113"/>
      <c r="I727" s="112"/>
      <c r="J727" s="112"/>
      <c r="K727" s="86"/>
      <c r="L727" s="255"/>
      <c r="M727" s="114" t="str">
        <f t="shared" si="12"/>
        <v xml:space="preserve">   </v>
      </c>
    </row>
    <row r="728" spans="1:13" s="55" customFormat="1" hidden="1" x14ac:dyDescent="0.2">
      <c r="A728" s="298"/>
      <c r="B728" s="297"/>
      <c r="C728" s="115"/>
      <c r="D728" s="116"/>
      <c r="E728" s="117"/>
      <c r="F728" s="118"/>
      <c r="G728" s="113"/>
      <c r="H728" s="113"/>
      <c r="I728" s="112"/>
      <c r="J728" s="112"/>
      <c r="K728" s="86"/>
      <c r="L728" s="255"/>
      <c r="M728" s="114" t="str">
        <f t="shared" si="12"/>
        <v xml:space="preserve">   </v>
      </c>
    </row>
    <row r="729" spans="1:13" s="55" customFormat="1" hidden="1" x14ac:dyDescent="0.2">
      <c r="A729" s="298"/>
      <c r="B729" s="297"/>
      <c r="C729" s="115"/>
      <c r="D729" s="116"/>
      <c r="E729" s="117"/>
      <c r="F729" s="118"/>
      <c r="G729" s="113"/>
      <c r="H729" s="113"/>
      <c r="I729" s="112"/>
      <c r="J729" s="112"/>
      <c r="K729" s="86"/>
      <c r="L729" s="255"/>
      <c r="M729" s="114" t="str">
        <f t="shared" si="12"/>
        <v xml:space="preserve">   </v>
      </c>
    </row>
    <row r="730" spans="1:13" s="55" customFormat="1" hidden="1" x14ac:dyDescent="0.2">
      <c r="A730" s="298"/>
      <c r="B730" s="297"/>
      <c r="C730" s="115"/>
      <c r="D730" s="116"/>
      <c r="E730" s="117"/>
      <c r="F730" s="118"/>
      <c r="G730" s="113"/>
      <c r="H730" s="113"/>
      <c r="I730" s="112"/>
      <c r="J730" s="112"/>
      <c r="K730" s="86"/>
      <c r="L730" s="255"/>
      <c r="M730" s="114" t="str">
        <f t="shared" si="12"/>
        <v xml:space="preserve">   </v>
      </c>
    </row>
    <row r="731" spans="1:13" s="55" customFormat="1" hidden="1" x14ac:dyDescent="0.2">
      <c r="A731" s="298"/>
      <c r="B731" s="297"/>
      <c r="C731" s="115"/>
      <c r="D731" s="116"/>
      <c r="E731" s="117"/>
      <c r="F731" s="118"/>
      <c r="G731" s="113"/>
      <c r="H731" s="113"/>
      <c r="I731" s="112"/>
      <c r="J731" s="112"/>
      <c r="K731" s="86"/>
      <c r="L731" s="255"/>
      <c r="M731" s="114" t="str">
        <f t="shared" si="12"/>
        <v xml:space="preserve">   </v>
      </c>
    </row>
    <row r="732" spans="1:13" s="55" customFormat="1" ht="12.75" hidden="1" customHeight="1" x14ac:dyDescent="0.2">
      <c r="A732" s="298" t="s">
        <v>86</v>
      </c>
      <c r="B732" s="297" t="s">
        <v>107</v>
      </c>
      <c r="C732" s="112"/>
      <c r="D732" s="112"/>
      <c r="E732" s="112"/>
      <c r="F732" s="112"/>
      <c r="G732" s="113"/>
      <c r="H732" s="113"/>
      <c r="I732" s="112"/>
      <c r="J732" s="112"/>
      <c r="K732" s="86"/>
      <c r="L732" s="253" t="str">
        <f>CONCATENATE(C732," ",D732," ",E732," ",F732," ",C733," ",D733," ",E733," ",F733)</f>
        <v xml:space="preserve">       </v>
      </c>
      <c r="M732" s="114" t="str">
        <f t="shared" si="12"/>
        <v xml:space="preserve">   </v>
      </c>
    </row>
    <row r="733" spans="1:13" s="55" customFormat="1" hidden="1" x14ac:dyDescent="0.2">
      <c r="A733" s="298"/>
      <c r="B733" s="297"/>
      <c r="C733" s="115"/>
      <c r="D733" s="116"/>
      <c r="E733" s="117"/>
      <c r="F733" s="118"/>
      <c r="G733" s="113"/>
      <c r="H733" s="113"/>
      <c r="I733" s="112"/>
      <c r="J733" s="112"/>
      <c r="K733" s="86"/>
      <c r="L733" s="255"/>
      <c r="M733" s="114" t="str">
        <f t="shared" si="12"/>
        <v xml:space="preserve">   </v>
      </c>
    </row>
    <row r="734" spans="1:13" s="55" customFormat="1" hidden="1" x14ac:dyDescent="0.2">
      <c r="A734" s="298"/>
      <c r="B734" s="297"/>
      <c r="C734" s="115"/>
      <c r="D734" s="116"/>
      <c r="E734" s="117"/>
      <c r="F734" s="118"/>
      <c r="G734" s="113"/>
      <c r="H734" s="113"/>
      <c r="I734" s="112"/>
      <c r="J734" s="112"/>
      <c r="K734" s="86"/>
      <c r="L734" s="255"/>
      <c r="M734" s="114" t="str">
        <f t="shared" si="12"/>
        <v xml:space="preserve">   </v>
      </c>
    </row>
    <row r="735" spans="1:13" s="55" customFormat="1" hidden="1" x14ac:dyDescent="0.2">
      <c r="A735" s="298"/>
      <c r="B735" s="297"/>
      <c r="C735" s="115"/>
      <c r="D735" s="116"/>
      <c r="E735" s="117"/>
      <c r="F735" s="118"/>
      <c r="G735" s="113"/>
      <c r="H735" s="113"/>
      <c r="I735" s="112"/>
      <c r="J735" s="112"/>
      <c r="K735" s="86"/>
      <c r="L735" s="255"/>
      <c r="M735" s="114" t="str">
        <f t="shared" si="12"/>
        <v xml:space="preserve">   </v>
      </c>
    </row>
    <row r="736" spans="1:13" s="55" customFormat="1" hidden="1" x14ac:dyDescent="0.2">
      <c r="A736" s="298"/>
      <c r="B736" s="297"/>
      <c r="C736" s="115"/>
      <c r="D736" s="116"/>
      <c r="E736" s="117"/>
      <c r="F736" s="118"/>
      <c r="G736" s="113"/>
      <c r="H736" s="113"/>
      <c r="I736" s="112"/>
      <c r="J736" s="112"/>
      <c r="K736" s="86"/>
      <c r="L736" s="255"/>
      <c r="M736" s="114" t="str">
        <f t="shared" si="12"/>
        <v xml:space="preserve">   </v>
      </c>
    </row>
    <row r="737" spans="1:13" s="55" customFormat="1" hidden="1" x14ac:dyDescent="0.2">
      <c r="A737" s="298"/>
      <c r="B737" s="297"/>
      <c r="C737" s="115"/>
      <c r="D737" s="116"/>
      <c r="E737" s="117"/>
      <c r="F737" s="118"/>
      <c r="G737" s="113"/>
      <c r="H737" s="113"/>
      <c r="I737" s="112"/>
      <c r="J737" s="112"/>
      <c r="K737" s="86"/>
      <c r="L737" s="255"/>
      <c r="M737" s="114" t="str">
        <f t="shared" si="12"/>
        <v xml:space="preserve">   </v>
      </c>
    </row>
    <row r="738" spans="1:13" s="55" customFormat="1" hidden="1" x14ac:dyDescent="0.2">
      <c r="A738" s="298"/>
      <c r="B738" s="297"/>
      <c r="C738" s="115"/>
      <c r="D738" s="116"/>
      <c r="E738" s="117"/>
      <c r="F738" s="118"/>
      <c r="G738" s="113"/>
      <c r="H738" s="113"/>
      <c r="I738" s="112"/>
      <c r="J738" s="112"/>
      <c r="K738" s="86"/>
      <c r="L738" s="255"/>
      <c r="M738" s="114" t="str">
        <f t="shared" si="12"/>
        <v xml:space="preserve">   </v>
      </c>
    </row>
    <row r="739" spans="1:13" s="55" customFormat="1" hidden="1" x14ac:dyDescent="0.2">
      <c r="A739" s="298"/>
      <c r="B739" s="297"/>
      <c r="C739" s="115"/>
      <c r="D739" s="116"/>
      <c r="E739" s="117"/>
      <c r="F739" s="118"/>
      <c r="G739" s="113"/>
      <c r="H739" s="113"/>
      <c r="I739" s="112"/>
      <c r="J739" s="112"/>
      <c r="K739" s="86"/>
      <c r="L739" s="255"/>
      <c r="M739" s="114" t="str">
        <f t="shared" si="12"/>
        <v xml:space="preserve">   </v>
      </c>
    </row>
    <row r="740" spans="1:13" s="55" customFormat="1" hidden="1" x14ac:dyDescent="0.2">
      <c r="A740" s="298"/>
      <c r="B740" s="297"/>
      <c r="C740" s="115"/>
      <c r="D740" s="116"/>
      <c r="E740" s="117"/>
      <c r="F740" s="118"/>
      <c r="G740" s="113"/>
      <c r="H740" s="113"/>
      <c r="I740" s="112"/>
      <c r="J740" s="112"/>
      <c r="K740" s="86"/>
      <c r="L740" s="255"/>
      <c r="M740" s="114" t="str">
        <f t="shared" si="12"/>
        <v xml:space="preserve">   </v>
      </c>
    </row>
    <row r="741" spans="1:13" s="55" customFormat="1" hidden="1" x14ac:dyDescent="0.2">
      <c r="A741" s="298"/>
      <c r="B741" s="297"/>
      <c r="C741" s="115"/>
      <c r="D741" s="116"/>
      <c r="E741" s="117"/>
      <c r="F741" s="118"/>
      <c r="G741" s="113"/>
      <c r="H741" s="113"/>
      <c r="I741" s="112"/>
      <c r="J741" s="112"/>
      <c r="K741" s="86"/>
      <c r="L741" s="255"/>
      <c r="M741" s="114" t="str">
        <f t="shared" si="12"/>
        <v xml:space="preserve">   </v>
      </c>
    </row>
    <row r="742" spans="1:13" s="55" customFormat="1" ht="12.75" hidden="1" customHeight="1" x14ac:dyDescent="0.2">
      <c r="A742" s="298" t="s">
        <v>86</v>
      </c>
      <c r="B742" s="297" t="s">
        <v>107</v>
      </c>
      <c r="C742" s="112"/>
      <c r="D742" s="112"/>
      <c r="E742" s="112"/>
      <c r="F742" s="112"/>
      <c r="G742" s="113"/>
      <c r="H742" s="113"/>
      <c r="I742" s="112"/>
      <c r="J742" s="112"/>
      <c r="K742" s="86"/>
      <c r="L742" s="253" t="str">
        <f>CONCATENATE(C742," ",D742," ",E742," ",F742," ",C743," ",D743," ",E743," ",F743)</f>
        <v xml:space="preserve">       </v>
      </c>
      <c r="M742" s="114" t="str">
        <f t="shared" si="12"/>
        <v xml:space="preserve">   </v>
      </c>
    </row>
    <row r="743" spans="1:13" s="55" customFormat="1" hidden="1" x14ac:dyDescent="0.2">
      <c r="A743" s="298"/>
      <c r="B743" s="297"/>
      <c r="C743" s="115"/>
      <c r="D743" s="116"/>
      <c r="E743" s="117"/>
      <c r="F743" s="118"/>
      <c r="G743" s="113"/>
      <c r="H743" s="113"/>
      <c r="I743" s="112"/>
      <c r="J743" s="112"/>
      <c r="K743" s="86"/>
      <c r="L743" s="255"/>
      <c r="M743" s="114" t="str">
        <f t="shared" si="12"/>
        <v xml:space="preserve">   </v>
      </c>
    </row>
    <row r="744" spans="1:13" s="55" customFormat="1" hidden="1" x14ac:dyDescent="0.2">
      <c r="A744" s="298"/>
      <c r="B744" s="297"/>
      <c r="C744" s="115"/>
      <c r="D744" s="116"/>
      <c r="E744" s="117"/>
      <c r="F744" s="118"/>
      <c r="G744" s="113"/>
      <c r="H744" s="113"/>
      <c r="I744" s="112"/>
      <c r="J744" s="112"/>
      <c r="K744" s="86"/>
      <c r="L744" s="255"/>
      <c r="M744" s="114" t="str">
        <f t="shared" si="12"/>
        <v xml:space="preserve">   </v>
      </c>
    </row>
    <row r="745" spans="1:13" s="55" customFormat="1" hidden="1" x14ac:dyDescent="0.2">
      <c r="A745" s="298"/>
      <c r="B745" s="297"/>
      <c r="C745" s="115"/>
      <c r="D745" s="116"/>
      <c r="E745" s="117"/>
      <c r="F745" s="118"/>
      <c r="G745" s="113"/>
      <c r="H745" s="113"/>
      <c r="I745" s="112"/>
      <c r="J745" s="112"/>
      <c r="K745" s="86"/>
      <c r="L745" s="255"/>
      <c r="M745" s="114" t="str">
        <f t="shared" si="12"/>
        <v xml:space="preserve">   </v>
      </c>
    </row>
    <row r="746" spans="1:13" s="55" customFormat="1" hidden="1" x14ac:dyDescent="0.2">
      <c r="A746" s="298"/>
      <c r="B746" s="297"/>
      <c r="C746" s="115"/>
      <c r="D746" s="116"/>
      <c r="E746" s="117"/>
      <c r="F746" s="118"/>
      <c r="G746" s="113"/>
      <c r="H746" s="113"/>
      <c r="I746" s="112"/>
      <c r="J746" s="112"/>
      <c r="K746" s="86"/>
      <c r="L746" s="255"/>
      <c r="M746" s="114" t="str">
        <f t="shared" si="12"/>
        <v xml:space="preserve">   </v>
      </c>
    </row>
    <row r="747" spans="1:13" s="55" customFormat="1" ht="0.75" hidden="1" customHeight="1" x14ac:dyDescent="0.2">
      <c r="A747" s="298"/>
      <c r="B747" s="297"/>
      <c r="C747" s="115"/>
      <c r="D747" s="116"/>
      <c r="E747" s="117"/>
      <c r="F747" s="118"/>
      <c r="G747" s="113"/>
      <c r="H747" s="113"/>
      <c r="I747" s="112"/>
      <c r="J747" s="112"/>
      <c r="K747" s="86"/>
      <c r="L747" s="255"/>
      <c r="M747" s="114" t="str">
        <f t="shared" si="12"/>
        <v xml:space="preserve">   </v>
      </c>
    </row>
    <row r="748" spans="1:13" s="55" customFormat="1" hidden="1" x14ac:dyDescent="0.2">
      <c r="A748" s="298"/>
      <c r="B748" s="297"/>
      <c r="C748" s="115"/>
      <c r="D748" s="116"/>
      <c r="E748" s="117"/>
      <c r="F748" s="118"/>
      <c r="G748" s="113"/>
      <c r="H748" s="113"/>
      <c r="I748" s="112"/>
      <c r="J748" s="112"/>
      <c r="K748" s="86"/>
      <c r="L748" s="255"/>
      <c r="M748" s="114" t="str">
        <f t="shared" si="12"/>
        <v xml:space="preserve">   </v>
      </c>
    </row>
    <row r="749" spans="1:13" s="55" customFormat="1" hidden="1" x14ac:dyDescent="0.2">
      <c r="A749" s="298"/>
      <c r="B749" s="297"/>
      <c r="C749" s="115"/>
      <c r="D749" s="116"/>
      <c r="E749" s="117"/>
      <c r="F749" s="118"/>
      <c r="G749" s="113"/>
      <c r="H749" s="113"/>
      <c r="I749" s="112"/>
      <c r="J749" s="112"/>
      <c r="K749" s="86"/>
      <c r="L749" s="255"/>
      <c r="M749" s="114" t="str">
        <f t="shared" si="12"/>
        <v xml:space="preserve">   </v>
      </c>
    </row>
    <row r="750" spans="1:13" s="55" customFormat="1" hidden="1" x14ac:dyDescent="0.2">
      <c r="A750" s="298"/>
      <c r="B750" s="297"/>
      <c r="C750" s="115"/>
      <c r="D750" s="116"/>
      <c r="E750" s="117"/>
      <c r="F750" s="118"/>
      <c r="G750" s="113"/>
      <c r="H750" s="113"/>
      <c r="I750" s="112"/>
      <c r="J750" s="112"/>
      <c r="K750" s="86"/>
      <c r="L750" s="255"/>
      <c r="M750" s="114" t="str">
        <f t="shared" si="12"/>
        <v xml:space="preserve">   </v>
      </c>
    </row>
    <row r="751" spans="1:13" s="55" customFormat="1" hidden="1" x14ac:dyDescent="0.2">
      <c r="A751" s="298"/>
      <c r="B751" s="297"/>
      <c r="C751" s="115"/>
      <c r="D751" s="116"/>
      <c r="E751" s="117"/>
      <c r="F751" s="118"/>
      <c r="G751" s="113"/>
      <c r="H751" s="113"/>
      <c r="I751" s="112"/>
      <c r="J751" s="112"/>
      <c r="K751" s="86"/>
      <c r="L751" s="255"/>
      <c r="M751" s="114" t="str">
        <f t="shared" si="12"/>
        <v xml:space="preserve">   </v>
      </c>
    </row>
    <row r="752" spans="1:13" s="55" customFormat="1" ht="12.75" hidden="1" customHeight="1" x14ac:dyDescent="0.2">
      <c r="A752" s="298" t="s">
        <v>86</v>
      </c>
      <c r="B752" s="297" t="s">
        <v>107</v>
      </c>
      <c r="C752" s="112"/>
      <c r="D752" s="112"/>
      <c r="E752" s="112"/>
      <c r="F752" s="112"/>
      <c r="G752" s="113"/>
      <c r="H752" s="113"/>
      <c r="I752" s="112"/>
      <c r="J752" s="112"/>
      <c r="K752" s="86"/>
      <c r="L752" s="253" t="str">
        <f>CONCATENATE(C752," ",D752," ",E752," ",F752," ",C753," ",D753," ",E753," ",F753)</f>
        <v xml:space="preserve">       </v>
      </c>
      <c r="M752" s="114" t="str">
        <f t="shared" si="12"/>
        <v xml:space="preserve">   </v>
      </c>
    </row>
    <row r="753" spans="1:13" s="55" customFormat="1" hidden="1" x14ac:dyDescent="0.2">
      <c r="A753" s="298"/>
      <c r="B753" s="297"/>
      <c r="C753" s="115"/>
      <c r="D753" s="116"/>
      <c r="E753" s="117"/>
      <c r="F753" s="118"/>
      <c r="G753" s="113"/>
      <c r="H753" s="113"/>
      <c r="I753" s="112"/>
      <c r="J753" s="112"/>
      <c r="K753" s="86"/>
      <c r="L753" s="255"/>
      <c r="M753" s="114" t="str">
        <f t="shared" si="12"/>
        <v xml:space="preserve">   </v>
      </c>
    </row>
    <row r="754" spans="1:13" s="55" customFormat="1" hidden="1" x14ac:dyDescent="0.2">
      <c r="A754" s="298"/>
      <c r="B754" s="297"/>
      <c r="C754" s="115"/>
      <c r="D754" s="116"/>
      <c r="E754" s="117"/>
      <c r="F754" s="118"/>
      <c r="G754" s="113"/>
      <c r="H754" s="113"/>
      <c r="I754" s="112"/>
      <c r="J754" s="112"/>
      <c r="K754" s="86"/>
      <c r="L754" s="255"/>
      <c r="M754" s="114" t="str">
        <f t="shared" si="12"/>
        <v xml:space="preserve">   </v>
      </c>
    </row>
    <row r="755" spans="1:13" s="55" customFormat="1" hidden="1" x14ac:dyDescent="0.2">
      <c r="A755" s="298"/>
      <c r="B755" s="297"/>
      <c r="C755" s="115"/>
      <c r="D755" s="116"/>
      <c r="E755" s="117"/>
      <c r="F755" s="118"/>
      <c r="G755" s="113"/>
      <c r="H755" s="113"/>
      <c r="I755" s="112"/>
      <c r="J755" s="112"/>
      <c r="K755" s="86"/>
      <c r="L755" s="255"/>
      <c r="M755" s="114" t="str">
        <f t="shared" si="12"/>
        <v xml:space="preserve">   </v>
      </c>
    </row>
    <row r="756" spans="1:13" s="55" customFormat="1" hidden="1" x14ac:dyDescent="0.2">
      <c r="A756" s="298"/>
      <c r="B756" s="297"/>
      <c r="C756" s="115"/>
      <c r="D756" s="116"/>
      <c r="E756" s="117"/>
      <c r="F756" s="118"/>
      <c r="G756" s="113"/>
      <c r="H756" s="113"/>
      <c r="I756" s="112"/>
      <c r="J756" s="112"/>
      <c r="K756" s="86"/>
      <c r="L756" s="255"/>
      <c r="M756" s="114" t="str">
        <f t="shared" si="12"/>
        <v xml:space="preserve">   </v>
      </c>
    </row>
    <row r="757" spans="1:13" s="55" customFormat="1" hidden="1" x14ac:dyDescent="0.2">
      <c r="A757" s="298"/>
      <c r="B757" s="297"/>
      <c r="C757" s="115"/>
      <c r="D757" s="116"/>
      <c r="E757" s="117"/>
      <c r="F757" s="118"/>
      <c r="G757" s="113"/>
      <c r="H757" s="113"/>
      <c r="I757" s="112"/>
      <c r="J757" s="112"/>
      <c r="K757" s="86"/>
      <c r="L757" s="255"/>
      <c r="M757" s="114" t="str">
        <f t="shared" si="12"/>
        <v xml:space="preserve">   </v>
      </c>
    </row>
    <row r="758" spans="1:13" s="55" customFormat="1" hidden="1" x14ac:dyDescent="0.2">
      <c r="A758" s="298"/>
      <c r="B758" s="297"/>
      <c r="C758" s="115"/>
      <c r="D758" s="116"/>
      <c r="E758" s="117"/>
      <c r="F758" s="118"/>
      <c r="G758" s="113"/>
      <c r="H758" s="113"/>
      <c r="I758" s="112"/>
      <c r="J758" s="112"/>
      <c r="K758" s="86"/>
      <c r="L758" s="255"/>
      <c r="M758" s="114" t="str">
        <f t="shared" si="12"/>
        <v xml:space="preserve">   </v>
      </c>
    </row>
    <row r="759" spans="1:13" s="55" customFormat="1" hidden="1" x14ac:dyDescent="0.2">
      <c r="A759" s="298"/>
      <c r="B759" s="297"/>
      <c r="C759" s="115"/>
      <c r="D759" s="116"/>
      <c r="E759" s="117"/>
      <c r="F759" s="118"/>
      <c r="G759" s="113"/>
      <c r="H759" s="113"/>
      <c r="I759" s="112"/>
      <c r="J759" s="112"/>
      <c r="K759" s="86"/>
      <c r="L759" s="255"/>
      <c r="M759" s="114" t="str">
        <f t="shared" si="12"/>
        <v xml:space="preserve">   </v>
      </c>
    </row>
    <row r="760" spans="1:13" s="55" customFormat="1" hidden="1" x14ac:dyDescent="0.2">
      <c r="A760" s="298"/>
      <c r="B760" s="297"/>
      <c r="C760" s="115"/>
      <c r="D760" s="116"/>
      <c r="E760" s="117"/>
      <c r="F760" s="118"/>
      <c r="G760" s="113"/>
      <c r="H760" s="113"/>
      <c r="I760" s="112"/>
      <c r="J760" s="112"/>
      <c r="K760" s="86"/>
      <c r="L760" s="255"/>
      <c r="M760" s="114" t="str">
        <f t="shared" si="12"/>
        <v xml:space="preserve">   </v>
      </c>
    </row>
    <row r="761" spans="1:13" s="55" customFormat="1" hidden="1" x14ac:dyDescent="0.2">
      <c r="A761" s="298"/>
      <c r="B761" s="297"/>
      <c r="C761" s="115"/>
      <c r="D761" s="116"/>
      <c r="E761" s="117"/>
      <c r="F761" s="118"/>
      <c r="G761" s="113"/>
      <c r="H761" s="113"/>
      <c r="I761" s="112"/>
      <c r="J761" s="112"/>
      <c r="K761" s="86"/>
      <c r="L761" s="255"/>
      <c r="M761" s="114" t="str">
        <f t="shared" si="12"/>
        <v xml:space="preserve">   </v>
      </c>
    </row>
    <row r="762" spans="1:13" s="55" customFormat="1" ht="12.75" hidden="1" customHeight="1" x14ac:dyDescent="0.2">
      <c r="A762" s="298" t="s">
        <v>86</v>
      </c>
      <c r="B762" s="297" t="s">
        <v>107</v>
      </c>
      <c r="C762" s="112"/>
      <c r="D762" s="112"/>
      <c r="E762" s="112"/>
      <c r="F762" s="112"/>
      <c r="G762" s="113"/>
      <c r="H762" s="113"/>
      <c r="I762" s="112"/>
      <c r="J762" s="112"/>
      <c r="K762" s="86"/>
      <c r="L762" s="253" t="str">
        <f>CONCATENATE(C762," ",D762," ",E762," ",F762," ",C763," ",D763," ",E763," ",F763)</f>
        <v xml:space="preserve">       </v>
      </c>
      <c r="M762" s="114" t="str">
        <f t="shared" si="12"/>
        <v xml:space="preserve">   </v>
      </c>
    </row>
    <row r="763" spans="1:13" s="55" customFormat="1" hidden="1" x14ac:dyDescent="0.2">
      <c r="A763" s="298"/>
      <c r="B763" s="297"/>
      <c r="C763" s="115"/>
      <c r="D763" s="116"/>
      <c r="E763" s="117"/>
      <c r="F763" s="118"/>
      <c r="G763" s="113"/>
      <c r="H763" s="113"/>
      <c r="I763" s="112"/>
      <c r="J763" s="112"/>
      <c r="K763" s="86"/>
      <c r="L763" s="255"/>
      <c r="M763" s="114" t="str">
        <f t="shared" si="12"/>
        <v xml:space="preserve">   </v>
      </c>
    </row>
    <row r="764" spans="1:13" s="55" customFormat="1" hidden="1" x14ac:dyDescent="0.2">
      <c r="A764" s="298"/>
      <c r="B764" s="297"/>
      <c r="C764" s="115"/>
      <c r="D764" s="116"/>
      <c r="E764" s="117"/>
      <c r="F764" s="118"/>
      <c r="G764" s="113"/>
      <c r="H764" s="113"/>
      <c r="I764" s="112"/>
      <c r="J764" s="112"/>
      <c r="K764" s="86"/>
      <c r="L764" s="255"/>
      <c r="M764" s="114" t="str">
        <f t="shared" si="12"/>
        <v xml:space="preserve">   </v>
      </c>
    </row>
    <row r="765" spans="1:13" s="55" customFormat="1" hidden="1" x14ac:dyDescent="0.2">
      <c r="A765" s="298"/>
      <c r="B765" s="297"/>
      <c r="C765" s="115"/>
      <c r="D765" s="116"/>
      <c r="E765" s="117"/>
      <c r="F765" s="118"/>
      <c r="G765" s="113"/>
      <c r="H765" s="113"/>
      <c r="I765" s="112"/>
      <c r="J765" s="112"/>
      <c r="K765" s="86"/>
      <c r="L765" s="255"/>
      <c r="M765" s="114" t="str">
        <f t="shared" si="12"/>
        <v xml:space="preserve">   </v>
      </c>
    </row>
    <row r="766" spans="1:13" s="55" customFormat="1" hidden="1" x14ac:dyDescent="0.2">
      <c r="A766" s="298"/>
      <c r="B766" s="297"/>
      <c r="C766" s="115"/>
      <c r="D766" s="116"/>
      <c r="E766" s="117"/>
      <c r="F766" s="118"/>
      <c r="G766" s="113"/>
      <c r="H766" s="113"/>
      <c r="I766" s="112"/>
      <c r="J766" s="112"/>
      <c r="K766" s="86"/>
      <c r="L766" s="255"/>
      <c r="M766" s="114" t="str">
        <f t="shared" si="12"/>
        <v xml:space="preserve">   </v>
      </c>
    </row>
    <row r="767" spans="1:13" s="55" customFormat="1" hidden="1" x14ac:dyDescent="0.2">
      <c r="A767" s="298"/>
      <c r="B767" s="297"/>
      <c r="C767" s="115"/>
      <c r="D767" s="116"/>
      <c r="E767" s="117"/>
      <c r="F767" s="118"/>
      <c r="G767" s="113"/>
      <c r="H767" s="113"/>
      <c r="I767" s="112"/>
      <c r="J767" s="112"/>
      <c r="K767" s="86"/>
      <c r="L767" s="255"/>
      <c r="M767" s="114" t="str">
        <f t="shared" si="12"/>
        <v xml:space="preserve">   </v>
      </c>
    </row>
    <row r="768" spans="1:13" s="55" customFormat="1" hidden="1" x14ac:dyDescent="0.2">
      <c r="A768" s="298"/>
      <c r="B768" s="297"/>
      <c r="C768" s="115"/>
      <c r="D768" s="116"/>
      <c r="E768" s="117"/>
      <c r="F768" s="118"/>
      <c r="G768" s="113"/>
      <c r="H768" s="113"/>
      <c r="I768" s="112"/>
      <c r="J768" s="112"/>
      <c r="K768" s="86"/>
      <c r="L768" s="255"/>
      <c r="M768" s="114" t="str">
        <f t="shared" si="12"/>
        <v xml:space="preserve">   </v>
      </c>
    </row>
    <row r="769" spans="1:13" s="55" customFormat="1" hidden="1" x14ac:dyDescent="0.2">
      <c r="A769" s="298"/>
      <c r="B769" s="297"/>
      <c r="C769" s="115"/>
      <c r="D769" s="116"/>
      <c r="E769" s="117"/>
      <c r="F769" s="118"/>
      <c r="G769" s="113"/>
      <c r="H769" s="113"/>
      <c r="I769" s="112"/>
      <c r="J769" s="112"/>
      <c r="K769" s="86"/>
      <c r="L769" s="255"/>
      <c r="M769" s="114" t="str">
        <f t="shared" si="12"/>
        <v xml:space="preserve">   </v>
      </c>
    </row>
    <row r="770" spans="1:13" s="55" customFormat="1" hidden="1" x14ac:dyDescent="0.2">
      <c r="A770" s="298"/>
      <c r="B770" s="297"/>
      <c r="C770" s="115"/>
      <c r="D770" s="116"/>
      <c r="E770" s="117"/>
      <c r="F770" s="118"/>
      <c r="G770" s="113"/>
      <c r="H770" s="113"/>
      <c r="I770" s="112"/>
      <c r="J770" s="112"/>
      <c r="K770" s="86"/>
      <c r="L770" s="255"/>
      <c r="M770" s="114" t="str">
        <f t="shared" si="12"/>
        <v xml:space="preserve">   </v>
      </c>
    </row>
    <row r="771" spans="1:13" s="55" customFormat="1" hidden="1" x14ac:dyDescent="0.2">
      <c r="A771" s="298"/>
      <c r="B771" s="297"/>
      <c r="C771" s="115"/>
      <c r="D771" s="116"/>
      <c r="E771" s="117"/>
      <c r="F771" s="118"/>
      <c r="G771" s="113"/>
      <c r="H771" s="113"/>
      <c r="I771" s="112"/>
      <c r="J771" s="112"/>
      <c r="K771" s="86"/>
      <c r="L771" s="255"/>
      <c r="M771" s="114" t="str">
        <f t="shared" si="12"/>
        <v xml:space="preserve">   </v>
      </c>
    </row>
    <row r="772" spans="1:13" s="55" customFormat="1" ht="12.75" hidden="1" customHeight="1" x14ac:dyDescent="0.2">
      <c r="A772" s="298" t="s">
        <v>86</v>
      </c>
      <c r="B772" s="297" t="s">
        <v>107</v>
      </c>
      <c r="C772" s="112"/>
      <c r="D772" s="112"/>
      <c r="E772" s="112"/>
      <c r="F772" s="112"/>
      <c r="G772" s="113"/>
      <c r="H772" s="113"/>
      <c r="I772" s="112"/>
      <c r="J772" s="112"/>
      <c r="K772" s="86"/>
      <c r="L772" s="253" t="str">
        <f>CONCATENATE(C772," ",D772," ",E772," ",F772," ",C773," ",D773," ",E773," ",F773)</f>
        <v xml:space="preserve">       </v>
      </c>
      <c r="M772" s="114" t="str">
        <f t="shared" si="12"/>
        <v xml:space="preserve">   </v>
      </c>
    </row>
    <row r="773" spans="1:13" s="55" customFormat="1" hidden="1" x14ac:dyDescent="0.2">
      <c r="A773" s="298"/>
      <c r="B773" s="297"/>
      <c r="C773" s="115"/>
      <c r="D773" s="116"/>
      <c r="E773" s="117"/>
      <c r="F773" s="118"/>
      <c r="G773" s="113"/>
      <c r="H773" s="113"/>
      <c r="I773" s="112"/>
      <c r="J773" s="112"/>
      <c r="K773" s="86"/>
      <c r="L773" s="255"/>
      <c r="M773" s="114" t="str">
        <f t="shared" si="12"/>
        <v xml:space="preserve">   </v>
      </c>
    </row>
    <row r="774" spans="1:13" s="55" customFormat="1" hidden="1" x14ac:dyDescent="0.2">
      <c r="A774" s="298"/>
      <c r="B774" s="297"/>
      <c r="C774" s="115"/>
      <c r="D774" s="116"/>
      <c r="E774" s="117"/>
      <c r="F774" s="118"/>
      <c r="G774" s="113"/>
      <c r="H774" s="113"/>
      <c r="I774" s="112"/>
      <c r="J774" s="112"/>
      <c r="K774" s="86"/>
      <c r="L774" s="255"/>
      <c r="M774" s="114" t="str">
        <f t="shared" si="12"/>
        <v xml:space="preserve">   </v>
      </c>
    </row>
    <row r="775" spans="1:13" s="55" customFormat="1" hidden="1" x14ac:dyDescent="0.2">
      <c r="A775" s="298"/>
      <c r="B775" s="297"/>
      <c r="C775" s="115"/>
      <c r="D775" s="116"/>
      <c r="E775" s="117"/>
      <c r="F775" s="118"/>
      <c r="G775" s="113"/>
      <c r="H775" s="113"/>
      <c r="I775" s="112"/>
      <c r="J775" s="112"/>
      <c r="K775" s="86"/>
      <c r="L775" s="255"/>
      <c r="M775" s="114" t="str">
        <f t="shared" si="12"/>
        <v xml:space="preserve">   </v>
      </c>
    </row>
    <row r="776" spans="1:13" s="55" customFormat="1" hidden="1" x14ac:dyDescent="0.2">
      <c r="A776" s="298"/>
      <c r="B776" s="297"/>
      <c r="C776" s="115"/>
      <c r="D776" s="116"/>
      <c r="E776" s="117"/>
      <c r="F776" s="118"/>
      <c r="G776" s="113"/>
      <c r="H776" s="113"/>
      <c r="I776" s="112"/>
      <c r="J776" s="112"/>
      <c r="K776" s="86"/>
      <c r="L776" s="255"/>
      <c r="M776" s="114" t="str">
        <f t="shared" si="12"/>
        <v xml:space="preserve">   </v>
      </c>
    </row>
    <row r="777" spans="1:13" s="55" customFormat="1" hidden="1" x14ac:dyDescent="0.2">
      <c r="A777" s="298"/>
      <c r="B777" s="297"/>
      <c r="C777" s="115"/>
      <c r="D777" s="116"/>
      <c r="E777" s="117"/>
      <c r="F777" s="118"/>
      <c r="G777" s="113"/>
      <c r="H777" s="113"/>
      <c r="I777" s="112"/>
      <c r="J777" s="112"/>
      <c r="K777" s="86"/>
      <c r="L777" s="255"/>
      <c r="M777" s="114" t="str">
        <f t="shared" si="12"/>
        <v xml:space="preserve">   </v>
      </c>
    </row>
    <row r="778" spans="1:13" s="55" customFormat="1" hidden="1" x14ac:dyDescent="0.2">
      <c r="A778" s="298"/>
      <c r="B778" s="297"/>
      <c r="C778" s="115"/>
      <c r="D778" s="116"/>
      <c r="E778" s="117"/>
      <c r="F778" s="118"/>
      <c r="G778" s="113"/>
      <c r="H778" s="113"/>
      <c r="I778" s="112"/>
      <c r="J778" s="112"/>
      <c r="K778" s="86"/>
      <c r="L778" s="255"/>
      <c r="M778" s="114" t="str">
        <f t="shared" si="12"/>
        <v xml:space="preserve">   </v>
      </c>
    </row>
    <row r="779" spans="1:13" s="55" customFormat="1" hidden="1" x14ac:dyDescent="0.2">
      <c r="A779" s="298"/>
      <c r="B779" s="297"/>
      <c r="C779" s="115"/>
      <c r="D779" s="116"/>
      <c r="E779" s="117"/>
      <c r="F779" s="118"/>
      <c r="G779" s="113"/>
      <c r="H779" s="113"/>
      <c r="I779" s="112"/>
      <c r="J779" s="112"/>
      <c r="K779" s="86"/>
      <c r="L779" s="255"/>
      <c r="M779" s="114" t="str">
        <f t="shared" ref="M779:M842" si="13">CONCATENATE(G779," ",H779," ",I779," ",J779)</f>
        <v xml:space="preserve">   </v>
      </c>
    </row>
    <row r="780" spans="1:13" s="55" customFormat="1" hidden="1" x14ac:dyDescent="0.2">
      <c r="A780" s="298"/>
      <c r="B780" s="297"/>
      <c r="C780" s="115"/>
      <c r="D780" s="116"/>
      <c r="E780" s="117"/>
      <c r="F780" s="118"/>
      <c r="G780" s="113"/>
      <c r="H780" s="113"/>
      <c r="I780" s="112"/>
      <c r="J780" s="112"/>
      <c r="K780" s="86"/>
      <c r="L780" s="255"/>
      <c r="M780" s="114" t="str">
        <f t="shared" si="13"/>
        <v xml:space="preserve">   </v>
      </c>
    </row>
    <row r="781" spans="1:13" s="55" customFormat="1" hidden="1" x14ac:dyDescent="0.2">
      <c r="A781" s="298"/>
      <c r="B781" s="297"/>
      <c r="C781" s="115"/>
      <c r="D781" s="116"/>
      <c r="E781" s="117"/>
      <c r="F781" s="118"/>
      <c r="G781" s="113"/>
      <c r="H781" s="113"/>
      <c r="I781" s="112"/>
      <c r="J781" s="112"/>
      <c r="K781" s="86"/>
      <c r="L781" s="255"/>
      <c r="M781" s="114" t="str">
        <f t="shared" si="13"/>
        <v xml:space="preserve">   </v>
      </c>
    </row>
    <row r="782" spans="1:13" s="55" customFormat="1" ht="12.75" hidden="1" customHeight="1" x14ac:dyDescent="0.2">
      <c r="A782" s="298" t="s">
        <v>86</v>
      </c>
      <c r="B782" s="297" t="s">
        <v>107</v>
      </c>
      <c r="C782" s="112"/>
      <c r="D782" s="112"/>
      <c r="E782" s="112"/>
      <c r="F782" s="112"/>
      <c r="G782" s="113"/>
      <c r="H782" s="113"/>
      <c r="I782" s="112"/>
      <c r="J782" s="112"/>
      <c r="K782" s="86"/>
      <c r="L782" s="253" t="str">
        <f>CONCATENATE(C782," ",D782," ",E782," ",F782," ",C783," ",D783," ",E783," ",F783)</f>
        <v xml:space="preserve">       </v>
      </c>
      <c r="M782" s="114" t="str">
        <f t="shared" si="13"/>
        <v xml:space="preserve">   </v>
      </c>
    </row>
    <row r="783" spans="1:13" s="55" customFormat="1" hidden="1" x14ac:dyDescent="0.2">
      <c r="A783" s="298"/>
      <c r="B783" s="297"/>
      <c r="C783" s="115"/>
      <c r="D783" s="116"/>
      <c r="E783" s="117"/>
      <c r="F783" s="118"/>
      <c r="G783" s="113"/>
      <c r="H783" s="113"/>
      <c r="I783" s="112"/>
      <c r="J783" s="112"/>
      <c r="K783" s="86"/>
      <c r="L783" s="255"/>
      <c r="M783" s="114" t="str">
        <f t="shared" si="13"/>
        <v xml:space="preserve">   </v>
      </c>
    </row>
    <row r="784" spans="1:13" s="55" customFormat="1" ht="3.75" hidden="1" customHeight="1" x14ac:dyDescent="0.2">
      <c r="A784" s="298"/>
      <c r="B784" s="297"/>
      <c r="C784" s="115"/>
      <c r="D784" s="116"/>
      <c r="E784" s="117"/>
      <c r="F784" s="118"/>
      <c r="G784" s="113"/>
      <c r="H784" s="113"/>
      <c r="I784" s="112"/>
      <c r="J784" s="112"/>
      <c r="K784" s="86"/>
      <c r="L784" s="255"/>
      <c r="M784" s="114" t="str">
        <f t="shared" si="13"/>
        <v xml:space="preserve">   </v>
      </c>
    </row>
    <row r="785" spans="1:13" s="55" customFormat="1" hidden="1" x14ac:dyDescent="0.2">
      <c r="A785" s="298"/>
      <c r="B785" s="297"/>
      <c r="C785" s="115"/>
      <c r="D785" s="116"/>
      <c r="E785" s="117"/>
      <c r="F785" s="118"/>
      <c r="G785" s="113"/>
      <c r="H785" s="113"/>
      <c r="I785" s="112"/>
      <c r="J785" s="112"/>
      <c r="K785" s="86"/>
      <c r="L785" s="255"/>
      <c r="M785" s="114" t="str">
        <f t="shared" si="13"/>
        <v xml:space="preserve">   </v>
      </c>
    </row>
    <row r="786" spans="1:13" s="55" customFormat="1" hidden="1" x14ac:dyDescent="0.2">
      <c r="A786" s="298"/>
      <c r="B786" s="297"/>
      <c r="C786" s="115"/>
      <c r="D786" s="116"/>
      <c r="E786" s="117"/>
      <c r="F786" s="118"/>
      <c r="G786" s="113"/>
      <c r="H786" s="113"/>
      <c r="I786" s="112"/>
      <c r="J786" s="112"/>
      <c r="K786" s="86"/>
      <c r="L786" s="255"/>
      <c r="M786" s="114" t="str">
        <f t="shared" si="13"/>
        <v xml:space="preserve">   </v>
      </c>
    </row>
    <row r="787" spans="1:13" s="55" customFormat="1" hidden="1" x14ac:dyDescent="0.2">
      <c r="A787" s="298"/>
      <c r="B787" s="297"/>
      <c r="C787" s="115"/>
      <c r="D787" s="116"/>
      <c r="E787" s="117"/>
      <c r="F787" s="118"/>
      <c r="G787" s="113"/>
      <c r="H787" s="113"/>
      <c r="I787" s="112"/>
      <c r="J787" s="112"/>
      <c r="K787" s="86"/>
      <c r="L787" s="255"/>
      <c r="M787" s="114" t="str">
        <f t="shared" si="13"/>
        <v xml:space="preserve">   </v>
      </c>
    </row>
    <row r="788" spans="1:13" s="55" customFormat="1" hidden="1" x14ac:dyDescent="0.2">
      <c r="A788" s="298"/>
      <c r="B788" s="297"/>
      <c r="C788" s="115"/>
      <c r="D788" s="116"/>
      <c r="E788" s="117"/>
      <c r="F788" s="118"/>
      <c r="G788" s="113"/>
      <c r="H788" s="113"/>
      <c r="I788" s="112"/>
      <c r="J788" s="112"/>
      <c r="K788" s="86"/>
      <c r="L788" s="255"/>
      <c r="M788" s="114" t="str">
        <f t="shared" si="13"/>
        <v xml:space="preserve">   </v>
      </c>
    </row>
    <row r="789" spans="1:13" s="55" customFormat="1" hidden="1" x14ac:dyDescent="0.2">
      <c r="A789" s="298"/>
      <c r="B789" s="297"/>
      <c r="C789" s="115"/>
      <c r="D789" s="116"/>
      <c r="E789" s="117"/>
      <c r="F789" s="118"/>
      <c r="G789" s="113"/>
      <c r="H789" s="113"/>
      <c r="I789" s="112"/>
      <c r="J789" s="112"/>
      <c r="K789" s="86"/>
      <c r="L789" s="255"/>
      <c r="M789" s="114" t="str">
        <f t="shared" si="13"/>
        <v xml:space="preserve">   </v>
      </c>
    </row>
    <row r="790" spans="1:13" s="55" customFormat="1" hidden="1" x14ac:dyDescent="0.2">
      <c r="A790" s="298"/>
      <c r="B790" s="297"/>
      <c r="C790" s="115"/>
      <c r="D790" s="116"/>
      <c r="E790" s="117"/>
      <c r="F790" s="118"/>
      <c r="G790" s="113"/>
      <c r="H790" s="113"/>
      <c r="I790" s="112"/>
      <c r="J790" s="112"/>
      <c r="K790" s="86"/>
      <c r="L790" s="255"/>
      <c r="M790" s="114" t="str">
        <f t="shared" si="13"/>
        <v xml:space="preserve">   </v>
      </c>
    </row>
    <row r="791" spans="1:13" s="55" customFormat="1" hidden="1" x14ac:dyDescent="0.2">
      <c r="A791" s="298"/>
      <c r="B791" s="297"/>
      <c r="C791" s="115"/>
      <c r="D791" s="116"/>
      <c r="E791" s="117"/>
      <c r="F791" s="118"/>
      <c r="G791" s="113"/>
      <c r="H791" s="113"/>
      <c r="I791" s="112"/>
      <c r="J791" s="112"/>
      <c r="K791" s="86"/>
      <c r="L791" s="255"/>
      <c r="M791" s="114" t="str">
        <f t="shared" si="13"/>
        <v xml:space="preserve">   </v>
      </c>
    </row>
    <row r="792" spans="1:13" s="55" customFormat="1" ht="12.75" hidden="1" customHeight="1" x14ac:dyDescent="0.2">
      <c r="A792" s="298" t="s">
        <v>86</v>
      </c>
      <c r="B792" s="297" t="s">
        <v>107</v>
      </c>
      <c r="C792" s="112"/>
      <c r="D792" s="112"/>
      <c r="E792" s="112"/>
      <c r="F792" s="112"/>
      <c r="G792" s="113"/>
      <c r="H792" s="113"/>
      <c r="I792" s="112"/>
      <c r="J792" s="112"/>
      <c r="K792" s="86"/>
      <c r="L792" s="253" t="str">
        <f>CONCATENATE(C792," ",D792," ",E792," ",F792," ",C793," ",D793," ",E793," ",F793)</f>
        <v xml:space="preserve">       </v>
      </c>
      <c r="M792" s="114" t="str">
        <f t="shared" si="13"/>
        <v xml:space="preserve">   </v>
      </c>
    </row>
    <row r="793" spans="1:13" s="55" customFormat="1" hidden="1" x14ac:dyDescent="0.2">
      <c r="A793" s="298"/>
      <c r="B793" s="297"/>
      <c r="C793" s="115"/>
      <c r="D793" s="116"/>
      <c r="E793" s="117"/>
      <c r="F793" s="118"/>
      <c r="G793" s="113"/>
      <c r="H793" s="113"/>
      <c r="I793" s="112"/>
      <c r="J793" s="112"/>
      <c r="K793" s="86"/>
      <c r="L793" s="255"/>
      <c r="M793" s="114" t="str">
        <f t="shared" si="13"/>
        <v xml:space="preserve">   </v>
      </c>
    </row>
    <row r="794" spans="1:13" s="55" customFormat="1" hidden="1" x14ac:dyDescent="0.2">
      <c r="A794" s="298"/>
      <c r="B794" s="297"/>
      <c r="C794" s="115"/>
      <c r="D794" s="116"/>
      <c r="E794" s="117"/>
      <c r="F794" s="118"/>
      <c r="G794" s="113"/>
      <c r="H794" s="113"/>
      <c r="I794" s="112"/>
      <c r="J794" s="112"/>
      <c r="K794" s="86"/>
      <c r="L794" s="255"/>
      <c r="M794" s="114" t="str">
        <f t="shared" si="13"/>
        <v xml:space="preserve">   </v>
      </c>
    </row>
    <row r="795" spans="1:13" s="55" customFormat="1" hidden="1" x14ac:dyDescent="0.2">
      <c r="A795" s="298"/>
      <c r="B795" s="297"/>
      <c r="C795" s="115"/>
      <c r="D795" s="116"/>
      <c r="E795" s="117"/>
      <c r="F795" s="118"/>
      <c r="G795" s="113"/>
      <c r="H795" s="113"/>
      <c r="I795" s="112"/>
      <c r="J795" s="112"/>
      <c r="K795" s="86"/>
      <c r="L795" s="255"/>
      <c r="M795" s="114" t="str">
        <f t="shared" si="13"/>
        <v xml:space="preserve">   </v>
      </c>
    </row>
    <row r="796" spans="1:13" s="55" customFormat="1" hidden="1" x14ac:dyDescent="0.2">
      <c r="A796" s="298"/>
      <c r="B796" s="297"/>
      <c r="C796" s="115"/>
      <c r="D796" s="116"/>
      <c r="E796" s="117"/>
      <c r="F796" s="118"/>
      <c r="G796" s="113"/>
      <c r="H796" s="113"/>
      <c r="I796" s="112"/>
      <c r="J796" s="112"/>
      <c r="K796" s="86"/>
      <c r="L796" s="255"/>
      <c r="M796" s="114" t="str">
        <f t="shared" si="13"/>
        <v xml:space="preserve">   </v>
      </c>
    </row>
    <row r="797" spans="1:13" s="55" customFormat="1" hidden="1" x14ac:dyDescent="0.2">
      <c r="A797" s="298"/>
      <c r="B797" s="297"/>
      <c r="C797" s="115"/>
      <c r="D797" s="116"/>
      <c r="E797" s="117"/>
      <c r="F797" s="118"/>
      <c r="G797" s="113"/>
      <c r="H797" s="113"/>
      <c r="I797" s="112"/>
      <c r="J797" s="112"/>
      <c r="K797" s="86"/>
      <c r="L797" s="255"/>
      <c r="M797" s="114" t="str">
        <f t="shared" si="13"/>
        <v xml:space="preserve">   </v>
      </c>
    </row>
    <row r="798" spans="1:13" s="55" customFormat="1" hidden="1" x14ac:dyDescent="0.2">
      <c r="A798" s="298"/>
      <c r="B798" s="297"/>
      <c r="C798" s="115"/>
      <c r="D798" s="116"/>
      <c r="E798" s="117"/>
      <c r="F798" s="118"/>
      <c r="G798" s="113"/>
      <c r="H798" s="113"/>
      <c r="I798" s="112"/>
      <c r="J798" s="112"/>
      <c r="K798" s="86"/>
      <c r="L798" s="255"/>
      <c r="M798" s="114" t="str">
        <f t="shared" si="13"/>
        <v xml:space="preserve">   </v>
      </c>
    </row>
    <row r="799" spans="1:13" s="55" customFormat="1" hidden="1" x14ac:dyDescent="0.2">
      <c r="A799" s="298"/>
      <c r="B799" s="297"/>
      <c r="C799" s="115"/>
      <c r="D799" s="116"/>
      <c r="E799" s="117"/>
      <c r="F799" s="118"/>
      <c r="G799" s="113"/>
      <c r="H799" s="113"/>
      <c r="I799" s="112"/>
      <c r="J799" s="112"/>
      <c r="K799" s="86"/>
      <c r="L799" s="255"/>
      <c r="M799" s="114" t="str">
        <f t="shared" si="13"/>
        <v xml:space="preserve">   </v>
      </c>
    </row>
    <row r="800" spans="1:13" s="55" customFormat="1" hidden="1" x14ac:dyDescent="0.2">
      <c r="A800" s="298"/>
      <c r="B800" s="297"/>
      <c r="C800" s="115"/>
      <c r="D800" s="116"/>
      <c r="E800" s="117"/>
      <c r="F800" s="118"/>
      <c r="G800" s="113"/>
      <c r="H800" s="113"/>
      <c r="I800" s="112"/>
      <c r="J800" s="112"/>
      <c r="K800" s="86"/>
      <c r="L800" s="255"/>
      <c r="M800" s="114" t="str">
        <f t="shared" si="13"/>
        <v xml:space="preserve">   </v>
      </c>
    </row>
    <row r="801" spans="1:13" s="55" customFormat="1" hidden="1" x14ac:dyDescent="0.2">
      <c r="A801" s="298"/>
      <c r="B801" s="297"/>
      <c r="C801" s="115"/>
      <c r="D801" s="116"/>
      <c r="E801" s="117"/>
      <c r="F801" s="118"/>
      <c r="G801" s="113"/>
      <c r="H801" s="113"/>
      <c r="I801" s="112"/>
      <c r="J801" s="112"/>
      <c r="K801" s="86"/>
      <c r="L801" s="255"/>
      <c r="M801" s="114" t="str">
        <f t="shared" si="13"/>
        <v xml:space="preserve">   </v>
      </c>
    </row>
    <row r="802" spans="1:13" s="55" customFormat="1" ht="12.75" hidden="1" customHeight="1" x14ac:dyDescent="0.2">
      <c r="A802" s="298" t="s">
        <v>86</v>
      </c>
      <c r="B802" s="297" t="s">
        <v>107</v>
      </c>
      <c r="C802" s="112"/>
      <c r="D802" s="112"/>
      <c r="E802" s="112"/>
      <c r="F802" s="112"/>
      <c r="G802" s="113"/>
      <c r="H802" s="113"/>
      <c r="I802" s="112"/>
      <c r="J802" s="112"/>
      <c r="K802" s="86"/>
      <c r="L802" s="253" t="str">
        <f>CONCATENATE(C802," ",D802," ",E802," ",F802," ",C803," ",D803," ",E803," ",F803)</f>
        <v xml:space="preserve">       </v>
      </c>
      <c r="M802" s="114" t="str">
        <f t="shared" si="13"/>
        <v xml:space="preserve">   </v>
      </c>
    </row>
    <row r="803" spans="1:13" s="55" customFormat="1" hidden="1" x14ac:dyDescent="0.2">
      <c r="A803" s="298"/>
      <c r="B803" s="297"/>
      <c r="C803" s="115"/>
      <c r="D803" s="116"/>
      <c r="E803" s="117"/>
      <c r="F803" s="118"/>
      <c r="G803" s="113"/>
      <c r="H803" s="113"/>
      <c r="I803" s="112"/>
      <c r="J803" s="112"/>
      <c r="K803" s="86"/>
      <c r="L803" s="255"/>
      <c r="M803" s="114" t="str">
        <f t="shared" si="13"/>
        <v xml:space="preserve">   </v>
      </c>
    </row>
    <row r="804" spans="1:13" s="55" customFormat="1" hidden="1" x14ac:dyDescent="0.2">
      <c r="A804" s="298"/>
      <c r="B804" s="297"/>
      <c r="C804" s="115"/>
      <c r="D804" s="116"/>
      <c r="E804" s="117"/>
      <c r="F804" s="118"/>
      <c r="G804" s="113"/>
      <c r="H804" s="113"/>
      <c r="I804" s="112"/>
      <c r="J804" s="112"/>
      <c r="K804" s="86"/>
      <c r="L804" s="255"/>
      <c r="M804" s="114" t="str">
        <f t="shared" si="13"/>
        <v xml:space="preserve">   </v>
      </c>
    </row>
    <row r="805" spans="1:13" s="55" customFormat="1" hidden="1" x14ac:dyDescent="0.2">
      <c r="A805" s="298"/>
      <c r="B805" s="297"/>
      <c r="C805" s="115"/>
      <c r="D805" s="116"/>
      <c r="E805" s="117"/>
      <c r="F805" s="118"/>
      <c r="G805" s="113"/>
      <c r="H805" s="113"/>
      <c r="I805" s="112"/>
      <c r="J805" s="112"/>
      <c r="K805" s="86"/>
      <c r="L805" s="255"/>
      <c r="M805" s="114" t="str">
        <f t="shared" si="13"/>
        <v xml:space="preserve">   </v>
      </c>
    </row>
    <row r="806" spans="1:13" s="55" customFormat="1" hidden="1" x14ac:dyDescent="0.2">
      <c r="A806" s="298"/>
      <c r="B806" s="297"/>
      <c r="C806" s="115"/>
      <c r="D806" s="116"/>
      <c r="E806" s="117"/>
      <c r="F806" s="118"/>
      <c r="G806" s="113"/>
      <c r="H806" s="113"/>
      <c r="I806" s="112"/>
      <c r="J806" s="112"/>
      <c r="K806" s="86"/>
      <c r="L806" s="255"/>
      <c r="M806" s="114" t="str">
        <f t="shared" si="13"/>
        <v xml:space="preserve">   </v>
      </c>
    </row>
    <row r="807" spans="1:13" s="55" customFormat="1" hidden="1" x14ac:dyDescent="0.2">
      <c r="A807" s="298"/>
      <c r="B807" s="297"/>
      <c r="C807" s="115"/>
      <c r="D807" s="116"/>
      <c r="E807" s="117"/>
      <c r="F807" s="118"/>
      <c r="G807" s="113"/>
      <c r="H807" s="113"/>
      <c r="I807" s="112"/>
      <c r="J807" s="112"/>
      <c r="K807" s="86"/>
      <c r="L807" s="255"/>
      <c r="M807" s="114" t="str">
        <f t="shared" si="13"/>
        <v xml:space="preserve">   </v>
      </c>
    </row>
    <row r="808" spans="1:13" s="55" customFormat="1" hidden="1" x14ac:dyDescent="0.2">
      <c r="A808" s="298"/>
      <c r="B808" s="297"/>
      <c r="C808" s="115"/>
      <c r="D808" s="116"/>
      <c r="E808" s="117"/>
      <c r="F808" s="118"/>
      <c r="G808" s="113"/>
      <c r="H808" s="113"/>
      <c r="I808" s="112"/>
      <c r="J808" s="112"/>
      <c r="K808" s="86"/>
      <c r="L808" s="255"/>
      <c r="M808" s="114" t="str">
        <f t="shared" si="13"/>
        <v xml:space="preserve">   </v>
      </c>
    </row>
    <row r="809" spans="1:13" s="55" customFormat="1" hidden="1" x14ac:dyDescent="0.2">
      <c r="A809" s="298"/>
      <c r="B809" s="297"/>
      <c r="C809" s="115"/>
      <c r="D809" s="116"/>
      <c r="E809" s="117"/>
      <c r="F809" s="118"/>
      <c r="G809" s="113"/>
      <c r="H809" s="113"/>
      <c r="I809" s="112"/>
      <c r="J809" s="112"/>
      <c r="K809" s="86"/>
      <c r="L809" s="255"/>
      <c r="M809" s="114" t="str">
        <f t="shared" si="13"/>
        <v xml:space="preserve">   </v>
      </c>
    </row>
    <row r="810" spans="1:13" s="55" customFormat="1" hidden="1" x14ac:dyDescent="0.2">
      <c r="A810" s="298"/>
      <c r="B810" s="297"/>
      <c r="C810" s="115"/>
      <c r="D810" s="116"/>
      <c r="E810" s="117"/>
      <c r="F810" s="118"/>
      <c r="G810" s="113"/>
      <c r="H810" s="113"/>
      <c r="I810" s="112"/>
      <c r="J810" s="112"/>
      <c r="K810" s="86"/>
      <c r="L810" s="255"/>
      <c r="M810" s="114" t="str">
        <f t="shared" si="13"/>
        <v xml:space="preserve">   </v>
      </c>
    </row>
    <row r="811" spans="1:13" s="55" customFormat="1" hidden="1" x14ac:dyDescent="0.2">
      <c r="A811" s="298"/>
      <c r="B811" s="297"/>
      <c r="C811" s="115"/>
      <c r="D811" s="116"/>
      <c r="E811" s="117"/>
      <c r="F811" s="118"/>
      <c r="G811" s="113"/>
      <c r="H811" s="113"/>
      <c r="I811" s="112"/>
      <c r="J811" s="112"/>
      <c r="K811" s="86"/>
      <c r="L811" s="255"/>
      <c r="M811" s="114" t="str">
        <f t="shared" si="13"/>
        <v xml:space="preserve">   </v>
      </c>
    </row>
    <row r="812" spans="1:13" s="48" customFormat="1" ht="45.75" customHeight="1" x14ac:dyDescent="0.2">
      <c r="A812" s="298" t="s">
        <v>86</v>
      </c>
      <c r="B812" s="296" t="s">
        <v>108</v>
      </c>
      <c r="C812" s="112" t="s">
        <v>301</v>
      </c>
      <c r="D812" s="112" t="s">
        <v>304</v>
      </c>
      <c r="E812" s="194" t="s">
        <v>305</v>
      </c>
      <c r="F812" s="112" t="s">
        <v>306</v>
      </c>
      <c r="G812" s="113" t="s">
        <v>208</v>
      </c>
      <c r="H812" s="113" t="s">
        <v>307</v>
      </c>
      <c r="I812" s="194" t="s">
        <v>308</v>
      </c>
      <c r="J812" s="194" t="s">
        <v>309</v>
      </c>
      <c r="K812" s="86"/>
      <c r="L812" s="254" t="str">
        <f>CONCATENATE(C812," ",D812," ",E812," ",F812," ",C813," ",D813," ",E813," ",F813)</f>
        <v xml:space="preserve">CE2 C1 Utilizar aplicaciones y herramientas informáticas de las TIC de manera responsable y técnica.    </v>
      </c>
      <c r="M812" s="247" t="str">
        <f t="shared" si="13"/>
        <v>C1 I1 Emplea  aplicaciones de internet para publicar información,  respetando la propiedad intelectual.</v>
      </c>
    </row>
    <row r="813" spans="1:13" s="48" customFormat="1" ht="75.75" customHeight="1" x14ac:dyDescent="0.2">
      <c r="A813" s="298"/>
      <c r="B813" s="296"/>
      <c r="C813" s="120"/>
      <c r="D813" s="116"/>
      <c r="E813" s="117"/>
      <c r="F813" s="118"/>
      <c r="G813" s="113" t="s">
        <v>210</v>
      </c>
      <c r="H813" s="113" t="s">
        <v>310</v>
      </c>
      <c r="I813" s="194" t="s">
        <v>311</v>
      </c>
      <c r="J813" s="194" t="s">
        <v>312</v>
      </c>
      <c r="K813" s="86"/>
      <c r="L813" s="255"/>
      <c r="M813" s="247" t="str">
        <f t="shared" si="13"/>
        <v>C1 I2 Maneja  herramientas WEB que permita a los usuarios interactuar y colaborar  en la creación de contenidos facilitando el trabajo colaborativo.</v>
      </c>
    </row>
    <row r="814" spans="1:13" s="48" customFormat="1" hidden="1" x14ac:dyDescent="0.2">
      <c r="A814" s="298"/>
      <c r="B814" s="296"/>
      <c r="C814" s="115"/>
      <c r="D814" s="116"/>
      <c r="E814" s="117"/>
      <c r="F814" s="118"/>
      <c r="G814" s="113"/>
      <c r="H814" s="113"/>
      <c r="I814" s="112"/>
      <c r="J814" s="112"/>
      <c r="K814" s="86"/>
      <c r="L814" s="255"/>
      <c r="M814" s="114" t="str">
        <f t="shared" si="13"/>
        <v xml:space="preserve">   </v>
      </c>
    </row>
    <row r="815" spans="1:13" s="48" customFormat="1" hidden="1" x14ac:dyDescent="0.2">
      <c r="A815" s="298"/>
      <c r="B815" s="296"/>
      <c r="C815" s="115"/>
      <c r="D815" s="116"/>
      <c r="E815" s="117"/>
      <c r="F815" s="118"/>
      <c r="G815" s="113"/>
      <c r="H815" s="113"/>
      <c r="I815" s="112"/>
      <c r="J815" s="112"/>
      <c r="K815" s="86"/>
      <c r="L815" s="255"/>
      <c r="M815" s="114" t="str">
        <f t="shared" si="13"/>
        <v xml:space="preserve">   </v>
      </c>
    </row>
    <row r="816" spans="1:13" s="55" customFormat="1" hidden="1" x14ac:dyDescent="0.2">
      <c r="A816" s="298"/>
      <c r="B816" s="296"/>
      <c r="C816" s="115"/>
      <c r="D816" s="116"/>
      <c r="E816" s="117"/>
      <c r="F816" s="118"/>
      <c r="G816" s="113"/>
      <c r="H816" s="113"/>
      <c r="I816" s="112"/>
      <c r="J816" s="112"/>
      <c r="K816" s="86"/>
      <c r="L816" s="255"/>
      <c r="M816" s="114" t="str">
        <f t="shared" si="13"/>
        <v xml:space="preserve">   </v>
      </c>
    </row>
    <row r="817" spans="1:13" s="55" customFormat="1" hidden="1" x14ac:dyDescent="0.2">
      <c r="A817" s="298"/>
      <c r="B817" s="296"/>
      <c r="C817" s="115"/>
      <c r="D817" s="116"/>
      <c r="E817" s="117"/>
      <c r="F817" s="118"/>
      <c r="G817" s="113"/>
      <c r="H817" s="113"/>
      <c r="I817" s="112"/>
      <c r="J817" s="112"/>
      <c r="K817" s="86"/>
      <c r="L817" s="255"/>
      <c r="M817" s="114" t="str">
        <f t="shared" si="13"/>
        <v xml:space="preserve">   </v>
      </c>
    </row>
    <row r="818" spans="1:13" s="55" customFormat="1" hidden="1" x14ac:dyDescent="0.2">
      <c r="A818" s="298"/>
      <c r="B818" s="296"/>
      <c r="C818" s="115"/>
      <c r="D818" s="116"/>
      <c r="E818" s="117"/>
      <c r="F818" s="118"/>
      <c r="G818" s="113"/>
      <c r="H818" s="113"/>
      <c r="I818" s="112"/>
      <c r="J818" s="112"/>
      <c r="K818" s="86"/>
      <c r="L818" s="255"/>
      <c r="M818" s="114" t="str">
        <f t="shared" si="13"/>
        <v xml:space="preserve">   </v>
      </c>
    </row>
    <row r="819" spans="1:13" s="55" customFormat="1" hidden="1" x14ac:dyDescent="0.2">
      <c r="A819" s="298"/>
      <c r="B819" s="296"/>
      <c r="C819" s="115"/>
      <c r="D819" s="116"/>
      <c r="E819" s="117"/>
      <c r="F819" s="118"/>
      <c r="G819" s="113"/>
      <c r="H819" s="113"/>
      <c r="I819" s="112"/>
      <c r="J819" s="112"/>
      <c r="K819" s="86"/>
      <c r="L819" s="255"/>
      <c r="M819" s="114" t="str">
        <f t="shared" si="13"/>
        <v xml:space="preserve">   </v>
      </c>
    </row>
    <row r="820" spans="1:13" s="48" customFormat="1" hidden="1" x14ac:dyDescent="0.2">
      <c r="A820" s="298"/>
      <c r="B820" s="296"/>
      <c r="C820" s="115"/>
      <c r="D820" s="116"/>
      <c r="E820" s="117"/>
      <c r="F820" s="118"/>
      <c r="G820" s="113"/>
      <c r="H820" s="113"/>
      <c r="I820" s="112"/>
      <c r="J820" s="112"/>
      <c r="K820" s="86"/>
      <c r="L820" s="255"/>
      <c r="M820" s="114" t="str">
        <f t="shared" si="13"/>
        <v xml:space="preserve">   </v>
      </c>
    </row>
    <row r="821" spans="1:13" s="48" customFormat="1" hidden="1" x14ac:dyDescent="0.2">
      <c r="A821" s="298"/>
      <c r="B821" s="296"/>
      <c r="C821" s="121"/>
      <c r="D821" s="122"/>
      <c r="E821" s="123"/>
      <c r="F821" s="124"/>
      <c r="G821" s="113"/>
      <c r="H821" s="113"/>
      <c r="I821" s="112"/>
      <c r="J821" s="112"/>
      <c r="K821" s="86"/>
      <c r="L821" s="255"/>
      <c r="M821" s="114" t="str">
        <f t="shared" si="13"/>
        <v xml:space="preserve">   </v>
      </c>
    </row>
    <row r="822" spans="1:13" s="48" customFormat="1" ht="107.25" customHeight="1" x14ac:dyDescent="0.2">
      <c r="A822" s="298" t="s">
        <v>86</v>
      </c>
      <c r="B822" s="296" t="s">
        <v>108</v>
      </c>
      <c r="C822" s="112" t="s">
        <v>302</v>
      </c>
      <c r="D822" s="112" t="s">
        <v>304</v>
      </c>
      <c r="E822" s="112" t="s">
        <v>313</v>
      </c>
      <c r="F822" s="194" t="s">
        <v>621</v>
      </c>
      <c r="G822" s="113" t="s">
        <v>215</v>
      </c>
      <c r="H822" s="113" t="s">
        <v>307</v>
      </c>
      <c r="I822" s="194" t="s">
        <v>536</v>
      </c>
      <c r="J822" s="194" t="s">
        <v>537</v>
      </c>
      <c r="K822" s="86"/>
      <c r="L822" s="254" t="str">
        <f>CONCATENATE(C822," ",D822," ",E822," ",F822," ",C823," ",D823," ",E823," ",F823)</f>
        <v xml:space="preserve">CE2 C2 Utilizar software de aplicación  en la realización de tareas y requerimientos vinculados a su programa de estudio.    </v>
      </c>
      <c r="M822" s="247" t="str">
        <f t="shared" si="13"/>
        <v>C2 I1 Emplea  procesador de textos en la elaboración de documentos, teniendo en cuenta los requerimientos del contexto laboral y los formatos vinculados al programa de estudios.</v>
      </c>
    </row>
    <row r="823" spans="1:13" s="48" customFormat="1" ht="68.25" customHeight="1" x14ac:dyDescent="0.2">
      <c r="A823" s="298"/>
      <c r="B823" s="296"/>
      <c r="C823" s="120"/>
      <c r="D823" s="116"/>
      <c r="E823" s="117"/>
      <c r="F823" s="118"/>
      <c r="G823" s="113" t="s">
        <v>218</v>
      </c>
      <c r="H823" s="113" t="s">
        <v>489</v>
      </c>
      <c r="I823" s="194" t="s">
        <v>538</v>
      </c>
      <c r="J823" s="194" t="s">
        <v>622</v>
      </c>
      <c r="K823" s="86"/>
      <c r="L823" s="255"/>
      <c r="M823" s="247" t="str">
        <f t="shared" si="13"/>
        <v>C2 I2 Sistematiza información  utilizando la hoja de cálculo vinculándola al programa de estudios.</v>
      </c>
    </row>
    <row r="824" spans="1:13" s="48" customFormat="1" ht="37.5" customHeight="1" x14ac:dyDescent="0.2">
      <c r="A824" s="298"/>
      <c r="B824" s="296"/>
      <c r="C824" s="115"/>
      <c r="D824" s="116"/>
      <c r="E824" s="117"/>
      <c r="F824" s="118"/>
      <c r="G824" s="113" t="s">
        <v>219</v>
      </c>
      <c r="H824" s="113" t="s">
        <v>539</v>
      </c>
      <c r="I824" s="112" t="s">
        <v>540</v>
      </c>
      <c r="J824" s="194" t="s">
        <v>541</v>
      </c>
      <c r="K824" s="86"/>
      <c r="L824" s="255"/>
      <c r="M824" s="247" t="str">
        <f t="shared" si="13"/>
        <v>C2 I3 Realiza  presentaciones que sintetiza la información en diapositivas,   vinculándola al programa de estudios.</v>
      </c>
    </row>
    <row r="825" spans="1:13" s="48" customFormat="1" hidden="1" x14ac:dyDescent="0.2">
      <c r="A825" s="298"/>
      <c r="B825" s="296"/>
      <c r="C825" s="115"/>
      <c r="D825" s="116"/>
      <c r="E825" s="117"/>
      <c r="F825" s="118"/>
      <c r="G825" s="113"/>
      <c r="H825" s="113"/>
      <c r="I825" s="112"/>
      <c r="J825" s="112"/>
      <c r="K825" s="86"/>
      <c r="L825" s="255"/>
      <c r="M825" s="114" t="str">
        <f t="shared" si="13"/>
        <v xml:space="preserve">   </v>
      </c>
    </row>
    <row r="826" spans="1:13" s="55" customFormat="1" hidden="1" x14ac:dyDescent="0.2">
      <c r="A826" s="298"/>
      <c r="B826" s="296"/>
      <c r="C826" s="115"/>
      <c r="D826" s="116"/>
      <c r="E826" s="117"/>
      <c r="F826" s="118"/>
      <c r="G826" s="113"/>
      <c r="H826" s="113"/>
      <c r="I826" s="112"/>
      <c r="J826" s="112"/>
      <c r="K826" s="86"/>
      <c r="L826" s="255"/>
      <c r="M826" s="114" t="str">
        <f t="shared" si="13"/>
        <v xml:space="preserve">   </v>
      </c>
    </row>
    <row r="827" spans="1:13" s="55" customFormat="1" hidden="1" x14ac:dyDescent="0.2">
      <c r="A827" s="298"/>
      <c r="B827" s="296"/>
      <c r="C827" s="115"/>
      <c r="D827" s="116"/>
      <c r="E827" s="117"/>
      <c r="F827" s="118"/>
      <c r="G827" s="113"/>
      <c r="H827" s="113"/>
      <c r="I827" s="112"/>
      <c r="J827" s="112"/>
      <c r="K827" s="86"/>
      <c r="L827" s="255"/>
      <c r="M827" s="114" t="str">
        <f t="shared" si="13"/>
        <v xml:space="preserve">   </v>
      </c>
    </row>
    <row r="828" spans="1:13" s="55" customFormat="1" hidden="1" x14ac:dyDescent="0.2">
      <c r="A828" s="298"/>
      <c r="B828" s="296"/>
      <c r="C828" s="115"/>
      <c r="D828" s="116"/>
      <c r="E828" s="117"/>
      <c r="F828" s="118"/>
      <c r="G828" s="113"/>
      <c r="H828" s="113"/>
      <c r="I828" s="112"/>
      <c r="J828" s="112"/>
      <c r="K828" s="86"/>
      <c r="L828" s="255"/>
      <c r="M828" s="114" t="str">
        <f t="shared" si="13"/>
        <v xml:space="preserve">   </v>
      </c>
    </row>
    <row r="829" spans="1:13" s="55" customFormat="1" hidden="1" x14ac:dyDescent="0.2">
      <c r="A829" s="298"/>
      <c r="B829" s="296"/>
      <c r="C829" s="115"/>
      <c r="D829" s="116"/>
      <c r="E829" s="117"/>
      <c r="F829" s="118"/>
      <c r="G829" s="113"/>
      <c r="H829" s="113"/>
      <c r="I829" s="112"/>
      <c r="J829" s="112"/>
      <c r="K829" s="86"/>
      <c r="L829" s="255"/>
      <c r="M829" s="114" t="str">
        <f t="shared" si="13"/>
        <v xml:space="preserve">   </v>
      </c>
    </row>
    <row r="830" spans="1:13" s="48" customFormat="1" hidden="1" x14ac:dyDescent="0.2">
      <c r="A830" s="298"/>
      <c r="B830" s="296"/>
      <c r="C830" s="115"/>
      <c r="D830" s="116"/>
      <c r="E830" s="117"/>
      <c r="F830" s="118"/>
      <c r="G830" s="113"/>
      <c r="H830" s="113"/>
      <c r="I830" s="112"/>
      <c r="J830" s="112"/>
      <c r="K830" s="86"/>
      <c r="L830" s="255"/>
      <c r="M830" s="114" t="str">
        <f t="shared" si="13"/>
        <v xml:space="preserve">   </v>
      </c>
    </row>
    <row r="831" spans="1:13" s="48" customFormat="1" hidden="1" x14ac:dyDescent="0.2">
      <c r="A831" s="298"/>
      <c r="B831" s="296"/>
      <c r="C831" s="121"/>
      <c r="D831" s="122"/>
      <c r="E831" s="123"/>
      <c r="F831" s="124"/>
      <c r="G831" s="113"/>
      <c r="H831" s="113"/>
      <c r="I831" s="112"/>
      <c r="J831" s="112"/>
      <c r="K831" s="86"/>
      <c r="L831" s="256"/>
      <c r="M831" s="114" t="str">
        <f t="shared" si="13"/>
        <v xml:space="preserve">   </v>
      </c>
    </row>
    <row r="832" spans="1:13" s="48" customFormat="1" ht="15" hidden="1" customHeight="1" x14ac:dyDescent="0.2">
      <c r="A832" s="298" t="s">
        <v>86</v>
      </c>
      <c r="B832" s="296" t="s">
        <v>108</v>
      </c>
      <c r="C832" s="112"/>
      <c r="D832" s="112"/>
      <c r="E832" s="112"/>
      <c r="F832" s="112"/>
      <c r="G832" s="113"/>
      <c r="H832" s="113"/>
      <c r="I832" s="112"/>
      <c r="J832" s="112"/>
      <c r="K832" s="86"/>
      <c r="L832" s="254" t="str">
        <f>CONCATENATE(C832," ",D832," ",E832," ",F832," ",C833," ",D833," ",E833," ",F833)</f>
        <v xml:space="preserve">       </v>
      </c>
      <c r="M832" s="114" t="str">
        <f t="shared" si="13"/>
        <v xml:space="preserve">   </v>
      </c>
    </row>
    <row r="833" spans="1:13" s="48" customFormat="1" hidden="1" x14ac:dyDescent="0.2">
      <c r="A833" s="298"/>
      <c r="B833" s="296"/>
      <c r="C833" s="120"/>
      <c r="D833" s="116"/>
      <c r="E833" s="117"/>
      <c r="F833" s="118"/>
      <c r="G833" s="113"/>
      <c r="H833" s="113"/>
      <c r="I833" s="112"/>
      <c r="J833" s="112"/>
      <c r="K833" s="86"/>
      <c r="L833" s="255"/>
      <c r="M833" s="114" t="str">
        <f t="shared" si="13"/>
        <v xml:space="preserve">   </v>
      </c>
    </row>
    <row r="834" spans="1:13" s="48" customFormat="1" hidden="1" x14ac:dyDescent="0.2">
      <c r="A834" s="298"/>
      <c r="B834" s="296"/>
      <c r="C834" s="115"/>
      <c r="D834" s="116"/>
      <c r="E834" s="117"/>
      <c r="F834" s="118"/>
      <c r="G834" s="113"/>
      <c r="H834" s="113"/>
      <c r="I834" s="112"/>
      <c r="J834" s="112"/>
      <c r="K834" s="86"/>
      <c r="L834" s="255"/>
      <c r="M834" s="114" t="str">
        <f t="shared" si="13"/>
        <v xml:space="preserve">   </v>
      </c>
    </row>
    <row r="835" spans="1:13" s="48" customFormat="1" ht="6.75" hidden="1" customHeight="1" x14ac:dyDescent="0.2">
      <c r="A835" s="298"/>
      <c r="B835" s="296"/>
      <c r="C835" s="115"/>
      <c r="D835" s="116"/>
      <c r="E835" s="117"/>
      <c r="F835" s="118"/>
      <c r="G835" s="113"/>
      <c r="H835" s="113"/>
      <c r="I835" s="112"/>
      <c r="J835" s="112"/>
      <c r="K835" s="86"/>
      <c r="L835" s="255"/>
      <c r="M835" s="114" t="str">
        <f t="shared" si="13"/>
        <v xml:space="preserve">   </v>
      </c>
    </row>
    <row r="836" spans="1:13" s="55" customFormat="1" hidden="1" x14ac:dyDescent="0.2">
      <c r="A836" s="298"/>
      <c r="B836" s="296"/>
      <c r="C836" s="115"/>
      <c r="D836" s="116"/>
      <c r="E836" s="117"/>
      <c r="F836" s="118"/>
      <c r="G836" s="113"/>
      <c r="H836" s="113"/>
      <c r="I836" s="112"/>
      <c r="J836" s="112"/>
      <c r="K836" s="86"/>
      <c r="L836" s="255"/>
      <c r="M836" s="114" t="str">
        <f t="shared" si="13"/>
        <v xml:space="preserve">   </v>
      </c>
    </row>
    <row r="837" spans="1:13" s="55" customFormat="1" hidden="1" x14ac:dyDescent="0.2">
      <c r="A837" s="298"/>
      <c r="B837" s="296"/>
      <c r="C837" s="115"/>
      <c r="D837" s="116"/>
      <c r="E837" s="117"/>
      <c r="F837" s="118"/>
      <c r="G837" s="113"/>
      <c r="H837" s="113"/>
      <c r="I837" s="112"/>
      <c r="J837" s="112"/>
      <c r="K837" s="86"/>
      <c r="L837" s="255"/>
      <c r="M837" s="114" t="str">
        <f t="shared" si="13"/>
        <v xml:space="preserve">   </v>
      </c>
    </row>
    <row r="838" spans="1:13" s="55" customFormat="1" hidden="1" x14ac:dyDescent="0.2">
      <c r="A838" s="298"/>
      <c r="B838" s="296"/>
      <c r="C838" s="115"/>
      <c r="D838" s="116"/>
      <c r="E838" s="117"/>
      <c r="F838" s="118"/>
      <c r="G838" s="113"/>
      <c r="H838" s="113"/>
      <c r="I838" s="112"/>
      <c r="J838" s="112"/>
      <c r="K838" s="86"/>
      <c r="L838" s="255"/>
      <c r="M838" s="114" t="str">
        <f t="shared" si="13"/>
        <v xml:space="preserve">   </v>
      </c>
    </row>
    <row r="839" spans="1:13" s="55" customFormat="1" hidden="1" x14ac:dyDescent="0.2">
      <c r="A839" s="298"/>
      <c r="B839" s="296"/>
      <c r="C839" s="115"/>
      <c r="D839" s="116"/>
      <c r="E839" s="117"/>
      <c r="F839" s="118"/>
      <c r="G839" s="113"/>
      <c r="H839" s="113"/>
      <c r="I839" s="112"/>
      <c r="J839" s="112"/>
      <c r="K839" s="86"/>
      <c r="L839" s="255"/>
      <c r="M839" s="114" t="str">
        <f t="shared" si="13"/>
        <v xml:space="preserve">   </v>
      </c>
    </row>
    <row r="840" spans="1:13" s="48" customFormat="1" hidden="1" x14ac:dyDescent="0.2">
      <c r="A840" s="298"/>
      <c r="B840" s="296"/>
      <c r="C840" s="115"/>
      <c r="D840" s="116"/>
      <c r="E840" s="117"/>
      <c r="F840" s="118"/>
      <c r="G840" s="113"/>
      <c r="H840" s="113"/>
      <c r="I840" s="112"/>
      <c r="J840" s="112"/>
      <c r="K840" s="86"/>
      <c r="L840" s="255"/>
      <c r="M840" s="114" t="str">
        <f t="shared" si="13"/>
        <v xml:space="preserve">   </v>
      </c>
    </row>
    <row r="841" spans="1:13" s="48" customFormat="1" hidden="1" x14ac:dyDescent="0.2">
      <c r="A841" s="298"/>
      <c r="B841" s="296"/>
      <c r="C841" s="121"/>
      <c r="D841" s="122"/>
      <c r="E841" s="123"/>
      <c r="F841" s="124"/>
      <c r="G841" s="113"/>
      <c r="H841" s="113"/>
      <c r="I841" s="112"/>
      <c r="J841" s="112"/>
      <c r="K841" s="86"/>
      <c r="L841" s="255"/>
      <c r="M841" s="114" t="str">
        <f t="shared" si="13"/>
        <v xml:space="preserve">   </v>
      </c>
    </row>
    <row r="842" spans="1:13" s="48" customFormat="1" ht="15" hidden="1" customHeight="1" x14ac:dyDescent="0.2">
      <c r="A842" s="298" t="s">
        <v>86</v>
      </c>
      <c r="B842" s="296" t="s">
        <v>108</v>
      </c>
      <c r="C842" s="112"/>
      <c r="D842" s="112"/>
      <c r="E842" s="112"/>
      <c r="F842" s="112"/>
      <c r="G842" s="113"/>
      <c r="H842" s="113"/>
      <c r="I842" s="112"/>
      <c r="J842" s="112"/>
      <c r="K842" s="86"/>
      <c r="L842" s="254" t="str">
        <f>CONCATENATE(C842," ",D842," ",E842," ",F842," ",C843," ",D843," ",E843," ",F843)</f>
        <v xml:space="preserve">       </v>
      </c>
      <c r="M842" s="114" t="str">
        <f t="shared" si="13"/>
        <v xml:space="preserve">   </v>
      </c>
    </row>
    <row r="843" spans="1:13" s="48" customFormat="1" hidden="1" x14ac:dyDescent="0.2">
      <c r="A843" s="298"/>
      <c r="B843" s="296"/>
      <c r="C843" s="120"/>
      <c r="D843" s="116"/>
      <c r="E843" s="117"/>
      <c r="F843" s="118"/>
      <c r="G843" s="113"/>
      <c r="H843" s="113"/>
      <c r="I843" s="112"/>
      <c r="J843" s="112"/>
      <c r="K843" s="86"/>
      <c r="L843" s="255"/>
      <c r="M843" s="114" t="str">
        <f t="shared" ref="M843:M906" si="14">CONCATENATE(G843," ",H843," ",I843," ",J843)</f>
        <v xml:space="preserve">   </v>
      </c>
    </row>
    <row r="844" spans="1:13" s="48" customFormat="1" hidden="1" x14ac:dyDescent="0.2">
      <c r="A844" s="298"/>
      <c r="B844" s="296"/>
      <c r="C844" s="115"/>
      <c r="D844" s="116"/>
      <c r="E844" s="117"/>
      <c r="F844" s="118"/>
      <c r="G844" s="113"/>
      <c r="H844" s="113"/>
      <c r="I844" s="112"/>
      <c r="J844" s="112"/>
      <c r="K844" s="86"/>
      <c r="L844" s="255"/>
      <c r="M844" s="114" t="str">
        <f t="shared" si="14"/>
        <v xml:space="preserve">   </v>
      </c>
    </row>
    <row r="845" spans="1:13" s="48" customFormat="1" hidden="1" x14ac:dyDescent="0.2">
      <c r="A845" s="298"/>
      <c r="B845" s="296"/>
      <c r="C845" s="115"/>
      <c r="D845" s="116"/>
      <c r="E845" s="117"/>
      <c r="F845" s="118"/>
      <c r="G845" s="113"/>
      <c r="H845" s="113"/>
      <c r="I845" s="112"/>
      <c r="J845" s="112"/>
      <c r="K845" s="86"/>
      <c r="L845" s="255"/>
      <c r="M845" s="114" t="str">
        <f t="shared" si="14"/>
        <v xml:space="preserve">   </v>
      </c>
    </row>
    <row r="846" spans="1:13" s="55" customFormat="1" hidden="1" x14ac:dyDescent="0.2">
      <c r="A846" s="298"/>
      <c r="B846" s="296"/>
      <c r="C846" s="115"/>
      <c r="D846" s="116"/>
      <c r="E846" s="117"/>
      <c r="F846" s="118"/>
      <c r="G846" s="113"/>
      <c r="H846" s="113"/>
      <c r="I846" s="112"/>
      <c r="J846" s="112"/>
      <c r="K846" s="86"/>
      <c r="L846" s="255"/>
      <c r="M846" s="114" t="str">
        <f t="shared" si="14"/>
        <v xml:space="preserve">   </v>
      </c>
    </row>
    <row r="847" spans="1:13" s="55" customFormat="1" hidden="1" x14ac:dyDescent="0.2">
      <c r="A847" s="298"/>
      <c r="B847" s="296"/>
      <c r="C847" s="115"/>
      <c r="D847" s="116"/>
      <c r="E847" s="117"/>
      <c r="F847" s="118"/>
      <c r="G847" s="113"/>
      <c r="H847" s="113"/>
      <c r="I847" s="112"/>
      <c r="J847" s="112"/>
      <c r="K847" s="86"/>
      <c r="L847" s="255"/>
      <c r="M847" s="114" t="str">
        <f t="shared" si="14"/>
        <v xml:space="preserve">   </v>
      </c>
    </row>
    <row r="848" spans="1:13" s="55" customFormat="1" hidden="1" x14ac:dyDescent="0.2">
      <c r="A848" s="298"/>
      <c r="B848" s="296"/>
      <c r="C848" s="115"/>
      <c r="D848" s="116"/>
      <c r="E848" s="117"/>
      <c r="F848" s="118"/>
      <c r="G848" s="113"/>
      <c r="H848" s="113"/>
      <c r="I848" s="112"/>
      <c r="J848" s="112"/>
      <c r="K848" s="86"/>
      <c r="L848" s="255"/>
      <c r="M848" s="114" t="str">
        <f t="shared" si="14"/>
        <v xml:space="preserve">   </v>
      </c>
    </row>
    <row r="849" spans="1:13" s="55" customFormat="1" hidden="1" x14ac:dyDescent="0.2">
      <c r="A849" s="298"/>
      <c r="B849" s="296"/>
      <c r="C849" s="115"/>
      <c r="D849" s="116"/>
      <c r="E849" s="117"/>
      <c r="F849" s="118"/>
      <c r="G849" s="113"/>
      <c r="H849" s="113"/>
      <c r="I849" s="112"/>
      <c r="J849" s="112"/>
      <c r="K849" s="86"/>
      <c r="L849" s="255"/>
      <c r="M849" s="114" t="str">
        <f t="shared" si="14"/>
        <v xml:space="preserve">   </v>
      </c>
    </row>
    <row r="850" spans="1:13" s="48" customFormat="1" hidden="1" x14ac:dyDescent="0.2">
      <c r="A850" s="298"/>
      <c r="B850" s="296"/>
      <c r="C850" s="115"/>
      <c r="D850" s="116"/>
      <c r="E850" s="117"/>
      <c r="F850" s="118"/>
      <c r="G850" s="113"/>
      <c r="H850" s="113"/>
      <c r="I850" s="112"/>
      <c r="J850" s="112"/>
      <c r="K850" s="86"/>
      <c r="L850" s="255"/>
      <c r="M850" s="114" t="str">
        <f t="shared" si="14"/>
        <v xml:space="preserve">   </v>
      </c>
    </row>
    <row r="851" spans="1:13" s="48" customFormat="1" hidden="1" x14ac:dyDescent="0.2">
      <c r="A851" s="298"/>
      <c r="B851" s="296"/>
      <c r="C851" s="121"/>
      <c r="D851" s="122"/>
      <c r="E851" s="123"/>
      <c r="F851" s="124"/>
      <c r="G851" s="113"/>
      <c r="H851" s="113"/>
      <c r="I851" s="112"/>
      <c r="J851" s="112"/>
      <c r="K851" s="86"/>
      <c r="L851" s="256"/>
      <c r="M851" s="114" t="str">
        <f t="shared" si="14"/>
        <v xml:space="preserve">   </v>
      </c>
    </row>
    <row r="852" spans="1:13" s="48" customFormat="1" ht="15" hidden="1" customHeight="1" x14ac:dyDescent="0.2">
      <c r="A852" s="298" t="s">
        <v>86</v>
      </c>
      <c r="B852" s="296" t="s">
        <v>108</v>
      </c>
      <c r="C852" s="112"/>
      <c r="D852" s="112"/>
      <c r="E852" s="112"/>
      <c r="F852" s="112"/>
      <c r="G852" s="113"/>
      <c r="H852" s="113"/>
      <c r="I852" s="112"/>
      <c r="J852" s="112"/>
      <c r="K852" s="86"/>
      <c r="L852" s="254" t="str">
        <f>CONCATENATE(C852," ",D852," ",E852," ",F852," ",C853," ",D853," ",E853," ",F853)</f>
        <v xml:space="preserve">       </v>
      </c>
      <c r="M852" s="114" t="str">
        <f t="shared" si="14"/>
        <v xml:space="preserve">   </v>
      </c>
    </row>
    <row r="853" spans="1:13" s="48" customFormat="1" hidden="1" x14ac:dyDescent="0.2">
      <c r="A853" s="298"/>
      <c r="B853" s="296"/>
      <c r="C853" s="120"/>
      <c r="D853" s="116"/>
      <c r="E853" s="117"/>
      <c r="F853" s="118"/>
      <c r="G853" s="113"/>
      <c r="H853" s="113"/>
      <c r="I853" s="112"/>
      <c r="J853" s="112"/>
      <c r="K853" s="86"/>
      <c r="L853" s="255"/>
      <c r="M853" s="114" t="str">
        <f t="shared" si="14"/>
        <v xml:space="preserve">   </v>
      </c>
    </row>
    <row r="854" spans="1:13" s="48" customFormat="1" hidden="1" x14ac:dyDescent="0.2">
      <c r="A854" s="298"/>
      <c r="B854" s="296"/>
      <c r="C854" s="115"/>
      <c r="D854" s="116"/>
      <c r="E854" s="117"/>
      <c r="F854" s="118"/>
      <c r="G854" s="113"/>
      <c r="H854" s="113"/>
      <c r="I854" s="112"/>
      <c r="J854" s="112"/>
      <c r="K854" s="86"/>
      <c r="L854" s="255"/>
      <c r="M854" s="114" t="str">
        <f t="shared" si="14"/>
        <v xml:space="preserve">   </v>
      </c>
    </row>
    <row r="855" spans="1:13" s="48" customFormat="1" hidden="1" x14ac:dyDescent="0.2">
      <c r="A855" s="298"/>
      <c r="B855" s="296"/>
      <c r="C855" s="115"/>
      <c r="D855" s="116"/>
      <c r="E855" s="117"/>
      <c r="F855" s="118"/>
      <c r="G855" s="113"/>
      <c r="H855" s="113"/>
      <c r="I855" s="112"/>
      <c r="J855" s="112"/>
      <c r="K855" s="86"/>
      <c r="L855" s="255"/>
      <c r="M855" s="114" t="str">
        <f t="shared" si="14"/>
        <v xml:space="preserve">   </v>
      </c>
    </row>
    <row r="856" spans="1:13" s="55" customFormat="1" hidden="1" x14ac:dyDescent="0.2">
      <c r="A856" s="298"/>
      <c r="B856" s="296"/>
      <c r="C856" s="115"/>
      <c r="D856" s="116"/>
      <c r="E856" s="117"/>
      <c r="F856" s="118"/>
      <c r="G856" s="113"/>
      <c r="H856" s="113"/>
      <c r="I856" s="112"/>
      <c r="J856" s="112"/>
      <c r="K856" s="86"/>
      <c r="L856" s="255"/>
      <c r="M856" s="114" t="str">
        <f t="shared" si="14"/>
        <v xml:space="preserve">   </v>
      </c>
    </row>
    <row r="857" spans="1:13" s="55" customFormat="1" hidden="1" x14ac:dyDescent="0.2">
      <c r="A857" s="298"/>
      <c r="B857" s="296"/>
      <c r="C857" s="115"/>
      <c r="D857" s="116"/>
      <c r="E857" s="117"/>
      <c r="F857" s="118"/>
      <c r="G857" s="113"/>
      <c r="H857" s="113"/>
      <c r="I857" s="112"/>
      <c r="J857" s="112"/>
      <c r="K857" s="86"/>
      <c r="L857" s="255"/>
      <c r="M857" s="114" t="str">
        <f t="shared" si="14"/>
        <v xml:space="preserve">   </v>
      </c>
    </row>
    <row r="858" spans="1:13" s="55" customFormat="1" hidden="1" x14ac:dyDescent="0.2">
      <c r="A858" s="298"/>
      <c r="B858" s="296"/>
      <c r="C858" s="115"/>
      <c r="D858" s="116"/>
      <c r="E858" s="117"/>
      <c r="F858" s="118"/>
      <c r="G858" s="113"/>
      <c r="H858" s="113"/>
      <c r="I858" s="112"/>
      <c r="J858" s="112"/>
      <c r="K858" s="86"/>
      <c r="L858" s="255"/>
      <c r="M858" s="114" t="str">
        <f t="shared" si="14"/>
        <v xml:space="preserve">   </v>
      </c>
    </row>
    <row r="859" spans="1:13" s="55" customFormat="1" hidden="1" x14ac:dyDescent="0.2">
      <c r="A859" s="298"/>
      <c r="B859" s="296"/>
      <c r="C859" s="115"/>
      <c r="D859" s="116"/>
      <c r="E859" s="117"/>
      <c r="F859" s="118"/>
      <c r="G859" s="113"/>
      <c r="H859" s="113"/>
      <c r="I859" s="112"/>
      <c r="J859" s="112"/>
      <c r="K859" s="86"/>
      <c r="L859" s="255"/>
      <c r="M859" s="114" t="str">
        <f t="shared" si="14"/>
        <v xml:space="preserve">   </v>
      </c>
    </row>
    <row r="860" spans="1:13" s="48" customFormat="1" hidden="1" x14ac:dyDescent="0.2">
      <c r="A860" s="298"/>
      <c r="B860" s="296"/>
      <c r="C860" s="115"/>
      <c r="D860" s="116"/>
      <c r="E860" s="117"/>
      <c r="F860" s="118"/>
      <c r="G860" s="113"/>
      <c r="H860" s="113"/>
      <c r="I860" s="112"/>
      <c r="J860" s="112"/>
      <c r="K860" s="86"/>
      <c r="L860" s="255"/>
      <c r="M860" s="114" t="str">
        <f t="shared" si="14"/>
        <v xml:space="preserve">   </v>
      </c>
    </row>
    <row r="861" spans="1:13" s="48" customFormat="1" hidden="1" x14ac:dyDescent="0.2">
      <c r="A861" s="298"/>
      <c r="B861" s="296"/>
      <c r="C861" s="121"/>
      <c r="D861" s="122"/>
      <c r="E861" s="123"/>
      <c r="F861" s="124"/>
      <c r="G861" s="113"/>
      <c r="H861" s="113"/>
      <c r="I861" s="112"/>
      <c r="J861" s="112"/>
      <c r="K861" s="86"/>
      <c r="L861" s="255"/>
      <c r="M861" s="114" t="str">
        <f t="shared" si="14"/>
        <v xml:space="preserve">   </v>
      </c>
    </row>
    <row r="862" spans="1:13" s="48" customFormat="1" ht="15" hidden="1" customHeight="1" x14ac:dyDescent="0.2">
      <c r="A862" s="298" t="s">
        <v>86</v>
      </c>
      <c r="B862" s="296" t="s">
        <v>108</v>
      </c>
      <c r="C862" s="112"/>
      <c r="D862" s="112"/>
      <c r="E862" s="112"/>
      <c r="F862" s="112"/>
      <c r="G862" s="113"/>
      <c r="H862" s="113"/>
      <c r="I862" s="112"/>
      <c r="J862" s="112"/>
      <c r="K862" s="86"/>
      <c r="L862" s="254" t="str">
        <f>CONCATENATE(C862," ",D862," ",E862," ",F862," ",C863," ",D863," ",E863," ",F863)</f>
        <v xml:space="preserve">       </v>
      </c>
      <c r="M862" s="114" t="str">
        <f t="shared" si="14"/>
        <v xml:space="preserve">   </v>
      </c>
    </row>
    <row r="863" spans="1:13" s="48" customFormat="1" hidden="1" x14ac:dyDescent="0.2">
      <c r="A863" s="298"/>
      <c r="B863" s="296"/>
      <c r="C863" s="120"/>
      <c r="D863" s="116"/>
      <c r="E863" s="117"/>
      <c r="F863" s="118"/>
      <c r="G863" s="113"/>
      <c r="H863" s="113"/>
      <c r="I863" s="112"/>
      <c r="J863" s="112"/>
      <c r="K863" s="86"/>
      <c r="L863" s="255"/>
      <c r="M863" s="114" t="str">
        <f t="shared" si="14"/>
        <v xml:space="preserve">   </v>
      </c>
    </row>
    <row r="864" spans="1:13" s="48" customFormat="1" hidden="1" x14ac:dyDescent="0.2">
      <c r="A864" s="298"/>
      <c r="B864" s="296"/>
      <c r="C864" s="115"/>
      <c r="D864" s="116"/>
      <c r="E864" s="117"/>
      <c r="F864" s="118"/>
      <c r="G864" s="113"/>
      <c r="H864" s="113"/>
      <c r="I864" s="112"/>
      <c r="J864" s="112"/>
      <c r="K864" s="86"/>
      <c r="L864" s="255"/>
      <c r="M864" s="114" t="str">
        <f t="shared" si="14"/>
        <v xml:space="preserve">   </v>
      </c>
    </row>
    <row r="865" spans="1:13" s="48" customFormat="1" hidden="1" x14ac:dyDescent="0.2">
      <c r="A865" s="298"/>
      <c r="B865" s="296"/>
      <c r="C865" s="115"/>
      <c r="D865" s="116"/>
      <c r="E865" s="117"/>
      <c r="F865" s="118"/>
      <c r="G865" s="113"/>
      <c r="H865" s="113"/>
      <c r="I865" s="112"/>
      <c r="J865" s="112"/>
      <c r="K865" s="86"/>
      <c r="L865" s="255"/>
      <c r="M865" s="114" t="str">
        <f t="shared" si="14"/>
        <v xml:space="preserve">   </v>
      </c>
    </row>
    <row r="866" spans="1:13" s="55" customFormat="1" hidden="1" x14ac:dyDescent="0.2">
      <c r="A866" s="298"/>
      <c r="B866" s="296"/>
      <c r="C866" s="115"/>
      <c r="D866" s="116"/>
      <c r="E866" s="117"/>
      <c r="F866" s="118"/>
      <c r="G866" s="113"/>
      <c r="H866" s="113"/>
      <c r="I866" s="112"/>
      <c r="J866" s="112"/>
      <c r="K866" s="86"/>
      <c r="L866" s="255"/>
      <c r="M866" s="114" t="str">
        <f t="shared" si="14"/>
        <v xml:space="preserve">   </v>
      </c>
    </row>
    <row r="867" spans="1:13" s="55" customFormat="1" hidden="1" x14ac:dyDescent="0.2">
      <c r="A867" s="298"/>
      <c r="B867" s="296"/>
      <c r="C867" s="115"/>
      <c r="D867" s="116"/>
      <c r="E867" s="117"/>
      <c r="F867" s="118"/>
      <c r="G867" s="113"/>
      <c r="H867" s="113"/>
      <c r="I867" s="112"/>
      <c r="J867" s="112"/>
      <c r="K867" s="86"/>
      <c r="L867" s="255"/>
      <c r="M867" s="114" t="str">
        <f t="shared" si="14"/>
        <v xml:space="preserve">   </v>
      </c>
    </row>
    <row r="868" spans="1:13" s="55" customFormat="1" hidden="1" x14ac:dyDescent="0.2">
      <c r="A868" s="298"/>
      <c r="B868" s="296"/>
      <c r="C868" s="115"/>
      <c r="D868" s="116"/>
      <c r="E868" s="117"/>
      <c r="F868" s="118"/>
      <c r="G868" s="113"/>
      <c r="H868" s="113"/>
      <c r="I868" s="112"/>
      <c r="J868" s="112"/>
      <c r="K868" s="86"/>
      <c r="L868" s="255"/>
      <c r="M868" s="114" t="str">
        <f t="shared" si="14"/>
        <v xml:space="preserve">   </v>
      </c>
    </row>
    <row r="869" spans="1:13" s="55" customFormat="1" hidden="1" x14ac:dyDescent="0.2">
      <c r="A869" s="298"/>
      <c r="B869" s="296"/>
      <c r="C869" s="115"/>
      <c r="D869" s="116"/>
      <c r="E869" s="117"/>
      <c r="F869" s="118"/>
      <c r="G869" s="113"/>
      <c r="H869" s="113"/>
      <c r="I869" s="112"/>
      <c r="J869" s="112"/>
      <c r="K869" s="86"/>
      <c r="L869" s="255"/>
      <c r="M869" s="114" t="str">
        <f t="shared" si="14"/>
        <v xml:space="preserve">   </v>
      </c>
    </row>
    <row r="870" spans="1:13" s="48" customFormat="1" hidden="1" x14ac:dyDescent="0.2">
      <c r="A870" s="298"/>
      <c r="B870" s="296"/>
      <c r="C870" s="115"/>
      <c r="D870" s="116"/>
      <c r="E870" s="117"/>
      <c r="F870" s="118"/>
      <c r="G870" s="113"/>
      <c r="H870" s="113"/>
      <c r="I870" s="112"/>
      <c r="J870" s="112"/>
      <c r="K870" s="86"/>
      <c r="L870" s="255"/>
      <c r="M870" s="114" t="str">
        <f t="shared" si="14"/>
        <v xml:space="preserve">   </v>
      </c>
    </row>
    <row r="871" spans="1:13" s="48" customFormat="1" hidden="1" x14ac:dyDescent="0.2">
      <c r="A871" s="298"/>
      <c r="B871" s="296"/>
      <c r="C871" s="121"/>
      <c r="D871" s="122"/>
      <c r="E871" s="123"/>
      <c r="F871" s="124"/>
      <c r="G871" s="113"/>
      <c r="H871" s="113"/>
      <c r="I871" s="112"/>
      <c r="J871" s="112"/>
      <c r="K871" s="86"/>
      <c r="L871" s="256"/>
      <c r="M871" s="114" t="str">
        <f t="shared" si="14"/>
        <v xml:space="preserve">   </v>
      </c>
    </row>
    <row r="872" spans="1:13" s="48" customFormat="1" ht="15" hidden="1" customHeight="1" x14ac:dyDescent="0.2">
      <c r="A872" s="298" t="s">
        <v>86</v>
      </c>
      <c r="B872" s="296" t="s">
        <v>108</v>
      </c>
      <c r="C872" s="112"/>
      <c r="D872" s="112"/>
      <c r="E872" s="112"/>
      <c r="F872" s="112"/>
      <c r="G872" s="113"/>
      <c r="H872" s="113"/>
      <c r="I872" s="112"/>
      <c r="J872" s="112"/>
      <c r="K872" s="86"/>
      <c r="L872" s="254" t="str">
        <f>CONCATENATE(C872," ",D872," ",E872," ",F872," ",C873," ",D873," ",E873," ",F873)</f>
        <v xml:space="preserve">       </v>
      </c>
      <c r="M872" s="114" t="str">
        <f t="shared" si="14"/>
        <v xml:space="preserve">   </v>
      </c>
    </row>
    <row r="873" spans="1:13" s="48" customFormat="1" hidden="1" x14ac:dyDescent="0.2">
      <c r="A873" s="298"/>
      <c r="B873" s="296"/>
      <c r="C873" s="120"/>
      <c r="D873" s="116"/>
      <c r="E873" s="117"/>
      <c r="F873" s="118"/>
      <c r="G873" s="113"/>
      <c r="H873" s="113"/>
      <c r="I873" s="112"/>
      <c r="J873" s="112"/>
      <c r="K873" s="86"/>
      <c r="L873" s="255"/>
      <c r="M873" s="114" t="str">
        <f t="shared" si="14"/>
        <v xml:space="preserve">   </v>
      </c>
    </row>
    <row r="874" spans="1:13" s="48" customFormat="1" hidden="1" x14ac:dyDescent="0.2">
      <c r="A874" s="298"/>
      <c r="B874" s="296"/>
      <c r="C874" s="115"/>
      <c r="D874" s="116"/>
      <c r="E874" s="117"/>
      <c r="F874" s="118"/>
      <c r="G874" s="113"/>
      <c r="H874" s="113"/>
      <c r="I874" s="112"/>
      <c r="J874" s="112"/>
      <c r="K874" s="86"/>
      <c r="L874" s="255"/>
      <c r="M874" s="114" t="str">
        <f t="shared" si="14"/>
        <v xml:space="preserve">   </v>
      </c>
    </row>
    <row r="875" spans="1:13" s="48" customFormat="1" hidden="1" x14ac:dyDescent="0.2">
      <c r="A875" s="298"/>
      <c r="B875" s="296"/>
      <c r="C875" s="115"/>
      <c r="D875" s="116"/>
      <c r="E875" s="117"/>
      <c r="F875" s="118"/>
      <c r="G875" s="113"/>
      <c r="H875" s="113"/>
      <c r="I875" s="112"/>
      <c r="J875" s="112"/>
      <c r="K875" s="86"/>
      <c r="L875" s="255"/>
      <c r="M875" s="114" t="str">
        <f t="shared" si="14"/>
        <v xml:space="preserve">   </v>
      </c>
    </row>
    <row r="876" spans="1:13" s="55" customFormat="1" hidden="1" x14ac:dyDescent="0.2">
      <c r="A876" s="298"/>
      <c r="B876" s="296"/>
      <c r="C876" s="115"/>
      <c r="D876" s="116"/>
      <c r="E876" s="117"/>
      <c r="F876" s="118"/>
      <c r="G876" s="113"/>
      <c r="H876" s="113"/>
      <c r="I876" s="112"/>
      <c r="J876" s="112"/>
      <c r="K876" s="86"/>
      <c r="L876" s="255"/>
      <c r="M876" s="114" t="str">
        <f t="shared" si="14"/>
        <v xml:space="preserve">   </v>
      </c>
    </row>
    <row r="877" spans="1:13" s="55" customFormat="1" hidden="1" x14ac:dyDescent="0.2">
      <c r="A877" s="298"/>
      <c r="B877" s="296"/>
      <c r="C877" s="115"/>
      <c r="D877" s="116"/>
      <c r="E877" s="117"/>
      <c r="F877" s="118"/>
      <c r="G877" s="113"/>
      <c r="H877" s="113"/>
      <c r="I877" s="112"/>
      <c r="J877" s="112"/>
      <c r="K877" s="86"/>
      <c r="L877" s="255"/>
      <c r="M877" s="114" t="str">
        <f t="shared" si="14"/>
        <v xml:space="preserve">   </v>
      </c>
    </row>
    <row r="878" spans="1:13" s="55" customFormat="1" hidden="1" x14ac:dyDescent="0.2">
      <c r="A878" s="298"/>
      <c r="B878" s="296"/>
      <c r="C878" s="115"/>
      <c r="D878" s="116"/>
      <c r="E878" s="117"/>
      <c r="F878" s="118"/>
      <c r="G878" s="113"/>
      <c r="H878" s="113"/>
      <c r="I878" s="112"/>
      <c r="J878" s="112"/>
      <c r="K878" s="86"/>
      <c r="L878" s="255"/>
      <c r="M878" s="114" t="str">
        <f t="shared" si="14"/>
        <v xml:space="preserve">   </v>
      </c>
    </row>
    <row r="879" spans="1:13" s="55" customFormat="1" hidden="1" x14ac:dyDescent="0.2">
      <c r="A879" s="298"/>
      <c r="B879" s="296"/>
      <c r="C879" s="115"/>
      <c r="D879" s="116"/>
      <c r="E879" s="117"/>
      <c r="F879" s="118"/>
      <c r="G879" s="113"/>
      <c r="H879" s="113"/>
      <c r="I879" s="112"/>
      <c r="J879" s="112"/>
      <c r="K879" s="86"/>
      <c r="L879" s="255"/>
      <c r="M879" s="114" t="str">
        <f t="shared" si="14"/>
        <v xml:space="preserve">   </v>
      </c>
    </row>
    <row r="880" spans="1:13" s="48" customFormat="1" hidden="1" x14ac:dyDescent="0.2">
      <c r="A880" s="298"/>
      <c r="B880" s="296"/>
      <c r="C880" s="115"/>
      <c r="D880" s="116"/>
      <c r="E880" s="117"/>
      <c r="F880" s="118"/>
      <c r="G880" s="113"/>
      <c r="H880" s="113"/>
      <c r="I880" s="112"/>
      <c r="J880" s="112"/>
      <c r="K880" s="86"/>
      <c r="L880" s="255"/>
      <c r="M880" s="114" t="str">
        <f t="shared" si="14"/>
        <v xml:space="preserve">   </v>
      </c>
    </row>
    <row r="881" spans="1:13" s="48" customFormat="1" hidden="1" x14ac:dyDescent="0.2">
      <c r="A881" s="298"/>
      <c r="B881" s="296"/>
      <c r="C881" s="121"/>
      <c r="D881" s="122"/>
      <c r="E881" s="123"/>
      <c r="F881" s="124"/>
      <c r="G881" s="113"/>
      <c r="H881" s="113"/>
      <c r="I881" s="112"/>
      <c r="J881" s="112"/>
      <c r="K881" s="86"/>
      <c r="L881" s="255"/>
      <c r="M881" s="114" t="str">
        <f t="shared" si="14"/>
        <v xml:space="preserve">   </v>
      </c>
    </row>
    <row r="882" spans="1:13" s="48" customFormat="1" ht="15" hidden="1" customHeight="1" x14ac:dyDescent="0.2">
      <c r="A882" s="298" t="s">
        <v>86</v>
      </c>
      <c r="B882" s="296" t="s">
        <v>108</v>
      </c>
      <c r="C882" s="112"/>
      <c r="D882" s="112"/>
      <c r="E882" s="112"/>
      <c r="F882" s="112"/>
      <c r="G882" s="113"/>
      <c r="H882" s="113"/>
      <c r="I882" s="112"/>
      <c r="J882" s="112"/>
      <c r="K882" s="86"/>
      <c r="L882" s="254" t="str">
        <f>CONCATENATE(C882," ",D882," ",E882," ",F882," ",C883," ",D883," ",E883," ",F883)</f>
        <v xml:space="preserve">       </v>
      </c>
      <c r="M882" s="114" t="str">
        <f t="shared" si="14"/>
        <v xml:space="preserve">   </v>
      </c>
    </row>
    <row r="883" spans="1:13" s="48" customFormat="1" hidden="1" x14ac:dyDescent="0.2">
      <c r="A883" s="298"/>
      <c r="B883" s="296"/>
      <c r="C883" s="120"/>
      <c r="D883" s="116"/>
      <c r="E883" s="117"/>
      <c r="F883" s="118"/>
      <c r="G883" s="113"/>
      <c r="H883" s="113"/>
      <c r="I883" s="112"/>
      <c r="J883" s="112"/>
      <c r="K883" s="86"/>
      <c r="L883" s="255"/>
      <c r="M883" s="114" t="str">
        <f t="shared" si="14"/>
        <v xml:space="preserve">   </v>
      </c>
    </row>
    <row r="884" spans="1:13" s="48" customFormat="1" hidden="1" x14ac:dyDescent="0.2">
      <c r="A884" s="298"/>
      <c r="B884" s="296"/>
      <c r="C884" s="115"/>
      <c r="D884" s="116"/>
      <c r="E884" s="117"/>
      <c r="F884" s="118"/>
      <c r="G884" s="113"/>
      <c r="H884" s="113"/>
      <c r="I884" s="112"/>
      <c r="J884" s="112"/>
      <c r="K884" s="86"/>
      <c r="L884" s="255"/>
      <c r="M884" s="114" t="str">
        <f t="shared" si="14"/>
        <v xml:space="preserve">   </v>
      </c>
    </row>
    <row r="885" spans="1:13" s="48" customFormat="1" hidden="1" x14ac:dyDescent="0.2">
      <c r="A885" s="298"/>
      <c r="B885" s="296"/>
      <c r="C885" s="115"/>
      <c r="D885" s="116"/>
      <c r="E885" s="117"/>
      <c r="F885" s="118"/>
      <c r="G885" s="113"/>
      <c r="H885" s="113"/>
      <c r="I885" s="112"/>
      <c r="J885" s="112"/>
      <c r="K885" s="86"/>
      <c r="L885" s="255"/>
      <c r="M885" s="114" t="str">
        <f t="shared" si="14"/>
        <v xml:space="preserve">   </v>
      </c>
    </row>
    <row r="886" spans="1:13" s="55" customFormat="1" hidden="1" x14ac:dyDescent="0.2">
      <c r="A886" s="298"/>
      <c r="B886" s="296"/>
      <c r="C886" s="115"/>
      <c r="D886" s="116"/>
      <c r="E886" s="117"/>
      <c r="F886" s="118"/>
      <c r="G886" s="113"/>
      <c r="H886" s="113"/>
      <c r="I886" s="112"/>
      <c r="J886" s="112"/>
      <c r="K886" s="86"/>
      <c r="L886" s="255"/>
      <c r="M886" s="114" t="str">
        <f t="shared" si="14"/>
        <v xml:space="preserve">   </v>
      </c>
    </row>
    <row r="887" spans="1:13" s="55" customFormat="1" hidden="1" x14ac:dyDescent="0.2">
      <c r="A887" s="298"/>
      <c r="B887" s="296"/>
      <c r="C887" s="115"/>
      <c r="D887" s="116"/>
      <c r="E887" s="117"/>
      <c r="F887" s="118"/>
      <c r="G887" s="113"/>
      <c r="H887" s="113"/>
      <c r="I887" s="112"/>
      <c r="J887" s="112"/>
      <c r="K887" s="86"/>
      <c r="L887" s="255"/>
      <c r="M887" s="114" t="str">
        <f t="shared" si="14"/>
        <v xml:space="preserve">   </v>
      </c>
    </row>
    <row r="888" spans="1:13" s="55" customFormat="1" hidden="1" x14ac:dyDescent="0.2">
      <c r="A888" s="298"/>
      <c r="B888" s="296"/>
      <c r="C888" s="115"/>
      <c r="D888" s="116"/>
      <c r="E888" s="117"/>
      <c r="F888" s="118"/>
      <c r="G888" s="113"/>
      <c r="H888" s="113"/>
      <c r="I888" s="112"/>
      <c r="J888" s="112"/>
      <c r="K888" s="86"/>
      <c r="L888" s="255"/>
      <c r="M888" s="114" t="str">
        <f t="shared" si="14"/>
        <v xml:space="preserve">   </v>
      </c>
    </row>
    <row r="889" spans="1:13" s="55" customFormat="1" hidden="1" x14ac:dyDescent="0.2">
      <c r="A889" s="298"/>
      <c r="B889" s="296"/>
      <c r="C889" s="115"/>
      <c r="D889" s="116"/>
      <c r="E889" s="117"/>
      <c r="F889" s="118"/>
      <c r="G889" s="113"/>
      <c r="H889" s="113"/>
      <c r="I889" s="112"/>
      <c r="J889" s="112"/>
      <c r="K889" s="86"/>
      <c r="L889" s="255"/>
      <c r="M889" s="114" t="str">
        <f t="shared" si="14"/>
        <v xml:space="preserve">   </v>
      </c>
    </row>
    <row r="890" spans="1:13" s="48" customFormat="1" hidden="1" x14ac:dyDescent="0.2">
      <c r="A890" s="298"/>
      <c r="B890" s="296"/>
      <c r="C890" s="115"/>
      <c r="D890" s="116"/>
      <c r="E890" s="117"/>
      <c r="F890" s="118"/>
      <c r="G890" s="113"/>
      <c r="H890" s="113"/>
      <c r="I890" s="112"/>
      <c r="J890" s="112"/>
      <c r="K890" s="86"/>
      <c r="L890" s="255"/>
      <c r="M890" s="114" t="str">
        <f t="shared" si="14"/>
        <v xml:space="preserve">   </v>
      </c>
    </row>
    <row r="891" spans="1:13" s="48" customFormat="1" hidden="1" x14ac:dyDescent="0.2">
      <c r="A891" s="298"/>
      <c r="B891" s="296"/>
      <c r="C891" s="121"/>
      <c r="D891" s="122"/>
      <c r="E891" s="123"/>
      <c r="F891" s="124"/>
      <c r="G891" s="113"/>
      <c r="H891" s="113"/>
      <c r="I891" s="112"/>
      <c r="J891" s="112"/>
      <c r="K891" s="86"/>
      <c r="L891" s="256"/>
      <c r="M891" s="114" t="str">
        <f t="shared" si="14"/>
        <v xml:space="preserve">   </v>
      </c>
    </row>
    <row r="892" spans="1:13" s="48" customFormat="1" ht="15" hidden="1" customHeight="1" x14ac:dyDescent="0.2">
      <c r="A892" s="298" t="s">
        <v>86</v>
      </c>
      <c r="B892" s="296" t="s">
        <v>108</v>
      </c>
      <c r="C892" s="112"/>
      <c r="D892" s="112"/>
      <c r="E892" s="112"/>
      <c r="F892" s="112"/>
      <c r="G892" s="113"/>
      <c r="H892" s="113"/>
      <c r="I892" s="112"/>
      <c r="J892" s="112"/>
      <c r="K892" s="86"/>
      <c r="L892" s="254" t="str">
        <f>CONCATENATE(C892," ",D892," ",E892," ",F892," ",C893," ",D893," ",E893," ",F893)</f>
        <v xml:space="preserve">       </v>
      </c>
      <c r="M892" s="114" t="str">
        <f t="shared" si="14"/>
        <v xml:space="preserve">   </v>
      </c>
    </row>
    <row r="893" spans="1:13" s="48" customFormat="1" hidden="1" x14ac:dyDescent="0.2">
      <c r="A893" s="298"/>
      <c r="B893" s="296"/>
      <c r="C893" s="120"/>
      <c r="D893" s="116"/>
      <c r="E893" s="117"/>
      <c r="F893" s="118"/>
      <c r="G893" s="113"/>
      <c r="H893" s="113"/>
      <c r="I893" s="112"/>
      <c r="J893" s="112"/>
      <c r="K893" s="86"/>
      <c r="L893" s="255"/>
      <c r="M893" s="114" t="str">
        <f t="shared" si="14"/>
        <v xml:space="preserve">   </v>
      </c>
    </row>
    <row r="894" spans="1:13" s="48" customFormat="1" hidden="1" x14ac:dyDescent="0.2">
      <c r="A894" s="298"/>
      <c r="B894" s="296"/>
      <c r="C894" s="115"/>
      <c r="D894" s="116"/>
      <c r="E894" s="117"/>
      <c r="F894" s="118"/>
      <c r="G894" s="113"/>
      <c r="H894" s="113"/>
      <c r="I894" s="112"/>
      <c r="J894" s="112"/>
      <c r="K894" s="86"/>
      <c r="L894" s="255"/>
      <c r="M894" s="114" t="str">
        <f t="shared" si="14"/>
        <v xml:space="preserve">   </v>
      </c>
    </row>
    <row r="895" spans="1:13" s="48" customFormat="1" hidden="1" x14ac:dyDescent="0.2">
      <c r="A895" s="298"/>
      <c r="B895" s="296"/>
      <c r="C895" s="115"/>
      <c r="D895" s="116"/>
      <c r="E895" s="117"/>
      <c r="F895" s="118"/>
      <c r="G895" s="113"/>
      <c r="H895" s="113"/>
      <c r="I895" s="112"/>
      <c r="J895" s="112"/>
      <c r="K895" s="86"/>
      <c r="L895" s="255"/>
      <c r="M895" s="114" t="str">
        <f t="shared" si="14"/>
        <v xml:space="preserve">   </v>
      </c>
    </row>
    <row r="896" spans="1:13" s="55" customFormat="1" hidden="1" x14ac:dyDescent="0.2">
      <c r="A896" s="298"/>
      <c r="B896" s="296"/>
      <c r="C896" s="115"/>
      <c r="D896" s="116"/>
      <c r="E896" s="117"/>
      <c r="F896" s="118"/>
      <c r="G896" s="113"/>
      <c r="H896" s="113"/>
      <c r="I896" s="112"/>
      <c r="J896" s="112"/>
      <c r="K896" s="86"/>
      <c r="L896" s="255"/>
      <c r="M896" s="114" t="str">
        <f t="shared" si="14"/>
        <v xml:space="preserve">   </v>
      </c>
    </row>
    <row r="897" spans="1:13" s="55" customFormat="1" hidden="1" x14ac:dyDescent="0.2">
      <c r="A897" s="298"/>
      <c r="B897" s="296"/>
      <c r="C897" s="115"/>
      <c r="D897" s="116"/>
      <c r="E897" s="117"/>
      <c r="F897" s="118"/>
      <c r="G897" s="113"/>
      <c r="H897" s="113"/>
      <c r="I897" s="112"/>
      <c r="J897" s="112"/>
      <c r="K897" s="86"/>
      <c r="L897" s="255"/>
      <c r="M897" s="114" t="str">
        <f t="shared" si="14"/>
        <v xml:space="preserve">   </v>
      </c>
    </row>
    <row r="898" spans="1:13" s="55" customFormat="1" hidden="1" x14ac:dyDescent="0.2">
      <c r="A898" s="298"/>
      <c r="B898" s="296"/>
      <c r="C898" s="115"/>
      <c r="D898" s="116"/>
      <c r="E898" s="117"/>
      <c r="F898" s="118"/>
      <c r="G898" s="113"/>
      <c r="H898" s="113"/>
      <c r="I898" s="112"/>
      <c r="J898" s="112"/>
      <c r="K898" s="86"/>
      <c r="L898" s="255"/>
      <c r="M898" s="114" t="str">
        <f t="shared" si="14"/>
        <v xml:space="preserve">   </v>
      </c>
    </row>
    <row r="899" spans="1:13" s="55" customFormat="1" hidden="1" x14ac:dyDescent="0.2">
      <c r="A899" s="298"/>
      <c r="B899" s="296"/>
      <c r="C899" s="115"/>
      <c r="D899" s="116"/>
      <c r="E899" s="117"/>
      <c r="F899" s="118"/>
      <c r="G899" s="113"/>
      <c r="H899" s="113"/>
      <c r="I899" s="112"/>
      <c r="J899" s="112"/>
      <c r="K899" s="86"/>
      <c r="L899" s="255"/>
      <c r="M899" s="114" t="str">
        <f t="shared" si="14"/>
        <v xml:space="preserve">   </v>
      </c>
    </row>
    <row r="900" spans="1:13" s="48" customFormat="1" hidden="1" x14ac:dyDescent="0.2">
      <c r="A900" s="298"/>
      <c r="B900" s="296"/>
      <c r="C900" s="115"/>
      <c r="D900" s="116"/>
      <c r="E900" s="117"/>
      <c r="F900" s="118"/>
      <c r="G900" s="113"/>
      <c r="H900" s="113"/>
      <c r="I900" s="112"/>
      <c r="J900" s="112"/>
      <c r="K900" s="86"/>
      <c r="L900" s="255"/>
      <c r="M900" s="114" t="str">
        <f t="shared" si="14"/>
        <v xml:space="preserve">   </v>
      </c>
    </row>
    <row r="901" spans="1:13" s="48" customFormat="1" hidden="1" x14ac:dyDescent="0.2">
      <c r="A901" s="298"/>
      <c r="B901" s="296"/>
      <c r="C901" s="121"/>
      <c r="D901" s="122"/>
      <c r="E901" s="123"/>
      <c r="F901" s="124"/>
      <c r="G901" s="113"/>
      <c r="H901" s="113"/>
      <c r="I901" s="112"/>
      <c r="J901" s="112"/>
      <c r="K901" s="86"/>
      <c r="L901" s="255"/>
      <c r="M901" s="114" t="str">
        <f t="shared" si="14"/>
        <v xml:space="preserve">   </v>
      </c>
    </row>
    <row r="902" spans="1:13" s="48" customFormat="1" ht="15" hidden="1" customHeight="1" x14ac:dyDescent="0.2">
      <c r="A902" s="298" t="s">
        <v>86</v>
      </c>
      <c r="B902" s="296" t="s">
        <v>108</v>
      </c>
      <c r="C902" s="112"/>
      <c r="D902" s="112"/>
      <c r="E902" s="112"/>
      <c r="F902" s="112"/>
      <c r="G902" s="113"/>
      <c r="H902" s="113"/>
      <c r="I902" s="112"/>
      <c r="J902" s="112"/>
      <c r="K902" s="86"/>
      <c r="L902" s="254" t="str">
        <f>CONCATENATE(C902," ",D902," ",E902," ",F902," ",C903," ",D903," ",E903," ",F903)</f>
        <v xml:space="preserve">       </v>
      </c>
      <c r="M902" s="114" t="str">
        <f t="shared" si="14"/>
        <v xml:space="preserve">   </v>
      </c>
    </row>
    <row r="903" spans="1:13" s="48" customFormat="1" hidden="1" x14ac:dyDescent="0.2">
      <c r="A903" s="298"/>
      <c r="B903" s="296"/>
      <c r="C903" s="120"/>
      <c r="D903" s="116"/>
      <c r="E903" s="117"/>
      <c r="F903" s="118"/>
      <c r="G903" s="113"/>
      <c r="H903" s="113"/>
      <c r="I903" s="112"/>
      <c r="J903" s="112"/>
      <c r="K903" s="86"/>
      <c r="L903" s="255"/>
      <c r="M903" s="114" t="str">
        <f t="shared" si="14"/>
        <v xml:space="preserve">   </v>
      </c>
    </row>
    <row r="904" spans="1:13" s="48" customFormat="1" hidden="1" x14ac:dyDescent="0.2">
      <c r="A904" s="298"/>
      <c r="B904" s="296"/>
      <c r="C904" s="115"/>
      <c r="D904" s="116"/>
      <c r="E904" s="117"/>
      <c r="F904" s="118"/>
      <c r="G904" s="113"/>
      <c r="H904" s="113"/>
      <c r="I904" s="112"/>
      <c r="J904" s="112"/>
      <c r="K904" s="86"/>
      <c r="L904" s="255"/>
      <c r="M904" s="114" t="str">
        <f t="shared" si="14"/>
        <v xml:space="preserve">   </v>
      </c>
    </row>
    <row r="905" spans="1:13" s="48" customFormat="1" hidden="1" x14ac:dyDescent="0.2">
      <c r="A905" s="298"/>
      <c r="B905" s="296"/>
      <c r="C905" s="115"/>
      <c r="D905" s="116"/>
      <c r="E905" s="117"/>
      <c r="F905" s="118"/>
      <c r="G905" s="113"/>
      <c r="H905" s="113"/>
      <c r="I905" s="112"/>
      <c r="J905" s="112"/>
      <c r="K905" s="86"/>
      <c r="L905" s="255"/>
      <c r="M905" s="114" t="str">
        <f t="shared" si="14"/>
        <v xml:space="preserve">   </v>
      </c>
    </row>
    <row r="906" spans="1:13" s="55" customFormat="1" hidden="1" x14ac:dyDescent="0.2">
      <c r="A906" s="298"/>
      <c r="B906" s="296"/>
      <c r="C906" s="115"/>
      <c r="D906" s="116"/>
      <c r="E906" s="117"/>
      <c r="F906" s="118"/>
      <c r="G906" s="113"/>
      <c r="H906" s="113"/>
      <c r="I906" s="112"/>
      <c r="J906" s="112"/>
      <c r="K906" s="86"/>
      <c r="L906" s="255"/>
      <c r="M906" s="114" t="str">
        <f t="shared" si="14"/>
        <v xml:space="preserve">   </v>
      </c>
    </row>
    <row r="907" spans="1:13" s="55" customFormat="1" hidden="1" x14ac:dyDescent="0.2">
      <c r="A907" s="298"/>
      <c r="B907" s="296"/>
      <c r="C907" s="115"/>
      <c r="D907" s="116"/>
      <c r="E907" s="117"/>
      <c r="F907" s="118"/>
      <c r="G907" s="113"/>
      <c r="H907" s="113"/>
      <c r="I907" s="112"/>
      <c r="J907" s="112"/>
      <c r="K907" s="86"/>
      <c r="L907" s="255"/>
      <c r="M907" s="114" t="str">
        <f t="shared" ref="M907:M970" si="15">CONCATENATE(G907," ",H907," ",I907," ",J907)</f>
        <v xml:space="preserve">   </v>
      </c>
    </row>
    <row r="908" spans="1:13" s="55" customFormat="1" hidden="1" x14ac:dyDescent="0.2">
      <c r="A908" s="298"/>
      <c r="B908" s="296"/>
      <c r="C908" s="115"/>
      <c r="D908" s="116"/>
      <c r="E908" s="117"/>
      <c r="F908" s="118"/>
      <c r="G908" s="113"/>
      <c r="H908" s="113"/>
      <c r="I908" s="112"/>
      <c r="J908" s="112"/>
      <c r="K908" s="86"/>
      <c r="L908" s="255"/>
      <c r="M908" s="114" t="str">
        <f t="shared" si="15"/>
        <v xml:space="preserve">   </v>
      </c>
    </row>
    <row r="909" spans="1:13" s="55" customFormat="1" hidden="1" x14ac:dyDescent="0.2">
      <c r="A909" s="298"/>
      <c r="B909" s="296"/>
      <c r="C909" s="115"/>
      <c r="D909" s="116"/>
      <c r="E909" s="117"/>
      <c r="F909" s="118"/>
      <c r="G909" s="113"/>
      <c r="H909" s="113"/>
      <c r="I909" s="112"/>
      <c r="J909" s="112"/>
      <c r="K909" s="86"/>
      <c r="L909" s="255"/>
      <c r="M909" s="114" t="str">
        <f t="shared" si="15"/>
        <v xml:space="preserve">   </v>
      </c>
    </row>
    <row r="910" spans="1:13" s="48" customFormat="1" hidden="1" x14ac:dyDescent="0.2">
      <c r="A910" s="298"/>
      <c r="B910" s="296"/>
      <c r="C910" s="115"/>
      <c r="D910" s="116"/>
      <c r="E910" s="117"/>
      <c r="F910" s="118"/>
      <c r="G910" s="113"/>
      <c r="H910" s="113"/>
      <c r="I910" s="112"/>
      <c r="J910" s="112"/>
      <c r="K910" s="86"/>
      <c r="L910" s="255"/>
      <c r="M910" s="114" t="str">
        <f t="shared" si="15"/>
        <v xml:space="preserve">   </v>
      </c>
    </row>
    <row r="911" spans="1:13" s="48" customFormat="1" hidden="1" x14ac:dyDescent="0.2">
      <c r="A911" s="298"/>
      <c r="B911" s="296"/>
      <c r="C911" s="121"/>
      <c r="D911" s="122"/>
      <c r="E911" s="123"/>
      <c r="F911" s="124"/>
      <c r="G911" s="113"/>
      <c r="H911" s="113"/>
      <c r="I911" s="112"/>
      <c r="J911" s="112"/>
      <c r="K911" s="86"/>
      <c r="L911" s="256"/>
      <c r="M911" s="114" t="str">
        <f t="shared" si="15"/>
        <v xml:space="preserve">   </v>
      </c>
    </row>
    <row r="912" spans="1:13" hidden="1" x14ac:dyDescent="0.2">
      <c r="A912" s="56"/>
      <c r="B912" s="56"/>
      <c r="C912" s="125"/>
      <c r="D912" s="56"/>
      <c r="E912" s="56"/>
      <c r="F912" s="56"/>
      <c r="G912" s="125"/>
      <c r="H912" s="56"/>
      <c r="I912" s="56"/>
      <c r="J912" s="56"/>
      <c r="K912" s="56"/>
      <c r="L912" s="257"/>
      <c r="M912" s="114" t="str">
        <f t="shared" si="15"/>
        <v xml:space="preserve">   </v>
      </c>
    </row>
    <row r="913" spans="1:13" s="55" customFormat="1" ht="107.25" customHeight="1" x14ac:dyDescent="0.2">
      <c r="A913" s="295" t="s">
        <v>87</v>
      </c>
      <c r="B913" s="297" t="s">
        <v>107</v>
      </c>
      <c r="C913" s="112" t="s">
        <v>238</v>
      </c>
      <c r="D913" s="194" t="s">
        <v>563</v>
      </c>
      <c r="E913" s="194" t="s">
        <v>564</v>
      </c>
      <c r="F913" s="194" t="s">
        <v>565</v>
      </c>
      <c r="G913" s="238" t="s">
        <v>208</v>
      </c>
      <c r="H913" s="241" t="s">
        <v>236</v>
      </c>
      <c r="I913" s="241" t="s">
        <v>566</v>
      </c>
      <c r="J913" s="241" t="s">
        <v>567</v>
      </c>
      <c r="K913" s="86"/>
      <c r="L913" s="253" t="str">
        <f>CONCATENATE(C913," ",D913," ",E913," ",F913," ",C914," ",D914," ",E914," ",F914)</f>
        <v xml:space="preserve">UC 4 C1 Instalar las redes y servicios de comunicaciones efectuando las pruebas y certificaciones,  de 
acuerdo con las necesidades del negocio, estándares internacionales de TI y políticas de seguridad de la organización.    </v>
      </c>
      <c r="M913" s="247" t="str">
        <f t="shared" si="15"/>
        <v>C1 I1 Realiza la planificación de la instalación de las redes y servicios de comunicaciones considerando las necesidades del cliente, los recursos requeridos, estándares internacionales de TI y políticas de seguridad de la organización.</v>
      </c>
    </row>
    <row r="914" spans="1:13" s="55" customFormat="1" ht="93.75" customHeight="1" x14ac:dyDescent="0.2">
      <c r="A914" s="295"/>
      <c r="B914" s="297"/>
      <c r="C914" s="231"/>
      <c r="D914" s="116"/>
      <c r="E914" s="228"/>
      <c r="F914" s="229"/>
      <c r="G914" s="238" t="s">
        <v>210</v>
      </c>
      <c r="H914" s="241" t="s">
        <v>236</v>
      </c>
      <c r="I914" s="241" t="s">
        <v>568</v>
      </c>
      <c r="J914" s="241" t="s">
        <v>569</v>
      </c>
      <c r="K914" s="86"/>
      <c r="L914" s="255"/>
      <c r="M914" s="247" t="str">
        <f t="shared" si="15"/>
        <v>C1 I2 Realiza la instalación de infraestuctura de red (redes inalámbricas, fibra óptica,  cableado UTP) y servicios de comunicaciones
 de acuerdo con las necesidades del negocio, los estándares internacionales de TI y políticas de seguridad de la organización.</v>
      </c>
    </row>
    <row r="915" spans="1:13" s="55" customFormat="1" ht="88.5" customHeight="1" x14ac:dyDescent="0.2">
      <c r="A915" s="295"/>
      <c r="B915" s="297"/>
      <c r="C915" s="231"/>
      <c r="D915" s="227"/>
      <c r="E915" s="228"/>
      <c r="F915" s="229"/>
      <c r="G915" s="238" t="s">
        <v>212</v>
      </c>
      <c r="H915" s="241" t="s">
        <v>539</v>
      </c>
      <c r="I915" s="241" t="s">
        <v>570</v>
      </c>
      <c r="J915" s="241" t="s">
        <v>571</v>
      </c>
      <c r="K915" s="86"/>
      <c r="L915" s="255"/>
      <c r="M915" s="247" t="str">
        <f t="shared" si="15"/>
        <v xml:space="preserve">C1 I3 Realiza  pruebas o comprobación de las funcionalidades de la infraestructura de red y servicios de comunicación. de acuerdo con las necesidades del negocio, los estándares internacionales de TI y políticas de seguridad de la organización </v>
      </c>
    </row>
    <row r="916" spans="1:13" s="55" customFormat="1" hidden="1" x14ac:dyDescent="0.2">
      <c r="A916" s="295"/>
      <c r="B916" s="297"/>
      <c r="C916" s="231"/>
      <c r="D916" s="116"/>
      <c r="E916" s="228"/>
      <c r="F916" s="229"/>
      <c r="G916" s="113"/>
      <c r="H916" s="239"/>
      <c r="I916" s="240"/>
      <c r="J916" s="240"/>
      <c r="K916" s="86"/>
      <c r="L916" s="255"/>
      <c r="M916" s="114" t="str">
        <f t="shared" si="15"/>
        <v xml:space="preserve">   </v>
      </c>
    </row>
    <row r="917" spans="1:13" s="55" customFormat="1" hidden="1" x14ac:dyDescent="0.2">
      <c r="A917" s="295"/>
      <c r="B917" s="297"/>
      <c r="C917" s="231"/>
      <c r="D917" s="227"/>
      <c r="E917" s="228"/>
      <c r="F917" s="229"/>
      <c r="G917" s="113"/>
      <c r="H917" s="113"/>
      <c r="I917" s="194"/>
      <c r="J917" s="194"/>
      <c r="K917" s="86"/>
      <c r="L917" s="255"/>
      <c r="M917" s="114" t="str">
        <f t="shared" si="15"/>
        <v xml:space="preserve">   </v>
      </c>
    </row>
    <row r="918" spans="1:13" s="55" customFormat="1" hidden="1" x14ac:dyDescent="0.2">
      <c r="A918" s="295"/>
      <c r="B918" s="297"/>
      <c r="C918" s="231"/>
      <c r="D918" s="116"/>
      <c r="E918" s="117"/>
      <c r="F918" s="118"/>
      <c r="G918" s="113"/>
      <c r="H918" s="195"/>
      <c r="I918" s="194"/>
      <c r="J918" s="194"/>
      <c r="K918" s="86"/>
      <c r="L918" s="255"/>
      <c r="M918" s="114" t="str">
        <f t="shared" si="15"/>
        <v xml:space="preserve">   </v>
      </c>
    </row>
    <row r="919" spans="1:13" s="55" customFormat="1" ht="40.5" hidden="1" customHeight="1" x14ac:dyDescent="0.2">
      <c r="A919" s="295"/>
      <c r="B919" s="297"/>
      <c r="C919" s="231"/>
      <c r="D919" s="116"/>
      <c r="E919" s="117"/>
      <c r="F919" s="118"/>
      <c r="G919" s="113"/>
      <c r="H919" s="195"/>
      <c r="I919" s="194"/>
      <c r="J919" s="194"/>
      <c r="K919" s="86"/>
      <c r="L919" s="255"/>
      <c r="M919" s="114" t="str">
        <f t="shared" si="15"/>
        <v xml:space="preserve">   </v>
      </c>
    </row>
    <row r="920" spans="1:13" s="55" customFormat="1" hidden="1" x14ac:dyDescent="0.2">
      <c r="A920" s="295"/>
      <c r="B920" s="297"/>
      <c r="C920" s="231"/>
      <c r="D920" s="116"/>
      <c r="E920" s="117"/>
      <c r="F920" s="118"/>
      <c r="G920" s="113"/>
      <c r="H920" s="113"/>
      <c r="I920" s="112"/>
      <c r="J920" s="112"/>
      <c r="K920" s="86"/>
      <c r="L920" s="255"/>
      <c r="M920" s="114" t="str">
        <f t="shared" si="15"/>
        <v xml:space="preserve">   </v>
      </c>
    </row>
    <row r="921" spans="1:13" s="55" customFormat="1" hidden="1" x14ac:dyDescent="0.2">
      <c r="A921" s="295"/>
      <c r="B921" s="297"/>
      <c r="C921" s="231"/>
      <c r="D921" s="116"/>
      <c r="E921" s="117"/>
      <c r="F921" s="118"/>
      <c r="G921" s="113"/>
      <c r="H921" s="113"/>
      <c r="I921" s="112"/>
      <c r="J921" s="112"/>
      <c r="K921" s="86"/>
      <c r="L921" s="255"/>
      <c r="M921" s="114" t="str">
        <f t="shared" si="15"/>
        <v xml:space="preserve">   </v>
      </c>
    </row>
    <row r="922" spans="1:13" s="55" customFormat="1" hidden="1" x14ac:dyDescent="0.2">
      <c r="A922" s="295"/>
      <c r="B922" s="297"/>
      <c r="C922" s="231"/>
      <c r="D922" s="116"/>
      <c r="E922" s="117"/>
      <c r="F922" s="118"/>
      <c r="G922" s="113"/>
      <c r="H922" s="113"/>
      <c r="I922" s="112"/>
      <c r="J922" s="112"/>
      <c r="K922" s="86"/>
      <c r="L922" s="255"/>
      <c r="M922" s="114" t="str">
        <f t="shared" si="15"/>
        <v xml:space="preserve">   </v>
      </c>
    </row>
    <row r="923" spans="1:13" s="55" customFormat="1" ht="107.25" customHeight="1" x14ac:dyDescent="0.2">
      <c r="A923" s="295" t="s">
        <v>87</v>
      </c>
      <c r="B923" s="297" t="s">
        <v>107</v>
      </c>
      <c r="C923" s="112" t="s">
        <v>240</v>
      </c>
      <c r="D923" s="194" t="s">
        <v>572</v>
      </c>
      <c r="E923" s="194" t="s">
        <v>573</v>
      </c>
      <c r="F923" s="194" t="s">
        <v>574</v>
      </c>
      <c r="G923" s="232" t="s">
        <v>215</v>
      </c>
      <c r="H923" s="113" t="s">
        <v>236</v>
      </c>
      <c r="I923" s="194" t="s">
        <v>575</v>
      </c>
      <c r="J923" s="194" t="s">
        <v>574</v>
      </c>
      <c r="K923" s="86"/>
      <c r="L923" s="253" t="str">
        <f>CONCATENATE(C923," ",D923," ",E923," ",F923," ",C924," ",D924," ",E924," ",F924)</f>
        <v xml:space="preserve">UC4 C2 Ejecutar la configuración de la infraestructura de redes y telecomunicaciones de la empresa  de acuerdo con la arquitectura e infraestructura  de sistemas, requerimientos del negocio, estándares internacionales de TI y políticas de seguridad de la organización.    </v>
      </c>
      <c r="M923" s="247" t="str">
        <f t="shared" si="15"/>
        <v>C2 I1 Realiza la configuración básica para la funcionalidad de los dispositivos de la infraestructura de red. de acuerdo con la arquitectura e infraestructura  de sistemas, requerimientos del negocio, estándares internacionales de TI y políticas de seguridad de la organización.</v>
      </c>
    </row>
    <row r="924" spans="1:13" s="55" customFormat="1" ht="113.25" customHeight="1" x14ac:dyDescent="0.2">
      <c r="A924" s="295"/>
      <c r="B924" s="297"/>
      <c r="C924" s="231"/>
      <c r="D924" s="227"/>
      <c r="E924" s="228"/>
      <c r="F924" s="229"/>
      <c r="G924" s="232" t="s">
        <v>218</v>
      </c>
      <c r="H924" s="113" t="s">
        <v>576</v>
      </c>
      <c r="I924" s="195" t="s">
        <v>577</v>
      </c>
      <c r="J924" s="194" t="s">
        <v>574</v>
      </c>
      <c r="K924" s="86"/>
      <c r="L924" s="255"/>
      <c r="M924" s="247" t="str">
        <f t="shared" si="15"/>
        <v>C2 I2 Implementa la administración de políticas de red y seguridad. de acuerdo con la arquitectura e infraestructura  de sistemas, requerimientos del negocio, estándares internacionales de TI y políticas de seguridad de la organización.</v>
      </c>
    </row>
    <row r="925" spans="1:13" s="55" customFormat="1" ht="96" customHeight="1" x14ac:dyDescent="0.2">
      <c r="A925" s="295"/>
      <c r="B925" s="297"/>
      <c r="C925" s="231"/>
      <c r="D925" s="227"/>
      <c r="E925" s="228"/>
      <c r="F925" s="229"/>
      <c r="G925" s="232" t="s">
        <v>219</v>
      </c>
      <c r="H925" s="113" t="s">
        <v>477</v>
      </c>
      <c r="I925" s="195" t="s">
        <v>578</v>
      </c>
      <c r="J925" s="194" t="s">
        <v>574</v>
      </c>
      <c r="K925" s="86"/>
      <c r="L925" s="255"/>
      <c r="M925" s="247" t="str">
        <f t="shared" si="15"/>
        <v>C2 I3 Verifica el correcto funcionamiento de la infraestructura de redes y telecomunicaciónes. de acuerdo con la arquitectura e infraestructura  de sistemas, requerimientos del negocio, estándares internacionales de TI y políticas de seguridad de la organización.</v>
      </c>
    </row>
    <row r="926" spans="1:13" s="55" customFormat="1" hidden="1" x14ac:dyDescent="0.2">
      <c r="A926" s="295"/>
      <c r="B926" s="297"/>
      <c r="C926" s="231"/>
      <c r="D926" s="116"/>
      <c r="E926" s="117"/>
      <c r="F926" s="118"/>
      <c r="G926" s="232"/>
      <c r="H926" s="227"/>
      <c r="I926" s="228"/>
      <c r="J926" s="228"/>
      <c r="K926" s="86"/>
      <c r="L926" s="255"/>
      <c r="M926" s="114" t="str">
        <f t="shared" si="15"/>
        <v xml:space="preserve">   </v>
      </c>
    </row>
    <row r="927" spans="1:13" s="55" customFormat="1" hidden="1" x14ac:dyDescent="0.2">
      <c r="A927" s="295"/>
      <c r="B927" s="297"/>
      <c r="C927" s="231"/>
      <c r="D927" s="227"/>
      <c r="E927" s="228"/>
      <c r="F927" s="229"/>
      <c r="G927" s="232"/>
      <c r="H927" s="227"/>
      <c r="I927" s="228"/>
      <c r="J927" s="228"/>
      <c r="K927" s="86"/>
      <c r="L927" s="255"/>
      <c r="M927" s="114" t="str">
        <f t="shared" si="15"/>
        <v xml:space="preserve">   </v>
      </c>
    </row>
    <row r="928" spans="1:13" s="55" customFormat="1" hidden="1" x14ac:dyDescent="0.2">
      <c r="A928" s="295"/>
      <c r="B928" s="297"/>
      <c r="C928" s="231"/>
      <c r="D928" s="116"/>
      <c r="E928" s="117"/>
      <c r="F928" s="118"/>
      <c r="G928" s="113"/>
      <c r="H928" s="113"/>
      <c r="I928" s="112"/>
      <c r="J928" s="112"/>
      <c r="K928" s="86"/>
      <c r="L928" s="255"/>
      <c r="M928" s="114" t="str">
        <f t="shared" si="15"/>
        <v xml:space="preserve">   </v>
      </c>
    </row>
    <row r="929" spans="1:13" s="55" customFormat="1" hidden="1" x14ac:dyDescent="0.2">
      <c r="A929" s="295"/>
      <c r="B929" s="297"/>
      <c r="C929" s="231"/>
      <c r="D929" s="116"/>
      <c r="E929" s="117"/>
      <c r="F929" s="118"/>
      <c r="G929" s="113"/>
      <c r="H929" s="113"/>
      <c r="I929" s="112"/>
      <c r="J929" s="112"/>
      <c r="K929" s="86"/>
      <c r="L929" s="255"/>
      <c r="M929" s="114" t="str">
        <f t="shared" si="15"/>
        <v xml:space="preserve">   </v>
      </c>
    </row>
    <row r="930" spans="1:13" s="55" customFormat="1" hidden="1" x14ac:dyDescent="0.2">
      <c r="A930" s="295"/>
      <c r="B930" s="297"/>
      <c r="C930" s="231"/>
      <c r="D930" s="116"/>
      <c r="E930" s="117"/>
      <c r="F930" s="118"/>
      <c r="G930" s="113"/>
      <c r="H930" s="113"/>
      <c r="I930" s="112"/>
      <c r="J930" s="112"/>
      <c r="K930" s="86"/>
      <c r="L930" s="255"/>
      <c r="M930" s="114" t="str">
        <f t="shared" si="15"/>
        <v xml:space="preserve">   </v>
      </c>
    </row>
    <row r="931" spans="1:13" s="55" customFormat="1" hidden="1" x14ac:dyDescent="0.2">
      <c r="A931" s="295"/>
      <c r="B931" s="297"/>
      <c r="C931" s="231"/>
      <c r="D931" s="116"/>
      <c r="E931" s="117"/>
      <c r="F931" s="118"/>
      <c r="G931" s="113"/>
      <c r="H931" s="113"/>
      <c r="I931" s="112"/>
      <c r="J931" s="112"/>
      <c r="K931" s="86"/>
      <c r="L931" s="255"/>
      <c r="M931" s="114" t="str">
        <f t="shared" si="15"/>
        <v xml:space="preserve">   </v>
      </c>
    </row>
    <row r="932" spans="1:13" s="55" customFormat="1" hidden="1" x14ac:dyDescent="0.2">
      <c r="A932" s="295"/>
      <c r="B932" s="297"/>
      <c r="C932" s="231"/>
      <c r="D932" s="116"/>
      <c r="E932" s="117"/>
      <c r="F932" s="118"/>
      <c r="G932" s="113"/>
      <c r="H932" s="113"/>
      <c r="I932" s="112"/>
      <c r="J932" s="112"/>
      <c r="K932" s="86"/>
      <c r="L932" s="255"/>
      <c r="M932" s="114" t="str">
        <f t="shared" si="15"/>
        <v xml:space="preserve">   </v>
      </c>
    </row>
    <row r="933" spans="1:13" s="55" customFormat="1" ht="48.75" hidden="1" customHeight="1" x14ac:dyDescent="0.2">
      <c r="A933" s="295" t="s">
        <v>87</v>
      </c>
      <c r="B933" s="297" t="s">
        <v>107</v>
      </c>
      <c r="C933" s="112" t="s">
        <v>241</v>
      </c>
      <c r="D933" s="194" t="s">
        <v>436</v>
      </c>
      <c r="E933" s="194" t="s">
        <v>579</v>
      </c>
      <c r="F933" s="194" t="s">
        <v>580</v>
      </c>
      <c r="G933" s="232" t="s">
        <v>221</v>
      </c>
      <c r="H933" s="242" t="s">
        <v>236</v>
      </c>
      <c r="I933" s="237" t="s">
        <v>581</v>
      </c>
      <c r="J933" s="237" t="s">
        <v>580</v>
      </c>
      <c r="K933" s="86"/>
      <c r="L933" s="253" t="str">
        <f>CONCATENATE(C933," ",D933," ",E933," ",F933," ",C934," ",D934," ",E934," ",F934)</f>
        <v xml:space="preserve">UC4 C3 Realizar  el mantenimiento preventivo y correctivo de las redes y comunicaciones de la organización  de acuerdo con buenas prácticas de gestión de redes, recomendaciones del fabricantes, proveedores de servicios, capacity planning y gestión de riesgos.    </v>
      </c>
      <c r="M933" s="114" t="str">
        <f t="shared" si="15"/>
        <v>C3 I1 Realiza la planificación del mantenimiento preventivo de las redes y comunicaciones de la organización  de acuerdo con buenas prácticas de gestión de redes, recomendaciones del fabricantes, proveedores de servicios, capacity planning y gestión de riesgos.</v>
      </c>
    </row>
    <row r="934" spans="1:13" s="55" customFormat="1" ht="79.5" customHeight="1" x14ac:dyDescent="0.2">
      <c r="A934" s="295"/>
      <c r="B934" s="297"/>
      <c r="C934" s="231"/>
      <c r="D934" s="116"/>
      <c r="E934" s="117"/>
      <c r="F934" s="229"/>
      <c r="G934" s="238" t="s">
        <v>222</v>
      </c>
      <c r="H934" s="241" t="s">
        <v>220</v>
      </c>
      <c r="I934" s="241" t="s">
        <v>582</v>
      </c>
      <c r="J934" s="241" t="s">
        <v>580</v>
      </c>
      <c r="K934" s="86"/>
      <c r="L934" s="255"/>
      <c r="M934" s="247" t="str">
        <f t="shared" si="15"/>
        <v>C3 I2 Ejecuta el mantenimiento preventivo de las redes y comunicaciones de la organización  de acuerdo con buenas prácticas de gestión de redes, recomendaciones del fabricantes, proveedores de servicios, capacity planning y gestión de riesgos.</v>
      </c>
    </row>
    <row r="935" spans="1:13" s="55" customFormat="1" ht="88.5" customHeight="1" x14ac:dyDescent="0.2">
      <c r="A935" s="295"/>
      <c r="B935" s="297"/>
      <c r="C935" s="231"/>
      <c r="D935" s="116"/>
      <c r="E935" s="228"/>
      <c r="F935" s="229"/>
      <c r="G935" s="238" t="s">
        <v>224</v>
      </c>
      <c r="H935" s="241" t="s">
        <v>236</v>
      </c>
      <c r="I935" s="241" t="s">
        <v>583</v>
      </c>
      <c r="J935" s="241" t="s">
        <v>580</v>
      </c>
      <c r="K935" s="86"/>
      <c r="L935" s="255"/>
      <c r="M935" s="247" t="str">
        <f t="shared" si="15"/>
        <v>C3 I3 Realiza la planificación del mantenimiento correctivo de las redes y comunicaciones de la organización  de acuerdo con buenas prácticas de gestión de redes, recomendaciones del fabricantes, proveedores de servicios, capacity planning y gestión de riesgos.</v>
      </c>
    </row>
    <row r="936" spans="1:13" s="55" customFormat="1" ht="86.25" customHeight="1" x14ac:dyDescent="0.2">
      <c r="A936" s="295"/>
      <c r="B936" s="297"/>
      <c r="C936" s="231"/>
      <c r="D936" s="116"/>
      <c r="E936" s="117"/>
      <c r="F936" s="118"/>
      <c r="G936" s="238" t="s">
        <v>493</v>
      </c>
      <c r="H936" s="241" t="s">
        <v>220</v>
      </c>
      <c r="I936" s="241" t="s">
        <v>584</v>
      </c>
      <c r="J936" s="241" t="s">
        <v>580</v>
      </c>
      <c r="K936" s="86"/>
      <c r="L936" s="255"/>
      <c r="M936" s="247" t="str">
        <f t="shared" si="15"/>
        <v>C3 I4 Ejecuta el mantenimiento correctivo de las redes y comunicaciones de la organización  de acuerdo con buenas prácticas de gestión de redes, recomendaciones del fabricantes, proveedores de servicios, capacity planning y gestión de riesgos.</v>
      </c>
    </row>
    <row r="937" spans="1:13" s="55" customFormat="1" ht="106.5" customHeight="1" x14ac:dyDescent="0.2">
      <c r="A937" s="295"/>
      <c r="B937" s="297"/>
      <c r="C937" s="231"/>
      <c r="D937" s="227"/>
      <c r="E937" s="228"/>
      <c r="F937" s="229"/>
      <c r="G937" s="238" t="s">
        <v>585</v>
      </c>
      <c r="H937" s="241" t="s">
        <v>477</v>
      </c>
      <c r="I937" s="241" t="s">
        <v>586</v>
      </c>
      <c r="J937" s="241" t="s">
        <v>580</v>
      </c>
      <c r="K937" s="86"/>
      <c r="L937" s="255"/>
      <c r="M937" s="247" t="str">
        <f t="shared" si="15"/>
        <v>C3 I5 Verifica el funcionamiento de las redes y comunicaciones de la organización despues de la ejecución del mantenimiento preventivo y correctivo  de acuerdo con buenas prácticas de gestión de redes, recomendaciones del fabricantes, proveedores de servicios, capacity planning y gestión de riesgos.</v>
      </c>
    </row>
    <row r="938" spans="1:13" s="55" customFormat="1" hidden="1" x14ac:dyDescent="0.2">
      <c r="A938" s="295"/>
      <c r="B938" s="297"/>
      <c r="C938" s="231"/>
      <c r="D938" s="116"/>
      <c r="E938" s="117"/>
      <c r="F938" s="118"/>
      <c r="G938" s="243"/>
      <c r="H938" s="244"/>
      <c r="I938" s="241"/>
      <c r="J938" s="241"/>
      <c r="K938" s="86"/>
      <c r="L938" s="255"/>
      <c r="M938" s="114" t="str">
        <f t="shared" si="15"/>
        <v xml:space="preserve">   </v>
      </c>
    </row>
    <row r="939" spans="1:13" s="55" customFormat="1" hidden="1" x14ac:dyDescent="0.2">
      <c r="A939" s="295"/>
      <c r="B939" s="297"/>
      <c r="C939" s="231"/>
      <c r="D939" s="116"/>
      <c r="E939" s="117"/>
      <c r="F939" s="118"/>
      <c r="G939" s="243"/>
      <c r="H939" s="245"/>
      <c r="I939" s="241"/>
      <c r="J939" s="241"/>
      <c r="K939" s="86"/>
      <c r="L939" s="255"/>
      <c r="M939" s="114" t="str">
        <f t="shared" si="15"/>
        <v xml:space="preserve">   </v>
      </c>
    </row>
    <row r="940" spans="1:13" s="55" customFormat="1" hidden="1" x14ac:dyDescent="0.2">
      <c r="A940" s="295"/>
      <c r="B940" s="297"/>
      <c r="C940" s="231"/>
      <c r="D940" s="116"/>
      <c r="E940" s="117"/>
      <c r="F940" s="118"/>
      <c r="G940" s="243"/>
      <c r="H940" s="245"/>
      <c r="I940" s="246"/>
      <c r="J940" s="246"/>
      <c r="K940" s="86"/>
      <c r="L940" s="255"/>
      <c r="M940" s="114" t="str">
        <f t="shared" si="15"/>
        <v xml:space="preserve">   </v>
      </c>
    </row>
    <row r="941" spans="1:13" s="55" customFormat="1" hidden="1" x14ac:dyDescent="0.2">
      <c r="A941" s="295"/>
      <c r="B941" s="297"/>
      <c r="C941" s="231"/>
      <c r="D941" s="116"/>
      <c r="E941" s="117"/>
      <c r="F941" s="118"/>
      <c r="G941" s="243"/>
      <c r="H941" s="245"/>
      <c r="I941" s="246"/>
      <c r="J941" s="246"/>
      <c r="K941" s="86"/>
      <c r="L941" s="255"/>
      <c r="M941" s="114" t="str">
        <f t="shared" si="15"/>
        <v xml:space="preserve">   </v>
      </c>
    </row>
    <row r="942" spans="1:13" s="55" customFormat="1" hidden="1" x14ac:dyDescent="0.2">
      <c r="A942" s="295"/>
      <c r="B942" s="297"/>
      <c r="C942" s="231"/>
      <c r="D942" s="116"/>
      <c r="E942" s="117"/>
      <c r="F942" s="118"/>
      <c r="G942" s="243"/>
      <c r="H942" s="245"/>
      <c r="I942" s="246"/>
      <c r="J942" s="246"/>
      <c r="K942" s="86"/>
      <c r="L942" s="255"/>
      <c r="M942" s="114" t="str">
        <f t="shared" si="15"/>
        <v xml:space="preserve">   </v>
      </c>
    </row>
    <row r="943" spans="1:13" s="55" customFormat="1" ht="85.5" customHeight="1" x14ac:dyDescent="0.2">
      <c r="A943" s="295" t="s">
        <v>87</v>
      </c>
      <c r="B943" s="297" t="s">
        <v>107</v>
      </c>
      <c r="C943" s="112" t="s">
        <v>490</v>
      </c>
      <c r="D943" s="194" t="s">
        <v>587</v>
      </c>
      <c r="E943" s="194" t="s">
        <v>588</v>
      </c>
      <c r="F943" s="194" t="s">
        <v>589</v>
      </c>
      <c r="G943" s="238" t="s">
        <v>491</v>
      </c>
      <c r="H943" s="241" t="s">
        <v>590</v>
      </c>
      <c r="I943" s="241" t="s">
        <v>591</v>
      </c>
      <c r="J943" s="241" t="s">
        <v>592</v>
      </c>
      <c r="K943" s="86"/>
      <c r="L943" s="253" t="str">
        <f>CONCATENATE(C943," ",D943," ",E943," ",F943," ",C944," ",D944," ",E944," ",F944)</f>
        <v xml:space="preserve">UC4 C4 Reportar las acciones ejecutadas y las observaciones detectadas en el proceso de mantemiento de la infrestructura de red y comunicaciones,  de acuerdo con el plan de actividades programadas, el historial de mantenimiento, gestión de riesgos y políticas de seguridad de la organización.    </v>
      </c>
      <c r="M943" s="247" t="str">
        <f t="shared" si="15"/>
        <v>C4 I1 Registra  las incidencias o fallas de la red y comunicaciones  tomando en cuenta la base de datos y  el historial de mantenimiento, de acuerdo con buenas prácticas de gestión de redes.</v>
      </c>
    </row>
    <row r="944" spans="1:13" s="55" customFormat="1" ht="56.25" customHeight="1" x14ac:dyDescent="0.2">
      <c r="A944" s="295"/>
      <c r="B944" s="297"/>
      <c r="C944" s="231"/>
      <c r="D944" s="116"/>
      <c r="E944" s="117"/>
      <c r="F944" s="118"/>
      <c r="G944" s="238" t="s">
        <v>492</v>
      </c>
      <c r="H944" s="241" t="s">
        <v>593</v>
      </c>
      <c r="I944" s="241" t="s">
        <v>594</v>
      </c>
      <c r="J944" s="241" t="s">
        <v>595</v>
      </c>
      <c r="K944" s="86"/>
      <c r="L944" s="255"/>
      <c r="M944" s="247" t="str">
        <f t="shared" si="15"/>
        <v xml:space="preserve">C4 I2 clasifica  las incidencias o fallas de acuerdo a sus características técnicas y recurrencia. </v>
      </c>
    </row>
    <row r="945" spans="1:13" s="55" customFormat="1" ht="72.75" customHeight="1" x14ac:dyDescent="0.2">
      <c r="A945" s="295"/>
      <c r="B945" s="297"/>
      <c r="C945" s="115"/>
      <c r="D945" s="227"/>
      <c r="E945" s="228"/>
      <c r="F945" s="229"/>
      <c r="G945" s="232" t="s">
        <v>600</v>
      </c>
      <c r="H945" s="239" t="s">
        <v>596</v>
      </c>
      <c r="I945" s="240" t="s">
        <v>597</v>
      </c>
      <c r="J945" s="240" t="s">
        <v>598</v>
      </c>
      <c r="K945" s="86"/>
      <c r="L945" s="255"/>
      <c r="M945" s="247" t="str">
        <f t="shared" si="15"/>
        <v>C4 I3 Documenta  el historial de mantenimiento y los cambios relevantes de la infraestructura y/o sistemas de la red  de acuerdo con buenas prácticas de gestión de la configuración y políticas de la organización.</v>
      </c>
    </row>
    <row r="946" spans="1:13" s="55" customFormat="1" ht="87" customHeight="1" x14ac:dyDescent="0.2">
      <c r="A946" s="295"/>
      <c r="B946" s="297"/>
      <c r="C946" s="115"/>
      <c r="D946" s="227"/>
      <c r="E946" s="117"/>
      <c r="F946" s="118"/>
      <c r="G946" s="232" t="s">
        <v>601</v>
      </c>
      <c r="H946" s="113" t="s">
        <v>209</v>
      </c>
      <c r="I946" s="194" t="s">
        <v>599</v>
      </c>
      <c r="J946" s="194" t="s">
        <v>598</v>
      </c>
      <c r="K946" s="86"/>
      <c r="L946" s="255"/>
      <c r="M946" s="247" t="str">
        <f t="shared" si="15"/>
        <v>C4 I4 Elabora el reporte o informe de las acciones ejecutadas y las observaciones detectadas en el proceso de mantemiento de la infrestructura de red y comunicaciones,   de acuerdo con buenas prácticas de gestión de la configuración y políticas de la organización.</v>
      </c>
    </row>
    <row r="947" spans="1:13" s="55" customFormat="1" hidden="1" x14ac:dyDescent="0.2">
      <c r="A947" s="295"/>
      <c r="B947" s="297"/>
      <c r="C947" s="115"/>
      <c r="D947" s="116"/>
      <c r="E947" s="117"/>
      <c r="F947" s="118"/>
      <c r="G947" s="113"/>
      <c r="H947" s="113"/>
      <c r="I947" s="112"/>
      <c r="J947" s="112"/>
      <c r="K947" s="86"/>
      <c r="L947" s="255"/>
      <c r="M947" s="114" t="str">
        <f t="shared" si="15"/>
        <v xml:space="preserve">   </v>
      </c>
    </row>
    <row r="948" spans="1:13" s="55" customFormat="1" hidden="1" x14ac:dyDescent="0.2">
      <c r="A948" s="295"/>
      <c r="B948" s="297"/>
      <c r="C948" s="115"/>
      <c r="D948" s="116"/>
      <c r="E948" s="117"/>
      <c r="F948" s="118"/>
      <c r="G948" s="113"/>
      <c r="H948" s="113"/>
      <c r="I948" s="112"/>
      <c r="J948" s="112"/>
      <c r="K948" s="86"/>
      <c r="L948" s="255"/>
      <c r="M948" s="114" t="str">
        <f t="shared" si="15"/>
        <v xml:space="preserve">   </v>
      </c>
    </row>
    <row r="949" spans="1:13" s="55" customFormat="1" hidden="1" x14ac:dyDescent="0.2">
      <c r="A949" s="295"/>
      <c r="B949" s="297"/>
      <c r="C949" s="115"/>
      <c r="D949" s="116"/>
      <c r="E949" s="117"/>
      <c r="F949" s="118"/>
      <c r="G949" s="113"/>
      <c r="H949" s="113"/>
      <c r="I949" s="112"/>
      <c r="J949" s="112"/>
      <c r="K949" s="86"/>
      <c r="L949" s="255"/>
      <c r="M949" s="114" t="str">
        <f t="shared" si="15"/>
        <v xml:space="preserve">   </v>
      </c>
    </row>
    <row r="950" spans="1:13" s="55" customFormat="1" hidden="1" x14ac:dyDescent="0.2">
      <c r="A950" s="295"/>
      <c r="B950" s="297"/>
      <c r="C950" s="115"/>
      <c r="D950" s="116"/>
      <c r="E950" s="117"/>
      <c r="F950" s="118"/>
      <c r="G950" s="113"/>
      <c r="H950" s="113"/>
      <c r="I950" s="112"/>
      <c r="J950" s="112"/>
      <c r="K950" s="86"/>
      <c r="L950" s="255"/>
      <c r="M950" s="114" t="str">
        <f t="shared" si="15"/>
        <v xml:space="preserve">   </v>
      </c>
    </row>
    <row r="951" spans="1:13" s="55" customFormat="1" hidden="1" x14ac:dyDescent="0.2">
      <c r="A951" s="295"/>
      <c r="B951" s="297"/>
      <c r="C951" s="115"/>
      <c r="D951" s="116"/>
      <c r="E951" s="117"/>
      <c r="F951" s="118"/>
      <c r="G951" s="113"/>
      <c r="H951" s="113"/>
      <c r="I951" s="112"/>
      <c r="J951" s="112"/>
      <c r="K951" s="86"/>
      <c r="L951" s="255"/>
      <c r="M951" s="114" t="str">
        <f t="shared" si="15"/>
        <v xml:space="preserve">   </v>
      </c>
    </row>
    <row r="952" spans="1:13" s="55" customFormat="1" hidden="1" x14ac:dyDescent="0.2">
      <c r="A952" s="295"/>
      <c r="B952" s="297"/>
      <c r="C952" s="115"/>
      <c r="D952" s="116"/>
      <c r="E952" s="117"/>
      <c r="F952" s="118"/>
      <c r="G952" s="113"/>
      <c r="H952" s="113"/>
      <c r="I952" s="112"/>
      <c r="J952" s="112"/>
      <c r="K952" s="86"/>
      <c r="L952" s="255"/>
      <c r="M952" s="114" t="str">
        <f t="shared" si="15"/>
        <v xml:space="preserve">   </v>
      </c>
    </row>
    <row r="953" spans="1:13" s="55" customFormat="1" ht="27" hidden="1" customHeight="1" x14ac:dyDescent="0.2">
      <c r="A953" s="295" t="s">
        <v>87</v>
      </c>
      <c r="B953" s="297" t="s">
        <v>107</v>
      </c>
      <c r="C953" s="112"/>
      <c r="D953" s="215"/>
      <c r="E953" s="215"/>
      <c r="F953" s="215"/>
      <c r="G953" s="113"/>
      <c r="H953" s="113"/>
      <c r="I953" s="112"/>
      <c r="J953" s="112"/>
      <c r="K953" s="86"/>
      <c r="L953" s="253" t="str">
        <f>CONCATENATE(C953," ",D953," ",E953," ",F953," ",C954," ",D954," ",E954," ",F954)</f>
        <v xml:space="preserve">       </v>
      </c>
      <c r="M953" s="114" t="str">
        <f t="shared" si="15"/>
        <v xml:space="preserve">   </v>
      </c>
    </row>
    <row r="954" spans="1:13" s="55" customFormat="1" hidden="1" x14ac:dyDescent="0.2">
      <c r="A954" s="295"/>
      <c r="B954" s="297"/>
      <c r="C954" s="115"/>
      <c r="D954" s="116"/>
      <c r="E954" s="117"/>
      <c r="F954" s="118"/>
      <c r="G954" s="113"/>
      <c r="H954" s="113"/>
      <c r="I954" s="112"/>
      <c r="J954" s="112"/>
      <c r="K954" s="86"/>
      <c r="L954" s="255"/>
      <c r="M954" s="114" t="str">
        <f t="shared" si="15"/>
        <v xml:space="preserve">   </v>
      </c>
    </row>
    <row r="955" spans="1:13" s="55" customFormat="1" hidden="1" x14ac:dyDescent="0.2">
      <c r="A955" s="295"/>
      <c r="B955" s="297"/>
      <c r="C955" s="115"/>
      <c r="D955" s="116"/>
      <c r="E955" s="117"/>
      <c r="F955" s="118"/>
      <c r="G955" s="113"/>
      <c r="H955" s="113"/>
      <c r="I955" s="112"/>
      <c r="J955" s="112"/>
      <c r="K955" s="86"/>
      <c r="L955" s="255"/>
      <c r="M955" s="114" t="str">
        <f t="shared" si="15"/>
        <v xml:space="preserve">   </v>
      </c>
    </row>
    <row r="956" spans="1:13" s="55" customFormat="1" hidden="1" x14ac:dyDescent="0.2">
      <c r="A956" s="295"/>
      <c r="B956" s="297"/>
      <c r="C956" s="115"/>
      <c r="D956" s="116"/>
      <c r="E956" s="117"/>
      <c r="F956" s="118"/>
      <c r="G956" s="113"/>
      <c r="H956" s="113"/>
      <c r="I956" s="112"/>
      <c r="J956" s="112"/>
      <c r="K956" s="86"/>
      <c r="L956" s="255"/>
      <c r="M956" s="114" t="str">
        <f t="shared" si="15"/>
        <v xml:space="preserve">   </v>
      </c>
    </row>
    <row r="957" spans="1:13" s="55" customFormat="1" hidden="1" x14ac:dyDescent="0.2">
      <c r="A957" s="295"/>
      <c r="B957" s="297"/>
      <c r="C957" s="115"/>
      <c r="D957" s="116"/>
      <c r="E957" s="117"/>
      <c r="F957" s="118"/>
      <c r="G957" s="113"/>
      <c r="H957" s="113"/>
      <c r="I957" s="112"/>
      <c r="J957" s="112"/>
      <c r="K957" s="86"/>
      <c r="L957" s="255"/>
      <c r="M957" s="114" t="str">
        <f t="shared" si="15"/>
        <v xml:space="preserve">   </v>
      </c>
    </row>
    <row r="958" spans="1:13" s="55" customFormat="1" hidden="1" x14ac:dyDescent="0.2">
      <c r="A958" s="295"/>
      <c r="B958" s="297"/>
      <c r="C958" s="115"/>
      <c r="D958" s="116"/>
      <c r="E958" s="117"/>
      <c r="F958" s="118"/>
      <c r="G958" s="113"/>
      <c r="H958" s="113"/>
      <c r="I958" s="112"/>
      <c r="J958" s="112"/>
      <c r="K958" s="86"/>
      <c r="L958" s="255"/>
      <c r="M958" s="114" t="str">
        <f t="shared" si="15"/>
        <v xml:space="preserve">   </v>
      </c>
    </row>
    <row r="959" spans="1:13" s="55" customFormat="1" hidden="1" x14ac:dyDescent="0.2">
      <c r="A959" s="295"/>
      <c r="B959" s="297"/>
      <c r="C959" s="115"/>
      <c r="D959" s="116"/>
      <c r="E959" s="117"/>
      <c r="F959" s="118"/>
      <c r="G959" s="113"/>
      <c r="H959" s="113"/>
      <c r="I959" s="112"/>
      <c r="J959" s="112"/>
      <c r="K959" s="86"/>
      <c r="L959" s="255"/>
      <c r="M959" s="114" t="str">
        <f t="shared" si="15"/>
        <v xml:space="preserve">   </v>
      </c>
    </row>
    <row r="960" spans="1:13" s="55" customFormat="1" hidden="1" x14ac:dyDescent="0.2">
      <c r="A960" s="295"/>
      <c r="B960" s="297"/>
      <c r="C960" s="115"/>
      <c r="D960" s="116"/>
      <c r="E960" s="117"/>
      <c r="F960" s="118"/>
      <c r="G960" s="113"/>
      <c r="H960" s="113"/>
      <c r="I960" s="112"/>
      <c r="J960" s="112"/>
      <c r="K960" s="86"/>
      <c r="L960" s="255"/>
      <c r="M960" s="114" t="str">
        <f t="shared" si="15"/>
        <v xml:space="preserve">   </v>
      </c>
    </row>
    <row r="961" spans="1:13" s="55" customFormat="1" hidden="1" x14ac:dyDescent="0.2">
      <c r="A961" s="295"/>
      <c r="B961" s="297"/>
      <c r="C961" s="115"/>
      <c r="D961" s="116"/>
      <c r="E961" s="117"/>
      <c r="F961" s="118"/>
      <c r="G961" s="113"/>
      <c r="H961" s="113"/>
      <c r="I961" s="112"/>
      <c r="J961" s="112"/>
      <c r="K961" s="86"/>
      <c r="L961" s="255"/>
      <c r="M961" s="114" t="str">
        <f t="shared" si="15"/>
        <v xml:space="preserve">   </v>
      </c>
    </row>
    <row r="962" spans="1:13" s="55" customFormat="1" hidden="1" x14ac:dyDescent="0.2">
      <c r="A962" s="295"/>
      <c r="B962" s="297"/>
      <c r="C962" s="115"/>
      <c r="D962" s="116"/>
      <c r="E962" s="117"/>
      <c r="F962" s="118"/>
      <c r="G962" s="113"/>
      <c r="H962" s="113"/>
      <c r="I962" s="112"/>
      <c r="J962" s="112"/>
      <c r="K962" s="86"/>
      <c r="L962" s="255"/>
      <c r="M962" s="114" t="str">
        <f t="shared" si="15"/>
        <v xml:space="preserve">   </v>
      </c>
    </row>
    <row r="963" spans="1:13" s="55" customFormat="1" ht="12.75" hidden="1" customHeight="1" x14ac:dyDescent="0.2">
      <c r="A963" s="295" t="s">
        <v>87</v>
      </c>
      <c r="B963" s="297" t="s">
        <v>107</v>
      </c>
      <c r="C963" s="112"/>
      <c r="D963" s="112"/>
      <c r="E963" s="112"/>
      <c r="F963" s="112"/>
      <c r="G963" s="113"/>
      <c r="H963" s="113"/>
      <c r="I963" s="112"/>
      <c r="J963" s="112"/>
      <c r="K963" s="86"/>
      <c r="L963" s="253" t="str">
        <f>CONCATENATE(C963," ",D963," ",E963," ",F963," ",C964," ",D964," ",E964," ",F964)</f>
        <v xml:space="preserve">       </v>
      </c>
      <c r="M963" s="114" t="str">
        <f t="shared" si="15"/>
        <v xml:space="preserve">   </v>
      </c>
    </row>
    <row r="964" spans="1:13" s="55" customFormat="1" hidden="1" x14ac:dyDescent="0.2">
      <c r="A964" s="295"/>
      <c r="B964" s="297"/>
      <c r="C964" s="115"/>
      <c r="D964" s="116"/>
      <c r="E964" s="117"/>
      <c r="F964" s="118"/>
      <c r="G964" s="113"/>
      <c r="H964" s="113"/>
      <c r="I964" s="112"/>
      <c r="J964" s="112"/>
      <c r="K964" s="86"/>
      <c r="L964" s="255"/>
      <c r="M964" s="114" t="str">
        <f t="shared" si="15"/>
        <v xml:space="preserve">   </v>
      </c>
    </row>
    <row r="965" spans="1:13" s="55" customFormat="1" hidden="1" x14ac:dyDescent="0.2">
      <c r="A965" s="295"/>
      <c r="B965" s="297"/>
      <c r="C965" s="115"/>
      <c r="D965" s="116"/>
      <c r="E965" s="117"/>
      <c r="F965" s="118"/>
      <c r="G965" s="113"/>
      <c r="H965" s="113"/>
      <c r="I965" s="112"/>
      <c r="J965" s="112"/>
      <c r="K965" s="86"/>
      <c r="L965" s="255"/>
      <c r="M965" s="114" t="str">
        <f t="shared" si="15"/>
        <v xml:space="preserve">   </v>
      </c>
    </row>
    <row r="966" spans="1:13" s="55" customFormat="1" hidden="1" x14ac:dyDescent="0.2">
      <c r="A966" s="295"/>
      <c r="B966" s="297"/>
      <c r="C966" s="115"/>
      <c r="D966" s="116"/>
      <c r="E966" s="117"/>
      <c r="F966" s="118"/>
      <c r="G966" s="113"/>
      <c r="H966" s="113"/>
      <c r="I966" s="112"/>
      <c r="J966" s="112"/>
      <c r="K966" s="86"/>
      <c r="L966" s="255"/>
      <c r="M966" s="114" t="str">
        <f t="shared" si="15"/>
        <v xml:space="preserve">   </v>
      </c>
    </row>
    <row r="967" spans="1:13" s="55" customFormat="1" hidden="1" x14ac:dyDescent="0.2">
      <c r="A967" s="295"/>
      <c r="B967" s="297"/>
      <c r="C967" s="115"/>
      <c r="D967" s="116"/>
      <c r="E967" s="117"/>
      <c r="F967" s="118"/>
      <c r="G967" s="113"/>
      <c r="H967" s="113"/>
      <c r="I967" s="112"/>
      <c r="J967" s="112"/>
      <c r="K967" s="86"/>
      <c r="L967" s="255"/>
      <c r="M967" s="114" t="str">
        <f t="shared" si="15"/>
        <v xml:space="preserve">   </v>
      </c>
    </row>
    <row r="968" spans="1:13" s="55" customFormat="1" ht="9.75" hidden="1" customHeight="1" x14ac:dyDescent="0.2">
      <c r="A968" s="295"/>
      <c r="B968" s="297"/>
      <c r="C968" s="115"/>
      <c r="D968" s="116"/>
      <c r="E968" s="117"/>
      <c r="F968" s="118"/>
      <c r="G968" s="113"/>
      <c r="H968" s="113"/>
      <c r="I968" s="112"/>
      <c r="J968" s="112"/>
      <c r="K968" s="86"/>
      <c r="L968" s="255"/>
      <c r="M968" s="114" t="str">
        <f t="shared" si="15"/>
        <v xml:space="preserve">   </v>
      </c>
    </row>
    <row r="969" spans="1:13" s="55" customFormat="1" hidden="1" x14ac:dyDescent="0.2">
      <c r="A969" s="295"/>
      <c r="B969" s="297"/>
      <c r="C969" s="115"/>
      <c r="D969" s="116"/>
      <c r="E969" s="117"/>
      <c r="F969" s="118"/>
      <c r="G969" s="113"/>
      <c r="H969" s="113"/>
      <c r="I969" s="112"/>
      <c r="J969" s="112"/>
      <c r="K969" s="86"/>
      <c r="L969" s="255"/>
      <c r="M969" s="114" t="str">
        <f t="shared" si="15"/>
        <v xml:space="preserve">   </v>
      </c>
    </row>
    <row r="970" spans="1:13" s="55" customFormat="1" hidden="1" x14ac:dyDescent="0.2">
      <c r="A970" s="295"/>
      <c r="B970" s="297"/>
      <c r="C970" s="115"/>
      <c r="D970" s="116"/>
      <c r="E970" s="117"/>
      <c r="F970" s="118"/>
      <c r="G970" s="113"/>
      <c r="H970" s="113"/>
      <c r="I970" s="112"/>
      <c r="J970" s="112"/>
      <c r="K970" s="86"/>
      <c r="L970" s="255"/>
      <c r="M970" s="114" t="str">
        <f t="shared" si="15"/>
        <v xml:space="preserve">   </v>
      </c>
    </row>
    <row r="971" spans="1:13" s="55" customFormat="1" hidden="1" x14ac:dyDescent="0.2">
      <c r="A971" s="295"/>
      <c r="B971" s="297"/>
      <c r="C971" s="115"/>
      <c r="D971" s="116"/>
      <c r="E971" s="117"/>
      <c r="F971" s="118"/>
      <c r="G971" s="113"/>
      <c r="H971" s="113"/>
      <c r="I971" s="112"/>
      <c r="J971" s="112"/>
      <c r="K971" s="86"/>
      <c r="L971" s="255"/>
      <c r="M971" s="114" t="str">
        <f t="shared" ref="M971:M1034" si="16">CONCATENATE(G971," ",H971," ",I971," ",J971)</f>
        <v xml:space="preserve">   </v>
      </c>
    </row>
    <row r="972" spans="1:13" s="55" customFormat="1" hidden="1" x14ac:dyDescent="0.2">
      <c r="A972" s="295"/>
      <c r="B972" s="297"/>
      <c r="C972" s="115"/>
      <c r="D972" s="116"/>
      <c r="E972" s="117"/>
      <c r="F972" s="118"/>
      <c r="G972" s="113"/>
      <c r="H972" s="113"/>
      <c r="I972" s="112"/>
      <c r="J972" s="112"/>
      <c r="K972" s="86"/>
      <c r="L972" s="255"/>
      <c r="M972" s="114" t="str">
        <f t="shared" si="16"/>
        <v xml:space="preserve">   </v>
      </c>
    </row>
    <row r="973" spans="1:13" s="55" customFormat="1" ht="12.75" hidden="1" customHeight="1" x14ac:dyDescent="0.2">
      <c r="A973" s="295" t="s">
        <v>87</v>
      </c>
      <c r="B973" s="297" t="s">
        <v>107</v>
      </c>
      <c r="C973" s="112"/>
      <c r="D973" s="112"/>
      <c r="E973" s="112"/>
      <c r="F973" s="112"/>
      <c r="G973" s="113"/>
      <c r="H973" s="113"/>
      <c r="I973" s="112"/>
      <c r="J973" s="112"/>
      <c r="K973" s="86"/>
      <c r="L973" s="253" t="str">
        <f>CONCATENATE(C973," ",D973," ",E973," ",F973," ",C974," ",D974," ",E974," ",F974)</f>
        <v xml:space="preserve">       </v>
      </c>
      <c r="M973" s="114" t="str">
        <f t="shared" si="16"/>
        <v xml:space="preserve">   </v>
      </c>
    </row>
    <row r="974" spans="1:13" s="55" customFormat="1" hidden="1" x14ac:dyDescent="0.2">
      <c r="A974" s="295"/>
      <c r="B974" s="297"/>
      <c r="C974" s="115"/>
      <c r="D974" s="116"/>
      <c r="E974" s="117"/>
      <c r="F974" s="118"/>
      <c r="G974" s="113"/>
      <c r="H974" s="113"/>
      <c r="I974" s="112"/>
      <c r="J974" s="112"/>
      <c r="K974" s="86"/>
      <c r="L974" s="255"/>
      <c r="M974" s="114" t="str">
        <f t="shared" si="16"/>
        <v xml:space="preserve">   </v>
      </c>
    </row>
    <row r="975" spans="1:13" s="55" customFormat="1" hidden="1" x14ac:dyDescent="0.2">
      <c r="A975" s="295"/>
      <c r="B975" s="297"/>
      <c r="C975" s="115"/>
      <c r="D975" s="116"/>
      <c r="E975" s="117"/>
      <c r="F975" s="118"/>
      <c r="G975" s="113"/>
      <c r="H975" s="113"/>
      <c r="I975" s="112"/>
      <c r="J975" s="112"/>
      <c r="K975" s="86"/>
      <c r="L975" s="255"/>
      <c r="M975" s="114" t="str">
        <f t="shared" si="16"/>
        <v xml:space="preserve">   </v>
      </c>
    </row>
    <row r="976" spans="1:13" s="55" customFormat="1" hidden="1" x14ac:dyDescent="0.2">
      <c r="A976" s="295"/>
      <c r="B976" s="297"/>
      <c r="C976" s="115"/>
      <c r="D976" s="116"/>
      <c r="E976" s="117"/>
      <c r="F976" s="118"/>
      <c r="G976" s="113"/>
      <c r="H976" s="113"/>
      <c r="I976" s="112"/>
      <c r="J976" s="112"/>
      <c r="K976" s="86"/>
      <c r="L976" s="255"/>
      <c r="M976" s="114" t="str">
        <f t="shared" si="16"/>
        <v xml:space="preserve">   </v>
      </c>
    </row>
    <row r="977" spans="1:13" s="55" customFormat="1" hidden="1" x14ac:dyDescent="0.2">
      <c r="A977" s="295"/>
      <c r="B977" s="297"/>
      <c r="C977" s="115"/>
      <c r="D977" s="116"/>
      <c r="E977" s="117"/>
      <c r="F977" s="118"/>
      <c r="G977" s="113"/>
      <c r="H977" s="113"/>
      <c r="I977" s="112"/>
      <c r="J977" s="112"/>
      <c r="K977" s="86"/>
      <c r="L977" s="255"/>
      <c r="M977" s="114" t="str">
        <f t="shared" si="16"/>
        <v xml:space="preserve">   </v>
      </c>
    </row>
    <row r="978" spans="1:13" s="55" customFormat="1" hidden="1" x14ac:dyDescent="0.2">
      <c r="A978" s="295"/>
      <c r="B978" s="297"/>
      <c r="C978" s="115"/>
      <c r="D978" s="116"/>
      <c r="E978" s="117"/>
      <c r="F978" s="118"/>
      <c r="G978" s="113"/>
      <c r="H978" s="113"/>
      <c r="I978" s="112"/>
      <c r="J978" s="112"/>
      <c r="K978" s="86"/>
      <c r="L978" s="255"/>
      <c r="M978" s="114" t="str">
        <f t="shared" si="16"/>
        <v xml:space="preserve">   </v>
      </c>
    </row>
    <row r="979" spans="1:13" s="55" customFormat="1" hidden="1" x14ac:dyDescent="0.2">
      <c r="A979" s="295"/>
      <c r="B979" s="297"/>
      <c r="C979" s="115"/>
      <c r="D979" s="116"/>
      <c r="E979" s="117"/>
      <c r="F979" s="118"/>
      <c r="G979" s="113"/>
      <c r="H979" s="113"/>
      <c r="I979" s="112"/>
      <c r="J979" s="112"/>
      <c r="K979" s="86"/>
      <c r="L979" s="255"/>
      <c r="M979" s="114" t="str">
        <f t="shared" si="16"/>
        <v xml:space="preserve">   </v>
      </c>
    </row>
    <row r="980" spans="1:13" s="55" customFormat="1" hidden="1" x14ac:dyDescent="0.2">
      <c r="A980" s="295"/>
      <c r="B980" s="297"/>
      <c r="C980" s="115"/>
      <c r="D980" s="116"/>
      <c r="E980" s="117"/>
      <c r="F980" s="118"/>
      <c r="G980" s="113"/>
      <c r="H980" s="113"/>
      <c r="I980" s="112"/>
      <c r="J980" s="112"/>
      <c r="K980" s="86"/>
      <c r="L980" s="255"/>
      <c r="M980" s="114" t="str">
        <f t="shared" si="16"/>
        <v xml:space="preserve">   </v>
      </c>
    </row>
    <row r="981" spans="1:13" s="55" customFormat="1" hidden="1" x14ac:dyDescent="0.2">
      <c r="A981" s="295"/>
      <c r="B981" s="297"/>
      <c r="C981" s="115"/>
      <c r="D981" s="116"/>
      <c r="E981" s="117"/>
      <c r="F981" s="118"/>
      <c r="G981" s="113"/>
      <c r="H981" s="113"/>
      <c r="I981" s="112"/>
      <c r="J981" s="112"/>
      <c r="K981" s="86"/>
      <c r="L981" s="255"/>
      <c r="M981" s="114" t="str">
        <f t="shared" si="16"/>
        <v xml:space="preserve">   </v>
      </c>
    </row>
    <row r="982" spans="1:13" s="55" customFormat="1" hidden="1" x14ac:dyDescent="0.2">
      <c r="A982" s="295"/>
      <c r="B982" s="297"/>
      <c r="C982" s="115"/>
      <c r="D982" s="116"/>
      <c r="E982" s="117"/>
      <c r="F982" s="118"/>
      <c r="G982" s="113"/>
      <c r="H982" s="113"/>
      <c r="I982" s="112"/>
      <c r="J982" s="112"/>
      <c r="K982" s="86"/>
      <c r="L982" s="255"/>
      <c r="M982" s="114" t="str">
        <f t="shared" si="16"/>
        <v xml:space="preserve">   </v>
      </c>
    </row>
    <row r="983" spans="1:13" s="55" customFormat="1" ht="12.75" hidden="1" customHeight="1" x14ac:dyDescent="0.2">
      <c r="A983" s="295" t="s">
        <v>87</v>
      </c>
      <c r="B983" s="297" t="s">
        <v>107</v>
      </c>
      <c r="C983" s="112"/>
      <c r="D983" s="112"/>
      <c r="E983" s="112"/>
      <c r="F983" s="112"/>
      <c r="G983" s="113"/>
      <c r="H983" s="113"/>
      <c r="I983" s="112"/>
      <c r="J983" s="112"/>
      <c r="K983" s="86"/>
      <c r="L983" s="253" t="str">
        <f>CONCATENATE(C983," ",D983," ",E983," ",F983," ",C984," ",D984," ",E984," ",F984)</f>
        <v xml:space="preserve">       </v>
      </c>
      <c r="M983" s="114" t="str">
        <f t="shared" si="16"/>
        <v xml:space="preserve">   </v>
      </c>
    </row>
    <row r="984" spans="1:13" s="55" customFormat="1" hidden="1" x14ac:dyDescent="0.2">
      <c r="A984" s="295"/>
      <c r="B984" s="297"/>
      <c r="C984" s="115"/>
      <c r="D984" s="116"/>
      <c r="E984" s="117"/>
      <c r="F984" s="118"/>
      <c r="G984" s="113"/>
      <c r="H984" s="113"/>
      <c r="I984" s="112"/>
      <c r="J984" s="112"/>
      <c r="K984" s="86"/>
      <c r="L984" s="255"/>
      <c r="M984" s="114" t="str">
        <f t="shared" si="16"/>
        <v xml:space="preserve">   </v>
      </c>
    </row>
    <row r="985" spans="1:13" s="55" customFormat="1" hidden="1" x14ac:dyDescent="0.2">
      <c r="A985" s="295"/>
      <c r="B985" s="297"/>
      <c r="C985" s="115"/>
      <c r="D985" s="116"/>
      <c r="E985" s="117"/>
      <c r="F985" s="118"/>
      <c r="G985" s="113"/>
      <c r="H985" s="113"/>
      <c r="I985" s="112"/>
      <c r="J985" s="112"/>
      <c r="K985" s="86"/>
      <c r="L985" s="255"/>
      <c r="M985" s="114" t="str">
        <f t="shared" si="16"/>
        <v xml:space="preserve">   </v>
      </c>
    </row>
    <row r="986" spans="1:13" s="55" customFormat="1" hidden="1" x14ac:dyDescent="0.2">
      <c r="A986" s="295"/>
      <c r="B986" s="297"/>
      <c r="C986" s="115"/>
      <c r="D986" s="116"/>
      <c r="E986" s="117"/>
      <c r="F986" s="118"/>
      <c r="G986" s="113"/>
      <c r="H986" s="113"/>
      <c r="I986" s="112"/>
      <c r="J986" s="112"/>
      <c r="K986" s="86"/>
      <c r="L986" s="255"/>
      <c r="M986" s="114" t="str">
        <f t="shared" si="16"/>
        <v xml:space="preserve">   </v>
      </c>
    </row>
    <row r="987" spans="1:13" s="55" customFormat="1" hidden="1" x14ac:dyDescent="0.2">
      <c r="A987" s="295"/>
      <c r="B987" s="297"/>
      <c r="C987" s="115"/>
      <c r="D987" s="116"/>
      <c r="E987" s="117"/>
      <c r="F987" s="118"/>
      <c r="G987" s="113"/>
      <c r="H987" s="113"/>
      <c r="I987" s="112"/>
      <c r="J987" s="112"/>
      <c r="K987" s="86"/>
      <c r="L987" s="255"/>
      <c r="M987" s="114" t="str">
        <f t="shared" si="16"/>
        <v xml:space="preserve">   </v>
      </c>
    </row>
    <row r="988" spans="1:13" s="55" customFormat="1" hidden="1" x14ac:dyDescent="0.2">
      <c r="A988" s="295"/>
      <c r="B988" s="297"/>
      <c r="C988" s="115"/>
      <c r="D988" s="116"/>
      <c r="E988" s="117"/>
      <c r="F988" s="118"/>
      <c r="G988" s="113"/>
      <c r="H988" s="113"/>
      <c r="I988" s="112"/>
      <c r="J988" s="112"/>
      <c r="K988" s="86"/>
      <c r="L988" s="255"/>
      <c r="M988" s="114" t="str">
        <f t="shared" si="16"/>
        <v xml:space="preserve">   </v>
      </c>
    </row>
    <row r="989" spans="1:13" s="55" customFormat="1" hidden="1" x14ac:dyDescent="0.2">
      <c r="A989" s="295"/>
      <c r="B989" s="297"/>
      <c r="C989" s="115"/>
      <c r="D989" s="116"/>
      <c r="E989" s="117"/>
      <c r="F989" s="118"/>
      <c r="G989" s="113"/>
      <c r="H989" s="113"/>
      <c r="I989" s="112"/>
      <c r="J989" s="112"/>
      <c r="K989" s="86"/>
      <c r="L989" s="255"/>
      <c r="M989" s="114" t="str">
        <f t="shared" si="16"/>
        <v xml:space="preserve">   </v>
      </c>
    </row>
    <row r="990" spans="1:13" s="55" customFormat="1" hidden="1" x14ac:dyDescent="0.2">
      <c r="A990" s="295"/>
      <c r="B990" s="297"/>
      <c r="C990" s="115"/>
      <c r="D990" s="116"/>
      <c r="E990" s="117"/>
      <c r="F990" s="118"/>
      <c r="G990" s="113"/>
      <c r="H990" s="113"/>
      <c r="I990" s="112"/>
      <c r="J990" s="112"/>
      <c r="K990" s="86"/>
      <c r="L990" s="255"/>
      <c r="M990" s="114" t="str">
        <f t="shared" si="16"/>
        <v xml:space="preserve">   </v>
      </c>
    </row>
    <row r="991" spans="1:13" s="55" customFormat="1" hidden="1" x14ac:dyDescent="0.2">
      <c r="A991" s="295"/>
      <c r="B991" s="297"/>
      <c r="C991" s="115"/>
      <c r="D991" s="116"/>
      <c r="E991" s="117"/>
      <c r="F991" s="118"/>
      <c r="G991" s="113"/>
      <c r="H991" s="113"/>
      <c r="I991" s="112"/>
      <c r="J991" s="112"/>
      <c r="K991" s="86"/>
      <c r="L991" s="255"/>
      <c r="M991" s="114" t="str">
        <f t="shared" si="16"/>
        <v xml:space="preserve">   </v>
      </c>
    </row>
    <row r="992" spans="1:13" s="55" customFormat="1" hidden="1" x14ac:dyDescent="0.2">
      <c r="A992" s="295"/>
      <c r="B992" s="297"/>
      <c r="C992" s="115"/>
      <c r="D992" s="116"/>
      <c r="E992" s="117"/>
      <c r="F992" s="118"/>
      <c r="G992" s="113"/>
      <c r="H992" s="113"/>
      <c r="I992" s="112"/>
      <c r="J992" s="112"/>
      <c r="K992" s="86"/>
      <c r="L992" s="255"/>
      <c r="M992" s="114" t="str">
        <f t="shared" si="16"/>
        <v xml:space="preserve">   </v>
      </c>
    </row>
    <row r="993" spans="1:13" s="55" customFormat="1" ht="12.75" hidden="1" customHeight="1" x14ac:dyDescent="0.2">
      <c r="A993" s="295" t="s">
        <v>87</v>
      </c>
      <c r="B993" s="297" t="s">
        <v>107</v>
      </c>
      <c r="C993" s="112"/>
      <c r="D993" s="112"/>
      <c r="E993" s="112"/>
      <c r="F993" s="112"/>
      <c r="G993" s="113"/>
      <c r="H993" s="113"/>
      <c r="I993" s="112"/>
      <c r="J993" s="112"/>
      <c r="K993" s="86"/>
      <c r="L993" s="253" t="str">
        <f>CONCATENATE(C993," ",D993," ",E993," ",F993," ",C994," ",D994," ",E994," ",F994)</f>
        <v xml:space="preserve">       </v>
      </c>
      <c r="M993" s="114" t="str">
        <f t="shared" si="16"/>
        <v xml:space="preserve">   </v>
      </c>
    </row>
    <row r="994" spans="1:13" s="55" customFormat="1" hidden="1" x14ac:dyDescent="0.2">
      <c r="A994" s="295"/>
      <c r="B994" s="297"/>
      <c r="C994" s="115"/>
      <c r="D994" s="116"/>
      <c r="E994" s="117"/>
      <c r="F994" s="118"/>
      <c r="G994" s="113"/>
      <c r="H994" s="113"/>
      <c r="I994" s="112"/>
      <c r="J994" s="112"/>
      <c r="K994" s="86"/>
      <c r="L994" s="255"/>
      <c r="M994" s="114" t="str">
        <f t="shared" si="16"/>
        <v xml:space="preserve">   </v>
      </c>
    </row>
    <row r="995" spans="1:13" s="55" customFormat="1" hidden="1" x14ac:dyDescent="0.2">
      <c r="A995" s="295"/>
      <c r="B995" s="297"/>
      <c r="C995" s="115"/>
      <c r="D995" s="116"/>
      <c r="E995" s="117"/>
      <c r="F995" s="118"/>
      <c r="G995" s="113"/>
      <c r="H995" s="113"/>
      <c r="I995" s="112"/>
      <c r="J995" s="112"/>
      <c r="K995" s="86"/>
      <c r="L995" s="255"/>
      <c r="M995" s="114" t="str">
        <f t="shared" si="16"/>
        <v xml:space="preserve">   </v>
      </c>
    </row>
    <row r="996" spans="1:13" s="55" customFormat="1" hidden="1" x14ac:dyDescent="0.2">
      <c r="A996" s="295"/>
      <c r="B996" s="297"/>
      <c r="C996" s="115"/>
      <c r="D996" s="116"/>
      <c r="E996" s="117"/>
      <c r="F996" s="118"/>
      <c r="G996" s="113"/>
      <c r="H996" s="113"/>
      <c r="I996" s="112"/>
      <c r="J996" s="112"/>
      <c r="K996" s="86"/>
      <c r="L996" s="255"/>
      <c r="M996" s="114" t="str">
        <f t="shared" si="16"/>
        <v xml:space="preserve">   </v>
      </c>
    </row>
    <row r="997" spans="1:13" s="55" customFormat="1" hidden="1" x14ac:dyDescent="0.2">
      <c r="A997" s="295"/>
      <c r="B997" s="297"/>
      <c r="C997" s="115"/>
      <c r="D997" s="116"/>
      <c r="E997" s="117"/>
      <c r="F997" s="118"/>
      <c r="G997" s="113"/>
      <c r="H997" s="113"/>
      <c r="I997" s="112"/>
      <c r="J997" s="112"/>
      <c r="K997" s="86"/>
      <c r="L997" s="255"/>
      <c r="M997" s="114" t="str">
        <f t="shared" si="16"/>
        <v xml:space="preserve">   </v>
      </c>
    </row>
    <row r="998" spans="1:13" s="55" customFormat="1" hidden="1" x14ac:dyDescent="0.2">
      <c r="A998" s="295"/>
      <c r="B998" s="297"/>
      <c r="C998" s="115"/>
      <c r="D998" s="116"/>
      <c r="E998" s="117"/>
      <c r="F998" s="118"/>
      <c r="G998" s="113"/>
      <c r="H998" s="113"/>
      <c r="I998" s="112"/>
      <c r="J998" s="112"/>
      <c r="K998" s="86"/>
      <c r="L998" s="255"/>
      <c r="M998" s="114" t="str">
        <f t="shared" si="16"/>
        <v xml:space="preserve">   </v>
      </c>
    </row>
    <row r="999" spans="1:13" s="55" customFormat="1" hidden="1" x14ac:dyDescent="0.2">
      <c r="A999" s="295"/>
      <c r="B999" s="297"/>
      <c r="C999" s="115"/>
      <c r="D999" s="116"/>
      <c r="E999" s="117"/>
      <c r="F999" s="118"/>
      <c r="G999" s="113"/>
      <c r="H999" s="113"/>
      <c r="I999" s="112"/>
      <c r="J999" s="112"/>
      <c r="K999" s="86"/>
      <c r="L999" s="255"/>
      <c r="M999" s="114" t="str">
        <f t="shared" si="16"/>
        <v xml:space="preserve">   </v>
      </c>
    </row>
    <row r="1000" spans="1:13" s="55" customFormat="1" hidden="1" x14ac:dyDescent="0.2">
      <c r="A1000" s="295"/>
      <c r="B1000" s="297"/>
      <c r="C1000" s="115"/>
      <c r="D1000" s="116"/>
      <c r="E1000" s="117"/>
      <c r="F1000" s="118"/>
      <c r="G1000" s="113"/>
      <c r="H1000" s="113"/>
      <c r="I1000" s="112"/>
      <c r="J1000" s="112"/>
      <c r="K1000" s="86"/>
      <c r="L1000" s="255"/>
      <c r="M1000" s="114" t="str">
        <f t="shared" si="16"/>
        <v xml:space="preserve">   </v>
      </c>
    </row>
    <row r="1001" spans="1:13" s="55" customFormat="1" hidden="1" x14ac:dyDescent="0.2">
      <c r="A1001" s="295"/>
      <c r="B1001" s="297"/>
      <c r="C1001" s="115"/>
      <c r="D1001" s="116"/>
      <c r="E1001" s="117"/>
      <c r="F1001" s="118"/>
      <c r="G1001" s="113"/>
      <c r="H1001" s="113"/>
      <c r="I1001" s="112"/>
      <c r="J1001" s="112"/>
      <c r="K1001" s="86"/>
      <c r="L1001" s="255"/>
      <c r="M1001" s="114" t="str">
        <f t="shared" si="16"/>
        <v xml:space="preserve">   </v>
      </c>
    </row>
    <row r="1002" spans="1:13" s="55" customFormat="1" hidden="1" x14ac:dyDescent="0.2">
      <c r="A1002" s="295"/>
      <c r="B1002" s="297"/>
      <c r="C1002" s="115"/>
      <c r="D1002" s="116"/>
      <c r="E1002" s="117"/>
      <c r="F1002" s="118"/>
      <c r="G1002" s="113"/>
      <c r="H1002" s="113"/>
      <c r="I1002" s="112"/>
      <c r="J1002" s="112"/>
      <c r="K1002" s="86"/>
      <c r="L1002" s="255"/>
      <c r="M1002" s="114" t="str">
        <f t="shared" si="16"/>
        <v xml:space="preserve">   </v>
      </c>
    </row>
    <row r="1003" spans="1:13" s="55" customFormat="1" ht="12.75" hidden="1" customHeight="1" x14ac:dyDescent="0.2">
      <c r="A1003" s="295" t="s">
        <v>87</v>
      </c>
      <c r="B1003" s="297" t="s">
        <v>107</v>
      </c>
      <c r="C1003" s="112"/>
      <c r="D1003" s="112"/>
      <c r="E1003" s="112"/>
      <c r="F1003" s="112"/>
      <c r="G1003" s="113"/>
      <c r="H1003" s="113"/>
      <c r="I1003" s="112"/>
      <c r="J1003" s="112"/>
      <c r="K1003" s="86"/>
      <c r="L1003" s="253" t="str">
        <f>CONCATENATE(C1003," ",D1003," ",E1003," ",F1003," ",C1004," ",D1004," ",E1004," ",F1004)</f>
        <v xml:space="preserve">       </v>
      </c>
      <c r="M1003" s="114" t="str">
        <f t="shared" si="16"/>
        <v xml:space="preserve">   </v>
      </c>
    </row>
    <row r="1004" spans="1:13" s="55" customFormat="1" hidden="1" x14ac:dyDescent="0.2">
      <c r="A1004" s="295"/>
      <c r="B1004" s="297"/>
      <c r="C1004" s="115"/>
      <c r="D1004" s="116"/>
      <c r="E1004" s="117"/>
      <c r="F1004" s="118"/>
      <c r="G1004" s="113"/>
      <c r="H1004" s="113"/>
      <c r="I1004" s="112"/>
      <c r="J1004" s="112"/>
      <c r="K1004" s="86"/>
      <c r="L1004" s="255"/>
      <c r="M1004" s="114" t="str">
        <f t="shared" si="16"/>
        <v xml:space="preserve">   </v>
      </c>
    </row>
    <row r="1005" spans="1:13" s="55" customFormat="1" hidden="1" x14ac:dyDescent="0.2">
      <c r="A1005" s="295"/>
      <c r="B1005" s="297"/>
      <c r="C1005" s="115"/>
      <c r="D1005" s="116"/>
      <c r="E1005" s="117"/>
      <c r="F1005" s="118"/>
      <c r="G1005" s="113"/>
      <c r="H1005" s="113"/>
      <c r="I1005" s="112"/>
      <c r="J1005" s="112"/>
      <c r="K1005" s="86"/>
      <c r="L1005" s="255"/>
      <c r="M1005" s="114" t="str">
        <f t="shared" si="16"/>
        <v xml:space="preserve">   </v>
      </c>
    </row>
    <row r="1006" spans="1:13" s="55" customFormat="1" hidden="1" x14ac:dyDescent="0.2">
      <c r="A1006" s="295"/>
      <c r="B1006" s="297"/>
      <c r="C1006" s="115"/>
      <c r="D1006" s="116"/>
      <c r="E1006" s="117"/>
      <c r="F1006" s="118"/>
      <c r="G1006" s="113"/>
      <c r="H1006" s="113"/>
      <c r="I1006" s="112"/>
      <c r="J1006" s="112"/>
      <c r="K1006" s="86"/>
      <c r="L1006" s="255"/>
      <c r="M1006" s="114" t="str">
        <f t="shared" si="16"/>
        <v xml:space="preserve">   </v>
      </c>
    </row>
    <row r="1007" spans="1:13" s="55" customFormat="1" hidden="1" x14ac:dyDescent="0.2">
      <c r="A1007" s="295"/>
      <c r="B1007" s="297"/>
      <c r="C1007" s="115"/>
      <c r="D1007" s="116"/>
      <c r="E1007" s="117"/>
      <c r="F1007" s="118"/>
      <c r="G1007" s="113"/>
      <c r="H1007" s="113"/>
      <c r="I1007" s="112"/>
      <c r="J1007" s="112"/>
      <c r="K1007" s="86"/>
      <c r="L1007" s="255"/>
      <c r="M1007" s="114" t="str">
        <f t="shared" si="16"/>
        <v xml:space="preserve">   </v>
      </c>
    </row>
    <row r="1008" spans="1:13" s="55" customFormat="1" hidden="1" x14ac:dyDescent="0.2">
      <c r="A1008" s="295"/>
      <c r="B1008" s="297"/>
      <c r="C1008" s="115"/>
      <c r="D1008" s="116"/>
      <c r="E1008" s="117"/>
      <c r="F1008" s="118"/>
      <c r="G1008" s="113"/>
      <c r="H1008" s="113"/>
      <c r="I1008" s="112"/>
      <c r="J1008" s="112"/>
      <c r="K1008" s="86"/>
      <c r="L1008" s="255"/>
      <c r="M1008" s="114" t="str">
        <f t="shared" si="16"/>
        <v xml:space="preserve">   </v>
      </c>
    </row>
    <row r="1009" spans="1:13" s="55" customFormat="1" hidden="1" x14ac:dyDescent="0.2">
      <c r="A1009" s="295"/>
      <c r="B1009" s="297"/>
      <c r="C1009" s="115"/>
      <c r="D1009" s="116"/>
      <c r="E1009" s="117"/>
      <c r="F1009" s="118"/>
      <c r="G1009" s="113"/>
      <c r="H1009" s="113"/>
      <c r="I1009" s="112"/>
      <c r="J1009" s="112"/>
      <c r="K1009" s="86"/>
      <c r="L1009" s="255"/>
      <c r="M1009" s="114" t="str">
        <f t="shared" si="16"/>
        <v xml:space="preserve">   </v>
      </c>
    </row>
    <row r="1010" spans="1:13" s="55" customFormat="1" hidden="1" x14ac:dyDescent="0.2">
      <c r="A1010" s="295"/>
      <c r="B1010" s="297"/>
      <c r="C1010" s="115"/>
      <c r="D1010" s="116"/>
      <c r="E1010" s="117"/>
      <c r="F1010" s="118"/>
      <c r="G1010" s="113"/>
      <c r="H1010" s="113"/>
      <c r="I1010" s="112"/>
      <c r="J1010" s="112"/>
      <c r="K1010" s="86"/>
      <c r="L1010" s="255"/>
      <c r="M1010" s="114" t="str">
        <f t="shared" si="16"/>
        <v xml:space="preserve">   </v>
      </c>
    </row>
    <row r="1011" spans="1:13" s="55" customFormat="1" hidden="1" x14ac:dyDescent="0.2">
      <c r="A1011" s="295"/>
      <c r="B1011" s="297"/>
      <c r="C1011" s="115"/>
      <c r="D1011" s="116"/>
      <c r="E1011" s="117"/>
      <c r="F1011" s="118"/>
      <c r="G1011" s="113"/>
      <c r="H1011" s="113"/>
      <c r="I1011" s="112"/>
      <c r="J1011" s="112"/>
      <c r="K1011" s="86"/>
      <c r="L1011" s="255"/>
      <c r="M1011" s="114" t="str">
        <f t="shared" si="16"/>
        <v xml:space="preserve">   </v>
      </c>
    </row>
    <row r="1012" spans="1:13" s="55" customFormat="1" hidden="1" x14ac:dyDescent="0.2">
      <c r="A1012" s="295"/>
      <c r="B1012" s="297"/>
      <c r="C1012" s="115"/>
      <c r="D1012" s="116"/>
      <c r="E1012" s="117"/>
      <c r="F1012" s="118"/>
      <c r="G1012" s="113"/>
      <c r="H1012" s="113"/>
      <c r="I1012" s="112"/>
      <c r="J1012" s="112"/>
      <c r="K1012" s="86"/>
      <c r="L1012" s="255"/>
      <c r="M1012" s="114" t="str">
        <f t="shared" si="16"/>
        <v xml:space="preserve">   </v>
      </c>
    </row>
    <row r="1013" spans="1:13" s="55" customFormat="1" ht="12.75" hidden="1" customHeight="1" x14ac:dyDescent="0.2">
      <c r="A1013" s="295" t="s">
        <v>87</v>
      </c>
      <c r="B1013" s="297" t="s">
        <v>107</v>
      </c>
      <c r="C1013" s="112"/>
      <c r="D1013" s="112"/>
      <c r="E1013" s="112"/>
      <c r="F1013" s="112"/>
      <c r="G1013" s="113"/>
      <c r="H1013" s="113"/>
      <c r="I1013" s="112"/>
      <c r="J1013" s="112"/>
      <c r="K1013" s="86"/>
      <c r="L1013" s="253" t="str">
        <f>CONCATENATE(C1013," ",D1013," ",E1013," ",F1013," ",C1014," ",D1014," ",E1014," ",F1014)</f>
        <v xml:space="preserve">       </v>
      </c>
      <c r="M1013" s="114" t="str">
        <f t="shared" si="16"/>
        <v xml:space="preserve">   </v>
      </c>
    </row>
    <row r="1014" spans="1:13" s="55" customFormat="1" hidden="1" x14ac:dyDescent="0.2">
      <c r="A1014" s="295"/>
      <c r="B1014" s="297"/>
      <c r="C1014" s="115"/>
      <c r="D1014" s="116"/>
      <c r="E1014" s="117"/>
      <c r="F1014" s="118"/>
      <c r="G1014" s="113"/>
      <c r="H1014" s="113"/>
      <c r="I1014" s="112"/>
      <c r="J1014" s="112"/>
      <c r="K1014" s="86"/>
      <c r="L1014" s="255"/>
      <c r="M1014" s="114" t="str">
        <f t="shared" si="16"/>
        <v xml:space="preserve">   </v>
      </c>
    </row>
    <row r="1015" spans="1:13" s="55" customFormat="1" hidden="1" x14ac:dyDescent="0.2">
      <c r="A1015" s="295"/>
      <c r="B1015" s="297"/>
      <c r="C1015" s="115"/>
      <c r="D1015" s="116"/>
      <c r="E1015" s="117"/>
      <c r="F1015" s="118"/>
      <c r="G1015" s="113"/>
      <c r="H1015" s="113"/>
      <c r="I1015" s="112"/>
      <c r="J1015" s="112"/>
      <c r="K1015" s="86"/>
      <c r="L1015" s="255"/>
      <c r="M1015" s="114" t="str">
        <f t="shared" si="16"/>
        <v xml:space="preserve">   </v>
      </c>
    </row>
    <row r="1016" spans="1:13" s="55" customFormat="1" ht="3.75" hidden="1" customHeight="1" x14ac:dyDescent="0.2">
      <c r="A1016" s="295"/>
      <c r="B1016" s="297"/>
      <c r="C1016" s="115"/>
      <c r="D1016" s="116"/>
      <c r="E1016" s="117"/>
      <c r="F1016" s="118"/>
      <c r="G1016" s="113"/>
      <c r="H1016" s="113"/>
      <c r="I1016" s="112"/>
      <c r="J1016" s="112"/>
      <c r="K1016" s="86"/>
      <c r="L1016" s="255"/>
      <c r="M1016" s="114" t="str">
        <f t="shared" si="16"/>
        <v xml:space="preserve">   </v>
      </c>
    </row>
    <row r="1017" spans="1:13" s="55" customFormat="1" hidden="1" x14ac:dyDescent="0.2">
      <c r="A1017" s="295"/>
      <c r="B1017" s="297"/>
      <c r="C1017" s="115"/>
      <c r="D1017" s="116"/>
      <c r="E1017" s="117"/>
      <c r="F1017" s="118"/>
      <c r="G1017" s="113"/>
      <c r="H1017" s="113"/>
      <c r="I1017" s="112"/>
      <c r="J1017" s="112"/>
      <c r="K1017" s="86"/>
      <c r="L1017" s="255"/>
      <c r="M1017" s="114" t="str">
        <f t="shared" si="16"/>
        <v xml:space="preserve">   </v>
      </c>
    </row>
    <row r="1018" spans="1:13" s="55" customFormat="1" hidden="1" x14ac:dyDescent="0.2">
      <c r="A1018" s="295"/>
      <c r="B1018" s="297"/>
      <c r="C1018" s="115"/>
      <c r="D1018" s="116"/>
      <c r="E1018" s="117"/>
      <c r="F1018" s="118"/>
      <c r="G1018" s="113"/>
      <c r="H1018" s="113"/>
      <c r="I1018" s="112"/>
      <c r="J1018" s="112"/>
      <c r="K1018" s="86"/>
      <c r="L1018" s="255"/>
      <c r="M1018" s="114" t="str">
        <f t="shared" si="16"/>
        <v xml:space="preserve">   </v>
      </c>
    </row>
    <row r="1019" spans="1:13" s="55" customFormat="1" hidden="1" x14ac:dyDescent="0.2">
      <c r="A1019" s="295"/>
      <c r="B1019" s="297"/>
      <c r="C1019" s="115"/>
      <c r="D1019" s="116"/>
      <c r="E1019" s="117"/>
      <c r="F1019" s="118"/>
      <c r="G1019" s="113"/>
      <c r="H1019" s="113"/>
      <c r="I1019" s="112"/>
      <c r="J1019" s="112"/>
      <c r="K1019" s="86"/>
      <c r="L1019" s="255"/>
      <c r="M1019" s="114" t="str">
        <f t="shared" si="16"/>
        <v xml:space="preserve">   </v>
      </c>
    </row>
    <row r="1020" spans="1:13" s="55" customFormat="1" hidden="1" x14ac:dyDescent="0.2">
      <c r="A1020" s="295"/>
      <c r="B1020" s="297"/>
      <c r="C1020" s="115"/>
      <c r="D1020" s="116"/>
      <c r="E1020" s="117"/>
      <c r="F1020" s="118"/>
      <c r="G1020" s="113"/>
      <c r="H1020" s="113"/>
      <c r="I1020" s="112"/>
      <c r="J1020" s="112"/>
      <c r="K1020" s="86"/>
      <c r="L1020" s="255"/>
      <c r="M1020" s="114" t="str">
        <f t="shared" si="16"/>
        <v xml:space="preserve">   </v>
      </c>
    </row>
    <row r="1021" spans="1:13" s="55" customFormat="1" hidden="1" x14ac:dyDescent="0.2">
      <c r="A1021" s="295"/>
      <c r="B1021" s="297"/>
      <c r="C1021" s="115"/>
      <c r="D1021" s="116"/>
      <c r="E1021" s="117"/>
      <c r="F1021" s="118"/>
      <c r="G1021" s="113"/>
      <c r="H1021" s="113"/>
      <c r="I1021" s="112"/>
      <c r="J1021" s="112"/>
      <c r="K1021" s="86"/>
      <c r="L1021" s="255"/>
      <c r="M1021" s="114" t="str">
        <f t="shared" si="16"/>
        <v xml:space="preserve">   </v>
      </c>
    </row>
    <row r="1022" spans="1:13" s="55" customFormat="1" hidden="1" x14ac:dyDescent="0.2">
      <c r="A1022" s="295"/>
      <c r="B1022" s="297"/>
      <c r="C1022" s="115"/>
      <c r="D1022" s="116"/>
      <c r="E1022" s="117"/>
      <c r="F1022" s="118"/>
      <c r="G1022" s="113"/>
      <c r="H1022" s="113"/>
      <c r="I1022" s="112"/>
      <c r="J1022" s="112"/>
      <c r="K1022" s="86"/>
      <c r="L1022" s="255"/>
      <c r="M1022" s="114" t="str">
        <f t="shared" si="16"/>
        <v xml:space="preserve">   </v>
      </c>
    </row>
    <row r="1023" spans="1:13" s="55" customFormat="1" ht="12.75" hidden="1" customHeight="1" x14ac:dyDescent="0.2">
      <c r="A1023" s="295" t="s">
        <v>87</v>
      </c>
      <c r="B1023" s="297" t="s">
        <v>107</v>
      </c>
      <c r="C1023" s="112"/>
      <c r="D1023" s="112"/>
      <c r="E1023" s="112"/>
      <c r="F1023" s="112"/>
      <c r="G1023" s="113"/>
      <c r="H1023" s="113"/>
      <c r="I1023" s="112"/>
      <c r="J1023" s="112"/>
      <c r="K1023" s="86"/>
      <c r="L1023" s="253" t="str">
        <f>CONCATENATE(C1023," ",D1023," ",E1023," ",F1023," ",C1024," ",D1024," ",E1024," ",F1024)</f>
        <v xml:space="preserve">       </v>
      </c>
      <c r="M1023" s="114" t="str">
        <f t="shared" si="16"/>
        <v xml:space="preserve">   </v>
      </c>
    </row>
    <row r="1024" spans="1:13" s="55" customFormat="1" hidden="1" x14ac:dyDescent="0.2">
      <c r="A1024" s="295"/>
      <c r="B1024" s="297"/>
      <c r="C1024" s="115"/>
      <c r="D1024" s="116"/>
      <c r="E1024" s="117"/>
      <c r="F1024" s="118"/>
      <c r="G1024" s="113"/>
      <c r="H1024" s="113"/>
      <c r="I1024" s="112"/>
      <c r="J1024" s="112"/>
      <c r="K1024" s="86"/>
      <c r="L1024" s="255"/>
      <c r="M1024" s="114" t="str">
        <f t="shared" si="16"/>
        <v xml:space="preserve">   </v>
      </c>
    </row>
    <row r="1025" spans="1:13" s="55" customFormat="1" hidden="1" x14ac:dyDescent="0.2">
      <c r="A1025" s="295"/>
      <c r="B1025" s="297"/>
      <c r="C1025" s="115"/>
      <c r="D1025" s="116"/>
      <c r="E1025" s="117"/>
      <c r="F1025" s="118"/>
      <c r="G1025" s="113"/>
      <c r="H1025" s="113"/>
      <c r="I1025" s="112"/>
      <c r="J1025" s="112"/>
      <c r="K1025" s="86"/>
      <c r="L1025" s="255"/>
      <c r="M1025" s="114" t="str">
        <f t="shared" si="16"/>
        <v xml:space="preserve">   </v>
      </c>
    </row>
    <row r="1026" spans="1:13" s="55" customFormat="1" hidden="1" x14ac:dyDescent="0.2">
      <c r="A1026" s="295"/>
      <c r="B1026" s="297"/>
      <c r="C1026" s="115"/>
      <c r="D1026" s="116"/>
      <c r="E1026" s="117"/>
      <c r="F1026" s="118"/>
      <c r="G1026" s="113"/>
      <c r="H1026" s="113"/>
      <c r="I1026" s="112"/>
      <c r="J1026" s="112"/>
      <c r="K1026" s="86"/>
      <c r="L1026" s="255"/>
      <c r="M1026" s="114" t="str">
        <f t="shared" si="16"/>
        <v xml:space="preserve">   </v>
      </c>
    </row>
    <row r="1027" spans="1:13" s="55" customFormat="1" hidden="1" x14ac:dyDescent="0.2">
      <c r="A1027" s="295"/>
      <c r="B1027" s="297"/>
      <c r="C1027" s="115"/>
      <c r="D1027" s="116"/>
      <c r="E1027" s="117"/>
      <c r="F1027" s="118"/>
      <c r="G1027" s="113"/>
      <c r="H1027" s="113"/>
      <c r="I1027" s="112"/>
      <c r="J1027" s="112"/>
      <c r="K1027" s="86"/>
      <c r="L1027" s="255"/>
      <c r="M1027" s="114" t="str">
        <f t="shared" si="16"/>
        <v xml:space="preserve">   </v>
      </c>
    </row>
    <row r="1028" spans="1:13" s="55" customFormat="1" hidden="1" x14ac:dyDescent="0.2">
      <c r="A1028" s="295"/>
      <c r="B1028" s="297"/>
      <c r="C1028" s="115"/>
      <c r="D1028" s="116"/>
      <c r="E1028" s="117"/>
      <c r="F1028" s="118"/>
      <c r="G1028" s="113"/>
      <c r="H1028" s="113"/>
      <c r="I1028" s="112"/>
      <c r="J1028" s="112"/>
      <c r="K1028" s="86"/>
      <c r="L1028" s="255"/>
      <c r="M1028" s="114" t="str">
        <f t="shared" si="16"/>
        <v xml:space="preserve">   </v>
      </c>
    </row>
    <row r="1029" spans="1:13" s="55" customFormat="1" hidden="1" x14ac:dyDescent="0.2">
      <c r="A1029" s="295"/>
      <c r="B1029" s="297"/>
      <c r="C1029" s="115"/>
      <c r="D1029" s="116"/>
      <c r="E1029" s="117"/>
      <c r="F1029" s="118"/>
      <c r="G1029" s="113"/>
      <c r="H1029" s="113"/>
      <c r="I1029" s="112"/>
      <c r="J1029" s="112"/>
      <c r="K1029" s="86"/>
      <c r="L1029" s="255"/>
      <c r="M1029" s="114" t="str">
        <f t="shared" si="16"/>
        <v xml:space="preserve">   </v>
      </c>
    </row>
    <row r="1030" spans="1:13" s="55" customFormat="1" hidden="1" x14ac:dyDescent="0.2">
      <c r="A1030" s="295"/>
      <c r="B1030" s="297"/>
      <c r="C1030" s="115"/>
      <c r="D1030" s="116"/>
      <c r="E1030" s="117"/>
      <c r="F1030" s="118"/>
      <c r="G1030" s="113"/>
      <c r="H1030" s="113"/>
      <c r="I1030" s="112"/>
      <c r="J1030" s="112"/>
      <c r="K1030" s="86"/>
      <c r="L1030" s="255"/>
      <c r="M1030" s="114" t="str">
        <f t="shared" si="16"/>
        <v xml:space="preserve">   </v>
      </c>
    </row>
    <row r="1031" spans="1:13" s="55" customFormat="1" hidden="1" x14ac:dyDescent="0.2">
      <c r="A1031" s="295"/>
      <c r="B1031" s="297"/>
      <c r="C1031" s="115"/>
      <c r="D1031" s="116"/>
      <c r="E1031" s="117"/>
      <c r="F1031" s="118"/>
      <c r="G1031" s="113"/>
      <c r="H1031" s="113"/>
      <c r="I1031" s="112"/>
      <c r="J1031" s="112"/>
      <c r="K1031" s="86"/>
      <c r="L1031" s="255"/>
      <c r="M1031" s="114" t="str">
        <f t="shared" si="16"/>
        <v xml:space="preserve">   </v>
      </c>
    </row>
    <row r="1032" spans="1:13" s="55" customFormat="1" hidden="1" x14ac:dyDescent="0.2">
      <c r="A1032" s="295"/>
      <c r="B1032" s="297"/>
      <c r="C1032" s="115"/>
      <c r="D1032" s="116"/>
      <c r="E1032" s="117"/>
      <c r="F1032" s="118"/>
      <c r="G1032" s="113"/>
      <c r="H1032" s="113"/>
      <c r="I1032" s="112"/>
      <c r="J1032" s="112"/>
      <c r="K1032" s="86"/>
      <c r="L1032" s="255"/>
      <c r="M1032" s="114" t="str">
        <f t="shared" si="16"/>
        <v xml:space="preserve">   </v>
      </c>
    </row>
    <row r="1033" spans="1:13" s="55" customFormat="1" ht="12.75" hidden="1" customHeight="1" x14ac:dyDescent="0.2">
      <c r="A1033" s="295" t="s">
        <v>87</v>
      </c>
      <c r="B1033" s="297" t="s">
        <v>107</v>
      </c>
      <c r="C1033" s="112"/>
      <c r="D1033" s="112"/>
      <c r="E1033" s="112"/>
      <c r="F1033" s="112"/>
      <c r="G1033" s="113"/>
      <c r="H1033" s="113"/>
      <c r="I1033" s="112"/>
      <c r="J1033" s="112"/>
      <c r="K1033" s="86"/>
      <c r="L1033" s="253" t="str">
        <f>CONCATENATE(C1033," ",D1033," ",E1033," ",F1033," ",C1034," ",D1034," ",E1034," ",F1034)</f>
        <v xml:space="preserve">       </v>
      </c>
      <c r="M1033" s="114" t="str">
        <f t="shared" si="16"/>
        <v xml:space="preserve">   </v>
      </c>
    </row>
    <row r="1034" spans="1:13" s="55" customFormat="1" hidden="1" x14ac:dyDescent="0.2">
      <c r="A1034" s="295"/>
      <c r="B1034" s="297"/>
      <c r="C1034" s="115"/>
      <c r="D1034" s="116"/>
      <c r="E1034" s="117"/>
      <c r="F1034" s="118"/>
      <c r="G1034" s="113"/>
      <c r="H1034" s="113"/>
      <c r="I1034" s="112"/>
      <c r="J1034" s="112"/>
      <c r="K1034" s="86"/>
      <c r="L1034" s="255"/>
      <c r="M1034" s="114" t="str">
        <f t="shared" si="16"/>
        <v xml:space="preserve">   </v>
      </c>
    </row>
    <row r="1035" spans="1:13" s="55" customFormat="1" hidden="1" x14ac:dyDescent="0.2">
      <c r="A1035" s="295"/>
      <c r="B1035" s="297"/>
      <c r="C1035" s="115"/>
      <c r="D1035" s="116"/>
      <c r="E1035" s="117"/>
      <c r="F1035" s="118"/>
      <c r="G1035" s="113"/>
      <c r="H1035" s="113"/>
      <c r="I1035" s="112"/>
      <c r="J1035" s="112"/>
      <c r="K1035" s="86"/>
      <c r="L1035" s="255"/>
      <c r="M1035" s="114" t="str">
        <f t="shared" ref="M1035:M1098" si="17">CONCATENATE(G1035," ",H1035," ",I1035," ",J1035)</f>
        <v xml:space="preserve">   </v>
      </c>
    </row>
    <row r="1036" spans="1:13" s="55" customFormat="1" hidden="1" x14ac:dyDescent="0.2">
      <c r="A1036" s="295"/>
      <c r="B1036" s="297"/>
      <c r="C1036" s="115"/>
      <c r="D1036" s="116"/>
      <c r="E1036" s="117"/>
      <c r="F1036" s="118"/>
      <c r="G1036" s="113"/>
      <c r="H1036" s="113"/>
      <c r="I1036" s="112"/>
      <c r="J1036" s="112"/>
      <c r="K1036" s="86"/>
      <c r="L1036" s="255"/>
      <c r="M1036" s="114" t="str">
        <f t="shared" si="17"/>
        <v xml:space="preserve">   </v>
      </c>
    </row>
    <row r="1037" spans="1:13" s="55" customFormat="1" hidden="1" x14ac:dyDescent="0.2">
      <c r="A1037" s="295"/>
      <c r="B1037" s="297"/>
      <c r="C1037" s="115"/>
      <c r="D1037" s="116"/>
      <c r="E1037" s="117"/>
      <c r="F1037" s="118"/>
      <c r="G1037" s="113"/>
      <c r="H1037" s="113"/>
      <c r="I1037" s="112"/>
      <c r="J1037" s="112"/>
      <c r="K1037" s="86"/>
      <c r="L1037" s="255"/>
      <c r="M1037" s="114" t="str">
        <f t="shared" si="17"/>
        <v xml:space="preserve">   </v>
      </c>
    </row>
    <row r="1038" spans="1:13" s="55" customFormat="1" hidden="1" x14ac:dyDescent="0.2">
      <c r="A1038" s="295"/>
      <c r="B1038" s="297"/>
      <c r="C1038" s="115"/>
      <c r="D1038" s="116"/>
      <c r="E1038" s="117"/>
      <c r="F1038" s="118"/>
      <c r="G1038" s="113"/>
      <c r="H1038" s="113"/>
      <c r="I1038" s="112"/>
      <c r="J1038" s="112"/>
      <c r="K1038" s="86"/>
      <c r="L1038" s="255"/>
      <c r="M1038" s="114" t="str">
        <f t="shared" si="17"/>
        <v xml:space="preserve">   </v>
      </c>
    </row>
    <row r="1039" spans="1:13" s="55" customFormat="1" hidden="1" x14ac:dyDescent="0.2">
      <c r="A1039" s="295"/>
      <c r="B1039" s="297"/>
      <c r="C1039" s="115"/>
      <c r="D1039" s="116"/>
      <c r="E1039" s="117"/>
      <c r="F1039" s="118"/>
      <c r="G1039" s="113"/>
      <c r="H1039" s="113"/>
      <c r="I1039" s="112"/>
      <c r="J1039" s="112"/>
      <c r="K1039" s="86"/>
      <c r="L1039" s="255"/>
      <c r="M1039" s="114" t="str">
        <f t="shared" si="17"/>
        <v xml:space="preserve">   </v>
      </c>
    </row>
    <row r="1040" spans="1:13" s="55" customFormat="1" hidden="1" x14ac:dyDescent="0.2">
      <c r="A1040" s="295"/>
      <c r="B1040" s="297"/>
      <c r="C1040" s="115"/>
      <c r="D1040" s="116"/>
      <c r="E1040" s="117"/>
      <c r="F1040" s="118"/>
      <c r="G1040" s="113"/>
      <c r="H1040" s="113"/>
      <c r="I1040" s="112"/>
      <c r="J1040" s="112"/>
      <c r="K1040" s="86"/>
      <c r="L1040" s="255"/>
      <c r="M1040" s="114" t="str">
        <f t="shared" si="17"/>
        <v xml:space="preserve">   </v>
      </c>
    </row>
    <row r="1041" spans="1:13" s="55" customFormat="1" hidden="1" x14ac:dyDescent="0.2">
      <c r="A1041" s="295"/>
      <c r="B1041" s="297"/>
      <c r="C1041" s="115"/>
      <c r="D1041" s="116"/>
      <c r="E1041" s="117"/>
      <c r="F1041" s="118"/>
      <c r="G1041" s="113"/>
      <c r="H1041" s="113"/>
      <c r="I1041" s="112"/>
      <c r="J1041" s="112"/>
      <c r="K1041" s="86"/>
      <c r="L1041" s="255"/>
      <c r="M1041" s="114" t="str">
        <f t="shared" si="17"/>
        <v xml:space="preserve">   </v>
      </c>
    </row>
    <row r="1042" spans="1:13" s="55" customFormat="1" hidden="1" x14ac:dyDescent="0.2">
      <c r="A1042" s="295"/>
      <c r="B1042" s="297"/>
      <c r="C1042" s="115"/>
      <c r="D1042" s="116"/>
      <c r="E1042" s="117"/>
      <c r="F1042" s="118"/>
      <c r="G1042" s="113"/>
      <c r="H1042" s="113"/>
      <c r="I1042" s="112"/>
      <c r="J1042" s="112"/>
      <c r="K1042" s="86"/>
      <c r="L1042" s="255"/>
      <c r="M1042" s="114" t="str">
        <f t="shared" si="17"/>
        <v xml:space="preserve">   </v>
      </c>
    </row>
    <row r="1043" spans="1:13" s="55" customFormat="1" ht="12.75" hidden="1" customHeight="1" x14ac:dyDescent="0.2">
      <c r="A1043" s="295" t="s">
        <v>87</v>
      </c>
      <c r="B1043" s="297" t="s">
        <v>107</v>
      </c>
      <c r="C1043" s="112"/>
      <c r="D1043" s="112"/>
      <c r="E1043" s="112"/>
      <c r="F1043" s="112"/>
      <c r="G1043" s="113"/>
      <c r="H1043" s="113"/>
      <c r="I1043" s="112"/>
      <c r="J1043" s="112"/>
      <c r="K1043" s="86"/>
      <c r="L1043" s="253" t="str">
        <f>CONCATENATE(C1043," ",D1043," ",E1043," ",F1043," ",C1044," ",D1044," ",E1044," ",F1044)</f>
        <v xml:space="preserve">       </v>
      </c>
      <c r="M1043" s="114" t="str">
        <f t="shared" si="17"/>
        <v xml:space="preserve">   </v>
      </c>
    </row>
    <row r="1044" spans="1:13" s="55" customFormat="1" hidden="1" x14ac:dyDescent="0.2">
      <c r="A1044" s="295"/>
      <c r="B1044" s="297"/>
      <c r="C1044" s="115"/>
      <c r="D1044" s="116"/>
      <c r="E1044" s="117"/>
      <c r="F1044" s="118"/>
      <c r="G1044" s="113"/>
      <c r="H1044" s="113"/>
      <c r="I1044" s="112"/>
      <c r="J1044" s="112"/>
      <c r="K1044" s="86"/>
      <c r="L1044" s="255"/>
      <c r="M1044" s="114" t="str">
        <f t="shared" si="17"/>
        <v xml:space="preserve">   </v>
      </c>
    </row>
    <row r="1045" spans="1:13" s="55" customFormat="1" hidden="1" x14ac:dyDescent="0.2">
      <c r="A1045" s="295"/>
      <c r="B1045" s="297"/>
      <c r="C1045" s="115"/>
      <c r="D1045" s="116"/>
      <c r="E1045" s="117"/>
      <c r="F1045" s="118"/>
      <c r="G1045" s="113"/>
      <c r="H1045" s="113"/>
      <c r="I1045" s="112"/>
      <c r="J1045" s="112"/>
      <c r="K1045" s="86"/>
      <c r="L1045" s="255"/>
      <c r="M1045" s="114" t="str">
        <f t="shared" si="17"/>
        <v xml:space="preserve">   </v>
      </c>
    </row>
    <row r="1046" spans="1:13" s="55" customFormat="1" hidden="1" x14ac:dyDescent="0.2">
      <c r="A1046" s="295"/>
      <c r="B1046" s="297"/>
      <c r="C1046" s="115"/>
      <c r="D1046" s="116"/>
      <c r="E1046" s="117"/>
      <c r="F1046" s="118"/>
      <c r="G1046" s="113"/>
      <c r="H1046" s="113"/>
      <c r="I1046" s="112"/>
      <c r="J1046" s="112"/>
      <c r="K1046" s="86"/>
      <c r="L1046" s="255"/>
      <c r="M1046" s="114" t="str">
        <f t="shared" si="17"/>
        <v xml:space="preserve">   </v>
      </c>
    </row>
    <row r="1047" spans="1:13" s="55" customFormat="1" hidden="1" x14ac:dyDescent="0.2">
      <c r="A1047" s="295"/>
      <c r="B1047" s="297"/>
      <c r="C1047" s="115"/>
      <c r="D1047" s="116"/>
      <c r="E1047" s="117"/>
      <c r="F1047" s="118"/>
      <c r="G1047" s="113"/>
      <c r="H1047" s="113"/>
      <c r="I1047" s="112"/>
      <c r="J1047" s="112"/>
      <c r="K1047" s="86"/>
      <c r="L1047" s="255"/>
      <c r="M1047" s="114" t="str">
        <f t="shared" si="17"/>
        <v xml:space="preserve">   </v>
      </c>
    </row>
    <row r="1048" spans="1:13" s="55" customFormat="1" hidden="1" x14ac:dyDescent="0.2">
      <c r="A1048" s="295"/>
      <c r="B1048" s="297"/>
      <c r="C1048" s="115"/>
      <c r="D1048" s="116"/>
      <c r="E1048" s="117"/>
      <c r="F1048" s="118"/>
      <c r="G1048" s="113"/>
      <c r="H1048" s="113"/>
      <c r="I1048" s="112"/>
      <c r="J1048" s="112"/>
      <c r="K1048" s="86"/>
      <c r="L1048" s="255"/>
      <c r="M1048" s="114" t="str">
        <f t="shared" si="17"/>
        <v xml:space="preserve">   </v>
      </c>
    </row>
    <row r="1049" spans="1:13" s="55" customFormat="1" hidden="1" x14ac:dyDescent="0.2">
      <c r="A1049" s="295"/>
      <c r="B1049" s="297"/>
      <c r="C1049" s="115"/>
      <c r="D1049" s="116"/>
      <c r="E1049" s="117"/>
      <c r="F1049" s="118"/>
      <c r="G1049" s="113"/>
      <c r="H1049" s="113"/>
      <c r="I1049" s="112"/>
      <c r="J1049" s="112"/>
      <c r="K1049" s="86"/>
      <c r="L1049" s="255"/>
      <c r="M1049" s="114" t="str">
        <f t="shared" si="17"/>
        <v xml:space="preserve">   </v>
      </c>
    </row>
    <row r="1050" spans="1:13" s="55" customFormat="1" hidden="1" x14ac:dyDescent="0.2">
      <c r="A1050" s="295"/>
      <c r="B1050" s="297"/>
      <c r="C1050" s="115"/>
      <c r="D1050" s="116"/>
      <c r="E1050" s="117"/>
      <c r="F1050" s="118"/>
      <c r="G1050" s="113"/>
      <c r="H1050" s="113"/>
      <c r="I1050" s="112"/>
      <c r="J1050" s="112"/>
      <c r="K1050" s="86"/>
      <c r="L1050" s="255"/>
      <c r="M1050" s="114" t="str">
        <f t="shared" si="17"/>
        <v xml:space="preserve">   </v>
      </c>
    </row>
    <row r="1051" spans="1:13" s="55" customFormat="1" hidden="1" x14ac:dyDescent="0.2">
      <c r="A1051" s="295"/>
      <c r="B1051" s="297"/>
      <c r="C1051" s="115"/>
      <c r="D1051" s="116"/>
      <c r="E1051" s="117"/>
      <c r="F1051" s="118"/>
      <c r="G1051" s="113"/>
      <c r="H1051" s="113"/>
      <c r="I1051" s="112"/>
      <c r="J1051" s="112"/>
      <c r="K1051" s="86"/>
      <c r="L1051" s="255"/>
      <c r="M1051" s="114" t="str">
        <f t="shared" si="17"/>
        <v xml:space="preserve">   </v>
      </c>
    </row>
    <row r="1052" spans="1:13" s="55" customFormat="1" hidden="1" x14ac:dyDescent="0.2">
      <c r="A1052" s="295"/>
      <c r="B1052" s="297"/>
      <c r="C1052" s="115"/>
      <c r="D1052" s="116"/>
      <c r="E1052" s="117"/>
      <c r="F1052" s="118"/>
      <c r="G1052" s="113"/>
      <c r="H1052" s="113"/>
      <c r="I1052" s="112"/>
      <c r="J1052" s="112"/>
      <c r="K1052" s="86"/>
      <c r="L1052" s="255"/>
      <c r="M1052" s="114" t="str">
        <f t="shared" si="17"/>
        <v xml:space="preserve">   </v>
      </c>
    </row>
    <row r="1053" spans="1:13" s="55" customFormat="1" ht="12.75" hidden="1" customHeight="1" x14ac:dyDescent="0.2">
      <c r="A1053" s="295" t="s">
        <v>87</v>
      </c>
      <c r="B1053" s="297" t="s">
        <v>107</v>
      </c>
      <c r="C1053" s="112"/>
      <c r="D1053" s="112"/>
      <c r="E1053" s="112"/>
      <c r="F1053" s="112"/>
      <c r="G1053" s="113"/>
      <c r="H1053" s="113"/>
      <c r="I1053" s="112"/>
      <c r="J1053" s="112"/>
      <c r="K1053" s="86"/>
      <c r="L1053" s="253" t="str">
        <f>CONCATENATE(C1053," ",D1053," ",E1053," ",F1053," ",C1054," ",D1054," ",E1054," ",F1054)</f>
        <v xml:space="preserve">       </v>
      </c>
      <c r="M1053" s="114" t="str">
        <f t="shared" si="17"/>
        <v xml:space="preserve">   </v>
      </c>
    </row>
    <row r="1054" spans="1:13" s="55" customFormat="1" hidden="1" x14ac:dyDescent="0.2">
      <c r="A1054" s="295"/>
      <c r="B1054" s="297"/>
      <c r="C1054" s="115"/>
      <c r="D1054" s="116"/>
      <c r="E1054" s="117"/>
      <c r="F1054" s="118"/>
      <c r="G1054" s="113"/>
      <c r="H1054" s="113"/>
      <c r="I1054" s="112"/>
      <c r="J1054" s="112"/>
      <c r="K1054" s="86"/>
      <c r="L1054" s="255"/>
      <c r="M1054" s="114" t="str">
        <f t="shared" si="17"/>
        <v xml:space="preserve">   </v>
      </c>
    </row>
    <row r="1055" spans="1:13" s="55" customFormat="1" ht="1.5" hidden="1" customHeight="1" x14ac:dyDescent="0.2">
      <c r="A1055" s="295"/>
      <c r="B1055" s="297"/>
      <c r="C1055" s="115"/>
      <c r="D1055" s="116"/>
      <c r="E1055" s="117"/>
      <c r="F1055" s="118"/>
      <c r="G1055" s="113"/>
      <c r="H1055" s="113"/>
      <c r="I1055" s="112"/>
      <c r="J1055" s="112"/>
      <c r="K1055" s="86"/>
      <c r="L1055" s="255"/>
      <c r="M1055" s="114" t="str">
        <f t="shared" si="17"/>
        <v xml:space="preserve">   </v>
      </c>
    </row>
    <row r="1056" spans="1:13" s="55" customFormat="1" hidden="1" x14ac:dyDescent="0.2">
      <c r="A1056" s="295"/>
      <c r="B1056" s="297"/>
      <c r="C1056" s="115"/>
      <c r="D1056" s="116"/>
      <c r="E1056" s="117"/>
      <c r="F1056" s="118"/>
      <c r="G1056" s="113"/>
      <c r="H1056" s="113"/>
      <c r="I1056" s="112"/>
      <c r="J1056" s="112"/>
      <c r="K1056" s="86"/>
      <c r="L1056" s="255"/>
      <c r="M1056" s="114" t="str">
        <f t="shared" si="17"/>
        <v xml:space="preserve">   </v>
      </c>
    </row>
    <row r="1057" spans="1:13" s="55" customFormat="1" hidden="1" x14ac:dyDescent="0.2">
      <c r="A1057" s="295"/>
      <c r="B1057" s="297"/>
      <c r="C1057" s="115"/>
      <c r="D1057" s="116"/>
      <c r="E1057" s="117"/>
      <c r="F1057" s="118"/>
      <c r="G1057" s="113"/>
      <c r="H1057" s="113"/>
      <c r="I1057" s="112"/>
      <c r="J1057" s="112"/>
      <c r="K1057" s="86"/>
      <c r="L1057" s="255"/>
      <c r="M1057" s="114" t="str">
        <f t="shared" si="17"/>
        <v xml:space="preserve">   </v>
      </c>
    </row>
    <row r="1058" spans="1:13" s="55" customFormat="1" hidden="1" x14ac:dyDescent="0.2">
      <c r="A1058" s="295"/>
      <c r="B1058" s="297"/>
      <c r="C1058" s="115"/>
      <c r="D1058" s="116"/>
      <c r="E1058" s="117"/>
      <c r="F1058" s="118"/>
      <c r="G1058" s="113"/>
      <c r="H1058" s="113"/>
      <c r="I1058" s="112"/>
      <c r="J1058" s="112"/>
      <c r="K1058" s="86"/>
      <c r="L1058" s="255"/>
      <c r="M1058" s="114" t="str">
        <f t="shared" si="17"/>
        <v xml:space="preserve">   </v>
      </c>
    </row>
    <row r="1059" spans="1:13" s="55" customFormat="1" hidden="1" x14ac:dyDescent="0.2">
      <c r="A1059" s="295"/>
      <c r="B1059" s="297"/>
      <c r="C1059" s="115"/>
      <c r="D1059" s="116"/>
      <c r="E1059" s="117"/>
      <c r="F1059" s="118"/>
      <c r="G1059" s="113"/>
      <c r="H1059" s="113"/>
      <c r="I1059" s="112"/>
      <c r="J1059" s="112"/>
      <c r="K1059" s="86"/>
      <c r="L1059" s="255"/>
      <c r="M1059" s="114" t="str">
        <f t="shared" si="17"/>
        <v xml:space="preserve">   </v>
      </c>
    </row>
    <row r="1060" spans="1:13" s="55" customFormat="1" hidden="1" x14ac:dyDescent="0.2">
      <c r="A1060" s="295"/>
      <c r="B1060" s="297"/>
      <c r="C1060" s="115"/>
      <c r="D1060" s="116"/>
      <c r="E1060" s="117"/>
      <c r="F1060" s="118"/>
      <c r="G1060" s="113"/>
      <c r="H1060" s="113"/>
      <c r="I1060" s="112"/>
      <c r="J1060" s="112"/>
      <c r="K1060" s="86"/>
      <c r="L1060" s="255"/>
      <c r="M1060" s="114" t="str">
        <f t="shared" si="17"/>
        <v xml:space="preserve">   </v>
      </c>
    </row>
    <row r="1061" spans="1:13" s="55" customFormat="1" hidden="1" x14ac:dyDescent="0.2">
      <c r="A1061" s="295"/>
      <c r="B1061" s="297"/>
      <c r="C1061" s="115"/>
      <c r="D1061" s="116"/>
      <c r="E1061" s="117"/>
      <c r="F1061" s="118"/>
      <c r="G1061" s="113"/>
      <c r="H1061" s="113"/>
      <c r="I1061" s="112"/>
      <c r="J1061" s="112"/>
      <c r="K1061" s="86"/>
      <c r="L1061" s="255"/>
      <c r="M1061" s="114" t="str">
        <f t="shared" si="17"/>
        <v xml:space="preserve">   </v>
      </c>
    </row>
    <row r="1062" spans="1:13" s="55" customFormat="1" hidden="1" x14ac:dyDescent="0.2">
      <c r="A1062" s="295"/>
      <c r="B1062" s="297"/>
      <c r="C1062" s="115"/>
      <c r="D1062" s="116"/>
      <c r="E1062" s="117"/>
      <c r="F1062" s="118"/>
      <c r="G1062" s="113"/>
      <c r="H1062" s="113"/>
      <c r="I1062" s="112"/>
      <c r="J1062" s="112"/>
      <c r="K1062" s="86"/>
      <c r="L1062" s="255"/>
      <c r="M1062" s="114" t="str">
        <f t="shared" si="17"/>
        <v xml:space="preserve">   </v>
      </c>
    </row>
    <row r="1063" spans="1:13" s="55" customFormat="1" ht="12.75" hidden="1" customHeight="1" x14ac:dyDescent="0.2">
      <c r="A1063" s="295" t="s">
        <v>87</v>
      </c>
      <c r="B1063" s="297" t="s">
        <v>107</v>
      </c>
      <c r="C1063" s="112"/>
      <c r="D1063" s="112"/>
      <c r="E1063" s="112"/>
      <c r="F1063" s="112"/>
      <c r="G1063" s="113"/>
      <c r="H1063" s="113"/>
      <c r="I1063" s="112"/>
      <c r="J1063" s="112"/>
      <c r="K1063" s="86"/>
      <c r="L1063" s="253" t="str">
        <f>CONCATENATE(C1063," ",D1063," ",E1063," ",F1063," ",C1064," ",D1064," ",E1064," ",F1064)</f>
        <v xml:space="preserve">       </v>
      </c>
      <c r="M1063" s="114" t="str">
        <f t="shared" si="17"/>
        <v xml:space="preserve">   </v>
      </c>
    </row>
    <row r="1064" spans="1:13" s="55" customFormat="1" hidden="1" x14ac:dyDescent="0.2">
      <c r="A1064" s="295"/>
      <c r="B1064" s="297"/>
      <c r="C1064" s="115"/>
      <c r="D1064" s="116"/>
      <c r="E1064" s="117"/>
      <c r="F1064" s="118"/>
      <c r="G1064" s="113"/>
      <c r="H1064" s="113"/>
      <c r="I1064" s="112"/>
      <c r="J1064" s="112"/>
      <c r="K1064" s="86"/>
      <c r="L1064" s="255"/>
      <c r="M1064" s="114" t="str">
        <f t="shared" si="17"/>
        <v xml:space="preserve">   </v>
      </c>
    </row>
    <row r="1065" spans="1:13" s="55" customFormat="1" hidden="1" x14ac:dyDescent="0.2">
      <c r="A1065" s="295"/>
      <c r="B1065" s="297"/>
      <c r="C1065" s="115"/>
      <c r="D1065" s="116"/>
      <c r="E1065" s="117"/>
      <c r="F1065" s="118"/>
      <c r="G1065" s="113"/>
      <c r="H1065" s="113"/>
      <c r="I1065" s="112"/>
      <c r="J1065" s="112"/>
      <c r="K1065" s="86"/>
      <c r="L1065" s="255"/>
      <c r="M1065" s="114" t="str">
        <f t="shared" si="17"/>
        <v xml:space="preserve">   </v>
      </c>
    </row>
    <row r="1066" spans="1:13" s="55" customFormat="1" hidden="1" x14ac:dyDescent="0.2">
      <c r="A1066" s="295"/>
      <c r="B1066" s="297"/>
      <c r="C1066" s="115"/>
      <c r="D1066" s="116"/>
      <c r="E1066" s="117"/>
      <c r="F1066" s="118"/>
      <c r="G1066" s="113"/>
      <c r="H1066" s="113"/>
      <c r="I1066" s="112"/>
      <c r="J1066" s="112"/>
      <c r="K1066" s="86"/>
      <c r="L1066" s="255"/>
      <c r="M1066" s="114" t="str">
        <f t="shared" si="17"/>
        <v xml:space="preserve">   </v>
      </c>
    </row>
    <row r="1067" spans="1:13" s="55" customFormat="1" hidden="1" x14ac:dyDescent="0.2">
      <c r="A1067" s="295"/>
      <c r="B1067" s="297"/>
      <c r="C1067" s="115"/>
      <c r="D1067" s="116"/>
      <c r="E1067" s="117"/>
      <c r="F1067" s="118"/>
      <c r="G1067" s="113"/>
      <c r="H1067" s="113"/>
      <c r="I1067" s="112"/>
      <c r="J1067" s="112"/>
      <c r="K1067" s="86"/>
      <c r="L1067" s="255"/>
      <c r="M1067" s="114" t="str">
        <f t="shared" si="17"/>
        <v xml:space="preserve">   </v>
      </c>
    </row>
    <row r="1068" spans="1:13" s="55" customFormat="1" hidden="1" x14ac:dyDescent="0.2">
      <c r="A1068" s="295"/>
      <c r="B1068" s="297"/>
      <c r="C1068" s="115"/>
      <c r="D1068" s="116"/>
      <c r="E1068" s="117"/>
      <c r="F1068" s="118"/>
      <c r="G1068" s="113"/>
      <c r="H1068" s="113"/>
      <c r="I1068" s="112"/>
      <c r="J1068" s="112"/>
      <c r="K1068" s="86"/>
      <c r="L1068" s="255"/>
      <c r="M1068" s="114" t="str">
        <f t="shared" si="17"/>
        <v xml:space="preserve">   </v>
      </c>
    </row>
    <row r="1069" spans="1:13" s="55" customFormat="1" hidden="1" x14ac:dyDescent="0.2">
      <c r="A1069" s="295"/>
      <c r="B1069" s="297"/>
      <c r="C1069" s="115"/>
      <c r="D1069" s="116"/>
      <c r="E1069" s="117"/>
      <c r="F1069" s="118"/>
      <c r="G1069" s="113"/>
      <c r="H1069" s="113"/>
      <c r="I1069" s="112"/>
      <c r="J1069" s="112"/>
      <c r="K1069" s="86"/>
      <c r="L1069" s="255"/>
      <c r="M1069" s="114" t="str">
        <f t="shared" si="17"/>
        <v xml:space="preserve">   </v>
      </c>
    </row>
    <row r="1070" spans="1:13" s="55" customFormat="1" hidden="1" x14ac:dyDescent="0.2">
      <c r="A1070" s="295"/>
      <c r="B1070" s="297"/>
      <c r="C1070" s="115"/>
      <c r="D1070" s="116"/>
      <c r="E1070" s="117"/>
      <c r="F1070" s="118"/>
      <c r="G1070" s="113"/>
      <c r="H1070" s="113"/>
      <c r="I1070" s="112"/>
      <c r="J1070" s="112"/>
      <c r="K1070" s="86"/>
      <c r="L1070" s="255"/>
      <c r="M1070" s="114" t="str">
        <f t="shared" si="17"/>
        <v xml:space="preserve">   </v>
      </c>
    </row>
    <row r="1071" spans="1:13" s="55" customFormat="1" hidden="1" x14ac:dyDescent="0.2">
      <c r="A1071" s="295"/>
      <c r="B1071" s="297"/>
      <c r="C1071" s="115"/>
      <c r="D1071" s="116"/>
      <c r="E1071" s="117"/>
      <c r="F1071" s="118"/>
      <c r="G1071" s="113"/>
      <c r="H1071" s="113"/>
      <c r="I1071" s="112"/>
      <c r="J1071" s="112"/>
      <c r="K1071" s="86"/>
      <c r="L1071" s="255"/>
      <c r="M1071" s="114" t="str">
        <f t="shared" si="17"/>
        <v xml:space="preserve">   </v>
      </c>
    </row>
    <row r="1072" spans="1:13" s="55" customFormat="1" hidden="1" x14ac:dyDescent="0.2">
      <c r="A1072" s="295"/>
      <c r="B1072" s="297"/>
      <c r="C1072" s="115"/>
      <c r="D1072" s="116"/>
      <c r="E1072" s="117"/>
      <c r="F1072" s="118"/>
      <c r="G1072" s="113"/>
      <c r="H1072" s="113"/>
      <c r="I1072" s="112"/>
      <c r="J1072" s="112"/>
      <c r="K1072" s="86"/>
      <c r="L1072" s="255"/>
      <c r="M1072" s="114" t="str">
        <f t="shared" si="17"/>
        <v xml:space="preserve">   </v>
      </c>
    </row>
    <row r="1073" spans="1:13" s="55" customFormat="1" ht="12.75" hidden="1" customHeight="1" x14ac:dyDescent="0.2">
      <c r="A1073" s="295" t="s">
        <v>87</v>
      </c>
      <c r="B1073" s="297" t="s">
        <v>107</v>
      </c>
      <c r="C1073" s="112"/>
      <c r="D1073" s="112"/>
      <c r="E1073" s="112"/>
      <c r="F1073" s="112"/>
      <c r="G1073" s="113"/>
      <c r="H1073" s="113"/>
      <c r="I1073" s="112"/>
      <c r="J1073" s="112"/>
      <c r="K1073" s="86"/>
      <c r="L1073" s="253" t="str">
        <f>CONCATENATE(C1073," ",D1073," ",E1073," ",F1073," ",C1074," ",D1074," ",E1074," ",F1074)</f>
        <v xml:space="preserve">       </v>
      </c>
      <c r="M1073" s="114" t="str">
        <f t="shared" si="17"/>
        <v xml:space="preserve">   </v>
      </c>
    </row>
    <row r="1074" spans="1:13" s="55" customFormat="1" hidden="1" x14ac:dyDescent="0.2">
      <c r="A1074" s="295"/>
      <c r="B1074" s="297"/>
      <c r="C1074" s="115"/>
      <c r="D1074" s="116"/>
      <c r="E1074" s="117"/>
      <c r="F1074" s="118"/>
      <c r="G1074" s="113"/>
      <c r="H1074" s="113"/>
      <c r="I1074" s="112"/>
      <c r="J1074" s="112"/>
      <c r="K1074" s="86"/>
      <c r="L1074" s="255"/>
      <c r="M1074" s="114" t="str">
        <f t="shared" si="17"/>
        <v xml:space="preserve">   </v>
      </c>
    </row>
    <row r="1075" spans="1:13" s="55" customFormat="1" hidden="1" x14ac:dyDescent="0.2">
      <c r="A1075" s="295"/>
      <c r="B1075" s="297"/>
      <c r="C1075" s="115"/>
      <c r="D1075" s="116"/>
      <c r="E1075" s="117"/>
      <c r="F1075" s="118"/>
      <c r="G1075" s="113"/>
      <c r="H1075" s="113"/>
      <c r="I1075" s="112"/>
      <c r="J1075" s="112"/>
      <c r="K1075" s="86"/>
      <c r="L1075" s="255"/>
      <c r="M1075" s="114" t="str">
        <f t="shared" si="17"/>
        <v xml:space="preserve">   </v>
      </c>
    </row>
    <row r="1076" spans="1:13" s="55" customFormat="1" hidden="1" x14ac:dyDescent="0.2">
      <c r="A1076" s="295"/>
      <c r="B1076" s="297"/>
      <c r="C1076" s="115"/>
      <c r="D1076" s="116"/>
      <c r="E1076" s="117"/>
      <c r="F1076" s="118"/>
      <c r="G1076" s="113"/>
      <c r="H1076" s="113"/>
      <c r="I1076" s="112"/>
      <c r="J1076" s="112"/>
      <c r="K1076" s="86"/>
      <c r="L1076" s="255"/>
      <c r="M1076" s="114" t="str">
        <f t="shared" si="17"/>
        <v xml:space="preserve">   </v>
      </c>
    </row>
    <row r="1077" spans="1:13" s="55" customFormat="1" hidden="1" x14ac:dyDescent="0.2">
      <c r="A1077" s="295"/>
      <c r="B1077" s="297"/>
      <c r="C1077" s="115"/>
      <c r="D1077" s="116"/>
      <c r="E1077" s="117"/>
      <c r="F1077" s="118"/>
      <c r="G1077" s="113"/>
      <c r="H1077" s="113"/>
      <c r="I1077" s="112"/>
      <c r="J1077" s="112"/>
      <c r="K1077" s="86"/>
      <c r="L1077" s="255"/>
      <c r="M1077" s="114" t="str">
        <f t="shared" si="17"/>
        <v xml:space="preserve">   </v>
      </c>
    </row>
    <row r="1078" spans="1:13" s="55" customFormat="1" hidden="1" x14ac:dyDescent="0.2">
      <c r="A1078" s="295"/>
      <c r="B1078" s="297"/>
      <c r="C1078" s="115"/>
      <c r="D1078" s="116"/>
      <c r="E1078" s="117"/>
      <c r="F1078" s="118"/>
      <c r="G1078" s="113"/>
      <c r="H1078" s="113"/>
      <c r="I1078" s="112"/>
      <c r="J1078" s="112"/>
      <c r="K1078" s="86"/>
      <c r="L1078" s="255"/>
      <c r="M1078" s="114" t="str">
        <f t="shared" si="17"/>
        <v xml:space="preserve">   </v>
      </c>
    </row>
    <row r="1079" spans="1:13" s="55" customFormat="1" hidden="1" x14ac:dyDescent="0.2">
      <c r="A1079" s="295"/>
      <c r="B1079" s="297"/>
      <c r="C1079" s="115"/>
      <c r="D1079" s="116"/>
      <c r="E1079" s="117"/>
      <c r="F1079" s="118"/>
      <c r="G1079" s="113"/>
      <c r="H1079" s="113"/>
      <c r="I1079" s="112"/>
      <c r="J1079" s="112"/>
      <c r="K1079" s="86"/>
      <c r="L1079" s="255"/>
      <c r="M1079" s="114" t="str">
        <f t="shared" si="17"/>
        <v xml:space="preserve">   </v>
      </c>
    </row>
    <row r="1080" spans="1:13" s="55" customFormat="1" hidden="1" x14ac:dyDescent="0.2">
      <c r="A1080" s="295"/>
      <c r="B1080" s="297"/>
      <c r="C1080" s="115"/>
      <c r="D1080" s="116"/>
      <c r="E1080" s="117"/>
      <c r="F1080" s="118"/>
      <c r="G1080" s="113"/>
      <c r="H1080" s="113"/>
      <c r="I1080" s="112"/>
      <c r="J1080" s="112"/>
      <c r="K1080" s="86"/>
      <c r="L1080" s="255"/>
      <c r="M1080" s="114" t="str">
        <f t="shared" si="17"/>
        <v xml:space="preserve">   </v>
      </c>
    </row>
    <row r="1081" spans="1:13" s="55" customFormat="1" hidden="1" x14ac:dyDescent="0.2">
      <c r="A1081" s="295"/>
      <c r="B1081" s="297"/>
      <c r="C1081" s="115"/>
      <c r="D1081" s="116"/>
      <c r="E1081" s="117"/>
      <c r="F1081" s="118"/>
      <c r="G1081" s="113"/>
      <c r="H1081" s="113"/>
      <c r="I1081" s="112"/>
      <c r="J1081" s="112"/>
      <c r="K1081" s="86"/>
      <c r="L1081" s="255"/>
      <c r="M1081" s="114" t="str">
        <f t="shared" si="17"/>
        <v xml:space="preserve">   </v>
      </c>
    </row>
    <row r="1082" spans="1:13" s="55" customFormat="1" hidden="1" x14ac:dyDescent="0.2">
      <c r="A1082" s="295"/>
      <c r="B1082" s="297"/>
      <c r="C1082" s="115"/>
      <c r="D1082" s="116"/>
      <c r="E1082" s="117"/>
      <c r="F1082" s="118"/>
      <c r="G1082" s="113"/>
      <c r="H1082" s="113"/>
      <c r="I1082" s="112"/>
      <c r="J1082" s="112"/>
      <c r="K1082" s="86"/>
      <c r="L1082" s="255"/>
      <c r="M1082" s="114" t="str">
        <f t="shared" si="17"/>
        <v xml:space="preserve">   </v>
      </c>
    </row>
    <row r="1083" spans="1:13" s="55" customFormat="1" ht="12.75" hidden="1" customHeight="1" x14ac:dyDescent="0.2">
      <c r="A1083" s="295" t="s">
        <v>87</v>
      </c>
      <c r="B1083" s="297" t="s">
        <v>107</v>
      </c>
      <c r="C1083" s="112"/>
      <c r="D1083" s="112"/>
      <c r="E1083" s="112"/>
      <c r="F1083" s="112"/>
      <c r="G1083" s="113"/>
      <c r="H1083" s="113"/>
      <c r="I1083" s="112"/>
      <c r="J1083" s="112"/>
      <c r="K1083" s="86"/>
      <c r="L1083" s="253" t="str">
        <f>CONCATENATE(C1083," ",D1083," ",E1083," ",F1083," ",C1084," ",D1084," ",E1084," ",F1084)</f>
        <v xml:space="preserve">       </v>
      </c>
      <c r="M1083" s="114" t="str">
        <f t="shared" si="17"/>
        <v xml:space="preserve">   </v>
      </c>
    </row>
    <row r="1084" spans="1:13" s="55" customFormat="1" hidden="1" x14ac:dyDescent="0.2">
      <c r="A1084" s="295"/>
      <c r="B1084" s="297"/>
      <c r="C1084" s="115"/>
      <c r="D1084" s="116"/>
      <c r="E1084" s="117"/>
      <c r="F1084" s="118"/>
      <c r="G1084" s="113"/>
      <c r="H1084" s="113"/>
      <c r="I1084" s="112"/>
      <c r="J1084" s="112"/>
      <c r="K1084" s="86"/>
      <c r="L1084" s="255"/>
      <c r="M1084" s="114" t="str">
        <f t="shared" si="17"/>
        <v xml:space="preserve">   </v>
      </c>
    </row>
    <row r="1085" spans="1:13" s="55" customFormat="1" hidden="1" x14ac:dyDescent="0.2">
      <c r="A1085" s="295"/>
      <c r="B1085" s="297"/>
      <c r="C1085" s="115"/>
      <c r="D1085" s="116"/>
      <c r="E1085" s="117"/>
      <c r="F1085" s="118"/>
      <c r="G1085" s="113"/>
      <c r="H1085" s="113"/>
      <c r="I1085" s="112"/>
      <c r="J1085" s="112"/>
      <c r="K1085" s="86"/>
      <c r="L1085" s="255"/>
      <c r="M1085" s="114" t="str">
        <f t="shared" si="17"/>
        <v xml:space="preserve">   </v>
      </c>
    </row>
    <row r="1086" spans="1:13" s="55" customFormat="1" hidden="1" x14ac:dyDescent="0.2">
      <c r="A1086" s="295"/>
      <c r="B1086" s="297"/>
      <c r="C1086" s="115"/>
      <c r="D1086" s="116"/>
      <c r="E1086" s="117"/>
      <c r="F1086" s="118"/>
      <c r="G1086" s="113"/>
      <c r="H1086" s="113"/>
      <c r="I1086" s="112"/>
      <c r="J1086" s="112"/>
      <c r="K1086" s="86"/>
      <c r="L1086" s="255"/>
      <c r="M1086" s="114" t="str">
        <f t="shared" si="17"/>
        <v xml:space="preserve">   </v>
      </c>
    </row>
    <row r="1087" spans="1:13" s="55" customFormat="1" hidden="1" x14ac:dyDescent="0.2">
      <c r="A1087" s="295"/>
      <c r="B1087" s="297"/>
      <c r="C1087" s="115"/>
      <c r="D1087" s="116"/>
      <c r="E1087" s="117"/>
      <c r="F1087" s="118"/>
      <c r="G1087" s="113"/>
      <c r="H1087" s="113"/>
      <c r="I1087" s="112"/>
      <c r="J1087" s="112"/>
      <c r="K1087" s="86"/>
      <c r="L1087" s="255"/>
      <c r="M1087" s="114" t="str">
        <f t="shared" si="17"/>
        <v xml:space="preserve">   </v>
      </c>
    </row>
    <row r="1088" spans="1:13" s="55" customFormat="1" hidden="1" x14ac:dyDescent="0.2">
      <c r="A1088" s="295"/>
      <c r="B1088" s="297"/>
      <c r="C1088" s="115"/>
      <c r="D1088" s="116"/>
      <c r="E1088" s="117"/>
      <c r="F1088" s="118"/>
      <c r="G1088" s="113"/>
      <c r="H1088" s="113"/>
      <c r="I1088" s="112"/>
      <c r="J1088" s="112"/>
      <c r="K1088" s="86"/>
      <c r="L1088" s="255"/>
      <c r="M1088" s="114" t="str">
        <f t="shared" si="17"/>
        <v xml:space="preserve">   </v>
      </c>
    </row>
    <row r="1089" spans="1:13" s="55" customFormat="1" hidden="1" x14ac:dyDescent="0.2">
      <c r="A1089" s="295"/>
      <c r="B1089" s="297"/>
      <c r="C1089" s="115"/>
      <c r="D1089" s="116"/>
      <c r="E1089" s="117"/>
      <c r="F1089" s="118"/>
      <c r="G1089" s="113"/>
      <c r="H1089" s="113"/>
      <c r="I1089" s="112"/>
      <c r="J1089" s="112"/>
      <c r="K1089" s="86"/>
      <c r="L1089" s="255"/>
      <c r="M1089" s="114" t="str">
        <f t="shared" si="17"/>
        <v xml:space="preserve">   </v>
      </c>
    </row>
    <row r="1090" spans="1:13" s="55" customFormat="1" hidden="1" x14ac:dyDescent="0.2">
      <c r="A1090" s="295"/>
      <c r="B1090" s="297"/>
      <c r="C1090" s="115"/>
      <c r="D1090" s="116"/>
      <c r="E1090" s="117"/>
      <c r="F1090" s="118"/>
      <c r="G1090" s="113"/>
      <c r="H1090" s="113"/>
      <c r="I1090" s="112"/>
      <c r="J1090" s="112"/>
      <c r="K1090" s="86"/>
      <c r="L1090" s="255"/>
      <c r="M1090" s="114" t="str">
        <f t="shared" si="17"/>
        <v xml:space="preserve">   </v>
      </c>
    </row>
    <row r="1091" spans="1:13" s="55" customFormat="1" hidden="1" x14ac:dyDescent="0.2">
      <c r="A1091" s="295"/>
      <c r="B1091" s="297"/>
      <c r="C1091" s="115"/>
      <c r="D1091" s="116"/>
      <c r="E1091" s="117"/>
      <c r="F1091" s="118"/>
      <c r="G1091" s="113"/>
      <c r="H1091" s="113"/>
      <c r="I1091" s="112"/>
      <c r="J1091" s="112"/>
      <c r="K1091" s="86"/>
      <c r="L1091" s="255"/>
      <c r="M1091" s="114" t="str">
        <f t="shared" si="17"/>
        <v xml:space="preserve">   </v>
      </c>
    </row>
    <row r="1092" spans="1:13" s="55" customFormat="1" hidden="1" x14ac:dyDescent="0.2">
      <c r="A1092" s="295"/>
      <c r="B1092" s="297"/>
      <c r="C1092" s="115"/>
      <c r="D1092" s="116"/>
      <c r="E1092" s="117"/>
      <c r="F1092" s="118"/>
      <c r="G1092" s="113"/>
      <c r="H1092" s="113"/>
      <c r="I1092" s="112"/>
      <c r="J1092" s="112"/>
      <c r="K1092" s="86"/>
      <c r="L1092" s="255"/>
      <c r="M1092" s="114" t="str">
        <f t="shared" si="17"/>
        <v xml:space="preserve">   </v>
      </c>
    </row>
    <row r="1093" spans="1:13" s="55" customFormat="1" ht="12.75" hidden="1" customHeight="1" x14ac:dyDescent="0.2">
      <c r="A1093" s="295" t="s">
        <v>87</v>
      </c>
      <c r="B1093" s="297" t="s">
        <v>107</v>
      </c>
      <c r="C1093" s="112"/>
      <c r="D1093" s="112"/>
      <c r="E1093" s="112"/>
      <c r="F1093" s="112"/>
      <c r="G1093" s="113"/>
      <c r="H1093" s="113"/>
      <c r="I1093" s="112"/>
      <c r="J1093" s="112"/>
      <c r="K1093" s="86"/>
      <c r="L1093" s="253" t="str">
        <f>CONCATENATE(C1093," ",D1093," ",E1093," ",F1093," ",C1094," ",D1094," ",E1094," ",F1094)</f>
        <v xml:space="preserve">       </v>
      </c>
      <c r="M1093" s="114" t="str">
        <f t="shared" si="17"/>
        <v xml:space="preserve">   </v>
      </c>
    </row>
    <row r="1094" spans="1:13" s="55" customFormat="1" hidden="1" x14ac:dyDescent="0.2">
      <c r="A1094" s="295"/>
      <c r="B1094" s="297"/>
      <c r="C1094" s="115"/>
      <c r="D1094" s="116"/>
      <c r="E1094" s="117"/>
      <c r="F1094" s="118"/>
      <c r="G1094" s="113"/>
      <c r="H1094" s="113"/>
      <c r="I1094" s="112"/>
      <c r="J1094" s="112"/>
      <c r="K1094" s="86"/>
      <c r="L1094" s="255"/>
      <c r="M1094" s="114" t="str">
        <f t="shared" si="17"/>
        <v xml:space="preserve">   </v>
      </c>
    </row>
    <row r="1095" spans="1:13" s="55" customFormat="1" hidden="1" x14ac:dyDescent="0.2">
      <c r="A1095" s="295"/>
      <c r="B1095" s="297"/>
      <c r="C1095" s="115"/>
      <c r="D1095" s="116"/>
      <c r="E1095" s="117"/>
      <c r="F1095" s="118"/>
      <c r="G1095" s="113"/>
      <c r="H1095" s="113"/>
      <c r="I1095" s="112"/>
      <c r="J1095" s="112"/>
      <c r="K1095" s="86"/>
      <c r="L1095" s="255"/>
      <c r="M1095" s="114" t="str">
        <f t="shared" si="17"/>
        <v xml:space="preserve">   </v>
      </c>
    </row>
    <row r="1096" spans="1:13" s="55" customFormat="1" hidden="1" x14ac:dyDescent="0.2">
      <c r="A1096" s="295"/>
      <c r="B1096" s="297"/>
      <c r="C1096" s="115"/>
      <c r="D1096" s="116"/>
      <c r="E1096" s="117"/>
      <c r="F1096" s="118"/>
      <c r="G1096" s="113"/>
      <c r="H1096" s="113"/>
      <c r="I1096" s="112"/>
      <c r="J1096" s="112"/>
      <c r="K1096" s="86"/>
      <c r="L1096" s="255"/>
      <c r="M1096" s="114" t="str">
        <f t="shared" si="17"/>
        <v xml:space="preserve">   </v>
      </c>
    </row>
    <row r="1097" spans="1:13" s="55" customFormat="1" hidden="1" x14ac:dyDescent="0.2">
      <c r="A1097" s="295"/>
      <c r="B1097" s="297"/>
      <c r="C1097" s="115"/>
      <c r="D1097" s="116"/>
      <c r="E1097" s="117"/>
      <c r="F1097" s="118"/>
      <c r="G1097" s="113"/>
      <c r="H1097" s="113"/>
      <c r="I1097" s="112"/>
      <c r="J1097" s="112"/>
      <c r="K1097" s="86"/>
      <c r="L1097" s="255"/>
      <c r="M1097" s="114" t="str">
        <f t="shared" si="17"/>
        <v xml:space="preserve">   </v>
      </c>
    </row>
    <row r="1098" spans="1:13" s="55" customFormat="1" hidden="1" x14ac:dyDescent="0.2">
      <c r="A1098" s="295"/>
      <c r="B1098" s="297"/>
      <c r="C1098" s="115"/>
      <c r="D1098" s="116"/>
      <c r="E1098" s="117"/>
      <c r="F1098" s="118"/>
      <c r="G1098" s="113"/>
      <c r="H1098" s="113"/>
      <c r="I1098" s="112"/>
      <c r="J1098" s="112"/>
      <c r="K1098" s="86"/>
      <c r="L1098" s="255"/>
      <c r="M1098" s="114" t="str">
        <f t="shared" si="17"/>
        <v xml:space="preserve">   </v>
      </c>
    </row>
    <row r="1099" spans="1:13" s="55" customFormat="1" hidden="1" x14ac:dyDescent="0.2">
      <c r="A1099" s="295"/>
      <c r="B1099" s="297"/>
      <c r="C1099" s="115"/>
      <c r="D1099" s="116"/>
      <c r="E1099" s="117"/>
      <c r="F1099" s="118"/>
      <c r="G1099" s="113"/>
      <c r="H1099" s="113"/>
      <c r="I1099" s="112"/>
      <c r="J1099" s="112"/>
      <c r="K1099" s="86"/>
      <c r="L1099" s="255"/>
      <c r="M1099" s="114" t="str">
        <f t="shared" ref="M1099:M1144" si="18">CONCATENATE(G1099," ",H1099," ",I1099," ",J1099)</f>
        <v xml:space="preserve">   </v>
      </c>
    </row>
    <row r="1100" spans="1:13" s="55" customFormat="1" hidden="1" x14ac:dyDescent="0.2">
      <c r="A1100" s="295"/>
      <c r="B1100" s="297"/>
      <c r="C1100" s="115"/>
      <c r="D1100" s="116"/>
      <c r="E1100" s="117"/>
      <c r="F1100" s="118"/>
      <c r="G1100" s="113"/>
      <c r="H1100" s="113"/>
      <c r="I1100" s="112"/>
      <c r="J1100" s="112"/>
      <c r="K1100" s="86"/>
      <c r="L1100" s="255"/>
      <c r="M1100" s="114" t="str">
        <f t="shared" si="18"/>
        <v xml:space="preserve">   </v>
      </c>
    </row>
    <row r="1101" spans="1:13" s="55" customFormat="1" hidden="1" x14ac:dyDescent="0.2">
      <c r="A1101" s="295"/>
      <c r="B1101" s="297"/>
      <c r="C1101" s="115"/>
      <c r="D1101" s="116"/>
      <c r="E1101" s="117"/>
      <c r="F1101" s="118"/>
      <c r="G1101" s="113"/>
      <c r="H1101" s="113"/>
      <c r="I1101" s="112"/>
      <c r="J1101" s="112"/>
      <c r="K1101" s="86"/>
      <c r="L1101" s="255"/>
      <c r="M1101" s="114" t="str">
        <f t="shared" si="18"/>
        <v xml:space="preserve">   </v>
      </c>
    </row>
    <row r="1102" spans="1:13" s="55" customFormat="1" hidden="1" x14ac:dyDescent="0.2">
      <c r="A1102" s="295"/>
      <c r="B1102" s="297"/>
      <c r="C1102" s="115"/>
      <c r="D1102" s="116"/>
      <c r="E1102" s="117"/>
      <c r="F1102" s="118"/>
      <c r="G1102" s="113"/>
      <c r="H1102" s="113"/>
      <c r="I1102" s="112"/>
      <c r="J1102" s="112"/>
      <c r="K1102" s="86"/>
      <c r="L1102" s="255"/>
      <c r="M1102" s="114" t="str">
        <f t="shared" si="18"/>
        <v xml:space="preserve">   </v>
      </c>
    </row>
    <row r="1103" spans="1:13" s="55" customFormat="1" ht="12.75" hidden="1" customHeight="1" x14ac:dyDescent="0.2">
      <c r="A1103" s="295" t="s">
        <v>87</v>
      </c>
      <c r="B1103" s="297" t="s">
        <v>107</v>
      </c>
      <c r="C1103" s="112"/>
      <c r="D1103" s="112"/>
      <c r="E1103" s="112"/>
      <c r="F1103" s="112"/>
      <c r="G1103" s="113"/>
      <c r="H1103" s="113"/>
      <c r="I1103" s="112"/>
      <c r="J1103" s="112"/>
      <c r="K1103" s="86"/>
      <c r="L1103" s="253" t="str">
        <f>CONCATENATE(C1103," ",D1103," ",E1103," ",F1103," ",C1104," ",D1104," ",E1104," ",F1104)</f>
        <v xml:space="preserve">       </v>
      </c>
      <c r="M1103" s="114" t="str">
        <f t="shared" si="18"/>
        <v xml:space="preserve">   </v>
      </c>
    </row>
    <row r="1104" spans="1:13" s="55" customFormat="1" hidden="1" x14ac:dyDescent="0.2">
      <c r="A1104" s="295"/>
      <c r="B1104" s="297"/>
      <c r="C1104" s="115"/>
      <c r="D1104" s="116"/>
      <c r="E1104" s="117"/>
      <c r="F1104" s="118"/>
      <c r="G1104" s="113"/>
      <c r="H1104" s="113"/>
      <c r="I1104" s="112"/>
      <c r="J1104" s="112"/>
      <c r="K1104" s="86"/>
      <c r="L1104" s="255"/>
      <c r="M1104" s="114" t="str">
        <f t="shared" si="18"/>
        <v xml:space="preserve">   </v>
      </c>
    </row>
    <row r="1105" spans="1:13" s="55" customFormat="1" hidden="1" x14ac:dyDescent="0.2">
      <c r="A1105" s="295"/>
      <c r="B1105" s="297"/>
      <c r="C1105" s="115"/>
      <c r="D1105" s="116"/>
      <c r="E1105" s="117"/>
      <c r="F1105" s="118"/>
      <c r="G1105" s="113"/>
      <c r="H1105" s="113"/>
      <c r="I1105" s="112"/>
      <c r="J1105" s="112"/>
      <c r="K1105" s="86"/>
      <c r="L1105" s="255"/>
      <c r="M1105" s="114" t="str">
        <f t="shared" si="18"/>
        <v xml:space="preserve">   </v>
      </c>
    </row>
    <row r="1106" spans="1:13" s="55" customFormat="1" hidden="1" x14ac:dyDescent="0.2">
      <c r="A1106" s="295"/>
      <c r="B1106" s="297"/>
      <c r="C1106" s="115"/>
      <c r="D1106" s="116"/>
      <c r="E1106" s="117"/>
      <c r="F1106" s="118"/>
      <c r="G1106" s="113"/>
      <c r="H1106" s="113"/>
      <c r="I1106" s="112"/>
      <c r="J1106" s="112"/>
      <c r="K1106" s="86"/>
      <c r="L1106" s="255"/>
      <c r="M1106" s="114" t="str">
        <f t="shared" si="18"/>
        <v xml:space="preserve">   </v>
      </c>
    </row>
    <row r="1107" spans="1:13" s="55" customFormat="1" hidden="1" x14ac:dyDescent="0.2">
      <c r="A1107" s="295"/>
      <c r="B1107" s="297"/>
      <c r="C1107" s="115"/>
      <c r="D1107" s="116"/>
      <c r="E1107" s="117"/>
      <c r="F1107" s="118"/>
      <c r="G1107" s="113"/>
      <c r="H1107" s="113"/>
      <c r="I1107" s="112"/>
      <c r="J1107" s="112"/>
      <c r="K1107" s="86"/>
      <c r="L1107" s="255"/>
      <c r="M1107" s="114" t="str">
        <f t="shared" si="18"/>
        <v xml:space="preserve">   </v>
      </c>
    </row>
    <row r="1108" spans="1:13" s="55" customFormat="1" hidden="1" x14ac:dyDescent="0.2">
      <c r="A1108" s="295"/>
      <c r="B1108" s="297"/>
      <c r="C1108" s="115"/>
      <c r="D1108" s="116"/>
      <c r="E1108" s="117"/>
      <c r="F1108" s="118"/>
      <c r="G1108" s="113"/>
      <c r="H1108" s="113"/>
      <c r="I1108" s="112"/>
      <c r="J1108" s="112"/>
      <c r="K1108" s="86"/>
      <c r="L1108" s="255"/>
      <c r="M1108" s="114" t="str">
        <f t="shared" si="18"/>
        <v xml:space="preserve">   </v>
      </c>
    </row>
    <row r="1109" spans="1:13" s="55" customFormat="1" hidden="1" x14ac:dyDescent="0.2">
      <c r="A1109" s="295"/>
      <c r="B1109" s="297"/>
      <c r="C1109" s="115"/>
      <c r="D1109" s="116"/>
      <c r="E1109" s="117"/>
      <c r="F1109" s="118"/>
      <c r="G1109" s="113"/>
      <c r="H1109" s="113"/>
      <c r="I1109" s="112"/>
      <c r="J1109" s="112"/>
      <c r="K1109" s="86"/>
      <c r="L1109" s="255"/>
      <c r="M1109" s="114" t="str">
        <f t="shared" si="18"/>
        <v xml:space="preserve">   </v>
      </c>
    </row>
    <row r="1110" spans="1:13" s="55" customFormat="1" hidden="1" x14ac:dyDescent="0.2">
      <c r="A1110" s="295"/>
      <c r="B1110" s="297"/>
      <c r="C1110" s="115"/>
      <c r="D1110" s="116"/>
      <c r="E1110" s="117"/>
      <c r="F1110" s="118"/>
      <c r="G1110" s="113"/>
      <c r="H1110" s="113"/>
      <c r="I1110" s="112"/>
      <c r="J1110" s="112"/>
      <c r="K1110" s="86"/>
      <c r="L1110" s="255"/>
      <c r="M1110" s="114" t="str">
        <f t="shared" si="18"/>
        <v xml:space="preserve">   </v>
      </c>
    </row>
    <row r="1111" spans="1:13" s="55" customFormat="1" hidden="1" x14ac:dyDescent="0.2">
      <c r="A1111" s="295"/>
      <c r="B1111" s="297"/>
      <c r="C1111" s="115"/>
      <c r="D1111" s="116"/>
      <c r="E1111" s="117"/>
      <c r="F1111" s="118"/>
      <c r="G1111" s="113"/>
      <c r="H1111" s="113"/>
      <c r="I1111" s="112"/>
      <c r="J1111" s="112"/>
      <c r="K1111" s="86"/>
      <c r="L1111" s="255"/>
      <c r="M1111" s="114" t="str">
        <f t="shared" si="18"/>
        <v xml:space="preserve">   </v>
      </c>
    </row>
    <row r="1112" spans="1:13" s="55" customFormat="1" hidden="1" x14ac:dyDescent="0.2">
      <c r="A1112" s="295"/>
      <c r="B1112" s="297"/>
      <c r="C1112" s="115"/>
      <c r="D1112" s="116"/>
      <c r="E1112" s="117"/>
      <c r="F1112" s="118"/>
      <c r="G1112" s="113"/>
      <c r="H1112" s="113"/>
      <c r="I1112" s="112"/>
      <c r="J1112" s="112"/>
      <c r="K1112" s="86"/>
      <c r="L1112" s="255"/>
      <c r="M1112" s="114" t="str">
        <f t="shared" si="18"/>
        <v xml:space="preserve">   </v>
      </c>
    </row>
    <row r="1113" spans="1:13" s="48" customFormat="1" ht="54.75" customHeight="1" x14ac:dyDescent="0.2">
      <c r="A1113" s="295" t="s">
        <v>87</v>
      </c>
      <c r="B1113" s="296" t="s">
        <v>108</v>
      </c>
      <c r="C1113" s="112" t="s">
        <v>314</v>
      </c>
      <c r="D1113" s="112" t="s">
        <v>303</v>
      </c>
      <c r="E1113" s="194" t="s">
        <v>318</v>
      </c>
      <c r="F1113" s="194" t="s">
        <v>319</v>
      </c>
      <c r="G1113" s="113" t="s">
        <v>208</v>
      </c>
      <c r="H1113" s="113" t="s">
        <v>320</v>
      </c>
      <c r="I1113" s="194" t="s">
        <v>322</v>
      </c>
      <c r="J1113" s="194" t="s">
        <v>321</v>
      </c>
      <c r="K1113" s="86"/>
      <c r="L1113" s="254" t="str">
        <f>CONCATENATE(C1113," ",D1113," ",E1113," ",F1113," ",C1114," ",D1114," ",E1114," ",F1114)</f>
        <v xml:space="preserve">CE3 C1 Utilizar  metodologías para identificar oportunidades de negocio  tomando en cuenta el programa de estudios y las necesidades del cliente.    </v>
      </c>
      <c r="M1113" s="247" t="str">
        <f t="shared" si="18"/>
        <v>C1 I1 Describe  las metodologías del emprendimiento y de innovación, de acuerdo al proceso de elaboración del plan de negocio.</v>
      </c>
    </row>
    <row r="1114" spans="1:13" s="48" customFormat="1" ht="51.75" customHeight="1" x14ac:dyDescent="0.2">
      <c r="A1114" s="295"/>
      <c r="B1114" s="296"/>
      <c r="C1114" s="120"/>
      <c r="D1114" s="116"/>
      <c r="E1114" s="117"/>
      <c r="F1114" s="118"/>
      <c r="G1114" s="113" t="s">
        <v>210</v>
      </c>
      <c r="H1114" s="113" t="s">
        <v>323</v>
      </c>
      <c r="I1114" s="194" t="s">
        <v>324</v>
      </c>
      <c r="J1114" s="194" t="s">
        <v>325</v>
      </c>
      <c r="K1114" s="86"/>
      <c r="L1114" s="255"/>
      <c r="M1114" s="247" t="str">
        <f t="shared" si="18"/>
        <v>C1 I2 Emplea métodos y técnicas para identificar según el programa de estudios y las necesidades del cliente.</v>
      </c>
    </row>
    <row r="1115" spans="1:13" s="48" customFormat="1" hidden="1" x14ac:dyDescent="0.2">
      <c r="A1115" s="295"/>
      <c r="B1115" s="296"/>
      <c r="C1115" s="115"/>
      <c r="D1115" s="116"/>
      <c r="E1115" s="117"/>
      <c r="F1115" s="118"/>
      <c r="G1115" s="113"/>
      <c r="H1115" s="113"/>
      <c r="I1115" s="112"/>
      <c r="J1115" s="112"/>
      <c r="K1115" s="86"/>
      <c r="L1115" s="255"/>
      <c r="M1115" s="114" t="str">
        <f t="shared" si="18"/>
        <v xml:space="preserve">   </v>
      </c>
    </row>
    <row r="1116" spans="1:13" s="48" customFormat="1" hidden="1" x14ac:dyDescent="0.2">
      <c r="A1116" s="295"/>
      <c r="B1116" s="296"/>
      <c r="C1116" s="115"/>
      <c r="D1116" s="116"/>
      <c r="E1116" s="117"/>
      <c r="F1116" s="118"/>
      <c r="G1116" s="113"/>
      <c r="H1116" s="113"/>
      <c r="I1116" s="112"/>
      <c r="J1116" s="112"/>
      <c r="K1116" s="86"/>
      <c r="L1116" s="255"/>
      <c r="M1116" s="114" t="str">
        <f t="shared" si="18"/>
        <v xml:space="preserve">   </v>
      </c>
    </row>
    <row r="1117" spans="1:13" s="55" customFormat="1" hidden="1" x14ac:dyDescent="0.2">
      <c r="A1117" s="295"/>
      <c r="B1117" s="296"/>
      <c r="C1117" s="115"/>
      <c r="D1117" s="116"/>
      <c r="E1117" s="117"/>
      <c r="F1117" s="118"/>
      <c r="G1117" s="113"/>
      <c r="H1117" s="113"/>
      <c r="I1117" s="112"/>
      <c r="J1117" s="112"/>
      <c r="K1117" s="86"/>
      <c r="L1117" s="255"/>
      <c r="M1117" s="114" t="str">
        <f t="shared" si="18"/>
        <v xml:space="preserve">   </v>
      </c>
    </row>
    <row r="1118" spans="1:13" s="55" customFormat="1" hidden="1" x14ac:dyDescent="0.2">
      <c r="A1118" s="295"/>
      <c r="B1118" s="296"/>
      <c r="C1118" s="115"/>
      <c r="D1118" s="116"/>
      <c r="E1118" s="117"/>
      <c r="F1118" s="118"/>
      <c r="G1118" s="113"/>
      <c r="H1118" s="113"/>
      <c r="I1118" s="112"/>
      <c r="J1118" s="112"/>
      <c r="K1118" s="86"/>
      <c r="L1118" s="255"/>
      <c r="M1118" s="114" t="str">
        <f t="shared" si="18"/>
        <v xml:space="preserve">   </v>
      </c>
    </row>
    <row r="1119" spans="1:13" s="55" customFormat="1" hidden="1" x14ac:dyDescent="0.2">
      <c r="A1119" s="295"/>
      <c r="B1119" s="296"/>
      <c r="C1119" s="115"/>
      <c r="D1119" s="116"/>
      <c r="E1119" s="117"/>
      <c r="F1119" s="118"/>
      <c r="G1119" s="113"/>
      <c r="H1119" s="113"/>
      <c r="I1119" s="112"/>
      <c r="J1119" s="112"/>
      <c r="K1119" s="86"/>
      <c r="L1119" s="255"/>
      <c r="M1119" s="114" t="str">
        <f t="shared" si="18"/>
        <v xml:space="preserve">   </v>
      </c>
    </row>
    <row r="1120" spans="1:13" s="55" customFormat="1" hidden="1" x14ac:dyDescent="0.2">
      <c r="A1120" s="295"/>
      <c r="B1120" s="296"/>
      <c r="C1120" s="115"/>
      <c r="D1120" s="116"/>
      <c r="E1120" s="117"/>
      <c r="F1120" s="118"/>
      <c r="G1120" s="113"/>
      <c r="H1120" s="113"/>
      <c r="I1120" s="112"/>
      <c r="J1120" s="112"/>
      <c r="K1120" s="86"/>
      <c r="L1120" s="255"/>
      <c r="M1120" s="114" t="str">
        <f t="shared" si="18"/>
        <v xml:space="preserve">   </v>
      </c>
    </row>
    <row r="1121" spans="1:13" s="48" customFormat="1" hidden="1" x14ac:dyDescent="0.2">
      <c r="A1121" s="295"/>
      <c r="B1121" s="296"/>
      <c r="C1121" s="115"/>
      <c r="D1121" s="116"/>
      <c r="E1121" s="117"/>
      <c r="F1121" s="118"/>
      <c r="G1121" s="113"/>
      <c r="H1121" s="113"/>
      <c r="I1121" s="112"/>
      <c r="J1121" s="112"/>
      <c r="K1121" s="86"/>
      <c r="L1121" s="255"/>
      <c r="M1121" s="114" t="str">
        <f t="shared" si="18"/>
        <v xml:space="preserve">   </v>
      </c>
    </row>
    <row r="1122" spans="1:13" s="48" customFormat="1" hidden="1" x14ac:dyDescent="0.2">
      <c r="A1122" s="295"/>
      <c r="B1122" s="296"/>
      <c r="C1122" s="121"/>
      <c r="D1122" s="122"/>
      <c r="E1122" s="123"/>
      <c r="F1122" s="124"/>
      <c r="G1122" s="113"/>
      <c r="H1122" s="113"/>
      <c r="I1122" s="112"/>
      <c r="J1122" s="112"/>
      <c r="K1122" s="86"/>
      <c r="L1122" s="255"/>
      <c r="M1122" s="114" t="str">
        <f t="shared" si="18"/>
        <v xml:space="preserve">   </v>
      </c>
    </row>
    <row r="1123" spans="1:13" s="48" customFormat="1" ht="53.45" customHeight="1" x14ac:dyDescent="0.2">
      <c r="A1123" s="295" t="s">
        <v>87</v>
      </c>
      <c r="B1123" s="296" t="s">
        <v>108</v>
      </c>
      <c r="C1123" s="112" t="s">
        <v>315</v>
      </c>
      <c r="D1123" s="112" t="s">
        <v>326</v>
      </c>
      <c r="E1123" s="194" t="s">
        <v>327</v>
      </c>
      <c r="F1123" s="194" t="s">
        <v>328</v>
      </c>
      <c r="G1123" s="113" t="s">
        <v>215</v>
      </c>
      <c r="H1123" s="113" t="s">
        <v>329</v>
      </c>
      <c r="I1123" s="194" t="s">
        <v>330</v>
      </c>
      <c r="J1123" s="194" t="s">
        <v>331</v>
      </c>
      <c r="K1123" s="86"/>
      <c r="L1123" s="254" t="str">
        <f>CONCATENATE(C1123," ",D1123," ",E1123," ",F1123," ",C1124," ",D1124," ",E1124," ",F1124)</f>
        <v xml:space="preserve">CE3 C2 Formular planes de negocio innovadoresvinculados al programa de estudio  considerando un proceso metodológico que genere valor,  sea sostenible y preserve el ambiente.    </v>
      </c>
      <c r="M1123" s="247" t="str">
        <f t="shared" si="18"/>
        <v>C2 I1 Plantea  la misión, visión y objetivos del negocio teniendo en cuenta las expectativas del cliente y la oportunidad de negocio.</v>
      </c>
    </row>
    <row r="1124" spans="1:13" s="48" customFormat="1" ht="40.5" customHeight="1" x14ac:dyDescent="0.2">
      <c r="A1124" s="295"/>
      <c r="B1124" s="296"/>
      <c r="C1124" s="120"/>
      <c r="D1124" s="116"/>
      <c r="E1124" s="117"/>
      <c r="F1124" s="118"/>
      <c r="G1124" s="113" t="s">
        <v>218</v>
      </c>
      <c r="H1124" s="113" t="s">
        <v>398</v>
      </c>
      <c r="I1124" s="112" t="s">
        <v>333</v>
      </c>
      <c r="J1124" s="194" t="s">
        <v>334</v>
      </c>
      <c r="K1124" s="86"/>
      <c r="L1124" s="255"/>
      <c r="M1124" s="247" t="str">
        <f t="shared" si="18"/>
        <v>C2 I2 Elabora  el plan de acción del negocio participando en concursos y ferias de emprendimiento</v>
      </c>
    </row>
    <row r="1125" spans="1:13" s="48" customFormat="1" hidden="1" x14ac:dyDescent="0.2">
      <c r="A1125" s="295"/>
      <c r="B1125" s="296"/>
      <c r="C1125" s="115"/>
      <c r="D1125" s="116"/>
      <c r="E1125" s="117"/>
      <c r="F1125" s="118"/>
      <c r="G1125" s="113"/>
      <c r="H1125" s="113"/>
      <c r="I1125" s="112"/>
      <c r="J1125" s="112"/>
      <c r="K1125" s="86"/>
      <c r="L1125" s="255"/>
      <c r="M1125" s="114" t="str">
        <f t="shared" si="18"/>
        <v xml:space="preserve">   </v>
      </c>
    </row>
    <row r="1126" spans="1:13" s="48" customFormat="1" hidden="1" x14ac:dyDescent="0.2">
      <c r="A1126" s="295"/>
      <c r="B1126" s="296"/>
      <c r="C1126" s="115"/>
      <c r="D1126" s="116"/>
      <c r="E1126" s="117"/>
      <c r="F1126" s="118"/>
      <c r="G1126" s="113"/>
      <c r="H1126" s="113"/>
      <c r="I1126" s="112"/>
      <c r="J1126" s="112"/>
      <c r="K1126" s="86"/>
      <c r="L1126" s="255"/>
      <c r="M1126" s="114" t="str">
        <f t="shared" si="18"/>
        <v xml:space="preserve">   </v>
      </c>
    </row>
    <row r="1127" spans="1:13" s="55" customFormat="1" hidden="1" x14ac:dyDescent="0.2">
      <c r="A1127" s="295"/>
      <c r="B1127" s="296"/>
      <c r="C1127" s="115"/>
      <c r="D1127" s="116"/>
      <c r="E1127" s="117"/>
      <c r="F1127" s="118"/>
      <c r="G1127" s="113"/>
      <c r="H1127" s="113"/>
      <c r="I1127" s="112"/>
      <c r="J1127" s="112"/>
      <c r="K1127" s="86"/>
      <c r="L1127" s="255"/>
      <c r="M1127" s="114" t="str">
        <f t="shared" si="18"/>
        <v xml:space="preserve">   </v>
      </c>
    </row>
    <row r="1128" spans="1:13" s="55" customFormat="1" hidden="1" x14ac:dyDescent="0.2">
      <c r="A1128" s="295"/>
      <c r="B1128" s="296"/>
      <c r="C1128" s="115"/>
      <c r="D1128" s="116"/>
      <c r="E1128" s="117"/>
      <c r="F1128" s="118"/>
      <c r="G1128" s="113"/>
      <c r="H1128" s="113"/>
      <c r="I1128" s="112"/>
      <c r="J1128" s="112"/>
      <c r="K1128" s="86"/>
      <c r="L1128" s="255"/>
      <c r="M1128" s="114" t="str">
        <f t="shared" si="18"/>
        <v xml:space="preserve">   </v>
      </c>
    </row>
    <row r="1129" spans="1:13" s="55" customFormat="1" hidden="1" x14ac:dyDescent="0.2">
      <c r="A1129" s="295"/>
      <c r="B1129" s="296"/>
      <c r="C1129" s="115"/>
      <c r="D1129" s="116"/>
      <c r="E1129" s="117"/>
      <c r="F1129" s="118"/>
      <c r="G1129" s="113"/>
      <c r="H1129" s="113"/>
      <c r="I1129" s="112"/>
      <c r="J1129" s="112"/>
      <c r="K1129" s="86"/>
      <c r="L1129" s="255"/>
      <c r="M1129" s="114" t="str">
        <f t="shared" si="18"/>
        <v xml:space="preserve">   </v>
      </c>
    </row>
    <row r="1130" spans="1:13" s="55" customFormat="1" hidden="1" x14ac:dyDescent="0.2">
      <c r="A1130" s="295"/>
      <c r="B1130" s="296"/>
      <c r="C1130" s="115"/>
      <c r="D1130" s="116"/>
      <c r="E1130" s="117"/>
      <c r="F1130" s="118"/>
      <c r="G1130" s="113"/>
      <c r="H1130" s="113"/>
      <c r="I1130" s="112"/>
      <c r="J1130" s="112"/>
      <c r="K1130" s="86"/>
      <c r="L1130" s="255"/>
      <c r="M1130" s="114" t="str">
        <f t="shared" si="18"/>
        <v xml:space="preserve">   </v>
      </c>
    </row>
    <row r="1131" spans="1:13" s="48" customFormat="1" hidden="1" x14ac:dyDescent="0.2">
      <c r="A1131" s="295"/>
      <c r="B1131" s="296"/>
      <c r="C1131" s="115"/>
      <c r="D1131" s="116"/>
      <c r="E1131" s="117"/>
      <c r="F1131" s="118"/>
      <c r="G1131" s="113"/>
      <c r="H1131" s="113"/>
      <c r="I1131" s="112"/>
      <c r="J1131" s="112"/>
      <c r="K1131" s="86"/>
      <c r="L1131" s="255"/>
      <c r="M1131" s="114" t="str">
        <f t="shared" si="18"/>
        <v xml:space="preserve">   </v>
      </c>
    </row>
    <row r="1132" spans="1:13" s="48" customFormat="1" hidden="1" x14ac:dyDescent="0.2">
      <c r="A1132" s="295"/>
      <c r="B1132" s="296"/>
      <c r="C1132" s="121"/>
      <c r="D1132" s="122"/>
      <c r="E1132" s="123"/>
      <c r="F1132" s="124"/>
      <c r="G1132" s="113"/>
      <c r="H1132" s="113"/>
      <c r="I1132" s="112"/>
      <c r="J1132" s="112"/>
      <c r="K1132" s="86"/>
      <c r="L1132" s="256"/>
      <c r="M1132" s="114" t="str">
        <f t="shared" si="18"/>
        <v xml:space="preserve">   </v>
      </c>
    </row>
    <row r="1133" spans="1:13" s="48" customFormat="1" ht="66" customHeight="1" x14ac:dyDescent="0.2">
      <c r="A1133" s="295" t="s">
        <v>87</v>
      </c>
      <c r="B1133" s="296" t="s">
        <v>108</v>
      </c>
      <c r="C1133" s="112" t="s">
        <v>316</v>
      </c>
      <c r="D1133" s="112" t="s">
        <v>335</v>
      </c>
      <c r="E1133" s="194" t="s">
        <v>336</v>
      </c>
      <c r="F1133" s="194" t="s">
        <v>337</v>
      </c>
      <c r="G1133" s="113" t="s">
        <v>208</v>
      </c>
      <c r="H1133" s="113" t="s">
        <v>341</v>
      </c>
      <c r="I1133" s="112" t="s">
        <v>342</v>
      </c>
      <c r="J1133" s="194" t="s">
        <v>343</v>
      </c>
      <c r="K1133" s="86"/>
      <c r="L1133" s="254" t="str">
        <f>CONCATENATE(C1133," ",D1133," ",E1133," ",F1133," ",C1134," ",D1134," ",E1134," ",F1134)</f>
        <v xml:space="preserve">CE4 I1 Practicar las relaciones interpersonales democráticas, teniendo en cuenta los principios y valores éticos, y la gestión efectiva de los conflictos en su contexto social y laboral.    </v>
      </c>
      <c r="M1133" s="247" t="str">
        <f t="shared" si="18"/>
        <v>C1 I1 Ejerce  los principios de la democracia tomando en cuenta la optimización de sus relaciones interpersonales.</v>
      </c>
    </row>
    <row r="1134" spans="1:13" s="48" customFormat="1" ht="30.75" customHeight="1" x14ac:dyDescent="0.2">
      <c r="A1134" s="295"/>
      <c r="B1134" s="296"/>
      <c r="C1134" s="120"/>
      <c r="D1134" s="116"/>
      <c r="E1134" s="117"/>
      <c r="F1134" s="118"/>
      <c r="G1134" s="113" t="s">
        <v>210</v>
      </c>
      <c r="H1134" s="113" t="s">
        <v>347</v>
      </c>
      <c r="I1134" s="112" t="s">
        <v>348</v>
      </c>
      <c r="J1134" s="194" t="s">
        <v>349</v>
      </c>
      <c r="K1134" s="86"/>
      <c r="L1134" s="255"/>
      <c r="M1134" s="247" t="str">
        <f t="shared" si="18"/>
        <v>C1 I2 Demuestra acciones éticas  en el marco de sus relaciones sociales y laborales.</v>
      </c>
    </row>
    <row r="1135" spans="1:13" s="48" customFormat="1" hidden="1" x14ac:dyDescent="0.2">
      <c r="A1135" s="295"/>
      <c r="B1135" s="296"/>
      <c r="C1135" s="115"/>
      <c r="D1135" s="116"/>
      <c r="E1135" s="117"/>
      <c r="F1135" s="118"/>
      <c r="G1135" s="113"/>
      <c r="H1135" s="113"/>
      <c r="I1135" s="112"/>
      <c r="J1135" s="112"/>
      <c r="K1135" s="86"/>
      <c r="L1135" s="255"/>
      <c r="M1135" s="114" t="str">
        <f t="shared" si="18"/>
        <v xml:space="preserve">   </v>
      </c>
    </row>
    <row r="1136" spans="1:13" s="48" customFormat="1" hidden="1" x14ac:dyDescent="0.2">
      <c r="A1136" s="295"/>
      <c r="B1136" s="296"/>
      <c r="C1136" s="115"/>
      <c r="D1136" s="116"/>
      <c r="E1136" s="117"/>
      <c r="F1136" s="118"/>
      <c r="G1136" s="113"/>
      <c r="H1136" s="113"/>
      <c r="I1136" s="112"/>
      <c r="J1136" s="112"/>
      <c r="K1136" s="86"/>
      <c r="L1136" s="255"/>
      <c r="M1136" s="114" t="str">
        <f t="shared" si="18"/>
        <v xml:space="preserve">   </v>
      </c>
    </row>
    <row r="1137" spans="1:13" s="55" customFormat="1" hidden="1" x14ac:dyDescent="0.2">
      <c r="A1137" s="295"/>
      <c r="B1137" s="296"/>
      <c r="C1137" s="115"/>
      <c r="D1137" s="116"/>
      <c r="E1137" s="117"/>
      <c r="F1137" s="118"/>
      <c r="G1137" s="113"/>
      <c r="H1137" s="113"/>
      <c r="I1137" s="112"/>
      <c r="J1137" s="112"/>
      <c r="K1137" s="86"/>
      <c r="L1137" s="255"/>
      <c r="M1137" s="114" t="str">
        <f t="shared" si="18"/>
        <v xml:space="preserve">   </v>
      </c>
    </row>
    <row r="1138" spans="1:13" s="55" customFormat="1" hidden="1" x14ac:dyDescent="0.2">
      <c r="A1138" s="295"/>
      <c r="B1138" s="296"/>
      <c r="C1138" s="115"/>
      <c r="D1138" s="116"/>
      <c r="E1138" s="117"/>
      <c r="F1138" s="118"/>
      <c r="G1138" s="113"/>
      <c r="H1138" s="113"/>
      <c r="I1138" s="112"/>
      <c r="J1138" s="112"/>
      <c r="K1138" s="86"/>
      <c r="L1138" s="255"/>
      <c r="M1138" s="114" t="str">
        <f t="shared" si="18"/>
        <v xml:space="preserve">   </v>
      </c>
    </row>
    <row r="1139" spans="1:13" s="55" customFormat="1" hidden="1" x14ac:dyDescent="0.2">
      <c r="A1139" s="295"/>
      <c r="B1139" s="296"/>
      <c r="C1139" s="115"/>
      <c r="D1139" s="116"/>
      <c r="E1139" s="117"/>
      <c r="F1139" s="118"/>
      <c r="G1139" s="113"/>
      <c r="H1139" s="113"/>
      <c r="I1139" s="112"/>
      <c r="J1139" s="112"/>
      <c r="K1139" s="86"/>
      <c r="L1139" s="255"/>
      <c r="M1139" s="114" t="str">
        <f t="shared" si="18"/>
        <v xml:space="preserve">   </v>
      </c>
    </row>
    <row r="1140" spans="1:13" s="55" customFormat="1" hidden="1" x14ac:dyDescent="0.2">
      <c r="A1140" s="295"/>
      <c r="B1140" s="296"/>
      <c r="C1140" s="115"/>
      <c r="D1140" s="116"/>
      <c r="E1140" s="117"/>
      <c r="F1140" s="118"/>
      <c r="G1140" s="113"/>
      <c r="H1140" s="113"/>
      <c r="I1140" s="112"/>
      <c r="J1140" s="112"/>
      <c r="K1140" s="86"/>
      <c r="L1140" s="255"/>
      <c r="M1140" s="114" t="str">
        <f t="shared" si="18"/>
        <v xml:space="preserve">   </v>
      </c>
    </row>
    <row r="1141" spans="1:13" s="48" customFormat="1" hidden="1" x14ac:dyDescent="0.2">
      <c r="A1141" s="295"/>
      <c r="B1141" s="296"/>
      <c r="C1141" s="115"/>
      <c r="D1141" s="116"/>
      <c r="E1141" s="117"/>
      <c r="F1141" s="118"/>
      <c r="G1141" s="113"/>
      <c r="H1141" s="113"/>
      <c r="I1141" s="112"/>
      <c r="J1141" s="112"/>
      <c r="K1141" s="86"/>
      <c r="L1141" s="255"/>
      <c r="M1141" s="114" t="str">
        <f t="shared" si="18"/>
        <v xml:space="preserve">   </v>
      </c>
    </row>
    <row r="1142" spans="1:13" s="48" customFormat="1" hidden="1" x14ac:dyDescent="0.2">
      <c r="A1142" s="295"/>
      <c r="B1142" s="296"/>
      <c r="C1142" s="121"/>
      <c r="D1142" s="122"/>
      <c r="E1142" s="123"/>
      <c r="F1142" s="124"/>
      <c r="G1142" s="113"/>
      <c r="H1142" s="113"/>
      <c r="I1142" s="112"/>
      <c r="J1142" s="112"/>
      <c r="K1142" s="86"/>
      <c r="L1142" s="255"/>
      <c r="M1142" s="114" t="str">
        <f t="shared" si="18"/>
        <v xml:space="preserve">   </v>
      </c>
    </row>
    <row r="1143" spans="1:13" s="48" customFormat="1" ht="51.75" customHeight="1" x14ac:dyDescent="0.2">
      <c r="A1143" s="295" t="s">
        <v>87</v>
      </c>
      <c r="B1143" s="296" t="s">
        <v>108</v>
      </c>
      <c r="C1143" s="112" t="s">
        <v>317</v>
      </c>
      <c r="D1143" s="112" t="s">
        <v>338</v>
      </c>
      <c r="E1143" s="194" t="s">
        <v>339</v>
      </c>
      <c r="F1143" s="194" t="s">
        <v>340</v>
      </c>
      <c r="G1143" s="113" t="s">
        <v>215</v>
      </c>
      <c r="H1143" s="113" t="s">
        <v>344</v>
      </c>
      <c r="I1143" s="194" t="s">
        <v>542</v>
      </c>
      <c r="J1143" s="194" t="s">
        <v>543</v>
      </c>
      <c r="K1143" s="86"/>
      <c r="L1143" s="254" t="str">
        <f>CONCATENATE(C1143," ",D1143," ",E1143," ",F1143," ",C1144," ",D1144," ",E1144," ",F1144)</f>
        <v xml:space="preserve">CE4 I2 Promover una cultura ética en su contexto  social y laboral fomentando el bien común, la diversidad y la dignidad de las personas.    </v>
      </c>
      <c r="M1143" s="247" t="str">
        <f t="shared" si="18"/>
        <v>C2 I1 Actúa  de manera ética   en su vida cotidiana y laboral, orientada al bien común</v>
      </c>
    </row>
    <row r="1144" spans="1:13" s="48" customFormat="1" ht="64.5" customHeight="1" x14ac:dyDescent="0.2">
      <c r="A1144" s="295"/>
      <c r="B1144" s="296"/>
      <c r="C1144" s="120"/>
      <c r="D1144" s="116"/>
      <c r="E1144" s="117"/>
      <c r="F1144" s="118"/>
      <c r="G1144" s="113" t="s">
        <v>218</v>
      </c>
      <c r="H1144" s="113" t="s">
        <v>209</v>
      </c>
      <c r="I1144" s="194" t="s">
        <v>345</v>
      </c>
      <c r="J1144" s="194" t="s">
        <v>346</v>
      </c>
      <c r="K1144" s="86"/>
      <c r="L1144" s="119"/>
      <c r="M1144" s="247" t="str">
        <f t="shared" si="18"/>
        <v>C2 I2 Elabora un código de ética para su quehacer laboral  orientado al bien común y a la dignidad de las personas.</v>
      </c>
    </row>
  </sheetData>
  <autoFilter ref="A9:M1144" xr:uid="{00000000-0009-0000-0000-000002000000}"/>
  <mergeCells count="235">
    <mergeCell ref="L1:M1"/>
    <mergeCell ref="C5:D5"/>
    <mergeCell ref="E5:J5"/>
    <mergeCell ref="L5:M5"/>
    <mergeCell ref="D7:F7"/>
    <mergeCell ref="A10:A19"/>
    <mergeCell ref="H7:J7"/>
    <mergeCell ref="B10:B19"/>
    <mergeCell ref="A20:A29"/>
    <mergeCell ref="B20:B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B130:B139"/>
    <mergeCell ref="A140:A149"/>
    <mergeCell ref="B140:B149"/>
    <mergeCell ref="A150:A159"/>
    <mergeCell ref="B150:B159"/>
    <mergeCell ref="A100:A109"/>
    <mergeCell ref="B100:B109"/>
    <mergeCell ref="A110:A119"/>
    <mergeCell ref="B110:B119"/>
    <mergeCell ref="A120:A129"/>
    <mergeCell ref="B120:B129"/>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A351:A360"/>
    <mergeCell ref="B351:B360"/>
    <mergeCell ref="A361:A370"/>
    <mergeCell ref="B361:B370"/>
    <mergeCell ref="A371:A380"/>
    <mergeCell ref="B371:B380"/>
    <mergeCell ref="A321:A330"/>
    <mergeCell ref="B321:B330"/>
    <mergeCell ref="A331:A340"/>
    <mergeCell ref="B331:B340"/>
    <mergeCell ref="A341:A350"/>
    <mergeCell ref="B341:B35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591:A600"/>
    <mergeCell ref="B591:B600"/>
    <mergeCell ref="A601:A610"/>
    <mergeCell ref="B601:B610"/>
    <mergeCell ref="A612:A621"/>
    <mergeCell ref="B612:B621"/>
    <mergeCell ref="A561:A570"/>
    <mergeCell ref="B561:B570"/>
    <mergeCell ref="A571:A580"/>
    <mergeCell ref="B571:B580"/>
    <mergeCell ref="A581:A590"/>
    <mergeCell ref="B581:B590"/>
    <mergeCell ref="A652:A661"/>
    <mergeCell ref="B652:B661"/>
    <mergeCell ref="A662:A671"/>
    <mergeCell ref="B662:B671"/>
    <mergeCell ref="A672:A681"/>
    <mergeCell ref="B672:B681"/>
    <mergeCell ref="A622:A631"/>
    <mergeCell ref="B622:B631"/>
    <mergeCell ref="A632:A641"/>
    <mergeCell ref="B632:B641"/>
    <mergeCell ref="A642:A651"/>
    <mergeCell ref="B642:B65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892:A901"/>
    <mergeCell ref="B892:B901"/>
    <mergeCell ref="A902:A911"/>
    <mergeCell ref="B902:B911"/>
    <mergeCell ref="A913:A922"/>
    <mergeCell ref="B913:B922"/>
    <mergeCell ref="A862:A871"/>
    <mergeCell ref="B862:B871"/>
    <mergeCell ref="A872:A881"/>
    <mergeCell ref="B872:B881"/>
    <mergeCell ref="A882:A891"/>
    <mergeCell ref="B882:B891"/>
    <mergeCell ref="A953:A962"/>
    <mergeCell ref="B953:B962"/>
    <mergeCell ref="A963:A972"/>
    <mergeCell ref="B963:B972"/>
    <mergeCell ref="A973:A982"/>
    <mergeCell ref="B973:B982"/>
    <mergeCell ref="A923:A932"/>
    <mergeCell ref="B923:B932"/>
    <mergeCell ref="A933:A942"/>
    <mergeCell ref="B933:B942"/>
    <mergeCell ref="A943:A952"/>
    <mergeCell ref="B943:B95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133:A1142"/>
    <mergeCell ref="B1133:B1142"/>
    <mergeCell ref="A1143:A1144"/>
    <mergeCell ref="B1143:B1144"/>
    <mergeCell ref="A1103:A1112"/>
    <mergeCell ref="B1103:B1112"/>
    <mergeCell ref="A1113:A1122"/>
    <mergeCell ref="B1113:B1122"/>
    <mergeCell ref="A1123:A1132"/>
    <mergeCell ref="B1123:B1132"/>
  </mergeCells>
  <conditionalFormatting sqref="C923:F923 G947:J1144">
    <cfRule type="containsBlanks" dxfId="91" priority="11">
      <formula>LEN(TRIM(C923))=0</formula>
    </cfRule>
  </conditionalFormatting>
  <conditionalFormatting sqref="C933:F933">
    <cfRule type="containsBlanks" dxfId="90" priority="5">
      <formula>LEN(TRIM(C933))=0</formula>
    </cfRule>
  </conditionalFormatting>
  <conditionalFormatting sqref="C943:F943 H945:J946">
    <cfRule type="containsBlanks" dxfId="89" priority="2">
      <formula>LEN(TRIM(C943))=0</formula>
    </cfRule>
  </conditionalFormatting>
  <conditionalFormatting sqref="C913:G913">
    <cfRule type="containsBlanks" dxfId="88" priority="25">
      <formula>LEN(TRIM(C913))=0</formula>
    </cfRule>
  </conditionalFormatting>
  <conditionalFormatting sqref="C10:J10 C20:F20 C30:F30 C40:F40 C50:F50 C60:F60 C70:F70 C80:F80 C90:F90 C100:F100 C110:F110 C120:F120 C130:F130 C140:F140 C150:F150 C160:F160 C170:F170 C180:F180 C190:F190 C200:F200 C210:F210 C220:F220 C230:F230 C240:F240 C250:F250 C260:F260 C270:F270 C280:F280 C290:F290 C300:F300 C311:F311 C321:F321 C331:F331 C341:F341 C351:F351 C361:F361 C371:F371 C381:F381 C391:F391 C401:F401 C411:F411 C421:F421 C431:F431 C441:F441 C451:F451 C461:F461 C471:F471 C481:F481 C491:F491 C501:F501 C511:F511 C521:F521 C531:F531 C541:F541 C551:F551 C561:F561 C571:F571 C581:F581 C591:F591 C601:F601 C612:F612 C622:F622 C632:F632 C642:F642 C652:F652 C662:F662 C672:F672 C682:F682 C692:F692 C702:F702 C712:F712 C722:F722 C732:F732 C742:F742 C752:F752 C762:F762 C772:F772 C782:F782 C792:F792 C802:F802 C812:F812 C822:F822 C832:F832 C842:F842 C852:F852 C862:F862 C872:F872 C882:F882 C892:F892 C902:F902 G916:J922 G938:J942 C953:F953 C963:F963 C973:F973 C983:F983 C993:F993 C1003:F1003 C1013:F1013 C1023:F1023 C1033:F1033 C1043:F1043 C1053:F1053 C1063:F1063 C1073:F1073 C1083:F1083 C1093:F1093 C1103:F1103 C1113:F1113 C1123:F1123 C1133:F1133 C1143:F1143">
    <cfRule type="containsBlanks" dxfId="87" priority="29">
      <formula>LEN(TRIM(C10))=0</formula>
    </cfRule>
  </conditionalFormatting>
  <conditionalFormatting sqref="G914:G915">
    <cfRule type="containsBlanks" dxfId="86" priority="24">
      <formula>LEN(TRIM(G914))=0</formula>
    </cfRule>
  </conditionalFormatting>
  <conditionalFormatting sqref="G923:G927">
    <cfRule type="containsBlanks" dxfId="85" priority="8">
      <formula>LEN(TRIM(G923))=0</formula>
    </cfRule>
  </conditionalFormatting>
  <conditionalFormatting sqref="G934:G937">
    <cfRule type="containsBlanks" dxfId="84" priority="3">
      <formula>LEN(TRIM(G934))=0</formula>
    </cfRule>
  </conditionalFormatting>
  <conditionalFormatting sqref="G943:G946">
    <cfRule type="containsBlanks" dxfId="83" priority="1">
      <formula>LEN(TRIM(G943))=0</formula>
    </cfRule>
  </conditionalFormatting>
  <conditionalFormatting sqref="G11:J912">
    <cfRule type="containsBlanks" dxfId="82" priority="26">
      <formula>LEN(TRIM(G11))=0</formula>
    </cfRule>
  </conditionalFormatting>
  <conditionalFormatting sqref="G928:J933">
    <cfRule type="containsBlanks" dxfId="81" priority="4">
      <formula>LEN(TRIM(G928))=0</formula>
    </cfRule>
  </conditionalFormatting>
  <conditionalFormatting sqref="H923:J925">
    <cfRule type="containsBlanks" dxfId="80" priority="6">
      <formula>LEN(TRIM(H923))=0</formula>
    </cfRule>
  </conditionalFormatting>
  <conditionalFormatting sqref="J915">
    <cfRule type="containsBlanks" dxfId="79" priority="23">
      <formula>LEN(TRIM(J915))=0</formula>
    </cfRule>
  </conditionalFormatting>
  <pageMargins left="0.7" right="0.7" top="0.75" bottom="0.75" header="0.3" footer="0.3"/>
  <pageSetup scale="72" orientation="landscape" r:id="rId1"/>
  <rowBreaks count="1" manualBreakCount="1">
    <brk id="942" max="12" man="1"/>
  </rowBreaks>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filterMode="1">
    <tabColor rgb="FF002060"/>
  </sheetPr>
  <dimension ref="A1:J196"/>
  <sheetViews>
    <sheetView topLeftCell="A44" zoomScaleNormal="100" workbookViewId="0">
      <selection activeCell="L11" sqref="L11"/>
    </sheetView>
  </sheetViews>
  <sheetFormatPr baseColWidth="10" defaultColWidth="11.42578125" defaultRowHeight="12.75" x14ac:dyDescent="0.2"/>
  <cols>
    <col min="1" max="1" width="15.5703125" style="2" customWidth="1"/>
    <col min="2" max="2" width="6.140625" style="1" customWidth="1"/>
    <col min="3" max="3" width="26.28515625" style="2" customWidth="1"/>
    <col min="4" max="4" width="18" style="63" customWidth="1"/>
    <col min="5" max="5" width="32" style="63" customWidth="1"/>
    <col min="6" max="6" width="22.85546875" style="2" customWidth="1"/>
    <col min="7" max="7" width="14.42578125" style="64" customWidth="1"/>
    <col min="8" max="9" width="8.7109375" style="60" customWidth="1"/>
    <col min="10" max="10" width="10.28515625" style="155" customWidth="1"/>
    <col min="11" max="16384" width="11.42578125" style="2"/>
  </cols>
  <sheetData>
    <row r="1" spans="1:10" ht="18.75" x14ac:dyDescent="0.3">
      <c r="A1" s="316" t="s">
        <v>39</v>
      </c>
      <c r="B1" s="316"/>
      <c r="C1" s="316"/>
      <c r="D1" s="316"/>
      <c r="E1" s="316"/>
      <c r="F1" s="316"/>
      <c r="G1" s="316"/>
    </row>
    <row r="2" spans="1:10" ht="9" customHeight="1" x14ac:dyDescent="0.2">
      <c r="A2" s="33"/>
      <c r="B2" s="34"/>
      <c r="C2" s="33"/>
      <c r="D2" s="33"/>
      <c r="E2" s="33"/>
      <c r="F2" s="33"/>
      <c r="G2" s="33"/>
    </row>
    <row r="3" spans="1:10" ht="36" customHeight="1" x14ac:dyDescent="0.2">
      <c r="A3" s="307" t="s">
        <v>38</v>
      </c>
      <c r="B3" s="307"/>
      <c r="C3" s="292" t="str">
        <f>Perfil_Egreso!B3</f>
        <v>CETPRO JUANJUI</v>
      </c>
      <c r="D3" s="292"/>
      <c r="E3" s="292"/>
      <c r="F3" s="35" t="s">
        <v>52</v>
      </c>
      <c r="G3" s="135" t="str">
        <f>Perfil_Egreso!E3</f>
        <v>0533836</v>
      </c>
    </row>
    <row r="4" spans="1:10" x14ac:dyDescent="0.2">
      <c r="A4" s="36"/>
      <c r="B4" s="36"/>
      <c r="C4" s="36"/>
      <c r="D4" s="36"/>
      <c r="E4" s="36"/>
      <c r="F4" s="36"/>
      <c r="G4" s="36"/>
    </row>
    <row r="5" spans="1:10" ht="65.25" customHeight="1" x14ac:dyDescent="0.2">
      <c r="A5" s="307" t="str">
        <f>Perfil_Egreso!A11</f>
        <v>DENOMINACIÓN DEL PROGRAMA DE ESTUDIOS SEGÚN CNOF (según corresponda)</v>
      </c>
      <c r="B5" s="307"/>
      <c r="C5" s="80" t="str">
        <f>Perfil_Egreso!B11</f>
        <v>REDES Y COMUNICACIONES</v>
      </c>
      <c r="D5" s="35" t="s">
        <v>46</v>
      </c>
      <c r="E5" s="135" t="str">
        <f>Perfil_Egreso!E11</f>
        <v>J2662-2-001</v>
      </c>
      <c r="F5" s="35" t="s">
        <v>41</v>
      </c>
      <c r="G5" s="80" t="str">
        <f>Perfil_Egreso!B15</f>
        <v>TÉCNICO</v>
      </c>
    </row>
    <row r="6" spans="1:10" x14ac:dyDescent="0.2">
      <c r="A6" s="36"/>
      <c r="B6" s="36"/>
      <c r="C6" s="36"/>
      <c r="D6" s="36"/>
      <c r="E6" s="36"/>
      <c r="F6" s="36"/>
      <c r="G6" s="36"/>
    </row>
    <row r="7" spans="1:10" ht="42" customHeight="1" x14ac:dyDescent="0.2">
      <c r="A7" s="307" t="str">
        <f>Perfil_Egreso!A13</f>
        <v>FORMACIÓN**</v>
      </c>
      <c r="B7" s="308"/>
      <c r="C7" s="309">
        <f>Perfil_Egreso!B13</f>
        <v>0</v>
      </c>
      <c r="D7" s="310"/>
      <c r="E7" s="151" t="s">
        <v>45</v>
      </c>
      <c r="F7" s="309" t="str">
        <f>Perfil_Egreso!D13</f>
        <v>PRESENCIAL</v>
      </c>
      <c r="G7" s="310"/>
    </row>
    <row r="8" spans="1:10" ht="10.5" customHeight="1" x14ac:dyDescent="0.2">
      <c r="A8" s="20"/>
      <c r="B8" s="20"/>
      <c r="C8" s="20"/>
      <c r="D8" s="65"/>
      <c r="E8" s="65"/>
      <c r="F8" s="20"/>
      <c r="G8" s="23"/>
      <c r="H8" s="311" t="s">
        <v>164</v>
      </c>
      <c r="I8" s="311"/>
      <c r="J8" s="311"/>
    </row>
    <row r="9" spans="1:10" ht="25.5" x14ac:dyDescent="0.2">
      <c r="A9" s="158" t="s">
        <v>2</v>
      </c>
      <c r="B9" s="294" t="s">
        <v>146</v>
      </c>
      <c r="C9" s="294"/>
      <c r="D9" s="294" t="s">
        <v>4</v>
      </c>
      <c r="E9" s="294"/>
      <c r="F9" s="158" t="s">
        <v>0</v>
      </c>
      <c r="G9" s="158" t="s">
        <v>19</v>
      </c>
      <c r="H9" s="156" t="s">
        <v>65</v>
      </c>
      <c r="I9" s="156" t="s">
        <v>66</v>
      </c>
      <c r="J9" s="157" t="s">
        <v>165</v>
      </c>
    </row>
    <row r="10" spans="1:10" ht="91.5" customHeight="1" x14ac:dyDescent="0.2">
      <c r="A10" s="312" t="s">
        <v>627</v>
      </c>
      <c r="B10" s="313" t="s">
        <v>147</v>
      </c>
      <c r="C10" s="280" t="s">
        <v>243</v>
      </c>
      <c r="D10" s="317" t="str">
        <f ca="1">OFFSET(Capacidades!$A$1,(ROW()-9)*10-1,11)</f>
        <v xml:space="preserve">UC1 C1 Identificar las necesidades o requerimientos del cliente  considerando procedimientos establecidos y buenas prácticas de gestión de incidentes.    </v>
      </c>
      <c r="E10" s="318"/>
      <c r="F10" s="136" t="s">
        <v>495</v>
      </c>
      <c r="G10" s="61" t="s">
        <v>134</v>
      </c>
      <c r="H10" s="167">
        <v>2</v>
      </c>
      <c r="I10" s="168">
        <v>3</v>
      </c>
      <c r="J10" s="155">
        <f>SUM(H10:I10)</f>
        <v>5</v>
      </c>
    </row>
    <row r="11" spans="1:10" ht="79.5" customHeight="1" x14ac:dyDescent="0.2">
      <c r="A11" s="312"/>
      <c r="B11" s="313"/>
      <c r="C11" s="280"/>
      <c r="D11" s="317" t="str">
        <f ca="1">OFFSET(Capacidades!$A$1,(ROW()-9)*10-1,11)</f>
        <v xml:space="preserve">UC1 C2 Resolver las incidencias o fallas del sistema de información en el primer nivel  considerando procedimientos establecidos y buenas prácticas de gestión de TI (marco metodologias COBIT y ITIL)     </v>
      </c>
      <c r="E11" s="318"/>
      <c r="F11" s="136" t="s">
        <v>496</v>
      </c>
      <c r="G11" s="61" t="s">
        <v>134</v>
      </c>
      <c r="H11" s="167">
        <v>2</v>
      </c>
      <c r="I11" s="168">
        <v>3</v>
      </c>
      <c r="J11" s="155">
        <f t="shared" ref="J11:J74" si="0">SUM(H11:I11)</f>
        <v>5</v>
      </c>
    </row>
    <row r="12" spans="1:10" ht="78.75" customHeight="1" x14ac:dyDescent="0.2">
      <c r="A12" s="312"/>
      <c r="B12" s="313"/>
      <c r="C12" s="280"/>
      <c r="D12" s="317" t="str">
        <f ca="1">OFFSET(Capacidades!$A$1,(ROW()-9)*10-1,11)</f>
        <v xml:space="preserve">UC1 C3 Elaborar  los reportes de las incidencia de los sistemas de información  considerando procedimientos establecidos y buenas prácticas de gestión de TI (marco metodologias COBIT y ITIL)     </v>
      </c>
      <c r="E12" s="318"/>
      <c r="F12" s="136" t="s">
        <v>497</v>
      </c>
      <c r="G12" s="61" t="s">
        <v>134</v>
      </c>
      <c r="H12" s="167">
        <v>2</v>
      </c>
      <c r="I12" s="168">
        <v>2</v>
      </c>
      <c r="J12" s="155">
        <f t="shared" si="0"/>
        <v>4</v>
      </c>
    </row>
    <row r="13" spans="1:10" hidden="1" x14ac:dyDescent="0.2">
      <c r="A13" s="312"/>
      <c r="B13" s="313"/>
      <c r="C13" s="280"/>
      <c r="D13" s="317" t="str">
        <f ca="1">OFFSET(Capacidades!$A$1,(ROW()-9)*10-1,11)</f>
        <v xml:space="preserve">       </v>
      </c>
      <c r="E13" s="318"/>
      <c r="F13" s="136"/>
      <c r="G13" s="61"/>
      <c r="H13" s="167"/>
      <c r="I13" s="168"/>
      <c r="J13" s="155">
        <f t="shared" si="0"/>
        <v>0</v>
      </c>
    </row>
    <row r="14" spans="1:10" hidden="1" x14ac:dyDescent="0.2">
      <c r="A14" s="312"/>
      <c r="B14" s="313"/>
      <c r="C14" s="280"/>
      <c r="D14" s="317" t="str">
        <f ca="1">OFFSET(Capacidades!$A$1,(ROW()-9)*10-1,11)</f>
        <v xml:space="preserve">       </v>
      </c>
      <c r="E14" s="318"/>
      <c r="F14" s="136"/>
      <c r="G14" s="61"/>
      <c r="H14" s="167"/>
      <c r="I14" s="168"/>
      <c r="J14" s="155">
        <f t="shared" si="0"/>
        <v>0</v>
      </c>
    </row>
    <row r="15" spans="1:10" hidden="1" x14ac:dyDescent="0.2">
      <c r="A15" s="312"/>
      <c r="B15" s="313"/>
      <c r="C15" s="280"/>
      <c r="D15" s="317" t="str">
        <f ca="1">OFFSET(Capacidades!$A$1,(ROW()-9)*10-1,11)</f>
        <v xml:space="preserve">       </v>
      </c>
      <c r="E15" s="318"/>
      <c r="F15" s="136"/>
      <c r="G15" s="61"/>
      <c r="H15" s="167"/>
      <c r="I15" s="168"/>
      <c r="J15" s="155">
        <f t="shared" si="0"/>
        <v>0</v>
      </c>
    </row>
    <row r="16" spans="1:10" hidden="1" x14ac:dyDescent="0.2">
      <c r="A16" s="312"/>
      <c r="B16" s="313"/>
      <c r="C16" s="280"/>
      <c r="D16" s="317" t="str">
        <f ca="1">OFFSET(Capacidades!$A$1,(ROW()-9)*10-1,11)</f>
        <v xml:space="preserve">       </v>
      </c>
      <c r="E16" s="318"/>
      <c r="F16" s="136"/>
      <c r="G16" s="61"/>
      <c r="H16" s="167"/>
      <c r="I16" s="168"/>
      <c r="J16" s="155">
        <f t="shared" si="0"/>
        <v>0</v>
      </c>
    </row>
    <row r="17" spans="1:10" hidden="1" x14ac:dyDescent="0.2">
      <c r="A17" s="312"/>
      <c r="B17" s="313"/>
      <c r="C17" s="280"/>
      <c r="D17" s="317" t="str">
        <f ca="1">OFFSET(Capacidades!$A$1,(ROW()-9)*10-1,11)</f>
        <v xml:space="preserve">       </v>
      </c>
      <c r="E17" s="318"/>
      <c r="F17" s="136"/>
      <c r="G17" s="61"/>
      <c r="H17" s="167"/>
      <c r="I17" s="168"/>
      <c r="J17" s="155">
        <f t="shared" si="0"/>
        <v>0</v>
      </c>
    </row>
    <row r="18" spans="1:10" hidden="1" x14ac:dyDescent="0.2">
      <c r="A18" s="312"/>
      <c r="B18" s="313"/>
      <c r="C18" s="280"/>
      <c r="D18" s="317" t="str">
        <f ca="1">OFFSET(Capacidades!$A$1,(ROW()-9)*10-1,11)</f>
        <v xml:space="preserve">       </v>
      </c>
      <c r="E18" s="318"/>
      <c r="F18" s="136"/>
      <c r="G18" s="61"/>
      <c r="H18" s="167"/>
      <c r="I18" s="168"/>
      <c r="J18" s="155">
        <f t="shared" si="0"/>
        <v>0</v>
      </c>
    </row>
    <row r="19" spans="1:10" ht="12.75" hidden="1" customHeight="1" x14ac:dyDescent="0.2">
      <c r="A19" s="312"/>
      <c r="B19" s="313"/>
      <c r="C19" s="280"/>
      <c r="D19" s="317" t="str">
        <f ca="1">OFFSET(Capacidades!$A$1,(ROW()-9)*10-1,11)</f>
        <v xml:space="preserve">       </v>
      </c>
      <c r="E19" s="318"/>
      <c r="F19" s="136"/>
      <c r="G19" s="61"/>
      <c r="H19" s="167"/>
      <c r="I19" s="168"/>
      <c r="J19" s="155">
        <f t="shared" si="0"/>
        <v>0</v>
      </c>
    </row>
    <row r="20" spans="1:10" hidden="1" x14ac:dyDescent="0.2">
      <c r="A20" s="312"/>
      <c r="B20" s="313"/>
      <c r="C20" s="280"/>
      <c r="D20" s="317" t="str">
        <f ca="1">OFFSET(Capacidades!$A$1,(ROW()-9)*10-1,11)</f>
        <v xml:space="preserve">       </v>
      </c>
      <c r="E20" s="318"/>
      <c r="F20" s="136"/>
      <c r="G20" s="61"/>
      <c r="H20" s="167"/>
      <c r="I20" s="168"/>
      <c r="J20" s="155">
        <f t="shared" si="0"/>
        <v>0</v>
      </c>
    </row>
    <row r="21" spans="1:10" hidden="1" x14ac:dyDescent="0.2">
      <c r="A21" s="312"/>
      <c r="B21" s="313"/>
      <c r="C21" s="280"/>
      <c r="D21" s="317" t="str">
        <f ca="1">OFFSET(Capacidades!$A$1,(ROW()-9)*10-1,11)</f>
        <v xml:space="preserve">       </v>
      </c>
      <c r="E21" s="318"/>
      <c r="F21" s="136"/>
      <c r="G21" s="61"/>
      <c r="H21" s="167"/>
      <c r="I21" s="168"/>
      <c r="J21" s="155">
        <f t="shared" si="0"/>
        <v>0</v>
      </c>
    </row>
    <row r="22" spans="1:10" hidden="1" x14ac:dyDescent="0.2">
      <c r="A22" s="312"/>
      <c r="B22" s="313"/>
      <c r="C22" s="280"/>
      <c r="D22" s="317" t="str">
        <f ca="1">OFFSET(Capacidades!$A$1,(ROW()-9)*10-1,11)</f>
        <v xml:space="preserve">       </v>
      </c>
      <c r="E22" s="318"/>
      <c r="F22" s="136"/>
      <c r="G22" s="61"/>
      <c r="H22" s="167"/>
      <c r="I22" s="168"/>
      <c r="J22" s="155">
        <f t="shared" si="0"/>
        <v>0</v>
      </c>
    </row>
    <row r="23" spans="1:10" hidden="1" x14ac:dyDescent="0.2">
      <c r="A23" s="312"/>
      <c r="B23" s="313"/>
      <c r="C23" s="280"/>
      <c r="D23" s="317" t="str">
        <f ca="1">OFFSET(Capacidades!$A$1,(ROW()-9)*10-1,11)</f>
        <v xml:space="preserve">       </v>
      </c>
      <c r="E23" s="318"/>
      <c r="F23" s="136"/>
      <c r="G23" s="61"/>
      <c r="H23" s="167"/>
      <c r="I23" s="168"/>
      <c r="J23" s="155">
        <f t="shared" si="0"/>
        <v>0</v>
      </c>
    </row>
    <row r="24" spans="1:10" hidden="1" x14ac:dyDescent="0.2">
      <c r="A24" s="312"/>
      <c r="B24" s="313"/>
      <c r="C24" s="280"/>
      <c r="D24" s="317" t="str">
        <f ca="1">OFFSET(Capacidades!$A$1,(ROW()-9)*10-1,11)</f>
        <v xml:space="preserve">       </v>
      </c>
      <c r="E24" s="318"/>
      <c r="F24" s="136"/>
      <c r="G24" s="61"/>
      <c r="H24" s="167"/>
      <c r="I24" s="168"/>
      <c r="J24" s="155">
        <f t="shared" si="0"/>
        <v>0</v>
      </c>
    </row>
    <row r="25" spans="1:10" hidden="1" x14ac:dyDescent="0.2">
      <c r="A25" s="312"/>
      <c r="B25" s="313"/>
      <c r="C25" s="280"/>
      <c r="D25" s="317" t="str">
        <f ca="1">OFFSET(Capacidades!$A$1,(ROW()-9)*10-1,11)</f>
        <v xml:space="preserve">       </v>
      </c>
      <c r="E25" s="318"/>
      <c r="F25" s="136"/>
      <c r="G25" s="61"/>
      <c r="H25" s="167"/>
      <c r="I25" s="168"/>
      <c r="J25" s="155">
        <f t="shared" si="0"/>
        <v>0</v>
      </c>
    </row>
    <row r="26" spans="1:10" hidden="1" x14ac:dyDescent="0.2">
      <c r="A26" s="312"/>
      <c r="B26" s="313"/>
      <c r="C26" s="280"/>
      <c r="D26" s="317" t="str">
        <f ca="1">OFFSET(Capacidades!$A$1,(ROW()-9)*10-1,11)</f>
        <v xml:space="preserve">       </v>
      </c>
      <c r="E26" s="318"/>
      <c r="F26" s="136"/>
      <c r="G26" s="61"/>
      <c r="H26" s="167"/>
      <c r="I26" s="168"/>
      <c r="J26" s="155">
        <f t="shared" si="0"/>
        <v>0</v>
      </c>
    </row>
    <row r="27" spans="1:10" hidden="1" x14ac:dyDescent="0.2">
      <c r="A27" s="312"/>
      <c r="B27" s="313"/>
      <c r="C27" s="280"/>
      <c r="D27" s="317" t="str">
        <f ca="1">OFFSET(Capacidades!$A$1,(ROW()-9)*10-1,11)</f>
        <v xml:space="preserve">       </v>
      </c>
      <c r="E27" s="318"/>
      <c r="F27" s="136"/>
      <c r="G27" s="61"/>
      <c r="H27" s="167"/>
      <c r="I27" s="168"/>
      <c r="J27" s="155">
        <f t="shared" si="0"/>
        <v>0</v>
      </c>
    </row>
    <row r="28" spans="1:10" hidden="1" x14ac:dyDescent="0.2">
      <c r="A28" s="312"/>
      <c r="B28" s="313"/>
      <c r="C28" s="280"/>
      <c r="D28" s="317" t="str">
        <f ca="1">OFFSET(Capacidades!$A$1,(ROW()-9)*10-1,11)</f>
        <v xml:space="preserve">       </v>
      </c>
      <c r="E28" s="318"/>
      <c r="F28" s="136"/>
      <c r="G28" s="61"/>
      <c r="H28" s="167"/>
      <c r="I28" s="168"/>
      <c r="J28" s="155">
        <f t="shared" si="0"/>
        <v>0</v>
      </c>
    </row>
    <row r="29" spans="1:10" ht="24.75" hidden="1" customHeight="1" x14ac:dyDescent="0.2">
      <c r="A29" s="312"/>
      <c r="B29" s="313"/>
      <c r="C29" s="280"/>
      <c r="D29" s="317" t="str">
        <f ca="1">OFFSET(Capacidades!$A$1,(ROW()-9)*10-1,11)</f>
        <v xml:space="preserve">       </v>
      </c>
      <c r="E29" s="318"/>
      <c r="F29" s="136"/>
      <c r="G29" s="61"/>
      <c r="H29" s="167"/>
      <c r="I29" s="168"/>
      <c r="J29" s="155">
        <f t="shared" si="0"/>
        <v>0</v>
      </c>
    </row>
    <row r="30" spans="1:10" ht="74.25" customHeight="1" x14ac:dyDescent="0.2">
      <c r="A30" s="312"/>
      <c r="B30" s="314" t="s">
        <v>12</v>
      </c>
      <c r="C30" s="280" t="s">
        <v>247</v>
      </c>
      <c r="D30" s="317" t="str">
        <f ca="1">OFFSET(Capacidades!$A$1,(ROW()-9)*10-1,11)</f>
        <v xml:space="preserve">CE1 C1 Comunicar conceptos, ideas, opiniones, sentimientos y hechos  en forma oral en situaciones relacionadas a su entorno personal y profesional.    </v>
      </c>
      <c r="E30" s="318"/>
      <c r="F30" s="62" t="s">
        <v>351</v>
      </c>
      <c r="G30" s="61" t="s">
        <v>134</v>
      </c>
      <c r="H30" s="167">
        <v>1</v>
      </c>
      <c r="I30" s="168">
        <v>1</v>
      </c>
      <c r="J30" s="155">
        <f t="shared" si="0"/>
        <v>2</v>
      </c>
    </row>
    <row r="31" spans="1:10" ht="76.5" customHeight="1" x14ac:dyDescent="0.2">
      <c r="A31" s="312"/>
      <c r="B31" s="314"/>
      <c r="C31" s="280"/>
      <c r="D31" s="317" t="str">
        <f ca="1">OFFSET(Capacidades!$A$1,(ROW()-9)*10-1,11)</f>
        <v xml:space="preserve">CE1 C2 Comunicar conceptos, ideas, opiniones, sentimientos y hechos en forma escrita en situaciones relacionadas a su entorno social, educativo y laboral.    </v>
      </c>
      <c r="E31" s="318"/>
      <c r="F31" s="62" t="s">
        <v>352</v>
      </c>
      <c r="G31" s="61" t="s">
        <v>134</v>
      </c>
      <c r="H31" s="167">
        <v>0</v>
      </c>
      <c r="I31" s="168">
        <v>1</v>
      </c>
      <c r="J31" s="155">
        <f t="shared" si="0"/>
        <v>1</v>
      </c>
    </row>
    <row r="32" spans="1:10" ht="12.75" hidden="1" customHeight="1" x14ac:dyDescent="0.2">
      <c r="A32" s="312"/>
      <c r="B32" s="314"/>
      <c r="C32" s="280"/>
      <c r="D32" s="317" t="str">
        <f ca="1">OFFSET(Capacidades!$A$1,(ROW()-9)*10-1,11)</f>
        <v xml:space="preserve">       </v>
      </c>
      <c r="E32" s="318"/>
      <c r="F32" s="62"/>
      <c r="G32" s="61"/>
      <c r="H32" s="167"/>
      <c r="I32" s="168"/>
      <c r="J32" s="155">
        <f t="shared" si="0"/>
        <v>0</v>
      </c>
    </row>
    <row r="33" spans="1:10" ht="12.75" hidden="1" customHeight="1" x14ac:dyDescent="0.2">
      <c r="A33" s="312"/>
      <c r="B33" s="314"/>
      <c r="C33" s="280"/>
      <c r="D33" s="317" t="str">
        <f ca="1">OFFSET(Capacidades!$A$1,(ROW()-9)*10-1,11)</f>
        <v xml:space="preserve">       </v>
      </c>
      <c r="E33" s="318"/>
      <c r="F33" s="62"/>
      <c r="G33" s="61"/>
      <c r="H33" s="167"/>
      <c r="I33" s="168"/>
      <c r="J33" s="155">
        <f t="shared" si="0"/>
        <v>0</v>
      </c>
    </row>
    <row r="34" spans="1:10" ht="12.75" hidden="1" customHeight="1" x14ac:dyDescent="0.2">
      <c r="A34" s="312"/>
      <c r="B34" s="314"/>
      <c r="C34" s="280"/>
      <c r="D34" s="317" t="str">
        <f ca="1">OFFSET(Capacidades!$A$1,(ROW()-9)*10-1,11)</f>
        <v xml:space="preserve">       </v>
      </c>
      <c r="E34" s="318"/>
      <c r="F34" s="62"/>
      <c r="G34" s="61"/>
      <c r="H34" s="167"/>
      <c r="I34" s="168"/>
      <c r="J34" s="155">
        <f t="shared" si="0"/>
        <v>0</v>
      </c>
    </row>
    <row r="35" spans="1:10" ht="12.75" hidden="1" customHeight="1" x14ac:dyDescent="0.2">
      <c r="A35" s="312"/>
      <c r="B35" s="314"/>
      <c r="C35" s="280"/>
      <c r="D35" s="317" t="str">
        <f ca="1">OFFSET(Capacidades!$A$1,(ROW()-9)*10-1,11)</f>
        <v xml:space="preserve">       </v>
      </c>
      <c r="E35" s="318"/>
      <c r="F35" s="62"/>
      <c r="G35" s="61"/>
      <c r="H35" s="167"/>
      <c r="I35" s="168"/>
      <c r="J35" s="155">
        <f t="shared" si="0"/>
        <v>0</v>
      </c>
    </row>
    <row r="36" spans="1:10" ht="12.75" hidden="1" customHeight="1" x14ac:dyDescent="0.2">
      <c r="A36" s="312"/>
      <c r="B36" s="314"/>
      <c r="C36" s="280"/>
      <c r="D36" s="317" t="str">
        <f ca="1">OFFSET(Capacidades!$A$1,(ROW()-9)*10-1,11)</f>
        <v xml:space="preserve">       </v>
      </c>
      <c r="E36" s="318"/>
      <c r="F36" s="62"/>
      <c r="G36" s="61"/>
      <c r="H36" s="167"/>
      <c r="I36" s="168"/>
      <c r="J36" s="155">
        <f t="shared" si="0"/>
        <v>0</v>
      </c>
    </row>
    <row r="37" spans="1:10" ht="12.75" hidden="1" customHeight="1" x14ac:dyDescent="0.2">
      <c r="A37" s="312"/>
      <c r="B37" s="314"/>
      <c r="C37" s="280"/>
      <c r="D37" s="317" t="str">
        <f ca="1">OFFSET(Capacidades!$A$1,(ROW()-9)*10-1,11)</f>
        <v xml:space="preserve">       </v>
      </c>
      <c r="E37" s="318"/>
      <c r="F37" s="62"/>
      <c r="G37" s="61"/>
      <c r="H37" s="167"/>
      <c r="I37" s="168"/>
      <c r="J37" s="155">
        <f t="shared" si="0"/>
        <v>0</v>
      </c>
    </row>
    <row r="38" spans="1:10" ht="12.75" hidden="1" customHeight="1" x14ac:dyDescent="0.2">
      <c r="A38" s="312"/>
      <c r="B38" s="314"/>
      <c r="C38" s="280"/>
      <c r="D38" s="317" t="str">
        <f ca="1">OFFSET(Capacidades!$A$1,(ROW()-9)*10-1,11)</f>
        <v xml:space="preserve">       </v>
      </c>
      <c r="E38" s="318"/>
      <c r="F38" s="62"/>
      <c r="G38" s="61"/>
      <c r="H38" s="167"/>
      <c r="I38" s="168"/>
      <c r="J38" s="155">
        <f t="shared" si="0"/>
        <v>0</v>
      </c>
    </row>
    <row r="39" spans="1:10" ht="12.75" hidden="1" customHeight="1" x14ac:dyDescent="0.2">
      <c r="A39" s="312"/>
      <c r="B39" s="314"/>
      <c r="C39" s="280"/>
      <c r="D39" s="317" t="str">
        <f ca="1">OFFSET(Capacidades!$A$1,(ROW()-9)*10-1,11)</f>
        <v xml:space="preserve">       </v>
      </c>
      <c r="E39" s="318"/>
      <c r="F39" s="62"/>
      <c r="G39" s="61"/>
      <c r="H39" s="167"/>
      <c r="I39" s="168"/>
      <c r="J39" s="155">
        <f t="shared" si="0"/>
        <v>0</v>
      </c>
    </row>
    <row r="40" spans="1:10" ht="34.5" customHeight="1" x14ac:dyDescent="0.2">
      <c r="A40" s="312"/>
      <c r="B40" s="319" t="s">
        <v>176</v>
      </c>
      <c r="C40" s="320"/>
      <c r="D40" s="320"/>
      <c r="E40" s="320"/>
      <c r="F40" s="180"/>
      <c r="G40" s="181"/>
      <c r="H40" s="167">
        <v>0</v>
      </c>
      <c r="I40" s="168">
        <v>3</v>
      </c>
      <c r="J40" s="155">
        <f t="shared" si="0"/>
        <v>3</v>
      </c>
    </row>
    <row r="41" spans="1:10" ht="69.75" customHeight="1" x14ac:dyDescent="0.2">
      <c r="A41" s="312" t="s">
        <v>628</v>
      </c>
      <c r="B41" s="313" t="str">
        <f>$B$10</f>
        <v>Competencias técnicas (Unidad de competencia)</v>
      </c>
      <c r="C41" s="280" t="s">
        <v>244</v>
      </c>
      <c r="D41" s="279" t="str">
        <f ca="1">OFFSET(Capacidades!$A$302,(ROW()-40)*10-1,11)</f>
        <v xml:space="preserve">UC2 C1 Realizar  el seguimiento de la infraestructua de TI de acuerdo a las buenas prácticas y normativa vigente.    </v>
      </c>
      <c r="E41" s="279"/>
      <c r="F41" s="136" t="s">
        <v>498</v>
      </c>
      <c r="G41" s="61" t="s">
        <v>135</v>
      </c>
      <c r="H41" s="167">
        <v>2</v>
      </c>
      <c r="I41" s="168">
        <v>2</v>
      </c>
      <c r="J41" s="155">
        <f t="shared" si="0"/>
        <v>4</v>
      </c>
    </row>
    <row r="42" spans="1:10" ht="63.75" customHeight="1" x14ac:dyDescent="0.2">
      <c r="A42" s="312"/>
      <c r="B42" s="313"/>
      <c r="C42" s="280"/>
      <c r="D42" s="279" t="str">
        <f ca="1">OFFSET(Capacidades!$A$302,(ROW()-40)*10-1,11)</f>
        <v xml:space="preserve">UC2 C2 Realizar  el mantenimiento preventivo de la infraestructura de plataformas y servicios de TI teniendo en cuenta las especificaciones técnicas y políticas del servicio.    </v>
      </c>
      <c r="E42" s="279"/>
      <c r="F42" s="136" t="s">
        <v>499</v>
      </c>
      <c r="G42" s="61" t="s">
        <v>135</v>
      </c>
      <c r="H42" s="167">
        <v>2</v>
      </c>
      <c r="I42" s="168">
        <v>2</v>
      </c>
      <c r="J42" s="155">
        <f t="shared" si="0"/>
        <v>4</v>
      </c>
    </row>
    <row r="43" spans="1:10" ht="61.5" customHeight="1" x14ac:dyDescent="0.2">
      <c r="A43" s="312"/>
      <c r="B43" s="313"/>
      <c r="C43" s="280"/>
      <c r="D43" s="279" t="str">
        <f ca="1">OFFSET(Capacidades!$A$302,(ROW()-40)*10-1,11)</f>
        <v xml:space="preserve">UC2 C3 Realizar  el mantenimiento correctivo de la infraestructura de plataformas y servicios de TI teniendo en cuenta las especificaciones técnicas y políticas del servicio.    </v>
      </c>
      <c r="E43" s="279"/>
      <c r="F43" s="136" t="s">
        <v>500</v>
      </c>
      <c r="G43" s="61" t="s">
        <v>135</v>
      </c>
      <c r="H43" s="167">
        <v>2</v>
      </c>
      <c r="I43" s="168">
        <v>2</v>
      </c>
      <c r="J43" s="155">
        <f t="shared" si="0"/>
        <v>4</v>
      </c>
    </row>
    <row r="44" spans="1:10" ht="48" customHeight="1" x14ac:dyDescent="0.2">
      <c r="A44" s="312"/>
      <c r="B44" s="313"/>
      <c r="C44" s="280"/>
      <c r="D44" s="279" t="str">
        <f ca="1">OFFSET(Capacidades!$A$302,(ROW()-40)*10-1,11)</f>
        <v xml:space="preserve">UC2 C4 Reportar  incidencias y/o acciones  relacionadas a la infraestructura de sistemas de información     </v>
      </c>
      <c r="E44" s="279"/>
      <c r="F44" s="136" t="s">
        <v>636</v>
      </c>
      <c r="G44" s="61" t="s">
        <v>135</v>
      </c>
      <c r="H44" s="167">
        <v>1</v>
      </c>
      <c r="I44" s="168">
        <v>1</v>
      </c>
      <c r="J44" s="155">
        <f t="shared" si="0"/>
        <v>2</v>
      </c>
    </row>
    <row r="45" spans="1:10" ht="31.5" hidden="1" customHeight="1" x14ac:dyDescent="0.2">
      <c r="A45" s="312"/>
      <c r="B45" s="313"/>
      <c r="C45" s="280"/>
      <c r="D45" s="279" t="str">
        <f ca="1">OFFSET(Capacidades!$A$302,(ROW()-40)*10-1,11)</f>
        <v xml:space="preserve">       </v>
      </c>
      <c r="E45" s="279"/>
      <c r="F45" s="136"/>
      <c r="G45" s="61"/>
      <c r="H45" s="167"/>
      <c r="I45" s="168"/>
      <c r="J45" s="155">
        <f t="shared" si="0"/>
        <v>0</v>
      </c>
    </row>
    <row r="46" spans="1:10" ht="29.25" hidden="1" customHeight="1" x14ac:dyDescent="0.2">
      <c r="A46" s="312"/>
      <c r="B46" s="313"/>
      <c r="C46" s="280"/>
      <c r="D46" s="279" t="str">
        <f ca="1">OFFSET(Capacidades!$A$302,(ROW()-40)*10-1,11)</f>
        <v xml:space="preserve">       </v>
      </c>
      <c r="E46" s="279"/>
      <c r="F46" s="136"/>
      <c r="G46" s="61"/>
      <c r="H46" s="167"/>
      <c r="I46" s="168"/>
      <c r="J46" s="155">
        <f t="shared" si="0"/>
        <v>0</v>
      </c>
    </row>
    <row r="47" spans="1:10" ht="32.25" hidden="1" customHeight="1" x14ac:dyDescent="0.2">
      <c r="A47" s="312"/>
      <c r="B47" s="313"/>
      <c r="C47" s="280"/>
      <c r="D47" s="279" t="str">
        <f ca="1">OFFSET(Capacidades!$A$302,(ROW()-40)*10-1,11)</f>
        <v xml:space="preserve">       </v>
      </c>
      <c r="E47" s="279"/>
      <c r="F47" s="136"/>
      <c r="G47" s="61"/>
      <c r="H47" s="167"/>
      <c r="I47" s="168"/>
      <c r="J47" s="155">
        <f t="shared" si="0"/>
        <v>0</v>
      </c>
    </row>
    <row r="48" spans="1:10" ht="38.25" hidden="1" customHeight="1" x14ac:dyDescent="0.2">
      <c r="A48" s="312"/>
      <c r="B48" s="313"/>
      <c r="C48" s="280"/>
      <c r="D48" s="279" t="str">
        <f ca="1">OFFSET(Capacidades!$A$302,(ROW()-40)*10-1,11)</f>
        <v xml:space="preserve">       </v>
      </c>
      <c r="E48" s="279"/>
      <c r="F48" s="136"/>
      <c r="G48" s="61"/>
      <c r="H48" s="167"/>
      <c r="I48" s="168"/>
      <c r="J48" s="155">
        <f t="shared" si="0"/>
        <v>0</v>
      </c>
    </row>
    <row r="49" spans="1:10" ht="40.5" hidden="1" customHeight="1" x14ac:dyDescent="0.2">
      <c r="A49" s="312"/>
      <c r="B49" s="313"/>
      <c r="C49" s="280"/>
      <c r="D49" s="279" t="str">
        <f ca="1">OFFSET(Capacidades!$A$302,(ROW()-40)*10-1,11)</f>
        <v xml:space="preserve">       </v>
      </c>
      <c r="E49" s="279"/>
      <c r="F49" s="136"/>
      <c r="G49" s="61"/>
      <c r="H49" s="167"/>
      <c r="I49" s="168"/>
      <c r="J49" s="155">
        <f t="shared" si="0"/>
        <v>0</v>
      </c>
    </row>
    <row r="50" spans="1:10" ht="29.25" hidden="1" customHeight="1" x14ac:dyDescent="0.2">
      <c r="A50" s="312"/>
      <c r="B50" s="313"/>
      <c r="C50" s="280"/>
      <c r="D50" s="279" t="str">
        <f ca="1">OFFSET(Capacidades!$A$302,(ROW()-40)*10-1,11)</f>
        <v xml:space="preserve">       </v>
      </c>
      <c r="E50" s="279"/>
      <c r="F50" s="136"/>
      <c r="G50" s="61"/>
      <c r="H50" s="167"/>
      <c r="I50" s="168"/>
      <c r="J50" s="155">
        <f t="shared" si="0"/>
        <v>0</v>
      </c>
    </row>
    <row r="51" spans="1:10" ht="33.75" hidden="1" customHeight="1" x14ac:dyDescent="0.2">
      <c r="A51" s="312"/>
      <c r="B51" s="313"/>
      <c r="C51" s="280"/>
      <c r="D51" s="279" t="str">
        <f ca="1">OFFSET(Capacidades!$A$302,(ROW()-40)*10-1,11)</f>
        <v xml:space="preserve">       </v>
      </c>
      <c r="E51" s="279"/>
      <c r="F51" s="136"/>
      <c r="G51" s="61"/>
      <c r="H51" s="167"/>
      <c r="I51" s="168"/>
      <c r="J51" s="155">
        <f t="shared" si="0"/>
        <v>0</v>
      </c>
    </row>
    <row r="52" spans="1:10" ht="25.5" hidden="1" customHeight="1" x14ac:dyDescent="0.2">
      <c r="A52" s="312"/>
      <c r="B52" s="313"/>
      <c r="C52" s="280"/>
      <c r="D52" s="279" t="str">
        <f ca="1">OFFSET(Capacidades!$A$302,(ROW()-40)*10-1,11)</f>
        <v xml:space="preserve">       </v>
      </c>
      <c r="E52" s="279"/>
      <c r="F52" s="136"/>
      <c r="G52" s="61"/>
      <c r="H52" s="167"/>
      <c r="I52" s="168"/>
      <c r="J52" s="155">
        <f t="shared" si="0"/>
        <v>0</v>
      </c>
    </row>
    <row r="53" spans="1:10" ht="33" hidden="1" customHeight="1" x14ac:dyDescent="0.2">
      <c r="A53" s="312"/>
      <c r="B53" s="313"/>
      <c r="C53" s="280"/>
      <c r="D53" s="279" t="str">
        <f ca="1">OFFSET(Capacidades!$A$302,(ROW()-40)*10-1,11)</f>
        <v xml:space="preserve">       </v>
      </c>
      <c r="E53" s="279"/>
      <c r="F53" s="136"/>
      <c r="G53" s="61"/>
      <c r="H53" s="167"/>
      <c r="I53" s="168"/>
      <c r="J53" s="155">
        <f t="shared" si="0"/>
        <v>0</v>
      </c>
    </row>
    <row r="54" spans="1:10" ht="25.5" hidden="1" customHeight="1" x14ac:dyDescent="0.2">
      <c r="A54" s="312"/>
      <c r="B54" s="313"/>
      <c r="C54" s="280"/>
      <c r="D54" s="279" t="str">
        <f ca="1">OFFSET(Capacidades!$A$302,(ROW()-40)*10-1,11)</f>
        <v xml:space="preserve">       </v>
      </c>
      <c r="E54" s="279"/>
      <c r="F54" s="136"/>
      <c r="G54" s="61"/>
      <c r="H54" s="167"/>
      <c r="I54" s="168"/>
      <c r="J54" s="155">
        <f t="shared" si="0"/>
        <v>0</v>
      </c>
    </row>
    <row r="55" spans="1:10" ht="19.5" hidden="1" customHeight="1" x14ac:dyDescent="0.2">
      <c r="A55" s="312"/>
      <c r="B55" s="313"/>
      <c r="C55" s="280"/>
      <c r="D55" s="279" t="str">
        <f ca="1">OFFSET(Capacidades!$A$302,(ROW()-40)*10-1,11)</f>
        <v xml:space="preserve">       </v>
      </c>
      <c r="E55" s="279"/>
      <c r="F55" s="136"/>
      <c r="G55" s="61"/>
      <c r="H55" s="167"/>
      <c r="I55" s="168"/>
      <c r="J55" s="155">
        <f t="shared" si="0"/>
        <v>0</v>
      </c>
    </row>
    <row r="56" spans="1:10" ht="21.75" hidden="1" customHeight="1" x14ac:dyDescent="0.2">
      <c r="A56" s="312"/>
      <c r="B56" s="313"/>
      <c r="C56" s="280"/>
      <c r="D56" s="279" t="str">
        <f ca="1">OFFSET(Capacidades!$A$302,(ROW()-40)*10-1,11)</f>
        <v xml:space="preserve">       </v>
      </c>
      <c r="E56" s="279"/>
      <c r="F56" s="136"/>
      <c r="G56" s="61"/>
      <c r="H56" s="167"/>
      <c r="I56" s="168"/>
      <c r="J56" s="155">
        <f t="shared" si="0"/>
        <v>0</v>
      </c>
    </row>
    <row r="57" spans="1:10" ht="27.75" hidden="1" customHeight="1" x14ac:dyDescent="0.2">
      <c r="A57" s="312"/>
      <c r="B57" s="313"/>
      <c r="C57" s="280"/>
      <c r="D57" s="279" t="str">
        <f ca="1">OFFSET(Capacidades!$A$302,(ROW()-40)*10-1,11)</f>
        <v xml:space="preserve">       </v>
      </c>
      <c r="E57" s="279"/>
      <c r="F57" s="136"/>
      <c r="G57" s="61"/>
      <c r="H57" s="167"/>
      <c r="I57" s="168"/>
      <c r="J57" s="155">
        <f t="shared" si="0"/>
        <v>0</v>
      </c>
    </row>
    <row r="58" spans="1:10" ht="27.75" hidden="1" customHeight="1" x14ac:dyDescent="0.2">
      <c r="A58" s="312"/>
      <c r="B58" s="313"/>
      <c r="C58" s="280"/>
      <c r="D58" s="279" t="str">
        <f ca="1">OFFSET(Capacidades!$A$302,(ROW()-40)*10-1,11)</f>
        <v xml:space="preserve">       </v>
      </c>
      <c r="E58" s="279"/>
      <c r="F58" s="136"/>
      <c r="G58" s="61"/>
      <c r="H58" s="167"/>
      <c r="I58" s="168"/>
      <c r="J58" s="155">
        <f t="shared" si="0"/>
        <v>0</v>
      </c>
    </row>
    <row r="59" spans="1:10" ht="24" hidden="1" customHeight="1" x14ac:dyDescent="0.2">
      <c r="A59" s="312"/>
      <c r="B59" s="313"/>
      <c r="C59" s="280"/>
      <c r="D59" s="279" t="str">
        <f ca="1">OFFSET(Capacidades!$A$302,(ROW()-40)*10-1,11)</f>
        <v xml:space="preserve">       </v>
      </c>
      <c r="E59" s="279"/>
      <c r="F59" s="136"/>
      <c r="G59" s="61"/>
      <c r="H59" s="167"/>
      <c r="I59" s="168"/>
      <c r="J59" s="155">
        <f t="shared" si="0"/>
        <v>0</v>
      </c>
    </row>
    <row r="60" spans="1:10" ht="39.75" hidden="1" customHeight="1" x14ac:dyDescent="0.2">
      <c r="A60" s="312"/>
      <c r="B60" s="313"/>
      <c r="C60" s="280"/>
      <c r="D60" s="279" t="str">
        <f ca="1">OFFSET(Capacidades!$A$302,(ROW()-40)*10-1,11)</f>
        <v xml:space="preserve">       </v>
      </c>
      <c r="E60" s="279"/>
      <c r="F60" s="136"/>
      <c r="G60" s="61"/>
      <c r="H60" s="167"/>
      <c r="I60" s="168"/>
      <c r="J60" s="155">
        <f t="shared" si="0"/>
        <v>0</v>
      </c>
    </row>
    <row r="61" spans="1:10" ht="62.25" customHeight="1" x14ac:dyDescent="0.2">
      <c r="A61" s="312"/>
      <c r="B61" s="314" t="str">
        <f>$B$30</f>
        <v>Competencias para la empleabilidad</v>
      </c>
      <c r="C61" s="280" t="s">
        <v>372</v>
      </c>
      <c r="D61" s="279" t="str">
        <f ca="1">OFFSET(Capacidades!$A$302,(ROW()-40)*10-1,11)</f>
        <v xml:space="preserve">CE5 C1 Identificar situaciones o problemas del proceso productivo o de servicios  considerando los objetivos del  área de desempeño.    </v>
      </c>
      <c r="E61" s="279"/>
      <c r="F61" s="62" t="s">
        <v>353</v>
      </c>
      <c r="G61" s="61" t="s">
        <v>135</v>
      </c>
      <c r="H61" s="167">
        <v>0</v>
      </c>
      <c r="I61" s="168">
        <v>1</v>
      </c>
      <c r="J61" s="155">
        <f t="shared" si="0"/>
        <v>1</v>
      </c>
    </row>
    <row r="62" spans="1:10" ht="69.95" customHeight="1" x14ac:dyDescent="0.2">
      <c r="A62" s="312"/>
      <c r="B62" s="314"/>
      <c r="C62" s="280"/>
      <c r="D62" s="279" t="str">
        <f ca="1">OFFSET(Capacidades!$A$302,(ROW()-40)*10-1,11)</f>
        <v xml:space="preserve">CE5 C2 Plantear alternativas de soluciones a situaciones o problemas del proceso productivo o de servicios,  considerando los objetivos del 
 área de desempeño.    </v>
      </c>
      <c r="E62" s="279"/>
      <c r="F62" s="62" t="s">
        <v>389</v>
      </c>
      <c r="G62" s="61" t="s">
        <v>135</v>
      </c>
      <c r="H62" s="167">
        <v>0</v>
      </c>
      <c r="I62" s="168">
        <v>1</v>
      </c>
      <c r="J62" s="155">
        <f t="shared" si="0"/>
        <v>1</v>
      </c>
    </row>
    <row r="63" spans="1:10" ht="35.1" hidden="1" customHeight="1" x14ac:dyDescent="0.2">
      <c r="A63" s="312"/>
      <c r="B63" s="314"/>
      <c r="C63" s="280"/>
      <c r="D63" s="279" t="str">
        <f ca="1">OFFSET(Capacidades!$A$302,(ROW()-40)*10-1,11)</f>
        <v xml:space="preserve">       </v>
      </c>
      <c r="E63" s="279"/>
      <c r="F63" s="62"/>
      <c r="G63" s="61"/>
      <c r="H63" s="167"/>
      <c r="I63" s="168"/>
      <c r="J63" s="155">
        <f t="shared" si="0"/>
        <v>0</v>
      </c>
    </row>
    <row r="64" spans="1:10" ht="90.95" hidden="1" customHeight="1" x14ac:dyDescent="0.2">
      <c r="A64" s="312"/>
      <c r="B64" s="314"/>
      <c r="C64" s="280"/>
      <c r="D64" s="279" t="str">
        <f ca="1">OFFSET(Capacidades!$A$302,(ROW()-40)*10-1,11)</f>
        <v xml:space="preserve">       </v>
      </c>
      <c r="E64" s="279"/>
      <c r="F64" s="62"/>
      <c r="G64" s="61"/>
      <c r="H64" s="167"/>
      <c r="I64" s="168"/>
      <c r="J64" s="155">
        <f t="shared" si="0"/>
        <v>0</v>
      </c>
    </row>
    <row r="65" spans="1:10" ht="12.75" hidden="1" customHeight="1" x14ac:dyDescent="0.2">
      <c r="A65" s="312"/>
      <c r="B65" s="314"/>
      <c r="C65" s="280"/>
      <c r="D65" s="279" t="str">
        <f ca="1">OFFSET(Capacidades!$A$302,(ROW()-40)*10-1,11)</f>
        <v xml:space="preserve">       </v>
      </c>
      <c r="E65" s="279"/>
      <c r="F65" s="62"/>
      <c r="G65" s="61"/>
      <c r="H65" s="167"/>
      <c r="I65" s="168"/>
      <c r="J65" s="155">
        <f t="shared" si="0"/>
        <v>0</v>
      </c>
    </row>
    <row r="66" spans="1:10" ht="12.75" hidden="1" customHeight="1" x14ac:dyDescent="0.2">
      <c r="A66" s="312"/>
      <c r="B66" s="314"/>
      <c r="C66" s="280"/>
      <c r="D66" s="279" t="str">
        <f ca="1">OFFSET(Capacidades!$A$302,(ROW()-40)*10-1,11)</f>
        <v xml:space="preserve">       </v>
      </c>
      <c r="E66" s="279"/>
      <c r="F66" s="62"/>
      <c r="G66" s="61"/>
      <c r="H66" s="167"/>
      <c r="I66" s="168"/>
      <c r="J66" s="155">
        <f t="shared" si="0"/>
        <v>0</v>
      </c>
    </row>
    <row r="67" spans="1:10" ht="12.75" hidden="1" customHeight="1" x14ac:dyDescent="0.2">
      <c r="A67" s="312"/>
      <c r="B67" s="314"/>
      <c r="C67" s="280"/>
      <c r="D67" s="279" t="str">
        <f ca="1">OFFSET(Capacidades!$A$302,(ROW()-40)*10-1,11)</f>
        <v xml:space="preserve">       </v>
      </c>
      <c r="E67" s="279"/>
      <c r="F67" s="62"/>
      <c r="G67" s="61"/>
      <c r="H67" s="167"/>
      <c r="I67" s="168"/>
      <c r="J67" s="155">
        <f t="shared" si="0"/>
        <v>0</v>
      </c>
    </row>
    <row r="68" spans="1:10" ht="12.75" hidden="1" customHeight="1" x14ac:dyDescent="0.2">
      <c r="A68" s="312"/>
      <c r="B68" s="314"/>
      <c r="C68" s="280"/>
      <c r="D68" s="279" t="str">
        <f ca="1">OFFSET(Capacidades!$A$302,(ROW()-40)*10-1,11)</f>
        <v xml:space="preserve">       </v>
      </c>
      <c r="E68" s="279"/>
      <c r="F68" s="62"/>
      <c r="G68" s="61"/>
      <c r="H68" s="167"/>
      <c r="I68" s="168"/>
      <c r="J68" s="155">
        <f t="shared" si="0"/>
        <v>0</v>
      </c>
    </row>
    <row r="69" spans="1:10" ht="12.75" hidden="1" customHeight="1" x14ac:dyDescent="0.2">
      <c r="A69" s="312"/>
      <c r="B69" s="314"/>
      <c r="C69" s="280"/>
      <c r="D69" s="279" t="str">
        <f ca="1">OFFSET(Capacidades!$A$302,(ROW()-40)*10-1,11)</f>
        <v xml:space="preserve">       </v>
      </c>
      <c r="E69" s="279"/>
      <c r="F69" s="62"/>
      <c r="G69" s="61"/>
      <c r="H69" s="167"/>
      <c r="I69" s="168"/>
      <c r="J69" s="155">
        <f t="shared" si="0"/>
        <v>0</v>
      </c>
    </row>
    <row r="70" spans="1:10" ht="54" hidden="1" customHeight="1" x14ac:dyDescent="0.2">
      <c r="A70" s="312"/>
      <c r="B70" s="314"/>
      <c r="C70" s="280"/>
      <c r="D70" s="279" t="str">
        <f ca="1">OFFSET(Capacidades!$A$302,(ROW()-40)*10-1,11)</f>
        <v xml:space="preserve">       </v>
      </c>
      <c r="E70" s="279"/>
      <c r="F70" s="62"/>
      <c r="G70" s="61"/>
      <c r="H70" s="167"/>
      <c r="I70" s="168"/>
      <c r="J70" s="155">
        <f t="shared" si="0"/>
        <v>0</v>
      </c>
    </row>
    <row r="71" spans="1:10" ht="21" customHeight="1" x14ac:dyDescent="0.2">
      <c r="A71" s="312"/>
      <c r="B71" s="319" t="str">
        <f>$B$40</f>
        <v>Experiencias formativas en situaciones reales de trabajo (ESRT)</v>
      </c>
      <c r="C71" s="320"/>
      <c r="D71" s="320"/>
      <c r="E71" s="320"/>
      <c r="F71" s="180"/>
      <c r="G71" s="181"/>
      <c r="H71" s="167">
        <v>0</v>
      </c>
      <c r="I71" s="168">
        <v>4</v>
      </c>
      <c r="J71" s="155">
        <f t="shared" si="0"/>
        <v>4</v>
      </c>
    </row>
    <row r="72" spans="1:10" ht="44.45" customHeight="1" x14ac:dyDescent="0.2">
      <c r="A72" s="312" t="s">
        <v>629</v>
      </c>
      <c r="B72" s="313" t="str">
        <f>$B$10</f>
        <v>Competencias técnicas (Unidad de competencia)</v>
      </c>
      <c r="C72" s="280" t="s">
        <v>407</v>
      </c>
      <c r="D72" s="279" t="str">
        <f ca="1">OFFSET(Capacidades!$A$603,(ROW()-71)*10-1,11)</f>
        <v xml:space="preserve">UC3 C1 Desarrollar  las pruebas unitarias  de acuerdo a la funcionalidad del software y aplicando buenas prácticas de TI     </v>
      </c>
      <c r="E72" s="279"/>
      <c r="F72" s="136" t="s">
        <v>501</v>
      </c>
      <c r="G72" s="61" t="s">
        <v>136</v>
      </c>
      <c r="H72" s="167">
        <v>2</v>
      </c>
      <c r="I72" s="168">
        <v>3</v>
      </c>
      <c r="J72" s="155">
        <f t="shared" si="0"/>
        <v>5</v>
      </c>
    </row>
    <row r="73" spans="1:10" ht="36.75" customHeight="1" x14ac:dyDescent="0.2">
      <c r="A73" s="312"/>
      <c r="B73" s="313"/>
      <c r="C73" s="280"/>
      <c r="D73" s="279" t="str">
        <f ca="1">OFFSET(Capacidades!$A$603,(ROW()-71)*10-1,11)</f>
        <v xml:space="preserve">UC3 C2 Implementar sistemas de información o servicios TI, de acuerdo a los requerimientos y aplicando buenas prácticas de TI.    </v>
      </c>
      <c r="E73" s="279"/>
      <c r="F73" s="136" t="s">
        <v>502</v>
      </c>
      <c r="G73" s="61" t="s">
        <v>136</v>
      </c>
      <c r="H73" s="235">
        <v>2</v>
      </c>
      <c r="I73" s="236">
        <v>2</v>
      </c>
      <c r="J73" s="155">
        <f t="shared" si="0"/>
        <v>4</v>
      </c>
    </row>
    <row r="74" spans="1:10" ht="51.75" customHeight="1" x14ac:dyDescent="0.2">
      <c r="A74" s="312"/>
      <c r="B74" s="313"/>
      <c r="C74" s="280"/>
      <c r="D74" s="279" t="str">
        <f ca="1">OFFSET(Capacidades!$A$603,(ROW()-71)*10-1,11)</f>
        <v xml:space="preserve">UC3 C3 Implementar acciones correctivas ante un mal funcionamiento del sistema de información o servicios de TI,  de acuerdo con el diseño funcional del sistema o servicio de TI y buenas prácticas de TI.    </v>
      </c>
      <c r="E74" s="279"/>
      <c r="F74" s="136" t="s">
        <v>503</v>
      </c>
      <c r="G74" s="61" t="s">
        <v>136</v>
      </c>
      <c r="H74" s="235">
        <v>2</v>
      </c>
      <c r="I74" s="236">
        <v>3</v>
      </c>
      <c r="J74" s="155">
        <f t="shared" si="0"/>
        <v>5</v>
      </c>
    </row>
    <row r="75" spans="1:10" hidden="1" x14ac:dyDescent="0.2">
      <c r="A75" s="312"/>
      <c r="B75" s="313"/>
      <c r="C75" s="280"/>
      <c r="D75" s="279" t="str">
        <f ca="1">OFFSET(Capacidades!$A$603,(ROW()-71)*10-1,11)</f>
        <v xml:space="preserve">       </v>
      </c>
      <c r="E75" s="279"/>
      <c r="F75" s="136"/>
      <c r="G75" s="61"/>
      <c r="H75" s="167"/>
      <c r="I75" s="168"/>
      <c r="J75" s="155">
        <f t="shared" ref="J75:J138" si="1">SUM(H75:I75)</f>
        <v>0</v>
      </c>
    </row>
    <row r="76" spans="1:10" hidden="1" x14ac:dyDescent="0.2">
      <c r="A76" s="312"/>
      <c r="B76" s="313"/>
      <c r="C76" s="280"/>
      <c r="D76" s="279" t="str">
        <f ca="1">OFFSET(Capacidades!$A$603,(ROW()-71)*10-1,11)</f>
        <v xml:space="preserve">       </v>
      </c>
      <c r="E76" s="279"/>
      <c r="F76" s="136"/>
      <c r="G76" s="61"/>
      <c r="H76" s="167"/>
      <c r="I76" s="168"/>
      <c r="J76" s="155">
        <f t="shared" si="1"/>
        <v>0</v>
      </c>
    </row>
    <row r="77" spans="1:10" hidden="1" x14ac:dyDescent="0.2">
      <c r="A77" s="312"/>
      <c r="B77" s="313"/>
      <c r="C77" s="280"/>
      <c r="D77" s="279" t="str">
        <f ca="1">OFFSET(Capacidades!$A$603,(ROW()-71)*10-1,11)</f>
        <v xml:space="preserve">       </v>
      </c>
      <c r="E77" s="279"/>
      <c r="F77" s="136"/>
      <c r="G77" s="61"/>
      <c r="H77" s="167"/>
      <c r="I77" s="168"/>
      <c r="J77" s="155">
        <f t="shared" si="1"/>
        <v>0</v>
      </c>
    </row>
    <row r="78" spans="1:10" hidden="1" x14ac:dyDescent="0.2">
      <c r="A78" s="312"/>
      <c r="B78" s="313"/>
      <c r="C78" s="280"/>
      <c r="D78" s="279" t="str">
        <f ca="1">OFFSET(Capacidades!$A$603,(ROW()-71)*10-1,11)</f>
        <v xml:space="preserve">       </v>
      </c>
      <c r="E78" s="279"/>
      <c r="F78" s="136"/>
      <c r="G78" s="61"/>
      <c r="H78" s="167"/>
      <c r="I78" s="168"/>
      <c r="J78" s="155">
        <f t="shared" si="1"/>
        <v>0</v>
      </c>
    </row>
    <row r="79" spans="1:10" hidden="1" x14ac:dyDescent="0.2">
      <c r="A79" s="312"/>
      <c r="B79" s="313"/>
      <c r="C79" s="280"/>
      <c r="D79" s="279" t="str">
        <f ca="1">OFFSET(Capacidades!$A$603,(ROW()-71)*10-1,11)</f>
        <v xml:space="preserve">       </v>
      </c>
      <c r="E79" s="279"/>
      <c r="F79" s="136"/>
      <c r="G79" s="61"/>
      <c r="H79" s="167"/>
      <c r="I79" s="168"/>
      <c r="J79" s="155">
        <f t="shared" si="1"/>
        <v>0</v>
      </c>
    </row>
    <row r="80" spans="1:10" hidden="1" x14ac:dyDescent="0.2">
      <c r="A80" s="312"/>
      <c r="B80" s="313"/>
      <c r="C80" s="280"/>
      <c r="D80" s="279" t="str">
        <f ca="1">OFFSET(Capacidades!$A$603,(ROW()-71)*10-1,11)</f>
        <v xml:space="preserve">       </v>
      </c>
      <c r="E80" s="279"/>
      <c r="F80" s="136"/>
      <c r="G80" s="61"/>
      <c r="H80" s="167"/>
      <c r="I80" s="168"/>
      <c r="J80" s="155">
        <f t="shared" si="1"/>
        <v>0</v>
      </c>
    </row>
    <row r="81" spans="1:10" hidden="1" x14ac:dyDescent="0.2">
      <c r="A81" s="312"/>
      <c r="B81" s="313"/>
      <c r="C81" s="280"/>
      <c r="D81" s="279" t="str">
        <f ca="1">OFFSET(Capacidades!$A$603,(ROW()-71)*10-1,11)</f>
        <v xml:space="preserve">       </v>
      </c>
      <c r="E81" s="279"/>
      <c r="F81" s="136"/>
      <c r="G81" s="61"/>
      <c r="H81" s="167"/>
      <c r="I81" s="168"/>
      <c r="J81" s="155">
        <f t="shared" si="1"/>
        <v>0</v>
      </c>
    </row>
    <row r="82" spans="1:10" hidden="1" x14ac:dyDescent="0.2">
      <c r="A82" s="312"/>
      <c r="B82" s="313"/>
      <c r="C82" s="280"/>
      <c r="D82" s="279" t="str">
        <f ca="1">OFFSET(Capacidades!$A$603,(ROW()-71)*10-1,11)</f>
        <v xml:space="preserve">       </v>
      </c>
      <c r="E82" s="279"/>
      <c r="F82" s="136"/>
      <c r="G82" s="61"/>
      <c r="H82" s="167"/>
      <c r="I82" s="168"/>
      <c r="J82" s="155">
        <f t="shared" si="1"/>
        <v>0</v>
      </c>
    </row>
    <row r="83" spans="1:10" hidden="1" x14ac:dyDescent="0.2">
      <c r="A83" s="312"/>
      <c r="B83" s="313"/>
      <c r="C83" s="280"/>
      <c r="D83" s="279" t="str">
        <f ca="1">OFFSET(Capacidades!$A$603,(ROW()-71)*10-1,11)</f>
        <v xml:space="preserve">       </v>
      </c>
      <c r="E83" s="279"/>
      <c r="F83" s="136"/>
      <c r="G83" s="61"/>
      <c r="H83" s="167"/>
      <c r="I83" s="168"/>
      <c r="J83" s="155">
        <f t="shared" si="1"/>
        <v>0</v>
      </c>
    </row>
    <row r="84" spans="1:10" hidden="1" x14ac:dyDescent="0.2">
      <c r="A84" s="312"/>
      <c r="B84" s="313"/>
      <c r="C84" s="280"/>
      <c r="D84" s="279" t="str">
        <f ca="1">OFFSET(Capacidades!$A$603,(ROW()-71)*10-1,11)</f>
        <v xml:space="preserve">       </v>
      </c>
      <c r="E84" s="279"/>
      <c r="F84" s="136"/>
      <c r="G84" s="61"/>
      <c r="H84" s="167"/>
      <c r="I84" s="168"/>
      <c r="J84" s="155">
        <f t="shared" si="1"/>
        <v>0</v>
      </c>
    </row>
    <row r="85" spans="1:10" hidden="1" x14ac:dyDescent="0.2">
      <c r="A85" s="312"/>
      <c r="B85" s="313"/>
      <c r="C85" s="280"/>
      <c r="D85" s="279" t="str">
        <f ca="1">OFFSET(Capacidades!$A$603,(ROW()-71)*10-1,11)</f>
        <v xml:space="preserve">       </v>
      </c>
      <c r="E85" s="279"/>
      <c r="F85" s="136"/>
      <c r="G85" s="61"/>
      <c r="H85" s="167"/>
      <c r="I85" s="168"/>
      <c r="J85" s="155">
        <f t="shared" si="1"/>
        <v>0</v>
      </c>
    </row>
    <row r="86" spans="1:10" hidden="1" x14ac:dyDescent="0.2">
      <c r="A86" s="312"/>
      <c r="B86" s="313"/>
      <c r="C86" s="280"/>
      <c r="D86" s="279" t="str">
        <f ca="1">OFFSET(Capacidades!$A$603,(ROW()-71)*10-1,11)</f>
        <v xml:space="preserve">       </v>
      </c>
      <c r="E86" s="279"/>
      <c r="F86" s="136"/>
      <c r="G86" s="61"/>
      <c r="H86" s="167"/>
      <c r="I86" s="168"/>
      <c r="J86" s="155">
        <f t="shared" si="1"/>
        <v>0</v>
      </c>
    </row>
    <row r="87" spans="1:10" hidden="1" x14ac:dyDescent="0.2">
      <c r="A87" s="312"/>
      <c r="B87" s="313"/>
      <c r="C87" s="280"/>
      <c r="D87" s="279" t="str">
        <f ca="1">OFFSET(Capacidades!$A$603,(ROW()-71)*10-1,11)</f>
        <v xml:space="preserve">       </v>
      </c>
      <c r="E87" s="279"/>
      <c r="F87" s="136"/>
      <c r="G87" s="61"/>
      <c r="H87" s="167"/>
      <c r="I87" s="168"/>
      <c r="J87" s="155">
        <f t="shared" si="1"/>
        <v>0</v>
      </c>
    </row>
    <row r="88" spans="1:10" hidden="1" x14ac:dyDescent="0.2">
      <c r="A88" s="312"/>
      <c r="B88" s="313"/>
      <c r="C88" s="280"/>
      <c r="D88" s="279" t="str">
        <f ca="1">OFFSET(Capacidades!$A$603,(ROW()-71)*10-1,11)</f>
        <v xml:space="preserve">       </v>
      </c>
      <c r="E88" s="279"/>
      <c r="F88" s="136"/>
      <c r="G88" s="61"/>
      <c r="H88" s="167"/>
      <c r="I88" s="168"/>
      <c r="J88" s="155">
        <f t="shared" si="1"/>
        <v>0</v>
      </c>
    </row>
    <row r="89" spans="1:10" hidden="1" x14ac:dyDescent="0.2">
      <c r="A89" s="312"/>
      <c r="B89" s="313"/>
      <c r="C89" s="280"/>
      <c r="D89" s="279" t="str">
        <f ca="1">OFFSET(Capacidades!$A$603,(ROW()-71)*10-1,11)</f>
        <v xml:space="preserve">       </v>
      </c>
      <c r="E89" s="279"/>
      <c r="F89" s="136"/>
      <c r="G89" s="61"/>
      <c r="H89" s="167"/>
      <c r="I89" s="168"/>
      <c r="J89" s="155">
        <f t="shared" si="1"/>
        <v>0</v>
      </c>
    </row>
    <row r="90" spans="1:10" hidden="1" x14ac:dyDescent="0.2">
      <c r="A90" s="312"/>
      <c r="B90" s="313"/>
      <c r="C90" s="280"/>
      <c r="D90" s="279" t="str">
        <f ca="1">OFFSET(Capacidades!$A$603,(ROW()-71)*10-1,11)</f>
        <v xml:space="preserve">       </v>
      </c>
      <c r="E90" s="279"/>
      <c r="F90" s="136"/>
      <c r="G90" s="61"/>
      <c r="H90" s="167"/>
      <c r="I90" s="168"/>
      <c r="J90" s="155">
        <f t="shared" si="1"/>
        <v>0</v>
      </c>
    </row>
    <row r="91" spans="1:10" ht="18" hidden="1" customHeight="1" x14ac:dyDescent="0.2">
      <c r="A91" s="312"/>
      <c r="B91" s="313"/>
      <c r="C91" s="280"/>
      <c r="D91" s="279" t="str">
        <f ca="1">OFFSET(Capacidades!$A$603,(ROW()-71)*10-1,11)</f>
        <v xml:space="preserve">       </v>
      </c>
      <c r="E91" s="279"/>
      <c r="F91" s="136"/>
      <c r="G91" s="61"/>
      <c r="H91" s="167"/>
      <c r="I91" s="168"/>
      <c r="J91" s="155">
        <f t="shared" si="1"/>
        <v>0</v>
      </c>
    </row>
    <row r="92" spans="1:10" ht="30.95" customHeight="1" x14ac:dyDescent="0.2">
      <c r="A92" s="312"/>
      <c r="B92" s="314" t="str">
        <f>$B$30</f>
        <v>Competencias para la empleabilidad</v>
      </c>
      <c r="C92" s="280" t="s">
        <v>248</v>
      </c>
      <c r="D92" s="279" t="str">
        <f ca="1">OFFSET(Capacidades!$A$603,(ROW()-71)*10-1,11)</f>
        <v xml:space="preserve">CE2 C1 Utilizar aplicaciones y herramientas informáticas de las TIC de manera responsable y técnica.    </v>
      </c>
      <c r="E92" s="279"/>
      <c r="F92" s="62" t="s">
        <v>391</v>
      </c>
      <c r="G92" s="61" t="s">
        <v>136</v>
      </c>
      <c r="H92" s="235">
        <v>1</v>
      </c>
      <c r="I92" s="236">
        <v>1</v>
      </c>
      <c r="J92" s="155">
        <f t="shared" si="1"/>
        <v>2</v>
      </c>
    </row>
    <row r="93" spans="1:10" ht="81.95" customHeight="1" x14ac:dyDescent="0.2">
      <c r="A93" s="312"/>
      <c r="B93" s="314"/>
      <c r="C93" s="280"/>
      <c r="D93" s="279" t="str">
        <f ca="1">OFFSET(Capacidades!$A$603,(ROW()-71)*10-1,11)</f>
        <v xml:space="preserve">CE2 C2 Utilizar software de aplicación  en la realización de tareas y requerimientos vinculados a su programa de estudio.    </v>
      </c>
      <c r="E93" s="279"/>
      <c r="F93" s="62" t="s">
        <v>504</v>
      </c>
      <c r="G93" s="61" t="s">
        <v>136</v>
      </c>
      <c r="H93" s="235">
        <v>0</v>
      </c>
      <c r="I93" s="236">
        <v>1</v>
      </c>
      <c r="J93" s="155">
        <f t="shared" si="1"/>
        <v>1</v>
      </c>
    </row>
    <row r="94" spans="1:10" ht="12.75" hidden="1" customHeight="1" x14ac:dyDescent="0.2">
      <c r="A94" s="312"/>
      <c r="B94" s="314"/>
      <c r="C94" s="280"/>
      <c r="D94" s="279" t="str">
        <f ca="1">OFFSET(Capacidades!$A$603,(ROW()-71)*10-1,11)</f>
        <v xml:space="preserve">       </v>
      </c>
      <c r="E94" s="279"/>
      <c r="F94" s="62"/>
      <c r="G94" s="61"/>
      <c r="H94" s="167"/>
      <c r="I94" s="168"/>
      <c r="J94" s="155">
        <f t="shared" si="1"/>
        <v>0</v>
      </c>
    </row>
    <row r="95" spans="1:10" ht="12.75" hidden="1" customHeight="1" x14ac:dyDescent="0.2">
      <c r="A95" s="312"/>
      <c r="B95" s="314"/>
      <c r="C95" s="280"/>
      <c r="D95" s="279" t="str">
        <f ca="1">OFFSET(Capacidades!$A$603,(ROW()-71)*10-1,11)</f>
        <v xml:space="preserve">       </v>
      </c>
      <c r="E95" s="279"/>
      <c r="F95" s="62"/>
      <c r="G95" s="61"/>
      <c r="H95" s="167"/>
      <c r="I95" s="168"/>
      <c r="J95" s="155">
        <f t="shared" si="1"/>
        <v>0</v>
      </c>
    </row>
    <row r="96" spans="1:10" ht="12.75" hidden="1" customHeight="1" x14ac:dyDescent="0.2">
      <c r="A96" s="312"/>
      <c r="B96" s="314"/>
      <c r="C96" s="280"/>
      <c r="D96" s="279" t="str">
        <f ca="1">OFFSET(Capacidades!$A$603,(ROW()-71)*10-1,11)</f>
        <v xml:space="preserve">       </v>
      </c>
      <c r="E96" s="279"/>
      <c r="F96" s="62"/>
      <c r="G96" s="61"/>
      <c r="H96" s="167"/>
      <c r="I96" s="168"/>
      <c r="J96" s="155">
        <f t="shared" si="1"/>
        <v>0</v>
      </c>
    </row>
    <row r="97" spans="1:10" ht="12.75" hidden="1" customHeight="1" x14ac:dyDescent="0.2">
      <c r="A97" s="312"/>
      <c r="B97" s="314"/>
      <c r="C97" s="280"/>
      <c r="D97" s="279" t="str">
        <f ca="1">OFFSET(Capacidades!$A$603,(ROW()-71)*10-1,11)</f>
        <v xml:space="preserve">       </v>
      </c>
      <c r="E97" s="279"/>
      <c r="F97" s="62"/>
      <c r="G97" s="61"/>
      <c r="H97" s="167"/>
      <c r="I97" s="168"/>
      <c r="J97" s="155">
        <f t="shared" si="1"/>
        <v>0</v>
      </c>
    </row>
    <row r="98" spans="1:10" ht="12.75" hidden="1" customHeight="1" x14ac:dyDescent="0.2">
      <c r="A98" s="312"/>
      <c r="B98" s="314"/>
      <c r="C98" s="280"/>
      <c r="D98" s="279" t="str">
        <f ca="1">OFFSET(Capacidades!$A$603,(ROW()-71)*10-1,11)</f>
        <v xml:space="preserve">       </v>
      </c>
      <c r="E98" s="279"/>
      <c r="F98" s="62"/>
      <c r="G98" s="61"/>
      <c r="H98" s="167"/>
      <c r="I98" s="168"/>
      <c r="J98" s="155">
        <f t="shared" si="1"/>
        <v>0</v>
      </c>
    </row>
    <row r="99" spans="1:10" ht="12.75" hidden="1" customHeight="1" x14ac:dyDescent="0.2">
      <c r="A99" s="312"/>
      <c r="B99" s="314"/>
      <c r="C99" s="280"/>
      <c r="D99" s="279" t="str">
        <f ca="1">OFFSET(Capacidades!$A$603,(ROW()-71)*10-1,11)</f>
        <v xml:space="preserve">       </v>
      </c>
      <c r="E99" s="279"/>
      <c r="F99" s="62"/>
      <c r="G99" s="61"/>
      <c r="H99" s="167"/>
      <c r="I99" s="168"/>
      <c r="J99" s="155">
        <f t="shared" si="1"/>
        <v>0</v>
      </c>
    </row>
    <row r="100" spans="1:10" ht="12.75" hidden="1" customHeight="1" x14ac:dyDescent="0.2">
      <c r="A100" s="312"/>
      <c r="B100" s="314"/>
      <c r="C100" s="280"/>
      <c r="D100" s="279" t="str">
        <f ca="1">OFFSET(Capacidades!$A$603,(ROW()-71)*10-1,11)</f>
        <v xml:space="preserve">       </v>
      </c>
      <c r="E100" s="279"/>
      <c r="F100" s="62"/>
      <c r="G100" s="61"/>
      <c r="H100" s="167"/>
      <c r="I100" s="168"/>
      <c r="J100" s="155">
        <f t="shared" si="1"/>
        <v>0</v>
      </c>
    </row>
    <row r="101" spans="1:10" ht="12.75" hidden="1" customHeight="1" x14ac:dyDescent="0.2">
      <c r="A101" s="312"/>
      <c r="B101" s="314"/>
      <c r="C101" s="280"/>
      <c r="D101" s="279" t="str">
        <f ca="1">OFFSET(Capacidades!$A$603,(ROW()-71)*10-1,11)</f>
        <v xml:space="preserve">       </v>
      </c>
      <c r="E101" s="279"/>
      <c r="F101" s="62"/>
      <c r="G101" s="61"/>
      <c r="H101" s="167"/>
      <c r="I101" s="168"/>
      <c r="J101" s="155">
        <f t="shared" si="1"/>
        <v>0</v>
      </c>
    </row>
    <row r="102" spans="1:10" ht="19.5" customHeight="1" x14ac:dyDescent="0.2">
      <c r="A102" s="312"/>
      <c r="B102" s="319" t="str">
        <f>$B$40</f>
        <v>Experiencias formativas en situaciones reales de trabajo (ESRT)</v>
      </c>
      <c r="C102" s="320"/>
      <c r="D102" s="320"/>
      <c r="E102" s="320"/>
      <c r="F102" s="180"/>
      <c r="G102" s="181"/>
      <c r="H102" s="235">
        <v>0</v>
      </c>
      <c r="I102" s="236">
        <v>3</v>
      </c>
      <c r="J102" s="155">
        <f t="shared" si="1"/>
        <v>3</v>
      </c>
    </row>
    <row r="103" spans="1:10" ht="81.75" customHeight="1" x14ac:dyDescent="0.2">
      <c r="A103" s="315" t="s">
        <v>630</v>
      </c>
      <c r="B103" s="313" t="str">
        <f>$B$10</f>
        <v>Competencias técnicas (Unidad de competencia)</v>
      </c>
      <c r="C103" s="280" t="s">
        <v>551</v>
      </c>
      <c r="D103" s="279" t="str">
        <f ca="1">OFFSET(Capacidades!$A$904,(ROW()-102)*10-1,11)</f>
        <v xml:space="preserve">UC 4 C1 Instalar las redes y servicios de comunicaciones efectuando las pruebas y certificaciones,  de 
acuerdo con las necesidades del negocio, estándares internacionales de TI y políticas de seguridad de la organización.    </v>
      </c>
      <c r="E103" s="279"/>
      <c r="F103" s="136" t="s">
        <v>602</v>
      </c>
      <c r="G103" s="61" t="s">
        <v>137</v>
      </c>
      <c r="H103" s="235">
        <v>3</v>
      </c>
      <c r="I103" s="236">
        <v>1</v>
      </c>
      <c r="J103" s="155">
        <f t="shared" si="1"/>
        <v>4</v>
      </c>
    </row>
    <row r="104" spans="1:10" ht="88.5" customHeight="1" x14ac:dyDescent="0.2">
      <c r="A104" s="315"/>
      <c r="B104" s="313"/>
      <c r="C104" s="280"/>
      <c r="D104" s="279" t="str">
        <f ca="1">OFFSET(Capacidades!$A$904,(ROW()-102)*10-1,11)</f>
        <v xml:space="preserve">UC4 C2 Ejecutar la configuración de la infraestructura de redes y telecomunicaciones de la empresa  de acuerdo con la arquitectura e infraestructura  de sistemas, requerimientos del negocio, estándares internacionales de TI y políticas de seguridad de la organización.    </v>
      </c>
      <c r="E104" s="279"/>
      <c r="F104" s="136" t="s">
        <v>603</v>
      </c>
      <c r="G104" s="61" t="s">
        <v>137</v>
      </c>
      <c r="H104" s="235">
        <v>2</v>
      </c>
      <c r="I104" s="236">
        <v>1</v>
      </c>
      <c r="J104" s="155">
        <f t="shared" si="1"/>
        <v>3</v>
      </c>
    </row>
    <row r="105" spans="1:10" ht="77.25" customHeight="1" x14ac:dyDescent="0.2">
      <c r="A105" s="315"/>
      <c r="B105" s="313"/>
      <c r="C105" s="280"/>
      <c r="D105" s="279" t="str">
        <f ca="1">OFFSET(Capacidades!$A$904,(ROW()-102)*10-1,11)</f>
        <v xml:space="preserve">UC4 C3 Realizar  el mantenimiento preventivo y correctivo de las redes y comunicaciones de la organización  de acuerdo con buenas prácticas de gestión de redes, recomendaciones del fabricantes, proveedores de servicios, capacity planning y gestión de riesgos.    </v>
      </c>
      <c r="E105" s="279"/>
      <c r="F105" s="136" t="s">
        <v>604</v>
      </c>
      <c r="G105" s="61" t="s">
        <v>137</v>
      </c>
      <c r="H105" s="167">
        <v>1</v>
      </c>
      <c r="I105" s="168">
        <v>2</v>
      </c>
      <c r="J105" s="155">
        <f t="shared" si="1"/>
        <v>3</v>
      </c>
    </row>
    <row r="106" spans="1:10" ht="87.75" customHeight="1" x14ac:dyDescent="0.2">
      <c r="A106" s="315"/>
      <c r="B106" s="313"/>
      <c r="C106" s="280"/>
      <c r="D106" s="279" t="str">
        <f ca="1">OFFSET(Capacidades!$A$904,(ROW()-102)*10-1,11)</f>
        <v xml:space="preserve">UC4 C4 Reportar las acciones ejecutadas y las observaciones detectadas en el proceso de mantemiento de la infrestructura de red y comunicaciones,  de acuerdo con el plan de actividades programadas, el historial de mantenimiento, gestión de riesgos y políticas de seguridad de la organización.    </v>
      </c>
      <c r="E106" s="279"/>
      <c r="F106" s="136" t="s">
        <v>605</v>
      </c>
      <c r="G106" s="61" t="s">
        <v>137</v>
      </c>
      <c r="H106" s="167">
        <v>0</v>
      </c>
      <c r="I106" s="168">
        <v>1</v>
      </c>
      <c r="J106" s="155">
        <f t="shared" si="1"/>
        <v>1</v>
      </c>
    </row>
    <row r="107" spans="1:10" ht="44.25" hidden="1" customHeight="1" x14ac:dyDescent="0.2">
      <c r="A107" s="312"/>
      <c r="B107" s="313"/>
      <c r="C107" s="280"/>
      <c r="D107" s="279" t="str">
        <f ca="1">OFFSET(Capacidades!$A$904,(ROW()-102)*10-1,11)</f>
        <v xml:space="preserve">       </v>
      </c>
      <c r="E107" s="279"/>
      <c r="F107" s="136"/>
      <c r="G107" s="61"/>
      <c r="H107" s="167"/>
      <c r="I107" s="168"/>
      <c r="J107" s="155">
        <f t="shared" si="1"/>
        <v>0</v>
      </c>
    </row>
    <row r="108" spans="1:10" ht="42" hidden="1" customHeight="1" x14ac:dyDescent="0.2">
      <c r="A108" s="312"/>
      <c r="B108" s="313"/>
      <c r="C108" s="280"/>
      <c r="D108" s="279" t="str">
        <f ca="1">OFFSET(Capacidades!$A$904,(ROW()-102)*10-1,11)</f>
        <v xml:space="preserve">       </v>
      </c>
      <c r="E108" s="279"/>
      <c r="F108" s="136"/>
      <c r="G108" s="61"/>
      <c r="H108" s="167"/>
      <c r="I108" s="168"/>
      <c r="J108" s="155">
        <f t="shared" si="1"/>
        <v>0</v>
      </c>
    </row>
    <row r="109" spans="1:10" ht="39.75" hidden="1" customHeight="1" x14ac:dyDescent="0.2">
      <c r="A109" s="312"/>
      <c r="B109" s="313"/>
      <c r="C109" s="280"/>
      <c r="D109" s="279" t="str">
        <f ca="1">OFFSET(Capacidades!$A$904,(ROW()-102)*10-1,11)</f>
        <v xml:space="preserve">       </v>
      </c>
      <c r="E109" s="279"/>
      <c r="F109" s="136"/>
      <c r="G109" s="61"/>
      <c r="H109" s="167"/>
      <c r="I109" s="168"/>
      <c r="J109" s="155">
        <f t="shared" si="1"/>
        <v>0</v>
      </c>
    </row>
    <row r="110" spans="1:10" ht="30" hidden="1" customHeight="1" x14ac:dyDescent="0.2">
      <c r="A110" s="312"/>
      <c r="B110" s="313"/>
      <c r="C110" s="280"/>
      <c r="D110" s="279" t="str">
        <f ca="1">OFFSET(Capacidades!$A$904,(ROW()-102)*10-1,11)</f>
        <v xml:space="preserve">       </v>
      </c>
      <c r="E110" s="279"/>
      <c r="F110" s="136"/>
      <c r="G110" s="61"/>
      <c r="H110" s="167"/>
      <c r="I110" s="168"/>
      <c r="J110" s="155">
        <f t="shared" si="1"/>
        <v>0</v>
      </c>
    </row>
    <row r="111" spans="1:10" ht="33" hidden="1" customHeight="1" x14ac:dyDescent="0.2">
      <c r="A111" s="312"/>
      <c r="B111" s="313"/>
      <c r="C111" s="280"/>
      <c r="D111" s="279" t="str">
        <f ca="1">OFFSET(Capacidades!$A$904,(ROW()-102)*10-1,11)</f>
        <v xml:space="preserve">       </v>
      </c>
      <c r="E111" s="279"/>
      <c r="F111" s="136"/>
      <c r="G111" s="61"/>
      <c r="H111" s="167"/>
      <c r="I111" s="168"/>
      <c r="J111" s="155">
        <f t="shared" si="1"/>
        <v>0</v>
      </c>
    </row>
    <row r="112" spans="1:10" ht="36" hidden="1" customHeight="1" x14ac:dyDescent="0.2">
      <c r="A112" s="312"/>
      <c r="B112" s="313"/>
      <c r="C112" s="280"/>
      <c r="D112" s="279" t="str">
        <f ca="1">OFFSET(Capacidades!$A$904,(ROW()-102)*10-1,11)</f>
        <v xml:space="preserve">       </v>
      </c>
      <c r="E112" s="279"/>
      <c r="F112" s="136"/>
      <c r="G112" s="61"/>
      <c r="H112" s="167"/>
      <c r="I112" s="168"/>
      <c r="J112" s="155">
        <f t="shared" si="1"/>
        <v>0</v>
      </c>
    </row>
    <row r="113" spans="1:10" ht="32.25" hidden="1" customHeight="1" x14ac:dyDescent="0.2">
      <c r="A113" s="312"/>
      <c r="B113" s="313"/>
      <c r="C113" s="280"/>
      <c r="D113" s="279" t="str">
        <f ca="1">OFFSET(Capacidades!$A$904,(ROW()-102)*10-1,11)</f>
        <v xml:space="preserve">       </v>
      </c>
      <c r="E113" s="279"/>
      <c r="F113" s="136"/>
      <c r="G113" s="61"/>
      <c r="H113" s="167"/>
      <c r="I113" s="168"/>
      <c r="J113" s="155">
        <f t="shared" si="1"/>
        <v>0</v>
      </c>
    </row>
    <row r="114" spans="1:10" ht="34.5" hidden="1" customHeight="1" x14ac:dyDescent="0.2">
      <c r="A114" s="312"/>
      <c r="B114" s="313"/>
      <c r="C114" s="280"/>
      <c r="D114" s="279" t="str">
        <f ca="1">OFFSET(Capacidades!$A$904,(ROW()-102)*10-1,11)</f>
        <v xml:space="preserve">       </v>
      </c>
      <c r="E114" s="279"/>
      <c r="F114" s="136"/>
      <c r="G114" s="61"/>
      <c r="H114" s="167"/>
      <c r="I114" s="168"/>
      <c r="J114" s="155">
        <f t="shared" si="1"/>
        <v>0</v>
      </c>
    </row>
    <row r="115" spans="1:10" ht="34.5" hidden="1" customHeight="1" x14ac:dyDescent="0.2">
      <c r="A115" s="312"/>
      <c r="B115" s="313"/>
      <c r="C115" s="280"/>
      <c r="D115" s="279" t="str">
        <f ca="1">OFFSET(Capacidades!$A$904,(ROW()-102)*10-1,11)</f>
        <v xml:space="preserve">       </v>
      </c>
      <c r="E115" s="279"/>
      <c r="F115" s="136"/>
      <c r="G115" s="61"/>
      <c r="H115" s="167"/>
      <c r="I115" s="168"/>
      <c r="J115" s="155">
        <f t="shared" si="1"/>
        <v>0</v>
      </c>
    </row>
    <row r="116" spans="1:10" ht="38.25" hidden="1" customHeight="1" x14ac:dyDescent="0.2">
      <c r="A116" s="312"/>
      <c r="B116" s="313"/>
      <c r="C116" s="280"/>
      <c r="D116" s="279" t="str">
        <f ca="1">OFFSET(Capacidades!$A$904,(ROW()-102)*10-1,11)</f>
        <v xml:space="preserve">       </v>
      </c>
      <c r="E116" s="279"/>
      <c r="F116" s="136"/>
      <c r="G116" s="61"/>
      <c r="H116" s="167"/>
      <c r="I116" s="168"/>
      <c r="J116" s="155">
        <f t="shared" si="1"/>
        <v>0</v>
      </c>
    </row>
    <row r="117" spans="1:10" ht="33" hidden="1" customHeight="1" x14ac:dyDescent="0.2">
      <c r="A117" s="312"/>
      <c r="B117" s="313"/>
      <c r="C117" s="280"/>
      <c r="D117" s="279" t="str">
        <f ca="1">OFFSET(Capacidades!$A$904,(ROW()-102)*10-1,11)</f>
        <v xml:space="preserve">       </v>
      </c>
      <c r="E117" s="279"/>
      <c r="F117" s="136"/>
      <c r="G117" s="61"/>
      <c r="H117" s="167"/>
      <c r="I117" s="168"/>
      <c r="J117" s="155">
        <f t="shared" si="1"/>
        <v>0</v>
      </c>
    </row>
    <row r="118" spans="1:10" ht="47.25" hidden="1" customHeight="1" x14ac:dyDescent="0.2">
      <c r="A118" s="312"/>
      <c r="B118" s="313"/>
      <c r="C118" s="280"/>
      <c r="D118" s="279" t="str">
        <f ca="1">OFFSET(Capacidades!$A$904,(ROW()-102)*10-1,11)</f>
        <v xml:space="preserve">       </v>
      </c>
      <c r="E118" s="279"/>
      <c r="F118" s="136"/>
      <c r="G118" s="61"/>
      <c r="H118" s="167"/>
      <c r="I118" s="168"/>
      <c r="J118" s="155">
        <f t="shared" si="1"/>
        <v>0</v>
      </c>
    </row>
    <row r="119" spans="1:10" ht="40.5" hidden="1" customHeight="1" x14ac:dyDescent="0.2">
      <c r="A119" s="312"/>
      <c r="B119" s="313"/>
      <c r="C119" s="280"/>
      <c r="D119" s="279" t="str">
        <f ca="1">OFFSET(Capacidades!$A$904,(ROW()-102)*10-1,11)</f>
        <v xml:space="preserve">       </v>
      </c>
      <c r="E119" s="279"/>
      <c r="F119" s="136"/>
      <c r="G119" s="61"/>
      <c r="H119" s="167"/>
      <c r="I119" s="168"/>
      <c r="J119" s="155">
        <f t="shared" si="1"/>
        <v>0</v>
      </c>
    </row>
    <row r="120" spans="1:10" ht="33" hidden="1" customHeight="1" x14ac:dyDescent="0.2">
      <c r="A120" s="312"/>
      <c r="B120" s="313"/>
      <c r="C120" s="280"/>
      <c r="D120" s="279" t="str">
        <f ca="1">OFFSET(Capacidades!$A$904,(ROW()-102)*10-1,11)</f>
        <v xml:space="preserve">       </v>
      </c>
      <c r="E120" s="279"/>
      <c r="F120" s="136"/>
      <c r="G120" s="61"/>
      <c r="H120" s="167"/>
      <c r="I120" s="168"/>
      <c r="J120" s="155">
        <f t="shared" si="1"/>
        <v>0</v>
      </c>
    </row>
    <row r="121" spans="1:10" ht="28.5" hidden="1" customHeight="1" x14ac:dyDescent="0.2">
      <c r="A121" s="312"/>
      <c r="B121" s="313"/>
      <c r="C121" s="280"/>
      <c r="D121" s="279" t="str">
        <f ca="1">OFFSET(Capacidades!$A$904,(ROW()-102)*10-1,11)</f>
        <v xml:space="preserve">       </v>
      </c>
      <c r="E121" s="279"/>
      <c r="F121" s="136"/>
      <c r="G121" s="61"/>
      <c r="H121" s="167"/>
      <c r="I121" s="168"/>
      <c r="J121" s="155">
        <f t="shared" si="1"/>
        <v>0</v>
      </c>
    </row>
    <row r="122" spans="1:10" ht="19.5" hidden="1" customHeight="1" x14ac:dyDescent="0.2">
      <c r="A122" s="312"/>
      <c r="B122" s="313"/>
      <c r="C122" s="280"/>
      <c r="D122" s="279" t="str">
        <f ca="1">OFFSET(Capacidades!$A$904,(ROW()-102)*10-1,11)</f>
        <v xml:space="preserve">       </v>
      </c>
      <c r="E122" s="279"/>
      <c r="F122" s="136"/>
      <c r="G122" s="61"/>
      <c r="H122" s="167"/>
      <c r="I122" s="168"/>
      <c r="J122" s="155">
        <f t="shared" si="1"/>
        <v>0</v>
      </c>
    </row>
    <row r="123" spans="1:10" ht="56.25" customHeight="1" x14ac:dyDescent="0.2">
      <c r="A123" s="315"/>
      <c r="B123" s="314" t="str">
        <f>$B$30</f>
        <v>Competencias para la empleabilidad</v>
      </c>
      <c r="C123" s="280" t="s">
        <v>350</v>
      </c>
      <c r="D123" s="279" t="str">
        <f ca="1">OFFSET(Capacidades!$A$904,(ROW()-102)*10-1,11)</f>
        <v xml:space="preserve">CE3 C1 Utilizar  metodologías para identificar oportunidades de negocio  tomando en cuenta el programa de estudios y las necesidades del cliente.    </v>
      </c>
      <c r="E123" s="279"/>
      <c r="F123" s="62" t="s">
        <v>374</v>
      </c>
      <c r="G123" s="61" t="s">
        <v>137</v>
      </c>
      <c r="H123" s="167">
        <v>1</v>
      </c>
      <c r="I123" s="168">
        <v>1</v>
      </c>
      <c r="J123" s="155">
        <f t="shared" si="1"/>
        <v>2</v>
      </c>
    </row>
    <row r="124" spans="1:10" ht="66.75" customHeight="1" x14ac:dyDescent="0.2">
      <c r="A124" s="315"/>
      <c r="B124" s="314"/>
      <c r="C124" s="280"/>
      <c r="D124" s="279" t="str">
        <f ca="1">OFFSET(Capacidades!$A$904,(ROW()-102)*10-1,11)</f>
        <v xml:space="preserve">CE3 C2 Formular planes de negocio innovadoresvinculados al programa de estudio  considerando un proceso metodológico que genere valor,  sea sostenible y preserve el ambiente.    </v>
      </c>
      <c r="E124" s="279"/>
      <c r="F124" s="62" t="s">
        <v>375</v>
      </c>
      <c r="G124" s="61" t="s">
        <v>137</v>
      </c>
      <c r="H124" s="167">
        <v>0</v>
      </c>
      <c r="I124" s="168">
        <v>1</v>
      </c>
      <c r="J124" s="155">
        <f t="shared" si="1"/>
        <v>1</v>
      </c>
    </row>
    <row r="125" spans="1:10" ht="61.5" customHeight="1" x14ac:dyDescent="0.2">
      <c r="A125" s="315"/>
      <c r="B125" s="314"/>
      <c r="C125" s="280"/>
      <c r="D125" s="279" t="str">
        <f ca="1">OFFSET(Capacidades!$A$904,(ROW()-102)*10-1,11)</f>
        <v xml:space="preserve">CE4 I1 Practicar las relaciones interpersonales democráticas, teniendo en cuenta los principios y valores éticos, y la gestión efectiva de los conflictos en su contexto social y laboral.    </v>
      </c>
      <c r="E125" s="279"/>
      <c r="F125" s="62" t="s">
        <v>390</v>
      </c>
      <c r="G125" s="61" t="s">
        <v>137</v>
      </c>
      <c r="H125" s="167">
        <v>0</v>
      </c>
      <c r="I125" s="168">
        <v>1</v>
      </c>
      <c r="J125" s="155">
        <f t="shared" si="1"/>
        <v>1</v>
      </c>
    </row>
    <row r="126" spans="1:10" ht="144" customHeight="1" x14ac:dyDescent="0.2">
      <c r="A126" s="315"/>
      <c r="B126" s="314"/>
      <c r="C126" s="280"/>
      <c r="D126" s="279" t="str">
        <f ca="1">OFFSET(Capacidades!$A$904,(ROW()-102)*10-1,11)</f>
        <v xml:space="preserve">CE4 I2 Promover una cultura ética en su contexto  social y laboral fomentando el bien común, la diversidad y la dignidad de las personas.    </v>
      </c>
      <c r="E126" s="279"/>
      <c r="F126" s="62" t="s">
        <v>354</v>
      </c>
      <c r="G126" s="61" t="s">
        <v>137</v>
      </c>
      <c r="H126" s="167">
        <v>0</v>
      </c>
      <c r="I126" s="168">
        <v>1</v>
      </c>
      <c r="J126" s="155">
        <f t="shared" si="1"/>
        <v>1</v>
      </c>
    </row>
    <row r="127" spans="1:10" ht="12.75" hidden="1" customHeight="1" x14ac:dyDescent="0.2">
      <c r="A127" s="312"/>
      <c r="B127" s="314"/>
      <c r="C127" s="280"/>
      <c r="D127" s="279">
        <f ca="1">OFFSET(Capacidades!$A$904,(ROW()-102)*10-1,11)</f>
        <v>0</v>
      </c>
      <c r="E127" s="279"/>
      <c r="F127" s="62"/>
      <c r="G127" s="61"/>
      <c r="H127" s="167"/>
      <c r="I127" s="168"/>
      <c r="J127" s="155">
        <f t="shared" si="1"/>
        <v>0</v>
      </c>
    </row>
    <row r="128" spans="1:10" ht="12.75" hidden="1" customHeight="1" x14ac:dyDescent="0.2">
      <c r="A128" s="312"/>
      <c r="B128" s="314"/>
      <c r="C128" s="280"/>
      <c r="D128" s="279">
        <f ca="1">OFFSET(Capacidades!$A$904,(ROW()-102)*10-1,11)</f>
        <v>0</v>
      </c>
      <c r="E128" s="279"/>
      <c r="F128" s="62"/>
      <c r="G128" s="61"/>
      <c r="H128" s="167"/>
      <c r="I128" s="168"/>
      <c r="J128" s="155">
        <f t="shared" si="1"/>
        <v>0</v>
      </c>
    </row>
    <row r="129" spans="1:10" ht="12.75" hidden="1" customHeight="1" x14ac:dyDescent="0.2">
      <c r="A129" s="312"/>
      <c r="B129" s="314"/>
      <c r="C129" s="280"/>
      <c r="D129" s="279">
        <f ca="1">OFFSET(Capacidades!$A$904,(ROW()-102)*10-1,11)</f>
        <v>0</v>
      </c>
      <c r="E129" s="279"/>
      <c r="F129" s="62"/>
      <c r="G129" s="61"/>
      <c r="H129" s="167"/>
      <c r="I129" s="168"/>
      <c r="J129" s="155">
        <f t="shared" si="1"/>
        <v>0</v>
      </c>
    </row>
    <row r="130" spans="1:10" ht="12.75" hidden="1" customHeight="1" x14ac:dyDescent="0.2">
      <c r="A130" s="312"/>
      <c r="B130" s="314"/>
      <c r="C130" s="280"/>
      <c r="D130" s="279">
        <f ca="1">OFFSET(Capacidades!$A$904,(ROW()-102)*10-1,11)</f>
        <v>0</v>
      </c>
      <c r="E130" s="279"/>
      <c r="F130" s="62"/>
      <c r="G130" s="61"/>
      <c r="H130" s="167"/>
      <c r="I130" s="168"/>
      <c r="J130" s="155">
        <f t="shared" si="1"/>
        <v>0</v>
      </c>
    </row>
    <row r="131" spans="1:10" ht="12.75" hidden="1" customHeight="1" x14ac:dyDescent="0.2">
      <c r="A131" s="312"/>
      <c r="B131" s="314"/>
      <c r="C131" s="280"/>
      <c r="D131" s="279">
        <f ca="1">OFFSET(Capacidades!$A$904,(ROW()-102)*10-1,11)</f>
        <v>0</v>
      </c>
      <c r="E131" s="279"/>
      <c r="F131" s="62"/>
      <c r="G131" s="61"/>
      <c r="H131" s="167"/>
      <c r="I131" s="168"/>
      <c r="J131" s="155">
        <f t="shared" si="1"/>
        <v>0</v>
      </c>
    </row>
    <row r="132" spans="1:10" ht="109.5" hidden="1" customHeight="1" x14ac:dyDescent="0.2">
      <c r="A132" s="312"/>
      <c r="B132" s="314"/>
      <c r="C132" s="280"/>
      <c r="D132" s="279">
        <f ca="1">OFFSET(Capacidades!$A$904,(ROW()-102)*10-1,11)</f>
        <v>0</v>
      </c>
      <c r="E132" s="279"/>
      <c r="F132" s="62"/>
      <c r="G132" s="61"/>
      <c r="H132" s="167"/>
      <c r="I132" s="168"/>
      <c r="J132" s="155">
        <f t="shared" si="1"/>
        <v>0</v>
      </c>
    </row>
    <row r="133" spans="1:10" ht="21.75" hidden="1" customHeight="1" x14ac:dyDescent="0.2">
      <c r="A133" s="312"/>
      <c r="B133" s="319" t="str">
        <f>$B$40</f>
        <v>Experiencias formativas en situaciones reales de trabajo (ESRT)</v>
      </c>
      <c r="C133" s="320"/>
      <c r="D133" s="320"/>
      <c r="E133" s="320"/>
      <c r="F133" s="180"/>
      <c r="G133" s="181"/>
      <c r="H133" s="167">
        <v>0</v>
      </c>
      <c r="I133" s="168">
        <v>4</v>
      </c>
      <c r="J133" s="155">
        <f t="shared" si="1"/>
        <v>4</v>
      </c>
    </row>
    <row r="134" spans="1:10" ht="10.5" hidden="1" customHeight="1" x14ac:dyDescent="0.2">
      <c r="A134" s="312"/>
      <c r="B134" s="313" t="str">
        <f>$B$10</f>
        <v>Competencias técnicas (Unidad de competencia)</v>
      </c>
      <c r="C134" s="280"/>
      <c r="D134" s="279" t="e">
        <f ca="1">OFFSET(Capacidades!#REF!,(ROW()-133)*10-1,11)</f>
        <v>#REF!</v>
      </c>
      <c r="E134" s="279"/>
      <c r="F134" s="136"/>
      <c r="G134" s="61"/>
      <c r="H134" s="167"/>
      <c r="I134" s="168"/>
      <c r="J134" s="155">
        <f t="shared" si="1"/>
        <v>0</v>
      </c>
    </row>
    <row r="135" spans="1:10" ht="14.25" hidden="1" customHeight="1" x14ac:dyDescent="0.2">
      <c r="A135" s="312"/>
      <c r="B135" s="313"/>
      <c r="C135" s="280"/>
      <c r="D135" s="279" t="e">
        <f ca="1">OFFSET(Capacidades!#REF!,(ROW()-133)*10-1,11)</f>
        <v>#REF!</v>
      </c>
      <c r="E135" s="279"/>
      <c r="F135" s="136"/>
      <c r="G135" s="61"/>
      <c r="H135" s="167"/>
      <c r="I135" s="168"/>
      <c r="J135" s="155">
        <f t="shared" si="1"/>
        <v>0</v>
      </c>
    </row>
    <row r="136" spans="1:10" ht="16.5" hidden="1" customHeight="1" x14ac:dyDescent="0.2">
      <c r="A136" s="312"/>
      <c r="B136" s="313"/>
      <c r="C136" s="280"/>
      <c r="D136" s="279" t="e">
        <f ca="1">OFFSET(Capacidades!#REF!,(ROW()-133)*10-1,11)</f>
        <v>#REF!</v>
      </c>
      <c r="E136" s="279"/>
      <c r="F136" s="136"/>
      <c r="G136" s="61"/>
      <c r="H136" s="167"/>
      <c r="I136" s="168"/>
      <c r="J136" s="155">
        <f t="shared" si="1"/>
        <v>0</v>
      </c>
    </row>
    <row r="137" spans="1:10" ht="15.75" hidden="1" customHeight="1" x14ac:dyDescent="0.2">
      <c r="A137" s="312"/>
      <c r="B137" s="313"/>
      <c r="C137" s="280"/>
      <c r="D137" s="279" t="e">
        <f ca="1">OFFSET(Capacidades!#REF!,(ROW()-133)*10-1,11)</f>
        <v>#REF!</v>
      </c>
      <c r="E137" s="279"/>
      <c r="F137" s="136"/>
      <c r="G137" s="61"/>
      <c r="H137" s="167"/>
      <c r="I137" s="168"/>
      <c r="J137" s="155">
        <f t="shared" si="1"/>
        <v>0</v>
      </c>
    </row>
    <row r="138" spans="1:10" ht="15.75" hidden="1" customHeight="1" x14ac:dyDescent="0.2">
      <c r="A138" s="312"/>
      <c r="B138" s="313"/>
      <c r="C138" s="280"/>
      <c r="D138" s="279" t="e">
        <f ca="1">OFFSET(Capacidades!#REF!,(ROW()-133)*10-1,11)</f>
        <v>#REF!</v>
      </c>
      <c r="E138" s="279"/>
      <c r="F138" s="136"/>
      <c r="G138" s="61"/>
      <c r="H138" s="167"/>
      <c r="I138" s="168"/>
      <c r="J138" s="155">
        <f t="shared" si="1"/>
        <v>0</v>
      </c>
    </row>
    <row r="139" spans="1:10" ht="20.25" hidden="1" customHeight="1" x14ac:dyDescent="0.2">
      <c r="A139" s="312"/>
      <c r="B139" s="313"/>
      <c r="C139" s="280"/>
      <c r="D139" s="279" t="e">
        <f ca="1">OFFSET(Capacidades!#REF!,(ROW()-133)*10-1,11)</f>
        <v>#REF!</v>
      </c>
      <c r="E139" s="279"/>
      <c r="F139" s="136"/>
      <c r="G139" s="61"/>
      <c r="H139" s="167"/>
      <c r="I139" s="168"/>
      <c r="J139" s="155">
        <f t="shared" ref="J139:J195" si="2">SUM(H139:I139)</f>
        <v>0</v>
      </c>
    </row>
    <row r="140" spans="1:10" ht="16.5" hidden="1" customHeight="1" x14ac:dyDescent="0.2">
      <c r="A140" s="312"/>
      <c r="B140" s="313"/>
      <c r="C140" s="280"/>
      <c r="D140" s="279" t="e">
        <f ca="1">OFFSET(Capacidades!#REF!,(ROW()-133)*10-1,11)</f>
        <v>#REF!</v>
      </c>
      <c r="E140" s="279"/>
      <c r="F140" s="136"/>
      <c r="G140" s="61"/>
      <c r="H140" s="167"/>
      <c r="I140" s="168"/>
      <c r="J140" s="155">
        <f t="shared" si="2"/>
        <v>0</v>
      </c>
    </row>
    <row r="141" spans="1:10" ht="25.5" hidden="1" customHeight="1" x14ac:dyDescent="0.2">
      <c r="A141" s="312"/>
      <c r="B141" s="313"/>
      <c r="C141" s="280"/>
      <c r="D141" s="279" t="e">
        <f ca="1">OFFSET(Capacidades!#REF!,(ROW()-133)*10-1,11)</f>
        <v>#REF!</v>
      </c>
      <c r="E141" s="279"/>
      <c r="F141" s="136"/>
      <c r="G141" s="61"/>
      <c r="H141" s="167"/>
      <c r="I141" s="168"/>
      <c r="J141" s="155">
        <f t="shared" si="2"/>
        <v>0</v>
      </c>
    </row>
    <row r="142" spans="1:10" ht="17.25" hidden="1" customHeight="1" x14ac:dyDescent="0.2">
      <c r="A142" s="312"/>
      <c r="B142" s="313"/>
      <c r="C142" s="280"/>
      <c r="D142" s="279" t="e">
        <f ca="1">OFFSET(Capacidades!#REF!,(ROW()-133)*10-1,11)</f>
        <v>#REF!</v>
      </c>
      <c r="E142" s="279"/>
      <c r="F142" s="136"/>
      <c r="G142" s="61"/>
      <c r="H142" s="167"/>
      <c r="I142" s="168"/>
      <c r="J142" s="155">
        <f t="shared" si="2"/>
        <v>0</v>
      </c>
    </row>
    <row r="143" spans="1:10" ht="20.25" hidden="1" customHeight="1" x14ac:dyDescent="0.2">
      <c r="A143" s="312"/>
      <c r="B143" s="313"/>
      <c r="C143" s="280"/>
      <c r="D143" s="279" t="e">
        <f ca="1">OFFSET(Capacidades!#REF!,(ROW()-133)*10-1,11)</f>
        <v>#REF!</v>
      </c>
      <c r="E143" s="279"/>
      <c r="F143" s="136"/>
      <c r="G143" s="61"/>
      <c r="H143" s="167"/>
      <c r="I143" s="168"/>
      <c r="J143" s="155">
        <f t="shared" si="2"/>
        <v>0</v>
      </c>
    </row>
    <row r="144" spans="1:10" ht="18" hidden="1" customHeight="1" x14ac:dyDescent="0.2">
      <c r="A144" s="312"/>
      <c r="B144" s="313"/>
      <c r="C144" s="280"/>
      <c r="D144" s="279" t="e">
        <f ca="1">OFFSET(Capacidades!#REF!,(ROW()-133)*10-1,11)</f>
        <v>#REF!</v>
      </c>
      <c r="E144" s="279"/>
      <c r="F144" s="136"/>
      <c r="G144" s="61"/>
      <c r="H144" s="167"/>
      <c r="I144" s="168"/>
      <c r="J144" s="155">
        <f t="shared" si="2"/>
        <v>0</v>
      </c>
    </row>
    <row r="145" spans="1:10" ht="18" hidden="1" customHeight="1" x14ac:dyDescent="0.2">
      <c r="A145" s="312"/>
      <c r="B145" s="313"/>
      <c r="C145" s="280"/>
      <c r="D145" s="279" t="e">
        <f ca="1">OFFSET(Capacidades!#REF!,(ROW()-133)*10-1,11)</f>
        <v>#REF!</v>
      </c>
      <c r="E145" s="279"/>
      <c r="F145" s="136"/>
      <c r="G145" s="61"/>
      <c r="H145" s="167"/>
      <c r="I145" s="168"/>
      <c r="J145" s="155">
        <f t="shared" si="2"/>
        <v>0</v>
      </c>
    </row>
    <row r="146" spans="1:10" ht="21" hidden="1" customHeight="1" x14ac:dyDescent="0.2">
      <c r="A146" s="312"/>
      <c r="B146" s="313"/>
      <c r="C146" s="280"/>
      <c r="D146" s="279" t="e">
        <f ca="1">OFFSET(Capacidades!#REF!,(ROW()-133)*10-1,11)</f>
        <v>#REF!</v>
      </c>
      <c r="E146" s="279"/>
      <c r="F146" s="136"/>
      <c r="G146" s="61"/>
      <c r="H146" s="167"/>
      <c r="I146" s="168"/>
      <c r="J146" s="155">
        <f t="shared" si="2"/>
        <v>0</v>
      </c>
    </row>
    <row r="147" spans="1:10" ht="3.75" hidden="1" customHeight="1" x14ac:dyDescent="0.2">
      <c r="A147" s="312"/>
      <c r="B147" s="313"/>
      <c r="C147" s="280"/>
      <c r="D147" s="279" t="e">
        <f ca="1">OFFSET(Capacidades!#REF!,(ROW()-133)*10-1,11)</f>
        <v>#REF!</v>
      </c>
      <c r="E147" s="279"/>
      <c r="F147" s="136"/>
      <c r="G147" s="61"/>
      <c r="H147" s="167"/>
      <c r="I147" s="168"/>
      <c r="J147" s="155">
        <f t="shared" si="2"/>
        <v>0</v>
      </c>
    </row>
    <row r="148" spans="1:10" ht="21" hidden="1" customHeight="1" x14ac:dyDescent="0.2">
      <c r="A148" s="312"/>
      <c r="B148" s="313"/>
      <c r="C148" s="280"/>
      <c r="D148" s="279" t="e">
        <f ca="1">OFFSET(Capacidades!#REF!,(ROW()-133)*10-1,11)</f>
        <v>#REF!</v>
      </c>
      <c r="E148" s="279"/>
      <c r="F148" s="136"/>
      <c r="G148" s="61"/>
      <c r="H148" s="167"/>
      <c r="I148" s="168"/>
      <c r="J148" s="155">
        <f t="shared" si="2"/>
        <v>0</v>
      </c>
    </row>
    <row r="149" spans="1:10" ht="16.5" hidden="1" customHeight="1" x14ac:dyDescent="0.2">
      <c r="A149" s="312"/>
      <c r="B149" s="313"/>
      <c r="C149" s="280"/>
      <c r="D149" s="279" t="e">
        <f ca="1">OFFSET(Capacidades!#REF!,(ROW()-133)*10-1,11)</f>
        <v>#REF!</v>
      </c>
      <c r="E149" s="279"/>
      <c r="F149" s="136"/>
      <c r="G149" s="61"/>
      <c r="H149" s="167"/>
      <c r="I149" s="168"/>
      <c r="J149" s="155">
        <f t="shared" si="2"/>
        <v>0</v>
      </c>
    </row>
    <row r="150" spans="1:10" ht="18" hidden="1" customHeight="1" x14ac:dyDescent="0.2">
      <c r="A150" s="312"/>
      <c r="B150" s="313"/>
      <c r="C150" s="280"/>
      <c r="D150" s="279" t="e">
        <f ca="1">OFFSET(Capacidades!#REF!,(ROW()-133)*10-1,11)</f>
        <v>#REF!</v>
      </c>
      <c r="E150" s="279"/>
      <c r="F150" s="136"/>
      <c r="G150" s="61"/>
      <c r="H150" s="167"/>
      <c r="I150" s="168"/>
      <c r="J150" s="155">
        <f t="shared" si="2"/>
        <v>0</v>
      </c>
    </row>
    <row r="151" spans="1:10" ht="21" hidden="1" customHeight="1" x14ac:dyDescent="0.2">
      <c r="A151" s="312"/>
      <c r="B151" s="313"/>
      <c r="C151" s="280"/>
      <c r="D151" s="279" t="e">
        <f ca="1">OFFSET(Capacidades!#REF!,(ROW()-133)*10-1,11)</f>
        <v>#REF!</v>
      </c>
      <c r="E151" s="279"/>
      <c r="F151" s="136"/>
      <c r="G151" s="61"/>
      <c r="H151" s="167"/>
      <c r="I151" s="168"/>
      <c r="J151" s="155">
        <f t="shared" si="2"/>
        <v>0</v>
      </c>
    </row>
    <row r="152" spans="1:10" ht="16.5" hidden="1" customHeight="1" x14ac:dyDescent="0.2">
      <c r="A152" s="312"/>
      <c r="B152" s="313"/>
      <c r="C152" s="280"/>
      <c r="D152" s="279" t="e">
        <f ca="1">OFFSET(Capacidades!#REF!,(ROW()-133)*10-1,11)</f>
        <v>#REF!</v>
      </c>
      <c r="E152" s="279"/>
      <c r="F152" s="136"/>
      <c r="G152" s="61"/>
      <c r="H152" s="167"/>
      <c r="I152" s="168"/>
      <c r="J152" s="155">
        <f t="shared" si="2"/>
        <v>0</v>
      </c>
    </row>
    <row r="153" spans="1:10" ht="19.5" hidden="1" customHeight="1" x14ac:dyDescent="0.2">
      <c r="A153" s="312"/>
      <c r="B153" s="313"/>
      <c r="C153" s="280"/>
      <c r="D153" s="279" t="e">
        <f ca="1">OFFSET(Capacidades!#REF!,(ROW()-133)*10-1,11)</f>
        <v>#REF!</v>
      </c>
      <c r="E153" s="279"/>
      <c r="F153" s="136"/>
      <c r="G153" s="61"/>
      <c r="H153" s="167"/>
      <c r="I153" s="168"/>
      <c r="J153" s="155">
        <f t="shared" si="2"/>
        <v>0</v>
      </c>
    </row>
    <row r="154" spans="1:10" ht="22.5" hidden="1" customHeight="1" x14ac:dyDescent="0.2">
      <c r="A154" s="312"/>
      <c r="B154" s="314" t="str">
        <f>$B$30</f>
        <v>Competencias para la empleabilidad</v>
      </c>
      <c r="C154" s="280"/>
      <c r="D154" s="279" t="e">
        <f ca="1">OFFSET(Capacidades!#REF!,(ROW()-133)*10-1,11)</f>
        <v>#REF!</v>
      </c>
      <c r="E154" s="279"/>
      <c r="F154" s="62"/>
      <c r="G154" s="61"/>
      <c r="H154" s="167"/>
      <c r="I154" s="168"/>
      <c r="J154" s="155">
        <f t="shared" si="2"/>
        <v>0</v>
      </c>
    </row>
    <row r="155" spans="1:10" ht="22.5" hidden="1" customHeight="1" x14ac:dyDescent="0.2">
      <c r="A155" s="312"/>
      <c r="B155" s="314"/>
      <c r="C155" s="280"/>
      <c r="D155" s="279" t="e">
        <f ca="1">OFFSET(Capacidades!#REF!,(ROW()-133)*10-1,11)</f>
        <v>#REF!</v>
      </c>
      <c r="E155" s="279"/>
      <c r="F155" s="62"/>
      <c r="G155" s="61"/>
      <c r="H155" s="167"/>
      <c r="I155" s="168"/>
      <c r="J155" s="155">
        <f t="shared" si="2"/>
        <v>0</v>
      </c>
    </row>
    <row r="156" spans="1:10" ht="18" hidden="1" customHeight="1" x14ac:dyDescent="0.2">
      <c r="A156" s="312"/>
      <c r="B156" s="314"/>
      <c r="C156" s="280"/>
      <c r="D156" s="279" t="e">
        <f ca="1">OFFSET(Capacidades!#REF!,(ROW()-133)*10-1,11)</f>
        <v>#REF!</v>
      </c>
      <c r="E156" s="279"/>
      <c r="F156" s="62"/>
      <c r="G156" s="61"/>
      <c r="H156" s="167"/>
      <c r="I156" s="168"/>
      <c r="J156" s="155">
        <f t="shared" si="2"/>
        <v>0</v>
      </c>
    </row>
    <row r="157" spans="1:10" ht="15.75" hidden="1" customHeight="1" x14ac:dyDescent="0.2">
      <c r="A157" s="312"/>
      <c r="B157" s="314"/>
      <c r="C157" s="280"/>
      <c r="D157" s="279" t="e">
        <f ca="1">OFFSET(Capacidades!#REF!,(ROW()-133)*10-1,11)</f>
        <v>#REF!</v>
      </c>
      <c r="E157" s="279"/>
      <c r="F157" s="62"/>
      <c r="G157" s="61"/>
      <c r="H157" s="167"/>
      <c r="I157" s="168"/>
      <c r="J157" s="155">
        <f t="shared" si="2"/>
        <v>0</v>
      </c>
    </row>
    <row r="158" spans="1:10" ht="23.25" hidden="1" customHeight="1" x14ac:dyDescent="0.2">
      <c r="A158" s="312"/>
      <c r="B158" s="314"/>
      <c r="C158" s="280"/>
      <c r="D158" s="279" t="e">
        <f ca="1">OFFSET(Capacidades!#REF!,(ROW()-133)*10-1,11)</f>
        <v>#REF!</v>
      </c>
      <c r="E158" s="279"/>
      <c r="F158" s="62"/>
      <c r="G158" s="61"/>
      <c r="H158" s="167"/>
      <c r="I158" s="168"/>
      <c r="J158" s="155">
        <f t="shared" si="2"/>
        <v>0</v>
      </c>
    </row>
    <row r="159" spans="1:10" ht="16.5" hidden="1" customHeight="1" x14ac:dyDescent="0.2">
      <c r="A159" s="312"/>
      <c r="B159" s="314"/>
      <c r="C159" s="280"/>
      <c r="D159" s="279" t="e">
        <f ca="1">OFFSET(Capacidades!#REF!,(ROW()-133)*10-1,11)</f>
        <v>#REF!</v>
      </c>
      <c r="E159" s="279"/>
      <c r="F159" s="62"/>
      <c r="G159" s="61"/>
      <c r="H159" s="167"/>
      <c r="I159" s="168"/>
      <c r="J159" s="155">
        <f t="shared" si="2"/>
        <v>0</v>
      </c>
    </row>
    <row r="160" spans="1:10" ht="13.5" hidden="1" customHeight="1" x14ac:dyDescent="0.2">
      <c r="A160" s="312"/>
      <c r="B160" s="314"/>
      <c r="C160" s="280"/>
      <c r="D160" s="279" t="e">
        <f ca="1">OFFSET(Capacidades!#REF!,(ROW()-133)*10-1,11)</f>
        <v>#REF!</v>
      </c>
      <c r="E160" s="279"/>
      <c r="F160" s="62"/>
      <c r="G160" s="61"/>
      <c r="H160" s="167"/>
      <c r="I160" s="168"/>
      <c r="J160" s="155">
        <f t="shared" si="2"/>
        <v>0</v>
      </c>
    </row>
    <row r="161" spans="1:10" ht="17.25" hidden="1" customHeight="1" x14ac:dyDescent="0.2">
      <c r="A161" s="312"/>
      <c r="B161" s="314"/>
      <c r="C161" s="280"/>
      <c r="D161" s="279" t="e">
        <f ca="1">OFFSET(Capacidades!#REF!,(ROW()-133)*10-1,11)</f>
        <v>#REF!</v>
      </c>
      <c r="E161" s="279"/>
      <c r="F161" s="62"/>
      <c r="G161" s="61"/>
      <c r="H161" s="167"/>
      <c r="I161" s="168"/>
      <c r="J161" s="155">
        <f t="shared" si="2"/>
        <v>0</v>
      </c>
    </row>
    <row r="162" spans="1:10" ht="17.25" hidden="1" customHeight="1" x14ac:dyDescent="0.2">
      <c r="A162" s="312"/>
      <c r="B162" s="314"/>
      <c r="C162" s="280"/>
      <c r="D162" s="279" t="e">
        <f ca="1">OFFSET(Capacidades!#REF!,(ROW()-133)*10-1,11)</f>
        <v>#REF!</v>
      </c>
      <c r="E162" s="279"/>
      <c r="F162" s="62"/>
      <c r="G162" s="61"/>
      <c r="H162" s="167"/>
      <c r="I162" s="168"/>
      <c r="J162" s="155">
        <f t="shared" si="2"/>
        <v>0</v>
      </c>
    </row>
    <row r="163" spans="1:10" ht="21.75" hidden="1" customHeight="1" x14ac:dyDescent="0.2">
      <c r="A163" s="312"/>
      <c r="B163" s="314"/>
      <c r="C163" s="280"/>
      <c r="D163" s="279" t="e">
        <f ca="1">OFFSET(Capacidades!#REF!,(ROW()-133)*10-1,11)</f>
        <v>#REF!</v>
      </c>
      <c r="E163" s="279"/>
      <c r="F163" s="62"/>
      <c r="G163" s="61"/>
      <c r="H163" s="167"/>
      <c r="I163" s="168"/>
      <c r="J163" s="155">
        <f t="shared" si="2"/>
        <v>0</v>
      </c>
    </row>
    <row r="164" spans="1:10" ht="20.25" hidden="1" customHeight="1" x14ac:dyDescent="0.2">
      <c r="A164" s="312"/>
      <c r="B164" s="319" t="str">
        <f>$B$40</f>
        <v>Experiencias formativas en situaciones reales de trabajo (ESRT)</v>
      </c>
      <c r="C164" s="320"/>
      <c r="D164" s="320"/>
      <c r="E164" s="320"/>
      <c r="F164" s="180"/>
      <c r="G164" s="181"/>
      <c r="H164" s="167"/>
      <c r="I164" s="168"/>
      <c r="J164" s="155">
        <f t="shared" si="2"/>
        <v>0</v>
      </c>
    </row>
    <row r="165" spans="1:10" ht="19.5" hidden="1" customHeight="1" x14ac:dyDescent="0.2">
      <c r="A165" s="312"/>
      <c r="B165" s="313" t="str">
        <f>$B$10</f>
        <v>Competencias técnicas (Unidad de competencia)</v>
      </c>
      <c r="C165" s="280"/>
      <c r="D165" s="279" t="e">
        <f ca="1">OFFSET(Capacidades!#REF!,(ROW()-164)*10-1,11)</f>
        <v>#REF!</v>
      </c>
      <c r="E165" s="279"/>
      <c r="F165" s="136"/>
      <c r="G165" s="61"/>
      <c r="H165" s="167"/>
      <c r="I165" s="168"/>
      <c r="J165" s="155">
        <f t="shared" si="2"/>
        <v>0</v>
      </c>
    </row>
    <row r="166" spans="1:10" ht="20.25" hidden="1" customHeight="1" x14ac:dyDescent="0.2">
      <c r="A166" s="312"/>
      <c r="B166" s="313"/>
      <c r="C166" s="280"/>
      <c r="D166" s="279" t="e">
        <f ca="1">OFFSET(Capacidades!#REF!,(ROW()-164)*10-1,11)</f>
        <v>#REF!</v>
      </c>
      <c r="E166" s="279"/>
      <c r="F166" s="136"/>
      <c r="G166" s="61"/>
      <c r="H166" s="167"/>
      <c r="I166" s="168"/>
      <c r="J166" s="155">
        <f t="shared" si="2"/>
        <v>0</v>
      </c>
    </row>
    <row r="167" spans="1:10" ht="24" hidden="1" customHeight="1" x14ac:dyDescent="0.2">
      <c r="A167" s="312"/>
      <c r="B167" s="313"/>
      <c r="C167" s="280"/>
      <c r="D167" s="279" t="e">
        <f ca="1">OFFSET(Capacidades!#REF!,(ROW()-164)*10-1,11)</f>
        <v>#REF!</v>
      </c>
      <c r="E167" s="279"/>
      <c r="F167" s="136"/>
      <c r="G167" s="61"/>
      <c r="H167" s="167"/>
      <c r="I167" s="168"/>
      <c r="J167" s="155">
        <f t="shared" si="2"/>
        <v>0</v>
      </c>
    </row>
    <row r="168" spans="1:10" ht="21" hidden="1" customHeight="1" x14ac:dyDescent="0.2">
      <c r="A168" s="312"/>
      <c r="B168" s="313"/>
      <c r="C168" s="280"/>
      <c r="D168" s="279" t="e">
        <f ca="1">OFFSET(Capacidades!#REF!,(ROW()-164)*10-1,11)</f>
        <v>#REF!</v>
      </c>
      <c r="E168" s="279"/>
      <c r="F168" s="136"/>
      <c r="G168" s="61"/>
      <c r="H168" s="167"/>
      <c r="I168" s="168"/>
      <c r="J168" s="155">
        <f t="shared" si="2"/>
        <v>0</v>
      </c>
    </row>
    <row r="169" spans="1:10" ht="18" hidden="1" customHeight="1" x14ac:dyDescent="0.2">
      <c r="A169" s="312"/>
      <c r="B169" s="313"/>
      <c r="C169" s="280"/>
      <c r="D169" s="279" t="e">
        <f ca="1">OFFSET(Capacidades!#REF!,(ROW()-164)*10-1,11)</f>
        <v>#REF!</v>
      </c>
      <c r="E169" s="279"/>
      <c r="F169" s="136"/>
      <c r="G169" s="61"/>
      <c r="H169" s="167"/>
      <c r="I169" s="168"/>
      <c r="J169" s="155">
        <f t="shared" si="2"/>
        <v>0</v>
      </c>
    </row>
    <row r="170" spans="1:10" ht="19.5" hidden="1" customHeight="1" x14ac:dyDescent="0.2">
      <c r="A170" s="312"/>
      <c r="B170" s="313"/>
      <c r="C170" s="280"/>
      <c r="D170" s="279" t="e">
        <f ca="1">OFFSET(Capacidades!#REF!,(ROW()-164)*10-1,11)</f>
        <v>#REF!</v>
      </c>
      <c r="E170" s="279"/>
      <c r="F170" s="136"/>
      <c r="G170" s="61"/>
      <c r="H170" s="167"/>
      <c r="I170" s="168"/>
      <c r="J170" s="155">
        <f t="shared" si="2"/>
        <v>0</v>
      </c>
    </row>
    <row r="171" spans="1:10" ht="20.25" hidden="1" customHeight="1" x14ac:dyDescent="0.2">
      <c r="A171" s="312"/>
      <c r="B171" s="313"/>
      <c r="C171" s="280"/>
      <c r="D171" s="279" t="e">
        <f ca="1">OFFSET(Capacidades!#REF!,(ROW()-164)*10-1,11)</f>
        <v>#REF!</v>
      </c>
      <c r="E171" s="279"/>
      <c r="F171" s="136"/>
      <c r="G171" s="61"/>
      <c r="H171" s="167"/>
      <c r="I171" s="168"/>
      <c r="J171" s="155">
        <f t="shared" si="2"/>
        <v>0</v>
      </c>
    </row>
    <row r="172" spans="1:10" ht="19.5" hidden="1" customHeight="1" x14ac:dyDescent="0.2">
      <c r="A172" s="312"/>
      <c r="B172" s="313"/>
      <c r="C172" s="280"/>
      <c r="D172" s="279" t="e">
        <f ca="1">OFFSET(Capacidades!#REF!,(ROW()-164)*10-1,11)</f>
        <v>#REF!</v>
      </c>
      <c r="E172" s="279"/>
      <c r="F172" s="136"/>
      <c r="G172" s="61"/>
      <c r="H172" s="167"/>
      <c r="I172" s="168"/>
      <c r="J172" s="155">
        <f t="shared" si="2"/>
        <v>0</v>
      </c>
    </row>
    <row r="173" spans="1:10" ht="0.75" hidden="1" customHeight="1" x14ac:dyDescent="0.2">
      <c r="A173" s="312"/>
      <c r="B173" s="313"/>
      <c r="C173" s="280"/>
      <c r="D173" s="279" t="e">
        <f ca="1">OFFSET(Capacidades!#REF!,(ROW()-164)*10-1,11)</f>
        <v>#REF!</v>
      </c>
      <c r="E173" s="279"/>
      <c r="F173" s="136"/>
      <c r="G173" s="61"/>
      <c r="H173" s="167"/>
      <c r="I173" s="168"/>
      <c r="J173" s="155">
        <f t="shared" si="2"/>
        <v>0</v>
      </c>
    </row>
    <row r="174" spans="1:10" ht="21" hidden="1" customHeight="1" x14ac:dyDescent="0.2">
      <c r="A174" s="312"/>
      <c r="B174" s="313"/>
      <c r="C174" s="280"/>
      <c r="D174" s="279" t="e">
        <f ca="1">OFFSET(Capacidades!#REF!,(ROW()-164)*10-1,11)</f>
        <v>#REF!</v>
      </c>
      <c r="E174" s="279"/>
      <c r="F174" s="136"/>
      <c r="G174" s="61"/>
      <c r="H174" s="167"/>
      <c r="I174" s="168"/>
      <c r="J174" s="155">
        <f t="shared" si="2"/>
        <v>0</v>
      </c>
    </row>
    <row r="175" spans="1:10" ht="23.25" hidden="1" customHeight="1" x14ac:dyDescent="0.2">
      <c r="A175" s="312"/>
      <c r="B175" s="313"/>
      <c r="C175" s="280"/>
      <c r="D175" s="279" t="e">
        <f ca="1">OFFSET(Capacidades!#REF!,(ROW()-164)*10-1,11)</f>
        <v>#REF!</v>
      </c>
      <c r="E175" s="279"/>
      <c r="F175" s="136"/>
      <c r="G175" s="61"/>
      <c r="H175" s="167"/>
      <c r="I175" s="168"/>
      <c r="J175" s="155">
        <f t="shared" si="2"/>
        <v>0</v>
      </c>
    </row>
    <row r="176" spans="1:10" ht="23.25" hidden="1" customHeight="1" x14ac:dyDescent="0.2">
      <c r="A176" s="312"/>
      <c r="B176" s="313"/>
      <c r="C176" s="280"/>
      <c r="D176" s="279" t="e">
        <f ca="1">OFFSET(Capacidades!#REF!,(ROW()-164)*10-1,11)</f>
        <v>#REF!</v>
      </c>
      <c r="E176" s="279"/>
      <c r="F176" s="136"/>
      <c r="G176" s="61"/>
      <c r="H176" s="167"/>
      <c r="I176" s="168"/>
      <c r="J176" s="155">
        <f t="shared" si="2"/>
        <v>0</v>
      </c>
    </row>
    <row r="177" spans="1:10" ht="18" hidden="1" customHeight="1" x14ac:dyDescent="0.2">
      <c r="A177" s="312"/>
      <c r="B177" s="313"/>
      <c r="C177" s="280"/>
      <c r="D177" s="279" t="e">
        <f ca="1">OFFSET(Capacidades!#REF!,(ROW()-164)*10-1,11)</f>
        <v>#REF!</v>
      </c>
      <c r="E177" s="279"/>
      <c r="F177" s="136"/>
      <c r="G177" s="61"/>
      <c r="H177" s="167"/>
      <c r="I177" s="168"/>
      <c r="J177" s="155">
        <f t="shared" si="2"/>
        <v>0</v>
      </c>
    </row>
    <row r="178" spans="1:10" ht="15.75" hidden="1" customHeight="1" x14ac:dyDescent="0.2">
      <c r="A178" s="312"/>
      <c r="B178" s="313"/>
      <c r="C178" s="280"/>
      <c r="D178" s="279" t="e">
        <f ca="1">OFFSET(Capacidades!#REF!,(ROW()-164)*10-1,11)</f>
        <v>#REF!</v>
      </c>
      <c r="E178" s="279"/>
      <c r="F178" s="136"/>
      <c r="G178" s="61"/>
      <c r="H178" s="167"/>
      <c r="I178" s="168"/>
      <c r="J178" s="155">
        <f t="shared" si="2"/>
        <v>0</v>
      </c>
    </row>
    <row r="179" spans="1:10" ht="14.25" hidden="1" customHeight="1" x14ac:dyDescent="0.2">
      <c r="A179" s="312"/>
      <c r="B179" s="313"/>
      <c r="C179" s="280"/>
      <c r="D179" s="279" t="e">
        <f ca="1">OFFSET(Capacidades!#REF!,(ROW()-164)*10-1,11)</f>
        <v>#REF!</v>
      </c>
      <c r="E179" s="279"/>
      <c r="F179" s="136"/>
      <c r="G179" s="61"/>
      <c r="H179" s="167"/>
      <c r="I179" s="168"/>
      <c r="J179" s="155">
        <f t="shared" si="2"/>
        <v>0</v>
      </c>
    </row>
    <row r="180" spans="1:10" ht="18" hidden="1" customHeight="1" x14ac:dyDescent="0.2">
      <c r="A180" s="312"/>
      <c r="B180" s="313"/>
      <c r="C180" s="280"/>
      <c r="D180" s="279" t="e">
        <f ca="1">OFFSET(Capacidades!#REF!,(ROW()-164)*10-1,11)</f>
        <v>#REF!</v>
      </c>
      <c r="E180" s="279"/>
      <c r="F180" s="136"/>
      <c r="G180" s="61"/>
      <c r="H180" s="167"/>
      <c r="I180" s="168"/>
      <c r="J180" s="155">
        <f t="shared" si="2"/>
        <v>0</v>
      </c>
    </row>
    <row r="181" spans="1:10" ht="22.5" hidden="1" customHeight="1" x14ac:dyDescent="0.2">
      <c r="A181" s="312"/>
      <c r="B181" s="313"/>
      <c r="C181" s="280"/>
      <c r="D181" s="279" t="e">
        <f ca="1">OFFSET(Capacidades!#REF!,(ROW()-164)*10-1,11)</f>
        <v>#REF!</v>
      </c>
      <c r="E181" s="279"/>
      <c r="F181" s="136"/>
      <c r="G181" s="61"/>
      <c r="H181" s="167"/>
      <c r="I181" s="168"/>
      <c r="J181" s="155">
        <f t="shared" si="2"/>
        <v>0</v>
      </c>
    </row>
    <row r="182" spans="1:10" ht="16.5" hidden="1" customHeight="1" x14ac:dyDescent="0.2">
      <c r="A182" s="312"/>
      <c r="B182" s="313"/>
      <c r="C182" s="280"/>
      <c r="D182" s="279" t="e">
        <f ca="1">OFFSET(Capacidades!#REF!,(ROW()-164)*10-1,11)</f>
        <v>#REF!</v>
      </c>
      <c r="E182" s="279"/>
      <c r="F182" s="136"/>
      <c r="G182" s="61"/>
      <c r="H182" s="167"/>
      <c r="I182" s="168"/>
      <c r="J182" s="155">
        <f t="shared" si="2"/>
        <v>0</v>
      </c>
    </row>
    <row r="183" spans="1:10" ht="20.25" hidden="1" customHeight="1" x14ac:dyDescent="0.2">
      <c r="A183" s="312"/>
      <c r="B183" s="313"/>
      <c r="C183" s="280"/>
      <c r="D183" s="279" t="e">
        <f ca="1">OFFSET(Capacidades!#REF!,(ROW()-164)*10-1,11)</f>
        <v>#REF!</v>
      </c>
      <c r="E183" s="279"/>
      <c r="F183" s="136"/>
      <c r="G183" s="61"/>
      <c r="H183" s="167"/>
      <c r="I183" s="168"/>
      <c r="J183" s="155">
        <f t="shared" si="2"/>
        <v>0</v>
      </c>
    </row>
    <row r="184" spans="1:10" ht="22.5" hidden="1" customHeight="1" x14ac:dyDescent="0.2">
      <c r="A184" s="312"/>
      <c r="B184" s="313"/>
      <c r="C184" s="280"/>
      <c r="D184" s="279" t="e">
        <f ca="1">OFFSET(Capacidades!#REF!,(ROW()-164)*10-1,11)</f>
        <v>#REF!</v>
      </c>
      <c r="E184" s="279"/>
      <c r="F184" s="136"/>
      <c r="G184" s="61"/>
      <c r="H184" s="167"/>
      <c r="I184" s="168"/>
      <c r="J184" s="155">
        <f t="shared" si="2"/>
        <v>0</v>
      </c>
    </row>
    <row r="185" spans="1:10" ht="18" hidden="1" customHeight="1" x14ac:dyDescent="0.2">
      <c r="A185" s="312"/>
      <c r="B185" s="314" t="str">
        <f>$B$30</f>
        <v>Competencias para la empleabilidad</v>
      </c>
      <c r="C185" s="280"/>
      <c r="D185" s="279" t="e">
        <f ca="1">OFFSET(Capacidades!#REF!,(ROW()-164)*10-1,11)</f>
        <v>#REF!</v>
      </c>
      <c r="E185" s="279"/>
      <c r="F185" s="62"/>
      <c r="G185" s="61"/>
      <c r="H185" s="167"/>
      <c r="I185" s="168"/>
      <c r="J185" s="155">
        <f t="shared" si="2"/>
        <v>0</v>
      </c>
    </row>
    <row r="186" spans="1:10" ht="21" hidden="1" customHeight="1" x14ac:dyDescent="0.2">
      <c r="A186" s="312"/>
      <c r="B186" s="314"/>
      <c r="C186" s="280"/>
      <c r="D186" s="279" t="e">
        <f ca="1">OFFSET(Capacidades!#REF!,(ROW()-164)*10-1,11)</f>
        <v>#REF!</v>
      </c>
      <c r="E186" s="279"/>
      <c r="F186" s="62"/>
      <c r="G186" s="61"/>
      <c r="H186" s="167"/>
      <c r="I186" s="168"/>
      <c r="J186" s="155">
        <f t="shared" si="2"/>
        <v>0</v>
      </c>
    </row>
    <row r="187" spans="1:10" ht="15.75" hidden="1" customHeight="1" x14ac:dyDescent="0.2">
      <c r="A187" s="312"/>
      <c r="B187" s="314"/>
      <c r="C187" s="280"/>
      <c r="D187" s="279" t="e">
        <f ca="1">OFFSET(Capacidades!#REF!,(ROW()-164)*10-1,11)</f>
        <v>#REF!</v>
      </c>
      <c r="E187" s="279"/>
      <c r="F187" s="62"/>
      <c r="G187" s="61"/>
      <c r="H187" s="167"/>
      <c r="I187" s="168"/>
      <c r="J187" s="155">
        <f t="shared" si="2"/>
        <v>0</v>
      </c>
    </row>
    <row r="188" spans="1:10" ht="15" hidden="1" customHeight="1" x14ac:dyDescent="0.2">
      <c r="A188" s="312"/>
      <c r="B188" s="314"/>
      <c r="C188" s="280"/>
      <c r="D188" s="279" t="e">
        <f ca="1">OFFSET(Capacidades!#REF!,(ROW()-164)*10-1,11)</f>
        <v>#REF!</v>
      </c>
      <c r="E188" s="279"/>
      <c r="F188" s="62"/>
      <c r="G188" s="61"/>
      <c r="H188" s="167"/>
      <c r="I188" s="168"/>
      <c r="J188" s="155">
        <f t="shared" si="2"/>
        <v>0</v>
      </c>
    </row>
    <row r="189" spans="1:10" ht="15" hidden="1" customHeight="1" x14ac:dyDescent="0.2">
      <c r="A189" s="312"/>
      <c r="B189" s="314"/>
      <c r="C189" s="280"/>
      <c r="D189" s="279" t="e">
        <f ca="1">OFFSET(Capacidades!#REF!,(ROW()-164)*10-1,11)</f>
        <v>#REF!</v>
      </c>
      <c r="E189" s="279"/>
      <c r="F189" s="62"/>
      <c r="G189" s="61"/>
      <c r="H189" s="167"/>
      <c r="I189" s="168"/>
      <c r="J189" s="155">
        <f t="shared" si="2"/>
        <v>0</v>
      </c>
    </row>
    <row r="190" spans="1:10" ht="18" hidden="1" customHeight="1" x14ac:dyDescent="0.2">
      <c r="A190" s="312"/>
      <c r="B190" s="314"/>
      <c r="C190" s="280"/>
      <c r="D190" s="279" t="e">
        <f ca="1">OFFSET(Capacidades!#REF!,(ROW()-164)*10-1,11)</f>
        <v>#REF!</v>
      </c>
      <c r="E190" s="279"/>
      <c r="F190" s="62"/>
      <c r="G190" s="61"/>
      <c r="H190" s="167"/>
      <c r="I190" s="168"/>
      <c r="J190" s="155">
        <f t="shared" si="2"/>
        <v>0</v>
      </c>
    </row>
    <row r="191" spans="1:10" ht="21.75" hidden="1" customHeight="1" x14ac:dyDescent="0.2">
      <c r="A191" s="312"/>
      <c r="B191" s="314"/>
      <c r="C191" s="280"/>
      <c r="D191" s="279" t="e">
        <f ca="1">OFFSET(Capacidades!#REF!,(ROW()-164)*10-1,11)</f>
        <v>#REF!</v>
      </c>
      <c r="E191" s="279"/>
      <c r="F191" s="62"/>
      <c r="G191" s="61"/>
      <c r="H191" s="167"/>
      <c r="I191" s="168"/>
      <c r="J191" s="155">
        <f t="shared" si="2"/>
        <v>0</v>
      </c>
    </row>
    <row r="192" spans="1:10" ht="14.25" hidden="1" customHeight="1" x14ac:dyDescent="0.2">
      <c r="A192" s="312"/>
      <c r="B192" s="314"/>
      <c r="C192" s="280"/>
      <c r="D192" s="279" t="e">
        <f ca="1">OFFSET(Capacidades!#REF!,(ROW()-164)*10-1,11)</f>
        <v>#REF!</v>
      </c>
      <c r="E192" s="279"/>
      <c r="F192" s="62"/>
      <c r="G192" s="61"/>
      <c r="H192" s="167"/>
      <c r="I192" s="168"/>
      <c r="J192" s="155">
        <f t="shared" si="2"/>
        <v>0</v>
      </c>
    </row>
    <row r="193" spans="1:10" ht="0.75" customHeight="1" x14ac:dyDescent="0.2">
      <c r="A193" s="312"/>
      <c r="B193" s="314"/>
      <c r="C193" s="280"/>
      <c r="D193" s="279" t="e">
        <f ca="1">OFFSET(Capacidades!#REF!,(ROW()-164)*10-1,11)</f>
        <v>#REF!</v>
      </c>
      <c r="E193" s="279"/>
      <c r="F193" s="62"/>
      <c r="G193" s="61"/>
      <c r="H193" s="167"/>
      <c r="I193" s="168"/>
      <c r="J193" s="155">
        <f t="shared" si="2"/>
        <v>0</v>
      </c>
    </row>
    <row r="194" spans="1:10" ht="3" hidden="1" customHeight="1" x14ac:dyDescent="0.2">
      <c r="A194" s="312"/>
      <c r="B194" s="314"/>
      <c r="C194" s="280"/>
      <c r="D194" s="279" t="e">
        <f ca="1">OFFSET(Capacidades!#REF!,(ROW()-164)*10-1,11)</f>
        <v>#REF!</v>
      </c>
      <c r="E194" s="279"/>
      <c r="F194" s="62"/>
      <c r="G194" s="61"/>
      <c r="H194" s="167"/>
      <c r="I194" s="168"/>
      <c r="J194" s="155">
        <f t="shared" si="2"/>
        <v>0</v>
      </c>
    </row>
    <row r="195" spans="1:10" ht="33.75" customHeight="1" x14ac:dyDescent="0.2">
      <c r="A195" s="312"/>
      <c r="B195" s="319" t="str">
        <f>$B$40</f>
        <v>Experiencias formativas en situaciones reales de trabajo (ESRT)</v>
      </c>
      <c r="C195" s="320"/>
      <c r="D195" s="320"/>
      <c r="E195" s="320"/>
      <c r="F195" s="180"/>
      <c r="G195" s="181"/>
      <c r="H195" s="167">
        <v>0</v>
      </c>
      <c r="I195" s="168">
        <v>4</v>
      </c>
      <c r="J195" s="155">
        <f t="shared" si="2"/>
        <v>4</v>
      </c>
    </row>
    <row r="196" spans="1:10" ht="23.25" customHeight="1" x14ac:dyDescent="0.2">
      <c r="A196" s="321" t="s">
        <v>163</v>
      </c>
      <c r="B196" s="321"/>
      <c r="C196" s="321"/>
      <c r="D196" s="322"/>
      <c r="E196" s="322"/>
      <c r="F196" s="322"/>
      <c r="G196" s="322"/>
      <c r="I196" s="96"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96">
        <f>B196</f>
        <v>0</v>
      </c>
    </row>
  </sheetData>
  <autoFilter ref="A9:J196" xr:uid="{00000000-0009-0000-0000-000003000000}">
    <filterColumn colId="1" showButton="0"/>
    <filterColumn colId="3" showButton="0"/>
    <filterColumn colId="5">
      <customFilters>
        <customFilter operator="notEqual" val=" "/>
      </customFilters>
    </filterColumn>
    <filterColumn colId="6">
      <customFilters>
        <customFilter operator="notEqual" val=" "/>
      </customFilters>
    </filterColumn>
    <filterColumn colId="8">
      <customFilters>
        <customFilter operator="notEqual" val=" "/>
      </customFilters>
    </filterColumn>
    <filterColumn colId="9">
      <filters>
        <filter val="1"/>
        <filter val="2"/>
        <filter val="3"/>
        <filter val="4"/>
        <filter val="5"/>
      </filters>
    </filterColumn>
  </autoFilter>
  <mergeCells count="227">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C61:C70"/>
    <mergeCell ref="D61:E61"/>
    <mergeCell ref="D62:E62"/>
    <mergeCell ref="D63:E63"/>
    <mergeCell ref="D64:E64"/>
    <mergeCell ref="D65:E65"/>
    <mergeCell ref="D66:E66"/>
    <mergeCell ref="D67:E67"/>
    <mergeCell ref="D68:E68"/>
    <mergeCell ref="D69:E69"/>
    <mergeCell ref="D70:E70"/>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92:C101"/>
    <mergeCell ref="D92:E92"/>
    <mergeCell ref="D93:E93"/>
    <mergeCell ref="D94:E94"/>
    <mergeCell ref="D95:E95"/>
    <mergeCell ref="D96:E96"/>
    <mergeCell ref="D97:E97"/>
    <mergeCell ref="D98:E98"/>
    <mergeCell ref="D99:E99"/>
    <mergeCell ref="D100:E100"/>
    <mergeCell ref="D101:E101"/>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s>
  <conditionalFormatting sqref="A10:A195">
    <cfRule type="containsBlanks" dxfId="78" priority="8">
      <formula>LEN(TRIM(A10))=0</formula>
    </cfRule>
  </conditionalFormatting>
  <conditionalFormatting sqref="C10:C39">
    <cfRule type="containsBlanks" dxfId="77" priority="7">
      <formula>LEN(TRIM(C10))=0</formula>
    </cfRule>
  </conditionalFormatting>
  <conditionalFormatting sqref="C41:C70">
    <cfRule type="containsBlanks" dxfId="76" priority="6">
      <formula>LEN(TRIM(C41))=0</formula>
    </cfRule>
  </conditionalFormatting>
  <conditionalFormatting sqref="C72:C101">
    <cfRule type="containsBlanks" dxfId="75" priority="5">
      <formula>LEN(TRIM(C72))=0</formula>
    </cfRule>
  </conditionalFormatting>
  <conditionalFormatting sqref="C103:C132">
    <cfRule type="containsBlanks" dxfId="74" priority="4">
      <formula>LEN(TRIM(C103))=0</formula>
    </cfRule>
  </conditionalFormatting>
  <conditionalFormatting sqref="C134:C163">
    <cfRule type="containsBlanks" dxfId="73" priority="3">
      <formula>LEN(TRIM(C134))=0</formula>
    </cfRule>
  </conditionalFormatting>
  <conditionalFormatting sqref="C165:C194">
    <cfRule type="containsBlanks" dxfId="72" priority="2">
      <formula>LEN(TRIM(C165))=0</formula>
    </cfRule>
  </conditionalFormatting>
  <conditionalFormatting sqref="F10:I39 H40:I40 F41:I70 H71:I71 F72:I101 H102:I102 F103:I132 H133:I133 F134:I163 H164:I164">
    <cfRule type="containsBlanks" dxfId="71" priority="22">
      <formula>LEN(TRIM(F10))=0</formula>
    </cfRule>
  </conditionalFormatting>
  <conditionalFormatting sqref="F165:I194 H195:I195">
    <cfRule type="containsBlanks" dxfId="70" priority="21">
      <formula>LEN(TRIM(F165))=0</formula>
    </cfRule>
  </conditionalFormatting>
  <conditionalFormatting sqref="I10:I195">
    <cfRule type="cellIs" dxfId="69" priority="1" operator="equal">
      <formula>0</formula>
    </cfRule>
  </conditionalFormatting>
  <conditionalFormatting sqref="J10:J39 J41:J70 J72:J101 J103:J132 J134:J163 J165:J194">
    <cfRule type="cellIs" dxfId="68" priority="13" operator="greaterThan">
      <formula>5</formula>
    </cfRule>
  </conditionalFormatting>
  <printOptions horizontalCentered="1" verticalCentered="1"/>
  <pageMargins left="0.31496062992125984" right="0.31496062992125984" top="0.35433070866141736" bottom="0.35433070866141736" header="0.31496062992125984" footer="0.31496062992125984"/>
  <pageSetup scale="81" orientation="landscape" r:id="rId1"/>
  <ignoredErrors>
    <ignoredError sqref="J10: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2060"/>
  </sheetPr>
  <dimension ref="A1:M360"/>
  <sheetViews>
    <sheetView showGridLines="0" topLeftCell="A329" zoomScaleNormal="100" workbookViewId="0">
      <selection activeCell="A347" sqref="A347:XFD347"/>
    </sheetView>
  </sheetViews>
  <sheetFormatPr baseColWidth="10" defaultColWidth="11.42578125" defaultRowHeight="12.75" x14ac:dyDescent="0.2"/>
  <cols>
    <col min="1" max="1" width="39.7109375" style="58" customWidth="1"/>
    <col min="2" max="2" width="48.85546875" style="107" customWidth="1"/>
    <col min="3" max="3" width="64.5703125" style="107" customWidth="1"/>
    <col min="4" max="4" width="24.42578125" style="59" customWidth="1"/>
    <col min="5" max="5" width="7.85546875" style="59" customWidth="1"/>
    <col min="6" max="7" width="6.7109375" style="58" customWidth="1"/>
    <col min="8" max="8" width="8.7109375" style="58" customWidth="1"/>
    <col min="9" max="9" width="6.7109375" style="58" customWidth="1"/>
    <col min="10" max="10" width="11" style="58" customWidth="1"/>
    <col min="11" max="11" width="10" style="58" customWidth="1"/>
    <col min="12" max="12" width="16.7109375" style="58" customWidth="1"/>
    <col min="13" max="13" width="6.42578125" style="2" customWidth="1"/>
    <col min="14" max="16384" width="11.42578125" style="2"/>
  </cols>
  <sheetData>
    <row r="1" spans="1:13" s="57" customFormat="1" ht="18.75" x14ac:dyDescent="0.2">
      <c r="A1" s="345" t="s">
        <v>174</v>
      </c>
      <c r="B1" s="345"/>
      <c r="C1" s="345"/>
      <c r="D1" s="345"/>
      <c r="E1" s="345"/>
      <c r="F1" s="345"/>
      <c r="G1" s="345"/>
      <c r="H1" s="345"/>
      <c r="I1" s="345"/>
      <c r="J1" s="345"/>
      <c r="K1" s="345"/>
      <c r="L1" s="345"/>
    </row>
    <row r="2" spans="1:13" s="57" customFormat="1" ht="15.75" x14ac:dyDescent="0.2">
      <c r="A2" s="91"/>
      <c r="B2" s="91"/>
      <c r="C2" s="91"/>
      <c r="D2" s="91"/>
      <c r="E2" s="91"/>
      <c r="F2" s="91"/>
      <c r="G2" s="91"/>
      <c r="H2" s="91"/>
      <c r="I2" s="91"/>
      <c r="J2" s="91"/>
      <c r="K2" s="91"/>
      <c r="L2" s="91"/>
    </row>
    <row r="3" spans="1:13" ht="25.5" customHeight="1" x14ac:dyDescent="0.2">
      <c r="A3" s="19" t="s">
        <v>38</v>
      </c>
      <c r="B3" s="292" t="str">
        <f>Perfil_Egreso!B3</f>
        <v>CETPRO JUANJUI</v>
      </c>
      <c r="C3" s="292"/>
      <c r="D3" s="9"/>
      <c r="E3" s="9"/>
      <c r="F3" s="327" t="s">
        <v>186</v>
      </c>
      <c r="G3" s="327"/>
      <c r="H3" s="328"/>
      <c r="I3" s="325" t="str">
        <f>Perfil_Egreso!E3</f>
        <v>0533836</v>
      </c>
      <c r="J3" s="326"/>
      <c r="K3" s="326"/>
      <c r="L3" s="310"/>
    </row>
    <row r="4" spans="1:13" ht="13.5" customHeight="1" x14ac:dyDescent="0.2">
      <c r="A4" s="35"/>
      <c r="B4" s="35"/>
      <c r="C4" s="20"/>
      <c r="D4" s="20"/>
      <c r="E4" s="20"/>
      <c r="F4" s="9"/>
      <c r="G4" s="9"/>
      <c r="H4" s="9"/>
      <c r="I4" s="9"/>
      <c r="J4" s="9"/>
      <c r="K4" s="9"/>
      <c r="L4" s="9"/>
    </row>
    <row r="5" spans="1:13" ht="40.5"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39.75"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row>
    <row r="13" spans="1:13" ht="18.75" customHeight="1" x14ac:dyDescent="0.2">
      <c r="A13" s="346" t="s">
        <v>104</v>
      </c>
      <c r="B13" s="346"/>
      <c r="C13" s="346"/>
      <c r="D13" s="346"/>
      <c r="E13" s="346"/>
      <c r="F13" s="346"/>
      <c r="G13" s="346"/>
      <c r="H13" s="346"/>
      <c r="I13" s="346"/>
      <c r="J13" s="346"/>
      <c r="K13" s="346"/>
      <c r="L13" s="346"/>
    </row>
    <row r="14" spans="1:13" ht="36" customHeight="1" x14ac:dyDescent="0.2">
      <c r="A14" s="347"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B14" s="347"/>
      <c r="C14" s="347"/>
      <c r="D14" s="347"/>
      <c r="E14" s="347"/>
      <c r="F14" s="347"/>
      <c r="G14" s="347"/>
      <c r="H14" s="347"/>
      <c r="I14" s="347"/>
      <c r="J14" s="347"/>
      <c r="K14" s="347"/>
      <c r="L14" s="347"/>
    </row>
    <row r="15" spans="1:13" ht="21" x14ac:dyDescent="0.2">
      <c r="A15" s="159" t="s">
        <v>103</v>
      </c>
      <c r="B15" s="348" t="str">
        <f>Organización_Modular!A10</f>
        <v>MÓDULO 1: GESTION DE SERVICIOS TECNOLOGICOS</v>
      </c>
      <c r="C15" s="348"/>
      <c r="D15" s="348"/>
      <c r="E15" s="348"/>
      <c r="F15" s="348"/>
      <c r="G15" s="348"/>
      <c r="H15" s="348"/>
      <c r="I15" s="348"/>
      <c r="J15" s="348"/>
      <c r="K15" s="348"/>
      <c r="L15" s="348"/>
    </row>
    <row r="16" spans="1:13" ht="18" customHeight="1" x14ac:dyDescent="0.2">
      <c r="A16" s="349" t="s">
        <v>102</v>
      </c>
      <c r="B16" s="350" t="s">
        <v>101</v>
      </c>
      <c r="C16" s="349" t="s">
        <v>97</v>
      </c>
      <c r="D16" s="349" t="s">
        <v>0</v>
      </c>
      <c r="E16" s="364" t="s">
        <v>61</v>
      </c>
      <c r="F16" s="349" t="s">
        <v>90</v>
      </c>
      <c r="G16" s="349"/>
      <c r="H16" s="349" t="s">
        <v>90</v>
      </c>
      <c r="I16" s="349" t="s">
        <v>96</v>
      </c>
      <c r="J16" s="349"/>
      <c r="K16" s="349" t="s">
        <v>96</v>
      </c>
      <c r="L16" s="349" t="s">
        <v>100</v>
      </c>
      <c r="M16" s="363" t="s">
        <v>118</v>
      </c>
    </row>
    <row r="17" spans="1:13" ht="32.450000000000003" customHeight="1" x14ac:dyDescent="0.2">
      <c r="A17" s="349"/>
      <c r="B17" s="350"/>
      <c r="C17" s="349"/>
      <c r="D17" s="349"/>
      <c r="E17" s="364"/>
      <c r="F17" s="160" t="s">
        <v>94</v>
      </c>
      <c r="G17" s="160" t="s">
        <v>93</v>
      </c>
      <c r="H17" s="349"/>
      <c r="I17" s="160" t="s">
        <v>94</v>
      </c>
      <c r="J17" s="160" t="s">
        <v>93</v>
      </c>
      <c r="K17" s="349"/>
      <c r="L17" s="349"/>
      <c r="M17" s="363"/>
    </row>
    <row r="18" spans="1:13" ht="54.75" customHeight="1" x14ac:dyDescent="0.2">
      <c r="A18" s="342" t="str">
        <f>Capacidades!L10</f>
        <v xml:space="preserve">UC1 C1 Identificar las necesidades o requerimientos del cliente  considerando procedimientos establecidos y buenas prácticas de gestión de incidentes.    </v>
      </c>
      <c r="B18" s="170" t="str">
        <f>Capacidades!M10</f>
        <v>C1 I1 Interpreta los reportes del funcionamiento del sistema de información en producción o puesta en marcha según las funciones y alcance de los sistemas.</v>
      </c>
      <c r="C18" s="171" t="s">
        <v>505</v>
      </c>
      <c r="D18" s="11" t="str">
        <f>Organización_Modular!F10</f>
        <v>Análisis de requerimientos de Tecnología de la Información.</v>
      </c>
      <c r="E18" s="11" t="str">
        <f>Organización_Modular!G10</f>
        <v>I</v>
      </c>
      <c r="F18" s="11">
        <f>Organización_Modular!H10</f>
        <v>2</v>
      </c>
      <c r="G18" s="11">
        <f>Organización_Modular!I10</f>
        <v>3</v>
      </c>
      <c r="H18" s="12">
        <f>SUM(F18:G18)</f>
        <v>5</v>
      </c>
      <c r="I18" s="12">
        <f>F18*16</f>
        <v>32</v>
      </c>
      <c r="J18" s="12">
        <f>G18*32</f>
        <v>96</v>
      </c>
      <c r="K18" s="12">
        <f>SUM(I18:J18)</f>
        <v>128</v>
      </c>
      <c r="L18" s="338" t="s">
        <v>631</v>
      </c>
      <c r="M18" s="95" t="str">
        <f>B18</f>
        <v>C1 I1 Interpreta los reportes del funcionamiento del sistema de información en producción o puesta en marcha según las funciones y alcance de los sistemas.</v>
      </c>
    </row>
    <row r="19" spans="1:13" ht="69" customHeight="1" x14ac:dyDescent="0.2">
      <c r="A19" s="343"/>
      <c r="B19" s="170" t="str">
        <f>Capacidades!M11</f>
        <v>C1 I2 Detecta las fallas e incidencias del sistema de información en producción o puesta en marcha  considerando procedimientos establecidos y buenas prácticas de gestión de incidentes.</v>
      </c>
      <c r="C19" s="171" t="s">
        <v>523</v>
      </c>
      <c r="D19" s="13"/>
      <c r="E19" s="13"/>
      <c r="F19" s="14"/>
      <c r="G19" s="14"/>
      <c r="H19" s="14"/>
      <c r="I19" s="14"/>
      <c r="J19" s="14"/>
      <c r="K19" s="14"/>
      <c r="L19" s="339"/>
      <c r="M19" s="95" t="str">
        <f t="shared" ref="M19:M75" si="0">B19</f>
        <v>C1 I2 Detecta las fallas e incidencias del sistema de información en producción o puesta en marcha  considerando procedimientos establecidos y buenas prácticas de gestión de incidentes.</v>
      </c>
    </row>
    <row r="20" spans="1:13" ht="66" customHeight="1" x14ac:dyDescent="0.2">
      <c r="A20" s="343"/>
      <c r="B20" s="170" t="str">
        <f>Capacidades!M12</f>
        <v>C1 I3 Clasifica las fallas e incidencias del sistema de información en producción o puesta en marcha  considerando procedimientos establecidos y buenas prácticas de gestión de incidentes.</v>
      </c>
      <c r="C20" s="171" t="s">
        <v>506</v>
      </c>
      <c r="D20" s="13"/>
      <c r="E20" s="13"/>
      <c r="F20" s="14"/>
      <c r="G20" s="14"/>
      <c r="H20" s="14"/>
      <c r="I20" s="14"/>
      <c r="J20" s="14"/>
      <c r="K20" s="14"/>
      <c r="L20" s="339"/>
      <c r="M20" s="95" t="str">
        <f t="shared" si="0"/>
        <v>C1 I3 Clasifica las fallas e incidencias del sistema de información en producción o puesta en marcha  considerando procedimientos establecidos y buenas prácticas de gestión de incidentes.</v>
      </c>
    </row>
    <row r="21" spans="1:13" ht="89.25" customHeight="1" x14ac:dyDescent="0.2">
      <c r="A21" s="342" t="str">
        <f>Capacidades!L20</f>
        <v xml:space="preserve">UC1 C2 Resolver las incidencias o fallas del sistema de información en el primer nivel  considerando procedimientos establecidos y buenas prácticas de gestión de TI (marco metodologias COBIT y ITIL)     </v>
      </c>
      <c r="B21" s="170" t="str">
        <f>Capacidades!M20</f>
        <v xml:space="preserve">C2 I1 Analiza las incidencias o fallas del sistema de información en el primer nivel  considerando procedimientos establecidos y buenas prácticas de gestión de TI (marco metodologias COBIT y ITIL) </v>
      </c>
      <c r="C21" s="171" t="s">
        <v>524</v>
      </c>
      <c r="D21" s="11" t="str">
        <f>Organización_Modular!F11</f>
        <v xml:space="preserve">Atención de incidencias del sistema de infomación </v>
      </c>
      <c r="E21" s="11" t="str">
        <f>Organización_Modular!G11</f>
        <v>I</v>
      </c>
      <c r="F21" s="11">
        <f>Organización_Modular!H11</f>
        <v>2</v>
      </c>
      <c r="G21" s="11">
        <f>Organización_Modular!I11</f>
        <v>3</v>
      </c>
      <c r="H21" s="12">
        <f>SUM(F21:G21)</f>
        <v>5</v>
      </c>
      <c r="I21" s="12">
        <f>F21*16</f>
        <v>32</v>
      </c>
      <c r="J21" s="12">
        <f>G21*32</f>
        <v>96</v>
      </c>
      <c r="K21" s="12">
        <f>SUM(I21:J21)</f>
        <v>128</v>
      </c>
      <c r="L21" s="339"/>
      <c r="M21" s="95" t="str">
        <f t="shared" si="0"/>
        <v xml:space="preserve">C2 I1 Analiza las incidencias o fallas del sistema de información en el primer nivel  considerando procedimientos establecidos y buenas prácticas de gestión de TI (marco metodologias COBIT y ITIL) </v>
      </c>
    </row>
    <row r="22" spans="1:13" ht="56.25" customHeight="1" x14ac:dyDescent="0.2">
      <c r="A22" s="343"/>
      <c r="B22" s="170" t="str">
        <f>Capacidades!M21</f>
        <v xml:space="preserve">C2 I2 Plantea estrategias de solución  teniendo en cuenta las incidencia o falla del sistema de información, los procedimiento establecidos y buenas prácticas de gestión de TI </v>
      </c>
      <c r="C22" s="171" t="s">
        <v>525</v>
      </c>
      <c r="D22" s="13"/>
      <c r="E22" s="13"/>
      <c r="F22" s="14"/>
      <c r="G22" s="14"/>
      <c r="H22" s="14"/>
      <c r="I22" s="14"/>
      <c r="J22" s="14"/>
      <c r="K22" s="14"/>
      <c r="L22" s="339"/>
      <c r="M22" s="95" t="str">
        <f t="shared" si="0"/>
        <v xml:space="preserve">C2 I2 Plantea estrategias de solución  teniendo en cuenta las incidencia o falla del sistema de información, los procedimiento establecidos y buenas prácticas de gestión de TI </v>
      </c>
    </row>
    <row r="23" spans="1:13" ht="59.25" customHeight="1" x14ac:dyDescent="0.2">
      <c r="A23" s="343"/>
      <c r="B23" s="170" t="str">
        <f>Capacidades!M22</f>
        <v xml:space="preserve">C2 I3 Determina  la estrategia de solución  teniendo en cuenta las incidencia o falla del sistema de información, los procedimiento establecidos y buenas prácticas de gestión de TI </v>
      </c>
      <c r="C23" s="171" t="s">
        <v>526</v>
      </c>
      <c r="D23" s="13"/>
      <c r="E23" s="13"/>
      <c r="F23" s="14"/>
      <c r="G23" s="14"/>
      <c r="H23" s="14"/>
      <c r="I23" s="14"/>
      <c r="J23" s="14"/>
      <c r="K23" s="14"/>
      <c r="L23" s="339"/>
      <c r="M23" s="95" t="str">
        <f t="shared" si="0"/>
        <v xml:space="preserve">C2 I3 Determina  la estrategia de solución  teniendo en cuenta las incidencia o falla del sistema de información, los procedimiento establecidos y buenas prácticas de gestión de TI </v>
      </c>
    </row>
    <row r="24" spans="1:13" ht="63.75" customHeight="1" x14ac:dyDescent="0.2">
      <c r="A24" s="343"/>
      <c r="B24" s="170" t="str">
        <f>Capacidades!M23</f>
        <v xml:space="preserve">C2 I4 Aplica  estrategia de solución  siguiendo los procedimiento establecidos y buenas prácticas de gestión de TI </v>
      </c>
      <c r="C24" s="171" t="s">
        <v>507</v>
      </c>
      <c r="D24" s="13"/>
      <c r="E24" s="13"/>
      <c r="F24" s="14"/>
      <c r="G24" s="14"/>
      <c r="H24" s="14"/>
      <c r="I24" s="14"/>
      <c r="J24" s="14"/>
      <c r="K24" s="14"/>
      <c r="L24" s="339"/>
      <c r="M24" s="95" t="str">
        <f t="shared" si="0"/>
        <v xml:space="preserve">C2 I4 Aplica  estrategia de solución  siguiendo los procedimiento establecidos y buenas prácticas de gestión de TI </v>
      </c>
    </row>
    <row r="25" spans="1:13" ht="48" customHeight="1" x14ac:dyDescent="0.2">
      <c r="A25" s="343"/>
      <c r="B25" s="170" t="str">
        <f>Capacidades!M24</f>
        <v>C2 I5 Comprueba el funcionamiento del sistema de información  considerando los estándares de calidad establecidos.</v>
      </c>
      <c r="C25" s="171" t="s">
        <v>508</v>
      </c>
      <c r="D25" s="13"/>
      <c r="E25" s="13"/>
      <c r="F25" s="14"/>
      <c r="G25" s="14"/>
      <c r="H25" s="14"/>
      <c r="I25" s="14"/>
      <c r="J25" s="14"/>
      <c r="K25" s="14"/>
      <c r="L25" s="339"/>
      <c r="M25" s="95" t="str">
        <f t="shared" si="0"/>
        <v>C2 I5 Comprueba el funcionamiento del sistema de información  considerando los estándares de calidad establecidos.</v>
      </c>
    </row>
    <row r="26" spans="1:13" ht="12.75" hidden="1" customHeight="1" x14ac:dyDescent="0.2">
      <c r="A26" s="343"/>
      <c r="B26" s="170" t="str">
        <f>Capacidades!M25</f>
        <v xml:space="preserve">   </v>
      </c>
      <c r="C26" s="171"/>
      <c r="D26" s="13"/>
      <c r="E26" s="13"/>
      <c r="F26" s="14"/>
      <c r="G26" s="14"/>
      <c r="H26" s="14"/>
      <c r="I26" s="14"/>
      <c r="J26" s="14"/>
      <c r="K26" s="14"/>
      <c r="L26" s="248"/>
      <c r="M26" s="95" t="str">
        <f t="shared" si="0"/>
        <v xml:space="preserve">   </v>
      </c>
    </row>
    <row r="27" spans="1:13" ht="12.75" hidden="1" customHeight="1" x14ac:dyDescent="0.2">
      <c r="A27" s="343"/>
      <c r="B27" s="170"/>
      <c r="C27" s="171"/>
      <c r="D27" s="13"/>
      <c r="E27" s="13"/>
      <c r="F27" s="14"/>
      <c r="G27" s="14"/>
      <c r="H27" s="14"/>
      <c r="I27" s="14"/>
      <c r="J27" s="14"/>
      <c r="K27" s="14"/>
      <c r="L27" s="248"/>
      <c r="M27" s="95">
        <f t="shared" si="0"/>
        <v>0</v>
      </c>
    </row>
    <row r="28" spans="1:13" ht="12.75" hidden="1" customHeight="1" x14ac:dyDescent="0.2">
      <c r="A28" s="343"/>
      <c r="B28" s="170"/>
      <c r="C28" s="171"/>
      <c r="D28" s="13"/>
      <c r="E28" s="13"/>
      <c r="F28" s="14"/>
      <c r="G28" s="14"/>
      <c r="H28" s="14"/>
      <c r="I28" s="14"/>
      <c r="J28" s="14"/>
      <c r="K28" s="14"/>
      <c r="L28" s="248"/>
      <c r="M28" s="95">
        <f t="shared" si="0"/>
        <v>0</v>
      </c>
    </row>
    <row r="29" spans="1:13" ht="12.75" hidden="1" customHeight="1" x14ac:dyDescent="0.2">
      <c r="A29" s="343"/>
      <c r="B29" s="170"/>
      <c r="C29" s="171"/>
      <c r="D29" s="13"/>
      <c r="E29" s="13"/>
      <c r="F29" s="14"/>
      <c r="G29" s="14"/>
      <c r="H29" s="14"/>
      <c r="I29" s="14"/>
      <c r="J29" s="14"/>
      <c r="K29" s="14"/>
      <c r="L29" s="248"/>
      <c r="M29" s="95">
        <f t="shared" si="0"/>
        <v>0</v>
      </c>
    </row>
    <row r="30" spans="1:13" ht="12.75" hidden="1" customHeight="1" x14ac:dyDescent="0.2">
      <c r="A30" s="344"/>
      <c r="B30" s="170" t="str">
        <f>Capacidades!M29</f>
        <v xml:space="preserve">   </v>
      </c>
      <c r="C30" s="171"/>
      <c r="D30" s="15"/>
      <c r="E30" s="15"/>
      <c r="F30" s="16"/>
      <c r="G30" s="16"/>
      <c r="H30" s="16"/>
      <c r="I30" s="16"/>
      <c r="J30" s="16"/>
      <c r="K30" s="16"/>
      <c r="L30" s="249"/>
      <c r="M30" s="95" t="str">
        <f t="shared" si="0"/>
        <v xml:space="preserve">   </v>
      </c>
    </row>
    <row r="31" spans="1:13" ht="107.1" customHeight="1" x14ac:dyDescent="0.2">
      <c r="A31" s="342" t="str">
        <f>Capacidades!L30</f>
        <v xml:space="preserve">UC1 C3 Elaborar  los reportes de las incidencia de los sistemas de información  considerando procedimientos establecidos y buenas prácticas de gestión de TI (marco metodologias COBIT y ITIL)     </v>
      </c>
      <c r="B31" s="170" t="str">
        <f>Capacidades!M30</f>
        <v>C2 I1 Identifica  los incidentes o requerimientos de los usuarios atendidos aplicando los procedimientos establecidos según la política de la organización.</v>
      </c>
      <c r="C31" s="171" t="s">
        <v>527</v>
      </c>
      <c r="D31" s="11" t="str">
        <f>Organización_Modular!F12</f>
        <v>Reporte de incidencia del sistema de información</v>
      </c>
      <c r="E31" s="11" t="str">
        <f>Organización_Modular!G12</f>
        <v>I</v>
      </c>
      <c r="F31" s="11">
        <f>Organización_Modular!H12</f>
        <v>2</v>
      </c>
      <c r="G31" s="11">
        <f>Organización_Modular!I12</f>
        <v>2</v>
      </c>
      <c r="H31" s="12">
        <f>SUM(F31:G31)</f>
        <v>4</v>
      </c>
      <c r="I31" s="12">
        <f>F31*16</f>
        <v>32</v>
      </c>
      <c r="J31" s="12">
        <f>G31*32</f>
        <v>64</v>
      </c>
      <c r="K31" s="12">
        <f>SUM(I31:J31)</f>
        <v>96</v>
      </c>
      <c r="L31" s="338" t="s">
        <v>631</v>
      </c>
      <c r="M31" s="95" t="str">
        <f t="shared" si="0"/>
        <v>C2 I1 Identifica  los incidentes o requerimientos de los usuarios atendidos aplicando los procedimientos establecidos según la política de la organización.</v>
      </c>
    </row>
    <row r="32" spans="1:13" ht="94.5" customHeight="1" x14ac:dyDescent="0.2">
      <c r="A32" s="343"/>
      <c r="B32" s="170" t="str">
        <f>Capacidades!M31</f>
        <v>C2 I2 Señala  las lecciones aprendidas considerando procedimientos establecidos y buenas practicas de gestión de TI.</v>
      </c>
      <c r="C32" s="171" t="s">
        <v>509</v>
      </c>
      <c r="D32" s="13"/>
      <c r="E32" s="13"/>
      <c r="F32" s="14"/>
      <c r="G32" s="14"/>
      <c r="H32" s="14"/>
      <c r="I32" s="14"/>
      <c r="J32" s="14"/>
      <c r="K32" s="14"/>
      <c r="L32" s="339"/>
      <c r="M32" s="95" t="str">
        <f t="shared" si="0"/>
        <v>C2 I2 Señala  las lecciones aprendidas considerando procedimientos establecidos y buenas practicas de gestión de TI.</v>
      </c>
    </row>
    <row r="33" spans="1:13" ht="109.5" customHeight="1" x14ac:dyDescent="0.2">
      <c r="A33" s="343"/>
      <c r="B33" s="170" t="str">
        <f>Capacidades!M32</f>
        <v>C2 I3 Clasifica los incidentes o requerimientos de los usuarios atendidos en una BD o repositorio considerando procedimientos establecidos y buenas practicas de gestión de TI.</v>
      </c>
      <c r="C33" s="171" t="s">
        <v>510</v>
      </c>
      <c r="D33" s="13"/>
      <c r="E33" s="13"/>
      <c r="F33" s="14"/>
      <c r="G33" s="14"/>
      <c r="H33" s="14"/>
      <c r="I33" s="14"/>
      <c r="J33" s="14"/>
      <c r="K33" s="14"/>
      <c r="L33" s="339"/>
      <c r="M33" s="95" t="str">
        <f t="shared" si="0"/>
        <v>C2 I3 Clasifica los incidentes o requerimientos de los usuarios atendidos en una BD o repositorio considerando procedimientos establecidos y buenas practicas de gestión de TI.</v>
      </c>
    </row>
    <row r="34" spans="1:13" ht="60" customHeight="1" x14ac:dyDescent="0.2">
      <c r="A34" s="343"/>
      <c r="B34" s="170" t="str">
        <f>Capacidades!M33</f>
        <v>C2 I4 Documenta las acciones de gestión de inicdenicias y/o requerimientos  generando reportes de cumplimiento, de acuerdo a los niveles de servicio TI.</v>
      </c>
      <c r="C34" s="171" t="s">
        <v>511</v>
      </c>
      <c r="D34" s="13"/>
      <c r="E34" s="13"/>
      <c r="F34" s="14"/>
      <c r="G34" s="14"/>
      <c r="H34" s="14"/>
      <c r="I34" s="14"/>
      <c r="J34" s="14"/>
      <c r="K34" s="14"/>
      <c r="L34" s="339"/>
      <c r="M34" s="95" t="str">
        <f t="shared" si="0"/>
        <v>C2 I4 Documenta las acciones de gestión de inicdenicias y/o requerimientos  generando reportes de cumplimiento, de acuerdo a los niveles de servicio TI.</v>
      </c>
    </row>
    <row r="35" spans="1:13" ht="87" customHeight="1" x14ac:dyDescent="0.2">
      <c r="A35" s="343"/>
      <c r="B35" s="170" t="str">
        <f>Capacidades!M34</f>
        <v xml:space="preserve">C2 I5 Realiza   copias de seguridad  según los procedimientos establecidos. </v>
      </c>
      <c r="C35" s="171" t="s">
        <v>512</v>
      </c>
      <c r="D35" s="13"/>
      <c r="E35" s="13"/>
      <c r="F35" s="14"/>
      <c r="G35" s="14"/>
      <c r="H35" s="14"/>
      <c r="I35" s="14"/>
      <c r="J35" s="14"/>
      <c r="K35" s="14"/>
      <c r="L35" s="339"/>
      <c r="M35" s="95" t="str">
        <f t="shared" si="0"/>
        <v xml:space="preserve">C2 I5 Realiza   copias de seguridad  según los procedimientos establecidos. </v>
      </c>
    </row>
    <row r="36" spans="1:13" ht="12.75" hidden="1" customHeight="1" x14ac:dyDescent="0.2">
      <c r="A36" s="343"/>
      <c r="B36" s="170" t="str">
        <f>Capacidades!M35</f>
        <v xml:space="preserve">   </v>
      </c>
      <c r="C36" s="171"/>
      <c r="D36" s="13"/>
      <c r="E36" s="13"/>
      <c r="F36" s="14"/>
      <c r="G36" s="14"/>
      <c r="H36" s="14"/>
      <c r="I36" s="14"/>
      <c r="J36" s="14"/>
      <c r="K36" s="14"/>
      <c r="L36" s="339"/>
      <c r="M36" s="95" t="str">
        <f t="shared" si="0"/>
        <v xml:space="preserve">   </v>
      </c>
    </row>
    <row r="37" spans="1:13" ht="12.75" hidden="1" customHeight="1" x14ac:dyDescent="0.2">
      <c r="A37" s="343"/>
      <c r="B37" s="170" t="str">
        <f>Capacidades!M36</f>
        <v xml:space="preserve">   </v>
      </c>
      <c r="C37" s="171"/>
      <c r="D37" s="13"/>
      <c r="E37" s="13"/>
      <c r="F37" s="14"/>
      <c r="G37" s="14"/>
      <c r="H37" s="14"/>
      <c r="I37" s="14"/>
      <c r="J37" s="14"/>
      <c r="K37" s="14"/>
      <c r="L37" s="339"/>
      <c r="M37" s="95" t="str">
        <f t="shared" si="0"/>
        <v xml:space="preserve">   </v>
      </c>
    </row>
    <row r="38" spans="1:13" ht="12.75" hidden="1" customHeight="1" x14ac:dyDescent="0.2">
      <c r="A38" s="343"/>
      <c r="B38" s="170" t="str">
        <f>Capacidades!M37</f>
        <v xml:space="preserve">   </v>
      </c>
      <c r="C38" s="171"/>
      <c r="D38" s="13"/>
      <c r="E38" s="13"/>
      <c r="F38" s="14"/>
      <c r="G38" s="14"/>
      <c r="H38" s="14"/>
      <c r="I38" s="14"/>
      <c r="J38" s="14"/>
      <c r="K38" s="14"/>
      <c r="L38" s="339"/>
      <c r="M38" s="95" t="str">
        <f t="shared" si="0"/>
        <v xml:space="preserve">   </v>
      </c>
    </row>
    <row r="39" spans="1:13" ht="12.75" hidden="1" customHeight="1" x14ac:dyDescent="0.2">
      <c r="A39" s="343"/>
      <c r="B39" s="170" t="str">
        <f>Capacidades!M38</f>
        <v xml:space="preserve">   </v>
      </c>
      <c r="C39" s="171"/>
      <c r="D39" s="13"/>
      <c r="E39" s="13"/>
      <c r="F39" s="14"/>
      <c r="G39" s="14"/>
      <c r="H39" s="14"/>
      <c r="I39" s="14"/>
      <c r="J39" s="14"/>
      <c r="K39" s="14"/>
      <c r="L39" s="339"/>
      <c r="M39" s="95" t="str">
        <f t="shared" si="0"/>
        <v xml:space="preserve">   </v>
      </c>
    </row>
    <row r="40" spans="1:13" ht="12.75" hidden="1" customHeight="1" x14ac:dyDescent="0.2">
      <c r="A40" s="344"/>
      <c r="B40" s="170" t="str">
        <f>Capacidades!M39</f>
        <v xml:space="preserve">   </v>
      </c>
      <c r="C40" s="171"/>
      <c r="D40" s="15"/>
      <c r="E40" s="15"/>
      <c r="F40" s="16"/>
      <c r="G40" s="16"/>
      <c r="H40" s="16"/>
      <c r="I40" s="16"/>
      <c r="J40" s="16"/>
      <c r="K40" s="16"/>
      <c r="L40" s="340"/>
      <c r="M40" s="95" t="str">
        <f t="shared" si="0"/>
        <v xml:space="preserve">   </v>
      </c>
    </row>
    <row r="41" spans="1:13" hidden="1" x14ac:dyDescent="0.2">
      <c r="A41" s="342" t="str">
        <f>Capacidades!L40</f>
        <v xml:space="preserve">       </v>
      </c>
      <c r="B41" s="170" t="str">
        <f>Capacidades!M40</f>
        <v xml:space="preserve">   </v>
      </c>
      <c r="C41" s="171"/>
      <c r="D41" s="11">
        <f>Organización_Modular!F13</f>
        <v>0</v>
      </c>
      <c r="E41" s="11">
        <f>Organización_Modular!G13</f>
        <v>0</v>
      </c>
      <c r="F41" s="11">
        <f>Organización_Modular!H13</f>
        <v>0</v>
      </c>
      <c r="G41" s="11">
        <f>Organización_Modular!I13</f>
        <v>0</v>
      </c>
      <c r="H41" s="12">
        <f>SUM(F41:G41)</f>
        <v>0</v>
      </c>
      <c r="I41" s="12">
        <f>F41*16</f>
        <v>0</v>
      </c>
      <c r="J41" s="12">
        <f>G41*32</f>
        <v>0</v>
      </c>
      <c r="K41" s="12">
        <f>SUM(I41:J41)</f>
        <v>0</v>
      </c>
      <c r="L41" s="335"/>
      <c r="M41" s="95" t="str">
        <f t="shared" si="0"/>
        <v xml:space="preserve">   </v>
      </c>
    </row>
    <row r="42" spans="1:13" hidden="1" x14ac:dyDescent="0.2">
      <c r="A42" s="343"/>
      <c r="B42" s="170" t="str">
        <f>Capacidades!M41</f>
        <v xml:space="preserve">   </v>
      </c>
      <c r="C42" s="171"/>
      <c r="D42" s="13"/>
      <c r="E42" s="13"/>
      <c r="F42" s="14"/>
      <c r="G42" s="14"/>
      <c r="H42" s="14"/>
      <c r="I42" s="14"/>
      <c r="J42" s="14"/>
      <c r="K42" s="14"/>
      <c r="L42" s="336"/>
      <c r="M42" s="95" t="str">
        <f t="shared" si="0"/>
        <v xml:space="preserve">   </v>
      </c>
    </row>
    <row r="43" spans="1:13" ht="4.5" hidden="1" customHeight="1" x14ac:dyDescent="0.2">
      <c r="A43" s="343"/>
      <c r="B43" s="170" t="str">
        <f>Capacidades!M42</f>
        <v xml:space="preserve">   </v>
      </c>
      <c r="C43" s="171"/>
      <c r="D43" s="13"/>
      <c r="E43" s="13"/>
      <c r="F43" s="14"/>
      <c r="G43" s="14"/>
      <c r="H43" s="14"/>
      <c r="I43" s="14"/>
      <c r="J43" s="14"/>
      <c r="K43" s="14"/>
      <c r="L43" s="336"/>
      <c r="M43" s="95" t="str">
        <f t="shared" si="0"/>
        <v xml:space="preserve">   </v>
      </c>
    </row>
    <row r="44" spans="1:13" hidden="1" x14ac:dyDescent="0.2">
      <c r="A44" s="343"/>
      <c r="B44" s="170" t="str">
        <f>Capacidades!M43</f>
        <v xml:space="preserve">   </v>
      </c>
      <c r="C44" s="171"/>
      <c r="D44" s="13"/>
      <c r="E44" s="13"/>
      <c r="F44" s="14"/>
      <c r="G44" s="14"/>
      <c r="H44" s="14"/>
      <c r="I44" s="14"/>
      <c r="J44" s="14"/>
      <c r="K44" s="14"/>
      <c r="L44" s="336"/>
      <c r="M44" s="95" t="str">
        <f t="shared" si="0"/>
        <v xml:space="preserve">   </v>
      </c>
    </row>
    <row r="45" spans="1:13" hidden="1" x14ac:dyDescent="0.2">
      <c r="A45" s="343"/>
      <c r="B45" s="170" t="str">
        <f>Capacidades!M44</f>
        <v xml:space="preserve">   </v>
      </c>
      <c r="C45" s="171"/>
      <c r="D45" s="13"/>
      <c r="E45" s="13"/>
      <c r="F45" s="14"/>
      <c r="G45" s="14"/>
      <c r="H45" s="14"/>
      <c r="I45" s="14"/>
      <c r="J45" s="14"/>
      <c r="K45" s="14"/>
      <c r="L45" s="336"/>
      <c r="M45" s="95" t="str">
        <f t="shared" si="0"/>
        <v xml:space="preserve">   </v>
      </c>
    </row>
    <row r="46" spans="1:13" hidden="1" x14ac:dyDescent="0.2">
      <c r="A46" s="343"/>
      <c r="B46" s="170" t="str">
        <f>Capacidades!M45</f>
        <v xml:space="preserve">   </v>
      </c>
      <c r="C46" s="171"/>
      <c r="D46" s="13"/>
      <c r="E46" s="13"/>
      <c r="F46" s="14"/>
      <c r="G46" s="14"/>
      <c r="H46" s="14"/>
      <c r="I46" s="14"/>
      <c r="J46" s="14"/>
      <c r="K46" s="14"/>
      <c r="L46" s="336"/>
      <c r="M46" s="95" t="str">
        <f t="shared" si="0"/>
        <v xml:space="preserve">   </v>
      </c>
    </row>
    <row r="47" spans="1:13" hidden="1" x14ac:dyDescent="0.2">
      <c r="A47" s="343"/>
      <c r="B47" s="170" t="str">
        <f>Capacidades!M46</f>
        <v xml:space="preserve">   </v>
      </c>
      <c r="C47" s="171"/>
      <c r="D47" s="13"/>
      <c r="E47" s="13"/>
      <c r="F47" s="14"/>
      <c r="G47" s="14"/>
      <c r="H47" s="14"/>
      <c r="I47" s="14"/>
      <c r="J47" s="14"/>
      <c r="K47" s="14"/>
      <c r="L47" s="336"/>
      <c r="M47" s="95" t="str">
        <f t="shared" si="0"/>
        <v xml:space="preserve">   </v>
      </c>
    </row>
    <row r="48" spans="1:13" hidden="1" x14ac:dyDescent="0.2">
      <c r="A48" s="343"/>
      <c r="B48" s="170" t="str">
        <f>Capacidades!M47</f>
        <v xml:space="preserve">   </v>
      </c>
      <c r="C48" s="171"/>
      <c r="D48" s="13"/>
      <c r="E48" s="13"/>
      <c r="F48" s="14"/>
      <c r="G48" s="14"/>
      <c r="H48" s="14"/>
      <c r="I48" s="14"/>
      <c r="J48" s="14"/>
      <c r="K48" s="14"/>
      <c r="L48" s="336"/>
      <c r="M48" s="95" t="str">
        <f t="shared" si="0"/>
        <v xml:space="preserve">   </v>
      </c>
    </row>
    <row r="49" spans="1:13" hidden="1" x14ac:dyDescent="0.2">
      <c r="A49" s="343"/>
      <c r="B49" s="170" t="str">
        <f>Capacidades!M48</f>
        <v xml:space="preserve">   </v>
      </c>
      <c r="C49" s="171"/>
      <c r="D49" s="13"/>
      <c r="E49" s="13"/>
      <c r="F49" s="14"/>
      <c r="G49" s="14"/>
      <c r="H49" s="14"/>
      <c r="I49" s="14"/>
      <c r="J49" s="14"/>
      <c r="K49" s="14"/>
      <c r="L49" s="336"/>
      <c r="M49" s="95" t="str">
        <f t="shared" si="0"/>
        <v xml:space="preserve">   </v>
      </c>
    </row>
    <row r="50" spans="1:13" hidden="1" x14ac:dyDescent="0.2">
      <c r="A50" s="344"/>
      <c r="B50" s="170" t="str">
        <f>Capacidades!M49</f>
        <v xml:space="preserve">   </v>
      </c>
      <c r="C50" s="171"/>
      <c r="D50" s="15"/>
      <c r="E50" s="15"/>
      <c r="F50" s="16"/>
      <c r="G50" s="16"/>
      <c r="H50" s="16"/>
      <c r="I50" s="16"/>
      <c r="J50" s="16"/>
      <c r="K50" s="16"/>
      <c r="L50" s="337"/>
      <c r="M50" s="95" t="str">
        <f t="shared" si="0"/>
        <v xml:space="preserve">   </v>
      </c>
    </row>
    <row r="51" spans="1:13" hidden="1" x14ac:dyDescent="0.2">
      <c r="A51" s="342" t="str">
        <f>Capacidades!L50</f>
        <v xml:space="preserve">       </v>
      </c>
      <c r="B51" s="170" t="str">
        <f>Capacidades!M50</f>
        <v xml:space="preserve">   </v>
      </c>
      <c r="C51" s="171"/>
      <c r="D51" s="11">
        <f>Organización_Modular!F14</f>
        <v>0</v>
      </c>
      <c r="E51" s="11">
        <f>Organización_Modular!G14</f>
        <v>0</v>
      </c>
      <c r="F51" s="11">
        <f>Organización_Modular!H14</f>
        <v>0</v>
      </c>
      <c r="G51" s="11">
        <f>Organización_Modular!I14</f>
        <v>0</v>
      </c>
      <c r="H51" s="12">
        <f>SUM(F51:G51)</f>
        <v>0</v>
      </c>
      <c r="I51" s="12">
        <f>F51*16</f>
        <v>0</v>
      </c>
      <c r="J51" s="12">
        <f>G51*32</f>
        <v>0</v>
      </c>
      <c r="K51" s="12">
        <f>SUM(I51:J51)</f>
        <v>0</v>
      </c>
      <c r="L51" s="335"/>
      <c r="M51" s="95" t="str">
        <f t="shared" si="0"/>
        <v xml:space="preserve">   </v>
      </c>
    </row>
    <row r="52" spans="1:13" hidden="1" x14ac:dyDescent="0.2">
      <c r="A52" s="343"/>
      <c r="B52" s="170" t="str">
        <f>Capacidades!M51</f>
        <v xml:space="preserve">   </v>
      </c>
      <c r="C52" s="171"/>
      <c r="D52" s="13"/>
      <c r="E52" s="13"/>
      <c r="F52" s="14"/>
      <c r="G52" s="14"/>
      <c r="H52" s="14"/>
      <c r="I52" s="14"/>
      <c r="J52" s="14"/>
      <c r="K52" s="14"/>
      <c r="L52" s="336"/>
      <c r="M52" s="95" t="str">
        <f t="shared" si="0"/>
        <v xml:space="preserve">   </v>
      </c>
    </row>
    <row r="53" spans="1:13" hidden="1" x14ac:dyDescent="0.2">
      <c r="A53" s="343"/>
      <c r="B53" s="170" t="str">
        <f>Capacidades!M52</f>
        <v xml:space="preserve">   </v>
      </c>
      <c r="C53" s="171"/>
      <c r="D53" s="13"/>
      <c r="E53" s="13"/>
      <c r="F53" s="14"/>
      <c r="G53" s="14"/>
      <c r="H53" s="14"/>
      <c r="I53" s="14"/>
      <c r="J53" s="14"/>
      <c r="K53" s="14"/>
      <c r="L53" s="336"/>
      <c r="M53" s="95" t="str">
        <f t="shared" si="0"/>
        <v xml:space="preserve">   </v>
      </c>
    </row>
    <row r="54" spans="1:13" hidden="1" x14ac:dyDescent="0.2">
      <c r="A54" s="343"/>
      <c r="B54" s="170" t="str">
        <f>Capacidades!M53</f>
        <v xml:space="preserve">   </v>
      </c>
      <c r="C54" s="171"/>
      <c r="D54" s="13"/>
      <c r="E54" s="13"/>
      <c r="F54" s="14"/>
      <c r="G54" s="14"/>
      <c r="H54" s="14"/>
      <c r="I54" s="14"/>
      <c r="J54" s="14"/>
      <c r="K54" s="14"/>
      <c r="L54" s="336"/>
      <c r="M54" s="95" t="str">
        <f t="shared" si="0"/>
        <v xml:space="preserve">   </v>
      </c>
    </row>
    <row r="55" spans="1:13" hidden="1" x14ac:dyDescent="0.2">
      <c r="A55" s="343"/>
      <c r="B55" s="170" t="str">
        <f>Capacidades!M54</f>
        <v xml:space="preserve">   </v>
      </c>
      <c r="C55" s="171"/>
      <c r="D55" s="13"/>
      <c r="E55" s="13"/>
      <c r="F55" s="14"/>
      <c r="G55" s="14"/>
      <c r="H55" s="14"/>
      <c r="I55" s="14"/>
      <c r="J55" s="14"/>
      <c r="K55" s="14"/>
      <c r="L55" s="336"/>
      <c r="M55" s="95" t="str">
        <f t="shared" si="0"/>
        <v xml:space="preserve">   </v>
      </c>
    </row>
    <row r="56" spans="1:13" hidden="1" x14ac:dyDescent="0.2">
      <c r="A56" s="343"/>
      <c r="B56" s="170" t="str">
        <f>Capacidades!M55</f>
        <v xml:space="preserve">   </v>
      </c>
      <c r="C56" s="171"/>
      <c r="D56" s="13"/>
      <c r="E56" s="13"/>
      <c r="F56" s="14"/>
      <c r="G56" s="14"/>
      <c r="H56" s="14"/>
      <c r="I56" s="14"/>
      <c r="J56" s="14"/>
      <c r="K56" s="14"/>
      <c r="L56" s="336"/>
      <c r="M56" s="95" t="str">
        <f t="shared" si="0"/>
        <v xml:space="preserve">   </v>
      </c>
    </row>
    <row r="57" spans="1:13" hidden="1" x14ac:dyDescent="0.2">
      <c r="A57" s="343"/>
      <c r="B57" s="170" t="str">
        <f>Capacidades!M56</f>
        <v xml:space="preserve">   </v>
      </c>
      <c r="C57" s="171"/>
      <c r="D57" s="13"/>
      <c r="E57" s="13"/>
      <c r="F57" s="14"/>
      <c r="G57" s="14"/>
      <c r="H57" s="14"/>
      <c r="I57" s="14"/>
      <c r="J57" s="14"/>
      <c r="K57" s="14"/>
      <c r="L57" s="336"/>
      <c r="M57" s="95" t="str">
        <f t="shared" si="0"/>
        <v xml:space="preserve">   </v>
      </c>
    </row>
    <row r="58" spans="1:13" hidden="1" x14ac:dyDescent="0.2">
      <c r="A58" s="343"/>
      <c r="B58" s="170" t="str">
        <f>Capacidades!M57</f>
        <v xml:space="preserve">   </v>
      </c>
      <c r="C58" s="171"/>
      <c r="D58" s="13"/>
      <c r="E58" s="13"/>
      <c r="F58" s="14"/>
      <c r="G58" s="14"/>
      <c r="H58" s="14"/>
      <c r="I58" s="14"/>
      <c r="J58" s="14"/>
      <c r="K58" s="14"/>
      <c r="L58" s="336"/>
      <c r="M58" s="95" t="str">
        <f t="shared" si="0"/>
        <v xml:space="preserve">   </v>
      </c>
    </row>
    <row r="59" spans="1:13" hidden="1" x14ac:dyDescent="0.2">
      <c r="A59" s="343"/>
      <c r="B59" s="170" t="str">
        <f>Capacidades!M58</f>
        <v xml:space="preserve">   </v>
      </c>
      <c r="C59" s="171"/>
      <c r="D59" s="13"/>
      <c r="E59" s="13"/>
      <c r="F59" s="14"/>
      <c r="G59" s="14"/>
      <c r="H59" s="14"/>
      <c r="I59" s="14"/>
      <c r="J59" s="14"/>
      <c r="K59" s="14"/>
      <c r="L59" s="336"/>
      <c r="M59" s="95" t="str">
        <f t="shared" si="0"/>
        <v xml:space="preserve">   </v>
      </c>
    </row>
    <row r="60" spans="1:13" hidden="1" x14ac:dyDescent="0.2">
      <c r="A60" s="344"/>
      <c r="B60" s="170" t="str">
        <f>Capacidades!M59</f>
        <v xml:space="preserve">   </v>
      </c>
      <c r="C60" s="171"/>
      <c r="D60" s="15"/>
      <c r="E60" s="15"/>
      <c r="F60" s="16"/>
      <c r="G60" s="16"/>
      <c r="H60" s="16"/>
      <c r="I60" s="16"/>
      <c r="J60" s="16"/>
      <c r="K60" s="16"/>
      <c r="L60" s="337"/>
      <c r="M60" s="95" t="str">
        <f t="shared" si="0"/>
        <v xml:space="preserve">   </v>
      </c>
    </row>
    <row r="61" spans="1:13" hidden="1" x14ac:dyDescent="0.2">
      <c r="A61" s="342" t="str">
        <f>Capacidades!L60</f>
        <v xml:space="preserve">       </v>
      </c>
      <c r="B61" s="170" t="str">
        <f>Capacidades!M60</f>
        <v xml:space="preserve">   </v>
      </c>
      <c r="C61" s="171"/>
      <c r="D61" s="11">
        <f>Organización_Modular!F15</f>
        <v>0</v>
      </c>
      <c r="E61" s="11">
        <f>Organización_Modular!G15</f>
        <v>0</v>
      </c>
      <c r="F61" s="11">
        <f>Organización_Modular!H15</f>
        <v>0</v>
      </c>
      <c r="G61" s="11">
        <f>Organización_Modular!I15</f>
        <v>0</v>
      </c>
      <c r="H61" s="12">
        <f>SUM(F61:G61)</f>
        <v>0</v>
      </c>
      <c r="I61" s="12">
        <f>F61*16</f>
        <v>0</v>
      </c>
      <c r="J61" s="12">
        <f>G61*32</f>
        <v>0</v>
      </c>
      <c r="K61" s="12">
        <f>SUM(I61:J61)</f>
        <v>0</v>
      </c>
      <c r="L61" s="335"/>
      <c r="M61" s="95" t="str">
        <f t="shared" si="0"/>
        <v xml:space="preserve">   </v>
      </c>
    </row>
    <row r="62" spans="1:13" hidden="1" x14ac:dyDescent="0.2">
      <c r="A62" s="343"/>
      <c r="B62" s="170" t="str">
        <f>Capacidades!M61</f>
        <v xml:space="preserve">   </v>
      </c>
      <c r="C62" s="171"/>
      <c r="D62" s="13"/>
      <c r="E62" s="13"/>
      <c r="F62" s="14"/>
      <c r="G62" s="14"/>
      <c r="H62" s="14"/>
      <c r="I62" s="14"/>
      <c r="J62" s="14"/>
      <c r="K62" s="14"/>
      <c r="L62" s="336"/>
      <c r="M62" s="95" t="str">
        <f t="shared" si="0"/>
        <v xml:space="preserve">   </v>
      </c>
    </row>
    <row r="63" spans="1:13" hidden="1" x14ac:dyDescent="0.2">
      <c r="A63" s="343"/>
      <c r="B63" s="170" t="str">
        <f>Capacidades!M62</f>
        <v xml:space="preserve">   </v>
      </c>
      <c r="C63" s="171"/>
      <c r="D63" s="13"/>
      <c r="E63" s="13"/>
      <c r="F63" s="14"/>
      <c r="G63" s="14"/>
      <c r="H63" s="14"/>
      <c r="I63" s="14"/>
      <c r="J63" s="14"/>
      <c r="K63" s="14"/>
      <c r="L63" s="336"/>
      <c r="M63" s="95" t="str">
        <f t="shared" si="0"/>
        <v xml:space="preserve">   </v>
      </c>
    </row>
    <row r="64" spans="1:13" hidden="1" x14ac:dyDescent="0.2">
      <c r="A64" s="343"/>
      <c r="B64" s="170" t="str">
        <f>Capacidades!M63</f>
        <v xml:space="preserve">   </v>
      </c>
      <c r="C64" s="171"/>
      <c r="D64" s="13"/>
      <c r="E64" s="13"/>
      <c r="F64" s="14"/>
      <c r="G64" s="14"/>
      <c r="H64" s="14"/>
      <c r="I64" s="14"/>
      <c r="J64" s="14"/>
      <c r="K64" s="14"/>
      <c r="L64" s="336"/>
      <c r="M64" s="95" t="str">
        <f t="shared" si="0"/>
        <v xml:space="preserve">   </v>
      </c>
    </row>
    <row r="65" spans="1:13" hidden="1" x14ac:dyDescent="0.2">
      <c r="A65" s="343"/>
      <c r="B65" s="170" t="str">
        <f>Capacidades!M64</f>
        <v xml:space="preserve">   </v>
      </c>
      <c r="C65" s="171"/>
      <c r="D65" s="13"/>
      <c r="E65" s="13"/>
      <c r="F65" s="14"/>
      <c r="G65" s="14"/>
      <c r="H65" s="14"/>
      <c r="I65" s="14"/>
      <c r="J65" s="14"/>
      <c r="K65" s="14"/>
      <c r="L65" s="336"/>
      <c r="M65" s="95" t="str">
        <f t="shared" si="0"/>
        <v xml:space="preserve">   </v>
      </c>
    </row>
    <row r="66" spans="1:13" hidden="1" x14ac:dyDescent="0.2">
      <c r="A66" s="343"/>
      <c r="B66" s="170" t="str">
        <f>Capacidades!M65</f>
        <v xml:space="preserve">   </v>
      </c>
      <c r="C66" s="171"/>
      <c r="D66" s="13"/>
      <c r="E66" s="13"/>
      <c r="F66" s="14"/>
      <c r="G66" s="14"/>
      <c r="H66" s="14"/>
      <c r="I66" s="14"/>
      <c r="J66" s="14"/>
      <c r="K66" s="14"/>
      <c r="L66" s="336"/>
      <c r="M66" s="95" t="str">
        <f t="shared" si="0"/>
        <v xml:space="preserve">   </v>
      </c>
    </row>
    <row r="67" spans="1:13" hidden="1" x14ac:dyDescent="0.2">
      <c r="A67" s="343"/>
      <c r="B67" s="170" t="str">
        <f>Capacidades!M66</f>
        <v xml:space="preserve">   </v>
      </c>
      <c r="C67" s="171"/>
      <c r="D67" s="13"/>
      <c r="E67" s="13"/>
      <c r="F67" s="14"/>
      <c r="G67" s="14"/>
      <c r="H67" s="14"/>
      <c r="I67" s="14"/>
      <c r="J67" s="14"/>
      <c r="K67" s="14"/>
      <c r="L67" s="336"/>
      <c r="M67" s="95" t="str">
        <f t="shared" si="0"/>
        <v xml:space="preserve">   </v>
      </c>
    </row>
    <row r="68" spans="1:13" hidden="1" x14ac:dyDescent="0.2">
      <c r="A68" s="343"/>
      <c r="B68" s="170" t="str">
        <f>Capacidades!M67</f>
        <v xml:space="preserve">   </v>
      </c>
      <c r="C68" s="171"/>
      <c r="D68" s="13"/>
      <c r="E68" s="13"/>
      <c r="F68" s="14"/>
      <c r="G68" s="14"/>
      <c r="H68" s="14"/>
      <c r="I68" s="14"/>
      <c r="J68" s="14"/>
      <c r="K68" s="14"/>
      <c r="L68" s="336"/>
      <c r="M68" s="95" t="str">
        <f t="shared" si="0"/>
        <v xml:space="preserve">   </v>
      </c>
    </row>
    <row r="69" spans="1:13" hidden="1" x14ac:dyDescent="0.2">
      <c r="A69" s="343"/>
      <c r="B69" s="170" t="str">
        <f>Capacidades!M68</f>
        <v xml:space="preserve">   </v>
      </c>
      <c r="C69" s="171"/>
      <c r="D69" s="13"/>
      <c r="E69" s="13"/>
      <c r="F69" s="14"/>
      <c r="G69" s="14"/>
      <c r="H69" s="14"/>
      <c r="I69" s="14"/>
      <c r="J69" s="14"/>
      <c r="K69" s="14"/>
      <c r="L69" s="336"/>
      <c r="M69" s="95" t="str">
        <f t="shared" si="0"/>
        <v xml:space="preserve">   </v>
      </c>
    </row>
    <row r="70" spans="1:13" hidden="1" x14ac:dyDescent="0.2">
      <c r="A70" s="344"/>
      <c r="B70" s="170" t="str">
        <f>Capacidades!M69</f>
        <v xml:space="preserve">   </v>
      </c>
      <c r="C70" s="171"/>
      <c r="D70" s="15"/>
      <c r="E70" s="15"/>
      <c r="F70" s="16"/>
      <c r="G70" s="16"/>
      <c r="H70" s="16"/>
      <c r="I70" s="16"/>
      <c r="J70" s="16"/>
      <c r="K70" s="16"/>
      <c r="L70" s="337"/>
      <c r="M70" s="95" t="str">
        <f t="shared" si="0"/>
        <v xml:space="preserve">   </v>
      </c>
    </row>
    <row r="71" spans="1:13" hidden="1" x14ac:dyDescent="0.2">
      <c r="A71" s="342" t="str">
        <f>Capacidades!L70</f>
        <v xml:space="preserve">       </v>
      </c>
      <c r="B71" s="170" t="str">
        <f>Capacidades!M70</f>
        <v xml:space="preserve">   </v>
      </c>
      <c r="C71" s="171"/>
      <c r="D71" s="11">
        <f>Organización_Modular!F16</f>
        <v>0</v>
      </c>
      <c r="E71" s="11">
        <f>Organización_Modular!G16</f>
        <v>0</v>
      </c>
      <c r="F71" s="11">
        <f>Organización_Modular!H16</f>
        <v>0</v>
      </c>
      <c r="G71" s="11">
        <f>Organización_Modular!I16</f>
        <v>0</v>
      </c>
      <c r="H71" s="12">
        <f>SUM(F71:G71)</f>
        <v>0</v>
      </c>
      <c r="I71" s="12">
        <f>F71*16</f>
        <v>0</v>
      </c>
      <c r="J71" s="12">
        <f>G71*32</f>
        <v>0</v>
      </c>
      <c r="K71" s="12">
        <f>SUM(I71:J71)</f>
        <v>0</v>
      </c>
      <c r="L71" s="335"/>
      <c r="M71" s="95" t="str">
        <f t="shared" si="0"/>
        <v xml:space="preserve">   </v>
      </c>
    </row>
    <row r="72" spans="1:13" hidden="1" x14ac:dyDescent="0.2">
      <c r="A72" s="343"/>
      <c r="B72" s="170" t="str">
        <f>Capacidades!M71</f>
        <v xml:space="preserve">   </v>
      </c>
      <c r="C72" s="171"/>
      <c r="D72" s="13"/>
      <c r="E72" s="13"/>
      <c r="F72" s="14"/>
      <c r="G72" s="14"/>
      <c r="H72" s="14"/>
      <c r="I72" s="14"/>
      <c r="J72" s="14"/>
      <c r="K72" s="14"/>
      <c r="L72" s="336"/>
      <c r="M72" s="95" t="str">
        <f t="shared" si="0"/>
        <v xml:space="preserve">   </v>
      </c>
    </row>
    <row r="73" spans="1:13" hidden="1" x14ac:dyDescent="0.2">
      <c r="A73" s="343"/>
      <c r="B73" s="170" t="str">
        <f>Capacidades!M72</f>
        <v xml:space="preserve">   </v>
      </c>
      <c r="C73" s="171"/>
      <c r="D73" s="13"/>
      <c r="E73" s="13"/>
      <c r="F73" s="14"/>
      <c r="G73" s="14"/>
      <c r="H73" s="14"/>
      <c r="I73" s="14"/>
      <c r="J73" s="14"/>
      <c r="K73" s="14"/>
      <c r="L73" s="336"/>
      <c r="M73" s="95" t="str">
        <f t="shared" si="0"/>
        <v xml:space="preserve">   </v>
      </c>
    </row>
    <row r="74" spans="1:13" hidden="1" x14ac:dyDescent="0.2">
      <c r="A74" s="343"/>
      <c r="B74" s="170" t="str">
        <f>Capacidades!M73</f>
        <v xml:space="preserve">   </v>
      </c>
      <c r="C74" s="171"/>
      <c r="D74" s="13"/>
      <c r="E74" s="13"/>
      <c r="F74" s="14"/>
      <c r="G74" s="14"/>
      <c r="H74" s="14"/>
      <c r="I74" s="14"/>
      <c r="J74" s="14"/>
      <c r="K74" s="14"/>
      <c r="L74" s="336"/>
      <c r="M74" s="95" t="str">
        <f t="shared" si="0"/>
        <v xml:space="preserve">   </v>
      </c>
    </row>
    <row r="75" spans="1:13" ht="7.5" hidden="1" customHeight="1" x14ac:dyDescent="0.2">
      <c r="A75" s="343"/>
      <c r="B75" s="170" t="str">
        <f>Capacidades!M74</f>
        <v xml:space="preserve">   </v>
      </c>
      <c r="C75" s="171"/>
      <c r="D75" s="13"/>
      <c r="E75" s="13"/>
      <c r="F75" s="14"/>
      <c r="G75" s="14"/>
      <c r="H75" s="14"/>
      <c r="I75" s="14"/>
      <c r="J75" s="14"/>
      <c r="K75" s="14"/>
      <c r="L75" s="336"/>
      <c r="M75" s="95" t="str">
        <f t="shared" si="0"/>
        <v xml:space="preserve">   </v>
      </c>
    </row>
    <row r="76" spans="1:13" hidden="1" x14ac:dyDescent="0.2">
      <c r="A76" s="343"/>
      <c r="B76" s="170" t="str">
        <f>Capacidades!M75</f>
        <v xml:space="preserve">   </v>
      </c>
      <c r="C76" s="171"/>
      <c r="D76" s="13"/>
      <c r="E76" s="13"/>
      <c r="F76" s="14"/>
      <c r="G76" s="14"/>
      <c r="H76" s="14"/>
      <c r="I76" s="14"/>
      <c r="J76" s="14"/>
      <c r="K76" s="14"/>
      <c r="L76" s="336"/>
      <c r="M76" s="95" t="str">
        <f t="shared" ref="M76:M139" si="1">B76</f>
        <v xml:space="preserve">   </v>
      </c>
    </row>
    <row r="77" spans="1:13" hidden="1" x14ac:dyDescent="0.2">
      <c r="A77" s="343"/>
      <c r="B77" s="170" t="str">
        <f>Capacidades!M76</f>
        <v xml:space="preserve">   </v>
      </c>
      <c r="C77" s="171"/>
      <c r="D77" s="13"/>
      <c r="E77" s="13"/>
      <c r="F77" s="14"/>
      <c r="G77" s="14"/>
      <c r="H77" s="14"/>
      <c r="I77" s="14"/>
      <c r="J77" s="14"/>
      <c r="K77" s="14"/>
      <c r="L77" s="336"/>
      <c r="M77" s="95" t="str">
        <f t="shared" si="1"/>
        <v xml:space="preserve">   </v>
      </c>
    </row>
    <row r="78" spans="1:13" hidden="1" x14ac:dyDescent="0.2">
      <c r="A78" s="343"/>
      <c r="B78" s="170" t="str">
        <f>Capacidades!M77</f>
        <v xml:space="preserve">   </v>
      </c>
      <c r="C78" s="171"/>
      <c r="D78" s="13"/>
      <c r="E78" s="13"/>
      <c r="F78" s="14"/>
      <c r="G78" s="14"/>
      <c r="H78" s="14"/>
      <c r="I78" s="14"/>
      <c r="J78" s="14"/>
      <c r="K78" s="14"/>
      <c r="L78" s="336"/>
      <c r="M78" s="95" t="str">
        <f t="shared" si="1"/>
        <v xml:space="preserve">   </v>
      </c>
    </row>
    <row r="79" spans="1:13" hidden="1" x14ac:dyDescent="0.2">
      <c r="A79" s="343"/>
      <c r="B79" s="170" t="str">
        <f>Capacidades!M78</f>
        <v xml:space="preserve">   </v>
      </c>
      <c r="C79" s="171"/>
      <c r="D79" s="13"/>
      <c r="E79" s="13"/>
      <c r="F79" s="14"/>
      <c r="G79" s="14"/>
      <c r="H79" s="14"/>
      <c r="I79" s="14"/>
      <c r="J79" s="14"/>
      <c r="K79" s="14"/>
      <c r="L79" s="336"/>
      <c r="M79" s="95" t="str">
        <f t="shared" si="1"/>
        <v xml:space="preserve">   </v>
      </c>
    </row>
    <row r="80" spans="1:13" hidden="1" x14ac:dyDescent="0.2">
      <c r="A80" s="344"/>
      <c r="B80" s="170" t="str">
        <f>Capacidades!M79</f>
        <v xml:space="preserve">   </v>
      </c>
      <c r="C80" s="171"/>
      <c r="D80" s="15"/>
      <c r="E80" s="15"/>
      <c r="F80" s="16"/>
      <c r="G80" s="16"/>
      <c r="H80" s="16"/>
      <c r="I80" s="16"/>
      <c r="J80" s="16"/>
      <c r="K80" s="16"/>
      <c r="L80" s="337"/>
      <c r="M80" s="95" t="str">
        <f t="shared" si="1"/>
        <v xml:space="preserve">   </v>
      </c>
    </row>
    <row r="81" spans="1:13" hidden="1" x14ac:dyDescent="0.2">
      <c r="A81" s="342" t="str">
        <f>Capacidades!L80</f>
        <v xml:space="preserve">       </v>
      </c>
      <c r="B81" s="170" t="str">
        <f>Capacidades!M80</f>
        <v xml:space="preserve">   </v>
      </c>
      <c r="C81" s="171"/>
      <c r="D81" s="11">
        <f>Organización_Modular!F17</f>
        <v>0</v>
      </c>
      <c r="E81" s="11">
        <f>Organización_Modular!G17</f>
        <v>0</v>
      </c>
      <c r="F81" s="11">
        <f>Organización_Modular!H17</f>
        <v>0</v>
      </c>
      <c r="G81" s="11">
        <f>Organización_Modular!I17</f>
        <v>0</v>
      </c>
      <c r="H81" s="12">
        <f>SUM(F81:G81)</f>
        <v>0</v>
      </c>
      <c r="I81" s="12">
        <f>F81*16</f>
        <v>0</v>
      </c>
      <c r="J81" s="12">
        <f>G81*32</f>
        <v>0</v>
      </c>
      <c r="K81" s="12">
        <f>SUM(I81:J81)</f>
        <v>0</v>
      </c>
      <c r="L81" s="335"/>
      <c r="M81" s="95" t="str">
        <f t="shared" si="1"/>
        <v xml:space="preserve">   </v>
      </c>
    </row>
    <row r="82" spans="1:13" hidden="1" x14ac:dyDescent="0.2">
      <c r="A82" s="343"/>
      <c r="B82" s="170" t="str">
        <f>Capacidades!M81</f>
        <v xml:space="preserve">   </v>
      </c>
      <c r="C82" s="171"/>
      <c r="D82" s="13"/>
      <c r="E82" s="13"/>
      <c r="F82" s="14"/>
      <c r="G82" s="14"/>
      <c r="H82" s="14"/>
      <c r="I82" s="14"/>
      <c r="J82" s="14"/>
      <c r="K82" s="14"/>
      <c r="L82" s="336"/>
      <c r="M82" s="95" t="str">
        <f t="shared" si="1"/>
        <v xml:space="preserve">   </v>
      </c>
    </row>
    <row r="83" spans="1:13" hidden="1" x14ac:dyDescent="0.2">
      <c r="A83" s="343"/>
      <c r="B83" s="170" t="str">
        <f>Capacidades!M82</f>
        <v xml:space="preserve">   </v>
      </c>
      <c r="C83" s="171"/>
      <c r="D83" s="13"/>
      <c r="E83" s="13"/>
      <c r="F83" s="14"/>
      <c r="G83" s="14"/>
      <c r="H83" s="14"/>
      <c r="I83" s="14"/>
      <c r="J83" s="14"/>
      <c r="K83" s="14"/>
      <c r="L83" s="336"/>
      <c r="M83" s="95" t="str">
        <f t="shared" si="1"/>
        <v xml:space="preserve">   </v>
      </c>
    </row>
    <row r="84" spans="1:13" hidden="1" x14ac:dyDescent="0.2">
      <c r="A84" s="343"/>
      <c r="B84" s="170" t="str">
        <f>Capacidades!M83</f>
        <v xml:space="preserve">   </v>
      </c>
      <c r="C84" s="171"/>
      <c r="D84" s="13"/>
      <c r="E84" s="13"/>
      <c r="F84" s="14"/>
      <c r="G84" s="14"/>
      <c r="H84" s="14"/>
      <c r="I84" s="14"/>
      <c r="J84" s="14"/>
      <c r="K84" s="14"/>
      <c r="L84" s="336"/>
      <c r="M84" s="95" t="str">
        <f t="shared" si="1"/>
        <v xml:space="preserve">   </v>
      </c>
    </row>
    <row r="85" spans="1:13" hidden="1" x14ac:dyDescent="0.2">
      <c r="A85" s="343"/>
      <c r="B85" s="170" t="str">
        <f>Capacidades!M84</f>
        <v xml:space="preserve">   </v>
      </c>
      <c r="C85" s="171"/>
      <c r="D85" s="13"/>
      <c r="E85" s="13"/>
      <c r="F85" s="14"/>
      <c r="G85" s="14"/>
      <c r="H85" s="14"/>
      <c r="I85" s="14"/>
      <c r="J85" s="14"/>
      <c r="K85" s="14"/>
      <c r="L85" s="336"/>
      <c r="M85" s="95" t="str">
        <f t="shared" si="1"/>
        <v xml:space="preserve">   </v>
      </c>
    </row>
    <row r="86" spans="1:13" hidden="1" x14ac:dyDescent="0.2">
      <c r="A86" s="343"/>
      <c r="B86" s="170" t="str">
        <f>Capacidades!M85</f>
        <v xml:space="preserve">   </v>
      </c>
      <c r="C86" s="171"/>
      <c r="D86" s="13"/>
      <c r="E86" s="13"/>
      <c r="F86" s="14"/>
      <c r="G86" s="14"/>
      <c r="H86" s="14"/>
      <c r="I86" s="14"/>
      <c r="J86" s="14"/>
      <c r="K86" s="14"/>
      <c r="L86" s="336"/>
      <c r="M86" s="95" t="str">
        <f t="shared" si="1"/>
        <v xml:space="preserve">   </v>
      </c>
    </row>
    <row r="87" spans="1:13" hidden="1" x14ac:dyDescent="0.2">
      <c r="A87" s="343"/>
      <c r="B87" s="170" t="str">
        <f>Capacidades!M86</f>
        <v xml:space="preserve">   </v>
      </c>
      <c r="C87" s="171"/>
      <c r="D87" s="13"/>
      <c r="E87" s="13"/>
      <c r="F87" s="14"/>
      <c r="G87" s="14"/>
      <c r="H87" s="14"/>
      <c r="I87" s="14"/>
      <c r="J87" s="14"/>
      <c r="K87" s="14"/>
      <c r="L87" s="336"/>
      <c r="M87" s="95" t="str">
        <f t="shared" si="1"/>
        <v xml:space="preserve">   </v>
      </c>
    </row>
    <row r="88" spans="1:13" hidden="1" x14ac:dyDescent="0.2">
      <c r="A88" s="343"/>
      <c r="B88" s="170" t="str">
        <f>Capacidades!M87</f>
        <v xml:space="preserve">   </v>
      </c>
      <c r="C88" s="171"/>
      <c r="D88" s="13"/>
      <c r="E88" s="13"/>
      <c r="F88" s="14"/>
      <c r="G88" s="14"/>
      <c r="H88" s="14"/>
      <c r="I88" s="14"/>
      <c r="J88" s="14"/>
      <c r="K88" s="14"/>
      <c r="L88" s="336"/>
      <c r="M88" s="95" t="str">
        <f t="shared" si="1"/>
        <v xml:space="preserve">   </v>
      </c>
    </row>
    <row r="89" spans="1:13" hidden="1" x14ac:dyDescent="0.2">
      <c r="A89" s="343"/>
      <c r="B89" s="170" t="str">
        <f>Capacidades!M88</f>
        <v xml:space="preserve">   </v>
      </c>
      <c r="C89" s="171"/>
      <c r="D89" s="13"/>
      <c r="E89" s="13"/>
      <c r="F89" s="14"/>
      <c r="G89" s="14"/>
      <c r="H89" s="14"/>
      <c r="I89" s="14"/>
      <c r="J89" s="14"/>
      <c r="K89" s="14"/>
      <c r="L89" s="336"/>
      <c r="M89" s="95" t="str">
        <f t="shared" si="1"/>
        <v xml:space="preserve">   </v>
      </c>
    </row>
    <row r="90" spans="1:13" hidden="1" x14ac:dyDescent="0.2">
      <c r="A90" s="344"/>
      <c r="B90" s="170" t="str">
        <f>Capacidades!M89</f>
        <v xml:space="preserve">   </v>
      </c>
      <c r="C90" s="171"/>
      <c r="D90" s="15"/>
      <c r="E90" s="15"/>
      <c r="F90" s="16"/>
      <c r="G90" s="16"/>
      <c r="H90" s="16"/>
      <c r="I90" s="16"/>
      <c r="J90" s="16"/>
      <c r="K90" s="16"/>
      <c r="L90" s="337"/>
      <c r="M90" s="95" t="str">
        <f t="shared" si="1"/>
        <v xml:space="preserve">   </v>
      </c>
    </row>
    <row r="91" spans="1:13" hidden="1" x14ac:dyDescent="0.2">
      <c r="A91" s="342" t="str">
        <f>Capacidades!L90</f>
        <v xml:space="preserve">       </v>
      </c>
      <c r="B91" s="170" t="str">
        <f>Capacidades!M90</f>
        <v xml:space="preserve">   </v>
      </c>
      <c r="C91" s="171"/>
      <c r="D91" s="11">
        <f>Organización_Modular!F18</f>
        <v>0</v>
      </c>
      <c r="E91" s="11">
        <f>Organización_Modular!G18</f>
        <v>0</v>
      </c>
      <c r="F91" s="11">
        <f>Organización_Modular!H18</f>
        <v>0</v>
      </c>
      <c r="G91" s="11">
        <f>Organización_Modular!I18</f>
        <v>0</v>
      </c>
      <c r="H91" s="12">
        <f>SUM(F91:G91)</f>
        <v>0</v>
      </c>
      <c r="I91" s="12">
        <f>F91*16</f>
        <v>0</v>
      </c>
      <c r="J91" s="12">
        <f>G91*32</f>
        <v>0</v>
      </c>
      <c r="K91" s="12">
        <f>SUM(I91:J91)</f>
        <v>0</v>
      </c>
      <c r="L91" s="335"/>
      <c r="M91" s="95" t="str">
        <f t="shared" si="1"/>
        <v xml:space="preserve">   </v>
      </c>
    </row>
    <row r="92" spans="1:13" hidden="1" x14ac:dyDescent="0.2">
      <c r="A92" s="343"/>
      <c r="B92" s="170" t="str">
        <f>Capacidades!M91</f>
        <v xml:space="preserve">   </v>
      </c>
      <c r="C92" s="171"/>
      <c r="D92" s="13"/>
      <c r="E92" s="13"/>
      <c r="F92" s="14"/>
      <c r="G92" s="14"/>
      <c r="H92" s="14"/>
      <c r="I92" s="14"/>
      <c r="J92" s="14"/>
      <c r="K92" s="14"/>
      <c r="L92" s="336"/>
      <c r="M92" s="95" t="str">
        <f t="shared" si="1"/>
        <v xml:space="preserve">   </v>
      </c>
    </row>
    <row r="93" spans="1:13" hidden="1" x14ac:dyDescent="0.2">
      <c r="A93" s="343"/>
      <c r="B93" s="170" t="str">
        <f>Capacidades!M92</f>
        <v xml:space="preserve">   </v>
      </c>
      <c r="C93" s="171"/>
      <c r="D93" s="13"/>
      <c r="E93" s="13"/>
      <c r="F93" s="14"/>
      <c r="G93" s="14"/>
      <c r="H93" s="14"/>
      <c r="I93" s="14"/>
      <c r="J93" s="14"/>
      <c r="K93" s="14"/>
      <c r="L93" s="336"/>
      <c r="M93" s="95" t="str">
        <f t="shared" si="1"/>
        <v xml:space="preserve">   </v>
      </c>
    </row>
    <row r="94" spans="1:13" hidden="1" x14ac:dyDescent="0.2">
      <c r="A94" s="343"/>
      <c r="B94" s="170" t="str">
        <f>Capacidades!M93</f>
        <v xml:space="preserve">   </v>
      </c>
      <c r="C94" s="171"/>
      <c r="D94" s="13"/>
      <c r="E94" s="13"/>
      <c r="F94" s="14"/>
      <c r="G94" s="14"/>
      <c r="H94" s="14"/>
      <c r="I94" s="14"/>
      <c r="J94" s="14"/>
      <c r="K94" s="14"/>
      <c r="L94" s="336"/>
      <c r="M94" s="95" t="str">
        <f t="shared" si="1"/>
        <v xml:space="preserve">   </v>
      </c>
    </row>
    <row r="95" spans="1:13" hidden="1" x14ac:dyDescent="0.2">
      <c r="A95" s="343"/>
      <c r="B95" s="170" t="str">
        <f>Capacidades!M94</f>
        <v xml:space="preserve">   </v>
      </c>
      <c r="C95" s="171"/>
      <c r="D95" s="13"/>
      <c r="E95" s="13"/>
      <c r="F95" s="14"/>
      <c r="G95" s="14"/>
      <c r="H95" s="14"/>
      <c r="I95" s="14"/>
      <c r="J95" s="14"/>
      <c r="K95" s="14"/>
      <c r="L95" s="336"/>
      <c r="M95" s="95" t="str">
        <f t="shared" si="1"/>
        <v xml:space="preserve">   </v>
      </c>
    </row>
    <row r="96" spans="1:13" hidden="1" x14ac:dyDescent="0.2">
      <c r="A96" s="343"/>
      <c r="B96" s="170" t="str">
        <f>Capacidades!M95</f>
        <v xml:space="preserve">   </v>
      </c>
      <c r="C96" s="171"/>
      <c r="D96" s="13"/>
      <c r="E96" s="13"/>
      <c r="F96" s="14"/>
      <c r="G96" s="14"/>
      <c r="H96" s="14"/>
      <c r="I96" s="14"/>
      <c r="J96" s="14"/>
      <c r="K96" s="14"/>
      <c r="L96" s="336"/>
      <c r="M96" s="95" t="str">
        <f t="shared" si="1"/>
        <v xml:space="preserve">   </v>
      </c>
    </row>
    <row r="97" spans="1:13" hidden="1" x14ac:dyDescent="0.2">
      <c r="A97" s="343"/>
      <c r="B97" s="170" t="str">
        <f>Capacidades!M96</f>
        <v xml:space="preserve">   </v>
      </c>
      <c r="C97" s="171"/>
      <c r="D97" s="13"/>
      <c r="E97" s="13"/>
      <c r="F97" s="14"/>
      <c r="G97" s="14"/>
      <c r="H97" s="14"/>
      <c r="I97" s="14"/>
      <c r="J97" s="14"/>
      <c r="K97" s="14"/>
      <c r="L97" s="336"/>
      <c r="M97" s="95" t="str">
        <f t="shared" si="1"/>
        <v xml:space="preserve">   </v>
      </c>
    </row>
    <row r="98" spans="1:13" ht="6" hidden="1" customHeight="1" x14ac:dyDescent="0.2">
      <c r="A98" s="343"/>
      <c r="B98" s="170" t="str">
        <f>Capacidades!M97</f>
        <v xml:space="preserve">   </v>
      </c>
      <c r="C98" s="171"/>
      <c r="D98" s="13"/>
      <c r="E98" s="13"/>
      <c r="F98" s="14"/>
      <c r="G98" s="14"/>
      <c r="H98" s="14"/>
      <c r="I98" s="14"/>
      <c r="J98" s="14"/>
      <c r="K98" s="14"/>
      <c r="L98" s="336"/>
      <c r="M98" s="95" t="str">
        <f t="shared" si="1"/>
        <v xml:space="preserve">   </v>
      </c>
    </row>
    <row r="99" spans="1:13" hidden="1" x14ac:dyDescent="0.2">
      <c r="A99" s="343"/>
      <c r="B99" s="170" t="str">
        <f>Capacidades!M98</f>
        <v xml:space="preserve">   </v>
      </c>
      <c r="C99" s="171"/>
      <c r="D99" s="13"/>
      <c r="E99" s="13"/>
      <c r="F99" s="14"/>
      <c r="G99" s="14"/>
      <c r="H99" s="14"/>
      <c r="I99" s="14"/>
      <c r="J99" s="14"/>
      <c r="K99" s="14"/>
      <c r="L99" s="336"/>
      <c r="M99" s="95" t="str">
        <f t="shared" si="1"/>
        <v xml:space="preserve">   </v>
      </c>
    </row>
    <row r="100" spans="1:13" hidden="1" x14ac:dyDescent="0.2">
      <c r="A100" s="344"/>
      <c r="B100" s="170" t="str">
        <f>Capacidades!M99</f>
        <v xml:space="preserve">   </v>
      </c>
      <c r="C100" s="171"/>
      <c r="D100" s="15"/>
      <c r="E100" s="15"/>
      <c r="F100" s="16"/>
      <c r="G100" s="16"/>
      <c r="H100" s="16"/>
      <c r="I100" s="16"/>
      <c r="J100" s="16"/>
      <c r="K100" s="16"/>
      <c r="L100" s="337"/>
      <c r="M100" s="95" t="str">
        <f t="shared" si="1"/>
        <v xml:space="preserve">   </v>
      </c>
    </row>
    <row r="101" spans="1:13" hidden="1" x14ac:dyDescent="0.2">
      <c r="A101" s="342" t="str">
        <f>Capacidades!L100</f>
        <v xml:space="preserve">       </v>
      </c>
      <c r="B101" s="170" t="str">
        <f>Capacidades!M100</f>
        <v xml:space="preserve">   </v>
      </c>
      <c r="C101" s="171"/>
      <c r="D101" s="11">
        <f>Organización_Modular!F19</f>
        <v>0</v>
      </c>
      <c r="E101" s="11">
        <f>Organización_Modular!G19</f>
        <v>0</v>
      </c>
      <c r="F101" s="11">
        <f>Organización_Modular!H19</f>
        <v>0</v>
      </c>
      <c r="G101" s="11">
        <f>Organización_Modular!I19</f>
        <v>0</v>
      </c>
      <c r="H101" s="12">
        <f>SUM(F101:G101)</f>
        <v>0</v>
      </c>
      <c r="I101" s="12">
        <f>F101*16</f>
        <v>0</v>
      </c>
      <c r="J101" s="12">
        <f>G101*32</f>
        <v>0</v>
      </c>
      <c r="K101" s="12">
        <f>SUM(I101:J101)</f>
        <v>0</v>
      </c>
      <c r="L101" s="335"/>
      <c r="M101" s="95" t="str">
        <f t="shared" si="1"/>
        <v xml:space="preserve">   </v>
      </c>
    </row>
    <row r="102" spans="1:13" hidden="1" x14ac:dyDescent="0.2">
      <c r="A102" s="343"/>
      <c r="B102" s="170" t="str">
        <f>Capacidades!M101</f>
        <v xml:space="preserve">   </v>
      </c>
      <c r="C102" s="171"/>
      <c r="D102" s="13"/>
      <c r="E102" s="13"/>
      <c r="F102" s="14"/>
      <c r="G102" s="14"/>
      <c r="H102" s="14"/>
      <c r="I102" s="14"/>
      <c r="J102" s="14"/>
      <c r="K102" s="14"/>
      <c r="L102" s="336"/>
      <c r="M102" s="95" t="str">
        <f t="shared" si="1"/>
        <v xml:space="preserve">   </v>
      </c>
    </row>
    <row r="103" spans="1:13" hidden="1" x14ac:dyDescent="0.2">
      <c r="A103" s="343"/>
      <c r="B103" s="170" t="str">
        <f>Capacidades!M102</f>
        <v xml:space="preserve">   </v>
      </c>
      <c r="C103" s="171"/>
      <c r="D103" s="13"/>
      <c r="E103" s="13"/>
      <c r="F103" s="14"/>
      <c r="G103" s="14"/>
      <c r="H103" s="14"/>
      <c r="I103" s="14"/>
      <c r="J103" s="14"/>
      <c r="K103" s="14"/>
      <c r="L103" s="336"/>
      <c r="M103" s="95" t="str">
        <f t="shared" si="1"/>
        <v xml:space="preserve">   </v>
      </c>
    </row>
    <row r="104" spans="1:13" hidden="1" x14ac:dyDescent="0.2">
      <c r="A104" s="343"/>
      <c r="B104" s="170" t="str">
        <f>Capacidades!M103</f>
        <v xml:space="preserve">   </v>
      </c>
      <c r="C104" s="171"/>
      <c r="D104" s="13"/>
      <c r="E104" s="13"/>
      <c r="F104" s="14"/>
      <c r="G104" s="14"/>
      <c r="H104" s="14"/>
      <c r="I104" s="14"/>
      <c r="J104" s="14"/>
      <c r="K104" s="14"/>
      <c r="L104" s="336"/>
      <c r="M104" s="95" t="str">
        <f t="shared" si="1"/>
        <v xml:space="preserve">   </v>
      </c>
    </row>
    <row r="105" spans="1:13" hidden="1" x14ac:dyDescent="0.2">
      <c r="A105" s="343"/>
      <c r="B105" s="170" t="str">
        <f>Capacidades!M104</f>
        <v xml:space="preserve">   </v>
      </c>
      <c r="C105" s="171"/>
      <c r="D105" s="13"/>
      <c r="E105" s="13"/>
      <c r="F105" s="14"/>
      <c r="G105" s="14"/>
      <c r="H105" s="14"/>
      <c r="I105" s="14"/>
      <c r="J105" s="14"/>
      <c r="K105" s="14"/>
      <c r="L105" s="336"/>
      <c r="M105" s="95" t="str">
        <f t="shared" si="1"/>
        <v xml:space="preserve">   </v>
      </c>
    </row>
    <row r="106" spans="1:13" hidden="1" x14ac:dyDescent="0.2">
      <c r="A106" s="343"/>
      <c r="B106" s="170" t="str">
        <f>Capacidades!M105</f>
        <v xml:space="preserve">   </v>
      </c>
      <c r="C106" s="171"/>
      <c r="D106" s="13"/>
      <c r="E106" s="13"/>
      <c r="F106" s="14"/>
      <c r="G106" s="14"/>
      <c r="H106" s="14"/>
      <c r="I106" s="14"/>
      <c r="J106" s="14"/>
      <c r="K106" s="14"/>
      <c r="L106" s="336"/>
      <c r="M106" s="95" t="str">
        <f t="shared" si="1"/>
        <v xml:space="preserve">   </v>
      </c>
    </row>
    <row r="107" spans="1:13" hidden="1" x14ac:dyDescent="0.2">
      <c r="A107" s="343"/>
      <c r="B107" s="170" t="str">
        <f>Capacidades!M106</f>
        <v xml:space="preserve">   </v>
      </c>
      <c r="C107" s="171"/>
      <c r="D107" s="13"/>
      <c r="E107" s="13"/>
      <c r="F107" s="14"/>
      <c r="G107" s="14"/>
      <c r="H107" s="14"/>
      <c r="I107" s="14"/>
      <c r="J107" s="14"/>
      <c r="K107" s="14"/>
      <c r="L107" s="336"/>
      <c r="M107" s="95" t="str">
        <f t="shared" si="1"/>
        <v xml:space="preserve">   </v>
      </c>
    </row>
    <row r="108" spans="1:13" hidden="1" x14ac:dyDescent="0.2">
      <c r="A108" s="343"/>
      <c r="B108" s="170" t="str">
        <f>Capacidades!M107</f>
        <v xml:space="preserve">   </v>
      </c>
      <c r="C108" s="171"/>
      <c r="D108" s="13"/>
      <c r="E108" s="13"/>
      <c r="F108" s="14"/>
      <c r="G108" s="14"/>
      <c r="H108" s="14"/>
      <c r="I108" s="14"/>
      <c r="J108" s="14"/>
      <c r="K108" s="14"/>
      <c r="L108" s="336"/>
      <c r="M108" s="95" t="str">
        <f t="shared" si="1"/>
        <v xml:space="preserve">   </v>
      </c>
    </row>
    <row r="109" spans="1:13" hidden="1" x14ac:dyDescent="0.2">
      <c r="A109" s="343"/>
      <c r="B109" s="170" t="str">
        <f>Capacidades!M108</f>
        <v xml:space="preserve">   </v>
      </c>
      <c r="C109" s="171"/>
      <c r="D109" s="13"/>
      <c r="E109" s="13"/>
      <c r="F109" s="14"/>
      <c r="G109" s="14"/>
      <c r="H109" s="14"/>
      <c r="I109" s="14"/>
      <c r="J109" s="14"/>
      <c r="K109" s="14"/>
      <c r="L109" s="336"/>
      <c r="M109" s="95" t="str">
        <f t="shared" si="1"/>
        <v xml:space="preserve">   </v>
      </c>
    </row>
    <row r="110" spans="1:13" hidden="1" x14ac:dyDescent="0.2">
      <c r="A110" s="344"/>
      <c r="B110" s="170" t="str">
        <f>Capacidades!M109</f>
        <v xml:space="preserve">   </v>
      </c>
      <c r="C110" s="171"/>
      <c r="D110" s="15"/>
      <c r="E110" s="15"/>
      <c r="F110" s="16"/>
      <c r="G110" s="16"/>
      <c r="H110" s="16"/>
      <c r="I110" s="16"/>
      <c r="J110" s="16"/>
      <c r="K110" s="16"/>
      <c r="L110" s="337"/>
      <c r="M110" s="95" t="str">
        <f t="shared" si="1"/>
        <v xml:space="preserve">   </v>
      </c>
    </row>
    <row r="111" spans="1:13" hidden="1" x14ac:dyDescent="0.2">
      <c r="A111" s="342" t="str">
        <f>Capacidades!L110</f>
        <v xml:space="preserve">       </v>
      </c>
      <c r="B111" s="170" t="str">
        <f>Capacidades!M110</f>
        <v xml:space="preserve">   </v>
      </c>
      <c r="C111" s="171"/>
      <c r="D111" s="11">
        <f>Organización_Modular!F20</f>
        <v>0</v>
      </c>
      <c r="E111" s="11">
        <f>Organización_Modular!G20</f>
        <v>0</v>
      </c>
      <c r="F111" s="11">
        <f>Organización_Modular!H20</f>
        <v>0</v>
      </c>
      <c r="G111" s="11">
        <f>Organización_Modular!I20</f>
        <v>0</v>
      </c>
      <c r="H111" s="12">
        <f>SUM(F111:G111)</f>
        <v>0</v>
      </c>
      <c r="I111" s="12">
        <f>F111*16</f>
        <v>0</v>
      </c>
      <c r="J111" s="12">
        <f>G111*32</f>
        <v>0</v>
      </c>
      <c r="K111" s="12">
        <f>SUM(I111:J111)</f>
        <v>0</v>
      </c>
      <c r="L111" s="335"/>
      <c r="M111" s="95" t="str">
        <f t="shared" si="1"/>
        <v xml:space="preserve">   </v>
      </c>
    </row>
    <row r="112" spans="1:13" hidden="1" x14ac:dyDescent="0.2">
      <c r="A112" s="343"/>
      <c r="B112" s="170" t="str">
        <f>Capacidades!M111</f>
        <v xml:space="preserve">   </v>
      </c>
      <c r="C112" s="171"/>
      <c r="D112" s="13"/>
      <c r="E112" s="13"/>
      <c r="F112" s="14"/>
      <c r="G112" s="14"/>
      <c r="H112" s="14"/>
      <c r="I112" s="14"/>
      <c r="J112" s="14"/>
      <c r="K112" s="14"/>
      <c r="L112" s="336"/>
      <c r="M112" s="95" t="str">
        <f t="shared" si="1"/>
        <v xml:space="preserve">   </v>
      </c>
    </row>
    <row r="113" spans="1:13" hidden="1" x14ac:dyDescent="0.2">
      <c r="A113" s="343"/>
      <c r="B113" s="170" t="str">
        <f>Capacidades!M112</f>
        <v xml:space="preserve">   </v>
      </c>
      <c r="C113" s="171"/>
      <c r="D113" s="13"/>
      <c r="E113" s="13"/>
      <c r="F113" s="14"/>
      <c r="G113" s="14"/>
      <c r="H113" s="14"/>
      <c r="I113" s="14"/>
      <c r="J113" s="14"/>
      <c r="K113" s="14"/>
      <c r="L113" s="336"/>
      <c r="M113" s="95" t="str">
        <f t="shared" si="1"/>
        <v xml:space="preserve">   </v>
      </c>
    </row>
    <row r="114" spans="1:13" hidden="1" x14ac:dyDescent="0.2">
      <c r="A114" s="343"/>
      <c r="B114" s="170" t="str">
        <f>Capacidades!M113</f>
        <v xml:space="preserve">   </v>
      </c>
      <c r="C114" s="171"/>
      <c r="D114" s="13"/>
      <c r="E114" s="13"/>
      <c r="F114" s="14"/>
      <c r="G114" s="14"/>
      <c r="H114" s="14"/>
      <c r="I114" s="14"/>
      <c r="J114" s="14"/>
      <c r="K114" s="14"/>
      <c r="L114" s="336"/>
      <c r="M114" s="95" t="str">
        <f t="shared" si="1"/>
        <v xml:space="preserve">   </v>
      </c>
    </row>
    <row r="115" spans="1:13" hidden="1" x14ac:dyDescent="0.2">
      <c r="A115" s="343"/>
      <c r="B115" s="170" t="str">
        <f>Capacidades!M114</f>
        <v xml:space="preserve">   </v>
      </c>
      <c r="C115" s="171"/>
      <c r="D115" s="13"/>
      <c r="E115" s="13"/>
      <c r="F115" s="14"/>
      <c r="G115" s="14"/>
      <c r="H115" s="14"/>
      <c r="I115" s="14"/>
      <c r="J115" s="14"/>
      <c r="K115" s="14"/>
      <c r="L115" s="336"/>
      <c r="M115" s="95" t="str">
        <f t="shared" si="1"/>
        <v xml:space="preserve">   </v>
      </c>
    </row>
    <row r="116" spans="1:13" hidden="1" x14ac:dyDescent="0.2">
      <c r="A116" s="343"/>
      <c r="B116" s="170" t="str">
        <f>Capacidades!M115</f>
        <v xml:space="preserve">   </v>
      </c>
      <c r="C116" s="171"/>
      <c r="D116" s="13"/>
      <c r="E116" s="13"/>
      <c r="F116" s="14"/>
      <c r="G116" s="14"/>
      <c r="H116" s="14"/>
      <c r="I116" s="14"/>
      <c r="J116" s="14"/>
      <c r="K116" s="14"/>
      <c r="L116" s="336"/>
      <c r="M116" s="95" t="str">
        <f t="shared" si="1"/>
        <v xml:space="preserve">   </v>
      </c>
    </row>
    <row r="117" spans="1:13" hidden="1" x14ac:dyDescent="0.2">
      <c r="A117" s="343"/>
      <c r="B117" s="170" t="str">
        <f>Capacidades!M116</f>
        <v xml:space="preserve">   </v>
      </c>
      <c r="C117" s="171"/>
      <c r="D117" s="13"/>
      <c r="E117" s="13"/>
      <c r="F117" s="14"/>
      <c r="G117" s="14"/>
      <c r="H117" s="14"/>
      <c r="I117" s="14"/>
      <c r="J117" s="14"/>
      <c r="K117" s="14"/>
      <c r="L117" s="336"/>
      <c r="M117" s="95" t="str">
        <f t="shared" si="1"/>
        <v xml:space="preserve">   </v>
      </c>
    </row>
    <row r="118" spans="1:13" hidden="1" x14ac:dyDescent="0.2">
      <c r="A118" s="343"/>
      <c r="B118" s="170" t="str">
        <f>Capacidades!M117</f>
        <v xml:space="preserve">   </v>
      </c>
      <c r="C118" s="171"/>
      <c r="D118" s="13"/>
      <c r="E118" s="13"/>
      <c r="F118" s="14"/>
      <c r="G118" s="14"/>
      <c r="H118" s="14"/>
      <c r="I118" s="14"/>
      <c r="J118" s="14"/>
      <c r="K118" s="14"/>
      <c r="L118" s="336"/>
      <c r="M118" s="95" t="str">
        <f t="shared" si="1"/>
        <v xml:space="preserve">   </v>
      </c>
    </row>
    <row r="119" spans="1:13" hidden="1" x14ac:dyDescent="0.2">
      <c r="A119" s="343"/>
      <c r="B119" s="170" t="str">
        <f>Capacidades!M118</f>
        <v xml:space="preserve">   </v>
      </c>
      <c r="C119" s="171"/>
      <c r="D119" s="13"/>
      <c r="E119" s="13"/>
      <c r="F119" s="14"/>
      <c r="G119" s="14"/>
      <c r="H119" s="14"/>
      <c r="I119" s="14"/>
      <c r="J119" s="14"/>
      <c r="K119" s="14"/>
      <c r="L119" s="336"/>
      <c r="M119" s="95" t="str">
        <f t="shared" si="1"/>
        <v xml:space="preserve">   </v>
      </c>
    </row>
    <row r="120" spans="1:13" hidden="1" x14ac:dyDescent="0.2">
      <c r="A120" s="344"/>
      <c r="B120" s="170" t="str">
        <f>Capacidades!M119</f>
        <v xml:space="preserve">   </v>
      </c>
      <c r="C120" s="171"/>
      <c r="D120" s="15"/>
      <c r="E120" s="15"/>
      <c r="F120" s="16"/>
      <c r="G120" s="16"/>
      <c r="H120" s="16"/>
      <c r="I120" s="16"/>
      <c r="J120" s="16"/>
      <c r="K120" s="16"/>
      <c r="L120" s="337"/>
      <c r="M120" s="95" t="str">
        <f t="shared" si="1"/>
        <v xml:space="preserve">   </v>
      </c>
    </row>
    <row r="121" spans="1:13" hidden="1" x14ac:dyDescent="0.2">
      <c r="A121" s="342" t="str">
        <f>Capacidades!L120</f>
        <v xml:space="preserve">       </v>
      </c>
      <c r="B121" s="170" t="str">
        <f>Capacidades!M120</f>
        <v xml:space="preserve">   </v>
      </c>
      <c r="C121" s="171"/>
      <c r="D121" s="11">
        <f>Organización_Modular!F21</f>
        <v>0</v>
      </c>
      <c r="E121" s="11">
        <f>Organización_Modular!G21</f>
        <v>0</v>
      </c>
      <c r="F121" s="11">
        <f>Organización_Modular!H21</f>
        <v>0</v>
      </c>
      <c r="G121" s="11">
        <f>Organización_Modular!I21</f>
        <v>0</v>
      </c>
      <c r="H121" s="12">
        <f>SUM(F121:G121)</f>
        <v>0</v>
      </c>
      <c r="I121" s="12">
        <f>F121*16</f>
        <v>0</v>
      </c>
      <c r="J121" s="12">
        <f>G121*32</f>
        <v>0</v>
      </c>
      <c r="K121" s="12">
        <f>SUM(I121:J121)</f>
        <v>0</v>
      </c>
      <c r="L121" s="335"/>
      <c r="M121" s="95" t="str">
        <f t="shared" si="1"/>
        <v xml:space="preserve">   </v>
      </c>
    </row>
    <row r="122" spans="1:13" hidden="1" x14ac:dyDescent="0.2">
      <c r="A122" s="343"/>
      <c r="B122" s="170" t="str">
        <f>Capacidades!M121</f>
        <v xml:space="preserve">   </v>
      </c>
      <c r="C122" s="171"/>
      <c r="D122" s="13"/>
      <c r="E122" s="13"/>
      <c r="F122" s="14"/>
      <c r="G122" s="14"/>
      <c r="H122" s="14"/>
      <c r="I122" s="14"/>
      <c r="J122" s="14"/>
      <c r="K122" s="14"/>
      <c r="L122" s="336"/>
      <c r="M122" s="95" t="str">
        <f t="shared" si="1"/>
        <v xml:space="preserve">   </v>
      </c>
    </row>
    <row r="123" spans="1:13" hidden="1" x14ac:dyDescent="0.2">
      <c r="A123" s="343"/>
      <c r="B123" s="170" t="str">
        <f>Capacidades!M122</f>
        <v xml:space="preserve">   </v>
      </c>
      <c r="C123" s="171"/>
      <c r="D123" s="13"/>
      <c r="E123" s="13"/>
      <c r="F123" s="14"/>
      <c r="G123" s="14"/>
      <c r="H123" s="14"/>
      <c r="I123" s="14"/>
      <c r="J123" s="14"/>
      <c r="K123" s="14"/>
      <c r="L123" s="336"/>
      <c r="M123" s="95" t="str">
        <f t="shared" si="1"/>
        <v xml:space="preserve">   </v>
      </c>
    </row>
    <row r="124" spans="1:13" hidden="1" x14ac:dyDescent="0.2">
      <c r="A124" s="343"/>
      <c r="B124" s="170" t="str">
        <f>Capacidades!M123</f>
        <v xml:space="preserve">   </v>
      </c>
      <c r="C124" s="171"/>
      <c r="D124" s="13"/>
      <c r="E124" s="13"/>
      <c r="F124" s="14"/>
      <c r="G124" s="14"/>
      <c r="H124" s="14"/>
      <c r="I124" s="14"/>
      <c r="J124" s="14"/>
      <c r="K124" s="14"/>
      <c r="L124" s="336"/>
      <c r="M124" s="95" t="str">
        <f t="shared" si="1"/>
        <v xml:space="preserve">   </v>
      </c>
    </row>
    <row r="125" spans="1:13" hidden="1" x14ac:dyDescent="0.2">
      <c r="A125" s="343"/>
      <c r="B125" s="170" t="str">
        <f>Capacidades!M124</f>
        <v xml:space="preserve">   </v>
      </c>
      <c r="C125" s="171"/>
      <c r="D125" s="13"/>
      <c r="E125" s="13"/>
      <c r="F125" s="14"/>
      <c r="G125" s="14"/>
      <c r="H125" s="14"/>
      <c r="I125" s="14"/>
      <c r="J125" s="14"/>
      <c r="K125" s="14"/>
      <c r="L125" s="336"/>
      <c r="M125" s="95" t="str">
        <f t="shared" si="1"/>
        <v xml:space="preserve">   </v>
      </c>
    </row>
    <row r="126" spans="1:13" hidden="1" x14ac:dyDescent="0.2">
      <c r="A126" s="343"/>
      <c r="B126" s="170" t="str">
        <f>Capacidades!M125</f>
        <v xml:space="preserve">   </v>
      </c>
      <c r="C126" s="171"/>
      <c r="D126" s="13"/>
      <c r="E126" s="13"/>
      <c r="F126" s="14"/>
      <c r="G126" s="14"/>
      <c r="H126" s="14"/>
      <c r="I126" s="14"/>
      <c r="J126" s="14"/>
      <c r="K126" s="14"/>
      <c r="L126" s="336"/>
      <c r="M126" s="95" t="str">
        <f t="shared" si="1"/>
        <v xml:space="preserve">   </v>
      </c>
    </row>
    <row r="127" spans="1:13" ht="10.5" hidden="1" customHeight="1" x14ac:dyDescent="0.2">
      <c r="A127" s="343"/>
      <c r="B127" s="170" t="str">
        <f>Capacidades!M126</f>
        <v xml:space="preserve">   </v>
      </c>
      <c r="C127" s="171"/>
      <c r="D127" s="13"/>
      <c r="E127" s="13"/>
      <c r="F127" s="14"/>
      <c r="G127" s="14"/>
      <c r="H127" s="14"/>
      <c r="I127" s="14"/>
      <c r="J127" s="14"/>
      <c r="K127" s="14"/>
      <c r="L127" s="336"/>
      <c r="M127" s="95" t="str">
        <f t="shared" si="1"/>
        <v xml:space="preserve">   </v>
      </c>
    </row>
    <row r="128" spans="1:13" hidden="1" x14ac:dyDescent="0.2">
      <c r="A128" s="343"/>
      <c r="B128" s="170" t="str">
        <f>Capacidades!M127</f>
        <v xml:space="preserve">   </v>
      </c>
      <c r="C128" s="171"/>
      <c r="D128" s="13"/>
      <c r="E128" s="13"/>
      <c r="F128" s="14"/>
      <c r="G128" s="14"/>
      <c r="H128" s="14"/>
      <c r="I128" s="14"/>
      <c r="J128" s="14"/>
      <c r="K128" s="14"/>
      <c r="L128" s="336"/>
      <c r="M128" s="95" t="str">
        <f t="shared" si="1"/>
        <v xml:space="preserve">   </v>
      </c>
    </row>
    <row r="129" spans="1:13" hidden="1" x14ac:dyDescent="0.2">
      <c r="A129" s="343"/>
      <c r="B129" s="170" t="str">
        <f>Capacidades!M128</f>
        <v xml:space="preserve">   </v>
      </c>
      <c r="C129" s="171"/>
      <c r="D129" s="13"/>
      <c r="E129" s="13"/>
      <c r="F129" s="14"/>
      <c r="G129" s="14"/>
      <c r="H129" s="14"/>
      <c r="I129" s="14"/>
      <c r="J129" s="14"/>
      <c r="K129" s="14"/>
      <c r="L129" s="336"/>
      <c r="M129" s="95" t="str">
        <f t="shared" si="1"/>
        <v xml:space="preserve">   </v>
      </c>
    </row>
    <row r="130" spans="1:13" hidden="1" x14ac:dyDescent="0.2">
      <c r="A130" s="344"/>
      <c r="B130" s="170" t="str">
        <f>Capacidades!M129</f>
        <v xml:space="preserve">   </v>
      </c>
      <c r="C130" s="171"/>
      <c r="D130" s="15"/>
      <c r="E130" s="15"/>
      <c r="F130" s="16"/>
      <c r="G130" s="16"/>
      <c r="H130" s="16"/>
      <c r="I130" s="16"/>
      <c r="J130" s="16"/>
      <c r="K130" s="16"/>
      <c r="L130" s="337"/>
      <c r="M130" s="95" t="str">
        <f t="shared" si="1"/>
        <v xml:space="preserve">   </v>
      </c>
    </row>
    <row r="131" spans="1:13" hidden="1" x14ac:dyDescent="0.2">
      <c r="A131" s="342" t="str">
        <f>Capacidades!L130</f>
        <v xml:space="preserve">       </v>
      </c>
      <c r="B131" s="170" t="str">
        <f>Capacidades!M130</f>
        <v xml:space="preserve">   </v>
      </c>
      <c r="C131" s="171"/>
      <c r="D131" s="11">
        <f>Organización_Modular!F22</f>
        <v>0</v>
      </c>
      <c r="E131" s="11">
        <f>Organización_Modular!G22</f>
        <v>0</v>
      </c>
      <c r="F131" s="11">
        <f>Organización_Modular!H22</f>
        <v>0</v>
      </c>
      <c r="G131" s="11">
        <f>Organización_Modular!I22</f>
        <v>0</v>
      </c>
      <c r="H131" s="12">
        <f>SUM(F131:G131)</f>
        <v>0</v>
      </c>
      <c r="I131" s="12">
        <f>F131*16</f>
        <v>0</v>
      </c>
      <c r="J131" s="12">
        <f>G131*32</f>
        <v>0</v>
      </c>
      <c r="K131" s="12">
        <f>SUM(I131:J131)</f>
        <v>0</v>
      </c>
      <c r="L131" s="335"/>
      <c r="M131" s="95" t="str">
        <f t="shared" si="1"/>
        <v xml:space="preserve">   </v>
      </c>
    </row>
    <row r="132" spans="1:13" hidden="1" x14ac:dyDescent="0.2">
      <c r="A132" s="343"/>
      <c r="B132" s="170" t="str">
        <f>Capacidades!M131</f>
        <v xml:space="preserve">   </v>
      </c>
      <c r="C132" s="171"/>
      <c r="D132" s="13"/>
      <c r="E132" s="13"/>
      <c r="F132" s="14"/>
      <c r="G132" s="14"/>
      <c r="H132" s="14"/>
      <c r="I132" s="14"/>
      <c r="J132" s="14"/>
      <c r="K132" s="14"/>
      <c r="L132" s="336"/>
      <c r="M132" s="95" t="str">
        <f t="shared" si="1"/>
        <v xml:space="preserve">   </v>
      </c>
    </row>
    <row r="133" spans="1:13" hidden="1" x14ac:dyDescent="0.2">
      <c r="A133" s="343"/>
      <c r="B133" s="170" t="str">
        <f>Capacidades!M132</f>
        <v xml:space="preserve">   </v>
      </c>
      <c r="C133" s="171"/>
      <c r="D133" s="13"/>
      <c r="E133" s="13"/>
      <c r="F133" s="14"/>
      <c r="G133" s="14"/>
      <c r="H133" s="14"/>
      <c r="I133" s="14"/>
      <c r="J133" s="14"/>
      <c r="K133" s="14"/>
      <c r="L133" s="336"/>
      <c r="M133" s="95" t="str">
        <f t="shared" si="1"/>
        <v xml:space="preserve">   </v>
      </c>
    </row>
    <row r="134" spans="1:13" hidden="1" x14ac:dyDescent="0.2">
      <c r="A134" s="343"/>
      <c r="B134" s="170" t="str">
        <f>Capacidades!M133</f>
        <v xml:space="preserve">   </v>
      </c>
      <c r="C134" s="171"/>
      <c r="D134" s="13"/>
      <c r="E134" s="13"/>
      <c r="F134" s="14"/>
      <c r="G134" s="14"/>
      <c r="H134" s="14"/>
      <c r="I134" s="14"/>
      <c r="J134" s="14"/>
      <c r="K134" s="14"/>
      <c r="L134" s="336"/>
      <c r="M134" s="95" t="str">
        <f t="shared" si="1"/>
        <v xml:space="preserve">   </v>
      </c>
    </row>
    <row r="135" spans="1:13" hidden="1" x14ac:dyDescent="0.2">
      <c r="A135" s="343"/>
      <c r="B135" s="170" t="str">
        <f>Capacidades!M134</f>
        <v xml:space="preserve">   </v>
      </c>
      <c r="C135" s="171"/>
      <c r="D135" s="13"/>
      <c r="E135" s="13"/>
      <c r="F135" s="14"/>
      <c r="G135" s="14"/>
      <c r="H135" s="14"/>
      <c r="I135" s="14"/>
      <c r="J135" s="14"/>
      <c r="K135" s="14"/>
      <c r="L135" s="336"/>
      <c r="M135" s="95" t="str">
        <f t="shared" si="1"/>
        <v xml:space="preserve">   </v>
      </c>
    </row>
    <row r="136" spans="1:13" hidden="1" x14ac:dyDescent="0.2">
      <c r="A136" s="343"/>
      <c r="B136" s="170" t="str">
        <f>Capacidades!M135</f>
        <v xml:space="preserve">   </v>
      </c>
      <c r="C136" s="171"/>
      <c r="D136" s="13"/>
      <c r="E136" s="13"/>
      <c r="F136" s="14"/>
      <c r="G136" s="14"/>
      <c r="H136" s="14"/>
      <c r="I136" s="14"/>
      <c r="J136" s="14"/>
      <c r="K136" s="14"/>
      <c r="L136" s="336"/>
      <c r="M136" s="95" t="str">
        <f t="shared" si="1"/>
        <v xml:space="preserve">   </v>
      </c>
    </row>
    <row r="137" spans="1:13" hidden="1" x14ac:dyDescent="0.2">
      <c r="A137" s="343"/>
      <c r="B137" s="170" t="str">
        <f>Capacidades!M136</f>
        <v xml:space="preserve">   </v>
      </c>
      <c r="C137" s="171"/>
      <c r="D137" s="13"/>
      <c r="E137" s="13"/>
      <c r="F137" s="14"/>
      <c r="G137" s="14"/>
      <c r="H137" s="14"/>
      <c r="I137" s="14"/>
      <c r="J137" s="14"/>
      <c r="K137" s="14"/>
      <c r="L137" s="336"/>
      <c r="M137" s="95" t="str">
        <f t="shared" si="1"/>
        <v xml:space="preserve">   </v>
      </c>
    </row>
    <row r="138" spans="1:13" hidden="1" x14ac:dyDescent="0.2">
      <c r="A138" s="343"/>
      <c r="B138" s="170" t="str">
        <f>Capacidades!M137</f>
        <v xml:space="preserve">   </v>
      </c>
      <c r="C138" s="171"/>
      <c r="D138" s="13"/>
      <c r="E138" s="13"/>
      <c r="F138" s="14"/>
      <c r="G138" s="14"/>
      <c r="H138" s="14"/>
      <c r="I138" s="14"/>
      <c r="J138" s="14"/>
      <c r="K138" s="14"/>
      <c r="L138" s="336"/>
      <c r="M138" s="95" t="str">
        <f t="shared" si="1"/>
        <v xml:space="preserve">   </v>
      </c>
    </row>
    <row r="139" spans="1:13" hidden="1" x14ac:dyDescent="0.2">
      <c r="A139" s="343"/>
      <c r="B139" s="170" t="str">
        <f>Capacidades!M138</f>
        <v xml:space="preserve">   </v>
      </c>
      <c r="C139" s="171"/>
      <c r="D139" s="13"/>
      <c r="E139" s="13"/>
      <c r="F139" s="14"/>
      <c r="G139" s="14"/>
      <c r="H139" s="14"/>
      <c r="I139" s="14"/>
      <c r="J139" s="14"/>
      <c r="K139" s="14"/>
      <c r="L139" s="336"/>
      <c r="M139" s="95" t="str">
        <f t="shared" si="1"/>
        <v xml:space="preserve">   </v>
      </c>
    </row>
    <row r="140" spans="1:13" hidden="1" x14ac:dyDescent="0.2">
      <c r="A140" s="344"/>
      <c r="B140" s="170" t="str">
        <f>Capacidades!M139</f>
        <v xml:space="preserve">   </v>
      </c>
      <c r="C140" s="171"/>
      <c r="D140" s="15"/>
      <c r="E140" s="15"/>
      <c r="F140" s="16"/>
      <c r="G140" s="16"/>
      <c r="H140" s="16"/>
      <c r="I140" s="16"/>
      <c r="J140" s="16"/>
      <c r="K140" s="16"/>
      <c r="L140" s="337"/>
      <c r="M140" s="95" t="str">
        <f t="shared" ref="M140:M203" si="2">B140</f>
        <v xml:space="preserve">   </v>
      </c>
    </row>
    <row r="141" spans="1:13" hidden="1" x14ac:dyDescent="0.2">
      <c r="A141" s="342" t="str">
        <f>Capacidades!L140</f>
        <v xml:space="preserve">       </v>
      </c>
      <c r="B141" s="170" t="str">
        <f>Capacidades!M140</f>
        <v xml:space="preserve">   </v>
      </c>
      <c r="C141" s="171"/>
      <c r="D141" s="11">
        <f>Organización_Modular!F23</f>
        <v>0</v>
      </c>
      <c r="E141" s="11">
        <f>Organización_Modular!G23</f>
        <v>0</v>
      </c>
      <c r="F141" s="11">
        <f>Organización_Modular!H23</f>
        <v>0</v>
      </c>
      <c r="G141" s="11">
        <f>Organización_Modular!I23</f>
        <v>0</v>
      </c>
      <c r="H141" s="12">
        <f>SUM(F141:G141)</f>
        <v>0</v>
      </c>
      <c r="I141" s="12">
        <f>F141*16</f>
        <v>0</v>
      </c>
      <c r="J141" s="12">
        <f>G141*32</f>
        <v>0</v>
      </c>
      <c r="K141" s="12">
        <f>SUM(I141:J141)</f>
        <v>0</v>
      </c>
      <c r="L141" s="335"/>
      <c r="M141" s="95" t="str">
        <f t="shared" si="2"/>
        <v xml:space="preserve">   </v>
      </c>
    </row>
    <row r="142" spans="1:13" hidden="1" x14ac:dyDescent="0.2">
      <c r="A142" s="343"/>
      <c r="B142" s="170" t="str">
        <f>Capacidades!M141</f>
        <v xml:space="preserve">   </v>
      </c>
      <c r="C142" s="171"/>
      <c r="D142" s="13"/>
      <c r="E142" s="13"/>
      <c r="F142" s="14"/>
      <c r="G142" s="14"/>
      <c r="H142" s="14"/>
      <c r="I142" s="14"/>
      <c r="J142" s="14"/>
      <c r="K142" s="14"/>
      <c r="L142" s="336"/>
      <c r="M142" s="95" t="str">
        <f t="shared" si="2"/>
        <v xml:space="preserve">   </v>
      </c>
    </row>
    <row r="143" spans="1:13" hidden="1" x14ac:dyDescent="0.2">
      <c r="A143" s="343"/>
      <c r="B143" s="170" t="str">
        <f>Capacidades!M142</f>
        <v xml:space="preserve">   </v>
      </c>
      <c r="C143" s="171"/>
      <c r="D143" s="13"/>
      <c r="E143" s="13"/>
      <c r="F143" s="14"/>
      <c r="G143" s="14"/>
      <c r="H143" s="14"/>
      <c r="I143" s="14"/>
      <c r="J143" s="14"/>
      <c r="K143" s="14"/>
      <c r="L143" s="336"/>
      <c r="M143" s="95" t="str">
        <f t="shared" si="2"/>
        <v xml:space="preserve">   </v>
      </c>
    </row>
    <row r="144" spans="1:13" hidden="1" x14ac:dyDescent="0.2">
      <c r="A144" s="343"/>
      <c r="B144" s="170" t="str">
        <f>Capacidades!M143</f>
        <v xml:space="preserve">   </v>
      </c>
      <c r="C144" s="171"/>
      <c r="D144" s="13"/>
      <c r="E144" s="13"/>
      <c r="F144" s="14"/>
      <c r="G144" s="14"/>
      <c r="H144" s="14"/>
      <c r="I144" s="14"/>
      <c r="J144" s="14"/>
      <c r="K144" s="14"/>
      <c r="L144" s="336"/>
      <c r="M144" s="95" t="str">
        <f t="shared" si="2"/>
        <v xml:space="preserve">   </v>
      </c>
    </row>
    <row r="145" spans="1:13" hidden="1" x14ac:dyDescent="0.2">
      <c r="A145" s="343"/>
      <c r="B145" s="170" t="str">
        <f>Capacidades!M144</f>
        <v xml:space="preserve">   </v>
      </c>
      <c r="C145" s="171"/>
      <c r="D145" s="13"/>
      <c r="E145" s="13"/>
      <c r="F145" s="14"/>
      <c r="G145" s="14"/>
      <c r="H145" s="14"/>
      <c r="I145" s="14"/>
      <c r="J145" s="14"/>
      <c r="K145" s="14"/>
      <c r="L145" s="336"/>
      <c r="M145" s="95" t="str">
        <f t="shared" si="2"/>
        <v xml:space="preserve">   </v>
      </c>
    </row>
    <row r="146" spans="1:13" hidden="1" x14ac:dyDescent="0.2">
      <c r="A146" s="343"/>
      <c r="B146" s="170" t="str">
        <f>Capacidades!M145</f>
        <v xml:space="preserve">   </v>
      </c>
      <c r="C146" s="171"/>
      <c r="D146" s="13"/>
      <c r="E146" s="13"/>
      <c r="F146" s="14"/>
      <c r="G146" s="14"/>
      <c r="H146" s="14"/>
      <c r="I146" s="14"/>
      <c r="J146" s="14"/>
      <c r="K146" s="14"/>
      <c r="L146" s="336"/>
      <c r="M146" s="95" t="str">
        <f t="shared" si="2"/>
        <v xml:space="preserve">   </v>
      </c>
    </row>
    <row r="147" spans="1:13" hidden="1" x14ac:dyDescent="0.2">
      <c r="A147" s="343"/>
      <c r="B147" s="170" t="str">
        <f>Capacidades!M146</f>
        <v xml:space="preserve">   </v>
      </c>
      <c r="C147" s="171"/>
      <c r="D147" s="13"/>
      <c r="E147" s="13"/>
      <c r="F147" s="14"/>
      <c r="G147" s="14"/>
      <c r="H147" s="14"/>
      <c r="I147" s="14"/>
      <c r="J147" s="14"/>
      <c r="K147" s="14"/>
      <c r="L147" s="336"/>
      <c r="M147" s="95" t="str">
        <f t="shared" si="2"/>
        <v xml:space="preserve">   </v>
      </c>
    </row>
    <row r="148" spans="1:13" hidden="1" x14ac:dyDescent="0.2">
      <c r="A148" s="343"/>
      <c r="B148" s="170" t="str">
        <f>Capacidades!M147</f>
        <v xml:space="preserve">   </v>
      </c>
      <c r="C148" s="171"/>
      <c r="D148" s="13"/>
      <c r="E148" s="13"/>
      <c r="F148" s="14"/>
      <c r="G148" s="14"/>
      <c r="H148" s="14"/>
      <c r="I148" s="14"/>
      <c r="J148" s="14"/>
      <c r="K148" s="14"/>
      <c r="L148" s="336"/>
      <c r="M148" s="95" t="str">
        <f t="shared" si="2"/>
        <v xml:space="preserve">   </v>
      </c>
    </row>
    <row r="149" spans="1:13" hidden="1" x14ac:dyDescent="0.2">
      <c r="A149" s="343"/>
      <c r="B149" s="170" t="str">
        <f>Capacidades!M148</f>
        <v xml:space="preserve">   </v>
      </c>
      <c r="C149" s="171"/>
      <c r="D149" s="13"/>
      <c r="E149" s="13"/>
      <c r="F149" s="14"/>
      <c r="G149" s="14"/>
      <c r="H149" s="14"/>
      <c r="I149" s="14"/>
      <c r="J149" s="14"/>
      <c r="K149" s="14"/>
      <c r="L149" s="336"/>
      <c r="M149" s="95" t="str">
        <f t="shared" si="2"/>
        <v xml:space="preserve">   </v>
      </c>
    </row>
    <row r="150" spans="1:13" hidden="1" x14ac:dyDescent="0.2">
      <c r="A150" s="344"/>
      <c r="B150" s="170" t="str">
        <f>Capacidades!M149</f>
        <v xml:space="preserve">   </v>
      </c>
      <c r="C150" s="171"/>
      <c r="D150" s="15"/>
      <c r="E150" s="15"/>
      <c r="F150" s="16"/>
      <c r="G150" s="16"/>
      <c r="H150" s="16"/>
      <c r="I150" s="16"/>
      <c r="J150" s="16"/>
      <c r="K150" s="16"/>
      <c r="L150" s="337"/>
      <c r="M150" s="95" t="str">
        <f t="shared" si="2"/>
        <v xml:space="preserve">   </v>
      </c>
    </row>
    <row r="151" spans="1:13" hidden="1" x14ac:dyDescent="0.2">
      <c r="A151" s="342" t="str">
        <f>Capacidades!L150</f>
        <v xml:space="preserve">       </v>
      </c>
      <c r="B151" s="170" t="str">
        <f>Capacidades!M150</f>
        <v xml:space="preserve">   </v>
      </c>
      <c r="C151" s="171"/>
      <c r="D151" s="11">
        <f>Organización_Modular!F24</f>
        <v>0</v>
      </c>
      <c r="E151" s="11">
        <f>Organización_Modular!G24</f>
        <v>0</v>
      </c>
      <c r="F151" s="11">
        <f>Organización_Modular!H24</f>
        <v>0</v>
      </c>
      <c r="G151" s="11">
        <f>Organización_Modular!I24</f>
        <v>0</v>
      </c>
      <c r="H151" s="12">
        <f>SUM(F151:G151)</f>
        <v>0</v>
      </c>
      <c r="I151" s="12">
        <f>F151*16</f>
        <v>0</v>
      </c>
      <c r="J151" s="12">
        <f>G151*32</f>
        <v>0</v>
      </c>
      <c r="K151" s="12">
        <f>SUM(I151:J151)</f>
        <v>0</v>
      </c>
      <c r="L151" s="335"/>
      <c r="M151" s="95" t="str">
        <f t="shared" si="2"/>
        <v xml:space="preserve">   </v>
      </c>
    </row>
    <row r="152" spans="1:13" hidden="1" x14ac:dyDescent="0.2">
      <c r="A152" s="343"/>
      <c r="B152" s="170" t="str">
        <f>Capacidades!M151</f>
        <v xml:space="preserve">   </v>
      </c>
      <c r="C152" s="171"/>
      <c r="D152" s="13"/>
      <c r="E152" s="13"/>
      <c r="F152" s="14"/>
      <c r="G152" s="14"/>
      <c r="H152" s="14"/>
      <c r="I152" s="14"/>
      <c r="J152" s="14"/>
      <c r="K152" s="14"/>
      <c r="L152" s="336"/>
      <c r="M152" s="95" t="str">
        <f t="shared" si="2"/>
        <v xml:space="preserve">   </v>
      </c>
    </row>
    <row r="153" spans="1:13" hidden="1" x14ac:dyDescent="0.2">
      <c r="A153" s="343"/>
      <c r="B153" s="170" t="str">
        <f>Capacidades!M152</f>
        <v xml:space="preserve">   </v>
      </c>
      <c r="C153" s="171"/>
      <c r="D153" s="13"/>
      <c r="E153" s="13"/>
      <c r="F153" s="14"/>
      <c r="G153" s="14"/>
      <c r="H153" s="14"/>
      <c r="I153" s="14"/>
      <c r="J153" s="14"/>
      <c r="K153" s="14"/>
      <c r="L153" s="336"/>
      <c r="M153" s="95" t="str">
        <f t="shared" si="2"/>
        <v xml:space="preserve">   </v>
      </c>
    </row>
    <row r="154" spans="1:13" hidden="1" x14ac:dyDescent="0.2">
      <c r="A154" s="343"/>
      <c r="B154" s="170" t="str">
        <f>Capacidades!M153</f>
        <v xml:space="preserve">   </v>
      </c>
      <c r="C154" s="171"/>
      <c r="D154" s="13"/>
      <c r="E154" s="13"/>
      <c r="F154" s="14"/>
      <c r="G154" s="14"/>
      <c r="H154" s="14"/>
      <c r="I154" s="14"/>
      <c r="J154" s="14"/>
      <c r="K154" s="14"/>
      <c r="L154" s="336"/>
      <c r="M154" s="95" t="str">
        <f t="shared" si="2"/>
        <v xml:space="preserve">   </v>
      </c>
    </row>
    <row r="155" spans="1:13" hidden="1" x14ac:dyDescent="0.2">
      <c r="A155" s="343"/>
      <c r="B155" s="170" t="str">
        <f>Capacidades!M154</f>
        <v xml:space="preserve">   </v>
      </c>
      <c r="C155" s="171"/>
      <c r="D155" s="13"/>
      <c r="E155" s="13"/>
      <c r="F155" s="14"/>
      <c r="G155" s="14"/>
      <c r="H155" s="14"/>
      <c r="I155" s="14"/>
      <c r="J155" s="14"/>
      <c r="K155" s="14"/>
      <c r="L155" s="336"/>
      <c r="M155" s="95" t="str">
        <f t="shared" si="2"/>
        <v xml:space="preserve">   </v>
      </c>
    </row>
    <row r="156" spans="1:13" hidden="1" x14ac:dyDescent="0.2">
      <c r="A156" s="343"/>
      <c r="B156" s="170" t="str">
        <f>Capacidades!M155</f>
        <v xml:space="preserve">   </v>
      </c>
      <c r="C156" s="171"/>
      <c r="D156" s="13"/>
      <c r="E156" s="13"/>
      <c r="F156" s="14"/>
      <c r="G156" s="14"/>
      <c r="H156" s="14"/>
      <c r="I156" s="14"/>
      <c r="J156" s="14"/>
      <c r="K156" s="14"/>
      <c r="L156" s="336"/>
      <c r="M156" s="95" t="str">
        <f t="shared" si="2"/>
        <v xml:space="preserve">   </v>
      </c>
    </row>
    <row r="157" spans="1:13" hidden="1" x14ac:dyDescent="0.2">
      <c r="A157" s="343"/>
      <c r="B157" s="170" t="str">
        <f>Capacidades!M156</f>
        <v xml:space="preserve">   </v>
      </c>
      <c r="C157" s="171"/>
      <c r="D157" s="13"/>
      <c r="E157" s="13"/>
      <c r="F157" s="14"/>
      <c r="G157" s="14"/>
      <c r="H157" s="14"/>
      <c r="I157" s="14"/>
      <c r="J157" s="14"/>
      <c r="K157" s="14"/>
      <c r="L157" s="336"/>
      <c r="M157" s="95" t="str">
        <f t="shared" si="2"/>
        <v xml:space="preserve">   </v>
      </c>
    </row>
    <row r="158" spans="1:13" hidden="1" x14ac:dyDescent="0.2">
      <c r="A158" s="343"/>
      <c r="B158" s="170" t="str">
        <f>Capacidades!M157</f>
        <v xml:space="preserve">   </v>
      </c>
      <c r="C158" s="171"/>
      <c r="D158" s="13"/>
      <c r="E158" s="13"/>
      <c r="F158" s="14"/>
      <c r="G158" s="14"/>
      <c r="H158" s="14"/>
      <c r="I158" s="14"/>
      <c r="J158" s="14"/>
      <c r="K158" s="14"/>
      <c r="L158" s="336"/>
      <c r="M158" s="95" t="str">
        <f t="shared" si="2"/>
        <v xml:space="preserve">   </v>
      </c>
    </row>
    <row r="159" spans="1:13" hidden="1" x14ac:dyDescent="0.2">
      <c r="A159" s="343"/>
      <c r="B159" s="170" t="str">
        <f>Capacidades!M158</f>
        <v xml:space="preserve">   </v>
      </c>
      <c r="C159" s="171"/>
      <c r="D159" s="13"/>
      <c r="E159" s="13"/>
      <c r="F159" s="14"/>
      <c r="G159" s="14"/>
      <c r="H159" s="14"/>
      <c r="I159" s="14"/>
      <c r="J159" s="14"/>
      <c r="K159" s="14"/>
      <c r="L159" s="336"/>
      <c r="M159" s="95" t="str">
        <f t="shared" si="2"/>
        <v xml:space="preserve">   </v>
      </c>
    </row>
    <row r="160" spans="1:13" ht="1.5" hidden="1" customHeight="1" x14ac:dyDescent="0.2">
      <c r="A160" s="344"/>
      <c r="B160" s="170" t="str">
        <f>Capacidades!M159</f>
        <v xml:space="preserve">   </v>
      </c>
      <c r="C160" s="171"/>
      <c r="D160" s="15"/>
      <c r="E160" s="15"/>
      <c r="F160" s="16"/>
      <c r="G160" s="16"/>
      <c r="H160" s="16"/>
      <c r="I160" s="16"/>
      <c r="J160" s="16"/>
      <c r="K160" s="16"/>
      <c r="L160" s="337"/>
      <c r="M160" s="95" t="str">
        <f t="shared" si="2"/>
        <v xml:space="preserve">   </v>
      </c>
    </row>
    <row r="161" spans="1:13" hidden="1" x14ac:dyDescent="0.2">
      <c r="A161" s="342" t="str">
        <f>Capacidades!L160</f>
        <v xml:space="preserve">       </v>
      </c>
      <c r="B161" s="170" t="str">
        <f>Capacidades!M160</f>
        <v xml:space="preserve">   </v>
      </c>
      <c r="C161" s="171"/>
      <c r="D161" s="11">
        <f>Organización_Modular!F25</f>
        <v>0</v>
      </c>
      <c r="E161" s="11">
        <f>Organización_Modular!G25</f>
        <v>0</v>
      </c>
      <c r="F161" s="11">
        <f>Organización_Modular!H25</f>
        <v>0</v>
      </c>
      <c r="G161" s="11">
        <f>Organización_Modular!I25</f>
        <v>0</v>
      </c>
      <c r="H161" s="12">
        <f>SUM(F161:G161)</f>
        <v>0</v>
      </c>
      <c r="I161" s="12">
        <f>F161*16</f>
        <v>0</v>
      </c>
      <c r="J161" s="12">
        <f>G161*32</f>
        <v>0</v>
      </c>
      <c r="K161" s="12">
        <f>SUM(I161:J161)</f>
        <v>0</v>
      </c>
      <c r="L161" s="335"/>
      <c r="M161" s="95" t="str">
        <f t="shared" si="2"/>
        <v xml:space="preserve">   </v>
      </c>
    </row>
    <row r="162" spans="1:13" hidden="1" x14ac:dyDescent="0.2">
      <c r="A162" s="343"/>
      <c r="B162" s="170" t="str">
        <f>Capacidades!M161</f>
        <v xml:space="preserve">   </v>
      </c>
      <c r="C162" s="171"/>
      <c r="D162" s="13"/>
      <c r="E162" s="13"/>
      <c r="F162" s="14"/>
      <c r="G162" s="14"/>
      <c r="H162" s="14"/>
      <c r="I162" s="14"/>
      <c r="J162" s="14"/>
      <c r="K162" s="14"/>
      <c r="L162" s="336"/>
      <c r="M162" s="95" t="str">
        <f t="shared" si="2"/>
        <v xml:space="preserve">   </v>
      </c>
    </row>
    <row r="163" spans="1:13" hidden="1" x14ac:dyDescent="0.2">
      <c r="A163" s="343"/>
      <c r="B163" s="170" t="str">
        <f>Capacidades!M162</f>
        <v xml:space="preserve">   </v>
      </c>
      <c r="C163" s="171"/>
      <c r="D163" s="13"/>
      <c r="E163" s="13"/>
      <c r="F163" s="14"/>
      <c r="G163" s="14"/>
      <c r="H163" s="14"/>
      <c r="I163" s="14"/>
      <c r="J163" s="14"/>
      <c r="K163" s="14"/>
      <c r="L163" s="336"/>
      <c r="M163" s="95" t="str">
        <f t="shared" si="2"/>
        <v xml:space="preserve">   </v>
      </c>
    </row>
    <row r="164" spans="1:13" hidden="1" x14ac:dyDescent="0.2">
      <c r="A164" s="343"/>
      <c r="B164" s="170" t="str">
        <f>Capacidades!M163</f>
        <v xml:space="preserve">   </v>
      </c>
      <c r="C164" s="171"/>
      <c r="D164" s="13"/>
      <c r="E164" s="13"/>
      <c r="F164" s="14"/>
      <c r="G164" s="14"/>
      <c r="H164" s="14"/>
      <c r="I164" s="14"/>
      <c r="J164" s="14"/>
      <c r="K164" s="14"/>
      <c r="L164" s="336"/>
      <c r="M164" s="95" t="str">
        <f t="shared" si="2"/>
        <v xml:space="preserve">   </v>
      </c>
    </row>
    <row r="165" spans="1:13" hidden="1" x14ac:dyDescent="0.2">
      <c r="A165" s="343"/>
      <c r="B165" s="170" t="str">
        <f>Capacidades!M164</f>
        <v xml:space="preserve">   </v>
      </c>
      <c r="C165" s="171"/>
      <c r="D165" s="13"/>
      <c r="E165" s="13"/>
      <c r="F165" s="14"/>
      <c r="G165" s="14"/>
      <c r="H165" s="14"/>
      <c r="I165" s="14"/>
      <c r="J165" s="14"/>
      <c r="K165" s="14"/>
      <c r="L165" s="336"/>
      <c r="M165" s="95" t="str">
        <f t="shared" si="2"/>
        <v xml:space="preserve">   </v>
      </c>
    </row>
    <row r="166" spans="1:13" hidden="1" x14ac:dyDescent="0.2">
      <c r="A166" s="343"/>
      <c r="B166" s="170" t="str">
        <f>Capacidades!M165</f>
        <v xml:space="preserve">   </v>
      </c>
      <c r="C166" s="171"/>
      <c r="D166" s="13"/>
      <c r="E166" s="13"/>
      <c r="F166" s="14"/>
      <c r="G166" s="14"/>
      <c r="H166" s="14"/>
      <c r="I166" s="14"/>
      <c r="J166" s="14"/>
      <c r="K166" s="14"/>
      <c r="L166" s="336"/>
      <c r="M166" s="95" t="str">
        <f t="shared" si="2"/>
        <v xml:space="preserve">   </v>
      </c>
    </row>
    <row r="167" spans="1:13" hidden="1" x14ac:dyDescent="0.2">
      <c r="A167" s="343"/>
      <c r="B167" s="170" t="str">
        <f>Capacidades!M166</f>
        <v xml:space="preserve">   </v>
      </c>
      <c r="C167" s="171"/>
      <c r="D167" s="13"/>
      <c r="E167" s="13"/>
      <c r="F167" s="14"/>
      <c r="G167" s="14"/>
      <c r="H167" s="14"/>
      <c r="I167" s="14"/>
      <c r="J167" s="14"/>
      <c r="K167" s="14"/>
      <c r="L167" s="336"/>
      <c r="M167" s="95" t="str">
        <f t="shared" si="2"/>
        <v xml:space="preserve">   </v>
      </c>
    </row>
    <row r="168" spans="1:13" hidden="1" x14ac:dyDescent="0.2">
      <c r="A168" s="343"/>
      <c r="B168" s="170" t="str">
        <f>Capacidades!M167</f>
        <v xml:space="preserve">   </v>
      </c>
      <c r="C168" s="171"/>
      <c r="D168" s="13"/>
      <c r="E168" s="13"/>
      <c r="F168" s="14"/>
      <c r="G168" s="14"/>
      <c r="H168" s="14"/>
      <c r="I168" s="14"/>
      <c r="J168" s="14"/>
      <c r="K168" s="14"/>
      <c r="L168" s="336"/>
      <c r="M168" s="95" t="str">
        <f t="shared" si="2"/>
        <v xml:space="preserve">   </v>
      </c>
    </row>
    <row r="169" spans="1:13" hidden="1" x14ac:dyDescent="0.2">
      <c r="A169" s="343"/>
      <c r="B169" s="170" t="str">
        <f>Capacidades!M168</f>
        <v xml:space="preserve">   </v>
      </c>
      <c r="C169" s="171"/>
      <c r="D169" s="13"/>
      <c r="E169" s="13"/>
      <c r="F169" s="14"/>
      <c r="G169" s="14"/>
      <c r="H169" s="14"/>
      <c r="I169" s="14"/>
      <c r="J169" s="14"/>
      <c r="K169" s="14"/>
      <c r="L169" s="336"/>
      <c r="M169" s="95" t="str">
        <f t="shared" si="2"/>
        <v xml:space="preserve">   </v>
      </c>
    </row>
    <row r="170" spans="1:13" hidden="1" x14ac:dyDescent="0.2">
      <c r="A170" s="344"/>
      <c r="B170" s="170" t="str">
        <f>Capacidades!M169</f>
        <v xml:space="preserve">   </v>
      </c>
      <c r="C170" s="171"/>
      <c r="D170" s="15"/>
      <c r="E170" s="15"/>
      <c r="F170" s="16"/>
      <c r="G170" s="16"/>
      <c r="H170" s="16"/>
      <c r="I170" s="16"/>
      <c r="J170" s="16"/>
      <c r="K170" s="16"/>
      <c r="L170" s="337"/>
      <c r="M170" s="95" t="str">
        <f t="shared" si="2"/>
        <v xml:space="preserve">   </v>
      </c>
    </row>
    <row r="171" spans="1:13" hidden="1" x14ac:dyDescent="0.2">
      <c r="A171" s="342" t="str">
        <f>Capacidades!L170</f>
        <v xml:space="preserve">       </v>
      </c>
      <c r="B171" s="170" t="str">
        <f>Capacidades!M170</f>
        <v xml:space="preserve">   </v>
      </c>
      <c r="C171" s="171"/>
      <c r="D171" s="11">
        <f>Organización_Modular!F26</f>
        <v>0</v>
      </c>
      <c r="E171" s="11">
        <f>Organización_Modular!G26</f>
        <v>0</v>
      </c>
      <c r="F171" s="11">
        <f>Organización_Modular!H26</f>
        <v>0</v>
      </c>
      <c r="G171" s="11">
        <f>Organización_Modular!I26</f>
        <v>0</v>
      </c>
      <c r="H171" s="12">
        <f>SUM(F171:G171)</f>
        <v>0</v>
      </c>
      <c r="I171" s="12">
        <f>F171*16</f>
        <v>0</v>
      </c>
      <c r="J171" s="12">
        <f>G171*32</f>
        <v>0</v>
      </c>
      <c r="K171" s="12">
        <f>SUM(I171:J171)</f>
        <v>0</v>
      </c>
      <c r="L171" s="335"/>
      <c r="M171" s="95" t="str">
        <f t="shared" si="2"/>
        <v xml:space="preserve">   </v>
      </c>
    </row>
    <row r="172" spans="1:13" hidden="1" x14ac:dyDescent="0.2">
      <c r="A172" s="343"/>
      <c r="B172" s="170" t="str">
        <f>Capacidades!M171</f>
        <v xml:space="preserve">   </v>
      </c>
      <c r="C172" s="171"/>
      <c r="D172" s="13"/>
      <c r="E172" s="13"/>
      <c r="F172" s="14"/>
      <c r="G172" s="14"/>
      <c r="H172" s="14"/>
      <c r="I172" s="14"/>
      <c r="J172" s="14"/>
      <c r="K172" s="14"/>
      <c r="L172" s="336"/>
      <c r="M172" s="95" t="str">
        <f t="shared" si="2"/>
        <v xml:space="preserve">   </v>
      </c>
    </row>
    <row r="173" spans="1:13" hidden="1" x14ac:dyDescent="0.2">
      <c r="A173" s="343"/>
      <c r="B173" s="170" t="str">
        <f>Capacidades!M172</f>
        <v xml:space="preserve">   </v>
      </c>
      <c r="C173" s="171"/>
      <c r="D173" s="13"/>
      <c r="E173" s="13"/>
      <c r="F173" s="14"/>
      <c r="G173" s="14"/>
      <c r="H173" s="14"/>
      <c r="I173" s="14"/>
      <c r="J173" s="14"/>
      <c r="K173" s="14"/>
      <c r="L173" s="336"/>
      <c r="M173" s="95" t="str">
        <f t="shared" si="2"/>
        <v xml:space="preserve">   </v>
      </c>
    </row>
    <row r="174" spans="1:13" hidden="1" x14ac:dyDescent="0.2">
      <c r="A174" s="343"/>
      <c r="B174" s="170" t="str">
        <f>Capacidades!M173</f>
        <v xml:space="preserve">   </v>
      </c>
      <c r="C174" s="171"/>
      <c r="D174" s="13"/>
      <c r="E174" s="13"/>
      <c r="F174" s="14"/>
      <c r="G174" s="14"/>
      <c r="H174" s="14"/>
      <c r="I174" s="14"/>
      <c r="J174" s="14"/>
      <c r="K174" s="14"/>
      <c r="L174" s="336"/>
      <c r="M174" s="95" t="str">
        <f t="shared" si="2"/>
        <v xml:space="preserve">   </v>
      </c>
    </row>
    <row r="175" spans="1:13" hidden="1" x14ac:dyDescent="0.2">
      <c r="A175" s="343"/>
      <c r="B175" s="170" t="str">
        <f>Capacidades!M174</f>
        <v xml:space="preserve">   </v>
      </c>
      <c r="C175" s="171"/>
      <c r="D175" s="13"/>
      <c r="E175" s="13"/>
      <c r="F175" s="14"/>
      <c r="G175" s="14"/>
      <c r="H175" s="14"/>
      <c r="I175" s="14"/>
      <c r="J175" s="14"/>
      <c r="K175" s="14"/>
      <c r="L175" s="336"/>
      <c r="M175" s="95" t="str">
        <f t="shared" si="2"/>
        <v xml:space="preserve">   </v>
      </c>
    </row>
    <row r="176" spans="1:13" hidden="1" x14ac:dyDescent="0.2">
      <c r="A176" s="343"/>
      <c r="B176" s="170" t="str">
        <f>Capacidades!M175</f>
        <v xml:space="preserve">   </v>
      </c>
      <c r="C176" s="171"/>
      <c r="D176" s="13"/>
      <c r="E176" s="13"/>
      <c r="F176" s="14"/>
      <c r="G176" s="14"/>
      <c r="H176" s="14"/>
      <c r="I176" s="14"/>
      <c r="J176" s="14"/>
      <c r="K176" s="14"/>
      <c r="L176" s="336"/>
      <c r="M176" s="95" t="str">
        <f t="shared" si="2"/>
        <v xml:space="preserve">   </v>
      </c>
    </row>
    <row r="177" spans="1:13" hidden="1" x14ac:dyDescent="0.2">
      <c r="A177" s="343"/>
      <c r="B177" s="170" t="str">
        <f>Capacidades!M176</f>
        <v xml:space="preserve">   </v>
      </c>
      <c r="C177" s="171"/>
      <c r="D177" s="13"/>
      <c r="E177" s="13"/>
      <c r="F177" s="14"/>
      <c r="G177" s="14"/>
      <c r="H177" s="14"/>
      <c r="I177" s="14"/>
      <c r="J177" s="14"/>
      <c r="K177" s="14"/>
      <c r="L177" s="336"/>
      <c r="M177" s="95" t="str">
        <f t="shared" si="2"/>
        <v xml:space="preserve">   </v>
      </c>
    </row>
    <row r="178" spans="1:13" hidden="1" x14ac:dyDescent="0.2">
      <c r="A178" s="343"/>
      <c r="B178" s="170" t="str">
        <f>Capacidades!M177</f>
        <v xml:space="preserve">   </v>
      </c>
      <c r="C178" s="171"/>
      <c r="D178" s="13"/>
      <c r="E178" s="13"/>
      <c r="F178" s="14"/>
      <c r="G178" s="14"/>
      <c r="H178" s="14"/>
      <c r="I178" s="14"/>
      <c r="J178" s="14"/>
      <c r="K178" s="14"/>
      <c r="L178" s="336"/>
      <c r="M178" s="95" t="str">
        <f t="shared" si="2"/>
        <v xml:space="preserve">   </v>
      </c>
    </row>
    <row r="179" spans="1:13" hidden="1" x14ac:dyDescent="0.2">
      <c r="A179" s="343"/>
      <c r="B179" s="170" t="str">
        <f>Capacidades!M178</f>
        <v xml:space="preserve">   </v>
      </c>
      <c r="C179" s="171"/>
      <c r="D179" s="13"/>
      <c r="E179" s="13"/>
      <c r="F179" s="14"/>
      <c r="G179" s="14"/>
      <c r="H179" s="14"/>
      <c r="I179" s="14"/>
      <c r="J179" s="14"/>
      <c r="K179" s="14"/>
      <c r="L179" s="336"/>
      <c r="M179" s="95" t="str">
        <f t="shared" si="2"/>
        <v xml:space="preserve">   </v>
      </c>
    </row>
    <row r="180" spans="1:13" hidden="1" x14ac:dyDescent="0.2">
      <c r="A180" s="344"/>
      <c r="B180" s="170" t="str">
        <f>Capacidades!M179</f>
        <v xml:space="preserve">   </v>
      </c>
      <c r="C180" s="171"/>
      <c r="D180" s="15"/>
      <c r="E180" s="15"/>
      <c r="F180" s="16"/>
      <c r="G180" s="16"/>
      <c r="H180" s="16"/>
      <c r="I180" s="16"/>
      <c r="J180" s="16"/>
      <c r="K180" s="16"/>
      <c r="L180" s="337"/>
      <c r="M180" s="95" t="str">
        <f t="shared" si="2"/>
        <v xml:space="preserve">   </v>
      </c>
    </row>
    <row r="181" spans="1:13" hidden="1" x14ac:dyDescent="0.2">
      <c r="A181" s="342" t="str">
        <f>Capacidades!L180</f>
        <v xml:space="preserve">       </v>
      </c>
      <c r="B181" s="170" t="str">
        <f>Capacidades!M180</f>
        <v xml:space="preserve">   </v>
      </c>
      <c r="C181" s="171"/>
      <c r="D181" s="11">
        <f>Organización_Modular!F27</f>
        <v>0</v>
      </c>
      <c r="E181" s="11">
        <f>Organización_Modular!G27</f>
        <v>0</v>
      </c>
      <c r="F181" s="11">
        <f>Organización_Modular!H27</f>
        <v>0</v>
      </c>
      <c r="G181" s="11">
        <f>Organización_Modular!I27</f>
        <v>0</v>
      </c>
      <c r="H181" s="12">
        <f>SUM(F181:G181)</f>
        <v>0</v>
      </c>
      <c r="I181" s="12">
        <f>F181*16</f>
        <v>0</v>
      </c>
      <c r="J181" s="12">
        <f>G181*32</f>
        <v>0</v>
      </c>
      <c r="K181" s="12">
        <f>SUM(I181:J181)</f>
        <v>0</v>
      </c>
      <c r="L181" s="335"/>
      <c r="M181" s="95" t="str">
        <f t="shared" si="2"/>
        <v xml:space="preserve">   </v>
      </c>
    </row>
    <row r="182" spans="1:13" hidden="1" x14ac:dyDescent="0.2">
      <c r="A182" s="343"/>
      <c r="B182" s="170" t="str">
        <f>Capacidades!M181</f>
        <v xml:space="preserve">   </v>
      </c>
      <c r="C182" s="171"/>
      <c r="D182" s="13"/>
      <c r="E182" s="13"/>
      <c r="F182" s="14"/>
      <c r="G182" s="14"/>
      <c r="H182" s="14"/>
      <c r="I182" s="14"/>
      <c r="J182" s="14"/>
      <c r="K182" s="14"/>
      <c r="L182" s="336"/>
      <c r="M182" s="95" t="str">
        <f t="shared" si="2"/>
        <v xml:space="preserve">   </v>
      </c>
    </row>
    <row r="183" spans="1:13" hidden="1" x14ac:dyDescent="0.2">
      <c r="A183" s="343"/>
      <c r="B183" s="170" t="str">
        <f>Capacidades!M182</f>
        <v xml:space="preserve">   </v>
      </c>
      <c r="C183" s="171"/>
      <c r="D183" s="13"/>
      <c r="E183" s="13"/>
      <c r="F183" s="14"/>
      <c r="G183" s="14"/>
      <c r="H183" s="14"/>
      <c r="I183" s="14"/>
      <c r="J183" s="14"/>
      <c r="K183" s="14"/>
      <c r="L183" s="336"/>
      <c r="M183" s="95" t="str">
        <f t="shared" si="2"/>
        <v xml:space="preserve">   </v>
      </c>
    </row>
    <row r="184" spans="1:13" ht="2.25" hidden="1" customHeight="1" x14ac:dyDescent="0.2">
      <c r="A184" s="343"/>
      <c r="B184" s="170" t="str">
        <f>Capacidades!M183</f>
        <v xml:space="preserve">   </v>
      </c>
      <c r="C184" s="171"/>
      <c r="D184" s="13"/>
      <c r="E184" s="13"/>
      <c r="F184" s="14"/>
      <c r="G184" s="14"/>
      <c r="H184" s="14"/>
      <c r="I184" s="14"/>
      <c r="J184" s="14"/>
      <c r="K184" s="14"/>
      <c r="L184" s="336"/>
      <c r="M184" s="95" t="str">
        <f t="shared" si="2"/>
        <v xml:space="preserve">   </v>
      </c>
    </row>
    <row r="185" spans="1:13" hidden="1" x14ac:dyDescent="0.2">
      <c r="A185" s="343"/>
      <c r="B185" s="170" t="str">
        <f>Capacidades!M184</f>
        <v xml:space="preserve">   </v>
      </c>
      <c r="C185" s="171"/>
      <c r="D185" s="13"/>
      <c r="E185" s="13"/>
      <c r="F185" s="14"/>
      <c r="G185" s="14"/>
      <c r="H185" s="14"/>
      <c r="I185" s="14"/>
      <c r="J185" s="14"/>
      <c r="K185" s="14"/>
      <c r="L185" s="336"/>
      <c r="M185" s="95" t="str">
        <f t="shared" si="2"/>
        <v xml:space="preserve">   </v>
      </c>
    </row>
    <row r="186" spans="1:13" hidden="1" x14ac:dyDescent="0.2">
      <c r="A186" s="343"/>
      <c r="B186" s="170" t="str">
        <f>Capacidades!M185</f>
        <v xml:space="preserve">   </v>
      </c>
      <c r="C186" s="171"/>
      <c r="D186" s="13"/>
      <c r="E186" s="13"/>
      <c r="F186" s="14"/>
      <c r="G186" s="14"/>
      <c r="H186" s="14"/>
      <c r="I186" s="14"/>
      <c r="J186" s="14"/>
      <c r="K186" s="14"/>
      <c r="L186" s="336"/>
      <c r="M186" s="95" t="str">
        <f t="shared" si="2"/>
        <v xml:space="preserve">   </v>
      </c>
    </row>
    <row r="187" spans="1:13" hidden="1" x14ac:dyDescent="0.2">
      <c r="A187" s="343"/>
      <c r="B187" s="170" t="str">
        <f>Capacidades!M186</f>
        <v xml:space="preserve">   </v>
      </c>
      <c r="C187" s="171"/>
      <c r="D187" s="13"/>
      <c r="E187" s="13"/>
      <c r="F187" s="14"/>
      <c r="G187" s="14"/>
      <c r="H187" s="14"/>
      <c r="I187" s="14"/>
      <c r="J187" s="14"/>
      <c r="K187" s="14"/>
      <c r="L187" s="336"/>
      <c r="M187" s="95" t="str">
        <f t="shared" si="2"/>
        <v xml:space="preserve">   </v>
      </c>
    </row>
    <row r="188" spans="1:13" hidden="1" x14ac:dyDescent="0.2">
      <c r="A188" s="343"/>
      <c r="B188" s="170" t="str">
        <f>Capacidades!M187</f>
        <v xml:space="preserve">   </v>
      </c>
      <c r="C188" s="171"/>
      <c r="D188" s="13"/>
      <c r="E188" s="13"/>
      <c r="F188" s="14"/>
      <c r="G188" s="14"/>
      <c r="H188" s="14"/>
      <c r="I188" s="14"/>
      <c r="J188" s="14"/>
      <c r="K188" s="14"/>
      <c r="L188" s="336"/>
      <c r="M188" s="95" t="str">
        <f t="shared" si="2"/>
        <v xml:space="preserve">   </v>
      </c>
    </row>
    <row r="189" spans="1:13" hidden="1" x14ac:dyDescent="0.2">
      <c r="A189" s="343"/>
      <c r="B189" s="170" t="str">
        <f>Capacidades!M188</f>
        <v xml:space="preserve">   </v>
      </c>
      <c r="C189" s="171"/>
      <c r="D189" s="13"/>
      <c r="E189" s="13"/>
      <c r="F189" s="14"/>
      <c r="G189" s="14"/>
      <c r="H189" s="14"/>
      <c r="I189" s="14"/>
      <c r="J189" s="14"/>
      <c r="K189" s="14"/>
      <c r="L189" s="336"/>
      <c r="M189" s="95" t="str">
        <f t="shared" si="2"/>
        <v xml:space="preserve">   </v>
      </c>
    </row>
    <row r="190" spans="1:13" hidden="1" x14ac:dyDescent="0.2">
      <c r="A190" s="344"/>
      <c r="B190" s="170" t="str">
        <f>Capacidades!M189</f>
        <v xml:space="preserve">   </v>
      </c>
      <c r="C190" s="171"/>
      <c r="D190" s="15"/>
      <c r="E190" s="15"/>
      <c r="F190" s="16"/>
      <c r="G190" s="16"/>
      <c r="H190" s="16"/>
      <c r="I190" s="16"/>
      <c r="J190" s="16"/>
      <c r="K190" s="16"/>
      <c r="L190" s="337"/>
      <c r="M190" s="95" t="str">
        <f t="shared" si="2"/>
        <v xml:space="preserve">   </v>
      </c>
    </row>
    <row r="191" spans="1:13" hidden="1" x14ac:dyDescent="0.2">
      <c r="A191" s="342" t="str">
        <f>Capacidades!L190</f>
        <v xml:space="preserve">       </v>
      </c>
      <c r="B191" s="170" t="str">
        <f>Capacidades!M190</f>
        <v xml:space="preserve">   </v>
      </c>
      <c r="C191" s="171"/>
      <c r="D191" s="11">
        <f>Organización_Modular!F28</f>
        <v>0</v>
      </c>
      <c r="E191" s="11">
        <f>Organización_Modular!G28</f>
        <v>0</v>
      </c>
      <c r="F191" s="11">
        <f>Organización_Modular!H28</f>
        <v>0</v>
      </c>
      <c r="G191" s="11">
        <f>Organización_Modular!I28</f>
        <v>0</v>
      </c>
      <c r="H191" s="12">
        <f>SUM(F191:G191)</f>
        <v>0</v>
      </c>
      <c r="I191" s="12">
        <f>F191*16</f>
        <v>0</v>
      </c>
      <c r="J191" s="12">
        <f>G191*32</f>
        <v>0</v>
      </c>
      <c r="K191" s="12">
        <f>SUM(I191:J191)</f>
        <v>0</v>
      </c>
      <c r="L191" s="335"/>
      <c r="M191" s="95" t="str">
        <f t="shared" si="2"/>
        <v xml:space="preserve">   </v>
      </c>
    </row>
    <row r="192" spans="1:13" hidden="1" x14ac:dyDescent="0.2">
      <c r="A192" s="343"/>
      <c r="B192" s="170" t="str">
        <f>Capacidades!M191</f>
        <v xml:space="preserve">   </v>
      </c>
      <c r="C192" s="171"/>
      <c r="D192" s="13"/>
      <c r="E192" s="13"/>
      <c r="F192" s="14"/>
      <c r="G192" s="14"/>
      <c r="H192" s="14"/>
      <c r="I192" s="14"/>
      <c r="J192" s="14"/>
      <c r="K192" s="14"/>
      <c r="L192" s="336"/>
      <c r="M192" s="95" t="str">
        <f t="shared" si="2"/>
        <v xml:space="preserve">   </v>
      </c>
    </row>
    <row r="193" spans="1:13" hidden="1" x14ac:dyDescent="0.2">
      <c r="A193" s="343"/>
      <c r="B193" s="170" t="str">
        <f>Capacidades!M192</f>
        <v xml:space="preserve">   </v>
      </c>
      <c r="C193" s="171"/>
      <c r="D193" s="13"/>
      <c r="E193" s="13"/>
      <c r="F193" s="14"/>
      <c r="G193" s="14"/>
      <c r="H193" s="14"/>
      <c r="I193" s="14"/>
      <c r="J193" s="14"/>
      <c r="K193" s="14"/>
      <c r="L193" s="336"/>
      <c r="M193" s="95" t="str">
        <f t="shared" si="2"/>
        <v xml:space="preserve">   </v>
      </c>
    </row>
    <row r="194" spans="1:13" hidden="1" x14ac:dyDescent="0.2">
      <c r="A194" s="343"/>
      <c r="B194" s="170" t="str">
        <f>Capacidades!M193</f>
        <v xml:space="preserve">   </v>
      </c>
      <c r="C194" s="171"/>
      <c r="D194" s="13"/>
      <c r="E194" s="13"/>
      <c r="F194" s="14"/>
      <c r="G194" s="14"/>
      <c r="H194" s="14"/>
      <c r="I194" s="14"/>
      <c r="J194" s="14"/>
      <c r="K194" s="14"/>
      <c r="L194" s="336"/>
      <c r="M194" s="95" t="str">
        <f t="shared" si="2"/>
        <v xml:space="preserve">   </v>
      </c>
    </row>
    <row r="195" spans="1:13" hidden="1" x14ac:dyDescent="0.2">
      <c r="A195" s="343"/>
      <c r="B195" s="170" t="str">
        <f>Capacidades!M194</f>
        <v xml:space="preserve">   </v>
      </c>
      <c r="C195" s="171"/>
      <c r="D195" s="13"/>
      <c r="E195" s="13"/>
      <c r="F195" s="14"/>
      <c r="G195" s="14"/>
      <c r="H195" s="14"/>
      <c r="I195" s="14"/>
      <c r="J195" s="14"/>
      <c r="K195" s="14"/>
      <c r="L195" s="336"/>
      <c r="M195" s="95" t="str">
        <f t="shared" si="2"/>
        <v xml:space="preserve">   </v>
      </c>
    </row>
    <row r="196" spans="1:13" hidden="1" x14ac:dyDescent="0.2">
      <c r="A196" s="343"/>
      <c r="B196" s="170" t="str">
        <f>Capacidades!M195</f>
        <v xml:space="preserve">   </v>
      </c>
      <c r="C196" s="171"/>
      <c r="D196" s="13"/>
      <c r="E196" s="13"/>
      <c r="F196" s="14"/>
      <c r="G196" s="14"/>
      <c r="H196" s="14"/>
      <c r="I196" s="14"/>
      <c r="J196" s="14"/>
      <c r="K196" s="14"/>
      <c r="L196" s="336"/>
      <c r="M196" s="95" t="str">
        <f t="shared" si="2"/>
        <v xml:space="preserve">   </v>
      </c>
    </row>
    <row r="197" spans="1:13" hidden="1" x14ac:dyDescent="0.2">
      <c r="A197" s="343"/>
      <c r="B197" s="170" t="str">
        <f>Capacidades!M196</f>
        <v xml:space="preserve">   </v>
      </c>
      <c r="C197" s="171"/>
      <c r="D197" s="13"/>
      <c r="E197" s="13"/>
      <c r="F197" s="14"/>
      <c r="G197" s="14"/>
      <c r="H197" s="14"/>
      <c r="I197" s="14"/>
      <c r="J197" s="14"/>
      <c r="K197" s="14"/>
      <c r="L197" s="336"/>
      <c r="M197" s="95" t="str">
        <f t="shared" si="2"/>
        <v xml:space="preserve">   </v>
      </c>
    </row>
    <row r="198" spans="1:13" hidden="1" x14ac:dyDescent="0.2">
      <c r="A198" s="343"/>
      <c r="B198" s="170" t="str">
        <f>Capacidades!M197</f>
        <v xml:space="preserve">   </v>
      </c>
      <c r="C198" s="171"/>
      <c r="D198" s="13"/>
      <c r="E198" s="13"/>
      <c r="F198" s="14"/>
      <c r="G198" s="14"/>
      <c r="H198" s="14"/>
      <c r="I198" s="14"/>
      <c r="J198" s="14"/>
      <c r="K198" s="14"/>
      <c r="L198" s="336"/>
      <c r="M198" s="95" t="str">
        <f t="shared" si="2"/>
        <v xml:space="preserve">   </v>
      </c>
    </row>
    <row r="199" spans="1:13" hidden="1" x14ac:dyDescent="0.2">
      <c r="A199" s="343"/>
      <c r="B199" s="170" t="str">
        <f>Capacidades!M198</f>
        <v xml:space="preserve">   </v>
      </c>
      <c r="C199" s="171"/>
      <c r="D199" s="13"/>
      <c r="E199" s="13"/>
      <c r="F199" s="14"/>
      <c r="G199" s="14"/>
      <c r="H199" s="14"/>
      <c r="I199" s="14"/>
      <c r="J199" s="14"/>
      <c r="K199" s="14"/>
      <c r="L199" s="336"/>
      <c r="M199" s="95" t="str">
        <f t="shared" si="2"/>
        <v xml:space="preserve">   </v>
      </c>
    </row>
    <row r="200" spans="1:13" hidden="1" x14ac:dyDescent="0.2">
      <c r="A200" s="344"/>
      <c r="B200" s="170" t="str">
        <f>Capacidades!M199</f>
        <v xml:space="preserve">   </v>
      </c>
      <c r="C200" s="171"/>
      <c r="D200" s="15"/>
      <c r="E200" s="15"/>
      <c r="F200" s="16"/>
      <c r="G200" s="16"/>
      <c r="H200" s="16"/>
      <c r="I200" s="16"/>
      <c r="J200" s="16"/>
      <c r="K200" s="16"/>
      <c r="L200" s="337"/>
      <c r="M200" s="95" t="str">
        <f t="shared" si="2"/>
        <v xml:space="preserve">   </v>
      </c>
    </row>
    <row r="201" spans="1:13" hidden="1" x14ac:dyDescent="0.2">
      <c r="A201" s="342" t="str">
        <f>Capacidades!L200</f>
        <v xml:space="preserve">       </v>
      </c>
      <c r="B201" s="170" t="str">
        <f>Capacidades!M200</f>
        <v xml:space="preserve">   </v>
      </c>
      <c r="C201" s="171"/>
      <c r="D201" s="11">
        <f>Organización_Modular!F29</f>
        <v>0</v>
      </c>
      <c r="E201" s="11">
        <f>Organización_Modular!G29</f>
        <v>0</v>
      </c>
      <c r="F201" s="11">
        <f>Organización_Modular!H29</f>
        <v>0</v>
      </c>
      <c r="G201" s="11">
        <f>Organización_Modular!I29</f>
        <v>0</v>
      </c>
      <c r="H201" s="12">
        <f>SUM(F201:G201)</f>
        <v>0</v>
      </c>
      <c r="I201" s="12">
        <f>F201*16</f>
        <v>0</v>
      </c>
      <c r="J201" s="12">
        <f>G201*32</f>
        <v>0</v>
      </c>
      <c r="K201" s="12">
        <f>SUM(I201:J201)</f>
        <v>0</v>
      </c>
      <c r="L201" s="335"/>
      <c r="M201" s="95" t="str">
        <f t="shared" si="2"/>
        <v xml:space="preserve">   </v>
      </c>
    </row>
    <row r="202" spans="1:13" hidden="1" x14ac:dyDescent="0.2">
      <c r="A202" s="343"/>
      <c r="B202" s="170" t="str">
        <f>Capacidades!M201</f>
        <v xml:space="preserve">   </v>
      </c>
      <c r="C202" s="171"/>
      <c r="D202" s="13"/>
      <c r="E202" s="13"/>
      <c r="F202" s="14"/>
      <c r="G202" s="14"/>
      <c r="H202" s="14"/>
      <c r="I202" s="14"/>
      <c r="J202" s="14"/>
      <c r="K202" s="14"/>
      <c r="L202" s="336"/>
      <c r="M202" s="95" t="str">
        <f t="shared" si="2"/>
        <v xml:space="preserve">   </v>
      </c>
    </row>
    <row r="203" spans="1:13" hidden="1" x14ac:dyDescent="0.2">
      <c r="A203" s="343"/>
      <c r="B203" s="170" t="str">
        <f>Capacidades!M202</f>
        <v xml:space="preserve">   </v>
      </c>
      <c r="C203" s="171"/>
      <c r="D203" s="13"/>
      <c r="E203" s="13"/>
      <c r="F203" s="14"/>
      <c r="G203" s="14"/>
      <c r="H203" s="14"/>
      <c r="I203" s="14"/>
      <c r="J203" s="14"/>
      <c r="K203" s="14"/>
      <c r="L203" s="336"/>
      <c r="M203" s="95" t="str">
        <f t="shared" si="2"/>
        <v xml:space="preserve">   </v>
      </c>
    </row>
    <row r="204" spans="1:13" hidden="1" x14ac:dyDescent="0.2">
      <c r="A204" s="343"/>
      <c r="B204" s="170" t="str">
        <f>Capacidades!M203</f>
        <v xml:space="preserve">   </v>
      </c>
      <c r="C204" s="171"/>
      <c r="D204" s="13"/>
      <c r="E204" s="13"/>
      <c r="F204" s="14"/>
      <c r="G204" s="14"/>
      <c r="H204" s="14"/>
      <c r="I204" s="14"/>
      <c r="J204" s="14"/>
      <c r="K204" s="14"/>
      <c r="L204" s="336"/>
      <c r="M204" s="95" t="str">
        <f t="shared" ref="M204:M210" si="3">B204</f>
        <v xml:space="preserve">   </v>
      </c>
    </row>
    <row r="205" spans="1:13" hidden="1" x14ac:dyDescent="0.2">
      <c r="A205" s="343"/>
      <c r="B205" s="170" t="str">
        <f>Capacidades!M204</f>
        <v xml:space="preserve">   </v>
      </c>
      <c r="C205" s="171"/>
      <c r="D205" s="13"/>
      <c r="E205" s="13"/>
      <c r="F205" s="14"/>
      <c r="G205" s="14"/>
      <c r="H205" s="14"/>
      <c r="I205" s="14"/>
      <c r="J205" s="14"/>
      <c r="K205" s="14"/>
      <c r="L205" s="336"/>
      <c r="M205" s="95" t="str">
        <f t="shared" si="3"/>
        <v xml:space="preserve">   </v>
      </c>
    </row>
    <row r="206" spans="1:13" hidden="1" x14ac:dyDescent="0.2">
      <c r="A206" s="343"/>
      <c r="B206" s="170" t="str">
        <f>Capacidades!M205</f>
        <v xml:space="preserve">   </v>
      </c>
      <c r="C206" s="171"/>
      <c r="D206" s="13"/>
      <c r="E206" s="13"/>
      <c r="F206" s="14"/>
      <c r="G206" s="14"/>
      <c r="H206" s="14"/>
      <c r="I206" s="14"/>
      <c r="J206" s="14"/>
      <c r="K206" s="14"/>
      <c r="L206" s="336"/>
      <c r="M206" s="95" t="str">
        <f t="shared" si="3"/>
        <v xml:space="preserve">   </v>
      </c>
    </row>
    <row r="207" spans="1:13" hidden="1" x14ac:dyDescent="0.2">
      <c r="A207" s="343"/>
      <c r="B207" s="170" t="str">
        <f>Capacidades!M206</f>
        <v xml:space="preserve">   </v>
      </c>
      <c r="C207" s="171"/>
      <c r="D207" s="13"/>
      <c r="E207" s="13"/>
      <c r="F207" s="14"/>
      <c r="G207" s="14"/>
      <c r="H207" s="14"/>
      <c r="I207" s="14"/>
      <c r="J207" s="14"/>
      <c r="K207" s="14"/>
      <c r="L207" s="336"/>
      <c r="M207" s="95" t="str">
        <f t="shared" si="3"/>
        <v xml:space="preserve">   </v>
      </c>
    </row>
    <row r="208" spans="1:13" hidden="1" x14ac:dyDescent="0.2">
      <c r="A208" s="343"/>
      <c r="B208" s="170" t="str">
        <f>Capacidades!M207</f>
        <v xml:space="preserve">   </v>
      </c>
      <c r="C208" s="171"/>
      <c r="D208" s="13"/>
      <c r="E208" s="13"/>
      <c r="F208" s="14"/>
      <c r="G208" s="14"/>
      <c r="H208" s="14"/>
      <c r="I208" s="14"/>
      <c r="J208" s="14"/>
      <c r="K208" s="14"/>
      <c r="L208" s="336"/>
      <c r="M208" s="95" t="str">
        <f t="shared" si="3"/>
        <v xml:space="preserve">   </v>
      </c>
    </row>
    <row r="209" spans="1:13" hidden="1" x14ac:dyDescent="0.2">
      <c r="A209" s="343"/>
      <c r="B209" s="170" t="str">
        <f>Capacidades!M208</f>
        <v xml:space="preserve">   </v>
      </c>
      <c r="C209" s="171"/>
      <c r="D209" s="13"/>
      <c r="E209" s="13"/>
      <c r="F209" s="14"/>
      <c r="G209" s="14"/>
      <c r="H209" s="14"/>
      <c r="I209" s="14"/>
      <c r="J209" s="14"/>
      <c r="K209" s="14"/>
      <c r="L209" s="336"/>
      <c r="M209" s="95" t="str">
        <f t="shared" si="3"/>
        <v xml:space="preserve">   </v>
      </c>
    </row>
    <row r="210" spans="1:13" hidden="1" x14ac:dyDescent="0.2">
      <c r="A210" s="344"/>
      <c r="B210" s="170" t="str">
        <f>Capacidades!M209</f>
        <v xml:space="preserve">   </v>
      </c>
      <c r="C210" s="171"/>
      <c r="D210" s="15"/>
      <c r="E210" s="15"/>
      <c r="F210" s="16"/>
      <c r="G210" s="16"/>
      <c r="H210" s="16"/>
      <c r="I210" s="16"/>
      <c r="J210" s="16"/>
      <c r="K210" s="16"/>
      <c r="L210" s="337"/>
      <c r="M210" s="95" t="str">
        <f t="shared" si="3"/>
        <v xml:space="preserve">   </v>
      </c>
    </row>
    <row r="211" spans="1:13" ht="31.5" customHeight="1" x14ac:dyDescent="0.2">
      <c r="A211" s="354" t="s">
        <v>105</v>
      </c>
      <c r="B211" s="354"/>
      <c r="C211" s="354"/>
      <c r="D211" s="354"/>
      <c r="E211" s="354"/>
      <c r="F211" s="354"/>
      <c r="G211" s="354"/>
      <c r="H211" s="354"/>
      <c r="I211" s="354"/>
      <c r="J211" s="354"/>
      <c r="K211" s="354"/>
      <c r="L211" s="354"/>
      <c r="M211" s="95" t="str">
        <f>A211</f>
        <v>COMPETENCIAS PARA LA EMPLEABILIDAD INCORPORADAS MEDIANTE UNIDAD DIDÁCTICA</v>
      </c>
    </row>
    <row r="212" spans="1:13" ht="44.25" customHeight="1" x14ac:dyDescent="0.2">
      <c r="A212" s="355" t="str">
        <f>Organización_Modular!C30</f>
        <v>CE1 Comunicación efectiva.- Expresar  de manera clara los conceptos, ideas, sentimientos, hechos y opiniones en forma oral y escrita para comunicarse e interactuar con otras personas en contextos sociales y laborales diversos. (UD)</v>
      </c>
      <c r="B212" s="355"/>
      <c r="C212" s="355"/>
      <c r="D212" s="355"/>
      <c r="E212" s="355"/>
      <c r="F212" s="355"/>
      <c r="G212" s="355"/>
      <c r="H212" s="355"/>
      <c r="I212" s="355"/>
      <c r="J212" s="355"/>
      <c r="K212" s="355"/>
      <c r="L212" s="355"/>
      <c r="M212" s="95" t="str">
        <f>A212</f>
        <v>CE1 Comunicación efectiva.- Expresar  de manera clara los conceptos, ideas, sentimientos, hechos y opiniones en forma oral y escrita para comunicarse e interactuar con otras personas en contextos sociales y laborales diversos. (UD)</v>
      </c>
    </row>
    <row r="213" spans="1:13" ht="12.75" customHeight="1" x14ac:dyDescent="0.2">
      <c r="A213" s="359" t="s">
        <v>99</v>
      </c>
      <c r="B213" s="360" t="s">
        <v>98</v>
      </c>
      <c r="C213" s="359" t="s">
        <v>97</v>
      </c>
      <c r="D213" s="359" t="s">
        <v>0</v>
      </c>
      <c r="E213" s="349" t="s">
        <v>61</v>
      </c>
      <c r="F213" s="359" t="s">
        <v>90</v>
      </c>
      <c r="G213" s="359"/>
      <c r="H213" s="359" t="s">
        <v>90</v>
      </c>
      <c r="I213" s="359" t="s">
        <v>96</v>
      </c>
      <c r="J213" s="359"/>
      <c r="K213" s="359" t="s">
        <v>96</v>
      </c>
      <c r="L213" s="359" t="s">
        <v>95</v>
      </c>
      <c r="M213" s="95" t="str">
        <f t="shared" ref="M213" si="4">A213</f>
        <v>CAPACIDADES DE EMPLEABILIDAD</v>
      </c>
    </row>
    <row r="214" spans="1:13" ht="34.5" customHeight="1" x14ac:dyDescent="0.2">
      <c r="A214" s="359"/>
      <c r="B214" s="360"/>
      <c r="C214" s="359"/>
      <c r="D214" s="359"/>
      <c r="E214" s="349"/>
      <c r="F214" s="160" t="s">
        <v>94</v>
      </c>
      <c r="G214" s="160" t="s">
        <v>93</v>
      </c>
      <c r="H214" s="359"/>
      <c r="I214" s="160" t="s">
        <v>94</v>
      </c>
      <c r="J214" s="160" t="s">
        <v>93</v>
      </c>
      <c r="K214" s="359"/>
      <c r="L214" s="359"/>
      <c r="M214" s="95" t="str">
        <f>A213</f>
        <v>CAPACIDADES DE EMPLEABILIDAD</v>
      </c>
    </row>
    <row r="215" spans="1:13" ht="77.25" customHeight="1" x14ac:dyDescent="0.2">
      <c r="A215" s="342" t="str">
        <f>Capacidades!L210</f>
        <v xml:space="preserve">CE1 C1 Comunicar conceptos, ideas, opiniones, sentimientos y hechos  en forma oral en situaciones relacionadas a su entorno personal y profesional.    </v>
      </c>
      <c r="B215" s="170" t="str">
        <f>Capacidades!M210</f>
        <v>C1 I1 Participa  en diálogos planteando sus opiniones, proponiendo ideas, compartiendo saberes y escuchando a los demás.</v>
      </c>
      <c r="C215" s="173" t="s">
        <v>355</v>
      </c>
      <c r="D215" s="13" t="str">
        <f>Organización_Modular!F30</f>
        <v>Comunicación Oral</v>
      </c>
      <c r="E215" s="13" t="str">
        <f>Organización_Modular!G30</f>
        <v>I</v>
      </c>
      <c r="F215" s="13">
        <f>Organización_Modular!H30</f>
        <v>1</v>
      </c>
      <c r="G215" s="13">
        <f>Organización_Modular!I30</f>
        <v>1</v>
      </c>
      <c r="H215" s="14">
        <f>SUM(F215:G215)</f>
        <v>2</v>
      </c>
      <c r="I215" s="14">
        <f>F215*16</f>
        <v>16</v>
      </c>
      <c r="J215" s="14">
        <f>G215*32</f>
        <v>32</v>
      </c>
      <c r="K215" s="14">
        <f>SUM(I215:J215)</f>
        <v>48</v>
      </c>
      <c r="L215" s="338" t="s">
        <v>631</v>
      </c>
      <c r="M215" s="95" t="str">
        <f>B215</f>
        <v>C1 I1 Participa  en diálogos planteando sus opiniones, proponiendo ideas, compartiendo saberes y escuchando a los demás.</v>
      </c>
    </row>
    <row r="216" spans="1:13" ht="90.75" customHeight="1" x14ac:dyDescent="0.2">
      <c r="A216" s="343"/>
      <c r="B216" s="170" t="str">
        <f>Capacidades!M211</f>
        <v>C1 I2 Explica   información de situaciones vinculadas a su entorno personal y laboral  formulando preguntas frente a aquello que no se entiende.</v>
      </c>
      <c r="C216" s="171" t="s">
        <v>356</v>
      </c>
      <c r="D216" s="13"/>
      <c r="E216" s="13"/>
      <c r="F216" s="14"/>
      <c r="G216" s="14"/>
      <c r="H216" s="14"/>
      <c r="I216" s="14"/>
      <c r="J216" s="14"/>
      <c r="K216" s="14"/>
      <c r="L216" s="339"/>
      <c r="M216" s="95" t="str">
        <f t="shared" ref="M216:M279" si="5">B216</f>
        <v>C1 I2 Explica   información de situaciones vinculadas a su entorno personal y laboral  formulando preguntas frente a aquello que no se entiende.</v>
      </c>
    </row>
    <row r="217" spans="1:13" ht="12.75" hidden="1" customHeight="1" x14ac:dyDescent="0.2">
      <c r="A217" s="343"/>
      <c r="B217" s="170" t="str">
        <f>Capacidades!M212</f>
        <v xml:space="preserve">   </v>
      </c>
      <c r="C217" s="171"/>
      <c r="D217" s="13"/>
      <c r="E217" s="13"/>
      <c r="F217" s="14"/>
      <c r="G217" s="14"/>
      <c r="H217" s="14"/>
      <c r="I217" s="14"/>
      <c r="J217" s="14"/>
      <c r="K217" s="14"/>
      <c r="L217" s="339"/>
      <c r="M217" s="95" t="str">
        <f t="shared" si="5"/>
        <v xml:space="preserve">   </v>
      </c>
    </row>
    <row r="218" spans="1:13" ht="12.75" hidden="1" customHeight="1" x14ac:dyDescent="0.2">
      <c r="A218" s="343"/>
      <c r="B218" s="170" t="str">
        <f>Capacidades!M213</f>
        <v xml:space="preserve">   </v>
      </c>
      <c r="C218" s="171"/>
      <c r="D218" s="13"/>
      <c r="E218" s="13"/>
      <c r="F218" s="14"/>
      <c r="G218" s="14"/>
      <c r="H218" s="14"/>
      <c r="I218" s="14"/>
      <c r="J218" s="14"/>
      <c r="K218" s="14"/>
      <c r="L218" s="339"/>
      <c r="M218" s="95" t="str">
        <f t="shared" si="5"/>
        <v xml:space="preserve">   </v>
      </c>
    </row>
    <row r="219" spans="1:13" ht="12.75" hidden="1" customHeight="1" x14ac:dyDescent="0.2">
      <c r="A219" s="343"/>
      <c r="B219" s="170" t="str">
        <f>Capacidades!M214</f>
        <v xml:space="preserve">   </v>
      </c>
      <c r="C219" s="171"/>
      <c r="D219" s="13"/>
      <c r="E219" s="13"/>
      <c r="F219" s="14"/>
      <c r="G219" s="14"/>
      <c r="H219" s="14"/>
      <c r="I219" s="14"/>
      <c r="J219" s="14"/>
      <c r="K219" s="14"/>
      <c r="L219" s="339"/>
      <c r="M219" s="95" t="str">
        <f t="shared" si="5"/>
        <v xml:space="preserve">   </v>
      </c>
    </row>
    <row r="220" spans="1:13" ht="12.75" hidden="1" customHeight="1" x14ac:dyDescent="0.2">
      <c r="A220" s="343"/>
      <c r="B220" s="170" t="str">
        <f>Capacidades!M215</f>
        <v xml:space="preserve">   </v>
      </c>
      <c r="C220" s="171"/>
      <c r="D220" s="13"/>
      <c r="E220" s="13"/>
      <c r="F220" s="14"/>
      <c r="G220" s="14"/>
      <c r="H220" s="14"/>
      <c r="I220" s="14"/>
      <c r="J220" s="14"/>
      <c r="K220" s="14"/>
      <c r="L220" s="339"/>
      <c r="M220" s="95" t="str">
        <f t="shared" si="5"/>
        <v xml:space="preserve">   </v>
      </c>
    </row>
    <row r="221" spans="1:13" ht="12.75" hidden="1" customHeight="1" x14ac:dyDescent="0.2">
      <c r="A221" s="343"/>
      <c r="B221" s="170" t="str">
        <f>Capacidades!M216</f>
        <v xml:space="preserve">   </v>
      </c>
      <c r="C221" s="171"/>
      <c r="D221" s="13"/>
      <c r="E221" s="13"/>
      <c r="F221" s="14"/>
      <c r="G221" s="14"/>
      <c r="H221" s="14"/>
      <c r="I221" s="14"/>
      <c r="J221" s="14"/>
      <c r="K221" s="14"/>
      <c r="L221" s="339"/>
      <c r="M221" s="95" t="str">
        <f t="shared" si="5"/>
        <v xml:space="preserve">   </v>
      </c>
    </row>
    <row r="222" spans="1:13" ht="12.75" hidden="1" customHeight="1" x14ac:dyDescent="0.2">
      <c r="A222" s="343"/>
      <c r="B222" s="170" t="str">
        <f>Capacidades!M217</f>
        <v xml:space="preserve">   </v>
      </c>
      <c r="C222" s="171"/>
      <c r="D222" s="13"/>
      <c r="E222" s="13"/>
      <c r="F222" s="14"/>
      <c r="G222" s="14"/>
      <c r="H222" s="14"/>
      <c r="I222" s="14"/>
      <c r="J222" s="14"/>
      <c r="K222" s="14"/>
      <c r="L222" s="339"/>
      <c r="M222" s="95" t="str">
        <f t="shared" si="5"/>
        <v xml:space="preserve">   </v>
      </c>
    </row>
    <row r="223" spans="1:13" ht="12.75" hidden="1" customHeight="1" x14ac:dyDescent="0.2">
      <c r="A223" s="343"/>
      <c r="B223" s="170" t="str">
        <f>Capacidades!M218</f>
        <v xml:space="preserve">   </v>
      </c>
      <c r="C223" s="171"/>
      <c r="D223" s="13"/>
      <c r="E223" s="13"/>
      <c r="F223" s="14"/>
      <c r="G223" s="14"/>
      <c r="H223" s="14"/>
      <c r="I223" s="14"/>
      <c r="J223" s="14"/>
      <c r="K223" s="14"/>
      <c r="L223" s="339"/>
      <c r="M223" s="95" t="str">
        <f t="shared" si="5"/>
        <v xml:space="preserve">   </v>
      </c>
    </row>
    <row r="224" spans="1:13" ht="12.75" hidden="1" customHeight="1" x14ac:dyDescent="0.2">
      <c r="A224" s="344"/>
      <c r="B224" s="170" t="str">
        <f>Capacidades!M219</f>
        <v xml:space="preserve">   </v>
      </c>
      <c r="C224" s="171"/>
      <c r="D224" s="15"/>
      <c r="E224" s="15"/>
      <c r="F224" s="16"/>
      <c r="G224" s="16"/>
      <c r="H224" s="16"/>
      <c r="I224" s="16"/>
      <c r="J224" s="16"/>
      <c r="K224" s="16"/>
      <c r="L224" s="339"/>
      <c r="M224" s="95" t="str">
        <f t="shared" si="5"/>
        <v xml:space="preserve">   </v>
      </c>
    </row>
    <row r="225" spans="1:13" ht="47.25" customHeight="1" x14ac:dyDescent="0.2">
      <c r="A225" s="342" t="str">
        <f>Capacidades!L220</f>
        <v xml:space="preserve">CE1 C2 Comunicar conceptos, ideas, opiniones, sentimientos y hechos en forma escrita en situaciones relacionadas a su entorno social, educativo y laboral.    </v>
      </c>
      <c r="B225" s="170" t="str">
        <f>Capacidades!M220</f>
        <v>C2 I1 Identifica  las ideas principales del texto   utilizando estrategias de comprensión lectora.</v>
      </c>
      <c r="C225" s="171" t="s">
        <v>357</v>
      </c>
      <c r="D225" s="11" t="str">
        <f>Organización_Modular!F31</f>
        <v>Comunicación Escrita</v>
      </c>
      <c r="E225" s="11" t="str">
        <f>Organización_Modular!G31</f>
        <v>I</v>
      </c>
      <c r="F225" s="11">
        <f>Organización_Modular!H31</f>
        <v>0</v>
      </c>
      <c r="G225" s="11">
        <f>Organización_Modular!I31</f>
        <v>1</v>
      </c>
      <c r="H225" s="12">
        <f>SUM(F225:G225)</f>
        <v>1</v>
      </c>
      <c r="I225" s="12">
        <f>F225*16</f>
        <v>0</v>
      </c>
      <c r="J225" s="12">
        <f>G225*32</f>
        <v>32</v>
      </c>
      <c r="K225" s="12">
        <f>SUM(I225:J225)</f>
        <v>32</v>
      </c>
      <c r="L225" s="339"/>
      <c r="M225" s="95" t="str">
        <f t="shared" si="5"/>
        <v>C2 I1 Identifica  las ideas principales del texto   utilizando estrategias de comprensión lectora.</v>
      </c>
    </row>
    <row r="226" spans="1:13" ht="81" customHeight="1" x14ac:dyDescent="0.2">
      <c r="A226" s="343"/>
      <c r="B226" s="170" t="str">
        <f>Capacidades!M221</f>
        <v>C2 I2 Escribe textos variados  con coherencia, cohesión y corrección, considerando las etapas del proceso de producción escrita.</v>
      </c>
      <c r="C226" s="171" t="s">
        <v>358</v>
      </c>
      <c r="D226" s="13"/>
      <c r="E226" s="13"/>
      <c r="F226" s="14"/>
      <c r="G226" s="14"/>
      <c r="H226" s="14"/>
      <c r="I226" s="14"/>
      <c r="J226" s="14"/>
      <c r="K226" s="14"/>
      <c r="L226" s="339"/>
      <c r="M226" s="95" t="str">
        <f t="shared" si="5"/>
        <v>C2 I2 Escribe textos variados  con coherencia, cohesión y corrección, considerando las etapas del proceso de producción escrita.</v>
      </c>
    </row>
    <row r="227" spans="1:13" ht="12.75" hidden="1" customHeight="1" x14ac:dyDescent="0.2">
      <c r="A227" s="343"/>
      <c r="B227" s="170" t="str">
        <f>Capacidades!M222</f>
        <v xml:space="preserve">   </v>
      </c>
      <c r="C227" s="171"/>
      <c r="D227" s="13"/>
      <c r="E227" s="13"/>
      <c r="F227" s="14"/>
      <c r="G227" s="14"/>
      <c r="H227" s="14"/>
      <c r="I227" s="14"/>
      <c r="J227" s="14"/>
      <c r="K227" s="14"/>
      <c r="L227" s="339"/>
      <c r="M227" s="95" t="str">
        <f t="shared" si="5"/>
        <v xml:space="preserve">   </v>
      </c>
    </row>
    <row r="228" spans="1:13" ht="12.75" hidden="1" customHeight="1" x14ac:dyDescent="0.2">
      <c r="A228" s="343"/>
      <c r="B228" s="170" t="str">
        <f>Capacidades!M223</f>
        <v xml:space="preserve">   </v>
      </c>
      <c r="C228" s="171"/>
      <c r="D228" s="13"/>
      <c r="E228" s="13"/>
      <c r="F228" s="14"/>
      <c r="G228" s="14"/>
      <c r="H228" s="14"/>
      <c r="I228" s="14"/>
      <c r="J228" s="14"/>
      <c r="K228" s="14"/>
      <c r="L228" s="339"/>
      <c r="M228" s="95" t="str">
        <f t="shared" si="5"/>
        <v xml:space="preserve">   </v>
      </c>
    </row>
    <row r="229" spans="1:13" ht="12.75" hidden="1" customHeight="1" x14ac:dyDescent="0.2">
      <c r="A229" s="343"/>
      <c r="B229" s="170" t="str">
        <f>Capacidades!M224</f>
        <v xml:space="preserve">   </v>
      </c>
      <c r="C229" s="171"/>
      <c r="D229" s="13"/>
      <c r="E229" s="13"/>
      <c r="F229" s="14"/>
      <c r="G229" s="14"/>
      <c r="H229" s="14"/>
      <c r="I229" s="14"/>
      <c r="J229" s="14"/>
      <c r="K229" s="14"/>
      <c r="L229" s="339"/>
      <c r="M229" s="95" t="str">
        <f t="shared" si="5"/>
        <v xml:space="preserve">   </v>
      </c>
    </row>
    <row r="230" spans="1:13" ht="12.75" hidden="1" customHeight="1" x14ac:dyDescent="0.2">
      <c r="A230" s="343"/>
      <c r="B230" s="170" t="str">
        <f>Capacidades!M225</f>
        <v xml:space="preserve">   </v>
      </c>
      <c r="C230" s="171"/>
      <c r="D230" s="13"/>
      <c r="E230" s="13"/>
      <c r="F230" s="14"/>
      <c r="G230" s="14"/>
      <c r="H230" s="14"/>
      <c r="I230" s="14"/>
      <c r="J230" s="14"/>
      <c r="K230" s="14"/>
      <c r="L230" s="339"/>
      <c r="M230" s="95" t="str">
        <f t="shared" si="5"/>
        <v xml:space="preserve">   </v>
      </c>
    </row>
    <row r="231" spans="1:13" ht="12.75" hidden="1" customHeight="1" x14ac:dyDescent="0.2">
      <c r="A231" s="343"/>
      <c r="B231" s="170" t="str">
        <f>Capacidades!M226</f>
        <v xml:space="preserve">   </v>
      </c>
      <c r="C231" s="171"/>
      <c r="D231" s="13"/>
      <c r="E231" s="13"/>
      <c r="F231" s="14"/>
      <c r="G231" s="14"/>
      <c r="H231" s="14"/>
      <c r="I231" s="14"/>
      <c r="J231" s="14"/>
      <c r="K231" s="14"/>
      <c r="L231" s="339"/>
      <c r="M231" s="95" t="str">
        <f t="shared" si="5"/>
        <v xml:space="preserve">   </v>
      </c>
    </row>
    <row r="232" spans="1:13" ht="12.75" hidden="1" customHeight="1" x14ac:dyDescent="0.2">
      <c r="A232" s="343"/>
      <c r="B232" s="170" t="str">
        <f>Capacidades!M227</f>
        <v xml:space="preserve">   </v>
      </c>
      <c r="C232" s="171"/>
      <c r="D232" s="13"/>
      <c r="E232" s="13"/>
      <c r="F232" s="14"/>
      <c r="G232" s="14"/>
      <c r="H232" s="14"/>
      <c r="I232" s="14"/>
      <c r="J232" s="14"/>
      <c r="K232" s="14"/>
      <c r="L232" s="339"/>
      <c r="M232" s="95" t="str">
        <f t="shared" si="5"/>
        <v xml:space="preserve">   </v>
      </c>
    </row>
    <row r="233" spans="1:13" ht="12.75" hidden="1" customHeight="1" x14ac:dyDescent="0.2">
      <c r="A233" s="343"/>
      <c r="B233" s="170" t="str">
        <f>Capacidades!M228</f>
        <v xml:space="preserve">   </v>
      </c>
      <c r="C233" s="171"/>
      <c r="D233" s="13"/>
      <c r="E233" s="13"/>
      <c r="F233" s="14"/>
      <c r="G233" s="14"/>
      <c r="H233" s="14"/>
      <c r="I233" s="14"/>
      <c r="J233" s="14"/>
      <c r="K233" s="14"/>
      <c r="L233" s="339"/>
      <c r="M233" s="95" t="str">
        <f t="shared" si="5"/>
        <v xml:space="preserve">   </v>
      </c>
    </row>
    <row r="234" spans="1:13" ht="12.75" hidden="1" customHeight="1" x14ac:dyDescent="0.2">
      <c r="A234" s="344"/>
      <c r="B234" s="170" t="str">
        <f>Capacidades!M229</f>
        <v xml:space="preserve">   </v>
      </c>
      <c r="C234" s="174"/>
      <c r="D234" s="13"/>
      <c r="E234" s="13"/>
      <c r="F234" s="14"/>
      <c r="G234" s="14"/>
      <c r="H234" s="14"/>
      <c r="I234" s="14"/>
      <c r="J234" s="14"/>
      <c r="K234" s="14"/>
      <c r="L234" s="340"/>
      <c r="M234" s="95" t="str">
        <f t="shared" si="5"/>
        <v xml:space="preserve">   </v>
      </c>
    </row>
    <row r="235" spans="1:13" hidden="1" x14ac:dyDescent="0.2">
      <c r="A235" s="342" t="str">
        <f>Capacidades!L230</f>
        <v xml:space="preserve">       </v>
      </c>
      <c r="B235" s="170" t="str">
        <f>Capacidades!M230</f>
        <v xml:space="preserve">   </v>
      </c>
      <c r="C235" s="171"/>
      <c r="D235" s="11">
        <f>Organización_Modular!F32</f>
        <v>0</v>
      </c>
      <c r="E235" s="11">
        <f>Organización_Modular!G32</f>
        <v>0</v>
      </c>
      <c r="F235" s="11">
        <f>Organización_Modular!H32</f>
        <v>0</v>
      </c>
      <c r="G235" s="11">
        <f>Organización_Modular!I32</f>
        <v>0</v>
      </c>
      <c r="H235" s="12">
        <f>SUM(F235:G235)</f>
        <v>0</v>
      </c>
      <c r="I235" s="12">
        <f>F235*16</f>
        <v>0</v>
      </c>
      <c r="J235" s="12">
        <f>G235*32</f>
        <v>0</v>
      </c>
      <c r="K235" s="12">
        <f>SUM(I235:J235)</f>
        <v>0</v>
      </c>
      <c r="L235" s="335"/>
      <c r="M235" s="95" t="str">
        <f t="shared" si="5"/>
        <v xml:space="preserve">   </v>
      </c>
    </row>
    <row r="236" spans="1:13" hidden="1" x14ac:dyDescent="0.2">
      <c r="A236" s="343"/>
      <c r="B236" s="170" t="str">
        <f>Capacidades!M231</f>
        <v xml:space="preserve">   </v>
      </c>
      <c r="C236" s="171"/>
      <c r="D236" s="13"/>
      <c r="E236" s="13"/>
      <c r="F236" s="14"/>
      <c r="G236" s="14"/>
      <c r="H236" s="14"/>
      <c r="I236" s="14"/>
      <c r="J236" s="14"/>
      <c r="K236" s="14"/>
      <c r="L236" s="336"/>
      <c r="M236" s="95" t="str">
        <f t="shared" si="5"/>
        <v xml:space="preserve">   </v>
      </c>
    </row>
    <row r="237" spans="1:13" hidden="1" x14ac:dyDescent="0.2">
      <c r="A237" s="343"/>
      <c r="B237" s="170" t="str">
        <f>Capacidades!M232</f>
        <v xml:space="preserve">   </v>
      </c>
      <c r="C237" s="171"/>
      <c r="D237" s="13"/>
      <c r="E237" s="13"/>
      <c r="F237" s="14"/>
      <c r="G237" s="14"/>
      <c r="H237" s="14"/>
      <c r="I237" s="14"/>
      <c r="J237" s="14"/>
      <c r="K237" s="14"/>
      <c r="L237" s="336"/>
      <c r="M237" s="95" t="str">
        <f t="shared" si="5"/>
        <v xml:space="preserve">   </v>
      </c>
    </row>
    <row r="238" spans="1:13" hidden="1" x14ac:dyDescent="0.2">
      <c r="A238" s="343"/>
      <c r="B238" s="170" t="str">
        <f>Capacidades!M233</f>
        <v xml:space="preserve">   </v>
      </c>
      <c r="C238" s="171"/>
      <c r="D238" s="13"/>
      <c r="E238" s="13"/>
      <c r="F238" s="14"/>
      <c r="G238" s="14"/>
      <c r="H238" s="14"/>
      <c r="I238" s="14"/>
      <c r="J238" s="14"/>
      <c r="K238" s="14"/>
      <c r="L238" s="336"/>
      <c r="M238" s="95" t="str">
        <f t="shared" si="5"/>
        <v xml:space="preserve">   </v>
      </c>
    </row>
    <row r="239" spans="1:13" hidden="1" x14ac:dyDescent="0.2">
      <c r="A239" s="343"/>
      <c r="B239" s="170" t="str">
        <f>Capacidades!M234</f>
        <v xml:space="preserve">   </v>
      </c>
      <c r="C239" s="171"/>
      <c r="D239" s="13"/>
      <c r="E239" s="13"/>
      <c r="F239" s="14"/>
      <c r="G239" s="14"/>
      <c r="H239" s="14"/>
      <c r="I239" s="14"/>
      <c r="J239" s="14"/>
      <c r="K239" s="14"/>
      <c r="L239" s="336"/>
      <c r="M239" s="95" t="str">
        <f t="shared" si="5"/>
        <v xml:space="preserve">   </v>
      </c>
    </row>
    <row r="240" spans="1:13" hidden="1" x14ac:dyDescent="0.2">
      <c r="A240" s="343"/>
      <c r="B240" s="170" t="str">
        <f>Capacidades!M235</f>
        <v xml:space="preserve">   </v>
      </c>
      <c r="C240" s="171"/>
      <c r="D240" s="13"/>
      <c r="E240" s="13"/>
      <c r="F240" s="14"/>
      <c r="G240" s="14"/>
      <c r="H240" s="14"/>
      <c r="I240" s="14"/>
      <c r="J240" s="14"/>
      <c r="K240" s="14"/>
      <c r="L240" s="336"/>
      <c r="M240" s="95" t="str">
        <f t="shared" si="5"/>
        <v xml:space="preserve">   </v>
      </c>
    </row>
    <row r="241" spans="1:13" hidden="1" x14ac:dyDescent="0.2">
      <c r="A241" s="343"/>
      <c r="B241" s="170" t="str">
        <f>Capacidades!M236</f>
        <v xml:space="preserve">   </v>
      </c>
      <c r="C241" s="171"/>
      <c r="D241" s="13"/>
      <c r="E241" s="13"/>
      <c r="F241" s="14"/>
      <c r="G241" s="14"/>
      <c r="H241" s="14"/>
      <c r="I241" s="14"/>
      <c r="J241" s="14"/>
      <c r="K241" s="14"/>
      <c r="L241" s="336"/>
      <c r="M241" s="95" t="str">
        <f t="shared" si="5"/>
        <v xml:space="preserve">   </v>
      </c>
    </row>
    <row r="242" spans="1:13" hidden="1" x14ac:dyDescent="0.2">
      <c r="A242" s="343"/>
      <c r="B242" s="170" t="str">
        <f>Capacidades!M237</f>
        <v xml:space="preserve">   </v>
      </c>
      <c r="C242" s="171"/>
      <c r="D242" s="13"/>
      <c r="E242" s="13"/>
      <c r="F242" s="14"/>
      <c r="G242" s="14"/>
      <c r="H242" s="14"/>
      <c r="I242" s="14"/>
      <c r="J242" s="14"/>
      <c r="K242" s="14"/>
      <c r="L242" s="336"/>
      <c r="M242" s="95" t="str">
        <f t="shared" si="5"/>
        <v xml:space="preserve">   </v>
      </c>
    </row>
    <row r="243" spans="1:13" hidden="1" x14ac:dyDescent="0.2">
      <c r="A243" s="343"/>
      <c r="B243" s="170" t="str">
        <f>Capacidades!M238</f>
        <v xml:space="preserve">   </v>
      </c>
      <c r="C243" s="171"/>
      <c r="D243" s="13"/>
      <c r="E243" s="13"/>
      <c r="F243" s="14"/>
      <c r="G243" s="14"/>
      <c r="H243" s="14"/>
      <c r="I243" s="14"/>
      <c r="J243" s="14"/>
      <c r="K243" s="14"/>
      <c r="L243" s="336"/>
      <c r="M243" s="95" t="str">
        <f t="shared" si="5"/>
        <v xml:space="preserve">   </v>
      </c>
    </row>
    <row r="244" spans="1:13" hidden="1" x14ac:dyDescent="0.2">
      <c r="A244" s="344"/>
      <c r="B244" s="170" t="str">
        <f>Capacidades!M239</f>
        <v xml:space="preserve">   </v>
      </c>
      <c r="C244" s="174"/>
      <c r="D244" s="13"/>
      <c r="E244" s="13"/>
      <c r="F244" s="14"/>
      <c r="G244" s="14"/>
      <c r="H244" s="14"/>
      <c r="I244" s="14"/>
      <c r="J244" s="14"/>
      <c r="K244" s="14"/>
      <c r="L244" s="336"/>
      <c r="M244" s="95" t="str">
        <f t="shared" si="5"/>
        <v xml:space="preserve">   </v>
      </c>
    </row>
    <row r="245" spans="1:13" hidden="1" x14ac:dyDescent="0.2">
      <c r="A245" s="342" t="str">
        <f>Capacidades!L240</f>
        <v xml:space="preserve">       </v>
      </c>
      <c r="B245" s="170" t="str">
        <f>Capacidades!M240</f>
        <v xml:space="preserve">   </v>
      </c>
      <c r="C245" s="171"/>
      <c r="D245" s="11">
        <f>Organización_Modular!F33</f>
        <v>0</v>
      </c>
      <c r="E245" s="11">
        <f>Organización_Modular!G33</f>
        <v>0</v>
      </c>
      <c r="F245" s="11">
        <f>Organización_Modular!H33</f>
        <v>0</v>
      </c>
      <c r="G245" s="11">
        <f>Organización_Modular!I33</f>
        <v>0</v>
      </c>
      <c r="H245" s="12">
        <f>SUM(F245:G245)</f>
        <v>0</v>
      </c>
      <c r="I245" s="12">
        <f>F245*16</f>
        <v>0</v>
      </c>
      <c r="J245" s="12">
        <f>G245*32</f>
        <v>0</v>
      </c>
      <c r="K245" s="12">
        <f>SUM(I245:J245)</f>
        <v>0</v>
      </c>
      <c r="L245" s="335"/>
      <c r="M245" s="95" t="str">
        <f t="shared" si="5"/>
        <v xml:space="preserve">   </v>
      </c>
    </row>
    <row r="246" spans="1:13" hidden="1" x14ac:dyDescent="0.2">
      <c r="A246" s="343"/>
      <c r="B246" s="170" t="str">
        <f>Capacidades!M241</f>
        <v xml:space="preserve">   </v>
      </c>
      <c r="C246" s="171"/>
      <c r="D246" s="13"/>
      <c r="E246" s="13"/>
      <c r="F246" s="14"/>
      <c r="G246" s="14"/>
      <c r="H246" s="14"/>
      <c r="I246" s="14"/>
      <c r="J246" s="14"/>
      <c r="K246" s="14"/>
      <c r="L246" s="336"/>
      <c r="M246" s="95" t="str">
        <f t="shared" si="5"/>
        <v xml:space="preserve">   </v>
      </c>
    </row>
    <row r="247" spans="1:13" hidden="1" x14ac:dyDescent="0.2">
      <c r="A247" s="343"/>
      <c r="B247" s="170" t="str">
        <f>Capacidades!M242</f>
        <v xml:space="preserve">   </v>
      </c>
      <c r="C247" s="171"/>
      <c r="D247" s="13"/>
      <c r="E247" s="13"/>
      <c r="F247" s="14"/>
      <c r="G247" s="14"/>
      <c r="H247" s="14"/>
      <c r="I247" s="14"/>
      <c r="J247" s="14"/>
      <c r="K247" s="14"/>
      <c r="L247" s="336"/>
      <c r="M247" s="95" t="str">
        <f t="shared" si="5"/>
        <v xml:space="preserve">   </v>
      </c>
    </row>
    <row r="248" spans="1:13" hidden="1" x14ac:dyDescent="0.2">
      <c r="A248" s="343"/>
      <c r="B248" s="170" t="str">
        <f>Capacidades!M243</f>
        <v xml:space="preserve">   </v>
      </c>
      <c r="C248" s="171"/>
      <c r="D248" s="13"/>
      <c r="E248" s="13"/>
      <c r="F248" s="14"/>
      <c r="G248" s="14"/>
      <c r="H248" s="14"/>
      <c r="I248" s="14"/>
      <c r="J248" s="14"/>
      <c r="K248" s="14"/>
      <c r="L248" s="336"/>
      <c r="M248" s="95" t="str">
        <f t="shared" si="5"/>
        <v xml:space="preserve">   </v>
      </c>
    </row>
    <row r="249" spans="1:13" hidden="1" x14ac:dyDescent="0.2">
      <c r="A249" s="343"/>
      <c r="B249" s="170" t="str">
        <f>Capacidades!M244</f>
        <v xml:space="preserve">   </v>
      </c>
      <c r="C249" s="171"/>
      <c r="D249" s="13"/>
      <c r="E249" s="13"/>
      <c r="F249" s="14"/>
      <c r="G249" s="14"/>
      <c r="H249" s="14"/>
      <c r="I249" s="14"/>
      <c r="J249" s="14"/>
      <c r="K249" s="14"/>
      <c r="L249" s="336"/>
      <c r="M249" s="95" t="str">
        <f t="shared" si="5"/>
        <v xml:space="preserve">   </v>
      </c>
    </row>
    <row r="250" spans="1:13" ht="6.75" hidden="1" customHeight="1" x14ac:dyDescent="0.2">
      <c r="A250" s="343"/>
      <c r="B250" s="170" t="str">
        <f>Capacidades!M245</f>
        <v xml:space="preserve">   </v>
      </c>
      <c r="C250" s="171"/>
      <c r="D250" s="13"/>
      <c r="E250" s="13"/>
      <c r="F250" s="14"/>
      <c r="G250" s="14"/>
      <c r="H250" s="14"/>
      <c r="I250" s="14"/>
      <c r="J250" s="14"/>
      <c r="K250" s="14"/>
      <c r="L250" s="336"/>
      <c r="M250" s="95" t="str">
        <f t="shared" si="5"/>
        <v xml:space="preserve">   </v>
      </c>
    </row>
    <row r="251" spans="1:13" hidden="1" x14ac:dyDescent="0.2">
      <c r="A251" s="343"/>
      <c r="B251" s="170" t="str">
        <f>Capacidades!M246</f>
        <v xml:space="preserve">   </v>
      </c>
      <c r="C251" s="171"/>
      <c r="D251" s="13"/>
      <c r="E251" s="13"/>
      <c r="F251" s="14"/>
      <c r="G251" s="14"/>
      <c r="H251" s="14"/>
      <c r="I251" s="14"/>
      <c r="J251" s="14"/>
      <c r="K251" s="14"/>
      <c r="L251" s="336"/>
      <c r="M251" s="95" t="str">
        <f t="shared" si="5"/>
        <v xml:space="preserve">   </v>
      </c>
    </row>
    <row r="252" spans="1:13" hidden="1" x14ac:dyDescent="0.2">
      <c r="A252" s="343"/>
      <c r="B252" s="170" t="str">
        <f>Capacidades!M247</f>
        <v xml:space="preserve">   </v>
      </c>
      <c r="C252" s="171"/>
      <c r="D252" s="13"/>
      <c r="E252" s="13"/>
      <c r="F252" s="14"/>
      <c r="G252" s="14"/>
      <c r="H252" s="14"/>
      <c r="I252" s="14"/>
      <c r="J252" s="14"/>
      <c r="K252" s="14"/>
      <c r="L252" s="336"/>
      <c r="M252" s="95" t="str">
        <f t="shared" si="5"/>
        <v xml:space="preserve">   </v>
      </c>
    </row>
    <row r="253" spans="1:13" hidden="1" x14ac:dyDescent="0.2">
      <c r="A253" s="343"/>
      <c r="B253" s="170" t="str">
        <f>Capacidades!M248</f>
        <v xml:space="preserve">   </v>
      </c>
      <c r="C253" s="171"/>
      <c r="D253" s="13"/>
      <c r="E253" s="13"/>
      <c r="F253" s="14"/>
      <c r="G253" s="14"/>
      <c r="H253" s="14"/>
      <c r="I253" s="14"/>
      <c r="J253" s="14"/>
      <c r="K253" s="14"/>
      <c r="L253" s="336"/>
      <c r="M253" s="95" t="str">
        <f t="shared" si="5"/>
        <v xml:space="preserve">   </v>
      </c>
    </row>
    <row r="254" spans="1:13" hidden="1" x14ac:dyDescent="0.2">
      <c r="A254" s="344"/>
      <c r="B254" s="170" t="str">
        <f>Capacidades!M249</f>
        <v xml:space="preserve">   </v>
      </c>
      <c r="C254" s="174"/>
      <c r="D254" s="13"/>
      <c r="E254" s="13"/>
      <c r="F254" s="14"/>
      <c r="G254" s="14"/>
      <c r="H254" s="14"/>
      <c r="I254" s="14"/>
      <c r="J254" s="14"/>
      <c r="K254" s="14"/>
      <c r="L254" s="336"/>
      <c r="M254" s="95" t="str">
        <f t="shared" si="5"/>
        <v xml:space="preserve">   </v>
      </c>
    </row>
    <row r="255" spans="1:13" hidden="1" x14ac:dyDescent="0.2">
      <c r="A255" s="342" t="str">
        <f>Capacidades!L250</f>
        <v xml:space="preserve">       </v>
      </c>
      <c r="B255" s="170" t="str">
        <f>Capacidades!M250</f>
        <v xml:space="preserve">   </v>
      </c>
      <c r="C255" s="171"/>
      <c r="D255" s="11">
        <f>Organización_Modular!F34</f>
        <v>0</v>
      </c>
      <c r="E255" s="11">
        <f>Organización_Modular!G34</f>
        <v>0</v>
      </c>
      <c r="F255" s="11">
        <f>Organización_Modular!H34</f>
        <v>0</v>
      </c>
      <c r="G255" s="11">
        <f>Organización_Modular!I34</f>
        <v>0</v>
      </c>
      <c r="H255" s="12">
        <f>SUM(F255:G255)</f>
        <v>0</v>
      </c>
      <c r="I255" s="12">
        <f>F255*16</f>
        <v>0</v>
      </c>
      <c r="J255" s="12">
        <f>G255*32</f>
        <v>0</v>
      </c>
      <c r="K255" s="12">
        <f>SUM(I255:J255)</f>
        <v>0</v>
      </c>
      <c r="L255" s="335"/>
      <c r="M255" s="95" t="str">
        <f t="shared" si="5"/>
        <v xml:space="preserve">   </v>
      </c>
    </row>
    <row r="256" spans="1:13" hidden="1" x14ac:dyDescent="0.2">
      <c r="A256" s="343"/>
      <c r="B256" s="170" t="str">
        <f>Capacidades!M251</f>
        <v xml:space="preserve">   </v>
      </c>
      <c r="C256" s="171"/>
      <c r="D256" s="13"/>
      <c r="E256" s="13"/>
      <c r="F256" s="14"/>
      <c r="G256" s="14"/>
      <c r="H256" s="14"/>
      <c r="I256" s="14"/>
      <c r="J256" s="14"/>
      <c r="K256" s="14"/>
      <c r="L256" s="336"/>
      <c r="M256" s="95" t="str">
        <f t="shared" si="5"/>
        <v xml:space="preserve">   </v>
      </c>
    </row>
    <row r="257" spans="1:13" hidden="1" x14ac:dyDescent="0.2">
      <c r="A257" s="343"/>
      <c r="B257" s="170" t="str">
        <f>Capacidades!M252</f>
        <v xml:space="preserve">   </v>
      </c>
      <c r="C257" s="171"/>
      <c r="D257" s="13"/>
      <c r="E257" s="13"/>
      <c r="F257" s="14"/>
      <c r="G257" s="14"/>
      <c r="H257" s="14"/>
      <c r="I257" s="14"/>
      <c r="J257" s="14"/>
      <c r="K257" s="14"/>
      <c r="L257" s="336"/>
      <c r="M257" s="95" t="str">
        <f t="shared" si="5"/>
        <v xml:space="preserve">   </v>
      </c>
    </row>
    <row r="258" spans="1:13" hidden="1" x14ac:dyDescent="0.2">
      <c r="A258" s="343"/>
      <c r="B258" s="170" t="str">
        <f>Capacidades!M253</f>
        <v xml:space="preserve">   </v>
      </c>
      <c r="C258" s="171"/>
      <c r="D258" s="13"/>
      <c r="E258" s="13"/>
      <c r="F258" s="14"/>
      <c r="G258" s="14"/>
      <c r="H258" s="14"/>
      <c r="I258" s="14"/>
      <c r="J258" s="14"/>
      <c r="K258" s="14"/>
      <c r="L258" s="336"/>
      <c r="M258" s="95" t="str">
        <f t="shared" si="5"/>
        <v xml:space="preserve">   </v>
      </c>
    </row>
    <row r="259" spans="1:13" hidden="1" x14ac:dyDescent="0.2">
      <c r="A259" s="343"/>
      <c r="B259" s="170" t="str">
        <f>Capacidades!M254</f>
        <v xml:space="preserve">   </v>
      </c>
      <c r="C259" s="171"/>
      <c r="D259" s="13"/>
      <c r="E259" s="13"/>
      <c r="F259" s="14"/>
      <c r="G259" s="14"/>
      <c r="H259" s="14"/>
      <c r="I259" s="14"/>
      <c r="J259" s="14"/>
      <c r="K259" s="14"/>
      <c r="L259" s="336"/>
      <c r="M259" s="95" t="str">
        <f t="shared" si="5"/>
        <v xml:space="preserve">   </v>
      </c>
    </row>
    <row r="260" spans="1:13" hidden="1" x14ac:dyDescent="0.2">
      <c r="A260" s="343"/>
      <c r="B260" s="170" t="str">
        <f>Capacidades!M255</f>
        <v xml:space="preserve">   </v>
      </c>
      <c r="C260" s="171"/>
      <c r="D260" s="13"/>
      <c r="E260" s="13"/>
      <c r="F260" s="14"/>
      <c r="G260" s="14"/>
      <c r="H260" s="14"/>
      <c r="I260" s="14"/>
      <c r="J260" s="14"/>
      <c r="K260" s="14"/>
      <c r="L260" s="336"/>
      <c r="M260" s="95" t="str">
        <f t="shared" si="5"/>
        <v xml:space="preserve">   </v>
      </c>
    </row>
    <row r="261" spans="1:13" hidden="1" x14ac:dyDescent="0.2">
      <c r="A261" s="343"/>
      <c r="B261" s="170" t="str">
        <f>Capacidades!M256</f>
        <v xml:space="preserve">   </v>
      </c>
      <c r="C261" s="171"/>
      <c r="D261" s="13"/>
      <c r="E261" s="13"/>
      <c r="F261" s="14"/>
      <c r="G261" s="14"/>
      <c r="H261" s="14"/>
      <c r="I261" s="14"/>
      <c r="J261" s="14"/>
      <c r="K261" s="14"/>
      <c r="L261" s="336"/>
      <c r="M261" s="95" t="str">
        <f t="shared" si="5"/>
        <v xml:space="preserve">   </v>
      </c>
    </row>
    <row r="262" spans="1:13" hidden="1" x14ac:dyDescent="0.2">
      <c r="A262" s="343"/>
      <c r="B262" s="170" t="str">
        <f>Capacidades!M257</f>
        <v xml:space="preserve">   </v>
      </c>
      <c r="C262" s="171"/>
      <c r="D262" s="13"/>
      <c r="E262" s="13"/>
      <c r="F262" s="14"/>
      <c r="G262" s="14"/>
      <c r="H262" s="14"/>
      <c r="I262" s="14"/>
      <c r="J262" s="14"/>
      <c r="K262" s="14"/>
      <c r="L262" s="336"/>
      <c r="M262" s="95" t="str">
        <f t="shared" si="5"/>
        <v xml:space="preserve">   </v>
      </c>
    </row>
    <row r="263" spans="1:13" hidden="1" x14ac:dyDescent="0.2">
      <c r="A263" s="343"/>
      <c r="B263" s="170" t="str">
        <f>Capacidades!M258</f>
        <v xml:space="preserve">   </v>
      </c>
      <c r="C263" s="171"/>
      <c r="D263" s="13"/>
      <c r="E263" s="13"/>
      <c r="F263" s="14"/>
      <c r="G263" s="14"/>
      <c r="H263" s="14"/>
      <c r="I263" s="14"/>
      <c r="J263" s="14"/>
      <c r="K263" s="14"/>
      <c r="L263" s="336"/>
      <c r="M263" s="95" t="str">
        <f t="shared" si="5"/>
        <v xml:space="preserve">   </v>
      </c>
    </row>
    <row r="264" spans="1:13" hidden="1" x14ac:dyDescent="0.2">
      <c r="A264" s="344"/>
      <c r="B264" s="170" t="str">
        <f>Capacidades!M259</f>
        <v xml:space="preserve">   </v>
      </c>
      <c r="C264" s="174"/>
      <c r="D264" s="13"/>
      <c r="E264" s="13"/>
      <c r="F264" s="14"/>
      <c r="G264" s="14"/>
      <c r="H264" s="14"/>
      <c r="I264" s="14"/>
      <c r="J264" s="14"/>
      <c r="K264" s="14"/>
      <c r="L264" s="336"/>
      <c r="M264" s="95" t="str">
        <f t="shared" si="5"/>
        <v xml:space="preserve">   </v>
      </c>
    </row>
    <row r="265" spans="1:13" hidden="1" x14ac:dyDescent="0.2">
      <c r="A265" s="342" t="str">
        <f>Capacidades!L260</f>
        <v xml:space="preserve">       </v>
      </c>
      <c r="B265" s="170" t="str">
        <f>Capacidades!M260</f>
        <v xml:space="preserve">   </v>
      </c>
      <c r="C265" s="171"/>
      <c r="D265" s="11">
        <f>Organización_Modular!F35</f>
        <v>0</v>
      </c>
      <c r="E265" s="11">
        <f>Organización_Modular!G35</f>
        <v>0</v>
      </c>
      <c r="F265" s="11">
        <f>Organización_Modular!H35</f>
        <v>0</v>
      </c>
      <c r="G265" s="11">
        <f>Organización_Modular!I35</f>
        <v>0</v>
      </c>
      <c r="H265" s="12">
        <f>SUM(F265:G265)</f>
        <v>0</v>
      </c>
      <c r="I265" s="12">
        <f>F265*16</f>
        <v>0</v>
      </c>
      <c r="J265" s="12">
        <f>G265*32</f>
        <v>0</v>
      </c>
      <c r="K265" s="12">
        <f>SUM(I265:J265)</f>
        <v>0</v>
      </c>
      <c r="L265" s="335"/>
      <c r="M265" s="95" t="str">
        <f t="shared" si="5"/>
        <v xml:space="preserve">   </v>
      </c>
    </row>
    <row r="266" spans="1:13" hidden="1" x14ac:dyDescent="0.2">
      <c r="A266" s="343"/>
      <c r="B266" s="170" t="str">
        <f>Capacidades!M261</f>
        <v xml:space="preserve">   </v>
      </c>
      <c r="C266" s="171"/>
      <c r="D266" s="13"/>
      <c r="E266" s="13"/>
      <c r="F266" s="14"/>
      <c r="G266" s="14"/>
      <c r="H266" s="14"/>
      <c r="I266" s="14"/>
      <c r="J266" s="14"/>
      <c r="K266" s="14"/>
      <c r="L266" s="336"/>
      <c r="M266" s="95" t="str">
        <f t="shared" si="5"/>
        <v xml:space="preserve">   </v>
      </c>
    </row>
    <row r="267" spans="1:13" hidden="1" x14ac:dyDescent="0.2">
      <c r="A267" s="343"/>
      <c r="B267" s="170" t="str">
        <f>Capacidades!M262</f>
        <v xml:space="preserve">   </v>
      </c>
      <c r="C267" s="171"/>
      <c r="D267" s="13"/>
      <c r="E267" s="13"/>
      <c r="F267" s="14"/>
      <c r="G267" s="14"/>
      <c r="H267" s="14"/>
      <c r="I267" s="14"/>
      <c r="J267" s="14"/>
      <c r="K267" s="14"/>
      <c r="L267" s="336"/>
      <c r="M267" s="95" t="str">
        <f t="shared" si="5"/>
        <v xml:space="preserve">   </v>
      </c>
    </row>
    <row r="268" spans="1:13" hidden="1" x14ac:dyDescent="0.2">
      <c r="A268" s="343"/>
      <c r="B268" s="170" t="str">
        <f>Capacidades!M263</f>
        <v xml:space="preserve">   </v>
      </c>
      <c r="C268" s="171"/>
      <c r="D268" s="13"/>
      <c r="E268" s="13"/>
      <c r="F268" s="14"/>
      <c r="G268" s="14"/>
      <c r="H268" s="14"/>
      <c r="I268" s="14"/>
      <c r="J268" s="14"/>
      <c r="K268" s="14"/>
      <c r="L268" s="336"/>
      <c r="M268" s="95" t="str">
        <f t="shared" si="5"/>
        <v xml:space="preserve">   </v>
      </c>
    </row>
    <row r="269" spans="1:13" hidden="1" x14ac:dyDescent="0.2">
      <c r="A269" s="343"/>
      <c r="B269" s="170" t="str">
        <f>Capacidades!M264</f>
        <v xml:space="preserve">   </v>
      </c>
      <c r="C269" s="171"/>
      <c r="D269" s="13"/>
      <c r="E269" s="13"/>
      <c r="F269" s="14"/>
      <c r="G269" s="14"/>
      <c r="H269" s="14"/>
      <c r="I269" s="14"/>
      <c r="J269" s="14"/>
      <c r="K269" s="14"/>
      <c r="L269" s="336"/>
      <c r="M269" s="95" t="str">
        <f t="shared" si="5"/>
        <v xml:space="preserve">   </v>
      </c>
    </row>
    <row r="270" spans="1:13" hidden="1" x14ac:dyDescent="0.2">
      <c r="A270" s="343"/>
      <c r="B270" s="170" t="str">
        <f>Capacidades!M265</f>
        <v xml:space="preserve">   </v>
      </c>
      <c r="C270" s="171"/>
      <c r="D270" s="13"/>
      <c r="E270" s="13"/>
      <c r="F270" s="14"/>
      <c r="G270" s="14"/>
      <c r="H270" s="14"/>
      <c r="I270" s="14"/>
      <c r="J270" s="14"/>
      <c r="K270" s="14"/>
      <c r="L270" s="336"/>
      <c r="M270" s="95" t="str">
        <f t="shared" si="5"/>
        <v xml:space="preserve">   </v>
      </c>
    </row>
    <row r="271" spans="1:13" hidden="1" x14ac:dyDescent="0.2">
      <c r="A271" s="343"/>
      <c r="B271" s="170" t="str">
        <f>Capacidades!M266</f>
        <v xml:space="preserve">   </v>
      </c>
      <c r="C271" s="171"/>
      <c r="D271" s="13"/>
      <c r="E271" s="13"/>
      <c r="F271" s="14"/>
      <c r="G271" s="14"/>
      <c r="H271" s="14"/>
      <c r="I271" s="14"/>
      <c r="J271" s="14"/>
      <c r="K271" s="14"/>
      <c r="L271" s="336"/>
      <c r="M271" s="95" t="str">
        <f t="shared" si="5"/>
        <v xml:space="preserve">   </v>
      </c>
    </row>
    <row r="272" spans="1:13" hidden="1" x14ac:dyDescent="0.2">
      <c r="A272" s="343"/>
      <c r="B272" s="170" t="str">
        <f>Capacidades!M267</f>
        <v xml:space="preserve">   </v>
      </c>
      <c r="C272" s="171"/>
      <c r="D272" s="13"/>
      <c r="E272" s="13"/>
      <c r="F272" s="14"/>
      <c r="G272" s="14"/>
      <c r="H272" s="14"/>
      <c r="I272" s="14"/>
      <c r="J272" s="14"/>
      <c r="K272" s="14"/>
      <c r="L272" s="336"/>
      <c r="M272" s="95" t="str">
        <f t="shared" si="5"/>
        <v xml:space="preserve">   </v>
      </c>
    </row>
    <row r="273" spans="1:13" hidden="1" x14ac:dyDescent="0.2">
      <c r="A273" s="343"/>
      <c r="B273" s="170" t="str">
        <f>Capacidades!M268</f>
        <v xml:space="preserve">   </v>
      </c>
      <c r="C273" s="171"/>
      <c r="D273" s="13"/>
      <c r="E273" s="13"/>
      <c r="F273" s="14"/>
      <c r="G273" s="14"/>
      <c r="H273" s="14"/>
      <c r="I273" s="14"/>
      <c r="J273" s="14"/>
      <c r="K273" s="14"/>
      <c r="L273" s="336"/>
      <c r="M273" s="95" t="str">
        <f t="shared" si="5"/>
        <v xml:space="preserve">   </v>
      </c>
    </row>
    <row r="274" spans="1:13" hidden="1" x14ac:dyDescent="0.2">
      <c r="A274" s="344"/>
      <c r="B274" s="170" t="str">
        <f>Capacidades!M269</f>
        <v xml:space="preserve">   </v>
      </c>
      <c r="C274" s="174"/>
      <c r="D274" s="13"/>
      <c r="E274" s="13"/>
      <c r="F274" s="14"/>
      <c r="G274" s="14"/>
      <c r="H274" s="14"/>
      <c r="I274" s="14"/>
      <c r="J274" s="14"/>
      <c r="K274" s="14"/>
      <c r="L274" s="336"/>
      <c r="M274" s="95" t="str">
        <f t="shared" si="5"/>
        <v xml:space="preserve">   </v>
      </c>
    </row>
    <row r="275" spans="1:13" hidden="1" x14ac:dyDescent="0.2">
      <c r="A275" s="342" t="str">
        <f>Capacidades!L270</f>
        <v xml:space="preserve">       </v>
      </c>
      <c r="B275" s="170" t="str">
        <f>Capacidades!M270</f>
        <v xml:space="preserve">   </v>
      </c>
      <c r="C275" s="171"/>
      <c r="D275" s="11">
        <f>Organización_Modular!F36</f>
        <v>0</v>
      </c>
      <c r="E275" s="11">
        <f>Organización_Modular!G36</f>
        <v>0</v>
      </c>
      <c r="F275" s="11">
        <f>Organización_Modular!H36</f>
        <v>0</v>
      </c>
      <c r="G275" s="11">
        <f>Organización_Modular!I36</f>
        <v>0</v>
      </c>
      <c r="H275" s="12">
        <f>SUM(F275:G275)</f>
        <v>0</v>
      </c>
      <c r="I275" s="12">
        <f>F275*16</f>
        <v>0</v>
      </c>
      <c r="J275" s="12">
        <f>G275*32</f>
        <v>0</v>
      </c>
      <c r="K275" s="12">
        <f>SUM(I275:J275)</f>
        <v>0</v>
      </c>
      <c r="L275" s="335"/>
      <c r="M275" s="95" t="str">
        <f t="shared" si="5"/>
        <v xml:space="preserve">   </v>
      </c>
    </row>
    <row r="276" spans="1:13" hidden="1" x14ac:dyDescent="0.2">
      <c r="A276" s="343"/>
      <c r="B276" s="170" t="str">
        <f>Capacidades!M271</f>
        <v xml:space="preserve">   </v>
      </c>
      <c r="C276" s="171"/>
      <c r="D276" s="13"/>
      <c r="E276" s="13"/>
      <c r="F276" s="14"/>
      <c r="G276" s="14"/>
      <c r="H276" s="14"/>
      <c r="I276" s="14"/>
      <c r="J276" s="14"/>
      <c r="K276" s="14"/>
      <c r="L276" s="336"/>
      <c r="M276" s="95" t="str">
        <f t="shared" si="5"/>
        <v xml:space="preserve">   </v>
      </c>
    </row>
    <row r="277" spans="1:13" hidden="1" x14ac:dyDescent="0.2">
      <c r="A277" s="343"/>
      <c r="B277" s="170" t="str">
        <f>Capacidades!M272</f>
        <v xml:space="preserve">   </v>
      </c>
      <c r="C277" s="171"/>
      <c r="D277" s="13"/>
      <c r="E277" s="13"/>
      <c r="F277" s="14"/>
      <c r="G277" s="14"/>
      <c r="H277" s="14"/>
      <c r="I277" s="14"/>
      <c r="J277" s="14"/>
      <c r="K277" s="14"/>
      <c r="L277" s="336"/>
      <c r="M277" s="95" t="str">
        <f t="shared" si="5"/>
        <v xml:space="preserve">   </v>
      </c>
    </row>
    <row r="278" spans="1:13" hidden="1" x14ac:dyDescent="0.2">
      <c r="A278" s="343"/>
      <c r="B278" s="170" t="str">
        <f>Capacidades!M273</f>
        <v xml:space="preserve">   </v>
      </c>
      <c r="C278" s="171"/>
      <c r="D278" s="13"/>
      <c r="E278" s="13"/>
      <c r="F278" s="14"/>
      <c r="G278" s="14"/>
      <c r="H278" s="14"/>
      <c r="I278" s="14"/>
      <c r="J278" s="14"/>
      <c r="K278" s="14"/>
      <c r="L278" s="336"/>
      <c r="M278" s="95" t="str">
        <f t="shared" si="5"/>
        <v xml:space="preserve">   </v>
      </c>
    </row>
    <row r="279" spans="1:13" hidden="1" x14ac:dyDescent="0.2">
      <c r="A279" s="343"/>
      <c r="B279" s="170" t="str">
        <f>Capacidades!M274</f>
        <v xml:space="preserve">   </v>
      </c>
      <c r="C279" s="171"/>
      <c r="D279" s="13"/>
      <c r="E279" s="13"/>
      <c r="F279" s="14"/>
      <c r="G279" s="14"/>
      <c r="H279" s="14"/>
      <c r="I279" s="14"/>
      <c r="J279" s="14"/>
      <c r="K279" s="14"/>
      <c r="L279" s="336"/>
      <c r="M279" s="95" t="str">
        <f t="shared" si="5"/>
        <v xml:space="preserve">   </v>
      </c>
    </row>
    <row r="280" spans="1:13" hidden="1" x14ac:dyDescent="0.2">
      <c r="A280" s="343"/>
      <c r="B280" s="170" t="str">
        <f>Capacidades!M275</f>
        <v xml:space="preserve">   </v>
      </c>
      <c r="C280" s="171"/>
      <c r="D280" s="13"/>
      <c r="E280" s="13"/>
      <c r="F280" s="14"/>
      <c r="G280" s="14"/>
      <c r="H280" s="14"/>
      <c r="I280" s="14"/>
      <c r="J280" s="14"/>
      <c r="K280" s="14"/>
      <c r="L280" s="336"/>
      <c r="M280" s="95" t="str">
        <f t="shared" ref="M280:M314" si="6">B280</f>
        <v xml:space="preserve">   </v>
      </c>
    </row>
    <row r="281" spans="1:13" hidden="1" x14ac:dyDescent="0.2">
      <c r="A281" s="343"/>
      <c r="B281" s="170" t="str">
        <f>Capacidades!M276</f>
        <v xml:space="preserve">   </v>
      </c>
      <c r="C281" s="171"/>
      <c r="D281" s="13"/>
      <c r="E281" s="13"/>
      <c r="F281" s="14"/>
      <c r="G281" s="14"/>
      <c r="H281" s="14"/>
      <c r="I281" s="14"/>
      <c r="J281" s="14"/>
      <c r="K281" s="14"/>
      <c r="L281" s="336"/>
      <c r="M281" s="95" t="str">
        <f t="shared" si="6"/>
        <v xml:space="preserve">   </v>
      </c>
    </row>
    <row r="282" spans="1:13" hidden="1" x14ac:dyDescent="0.2">
      <c r="A282" s="343"/>
      <c r="B282" s="170" t="str">
        <f>Capacidades!M277</f>
        <v xml:space="preserve">   </v>
      </c>
      <c r="C282" s="171"/>
      <c r="D282" s="13"/>
      <c r="E282" s="13"/>
      <c r="F282" s="14"/>
      <c r="G282" s="14"/>
      <c r="H282" s="14"/>
      <c r="I282" s="14"/>
      <c r="J282" s="14"/>
      <c r="K282" s="14"/>
      <c r="L282" s="336"/>
      <c r="M282" s="95" t="str">
        <f t="shared" si="6"/>
        <v xml:space="preserve">   </v>
      </c>
    </row>
    <row r="283" spans="1:13" hidden="1" x14ac:dyDescent="0.2">
      <c r="A283" s="343"/>
      <c r="B283" s="170" t="str">
        <f>Capacidades!M278</f>
        <v xml:space="preserve">   </v>
      </c>
      <c r="C283" s="171"/>
      <c r="D283" s="13"/>
      <c r="E283" s="13"/>
      <c r="F283" s="14"/>
      <c r="G283" s="14"/>
      <c r="H283" s="14"/>
      <c r="I283" s="14"/>
      <c r="J283" s="14"/>
      <c r="K283" s="14"/>
      <c r="L283" s="336"/>
      <c r="M283" s="95" t="str">
        <f t="shared" si="6"/>
        <v xml:space="preserve">   </v>
      </c>
    </row>
    <row r="284" spans="1:13" hidden="1" x14ac:dyDescent="0.2">
      <c r="A284" s="344"/>
      <c r="B284" s="170" t="str">
        <f>Capacidades!M279</f>
        <v xml:space="preserve">   </v>
      </c>
      <c r="C284" s="174"/>
      <c r="D284" s="13"/>
      <c r="E284" s="13"/>
      <c r="F284" s="14"/>
      <c r="G284" s="14"/>
      <c r="H284" s="14"/>
      <c r="I284" s="14"/>
      <c r="J284" s="14"/>
      <c r="K284" s="14"/>
      <c r="L284" s="336"/>
      <c r="M284" s="95" t="str">
        <f t="shared" si="6"/>
        <v xml:space="preserve">   </v>
      </c>
    </row>
    <row r="285" spans="1:13" hidden="1" x14ac:dyDescent="0.2">
      <c r="A285" s="342" t="str">
        <f>Capacidades!L280</f>
        <v xml:space="preserve">       </v>
      </c>
      <c r="B285" s="170" t="str">
        <f>Capacidades!M280</f>
        <v xml:space="preserve">   </v>
      </c>
      <c r="C285" s="171"/>
      <c r="D285" s="11">
        <f>Organización_Modular!F37</f>
        <v>0</v>
      </c>
      <c r="E285" s="11">
        <f>Organización_Modular!G37</f>
        <v>0</v>
      </c>
      <c r="F285" s="11">
        <f>Organización_Modular!H37</f>
        <v>0</v>
      </c>
      <c r="G285" s="11">
        <f>Organización_Modular!I37</f>
        <v>0</v>
      </c>
      <c r="H285" s="12">
        <f>SUM(F285:G285)</f>
        <v>0</v>
      </c>
      <c r="I285" s="12">
        <f>F285*16</f>
        <v>0</v>
      </c>
      <c r="J285" s="12">
        <f>G285*32</f>
        <v>0</v>
      </c>
      <c r="K285" s="12">
        <f>SUM(I285:J285)</f>
        <v>0</v>
      </c>
      <c r="L285" s="335"/>
      <c r="M285" s="95" t="str">
        <f t="shared" si="6"/>
        <v xml:space="preserve">   </v>
      </c>
    </row>
    <row r="286" spans="1:13" hidden="1" x14ac:dyDescent="0.2">
      <c r="A286" s="343"/>
      <c r="B286" s="170" t="str">
        <f>Capacidades!M281</f>
        <v xml:space="preserve">   </v>
      </c>
      <c r="C286" s="171"/>
      <c r="D286" s="13"/>
      <c r="E286" s="13"/>
      <c r="F286" s="14"/>
      <c r="G286" s="14"/>
      <c r="H286" s="14"/>
      <c r="I286" s="14"/>
      <c r="J286" s="14"/>
      <c r="K286" s="14"/>
      <c r="L286" s="336"/>
      <c r="M286" s="95" t="str">
        <f t="shared" si="6"/>
        <v xml:space="preserve">   </v>
      </c>
    </row>
    <row r="287" spans="1:13" ht="11.25" hidden="1" customHeight="1" x14ac:dyDescent="0.2">
      <c r="A287" s="343"/>
      <c r="B287" s="170" t="str">
        <f>Capacidades!M282</f>
        <v xml:space="preserve">   </v>
      </c>
      <c r="C287" s="171"/>
      <c r="D287" s="13"/>
      <c r="E287" s="13"/>
      <c r="F287" s="14"/>
      <c r="G287" s="14"/>
      <c r="H287" s="14"/>
      <c r="I287" s="14"/>
      <c r="J287" s="14"/>
      <c r="K287" s="14"/>
      <c r="L287" s="336"/>
      <c r="M287" s="95" t="str">
        <f t="shared" si="6"/>
        <v xml:space="preserve">   </v>
      </c>
    </row>
    <row r="288" spans="1:13" hidden="1" x14ac:dyDescent="0.2">
      <c r="A288" s="343"/>
      <c r="B288" s="170" t="str">
        <f>Capacidades!M283</f>
        <v xml:space="preserve">   </v>
      </c>
      <c r="C288" s="171"/>
      <c r="D288" s="13"/>
      <c r="E288" s="13"/>
      <c r="F288" s="14"/>
      <c r="G288" s="14"/>
      <c r="H288" s="14"/>
      <c r="I288" s="14"/>
      <c r="J288" s="14"/>
      <c r="K288" s="14"/>
      <c r="L288" s="336"/>
      <c r="M288" s="95" t="str">
        <f t="shared" si="6"/>
        <v xml:space="preserve">   </v>
      </c>
    </row>
    <row r="289" spans="1:13" hidden="1" x14ac:dyDescent="0.2">
      <c r="A289" s="343"/>
      <c r="B289" s="170" t="str">
        <f>Capacidades!M284</f>
        <v xml:space="preserve">   </v>
      </c>
      <c r="C289" s="171"/>
      <c r="D289" s="13"/>
      <c r="E289" s="13"/>
      <c r="F289" s="14"/>
      <c r="G289" s="14"/>
      <c r="H289" s="14"/>
      <c r="I289" s="14"/>
      <c r="J289" s="14"/>
      <c r="K289" s="14"/>
      <c r="L289" s="336"/>
      <c r="M289" s="95" t="str">
        <f t="shared" si="6"/>
        <v xml:space="preserve">   </v>
      </c>
    </row>
    <row r="290" spans="1:13" hidden="1" x14ac:dyDescent="0.2">
      <c r="A290" s="343"/>
      <c r="B290" s="170" t="str">
        <f>Capacidades!M285</f>
        <v xml:space="preserve">   </v>
      </c>
      <c r="C290" s="171"/>
      <c r="D290" s="13"/>
      <c r="E290" s="13"/>
      <c r="F290" s="14"/>
      <c r="G290" s="14"/>
      <c r="H290" s="14"/>
      <c r="I290" s="14"/>
      <c r="J290" s="14"/>
      <c r="K290" s="14"/>
      <c r="L290" s="336"/>
      <c r="M290" s="95" t="str">
        <f t="shared" si="6"/>
        <v xml:space="preserve">   </v>
      </c>
    </row>
    <row r="291" spans="1:13" hidden="1" x14ac:dyDescent="0.2">
      <c r="A291" s="343"/>
      <c r="B291" s="170" t="str">
        <f>Capacidades!M286</f>
        <v xml:space="preserve">   </v>
      </c>
      <c r="C291" s="171"/>
      <c r="D291" s="13"/>
      <c r="E291" s="13"/>
      <c r="F291" s="14"/>
      <c r="G291" s="14"/>
      <c r="H291" s="14"/>
      <c r="I291" s="14"/>
      <c r="J291" s="14"/>
      <c r="K291" s="14"/>
      <c r="L291" s="336"/>
      <c r="M291" s="95" t="str">
        <f t="shared" si="6"/>
        <v xml:space="preserve">   </v>
      </c>
    </row>
    <row r="292" spans="1:13" hidden="1" x14ac:dyDescent="0.2">
      <c r="A292" s="343"/>
      <c r="B292" s="170" t="str">
        <f>Capacidades!M287</f>
        <v xml:space="preserve">   </v>
      </c>
      <c r="C292" s="171"/>
      <c r="D292" s="13"/>
      <c r="E292" s="13"/>
      <c r="F292" s="14"/>
      <c r="G292" s="14"/>
      <c r="H292" s="14"/>
      <c r="I292" s="14"/>
      <c r="J292" s="14"/>
      <c r="K292" s="14"/>
      <c r="L292" s="336"/>
      <c r="M292" s="95" t="str">
        <f t="shared" si="6"/>
        <v xml:space="preserve">   </v>
      </c>
    </row>
    <row r="293" spans="1:13" hidden="1" x14ac:dyDescent="0.2">
      <c r="A293" s="343"/>
      <c r="B293" s="170" t="str">
        <f>Capacidades!M288</f>
        <v xml:space="preserve">   </v>
      </c>
      <c r="C293" s="171"/>
      <c r="D293" s="13"/>
      <c r="E293" s="13"/>
      <c r="F293" s="14"/>
      <c r="G293" s="14"/>
      <c r="H293" s="14"/>
      <c r="I293" s="14"/>
      <c r="J293" s="14"/>
      <c r="K293" s="14"/>
      <c r="L293" s="336"/>
      <c r="M293" s="95" t="str">
        <f t="shared" si="6"/>
        <v xml:space="preserve">   </v>
      </c>
    </row>
    <row r="294" spans="1:13" hidden="1" x14ac:dyDescent="0.2">
      <c r="A294" s="344"/>
      <c r="B294" s="170" t="str">
        <f>Capacidades!M289</f>
        <v xml:space="preserve">   </v>
      </c>
      <c r="C294" s="174"/>
      <c r="D294" s="13"/>
      <c r="E294" s="13"/>
      <c r="F294" s="14"/>
      <c r="G294" s="14"/>
      <c r="H294" s="14"/>
      <c r="I294" s="14"/>
      <c r="J294" s="14"/>
      <c r="K294" s="14"/>
      <c r="L294" s="336"/>
      <c r="M294" s="95" t="str">
        <f t="shared" si="6"/>
        <v xml:space="preserve">   </v>
      </c>
    </row>
    <row r="295" spans="1:13" hidden="1" x14ac:dyDescent="0.2">
      <c r="A295" s="342" t="str">
        <f>Capacidades!L290</f>
        <v xml:space="preserve">       </v>
      </c>
      <c r="B295" s="170" t="str">
        <f>Capacidades!M290</f>
        <v xml:space="preserve">   </v>
      </c>
      <c r="C295" s="171"/>
      <c r="D295" s="11">
        <f>Organización_Modular!F38</f>
        <v>0</v>
      </c>
      <c r="E295" s="11">
        <f>Organización_Modular!G38</f>
        <v>0</v>
      </c>
      <c r="F295" s="11">
        <f>Organización_Modular!H38</f>
        <v>0</v>
      </c>
      <c r="G295" s="11">
        <f>Organización_Modular!I38</f>
        <v>0</v>
      </c>
      <c r="H295" s="12">
        <f>SUM(F295:G295)</f>
        <v>0</v>
      </c>
      <c r="I295" s="12">
        <f>F295*16</f>
        <v>0</v>
      </c>
      <c r="J295" s="12">
        <f>G295*32</f>
        <v>0</v>
      </c>
      <c r="K295" s="12">
        <f>SUM(I295:J295)</f>
        <v>0</v>
      </c>
      <c r="L295" s="335"/>
      <c r="M295" s="95" t="str">
        <f t="shared" si="6"/>
        <v xml:space="preserve">   </v>
      </c>
    </row>
    <row r="296" spans="1:13" hidden="1" x14ac:dyDescent="0.2">
      <c r="A296" s="343"/>
      <c r="B296" s="170" t="str">
        <f>Capacidades!M291</f>
        <v xml:space="preserve">   </v>
      </c>
      <c r="C296" s="171"/>
      <c r="D296" s="13"/>
      <c r="E296" s="13"/>
      <c r="F296" s="14"/>
      <c r="G296" s="14"/>
      <c r="H296" s="14"/>
      <c r="I296" s="14"/>
      <c r="J296" s="14"/>
      <c r="K296" s="14"/>
      <c r="L296" s="336"/>
      <c r="M296" s="95" t="str">
        <f t="shared" si="6"/>
        <v xml:space="preserve">   </v>
      </c>
    </row>
    <row r="297" spans="1:13" hidden="1" x14ac:dyDescent="0.2">
      <c r="A297" s="343"/>
      <c r="B297" s="170" t="str">
        <f>Capacidades!M292</f>
        <v xml:space="preserve">   </v>
      </c>
      <c r="C297" s="171"/>
      <c r="D297" s="13"/>
      <c r="E297" s="13"/>
      <c r="F297" s="14"/>
      <c r="G297" s="14"/>
      <c r="H297" s="14"/>
      <c r="I297" s="14"/>
      <c r="J297" s="14"/>
      <c r="K297" s="14"/>
      <c r="L297" s="336"/>
      <c r="M297" s="95" t="str">
        <f t="shared" si="6"/>
        <v xml:space="preserve">   </v>
      </c>
    </row>
    <row r="298" spans="1:13" hidden="1" x14ac:dyDescent="0.2">
      <c r="A298" s="343"/>
      <c r="B298" s="170" t="str">
        <f>Capacidades!M293</f>
        <v xml:space="preserve">   </v>
      </c>
      <c r="C298" s="171"/>
      <c r="D298" s="13"/>
      <c r="E298" s="13"/>
      <c r="F298" s="14"/>
      <c r="G298" s="14"/>
      <c r="H298" s="14"/>
      <c r="I298" s="14"/>
      <c r="J298" s="14"/>
      <c r="K298" s="14"/>
      <c r="L298" s="336"/>
      <c r="M298" s="95" t="str">
        <f t="shared" si="6"/>
        <v xml:space="preserve">   </v>
      </c>
    </row>
    <row r="299" spans="1:13" hidden="1" x14ac:dyDescent="0.2">
      <c r="A299" s="343"/>
      <c r="B299" s="170" t="str">
        <f>Capacidades!M294</f>
        <v xml:space="preserve">   </v>
      </c>
      <c r="C299" s="171"/>
      <c r="D299" s="13"/>
      <c r="E299" s="13"/>
      <c r="F299" s="14"/>
      <c r="G299" s="14"/>
      <c r="H299" s="14"/>
      <c r="I299" s="14"/>
      <c r="J299" s="14"/>
      <c r="K299" s="14"/>
      <c r="L299" s="336"/>
      <c r="M299" s="95" t="str">
        <f t="shared" si="6"/>
        <v xml:space="preserve">   </v>
      </c>
    </row>
    <row r="300" spans="1:13" hidden="1" x14ac:dyDescent="0.2">
      <c r="A300" s="343"/>
      <c r="B300" s="170" t="str">
        <f>Capacidades!M295</f>
        <v xml:space="preserve">   </v>
      </c>
      <c r="C300" s="171"/>
      <c r="D300" s="13"/>
      <c r="E300" s="13"/>
      <c r="F300" s="14"/>
      <c r="G300" s="14"/>
      <c r="H300" s="14"/>
      <c r="I300" s="14"/>
      <c r="J300" s="14"/>
      <c r="K300" s="14"/>
      <c r="L300" s="336"/>
      <c r="M300" s="95" t="str">
        <f t="shared" si="6"/>
        <v xml:space="preserve">   </v>
      </c>
    </row>
    <row r="301" spans="1:13" hidden="1" x14ac:dyDescent="0.2">
      <c r="A301" s="343"/>
      <c r="B301" s="170" t="str">
        <f>Capacidades!M296</f>
        <v xml:space="preserve">   </v>
      </c>
      <c r="C301" s="171"/>
      <c r="D301" s="13"/>
      <c r="E301" s="13"/>
      <c r="F301" s="14"/>
      <c r="G301" s="14"/>
      <c r="H301" s="14"/>
      <c r="I301" s="14"/>
      <c r="J301" s="14"/>
      <c r="K301" s="14"/>
      <c r="L301" s="336"/>
      <c r="M301" s="95" t="str">
        <f t="shared" si="6"/>
        <v xml:space="preserve">   </v>
      </c>
    </row>
    <row r="302" spans="1:13" hidden="1" x14ac:dyDescent="0.2">
      <c r="A302" s="343"/>
      <c r="B302" s="170" t="str">
        <f>Capacidades!M297</f>
        <v xml:space="preserve">   </v>
      </c>
      <c r="C302" s="171"/>
      <c r="D302" s="13"/>
      <c r="E302" s="13"/>
      <c r="F302" s="14"/>
      <c r="G302" s="14"/>
      <c r="H302" s="14"/>
      <c r="I302" s="14"/>
      <c r="J302" s="14"/>
      <c r="K302" s="14"/>
      <c r="L302" s="336"/>
      <c r="M302" s="95" t="str">
        <f t="shared" si="6"/>
        <v xml:space="preserve">   </v>
      </c>
    </row>
    <row r="303" spans="1:13" hidden="1" x14ac:dyDescent="0.2">
      <c r="A303" s="343"/>
      <c r="B303" s="170" t="str">
        <f>Capacidades!M298</f>
        <v xml:space="preserve">   </v>
      </c>
      <c r="C303" s="171"/>
      <c r="D303" s="13"/>
      <c r="E303" s="13"/>
      <c r="F303" s="14"/>
      <c r="G303" s="14"/>
      <c r="H303" s="14"/>
      <c r="I303" s="14"/>
      <c r="J303" s="14"/>
      <c r="K303" s="14"/>
      <c r="L303" s="336"/>
      <c r="M303" s="95" t="str">
        <f t="shared" si="6"/>
        <v xml:space="preserve">   </v>
      </c>
    </row>
    <row r="304" spans="1:13" ht="0.75" hidden="1" customHeight="1" x14ac:dyDescent="0.2">
      <c r="A304" s="344"/>
      <c r="B304" s="170" t="str">
        <f>Capacidades!M299</f>
        <v xml:space="preserve">   </v>
      </c>
      <c r="C304" s="174"/>
      <c r="D304" s="13"/>
      <c r="E304" s="13"/>
      <c r="F304" s="14"/>
      <c r="G304" s="14"/>
      <c r="H304" s="14"/>
      <c r="I304" s="14"/>
      <c r="J304" s="14"/>
      <c r="K304" s="14"/>
      <c r="L304" s="336"/>
      <c r="M304" s="95" t="str">
        <f t="shared" si="6"/>
        <v xml:space="preserve">   </v>
      </c>
    </row>
    <row r="305" spans="1:13" hidden="1" x14ac:dyDescent="0.2">
      <c r="A305" s="342" t="str">
        <f>Capacidades!L300</f>
        <v xml:space="preserve">       </v>
      </c>
      <c r="B305" s="170" t="str">
        <f>Capacidades!M300</f>
        <v xml:space="preserve">   </v>
      </c>
      <c r="C305" s="171"/>
      <c r="D305" s="11">
        <f>Organización_Modular!F39</f>
        <v>0</v>
      </c>
      <c r="E305" s="11">
        <f>Organización_Modular!G39</f>
        <v>0</v>
      </c>
      <c r="F305" s="11">
        <f>Organización_Modular!H39</f>
        <v>0</v>
      </c>
      <c r="G305" s="11">
        <f>Organización_Modular!I39</f>
        <v>0</v>
      </c>
      <c r="H305" s="12">
        <f>SUM(F305:G305)</f>
        <v>0</v>
      </c>
      <c r="I305" s="12">
        <f>F305*16</f>
        <v>0</v>
      </c>
      <c r="J305" s="12">
        <f>G305*32</f>
        <v>0</v>
      </c>
      <c r="K305" s="12">
        <f>SUM(I305:J305)</f>
        <v>0</v>
      </c>
      <c r="L305" s="335"/>
      <c r="M305" s="95" t="str">
        <f t="shared" si="6"/>
        <v xml:space="preserve">   </v>
      </c>
    </row>
    <row r="306" spans="1:13" hidden="1" x14ac:dyDescent="0.2">
      <c r="A306" s="343"/>
      <c r="B306" s="170" t="str">
        <f>Capacidades!M301</f>
        <v xml:space="preserve">   </v>
      </c>
      <c r="C306" s="171"/>
      <c r="D306" s="13"/>
      <c r="E306" s="13"/>
      <c r="F306" s="14"/>
      <c r="G306" s="14"/>
      <c r="H306" s="14"/>
      <c r="I306" s="14"/>
      <c r="J306" s="14"/>
      <c r="K306" s="14"/>
      <c r="L306" s="336"/>
      <c r="M306" s="95" t="str">
        <f t="shared" si="6"/>
        <v xml:space="preserve">   </v>
      </c>
    </row>
    <row r="307" spans="1:13" hidden="1" x14ac:dyDescent="0.2">
      <c r="A307" s="343"/>
      <c r="B307" s="170" t="str">
        <f>Capacidades!M302</f>
        <v xml:space="preserve">   </v>
      </c>
      <c r="C307" s="171"/>
      <c r="D307" s="13"/>
      <c r="E307" s="13"/>
      <c r="F307" s="14"/>
      <c r="G307" s="14"/>
      <c r="H307" s="14"/>
      <c r="I307" s="14"/>
      <c r="J307" s="14"/>
      <c r="K307" s="14"/>
      <c r="L307" s="336"/>
      <c r="M307" s="95" t="str">
        <f t="shared" si="6"/>
        <v xml:space="preserve">   </v>
      </c>
    </row>
    <row r="308" spans="1:13" hidden="1" x14ac:dyDescent="0.2">
      <c r="A308" s="343"/>
      <c r="B308" s="170" t="str">
        <f>Capacidades!M303</f>
        <v xml:space="preserve">   </v>
      </c>
      <c r="C308" s="171"/>
      <c r="D308" s="13"/>
      <c r="E308" s="13"/>
      <c r="F308" s="14"/>
      <c r="G308" s="14"/>
      <c r="H308" s="14"/>
      <c r="I308" s="14"/>
      <c r="J308" s="14"/>
      <c r="K308" s="14"/>
      <c r="L308" s="336"/>
      <c r="M308" s="95" t="str">
        <f t="shared" si="6"/>
        <v xml:space="preserve">   </v>
      </c>
    </row>
    <row r="309" spans="1:13" hidden="1" x14ac:dyDescent="0.2">
      <c r="A309" s="343"/>
      <c r="B309" s="170" t="str">
        <f>Capacidades!M304</f>
        <v xml:space="preserve">   </v>
      </c>
      <c r="C309" s="171"/>
      <c r="D309" s="13"/>
      <c r="E309" s="13"/>
      <c r="F309" s="14"/>
      <c r="G309" s="14"/>
      <c r="H309" s="14"/>
      <c r="I309" s="14"/>
      <c r="J309" s="14"/>
      <c r="K309" s="14"/>
      <c r="L309" s="336"/>
      <c r="M309" s="95" t="str">
        <f t="shared" si="6"/>
        <v xml:space="preserve">   </v>
      </c>
    </row>
    <row r="310" spans="1:13" hidden="1" x14ac:dyDescent="0.2">
      <c r="A310" s="343"/>
      <c r="B310" s="170" t="str">
        <f>Capacidades!M305</f>
        <v xml:space="preserve">   </v>
      </c>
      <c r="C310" s="171"/>
      <c r="D310" s="13"/>
      <c r="E310" s="13"/>
      <c r="F310" s="14"/>
      <c r="G310" s="14"/>
      <c r="H310" s="14"/>
      <c r="I310" s="14"/>
      <c r="J310" s="14"/>
      <c r="K310" s="14"/>
      <c r="L310" s="336"/>
      <c r="M310" s="95" t="str">
        <f t="shared" si="6"/>
        <v xml:space="preserve">   </v>
      </c>
    </row>
    <row r="311" spans="1:13" hidden="1" x14ac:dyDescent="0.2">
      <c r="A311" s="343"/>
      <c r="B311" s="170" t="str">
        <f>Capacidades!M306</f>
        <v xml:space="preserve">   </v>
      </c>
      <c r="C311" s="171"/>
      <c r="D311" s="13"/>
      <c r="E311" s="13"/>
      <c r="F311" s="14"/>
      <c r="G311" s="14"/>
      <c r="H311" s="14"/>
      <c r="I311" s="14"/>
      <c r="J311" s="14"/>
      <c r="K311" s="14"/>
      <c r="L311" s="336"/>
      <c r="M311" s="95" t="str">
        <f t="shared" si="6"/>
        <v xml:space="preserve">   </v>
      </c>
    </row>
    <row r="312" spans="1:13" hidden="1" x14ac:dyDescent="0.2">
      <c r="A312" s="343"/>
      <c r="B312" s="170" t="str">
        <f>Capacidades!M307</f>
        <v xml:space="preserve">   </v>
      </c>
      <c r="C312" s="171"/>
      <c r="D312" s="13"/>
      <c r="E312" s="13"/>
      <c r="F312" s="14"/>
      <c r="G312" s="14"/>
      <c r="H312" s="14"/>
      <c r="I312" s="14"/>
      <c r="J312" s="14"/>
      <c r="K312" s="14"/>
      <c r="L312" s="336"/>
      <c r="M312" s="95" t="str">
        <f t="shared" si="6"/>
        <v xml:space="preserve">   </v>
      </c>
    </row>
    <row r="313" spans="1:13" hidden="1" x14ac:dyDescent="0.2">
      <c r="A313" s="343"/>
      <c r="B313" s="170" t="str">
        <f>Capacidades!M308</f>
        <v xml:space="preserve">   </v>
      </c>
      <c r="C313" s="171"/>
      <c r="D313" s="13"/>
      <c r="E313" s="13"/>
      <c r="F313" s="14"/>
      <c r="G313" s="14"/>
      <c r="H313" s="14"/>
      <c r="I313" s="14"/>
      <c r="J313" s="14"/>
      <c r="K313" s="14"/>
      <c r="L313" s="336"/>
      <c r="M313" s="95" t="str">
        <f t="shared" si="6"/>
        <v xml:space="preserve">   </v>
      </c>
    </row>
    <row r="314" spans="1:13" ht="1.5" hidden="1" customHeight="1" x14ac:dyDescent="0.2">
      <c r="A314" s="344"/>
      <c r="B314" s="170" t="str">
        <f>Capacidades!M309</f>
        <v xml:space="preserve">   </v>
      </c>
      <c r="C314" s="174"/>
      <c r="D314" s="13"/>
      <c r="E314" s="13"/>
      <c r="F314" s="14"/>
      <c r="G314" s="14"/>
      <c r="H314" s="14"/>
      <c r="I314" s="14"/>
      <c r="J314" s="14"/>
      <c r="K314" s="14"/>
      <c r="L314" s="336"/>
      <c r="M314" s="95" t="str">
        <f t="shared" si="6"/>
        <v xml:space="preserve">   </v>
      </c>
    </row>
    <row r="315" spans="1:13" ht="17.25" customHeight="1" x14ac:dyDescent="0.2">
      <c r="A315" s="341" t="s">
        <v>106</v>
      </c>
      <c r="B315" s="341"/>
      <c r="C315" s="341"/>
      <c r="D315" s="341"/>
      <c r="E315" s="341"/>
      <c r="F315" s="341"/>
      <c r="G315" s="341"/>
      <c r="H315" s="341"/>
      <c r="I315" s="341"/>
      <c r="J315" s="341"/>
      <c r="K315" s="341"/>
      <c r="L315" s="341"/>
      <c r="M315" s="95" t="str">
        <f>A315</f>
        <v xml:space="preserve">COMPETENCIAS PARA LA EMPLEABILIDAD INCORPORADAS COMO CONTENIDO  TRANSVERSAL </v>
      </c>
    </row>
    <row r="316" spans="1:13" ht="18.75" customHeight="1" x14ac:dyDescent="0.2">
      <c r="A316" s="356" t="s">
        <v>360</v>
      </c>
      <c r="B316" s="357"/>
      <c r="C316" s="357"/>
      <c r="D316" s="357"/>
      <c r="E316" s="357"/>
      <c r="F316" s="357"/>
      <c r="G316" s="357"/>
      <c r="H316" s="357"/>
      <c r="I316" s="357"/>
      <c r="J316" s="357"/>
      <c r="K316" s="357"/>
      <c r="L316" s="358"/>
      <c r="M316" s="95" t="str">
        <f t="shared" ref="M316:M319" si="7">A316</f>
        <v xml:space="preserve">CE6 Liderazgo personal y profesional. - Demostrar comportamiento de liderazgo que permita coordinar y organizar eficazmente las ideas, decisiones y actividades en el desempeño laboral y social. (T) </v>
      </c>
    </row>
    <row r="317" spans="1:13" ht="21.75" customHeight="1" x14ac:dyDescent="0.2">
      <c r="A317" s="362" t="s">
        <v>361</v>
      </c>
      <c r="B317" s="362"/>
      <c r="C317" s="362"/>
      <c r="D317" s="362"/>
      <c r="E317" s="362"/>
      <c r="F317" s="362"/>
      <c r="G317" s="362"/>
      <c r="H317" s="362"/>
      <c r="I317" s="362"/>
      <c r="J317" s="362"/>
      <c r="K317" s="362"/>
      <c r="L317" s="362"/>
      <c r="M317" s="95" t="str">
        <f t="shared" si="7"/>
        <v xml:space="preserve">CE7 Cultura ambiental. - Convivir de manera ética, autónoma, responsable y sostenible, previniendo, reduciendo y controlando permanente y progresivamente los impactos ambientales. (T) </v>
      </c>
    </row>
    <row r="318" spans="1:13" ht="0.75" customHeight="1" x14ac:dyDescent="0.2">
      <c r="A318" s="362"/>
      <c r="B318" s="362"/>
      <c r="C318" s="362"/>
      <c r="D318" s="362"/>
      <c r="E318" s="362"/>
      <c r="F318" s="362"/>
      <c r="G318" s="362"/>
      <c r="H318" s="362"/>
      <c r="I318" s="362"/>
      <c r="J318" s="362"/>
      <c r="K318" s="362"/>
      <c r="L318" s="362"/>
      <c r="M318" s="95">
        <f t="shared" si="7"/>
        <v>0</v>
      </c>
    </row>
    <row r="319" spans="1:13" ht="29.25" customHeight="1" x14ac:dyDescent="0.2">
      <c r="A319" s="361" t="s">
        <v>92</v>
      </c>
      <c r="B319" s="361"/>
      <c r="C319" s="361" t="s">
        <v>167</v>
      </c>
      <c r="D319" s="361"/>
      <c r="E319" s="361"/>
      <c r="F319" s="361"/>
      <c r="G319" s="361"/>
      <c r="H319" s="361"/>
      <c r="I319" s="361"/>
      <c r="J319" s="361"/>
      <c r="K319" s="361"/>
      <c r="L319" s="361"/>
      <c r="M319" s="95" t="str">
        <f t="shared" si="7"/>
        <v>CAPACIDADES A FORTALECER</v>
      </c>
    </row>
    <row r="320" spans="1:13" ht="31.5" hidden="1" customHeight="1" x14ac:dyDescent="0.2">
      <c r="A320" s="353" t="e">
        <f ca="1">OFFSET($A$9,(ROW()-326)*10-1,0)</f>
        <v>#REF!</v>
      </c>
      <c r="B320" s="353"/>
      <c r="C320" s="365" t="s">
        <v>393</v>
      </c>
      <c r="D320" s="366"/>
      <c r="E320" s="366"/>
      <c r="F320" s="366"/>
      <c r="G320" s="366"/>
      <c r="H320" s="366"/>
      <c r="I320" s="366"/>
      <c r="J320" s="366"/>
      <c r="K320" s="366"/>
      <c r="L320" s="367"/>
      <c r="M320" s="95" t="e">
        <f t="shared" ref="M320:M351" ca="1" si="8">A320</f>
        <v>#REF!</v>
      </c>
    </row>
    <row r="321" spans="1:13" ht="0.75" customHeight="1" x14ac:dyDescent="0.2">
      <c r="A321" s="353" t="e">
        <f t="shared" ref="A321:A339" ca="1" si="9">OFFSET($A$9,(ROW()-326)*10-1,0)</f>
        <v>#REF!</v>
      </c>
      <c r="B321" s="353"/>
      <c r="C321" s="368"/>
      <c r="D321" s="369"/>
      <c r="E321" s="369"/>
      <c r="F321" s="369"/>
      <c r="G321" s="369"/>
      <c r="H321" s="369"/>
      <c r="I321" s="369"/>
      <c r="J321" s="369"/>
      <c r="K321" s="369"/>
      <c r="L321" s="370"/>
      <c r="M321" s="95" t="e">
        <f t="shared" ca="1" si="8"/>
        <v>#REF!</v>
      </c>
    </row>
    <row r="322" spans="1:13" ht="30" hidden="1" customHeight="1" x14ac:dyDescent="0.2">
      <c r="A322" s="353" t="e">
        <f t="shared" ca="1" si="9"/>
        <v>#REF!</v>
      </c>
      <c r="B322" s="353"/>
      <c r="C322" s="368"/>
      <c r="D322" s="369"/>
      <c r="E322" s="369"/>
      <c r="F322" s="369"/>
      <c r="G322" s="369"/>
      <c r="H322" s="369"/>
      <c r="I322" s="369"/>
      <c r="J322" s="369"/>
      <c r="K322" s="369"/>
      <c r="L322" s="370"/>
      <c r="M322" s="95" t="e">
        <f t="shared" ca="1" si="8"/>
        <v>#REF!</v>
      </c>
    </row>
    <row r="323" spans="1:13" ht="42" hidden="1" customHeight="1" x14ac:dyDescent="0.2">
      <c r="A323" s="353" t="e">
        <f t="shared" ca="1" si="9"/>
        <v>#REF!</v>
      </c>
      <c r="B323" s="353"/>
      <c r="C323" s="368"/>
      <c r="D323" s="369"/>
      <c r="E323" s="369"/>
      <c r="F323" s="369"/>
      <c r="G323" s="369"/>
      <c r="H323" s="369"/>
      <c r="I323" s="369"/>
      <c r="J323" s="369"/>
      <c r="K323" s="369"/>
      <c r="L323" s="370"/>
      <c r="M323" s="95" t="e">
        <f t="shared" ca="1" si="8"/>
        <v>#REF!</v>
      </c>
    </row>
    <row r="324" spans="1:13" ht="17.25" hidden="1" customHeight="1" x14ac:dyDescent="0.2">
      <c r="A324" s="353" t="e">
        <f t="shared" ca="1" si="9"/>
        <v>#REF!</v>
      </c>
      <c r="B324" s="353"/>
      <c r="C324" s="368"/>
      <c r="D324" s="369"/>
      <c r="E324" s="369"/>
      <c r="F324" s="369"/>
      <c r="G324" s="369"/>
      <c r="H324" s="369"/>
      <c r="I324" s="369"/>
      <c r="J324" s="369"/>
      <c r="K324" s="369"/>
      <c r="L324" s="370"/>
      <c r="M324" s="95" t="e">
        <f t="shared" ca="1" si="8"/>
        <v>#REF!</v>
      </c>
    </row>
    <row r="325" spans="1:13" ht="19.5" hidden="1" customHeight="1" x14ac:dyDescent="0.2">
      <c r="A325" s="353" t="e">
        <f t="shared" ca="1" si="9"/>
        <v>#REF!</v>
      </c>
      <c r="B325" s="353"/>
      <c r="C325" s="368"/>
      <c r="D325" s="369"/>
      <c r="E325" s="369"/>
      <c r="F325" s="369"/>
      <c r="G325" s="369"/>
      <c r="H325" s="369"/>
      <c r="I325" s="369"/>
      <c r="J325" s="369"/>
      <c r="K325" s="369"/>
      <c r="L325" s="370"/>
      <c r="M325" s="95" t="e">
        <f t="shared" ca="1" si="8"/>
        <v>#REF!</v>
      </c>
    </row>
    <row r="326" spans="1:13" ht="21" hidden="1" customHeight="1" x14ac:dyDescent="0.2">
      <c r="A326" s="353">
        <f t="shared" ca="1" si="9"/>
        <v>0</v>
      </c>
      <c r="B326" s="353"/>
      <c r="C326" s="368"/>
      <c r="D326" s="369"/>
      <c r="E326" s="369"/>
      <c r="F326" s="369"/>
      <c r="G326" s="369"/>
      <c r="H326" s="369"/>
      <c r="I326" s="369"/>
      <c r="J326" s="369"/>
      <c r="K326" s="369"/>
      <c r="L326" s="370"/>
      <c r="M326" s="95">
        <f t="shared" ca="1" si="8"/>
        <v>0</v>
      </c>
    </row>
    <row r="327" spans="1:13" ht="30" customHeight="1" x14ac:dyDescent="0.2">
      <c r="A327" s="353" t="str">
        <f t="shared" ca="1" si="9"/>
        <v xml:space="preserve">UC1 C1 Identificar las necesidades o requerimientos del cliente  considerando procedimientos establecidos y buenas prácticas de gestión de incidentes.    </v>
      </c>
      <c r="B327" s="353"/>
      <c r="C327" s="368"/>
      <c r="D327" s="369"/>
      <c r="E327" s="369"/>
      <c r="F327" s="369"/>
      <c r="G327" s="369"/>
      <c r="H327" s="369"/>
      <c r="I327" s="369"/>
      <c r="J327" s="369"/>
      <c r="K327" s="369"/>
      <c r="L327" s="370"/>
      <c r="M327" s="95" t="str">
        <f t="shared" ca="1" si="8"/>
        <v xml:space="preserve">UC1 C1 Identificar las necesidades o requerimientos del cliente  considerando procedimientos establecidos y buenas prácticas de gestión de incidentes.    </v>
      </c>
    </row>
    <row r="328" spans="1:13" ht="27" customHeight="1" x14ac:dyDescent="0.2">
      <c r="A328" s="353"/>
      <c r="B328" s="353"/>
      <c r="C328" s="368"/>
      <c r="D328" s="369"/>
      <c r="E328" s="369"/>
      <c r="F328" s="369"/>
      <c r="G328" s="369"/>
      <c r="H328" s="369"/>
      <c r="I328" s="369"/>
      <c r="J328" s="369"/>
      <c r="K328" s="369"/>
      <c r="L328" s="370"/>
      <c r="M328" s="95">
        <f t="shared" si="8"/>
        <v>0</v>
      </c>
    </row>
    <row r="329" spans="1:13" ht="0.75" customHeight="1" x14ac:dyDescent="0.2">
      <c r="A329" s="353">
        <f t="shared" ca="1" si="9"/>
        <v>0</v>
      </c>
      <c r="B329" s="353"/>
      <c r="C329" s="368"/>
      <c r="D329" s="369"/>
      <c r="E329" s="369"/>
      <c r="F329" s="369"/>
      <c r="G329" s="369"/>
      <c r="H329" s="369"/>
      <c r="I329" s="369"/>
      <c r="J329" s="369"/>
      <c r="K329" s="369"/>
      <c r="L329" s="370"/>
      <c r="M329" s="95">
        <f t="shared" ca="1" si="8"/>
        <v>0</v>
      </c>
    </row>
    <row r="330" spans="1:13" ht="25.5" hidden="1" customHeight="1" x14ac:dyDescent="0.2">
      <c r="A330" s="353">
        <f t="shared" ca="1" si="9"/>
        <v>0</v>
      </c>
      <c r="B330" s="353"/>
      <c r="C330" s="368"/>
      <c r="D330" s="369"/>
      <c r="E330" s="369"/>
      <c r="F330" s="369"/>
      <c r="G330" s="369"/>
      <c r="H330" s="369"/>
      <c r="I330" s="369"/>
      <c r="J330" s="369"/>
      <c r="K330" s="369"/>
      <c r="L330" s="370"/>
      <c r="M330" s="95">
        <f t="shared" ca="1" si="8"/>
        <v>0</v>
      </c>
    </row>
    <row r="331" spans="1:13" ht="25.5" hidden="1" customHeight="1" x14ac:dyDescent="0.2">
      <c r="A331" s="353">
        <f t="shared" ca="1" si="9"/>
        <v>0</v>
      </c>
      <c r="B331" s="353"/>
      <c r="C331" s="368"/>
      <c r="D331" s="369"/>
      <c r="E331" s="369"/>
      <c r="F331" s="369"/>
      <c r="G331" s="369"/>
      <c r="H331" s="369"/>
      <c r="I331" s="369"/>
      <c r="J331" s="369"/>
      <c r="K331" s="369"/>
      <c r="L331" s="370"/>
      <c r="M331" s="95">
        <f t="shared" ca="1" si="8"/>
        <v>0</v>
      </c>
    </row>
    <row r="332" spans="1:13" ht="21" hidden="1" customHeight="1" x14ac:dyDescent="0.2">
      <c r="A332" s="353">
        <f t="shared" ca="1" si="9"/>
        <v>0</v>
      </c>
      <c r="B332" s="353"/>
      <c r="C332" s="368"/>
      <c r="D332" s="369"/>
      <c r="E332" s="369"/>
      <c r="F332" s="369"/>
      <c r="G332" s="369"/>
      <c r="H332" s="369"/>
      <c r="I332" s="369"/>
      <c r="J332" s="369"/>
      <c r="K332" s="369"/>
      <c r="L332" s="370"/>
      <c r="M332" s="95">
        <f t="shared" ca="1" si="8"/>
        <v>0</v>
      </c>
    </row>
    <row r="333" spans="1:13" ht="18" hidden="1" customHeight="1" x14ac:dyDescent="0.2">
      <c r="A333" s="353">
        <f t="shared" ca="1" si="9"/>
        <v>0</v>
      </c>
      <c r="B333" s="353"/>
      <c r="C333" s="368"/>
      <c r="D333" s="369"/>
      <c r="E333" s="369"/>
      <c r="F333" s="369"/>
      <c r="G333" s="369"/>
      <c r="H333" s="369"/>
      <c r="I333" s="369"/>
      <c r="J333" s="369"/>
      <c r="K333" s="369"/>
      <c r="L333" s="370"/>
      <c r="M333" s="95">
        <f t="shared" ca="1" si="8"/>
        <v>0</v>
      </c>
    </row>
    <row r="334" spans="1:13" ht="27" hidden="1" customHeight="1" x14ac:dyDescent="0.2">
      <c r="A334" s="353">
        <f t="shared" ca="1" si="9"/>
        <v>0</v>
      </c>
      <c r="B334" s="353"/>
      <c r="C334" s="368"/>
      <c r="D334" s="369"/>
      <c r="E334" s="369"/>
      <c r="F334" s="369"/>
      <c r="G334" s="369"/>
      <c r="H334" s="369"/>
      <c r="I334" s="369"/>
      <c r="J334" s="369"/>
      <c r="K334" s="369"/>
      <c r="L334" s="370"/>
      <c r="M334" s="95">
        <f t="shared" ca="1" si="8"/>
        <v>0</v>
      </c>
    </row>
    <row r="335" spans="1:13" ht="32.25" hidden="1" customHeight="1" x14ac:dyDescent="0.2">
      <c r="A335" s="353">
        <f t="shared" ca="1" si="9"/>
        <v>0</v>
      </c>
      <c r="B335" s="353"/>
      <c r="C335" s="368"/>
      <c r="D335" s="369"/>
      <c r="E335" s="369"/>
      <c r="F335" s="369"/>
      <c r="G335" s="369"/>
      <c r="H335" s="369"/>
      <c r="I335" s="369"/>
      <c r="J335" s="369"/>
      <c r="K335" s="369"/>
      <c r="L335" s="370"/>
      <c r="M335" s="95">
        <f t="shared" ca="1" si="8"/>
        <v>0</v>
      </c>
    </row>
    <row r="336" spans="1:13" ht="32.25" hidden="1" customHeight="1" x14ac:dyDescent="0.2">
      <c r="A336" s="353">
        <f t="shared" ca="1" si="9"/>
        <v>0</v>
      </c>
      <c r="B336" s="353"/>
      <c r="C336" s="368"/>
      <c r="D336" s="369"/>
      <c r="E336" s="369"/>
      <c r="F336" s="369"/>
      <c r="G336" s="369"/>
      <c r="H336" s="369"/>
      <c r="I336" s="369"/>
      <c r="J336" s="369"/>
      <c r="K336" s="369"/>
      <c r="L336" s="370"/>
      <c r="M336" s="95">
        <f t="shared" ca="1" si="8"/>
        <v>0</v>
      </c>
    </row>
    <row r="337" spans="1:13" ht="19.5" hidden="1" customHeight="1" x14ac:dyDescent="0.2">
      <c r="A337" s="353">
        <f t="shared" ca="1" si="9"/>
        <v>0</v>
      </c>
      <c r="B337" s="353"/>
      <c r="C337" s="368"/>
      <c r="D337" s="369"/>
      <c r="E337" s="369"/>
      <c r="F337" s="369"/>
      <c r="G337" s="369"/>
      <c r="H337" s="369"/>
      <c r="I337" s="369"/>
      <c r="J337" s="369"/>
      <c r="K337" s="369"/>
      <c r="L337" s="370"/>
      <c r="M337" s="95">
        <f t="shared" ca="1" si="8"/>
        <v>0</v>
      </c>
    </row>
    <row r="338" spans="1:13" ht="19.5" hidden="1" customHeight="1" x14ac:dyDescent="0.2">
      <c r="A338" s="353">
        <f ca="1">OFFSET($A$9,(ROW()-326)*10-1,0)</f>
        <v>0</v>
      </c>
      <c r="B338" s="353"/>
      <c r="C338" s="368"/>
      <c r="D338" s="369"/>
      <c r="E338" s="369"/>
      <c r="F338" s="369"/>
      <c r="G338" s="369"/>
      <c r="H338" s="369"/>
      <c r="I338" s="369"/>
      <c r="J338" s="369"/>
      <c r="K338" s="369"/>
      <c r="L338" s="370"/>
      <c r="M338" s="95">
        <f t="shared" ca="1" si="8"/>
        <v>0</v>
      </c>
    </row>
    <row r="339" spans="1:13" ht="21" hidden="1" customHeight="1" x14ac:dyDescent="0.2">
      <c r="A339" s="353">
        <f t="shared" ca="1" si="9"/>
        <v>0</v>
      </c>
      <c r="B339" s="353"/>
      <c r="C339" s="368"/>
      <c r="D339" s="369"/>
      <c r="E339" s="369"/>
      <c r="F339" s="369"/>
      <c r="G339" s="369"/>
      <c r="H339" s="369"/>
      <c r="I339" s="369"/>
      <c r="J339" s="369"/>
      <c r="K339" s="369"/>
      <c r="L339" s="370"/>
      <c r="M339" s="95">
        <f t="shared" ca="1" si="8"/>
        <v>0</v>
      </c>
    </row>
    <row r="340" spans="1:13" ht="23.25" hidden="1" customHeight="1" x14ac:dyDescent="0.2">
      <c r="A340" s="353">
        <f ca="1">OFFSET($A$206,(ROW()-346)*10-1,0)</f>
        <v>0</v>
      </c>
      <c r="B340" s="353"/>
      <c r="C340" s="368"/>
      <c r="D340" s="369"/>
      <c r="E340" s="369"/>
      <c r="F340" s="369"/>
      <c r="G340" s="369"/>
      <c r="H340" s="369"/>
      <c r="I340" s="369"/>
      <c r="J340" s="369"/>
      <c r="K340" s="369"/>
      <c r="L340" s="370"/>
      <c r="M340" s="95">
        <f t="shared" ca="1" si="8"/>
        <v>0</v>
      </c>
    </row>
    <row r="341" spans="1:13" ht="29.25" hidden="1" customHeight="1" x14ac:dyDescent="0.2">
      <c r="A341" s="353">
        <f t="shared" ref="A341:A349" ca="1" si="10">OFFSET($A$206,(ROW()-346)*10-1,0)</f>
        <v>0</v>
      </c>
      <c r="B341" s="353"/>
      <c r="C341" s="368"/>
      <c r="D341" s="369"/>
      <c r="E341" s="369"/>
      <c r="F341" s="369"/>
      <c r="G341" s="369"/>
      <c r="H341" s="369"/>
      <c r="I341" s="369"/>
      <c r="J341" s="369"/>
      <c r="K341" s="369"/>
      <c r="L341" s="370"/>
      <c r="M341" s="95">
        <f t="shared" ca="1" si="8"/>
        <v>0</v>
      </c>
    </row>
    <row r="342" spans="1:13" ht="21" hidden="1" customHeight="1" x14ac:dyDescent="0.2">
      <c r="A342" s="353">
        <f t="shared" ca="1" si="10"/>
        <v>0</v>
      </c>
      <c r="B342" s="353"/>
      <c r="C342" s="368"/>
      <c r="D342" s="369"/>
      <c r="E342" s="369"/>
      <c r="F342" s="369"/>
      <c r="G342" s="369"/>
      <c r="H342" s="369"/>
      <c r="I342" s="369"/>
      <c r="J342" s="369"/>
      <c r="K342" s="369"/>
      <c r="L342" s="370"/>
      <c r="M342" s="95">
        <f t="shared" ca="1" si="8"/>
        <v>0</v>
      </c>
    </row>
    <row r="343" spans="1:13" ht="19.5" hidden="1" customHeight="1" x14ac:dyDescent="0.2">
      <c r="A343" s="353">
        <f t="shared" ca="1" si="10"/>
        <v>0</v>
      </c>
      <c r="B343" s="353"/>
      <c r="C343" s="368"/>
      <c r="D343" s="369"/>
      <c r="E343" s="369"/>
      <c r="F343" s="369"/>
      <c r="G343" s="369"/>
      <c r="H343" s="369"/>
      <c r="I343" s="369"/>
      <c r="J343" s="369"/>
      <c r="K343" s="369"/>
      <c r="L343" s="370"/>
      <c r="M343" s="95">
        <f t="shared" ca="1" si="8"/>
        <v>0</v>
      </c>
    </row>
    <row r="344" spans="1:13" ht="21.75" hidden="1" customHeight="1" x14ac:dyDescent="0.2">
      <c r="A344" s="353">
        <f t="shared" ca="1" si="10"/>
        <v>0</v>
      </c>
      <c r="B344" s="353"/>
      <c r="C344" s="368"/>
      <c r="D344" s="369"/>
      <c r="E344" s="369"/>
      <c r="F344" s="369"/>
      <c r="G344" s="369"/>
      <c r="H344" s="369"/>
      <c r="I344" s="369"/>
      <c r="J344" s="369"/>
      <c r="K344" s="369"/>
      <c r="L344" s="370"/>
      <c r="M344" s="95">
        <f t="shared" ca="1" si="8"/>
        <v>0</v>
      </c>
    </row>
    <row r="345" spans="1:13" ht="17.25" hidden="1" customHeight="1" x14ac:dyDescent="0.2">
      <c r="A345" s="353">
        <f t="shared" ca="1" si="10"/>
        <v>0</v>
      </c>
      <c r="B345" s="353"/>
      <c r="C345" s="368"/>
      <c r="D345" s="369"/>
      <c r="E345" s="369"/>
      <c r="F345" s="369"/>
      <c r="G345" s="369"/>
      <c r="H345" s="369"/>
      <c r="I345" s="369"/>
      <c r="J345" s="369"/>
      <c r="K345" s="369"/>
      <c r="L345" s="370"/>
      <c r="M345" s="95">
        <f t="shared" ca="1" si="8"/>
        <v>0</v>
      </c>
    </row>
    <row r="346" spans="1:13" ht="21" hidden="1" customHeight="1" x14ac:dyDescent="0.2">
      <c r="A346" s="353">
        <f t="shared" ca="1" si="10"/>
        <v>0</v>
      </c>
      <c r="B346" s="353"/>
      <c r="C346" s="368"/>
      <c r="D346" s="369"/>
      <c r="E346" s="369"/>
      <c r="F346" s="369"/>
      <c r="G346" s="369"/>
      <c r="H346" s="369"/>
      <c r="I346" s="369"/>
      <c r="J346" s="369"/>
      <c r="K346" s="369"/>
      <c r="L346" s="370"/>
      <c r="M346" s="95">
        <f t="shared" ca="1" si="8"/>
        <v>0</v>
      </c>
    </row>
    <row r="347" spans="1:13" ht="30.75" customHeight="1" x14ac:dyDescent="0.2">
      <c r="A347" s="353" t="str">
        <f t="shared" ca="1" si="10"/>
        <v xml:space="preserve">CE1 C1 Comunicar conceptos, ideas, opiniones, sentimientos y hechos  en forma oral en situaciones relacionadas a su entorno personal y profesional.    </v>
      </c>
      <c r="B347" s="353"/>
      <c r="C347" s="368"/>
      <c r="D347" s="369"/>
      <c r="E347" s="369"/>
      <c r="F347" s="369"/>
      <c r="G347" s="369"/>
      <c r="H347" s="369"/>
      <c r="I347" s="369"/>
      <c r="J347" s="369"/>
      <c r="K347" s="369"/>
      <c r="L347" s="370"/>
      <c r="M347" s="95" t="str">
        <f t="shared" ca="1" si="8"/>
        <v xml:space="preserve">CE1 C1 Comunicar conceptos, ideas, opiniones, sentimientos y hechos  en forma oral en situaciones relacionadas a su entorno personal y profesional.    </v>
      </c>
    </row>
    <row r="348" spans="1:13" ht="35.25" customHeight="1" x14ac:dyDescent="0.2">
      <c r="A348" s="353" t="str">
        <f t="shared" ca="1" si="10"/>
        <v xml:space="preserve">CE1 C2 Comunicar conceptos, ideas, opiniones, sentimientos y hechos en forma escrita en situaciones relacionadas a su entorno social, educativo y laboral.    </v>
      </c>
      <c r="B348" s="353"/>
      <c r="C348" s="368"/>
      <c r="D348" s="369"/>
      <c r="E348" s="369"/>
      <c r="F348" s="369"/>
      <c r="G348" s="369"/>
      <c r="H348" s="369"/>
      <c r="I348" s="369"/>
      <c r="J348" s="369"/>
      <c r="K348" s="369"/>
      <c r="L348" s="370"/>
      <c r="M348" s="95" t="str">
        <f t="shared" ca="1" si="8"/>
        <v xml:space="preserve">CE1 C2 Comunicar conceptos, ideas, opiniones, sentimientos y hechos en forma escrita en situaciones relacionadas a su entorno social, educativo y laboral.    </v>
      </c>
    </row>
    <row r="349" spans="1:13" ht="60" customHeight="1" x14ac:dyDescent="0.2">
      <c r="A349" s="353" t="str">
        <f t="shared" ca="1" si="10"/>
        <v xml:space="preserve">       </v>
      </c>
      <c r="B349" s="353"/>
      <c r="C349" s="371"/>
      <c r="D349" s="372"/>
      <c r="E349" s="372"/>
      <c r="F349" s="372"/>
      <c r="G349" s="372"/>
      <c r="H349" s="372"/>
      <c r="I349" s="372"/>
      <c r="J349" s="372"/>
      <c r="K349" s="372"/>
      <c r="L349" s="373"/>
      <c r="M349" s="95" t="str">
        <f t="shared" ca="1" si="8"/>
        <v xml:space="preserve">       </v>
      </c>
    </row>
    <row r="350" spans="1:13" s="57" customFormat="1" ht="15" customHeight="1" x14ac:dyDescent="0.2">
      <c r="A350" s="380" t="s">
        <v>129</v>
      </c>
      <c r="B350" s="380"/>
      <c r="C350" s="380"/>
      <c r="D350" s="380"/>
      <c r="E350" s="380"/>
      <c r="F350" s="380"/>
      <c r="G350" s="380"/>
      <c r="H350" s="380"/>
      <c r="I350" s="380"/>
      <c r="J350" s="380"/>
      <c r="K350" s="380"/>
      <c r="L350" s="380"/>
      <c r="M350" s="95" t="str">
        <f t="shared" si="8"/>
        <v>EXPERIENCIAS FORMATIVAS EN SITUACIONES REALES DE TRABAJO (EFSRT)</v>
      </c>
    </row>
    <row r="351" spans="1:13" s="57" customFormat="1" ht="28.5" customHeight="1" x14ac:dyDescent="0.2">
      <c r="A351" s="161" t="s">
        <v>171</v>
      </c>
      <c r="B351" s="161" t="s">
        <v>168</v>
      </c>
      <c r="C351" s="381" t="s">
        <v>169</v>
      </c>
      <c r="D351" s="381"/>
      <c r="E351" s="381"/>
      <c r="F351" s="381"/>
      <c r="G351" s="381"/>
      <c r="H351" s="381"/>
      <c r="I351" s="381"/>
      <c r="J351" s="381"/>
      <c r="K351" s="161" t="s">
        <v>90</v>
      </c>
      <c r="L351" s="161" t="s">
        <v>89</v>
      </c>
      <c r="M351" s="95" t="str">
        <f t="shared" si="8"/>
        <v>LUGAR PARA EL DESARROLLO DE LA EFSRT</v>
      </c>
    </row>
    <row r="352" spans="1:13" s="57" customFormat="1" ht="259.5" customHeight="1" x14ac:dyDescent="0.2">
      <c r="A352" s="197" t="s">
        <v>145</v>
      </c>
      <c r="B352" s="169" t="s">
        <v>550</v>
      </c>
      <c r="C352" s="374" t="s">
        <v>392</v>
      </c>
      <c r="D352" s="375"/>
      <c r="E352" s="375"/>
      <c r="F352" s="375"/>
      <c r="G352" s="375"/>
      <c r="H352" s="375"/>
      <c r="I352" s="375"/>
      <c r="J352" s="376"/>
      <c r="K352" s="17">
        <f>Organización_Modular!I40</f>
        <v>3</v>
      </c>
      <c r="L352" s="18">
        <f>K352*32</f>
        <v>96</v>
      </c>
      <c r="M352" s="95" t="str">
        <f>C352</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53" spans="1:13" s="57" customFormat="1" ht="132.75" customHeight="1" x14ac:dyDescent="0.2">
      <c r="A353" s="197"/>
      <c r="B353" s="169" t="s">
        <v>549</v>
      </c>
      <c r="C353" s="377" t="s">
        <v>547</v>
      </c>
      <c r="D353" s="378"/>
      <c r="E353" s="378"/>
      <c r="F353" s="378"/>
      <c r="G353" s="378"/>
      <c r="H353" s="378"/>
      <c r="I353" s="378"/>
      <c r="J353" s="379"/>
      <c r="K353" s="92"/>
      <c r="L353" s="93"/>
      <c r="M353" s="95" t="str">
        <f>C353</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54" spans="1:13" ht="29.25" customHeight="1" x14ac:dyDescent="0.2">
      <c r="A354" s="323" t="s">
        <v>170</v>
      </c>
      <c r="B354" s="324"/>
      <c r="M354" s="95" t="str">
        <f>A354</f>
        <v>(1) Colocar el nombre del espacio, área u otros, donde se desarrolla las EFSRT
(2) Realizar una breve descripción respecto al desarrollo de las EFSRT, según el lugar de realización.</v>
      </c>
    </row>
    <row r="355" spans="1:13" s="51" customFormat="1" ht="21" customHeight="1" x14ac:dyDescent="0.2">
      <c r="A355" s="138" t="s">
        <v>144</v>
      </c>
      <c r="B355" s="139" t="s">
        <v>148</v>
      </c>
      <c r="C355" s="139"/>
      <c r="D355" s="140"/>
      <c r="E355" s="140"/>
      <c r="F355" s="138"/>
      <c r="G355" s="138"/>
      <c r="H355" s="138"/>
      <c r="I355" s="138"/>
      <c r="J355" s="138"/>
      <c r="K355" s="138"/>
      <c r="L355" s="138"/>
    </row>
    <row r="356" spans="1:13" s="51" customFormat="1" ht="21.75" customHeight="1" x14ac:dyDescent="0.2">
      <c r="A356" s="138" t="s">
        <v>145</v>
      </c>
      <c r="B356" s="139" t="s">
        <v>149</v>
      </c>
      <c r="C356" s="139"/>
      <c r="D356" s="140"/>
      <c r="E356" s="140"/>
      <c r="F356" s="138"/>
      <c r="G356" s="138"/>
      <c r="H356" s="138"/>
      <c r="I356" s="138"/>
      <c r="J356" s="138"/>
      <c r="K356" s="138"/>
      <c r="L356" s="138"/>
    </row>
    <row r="357" spans="1:13" s="51" customFormat="1" ht="14.25" customHeight="1" x14ac:dyDescent="0.2">
      <c r="A357" s="138"/>
      <c r="B357" s="139" t="s">
        <v>152</v>
      </c>
      <c r="C357" s="139"/>
      <c r="D357" s="140"/>
      <c r="E357" s="140"/>
      <c r="F357" s="138"/>
      <c r="G357" s="138"/>
      <c r="H357" s="138"/>
      <c r="I357" s="138"/>
      <c r="J357" s="138"/>
      <c r="K357" s="138"/>
      <c r="L357" s="138"/>
    </row>
    <row r="358" spans="1:13" s="51" customFormat="1" ht="28.5" customHeight="1" x14ac:dyDescent="0.2">
      <c r="A358" s="138"/>
      <c r="B358" s="139" t="s">
        <v>150</v>
      </c>
      <c r="C358" s="139"/>
      <c r="D358" s="140"/>
      <c r="E358" s="140"/>
      <c r="F358" s="138"/>
      <c r="G358" s="138"/>
      <c r="H358" s="138"/>
      <c r="I358" s="138"/>
      <c r="J358" s="138"/>
      <c r="K358" s="138"/>
      <c r="L358" s="138"/>
    </row>
    <row r="359" spans="1:13" s="51" customFormat="1" ht="32.25" customHeight="1" x14ac:dyDescent="0.2">
      <c r="A359" s="138"/>
      <c r="B359" s="139" t="s">
        <v>151</v>
      </c>
      <c r="C359" s="139"/>
      <c r="D359" s="140"/>
      <c r="E359" s="140"/>
      <c r="F359" s="138"/>
      <c r="G359" s="138"/>
      <c r="H359" s="138"/>
      <c r="I359" s="138"/>
      <c r="J359" s="138"/>
      <c r="K359" s="138"/>
      <c r="L359" s="138"/>
    </row>
    <row r="360" spans="1:13" s="51" customFormat="1" ht="17.25" customHeight="1" x14ac:dyDescent="0.2">
      <c r="A360" s="134"/>
      <c r="B360" s="139" t="s">
        <v>153</v>
      </c>
      <c r="C360" s="141"/>
      <c r="D360" s="142"/>
      <c r="E360" s="142"/>
      <c r="F360" s="134"/>
      <c r="G360" s="134"/>
      <c r="H360" s="134"/>
      <c r="I360" s="134"/>
      <c r="J360" s="134"/>
      <c r="K360" s="134"/>
      <c r="L360" s="134"/>
    </row>
  </sheetData>
  <autoFilter ref="A16:M360" xr:uid="{00000000-0009-0000-0000-000004000000}">
    <filterColumn colId="5" showButton="0"/>
    <filterColumn colId="8" showButton="0"/>
  </autoFilter>
  <mergeCells count="139">
    <mergeCell ref="C352:J352"/>
    <mergeCell ref="C353:J353"/>
    <mergeCell ref="A340:B340"/>
    <mergeCell ref="A341:B341"/>
    <mergeCell ref="A329:B329"/>
    <mergeCell ref="A330:B330"/>
    <mergeCell ref="A331:B331"/>
    <mergeCell ref="A332:B332"/>
    <mergeCell ref="A350:L350"/>
    <mergeCell ref="C351:J351"/>
    <mergeCell ref="A333:B333"/>
    <mergeCell ref="A334:B334"/>
    <mergeCell ref="A335:B335"/>
    <mergeCell ref="A336:B336"/>
    <mergeCell ref="A337:B337"/>
    <mergeCell ref="M16:M17"/>
    <mergeCell ref="E16:E17"/>
    <mergeCell ref="A320:B320"/>
    <mergeCell ref="C320:L349"/>
    <mergeCell ref="A321:B321"/>
    <mergeCell ref="A322:B322"/>
    <mergeCell ref="A323:B323"/>
    <mergeCell ref="A324:B324"/>
    <mergeCell ref="A325:B325"/>
    <mergeCell ref="A18:A20"/>
    <mergeCell ref="A21:A30"/>
    <mergeCell ref="A31:A40"/>
    <mergeCell ref="A41:A50"/>
    <mergeCell ref="A51:A60"/>
    <mergeCell ref="A61:A70"/>
    <mergeCell ref="A71:A80"/>
    <mergeCell ref="A81:A90"/>
    <mergeCell ref="A91:A100"/>
    <mergeCell ref="E213:E214"/>
    <mergeCell ref="A348:B348"/>
    <mergeCell ref="A349:B349"/>
    <mergeCell ref="A339:B339"/>
    <mergeCell ref="L91:L100"/>
    <mergeCell ref="L101:L110"/>
    <mergeCell ref="L111:L120"/>
    <mergeCell ref="L121:L130"/>
    <mergeCell ref="L131:L140"/>
    <mergeCell ref="L141:L150"/>
    <mergeCell ref="L151:L160"/>
    <mergeCell ref="L161:L170"/>
    <mergeCell ref="L171:L180"/>
    <mergeCell ref="A317:L317"/>
    <mergeCell ref="A318:L318"/>
    <mergeCell ref="L265:L274"/>
    <mergeCell ref="L275:L284"/>
    <mergeCell ref="L285:L294"/>
    <mergeCell ref="L295:L304"/>
    <mergeCell ref="L305:L314"/>
    <mergeCell ref="A235:A244"/>
    <mergeCell ref="A245:A254"/>
    <mergeCell ref="A255:A264"/>
    <mergeCell ref="A265:A274"/>
    <mergeCell ref="A275:A284"/>
    <mergeCell ref="A285:A294"/>
    <mergeCell ref="A295:A304"/>
    <mergeCell ref="A305:A314"/>
    <mergeCell ref="L213:L214"/>
    <mergeCell ref="A215:A224"/>
    <mergeCell ref="A327:B327"/>
    <mergeCell ref="A338:B338"/>
    <mergeCell ref="A345:B345"/>
    <mergeCell ref="A141:A150"/>
    <mergeCell ref="L255:L264"/>
    <mergeCell ref="A171:A180"/>
    <mergeCell ref="A181:A190"/>
    <mergeCell ref="L201:L210"/>
    <mergeCell ref="A191:A200"/>
    <mergeCell ref="A201:A210"/>
    <mergeCell ref="A326:B326"/>
    <mergeCell ref="A328:B328"/>
    <mergeCell ref="L215:L234"/>
    <mergeCell ref="A111:A120"/>
    <mergeCell ref="A121:A130"/>
    <mergeCell ref="A131:A140"/>
    <mergeCell ref="A346:B346"/>
    <mergeCell ref="A347:B347"/>
    <mergeCell ref="A344:B344"/>
    <mergeCell ref="A342:B342"/>
    <mergeCell ref="A343:B343"/>
    <mergeCell ref="A211:L211"/>
    <mergeCell ref="A212:L212"/>
    <mergeCell ref="A316:L316"/>
    <mergeCell ref="L235:L244"/>
    <mergeCell ref="L245:L254"/>
    <mergeCell ref="A213:A214"/>
    <mergeCell ref="B213:B214"/>
    <mergeCell ref="C213:C214"/>
    <mergeCell ref="D213:D214"/>
    <mergeCell ref="F213:G213"/>
    <mergeCell ref="H213:H214"/>
    <mergeCell ref="I213:J213"/>
    <mergeCell ref="K213:K214"/>
    <mergeCell ref="A225:A234"/>
    <mergeCell ref="C319:L319"/>
    <mergeCell ref="A319:B319"/>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A354:B354"/>
    <mergeCell ref="I3:L3"/>
    <mergeCell ref="F3:H3"/>
    <mergeCell ref="F5:H5"/>
    <mergeCell ref="F7:H7"/>
    <mergeCell ref="F9:H9"/>
    <mergeCell ref="F11:H11"/>
    <mergeCell ref="I5:L5"/>
    <mergeCell ref="I7:L7"/>
    <mergeCell ref="I9:L9"/>
    <mergeCell ref="I11:L11"/>
    <mergeCell ref="L81:L90"/>
    <mergeCell ref="L31:L40"/>
    <mergeCell ref="L41:L50"/>
    <mergeCell ref="L51:L60"/>
    <mergeCell ref="L181:L190"/>
    <mergeCell ref="L191:L200"/>
    <mergeCell ref="A315:L315"/>
    <mergeCell ref="A151:A160"/>
    <mergeCell ref="A161:A170"/>
    <mergeCell ref="L61:L70"/>
    <mergeCell ref="L71:L80"/>
    <mergeCell ref="L18:L25"/>
    <mergeCell ref="A101:A110"/>
  </mergeCells>
  <conditionalFormatting sqref="A352">
    <cfRule type="containsBlanks" dxfId="67" priority="3">
      <formula>LEN(TRIM(C352))=0</formula>
    </cfRule>
  </conditionalFormatting>
  <conditionalFormatting sqref="B352:J352">
    <cfRule type="containsBlanks" dxfId="66" priority="2">
      <formula>LEN(TRIM(B352))=0</formula>
    </cfRule>
  </conditionalFormatting>
  <conditionalFormatting sqref="C18:C210 L18 C215:C314 L215 A316:L318 C320:L349 B353:J353 L26:L210 L235:L314">
    <cfRule type="containsBlanks" dxfId="65" priority="5">
      <formula>LEN(TRIM(A18))=0</formula>
    </cfRule>
  </conditionalFormatting>
  <conditionalFormatting sqref="A353">
    <cfRule type="containsBlanks" dxfId="64" priority="1">
      <formula>LEN(TRIM(C353))=0</formula>
    </cfRule>
  </conditionalFormatting>
  <dataValidations count="1">
    <dataValidation type="list" allowBlank="1" showInputMessage="1" showErrorMessage="1" sqref="A352:A353" xr:uid="{00000000-0002-0000-0400-000000000000}">
      <formula1>$A$355:$A$356</formula1>
    </dataValidation>
  </dataValidations>
  <pageMargins left="0.23622047244094491" right="0.19685039370078741" top="0.74803149606299213" bottom="0.74803149606299213" header="0.31496062992125984" footer="0.31496062992125984"/>
  <pageSetup paperSize="9" scale="57" orientation="landscape" r:id="rId1"/>
  <rowBreaks count="1" manualBreakCount="1">
    <brk id="25" max="16383" man="1"/>
  </rowBreaks>
  <ignoredErrors>
    <ignoredError sqref="M19:M20 M21:M351" unlockedFormula="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filterMode="1">
    <tabColor rgb="FF002060"/>
  </sheetPr>
  <dimension ref="A1:M368"/>
  <sheetViews>
    <sheetView showGridLines="0" view="pageBreakPreview" topLeftCell="A221" zoomScaleNormal="80" zoomScaleSheetLayoutView="100" workbookViewId="0">
      <selection activeCell="C29" sqref="C2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8.42578125" style="2" customWidth="1"/>
    <col min="14" max="16384" width="11.42578125" style="2"/>
  </cols>
  <sheetData>
    <row r="1" spans="1:13" s="57" customFormat="1" ht="18.75" x14ac:dyDescent="0.2">
      <c r="A1" s="345" t="str">
        <f>'M1'!A1:L1</f>
        <v>ORGANIZACIÓN DE LOS ELEMENTOS DEL MÓDULO</v>
      </c>
      <c r="B1" s="345"/>
      <c r="C1" s="345"/>
      <c r="D1" s="345"/>
      <c r="E1" s="345"/>
      <c r="F1" s="345"/>
      <c r="G1" s="345"/>
      <c r="H1" s="345"/>
      <c r="I1" s="345"/>
      <c r="J1" s="345"/>
      <c r="K1" s="345"/>
      <c r="L1" s="345"/>
    </row>
    <row r="2" spans="1:13" s="57" customFormat="1" ht="15.75" x14ac:dyDescent="0.2">
      <c r="A2" s="91"/>
      <c r="B2" s="91"/>
      <c r="C2" s="91"/>
      <c r="D2" s="91"/>
      <c r="E2" s="91"/>
      <c r="F2" s="91"/>
      <c r="G2" s="91"/>
      <c r="H2" s="91"/>
      <c r="I2" s="91"/>
      <c r="J2" s="91"/>
      <c r="K2" s="91"/>
      <c r="L2" s="91"/>
    </row>
    <row r="3" spans="1:13" ht="25.5" customHeight="1" x14ac:dyDescent="0.2">
      <c r="A3" s="19" t="s">
        <v>38</v>
      </c>
      <c r="B3" s="292" t="str">
        <f>Perfil_Egreso!B3</f>
        <v>CETPRO JUANJUI</v>
      </c>
      <c r="C3" s="292"/>
      <c r="D3" s="9"/>
      <c r="E3" s="9"/>
      <c r="F3" s="327" t="s">
        <v>186</v>
      </c>
      <c r="G3" s="327"/>
      <c r="H3" s="328"/>
      <c r="I3" s="325" t="str">
        <f>Perfil_Egreso!E3</f>
        <v>0533836</v>
      </c>
      <c r="J3" s="326"/>
      <c r="K3" s="326"/>
      <c r="L3" s="310"/>
    </row>
    <row r="4" spans="1:13" ht="15" customHeight="1" x14ac:dyDescent="0.2">
      <c r="A4" s="35"/>
      <c r="B4" s="35"/>
      <c r="C4" s="20"/>
      <c r="D4" s="20"/>
      <c r="E4" s="20"/>
      <c r="F4" s="9"/>
      <c r="G4" s="9"/>
      <c r="H4" s="9"/>
      <c r="I4" s="9"/>
      <c r="J4" s="9"/>
      <c r="K4" s="9"/>
      <c r="L4" s="9"/>
    </row>
    <row r="5" spans="1:13" ht="51.6"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42.75"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row>
    <row r="13" spans="1:13" ht="18.75" customHeight="1" x14ac:dyDescent="0.2">
      <c r="A13" s="346" t="s">
        <v>104</v>
      </c>
      <c r="B13" s="346"/>
      <c r="C13" s="346"/>
      <c r="D13" s="346"/>
      <c r="E13" s="346"/>
      <c r="F13" s="346"/>
      <c r="G13" s="346"/>
      <c r="H13" s="346"/>
      <c r="I13" s="346"/>
      <c r="J13" s="346"/>
      <c r="K13" s="346"/>
      <c r="L13" s="346"/>
    </row>
    <row r="14" spans="1:13" ht="47.25" customHeight="1" x14ac:dyDescent="0.2">
      <c r="A14" s="347" t="str">
        <f>Organización_Modular!C41</f>
        <v>UC2: Ejecuta acciones de monitoreo y otras acciones operativas programadas, de acuerdo a las buenas prácticas de aseguramiento de operaciones del CPD (Centro de Procesamiento de Datos) y salvaguarda de la información de negocio</v>
      </c>
      <c r="B14" s="347"/>
      <c r="C14" s="347"/>
      <c r="D14" s="347"/>
      <c r="E14" s="347"/>
      <c r="F14" s="347"/>
      <c r="G14" s="347"/>
      <c r="H14" s="347"/>
      <c r="I14" s="347"/>
      <c r="J14" s="347"/>
      <c r="K14" s="347"/>
      <c r="L14" s="347"/>
    </row>
    <row r="15" spans="1:13" ht="21" x14ac:dyDescent="0.2">
      <c r="A15" s="159" t="s">
        <v>103</v>
      </c>
      <c r="B15" s="348" t="str">
        <f>Organización_Modular!A41</f>
        <v xml:space="preserve">MÓDULO 2: INFRAESTRUCTURA TI </v>
      </c>
      <c r="C15" s="348"/>
      <c r="D15" s="348"/>
      <c r="E15" s="348"/>
      <c r="F15" s="348"/>
      <c r="G15" s="348"/>
      <c r="H15" s="348"/>
      <c r="I15" s="348"/>
      <c r="J15" s="348"/>
      <c r="K15" s="348"/>
      <c r="L15" s="348"/>
    </row>
    <row r="16" spans="1:13" ht="27" customHeight="1" x14ac:dyDescent="0.2">
      <c r="A16" s="349" t="s">
        <v>102</v>
      </c>
      <c r="B16" s="350" t="s">
        <v>101</v>
      </c>
      <c r="C16" s="349" t="s">
        <v>97</v>
      </c>
      <c r="D16" s="349" t="s">
        <v>0</v>
      </c>
      <c r="E16" s="349" t="s">
        <v>61</v>
      </c>
      <c r="F16" s="349" t="s">
        <v>90</v>
      </c>
      <c r="G16" s="349"/>
      <c r="H16" s="349" t="s">
        <v>90</v>
      </c>
      <c r="I16" s="349" t="s">
        <v>96</v>
      </c>
      <c r="J16" s="349"/>
      <c r="K16" s="349" t="s">
        <v>96</v>
      </c>
      <c r="L16" s="349" t="s">
        <v>100</v>
      </c>
      <c r="M16" s="363" t="s">
        <v>118</v>
      </c>
    </row>
    <row r="17" spans="1:13" ht="15.75" hidden="1" customHeight="1" x14ac:dyDescent="0.2">
      <c r="A17" s="349"/>
      <c r="B17" s="350"/>
      <c r="C17" s="349"/>
      <c r="D17" s="349"/>
      <c r="E17" s="349"/>
      <c r="F17" s="162" t="s">
        <v>94</v>
      </c>
      <c r="G17" s="162" t="s">
        <v>93</v>
      </c>
      <c r="H17" s="349"/>
      <c r="I17" s="162" t="s">
        <v>94</v>
      </c>
      <c r="J17" s="162" t="s">
        <v>93</v>
      </c>
      <c r="K17" s="349"/>
      <c r="L17" s="349"/>
      <c r="M17" s="363"/>
    </row>
    <row r="18" spans="1:13" ht="137.25" customHeight="1" x14ac:dyDescent="0.2">
      <c r="A18" s="342" t="str">
        <f>Capacidades!L311</f>
        <v xml:space="preserve">UC2 C1 Realizar  el seguimiento de la infraestructua de TI de acuerdo a las buenas prácticas y normativa vigente.    </v>
      </c>
      <c r="B18" s="170" t="str">
        <f>Capacidades!M311</f>
        <v xml:space="preserve">C1 I1 Identifica  las incidencias y/o acciones operativas durante el monitoreo  relacionadas a la infraestructura de TI. </v>
      </c>
      <c r="C18" s="171" t="s">
        <v>623</v>
      </c>
      <c r="D18" s="11" t="str">
        <f>Organización_Modular!F41</f>
        <v>Monitoreo de infraestructura de TI</v>
      </c>
      <c r="E18" s="11" t="str">
        <f>Organización_Modular!G41</f>
        <v>II</v>
      </c>
      <c r="F18" s="11">
        <f>Organización_Modular!H41</f>
        <v>2</v>
      </c>
      <c r="G18" s="11">
        <f>Organización_Modular!I41</f>
        <v>2</v>
      </c>
      <c r="H18" s="12">
        <f>SUM(F18:G18)</f>
        <v>4</v>
      </c>
      <c r="I18" s="12">
        <f>F18*16</f>
        <v>32</v>
      </c>
      <c r="J18" s="12">
        <f>G18*32</f>
        <v>64</v>
      </c>
      <c r="K18" s="12">
        <f>SUM(I18:J18)</f>
        <v>96</v>
      </c>
      <c r="L18" s="338" t="s">
        <v>631</v>
      </c>
      <c r="M18" s="95" t="str">
        <f>B18</f>
        <v xml:space="preserve">C1 I1 Identifica  las incidencias y/o acciones operativas durante el monitoreo  relacionadas a la infraestructura de TI. </v>
      </c>
    </row>
    <row r="19" spans="1:13" ht="66" customHeight="1" x14ac:dyDescent="0.2">
      <c r="A19" s="343"/>
      <c r="B19" s="170" t="str">
        <f>Capacidades!M312</f>
        <v xml:space="preserve">C1 I2 Organiza los reportes de incidencias y/o acciones durante el monitoreo  relacionadas a la infraestructura de TI. </v>
      </c>
      <c r="C19" s="171" t="s">
        <v>513</v>
      </c>
      <c r="D19" s="13"/>
      <c r="E19" s="13"/>
      <c r="F19" s="14"/>
      <c r="G19" s="14"/>
      <c r="H19" s="14"/>
      <c r="I19" s="14"/>
      <c r="J19" s="14"/>
      <c r="K19" s="14"/>
      <c r="L19" s="339"/>
      <c r="M19" s="95" t="str">
        <f t="shared" ref="M19:M84" si="0">B19</f>
        <v xml:space="preserve">C1 I2 Organiza los reportes de incidencias y/o acciones durante el monitoreo  relacionadas a la infraestructura de TI. </v>
      </c>
    </row>
    <row r="20" spans="1:13" ht="68.25" customHeight="1" x14ac:dyDescent="0.2">
      <c r="A20" s="343"/>
      <c r="B20" s="170" t="str">
        <f>Capacidades!M313</f>
        <v xml:space="preserve">C1 I3 Elabora un informe de incidencias y/o acciones de monitoreo teniendo en cuenta las estándares establecidos y las políticas de la organización </v>
      </c>
      <c r="C20" s="171" t="s">
        <v>514</v>
      </c>
      <c r="D20" s="13"/>
      <c r="E20" s="13"/>
      <c r="F20" s="14"/>
      <c r="G20" s="14"/>
      <c r="H20" s="14"/>
      <c r="I20" s="14"/>
      <c r="J20" s="14"/>
      <c r="K20" s="14"/>
      <c r="L20" s="339"/>
      <c r="M20" s="95" t="str">
        <f t="shared" si="0"/>
        <v xml:space="preserve">C1 I3 Elabora un informe de incidencias y/o acciones de monitoreo teniendo en cuenta las estándares establecidos y las políticas de la organización </v>
      </c>
    </row>
    <row r="21" spans="1:13" ht="12.75" hidden="1" customHeight="1" x14ac:dyDescent="0.2">
      <c r="A21" s="343"/>
      <c r="B21" s="170" t="str">
        <f>Capacidades!M314</f>
        <v xml:space="preserve">   </v>
      </c>
      <c r="C21" s="171"/>
      <c r="D21" s="13"/>
      <c r="E21" s="13"/>
      <c r="F21" s="14"/>
      <c r="G21" s="14"/>
      <c r="H21" s="14"/>
      <c r="I21" s="14"/>
      <c r="J21" s="14"/>
      <c r="K21" s="14"/>
      <c r="L21" s="250"/>
      <c r="M21" s="95" t="str">
        <f t="shared" si="0"/>
        <v xml:space="preserve">   </v>
      </c>
    </row>
    <row r="22" spans="1:13" ht="12.75" hidden="1" customHeight="1" x14ac:dyDescent="0.2">
      <c r="A22" s="343"/>
      <c r="B22" s="170" t="str">
        <f>Capacidades!M315</f>
        <v xml:space="preserve">   </v>
      </c>
      <c r="C22" s="171"/>
      <c r="D22" s="13"/>
      <c r="E22" s="13"/>
      <c r="F22" s="14"/>
      <c r="G22" s="14"/>
      <c r="H22" s="14"/>
      <c r="I22" s="14"/>
      <c r="J22" s="14"/>
      <c r="K22" s="14"/>
      <c r="L22" s="250"/>
      <c r="M22" s="95" t="str">
        <f t="shared" si="0"/>
        <v xml:space="preserve">   </v>
      </c>
    </row>
    <row r="23" spans="1:13" ht="12.75" hidden="1" customHeight="1" x14ac:dyDescent="0.2">
      <c r="A23" s="343"/>
      <c r="B23" s="170" t="str">
        <f>Capacidades!M316</f>
        <v xml:space="preserve">   </v>
      </c>
      <c r="C23" s="171"/>
      <c r="D23" s="13"/>
      <c r="E23" s="13"/>
      <c r="F23" s="14"/>
      <c r="G23" s="14"/>
      <c r="H23" s="14"/>
      <c r="I23" s="14"/>
      <c r="J23" s="14"/>
      <c r="K23" s="14"/>
      <c r="L23" s="250"/>
      <c r="M23" s="95" t="str">
        <f t="shared" si="0"/>
        <v xml:space="preserve">   </v>
      </c>
    </row>
    <row r="24" spans="1:13" ht="12.75" hidden="1" customHeight="1" x14ac:dyDescent="0.2">
      <c r="A24" s="343"/>
      <c r="B24" s="170" t="str">
        <f>Capacidades!M317</f>
        <v xml:space="preserve">   </v>
      </c>
      <c r="C24" s="171"/>
      <c r="D24" s="13"/>
      <c r="E24" s="13"/>
      <c r="F24" s="14"/>
      <c r="G24" s="14"/>
      <c r="H24" s="14"/>
      <c r="I24" s="14"/>
      <c r="J24" s="14"/>
      <c r="K24" s="14"/>
      <c r="L24" s="250"/>
      <c r="M24" s="95" t="str">
        <f t="shared" si="0"/>
        <v xml:space="preserve">   </v>
      </c>
    </row>
    <row r="25" spans="1:13" ht="12.75" hidden="1" customHeight="1" x14ac:dyDescent="0.2">
      <c r="A25" s="343"/>
      <c r="B25" s="170" t="str">
        <f>Capacidades!M318</f>
        <v xml:space="preserve">   </v>
      </c>
      <c r="C25" s="171"/>
      <c r="D25" s="13"/>
      <c r="E25" s="13"/>
      <c r="F25" s="14"/>
      <c r="G25" s="14"/>
      <c r="H25" s="14"/>
      <c r="I25" s="14"/>
      <c r="J25" s="14"/>
      <c r="K25" s="14"/>
      <c r="L25" s="250"/>
      <c r="M25" s="95" t="str">
        <f t="shared" si="0"/>
        <v xml:space="preserve">   </v>
      </c>
    </row>
    <row r="26" spans="1:13" ht="12.75" hidden="1" customHeight="1" x14ac:dyDescent="0.2">
      <c r="A26" s="343"/>
      <c r="B26" s="170" t="str">
        <f>Capacidades!M319</f>
        <v xml:space="preserve">   </v>
      </c>
      <c r="C26" s="171"/>
      <c r="D26" s="13"/>
      <c r="E26" s="13"/>
      <c r="F26" s="14"/>
      <c r="G26" s="14"/>
      <c r="H26" s="14"/>
      <c r="I26" s="14"/>
      <c r="J26" s="14"/>
      <c r="K26" s="14"/>
      <c r="L26" s="250"/>
      <c r="M26" s="95" t="str">
        <f t="shared" si="0"/>
        <v xml:space="preserve">   </v>
      </c>
    </row>
    <row r="27" spans="1:13" ht="3.75" customHeight="1" x14ac:dyDescent="0.2">
      <c r="A27" s="344"/>
      <c r="B27" s="170" t="str">
        <f>Capacidades!M320</f>
        <v xml:space="preserve">   </v>
      </c>
      <c r="C27" s="171"/>
      <c r="D27" s="15"/>
      <c r="E27" s="15"/>
      <c r="F27" s="16"/>
      <c r="G27" s="16"/>
      <c r="H27" s="16"/>
      <c r="I27" s="16"/>
      <c r="J27" s="16"/>
      <c r="K27" s="16"/>
      <c r="L27" s="250"/>
      <c r="M27" s="95" t="str">
        <f t="shared" si="0"/>
        <v xml:space="preserve">   </v>
      </c>
    </row>
    <row r="28" spans="1:13" ht="125.25" customHeight="1" x14ac:dyDescent="0.2">
      <c r="A28" s="342" t="str">
        <f>Capacidades!L321</f>
        <v xml:space="preserve">UC2 C2 Realizar  el mantenimiento preventivo de la infraestructura de plataformas y servicios de TI teniendo en cuenta las especificaciones técnicas y políticas del servicio.    </v>
      </c>
      <c r="B28" s="170" t="str">
        <f>Capacidades!M321</f>
        <v>C2 I1 Planifica el mantenimiento preventivo de la infraestructura de plataformas y servicios de TI teniendo en cuenta las especificaciones técnicas y políticas del servicio.</v>
      </c>
      <c r="C28" s="171" t="s">
        <v>528</v>
      </c>
      <c r="D28" s="11" t="str">
        <f>Organización_Modular!F42</f>
        <v>Mantenimiento preventivo de Tecnologías de la Información</v>
      </c>
      <c r="E28" s="11" t="str">
        <f>Organización_Modular!G42</f>
        <v>II</v>
      </c>
      <c r="F28" s="11">
        <f>Organización_Modular!H42</f>
        <v>2</v>
      </c>
      <c r="G28" s="11">
        <f>Organización_Modular!I42</f>
        <v>2</v>
      </c>
      <c r="H28" s="12">
        <f>SUM(F28:G28)</f>
        <v>4</v>
      </c>
      <c r="I28" s="12">
        <f>F28*16</f>
        <v>32</v>
      </c>
      <c r="J28" s="12">
        <f>G28*32</f>
        <v>64</v>
      </c>
      <c r="K28" s="12">
        <f>SUM(I28:J28)</f>
        <v>96</v>
      </c>
      <c r="L28" s="339" t="s">
        <v>631</v>
      </c>
      <c r="M28" s="95" t="str">
        <f t="shared" si="0"/>
        <v>C2 I1 Planifica el mantenimiento preventivo de la infraestructura de plataformas y servicios de TI teniendo en cuenta las especificaciones técnicas y políticas del servicio.</v>
      </c>
    </row>
    <row r="29" spans="1:13" ht="131.25" customHeight="1" x14ac:dyDescent="0.2">
      <c r="A29" s="343"/>
      <c r="B29" s="170" t="str">
        <f>Capacidades!M322</f>
        <v xml:space="preserve">C2 I2 Determina  el inventario, la infraestructura de TI y herramientas necesarias teniendo en  cuenta la continuidad de negocio y políticas de seguridad. </v>
      </c>
      <c r="C29" s="171" t="s">
        <v>532</v>
      </c>
      <c r="D29" s="13"/>
      <c r="E29" s="13"/>
      <c r="F29" s="13"/>
      <c r="G29" s="13"/>
      <c r="H29" s="14"/>
      <c r="I29" s="14"/>
      <c r="J29" s="14"/>
      <c r="K29" s="14"/>
      <c r="L29" s="339"/>
      <c r="M29" s="95"/>
    </row>
    <row r="30" spans="1:13" ht="96" x14ac:dyDescent="0.2">
      <c r="A30" s="343"/>
      <c r="B30" s="170" t="str">
        <f>Capacidades!M323</f>
        <v xml:space="preserve">C2 I3 Efectúa  el mantenimiento preventivo de la infraestructura  teniendo en  cuenta la continuidad de negocio y políticas de seguridad. </v>
      </c>
      <c r="C30" s="171" t="s">
        <v>529</v>
      </c>
      <c r="D30" s="13"/>
      <c r="E30" s="13"/>
      <c r="F30" s="14"/>
      <c r="G30" s="14"/>
      <c r="H30" s="14"/>
      <c r="I30" s="14"/>
      <c r="J30" s="14"/>
      <c r="K30" s="14"/>
      <c r="L30" s="339"/>
      <c r="M30" s="95" t="str">
        <f t="shared" si="0"/>
        <v xml:space="preserve">C2 I3 Efectúa  el mantenimiento preventivo de la infraestructura  teniendo en  cuenta la continuidad de negocio y políticas de seguridad. </v>
      </c>
    </row>
    <row r="31" spans="1:13" ht="36" hidden="1" customHeight="1" x14ac:dyDescent="0.2">
      <c r="A31" s="343"/>
      <c r="B31" s="170" t="str">
        <f>Capacidades!M323</f>
        <v xml:space="preserve">C2 I3 Efectúa  el mantenimiento preventivo de la infraestructura  teniendo en  cuenta la continuidad de negocio y políticas de seguridad. </v>
      </c>
      <c r="C31" s="171"/>
      <c r="D31" s="13"/>
      <c r="E31" s="13"/>
      <c r="F31" s="14"/>
      <c r="G31" s="14"/>
      <c r="H31" s="14"/>
      <c r="I31" s="14"/>
      <c r="J31" s="14"/>
      <c r="K31" s="14"/>
      <c r="L31" s="339"/>
      <c r="M31" s="95" t="str">
        <f t="shared" si="0"/>
        <v xml:space="preserve">C2 I3 Efectúa  el mantenimiento preventivo de la infraestructura  teniendo en  cuenta la continuidad de negocio y políticas de seguridad. </v>
      </c>
    </row>
    <row r="32" spans="1:13" ht="12.75" hidden="1" customHeight="1" x14ac:dyDescent="0.2">
      <c r="A32" s="343"/>
      <c r="B32" s="170" t="str">
        <f>Capacidades!M324</f>
        <v xml:space="preserve">   </v>
      </c>
      <c r="C32" s="171"/>
      <c r="D32" s="13"/>
      <c r="E32" s="13"/>
      <c r="F32" s="14"/>
      <c r="G32" s="14"/>
      <c r="H32" s="14"/>
      <c r="I32" s="14"/>
      <c r="J32" s="14"/>
      <c r="K32" s="14"/>
      <c r="L32" s="339"/>
      <c r="M32" s="95" t="str">
        <f t="shared" si="0"/>
        <v xml:space="preserve">   </v>
      </c>
    </row>
    <row r="33" spans="1:13" ht="12.75" hidden="1" customHeight="1" x14ac:dyDescent="0.2">
      <c r="A33" s="343"/>
      <c r="B33" s="170" t="str">
        <f>Capacidades!M325</f>
        <v xml:space="preserve">   </v>
      </c>
      <c r="C33" s="171"/>
      <c r="D33" s="13"/>
      <c r="E33" s="13"/>
      <c r="F33" s="14"/>
      <c r="G33" s="14"/>
      <c r="H33" s="14"/>
      <c r="I33" s="14"/>
      <c r="J33" s="14"/>
      <c r="K33" s="14"/>
      <c r="L33" s="339"/>
      <c r="M33" s="95" t="str">
        <f t="shared" si="0"/>
        <v xml:space="preserve">   </v>
      </c>
    </row>
    <row r="34" spans="1:13" ht="12.75" hidden="1" customHeight="1" x14ac:dyDescent="0.2">
      <c r="A34" s="343"/>
      <c r="B34" s="170" t="str">
        <f>Capacidades!M326</f>
        <v xml:space="preserve">   </v>
      </c>
      <c r="C34" s="171"/>
      <c r="D34" s="13"/>
      <c r="E34" s="13"/>
      <c r="F34" s="14"/>
      <c r="G34" s="14"/>
      <c r="H34" s="14"/>
      <c r="I34" s="14"/>
      <c r="J34" s="14"/>
      <c r="K34" s="14"/>
      <c r="L34" s="339"/>
      <c r="M34" s="95" t="str">
        <f t="shared" si="0"/>
        <v xml:space="preserve">   </v>
      </c>
    </row>
    <row r="35" spans="1:13" ht="12.75" hidden="1" customHeight="1" x14ac:dyDescent="0.2">
      <c r="A35" s="343"/>
      <c r="B35" s="170" t="str">
        <f>Capacidades!M327</f>
        <v xml:space="preserve">   </v>
      </c>
      <c r="C35" s="171"/>
      <c r="D35" s="13"/>
      <c r="E35" s="13"/>
      <c r="F35" s="14"/>
      <c r="G35" s="14"/>
      <c r="H35" s="14"/>
      <c r="I35" s="14"/>
      <c r="J35" s="14"/>
      <c r="K35" s="14"/>
      <c r="L35" s="339"/>
      <c r="M35" s="95" t="str">
        <f t="shared" si="0"/>
        <v xml:space="preserve">   </v>
      </c>
    </row>
    <row r="36" spans="1:13" ht="12.75" hidden="1" customHeight="1" x14ac:dyDescent="0.2">
      <c r="A36" s="343"/>
      <c r="B36" s="170" t="str">
        <f>Capacidades!M328</f>
        <v xml:space="preserve">   </v>
      </c>
      <c r="C36" s="171"/>
      <c r="D36" s="13"/>
      <c r="E36" s="13"/>
      <c r="F36" s="14"/>
      <c r="G36" s="14"/>
      <c r="H36" s="14"/>
      <c r="I36" s="14"/>
      <c r="J36" s="14"/>
      <c r="K36" s="14"/>
      <c r="L36" s="339"/>
      <c r="M36" s="95" t="str">
        <f t="shared" si="0"/>
        <v xml:space="preserve">   </v>
      </c>
    </row>
    <row r="37" spans="1:13" ht="12.75" hidden="1" customHeight="1" x14ac:dyDescent="0.2">
      <c r="A37" s="343"/>
      <c r="B37" s="170" t="str">
        <f>Capacidades!M329</f>
        <v xml:space="preserve">   </v>
      </c>
      <c r="C37" s="171"/>
      <c r="D37" s="13"/>
      <c r="E37" s="13"/>
      <c r="F37" s="14"/>
      <c r="G37" s="14"/>
      <c r="H37" s="14"/>
      <c r="I37" s="14"/>
      <c r="J37" s="14"/>
      <c r="K37" s="14"/>
      <c r="L37" s="339"/>
      <c r="M37" s="95" t="str">
        <f t="shared" si="0"/>
        <v xml:space="preserve">   </v>
      </c>
    </row>
    <row r="38" spans="1:13" ht="12.75" hidden="1" customHeight="1" x14ac:dyDescent="0.2">
      <c r="A38" s="344"/>
      <c r="B38" s="170" t="str">
        <f>Capacidades!M330</f>
        <v xml:space="preserve">   </v>
      </c>
      <c r="C38" s="171"/>
      <c r="D38" s="15"/>
      <c r="E38" s="15"/>
      <c r="F38" s="16"/>
      <c r="G38" s="16"/>
      <c r="H38" s="16"/>
      <c r="I38" s="16"/>
      <c r="J38" s="16"/>
      <c r="K38" s="16"/>
      <c r="L38" s="339"/>
      <c r="M38" s="95" t="str">
        <f t="shared" si="0"/>
        <v xml:space="preserve">   </v>
      </c>
    </row>
    <row r="39" spans="1:13" ht="72" x14ac:dyDescent="0.2">
      <c r="A39" s="342" t="str">
        <f>Capacidades!L331</f>
        <v xml:space="preserve">UC2 C3 Realizar  el mantenimiento correctivo de la infraestructura de plataformas y servicios de TI teniendo en cuenta las especificaciones técnicas y políticas del servicio.    </v>
      </c>
      <c r="B39" s="170" t="str">
        <f>Capacidades!M331</f>
        <v>C3 I1 Diagnostica las incidencias y posible averias realacionada a la infraestructura de TI teniendo en cuenta los procedimientos establecidos y las buenas práctica</v>
      </c>
      <c r="C39" s="171" t="s">
        <v>531</v>
      </c>
      <c r="D39" s="11" t="str">
        <f>Organización_Modular!F43</f>
        <v>Mantenimiento correctivo de Tecnologías de la Información</v>
      </c>
      <c r="E39" s="11" t="str">
        <f>Organización_Modular!G43</f>
        <v>II</v>
      </c>
      <c r="F39" s="11">
        <f>Organización_Modular!H43</f>
        <v>2</v>
      </c>
      <c r="G39" s="11">
        <f>Organización_Modular!I43</f>
        <v>2</v>
      </c>
      <c r="H39" s="12">
        <f>SUM(F39:G39)</f>
        <v>4</v>
      </c>
      <c r="I39" s="12">
        <f>F39*16</f>
        <v>32</v>
      </c>
      <c r="J39" s="12">
        <f>G39*32</f>
        <v>64</v>
      </c>
      <c r="K39" s="12">
        <f>SUM(I39:J39)</f>
        <v>96</v>
      </c>
      <c r="L39" s="339"/>
      <c r="M39" s="95" t="str">
        <f t="shared" si="0"/>
        <v>C3 I1 Diagnostica las incidencias y posible averias realacionada a la infraestructura de TI teniendo en cuenta los procedimientos establecidos y las buenas práctica</v>
      </c>
    </row>
    <row r="40" spans="1:13" ht="72" x14ac:dyDescent="0.2">
      <c r="A40" s="343"/>
      <c r="B40" s="170" t="str">
        <f>Capacidades!M332</f>
        <v>C3 I2 Clasifica  las incidencias y posible averias realacionada a la infraestructura de TI teniendo en cuenta los procedimientos establecidos y las buenas práctica</v>
      </c>
      <c r="C40" s="171" t="s">
        <v>530</v>
      </c>
      <c r="D40" s="13"/>
      <c r="E40" s="13"/>
      <c r="F40" s="13"/>
      <c r="G40" s="13"/>
      <c r="H40" s="14"/>
      <c r="I40" s="14"/>
      <c r="J40" s="14"/>
      <c r="K40" s="14"/>
      <c r="L40" s="339"/>
      <c r="M40" s="95"/>
    </row>
    <row r="41" spans="1:13" ht="96" x14ac:dyDescent="0.2">
      <c r="A41" s="343"/>
      <c r="B41" s="170" t="str">
        <f>Capacidades!M333</f>
        <v>C3 I3 Ejecuta el mantenimiento correctivo de la infraestructura de plataformas y servicios de TI teniendo en cuenta los procedimientos establecidos y las buenas práctica</v>
      </c>
      <c r="C41" s="171" t="s">
        <v>515</v>
      </c>
      <c r="D41" s="13"/>
      <c r="E41" s="13"/>
      <c r="F41" s="14"/>
      <c r="G41" s="14"/>
      <c r="H41" s="14"/>
      <c r="I41" s="14"/>
      <c r="J41" s="14"/>
      <c r="K41" s="14"/>
      <c r="L41" s="339"/>
      <c r="M41" s="95" t="str">
        <f t="shared" si="0"/>
        <v>C3 I3 Ejecuta el mantenimiento correctivo de la infraestructura de plataformas y servicios de TI teniendo en cuenta los procedimientos establecidos y las buenas práctica</v>
      </c>
    </row>
    <row r="42" spans="1:13" ht="12.75" hidden="1" customHeight="1" x14ac:dyDescent="0.2">
      <c r="A42" s="343"/>
      <c r="B42" s="170"/>
      <c r="C42" s="171"/>
      <c r="D42" s="13"/>
      <c r="E42" s="13"/>
      <c r="F42" s="14"/>
      <c r="G42" s="14"/>
      <c r="H42" s="14"/>
      <c r="I42" s="14"/>
      <c r="J42" s="14"/>
      <c r="K42" s="14"/>
      <c r="L42" s="339"/>
      <c r="M42" s="95">
        <f t="shared" si="0"/>
        <v>0</v>
      </c>
    </row>
    <row r="43" spans="1:13" ht="12.75" hidden="1" customHeight="1" x14ac:dyDescent="0.2">
      <c r="A43" s="343"/>
      <c r="B43" s="170" t="str">
        <f>Capacidades!M334</f>
        <v xml:space="preserve">   </v>
      </c>
      <c r="C43" s="171"/>
      <c r="D43" s="13"/>
      <c r="E43" s="13"/>
      <c r="F43" s="14"/>
      <c r="G43" s="14"/>
      <c r="H43" s="14"/>
      <c r="I43" s="14"/>
      <c r="J43" s="14"/>
      <c r="K43" s="14"/>
      <c r="L43" s="339"/>
      <c r="M43" s="95" t="str">
        <f t="shared" si="0"/>
        <v xml:space="preserve">   </v>
      </c>
    </row>
    <row r="44" spans="1:13" ht="12.75" hidden="1" customHeight="1" x14ac:dyDescent="0.2">
      <c r="A44" s="343"/>
      <c r="B44" s="170" t="str">
        <f>Capacidades!M335</f>
        <v xml:space="preserve">   </v>
      </c>
      <c r="C44" s="171"/>
      <c r="D44" s="13"/>
      <c r="E44" s="13"/>
      <c r="F44" s="14"/>
      <c r="G44" s="14"/>
      <c r="H44" s="14"/>
      <c r="I44" s="14"/>
      <c r="J44" s="14"/>
      <c r="K44" s="14"/>
      <c r="L44" s="339"/>
      <c r="M44" s="95" t="str">
        <f t="shared" si="0"/>
        <v xml:space="preserve">   </v>
      </c>
    </row>
    <row r="45" spans="1:13" ht="12.75" hidden="1" customHeight="1" x14ac:dyDescent="0.2">
      <c r="A45" s="343"/>
      <c r="B45" s="170" t="str">
        <f>Capacidades!M336</f>
        <v xml:space="preserve">   </v>
      </c>
      <c r="C45" s="171"/>
      <c r="D45" s="13"/>
      <c r="E45" s="13"/>
      <c r="F45" s="14"/>
      <c r="G45" s="14"/>
      <c r="H45" s="14"/>
      <c r="I45" s="14"/>
      <c r="J45" s="14"/>
      <c r="K45" s="14"/>
      <c r="L45" s="339"/>
      <c r="M45" s="95" t="str">
        <f t="shared" si="0"/>
        <v xml:space="preserve">   </v>
      </c>
    </row>
    <row r="46" spans="1:13" ht="12.75" hidden="1" customHeight="1" x14ac:dyDescent="0.2">
      <c r="A46" s="343"/>
      <c r="B46" s="170" t="str">
        <f>Capacidades!M337</f>
        <v xml:space="preserve">   </v>
      </c>
      <c r="C46" s="171"/>
      <c r="D46" s="13"/>
      <c r="E46" s="13"/>
      <c r="F46" s="14"/>
      <c r="G46" s="14"/>
      <c r="H46" s="14"/>
      <c r="I46" s="14"/>
      <c r="J46" s="14"/>
      <c r="K46" s="14"/>
      <c r="L46" s="339"/>
      <c r="M46" s="95" t="str">
        <f t="shared" si="0"/>
        <v xml:space="preserve">   </v>
      </c>
    </row>
    <row r="47" spans="1:13" ht="12.75" hidden="1" customHeight="1" x14ac:dyDescent="0.2">
      <c r="A47" s="343"/>
      <c r="B47" s="170" t="str">
        <f>Capacidades!M338</f>
        <v xml:space="preserve">   </v>
      </c>
      <c r="C47" s="171"/>
      <c r="D47" s="13"/>
      <c r="E47" s="13"/>
      <c r="F47" s="14"/>
      <c r="G47" s="14"/>
      <c r="H47" s="14"/>
      <c r="I47" s="14"/>
      <c r="J47" s="14"/>
      <c r="K47" s="14"/>
      <c r="L47" s="339"/>
      <c r="M47" s="95" t="str">
        <f t="shared" si="0"/>
        <v xml:space="preserve">   </v>
      </c>
    </row>
    <row r="48" spans="1:13" ht="12.75" hidden="1" customHeight="1" x14ac:dyDescent="0.2">
      <c r="A48" s="343"/>
      <c r="B48" s="170" t="str">
        <f>Capacidades!M339</f>
        <v xml:space="preserve">   </v>
      </c>
      <c r="C48" s="171"/>
      <c r="D48" s="13"/>
      <c r="E48" s="13"/>
      <c r="F48" s="14"/>
      <c r="G48" s="14"/>
      <c r="H48" s="14"/>
      <c r="I48" s="14"/>
      <c r="J48" s="14"/>
      <c r="K48" s="14"/>
      <c r="L48" s="339"/>
      <c r="M48" s="95" t="str">
        <f t="shared" si="0"/>
        <v xml:space="preserve">   </v>
      </c>
    </row>
    <row r="49" spans="1:13" ht="12.75" hidden="1" customHeight="1" x14ac:dyDescent="0.2">
      <c r="A49" s="344"/>
      <c r="B49" s="170" t="str">
        <f>Capacidades!M340</f>
        <v xml:space="preserve">   </v>
      </c>
      <c r="C49" s="171"/>
      <c r="D49" s="15"/>
      <c r="E49" s="15"/>
      <c r="F49" s="16"/>
      <c r="G49" s="16"/>
      <c r="H49" s="16"/>
      <c r="I49" s="16"/>
      <c r="J49" s="16"/>
      <c r="K49" s="16"/>
      <c r="L49" s="339"/>
      <c r="M49" s="95" t="str">
        <f t="shared" si="0"/>
        <v xml:space="preserve">   </v>
      </c>
    </row>
    <row r="50" spans="1:13" ht="48" x14ac:dyDescent="0.2">
      <c r="A50" s="342" t="str">
        <f>Capacidades!L341</f>
        <v xml:space="preserve">UC2 C4 Reportar  incidencias y/o acciones  relacionadas a la infraestructura de sistemas de información     </v>
      </c>
      <c r="B50" s="170" t="str">
        <f>Capacidades!M341</f>
        <v>C4I1 Evalua  las incidencias presentadas durante el mantenimiento  según los niveles de operación de los servicios de TI .</v>
      </c>
      <c r="C50" s="171" t="s">
        <v>633</v>
      </c>
      <c r="D50" s="11" t="str">
        <f>Organización_Modular!F44</f>
        <v>Reporte de incidencia de Tecnología de la Información</v>
      </c>
      <c r="E50" s="11" t="str">
        <f>Organización_Modular!G44</f>
        <v>II</v>
      </c>
      <c r="F50" s="11">
        <f>Organización_Modular!H44</f>
        <v>1</v>
      </c>
      <c r="G50" s="11">
        <f>Organización_Modular!I44</f>
        <v>1</v>
      </c>
      <c r="H50" s="12">
        <f>SUM(F50:G50)</f>
        <v>2</v>
      </c>
      <c r="I50" s="12">
        <f>F50*16</f>
        <v>16</v>
      </c>
      <c r="J50" s="12">
        <f>G50*32</f>
        <v>32</v>
      </c>
      <c r="K50" s="12">
        <f>SUM(I50:J50)</f>
        <v>48</v>
      </c>
      <c r="L50" s="339"/>
      <c r="M50" s="95" t="str">
        <f t="shared" si="0"/>
        <v>C4I1 Evalua  las incidencias presentadas durante el mantenimiento  según los niveles de operación de los servicios de TI .</v>
      </c>
    </row>
    <row r="51" spans="1:13" ht="48" x14ac:dyDescent="0.2">
      <c r="A51" s="343"/>
      <c r="B51" s="170" t="str">
        <f>Capacidades!M342</f>
        <v>C4I2 Elabora reportes de incidencias y/o acciones, según los niveles de operación de los servicios de TI .</v>
      </c>
      <c r="C51" s="171" t="s">
        <v>634</v>
      </c>
      <c r="D51" s="13"/>
      <c r="E51" s="13"/>
      <c r="F51" s="14"/>
      <c r="G51" s="14"/>
      <c r="H51" s="14"/>
      <c r="I51" s="14"/>
      <c r="J51" s="14"/>
      <c r="K51" s="14"/>
      <c r="L51" s="339"/>
      <c r="M51" s="95" t="str">
        <f t="shared" si="0"/>
        <v>C4I2 Elabora reportes de incidencias y/o acciones, según los niveles de operación de los servicios de TI .</v>
      </c>
    </row>
    <row r="52" spans="1:13" ht="64.5" customHeight="1" x14ac:dyDescent="0.2">
      <c r="A52" s="343"/>
      <c r="B52" s="170" t="str">
        <f>Capacidades!M343</f>
        <v>C4I3 Reporta  acciones ejecutadas y los eventos inesperados de manera programada,  de acuerdo a la continuidad de negocio.</v>
      </c>
      <c r="C52" s="171" t="s">
        <v>635</v>
      </c>
      <c r="D52" s="13"/>
      <c r="E52" s="13"/>
      <c r="F52" s="14"/>
      <c r="G52" s="14"/>
      <c r="H52" s="14"/>
      <c r="I52" s="14"/>
      <c r="J52" s="14"/>
      <c r="K52" s="14"/>
      <c r="L52" s="339"/>
      <c r="M52" s="95" t="str">
        <f t="shared" si="0"/>
        <v>C4I3 Reporta  acciones ejecutadas y los eventos inesperados de manera programada,  de acuerdo a la continuidad de negocio.</v>
      </c>
    </row>
    <row r="53" spans="1:13" ht="12.75" hidden="1" customHeight="1" x14ac:dyDescent="0.2">
      <c r="A53" s="343"/>
      <c r="B53" s="170" t="str">
        <f>Capacidades!M344</f>
        <v xml:space="preserve">   </v>
      </c>
      <c r="C53" s="171"/>
      <c r="D53" s="13"/>
      <c r="E53" s="13"/>
      <c r="F53" s="14"/>
      <c r="G53" s="14"/>
      <c r="H53" s="14"/>
      <c r="I53" s="14"/>
      <c r="J53" s="14"/>
      <c r="K53" s="14"/>
      <c r="L53" s="339"/>
      <c r="M53" s="95" t="str">
        <f t="shared" si="0"/>
        <v xml:space="preserve">   </v>
      </c>
    </row>
    <row r="54" spans="1:13" ht="12.75" hidden="1" customHeight="1" x14ac:dyDescent="0.2">
      <c r="A54" s="343"/>
      <c r="B54" s="170" t="str">
        <f>Capacidades!M345</f>
        <v xml:space="preserve">   </v>
      </c>
      <c r="C54" s="171"/>
      <c r="D54" s="13"/>
      <c r="E54" s="13"/>
      <c r="F54" s="14"/>
      <c r="G54" s="14"/>
      <c r="H54" s="14"/>
      <c r="I54" s="14"/>
      <c r="J54" s="14"/>
      <c r="K54" s="14"/>
      <c r="L54" s="339"/>
      <c r="M54" s="95" t="str">
        <f t="shared" si="0"/>
        <v xml:space="preserve">   </v>
      </c>
    </row>
    <row r="55" spans="1:13" ht="12.75" hidden="1" customHeight="1" x14ac:dyDescent="0.2">
      <c r="A55" s="343"/>
      <c r="B55" s="170" t="str">
        <f>Capacidades!M346</f>
        <v xml:space="preserve">   </v>
      </c>
      <c r="C55" s="171"/>
      <c r="D55" s="13"/>
      <c r="E55" s="13"/>
      <c r="F55" s="14"/>
      <c r="G55" s="14"/>
      <c r="H55" s="14"/>
      <c r="I55" s="14"/>
      <c r="J55" s="14"/>
      <c r="K55" s="14"/>
      <c r="L55" s="339"/>
      <c r="M55" s="95" t="str">
        <f t="shared" si="0"/>
        <v xml:space="preserve">   </v>
      </c>
    </row>
    <row r="56" spans="1:13" ht="12.75" hidden="1" customHeight="1" x14ac:dyDescent="0.2">
      <c r="A56" s="343"/>
      <c r="B56" s="170" t="str">
        <f>Capacidades!M347</f>
        <v xml:space="preserve">   </v>
      </c>
      <c r="C56" s="171"/>
      <c r="D56" s="13"/>
      <c r="E56" s="13"/>
      <c r="F56" s="14"/>
      <c r="G56" s="14"/>
      <c r="H56" s="14"/>
      <c r="I56" s="14"/>
      <c r="J56" s="14"/>
      <c r="K56" s="14"/>
      <c r="L56" s="339"/>
      <c r="M56" s="95" t="str">
        <f t="shared" si="0"/>
        <v xml:space="preserve">   </v>
      </c>
    </row>
    <row r="57" spans="1:13" ht="12.75" hidden="1" customHeight="1" x14ac:dyDescent="0.2">
      <c r="A57" s="343"/>
      <c r="B57" s="170" t="str">
        <f>Capacidades!M348</f>
        <v xml:space="preserve">   </v>
      </c>
      <c r="C57" s="171"/>
      <c r="D57" s="13"/>
      <c r="E57" s="13"/>
      <c r="F57" s="14"/>
      <c r="G57" s="14"/>
      <c r="H57" s="14"/>
      <c r="I57" s="14"/>
      <c r="J57" s="14"/>
      <c r="K57" s="14"/>
      <c r="L57" s="339"/>
      <c r="M57" s="95" t="str">
        <f t="shared" si="0"/>
        <v xml:space="preserve">   </v>
      </c>
    </row>
    <row r="58" spans="1:13" ht="12.75" hidden="1" customHeight="1" x14ac:dyDescent="0.2">
      <c r="A58" s="343"/>
      <c r="B58" s="170" t="str">
        <f>Capacidades!M349</f>
        <v xml:space="preserve">   </v>
      </c>
      <c r="C58" s="171"/>
      <c r="D58" s="13"/>
      <c r="E58" s="13"/>
      <c r="F58" s="14"/>
      <c r="G58" s="14"/>
      <c r="H58" s="14"/>
      <c r="I58" s="14"/>
      <c r="J58" s="14"/>
      <c r="K58" s="14"/>
      <c r="L58" s="339"/>
      <c r="M58" s="95" t="str">
        <f t="shared" si="0"/>
        <v xml:space="preserve">   </v>
      </c>
    </row>
    <row r="59" spans="1:13" ht="12.75" hidden="1" customHeight="1" x14ac:dyDescent="0.2">
      <c r="A59" s="344"/>
      <c r="B59" s="170" t="str">
        <f>Capacidades!M350</f>
        <v xml:space="preserve">   </v>
      </c>
      <c r="C59" s="171"/>
      <c r="D59" s="15"/>
      <c r="E59" s="15"/>
      <c r="F59" s="16"/>
      <c r="G59" s="16"/>
      <c r="H59" s="16"/>
      <c r="I59" s="16"/>
      <c r="J59" s="16"/>
      <c r="K59" s="16"/>
      <c r="L59" s="340"/>
      <c r="M59" s="95" t="str">
        <f t="shared" si="0"/>
        <v xml:space="preserve">   </v>
      </c>
    </row>
    <row r="60" spans="1:13" hidden="1" x14ac:dyDescent="0.2">
      <c r="A60" s="342" t="str">
        <f>Capacidades!L351</f>
        <v xml:space="preserve">       </v>
      </c>
      <c r="B60" s="170" t="str">
        <f>Capacidades!M351</f>
        <v xml:space="preserve">   </v>
      </c>
      <c r="C60" s="171"/>
      <c r="D60" s="11">
        <f>Organización_Modular!F45</f>
        <v>0</v>
      </c>
      <c r="E60" s="11">
        <f>Organización_Modular!G45</f>
        <v>0</v>
      </c>
      <c r="F60" s="11">
        <f>Organización_Modular!H45</f>
        <v>0</v>
      </c>
      <c r="G60" s="11">
        <f>Organización_Modular!I45</f>
        <v>0</v>
      </c>
      <c r="H60" s="12">
        <f>SUM(F60:G60)</f>
        <v>0</v>
      </c>
      <c r="I60" s="12">
        <f>F60*16</f>
        <v>0</v>
      </c>
      <c r="J60" s="12">
        <f>G60*32</f>
        <v>0</v>
      </c>
      <c r="K60" s="12">
        <f>SUM(I60:J60)</f>
        <v>0</v>
      </c>
      <c r="L60" s="335"/>
      <c r="M60" s="95" t="str">
        <f t="shared" si="0"/>
        <v xml:space="preserve">   </v>
      </c>
    </row>
    <row r="61" spans="1:13" hidden="1" x14ac:dyDescent="0.2">
      <c r="A61" s="343"/>
      <c r="B61" s="170" t="str">
        <f>Capacidades!M352</f>
        <v xml:space="preserve">   </v>
      </c>
      <c r="C61" s="171"/>
      <c r="D61" s="13"/>
      <c r="E61" s="13"/>
      <c r="F61" s="14"/>
      <c r="G61" s="14"/>
      <c r="H61" s="14"/>
      <c r="I61" s="14"/>
      <c r="J61" s="14"/>
      <c r="K61" s="14"/>
      <c r="L61" s="336"/>
      <c r="M61" s="95" t="str">
        <f t="shared" si="0"/>
        <v xml:space="preserve">   </v>
      </c>
    </row>
    <row r="62" spans="1:13" hidden="1" x14ac:dyDescent="0.2">
      <c r="A62" s="343"/>
      <c r="B62" s="170" t="str">
        <f>Capacidades!M353</f>
        <v xml:space="preserve">   </v>
      </c>
      <c r="C62" s="171"/>
      <c r="D62" s="13"/>
      <c r="E62" s="13"/>
      <c r="F62" s="14"/>
      <c r="G62" s="14"/>
      <c r="H62" s="14"/>
      <c r="I62" s="14"/>
      <c r="J62" s="14"/>
      <c r="K62" s="14"/>
      <c r="L62" s="336"/>
      <c r="M62" s="95" t="str">
        <f t="shared" si="0"/>
        <v xml:space="preserve">   </v>
      </c>
    </row>
    <row r="63" spans="1:13" hidden="1" x14ac:dyDescent="0.2">
      <c r="A63" s="343"/>
      <c r="B63" s="170" t="str">
        <f>Capacidades!M354</f>
        <v xml:space="preserve">   </v>
      </c>
      <c r="C63" s="171"/>
      <c r="D63" s="13"/>
      <c r="E63" s="13"/>
      <c r="F63" s="14"/>
      <c r="G63" s="14"/>
      <c r="H63" s="14"/>
      <c r="I63" s="14"/>
      <c r="J63" s="14"/>
      <c r="K63" s="14"/>
      <c r="L63" s="336"/>
      <c r="M63" s="95" t="str">
        <f t="shared" si="0"/>
        <v xml:space="preserve">   </v>
      </c>
    </row>
    <row r="64" spans="1:13" hidden="1" x14ac:dyDescent="0.2">
      <c r="A64" s="343"/>
      <c r="B64" s="170" t="str">
        <f>Capacidades!M355</f>
        <v xml:space="preserve">   </v>
      </c>
      <c r="C64" s="171"/>
      <c r="D64" s="13"/>
      <c r="E64" s="13"/>
      <c r="F64" s="14"/>
      <c r="G64" s="14"/>
      <c r="H64" s="14"/>
      <c r="I64" s="14"/>
      <c r="J64" s="14"/>
      <c r="K64" s="14"/>
      <c r="L64" s="336"/>
      <c r="M64" s="95" t="str">
        <f t="shared" si="0"/>
        <v xml:space="preserve">   </v>
      </c>
    </row>
    <row r="65" spans="1:13" hidden="1" x14ac:dyDescent="0.2">
      <c r="A65" s="343"/>
      <c r="B65" s="170" t="str">
        <f>Capacidades!M356</f>
        <v xml:space="preserve">   </v>
      </c>
      <c r="C65" s="171"/>
      <c r="D65" s="13"/>
      <c r="E65" s="13"/>
      <c r="F65" s="14"/>
      <c r="G65" s="14"/>
      <c r="H65" s="14"/>
      <c r="I65" s="14"/>
      <c r="J65" s="14"/>
      <c r="K65" s="14"/>
      <c r="L65" s="336"/>
      <c r="M65" s="95" t="str">
        <f t="shared" si="0"/>
        <v xml:space="preserve">   </v>
      </c>
    </row>
    <row r="66" spans="1:13" hidden="1" x14ac:dyDescent="0.2">
      <c r="A66" s="343"/>
      <c r="B66" s="170" t="str">
        <f>Capacidades!M357</f>
        <v xml:space="preserve">   </v>
      </c>
      <c r="C66" s="171"/>
      <c r="D66" s="13"/>
      <c r="E66" s="13"/>
      <c r="F66" s="14"/>
      <c r="G66" s="14"/>
      <c r="H66" s="14"/>
      <c r="I66" s="14"/>
      <c r="J66" s="14"/>
      <c r="K66" s="14"/>
      <c r="L66" s="336"/>
      <c r="M66" s="95" t="str">
        <f t="shared" si="0"/>
        <v xml:space="preserve">   </v>
      </c>
    </row>
    <row r="67" spans="1:13" hidden="1" x14ac:dyDescent="0.2">
      <c r="A67" s="343"/>
      <c r="B67" s="170" t="str">
        <f>Capacidades!M358</f>
        <v xml:space="preserve">   </v>
      </c>
      <c r="C67" s="171"/>
      <c r="D67" s="13"/>
      <c r="E67" s="13"/>
      <c r="F67" s="14"/>
      <c r="G67" s="14"/>
      <c r="H67" s="14"/>
      <c r="I67" s="14"/>
      <c r="J67" s="14"/>
      <c r="K67" s="14"/>
      <c r="L67" s="336"/>
      <c r="M67" s="95" t="str">
        <f t="shared" si="0"/>
        <v xml:space="preserve">   </v>
      </c>
    </row>
    <row r="68" spans="1:13" hidden="1" x14ac:dyDescent="0.2">
      <c r="A68" s="343"/>
      <c r="B68" s="170" t="str">
        <f>Capacidades!M359</f>
        <v xml:space="preserve">   </v>
      </c>
      <c r="C68" s="171"/>
      <c r="D68" s="13"/>
      <c r="E68" s="13"/>
      <c r="F68" s="14"/>
      <c r="G68" s="14"/>
      <c r="H68" s="14"/>
      <c r="I68" s="14"/>
      <c r="J68" s="14"/>
      <c r="K68" s="14"/>
      <c r="L68" s="336"/>
      <c r="M68" s="95" t="str">
        <f t="shared" si="0"/>
        <v xml:space="preserve">   </v>
      </c>
    </row>
    <row r="69" spans="1:13" hidden="1" x14ac:dyDescent="0.2">
      <c r="A69" s="344"/>
      <c r="B69" s="170" t="str">
        <f>Capacidades!M360</f>
        <v xml:space="preserve">   </v>
      </c>
      <c r="C69" s="171"/>
      <c r="D69" s="15"/>
      <c r="E69" s="15"/>
      <c r="F69" s="16"/>
      <c r="G69" s="16"/>
      <c r="H69" s="16"/>
      <c r="I69" s="16"/>
      <c r="J69" s="16"/>
      <c r="K69" s="16"/>
      <c r="L69" s="337"/>
      <c r="M69" s="95" t="str">
        <f t="shared" si="0"/>
        <v xml:space="preserve">   </v>
      </c>
    </row>
    <row r="70" spans="1:13" hidden="1" x14ac:dyDescent="0.2">
      <c r="A70" s="342" t="str">
        <f>Capacidades!L361</f>
        <v xml:space="preserve">       </v>
      </c>
      <c r="B70" s="170" t="str">
        <f>Capacidades!M361</f>
        <v xml:space="preserve">   </v>
      </c>
      <c r="C70" s="171"/>
      <c r="D70" s="11">
        <f>Organización_Modular!F46</f>
        <v>0</v>
      </c>
      <c r="E70" s="11">
        <f>Organización_Modular!G46</f>
        <v>0</v>
      </c>
      <c r="F70" s="11">
        <f>Organización_Modular!H46</f>
        <v>0</v>
      </c>
      <c r="G70" s="11">
        <f>Organización_Modular!I46</f>
        <v>0</v>
      </c>
      <c r="H70" s="12">
        <f>SUM(F70:G70)</f>
        <v>0</v>
      </c>
      <c r="I70" s="12">
        <f>F70*16</f>
        <v>0</v>
      </c>
      <c r="J70" s="12">
        <f>G70*32</f>
        <v>0</v>
      </c>
      <c r="K70" s="12">
        <f>SUM(I70:J70)</f>
        <v>0</v>
      </c>
      <c r="L70" s="335"/>
      <c r="M70" s="95" t="str">
        <f t="shared" si="0"/>
        <v xml:space="preserve">   </v>
      </c>
    </row>
    <row r="71" spans="1:13" hidden="1" x14ac:dyDescent="0.2">
      <c r="A71" s="343"/>
      <c r="B71" s="170" t="str">
        <f>Capacidades!M362</f>
        <v xml:space="preserve">   </v>
      </c>
      <c r="C71" s="171"/>
      <c r="D71" s="13"/>
      <c r="E71" s="13"/>
      <c r="F71" s="14"/>
      <c r="G71" s="14"/>
      <c r="H71" s="14"/>
      <c r="I71" s="14"/>
      <c r="J71" s="14"/>
      <c r="K71" s="14"/>
      <c r="L71" s="336"/>
      <c r="M71" s="95" t="str">
        <f t="shared" si="0"/>
        <v xml:space="preserve">   </v>
      </c>
    </row>
    <row r="72" spans="1:13" hidden="1" x14ac:dyDescent="0.2">
      <c r="A72" s="343"/>
      <c r="B72" s="170" t="str">
        <f>Capacidades!M363</f>
        <v xml:space="preserve">   </v>
      </c>
      <c r="C72" s="171"/>
      <c r="D72" s="13"/>
      <c r="E72" s="13"/>
      <c r="F72" s="14"/>
      <c r="G72" s="14"/>
      <c r="H72" s="14"/>
      <c r="I72" s="14"/>
      <c r="J72" s="14"/>
      <c r="K72" s="14"/>
      <c r="L72" s="336"/>
      <c r="M72" s="95" t="str">
        <f t="shared" si="0"/>
        <v xml:space="preserve">   </v>
      </c>
    </row>
    <row r="73" spans="1:13" hidden="1" x14ac:dyDescent="0.2">
      <c r="A73" s="343"/>
      <c r="B73" s="170" t="str">
        <f>Capacidades!M364</f>
        <v xml:space="preserve">   </v>
      </c>
      <c r="C73" s="171"/>
      <c r="D73" s="13"/>
      <c r="E73" s="13"/>
      <c r="F73" s="14"/>
      <c r="G73" s="14"/>
      <c r="H73" s="14"/>
      <c r="I73" s="14"/>
      <c r="J73" s="14"/>
      <c r="K73" s="14"/>
      <c r="L73" s="336"/>
      <c r="M73" s="95" t="str">
        <f t="shared" si="0"/>
        <v xml:space="preserve">   </v>
      </c>
    </row>
    <row r="74" spans="1:13" hidden="1" x14ac:dyDescent="0.2">
      <c r="A74" s="343"/>
      <c r="B74" s="170" t="str">
        <f>Capacidades!M365</f>
        <v xml:space="preserve">   </v>
      </c>
      <c r="C74" s="171"/>
      <c r="D74" s="13"/>
      <c r="E74" s="13"/>
      <c r="F74" s="14"/>
      <c r="G74" s="14"/>
      <c r="H74" s="14"/>
      <c r="I74" s="14"/>
      <c r="J74" s="14"/>
      <c r="K74" s="14"/>
      <c r="L74" s="336"/>
      <c r="M74" s="95" t="str">
        <f t="shared" si="0"/>
        <v xml:space="preserve">   </v>
      </c>
    </row>
    <row r="75" spans="1:13" hidden="1" x14ac:dyDescent="0.2">
      <c r="A75" s="343"/>
      <c r="B75" s="170" t="str">
        <f>Capacidades!M366</f>
        <v xml:space="preserve">   </v>
      </c>
      <c r="C75" s="171"/>
      <c r="D75" s="13"/>
      <c r="E75" s="13"/>
      <c r="F75" s="14"/>
      <c r="G75" s="14"/>
      <c r="H75" s="14"/>
      <c r="I75" s="14"/>
      <c r="J75" s="14"/>
      <c r="K75" s="14"/>
      <c r="L75" s="336"/>
      <c r="M75" s="95" t="str">
        <f t="shared" si="0"/>
        <v xml:space="preserve">   </v>
      </c>
    </row>
    <row r="76" spans="1:13" hidden="1" x14ac:dyDescent="0.2">
      <c r="A76" s="343"/>
      <c r="B76" s="170" t="str">
        <f>Capacidades!M367</f>
        <v xml:space="preserve">   </v>
      </c>
      <c r="C76" s="171"/>
      <c r="D76" s="13"/>
      <c r="E76" s="13"/>
      <c r="F76" s="14"/>
      <c r="G76" s="14"/>
      <c r="H76" s="14"/>
      <c r="I76" s="14"/>
      <c r="J76" s="14"/>
      <c r="K76" s="14"/>
      <c r="L76" s="336"/>
      <c r="M76" s="95" t="str">
        <f t="shared" si="0"/>
        <v xml:space="preserve">   </v>
      </c>
    </row>
    <row r="77" spans="1:13" hidden="1" x14ac:dyDescent="0.2">
      <c r="A77" s="343"/>
      <c r="B77" s="170" t="str">
        <f>Capacidades!M368</f>
        <v xml:space="preserve">   </v>
      </c>
      <c r="C77" s="171"/>
      <c r="D77" s="13"/>
      <c r="E77" s="13"/>
      <c r="F77" s="14"/>
      <c r="G77" s="14"/>
      <c r="H77" s="14"/>
      <c r="I77" s="14"/>
      <c r="J77" s="14"/>
      <c r="K77" s="14"/>
      <c r="L77" s="336"/>
      <c r="M77" s="95" t="str">
        <f t="shared" si="0"/>
        <v xml:space="preserve">   </v>
      </c>
    </row>
    <row r="78" spans="1:13" hidden="1" x14ac:dyDescent="0.2">
      <c r="A78" s="343"/>
      <c r="B78" s="170" t="str">
        <f>Capacidades!M369</f>
        <v xml:space="preserve">   </v>
      </c>
      <c r="C78" s="171"/>
      <c r="D78" s="13"/>
      <c r="E78" s="13"/>
      <c r="F78" s="14"/>
      <c r="G78" s="14"/>
      <c r="H78" s="14"/>
      <c r="I78" s="14"/>
      <c r="J78" s="14"/>
      <c r="K78" s="14"/>
      <c r="L78" s="336"/>
      <c r="M78" s="95" t="str">
        <f t="shared" si="0"/>
        <v xml:space="preserve">   </v>
      </c>
    </row>
    <row r="79" spans="1:13" hidden="1" x14ac:dyDescent="0.2">
      <c r="A79" s="344"/>
      <c r="B79" s="170" t="str">
        <f>Capacidades!M370</f>
        <v xml:space="preserve">   </v>
      </c>
      <c r="C79" s="171"/>
      <c r="D79" s="15"/>
      <c r="E79" s="15"/>
      <c r="F79" s="16"/>
      <c r="G79" s="16"/>
      <c r="H79" s="16"/>
      <c r="I79" s="16"/>
      <c r="J79" s="16"/>
      <c r="K79" s="16"/>
      <c r="L79" s="337"/>
      <c r="M79" s="95" t="str">
        <f t="shared" si="0"/>
        <v xml:space="preserve">   </v>
      </c>
    </row>
    <row r="80" spans="1:13" hidden="1" x14ac:dyDescent="0.2">
      <c r="A80" s="342" t="str">
        <f>Capacidades!L371</f>
        <v xml:space="preserve">       </v>
      </c>
      <c r="B80" s="170" t="str">
        <f>Capacidades!M371</f>
        <v xml:space="preserve">   </v>
      </c>
      <c r="C80" s="171"/>
      <c r="D80" s="11">
        <f>Organización_Modular!F47</f>
        <v>0</v>
      </c>
      <c r="E80" s="11">
        <f>Organización_Modular!G47</f>
        <v>0</v>
      </c>
      <c r="F80" s="11">
        <f>Organización_Modular!H47</f>
        <v>0</v>
      </c>
      <c r="G80" s="11">
        <f>Organización_Modular!I47</f>
        <v>0</v>
      </c>
      <c r="H80" s="12">
        <f>SUM(F80:G80)</f>
        <v>0</v>
      </c>
      <c r="I80" s="12">
        <f>F80*16</f>
        <v>0</v>
      </c>
      <c r="J80" s="12">
        <f>G80*32</f>
        <v>0</v>
      </c>
      <c r="K80" s="12">
        <f>SUM(I80:J80)</f>
        <v>0</v>
      </c>
      <c r="L80" s="335"/>
      <c r="M80" s="95" t="str">
        <f t="shared" si="0"/>
        <v xml:space="preserve">   </v>
      </c>
    </row>
    <row r="81" spans="1:13" hidden="1" x14ac:dyDescent="0.2">
      <c r="A81" s="343"/>
      <c r="B81" s="170" t="str">
        <f>Capacidades!M372</f>
        <v xml:space="preserve">   </v>
      </c>
      <c r="C81" s="171"/>
      <c r="D81" s="13"/>
      <c r="E81" s="13"/>
      <c r="F81" s="14"/>
      <c r="G81" s="14"/>
      <c r="H81" s="14"/>
      <c r="I81" s="14"/>
      <c r="J81" s="14"/>
      <c r="K81" s="14"/>
      <c r="L81" s="336"/>
      <c r="M81" s="95" t="str">
        <f t="shared" si="0"/>
        <v xml:space="preserve">   </v>
      </c>
    </row>
    <row r="82" spans="1:13" hidden="1" x14ac:dyDescent="0.2">
      <c r="A82" s="343"/>
      <c r="B82" s="170" t="str">
        <f>Capacidades!M373</f>
        <v xml:space="preserve">   </v>
      </c>
      <c r="C82" s="171"/>
      <c r="D82" s="13"/>
      <c r="E82" s="13"/>
      <c r="F82" s="14"/>
      <c r="G82" s="14"/>
      <c r="H82" s="14"/>
      <c r="I82" s="14"/>
      <c r="J82" s="14"/>
      <c r="K82" s="14"/>
      <c r="L82" s="336"/>
      <c r="M82" s="95" t="str">
        <f t="shared" si="0"/>
        <v xml:space="preserve">   </v>
      </c>
    </row>
    <row r="83" spans="1:13" hidden="1" x14ac:dyDescent="0.2">
      <c r="A83" s="343"/>
      <c r="B83" s="170" t="str">
        <f>Capacidades!M374</f>
        <v xml:space="preserve">   </v>
      </c>
      <c r="C83" s="171"/>
      <c r="D83" s="13"/>
      <c r="E83" s="13"/>
      <c r="F83" s="14"/>
      <c r="G83" s="14"/>
      <c r="H83" s="14"/>
      <c r="I83" s="14"/>
      <c r="J83" s="14"/>
      <c r="K83" s="14"/>
      <c r="L83" s="336"/>
      <c r="M83" s="95" t="str">
        <f t="shared" si="0"/>
        <v xml:space="preserve">   </v>
      </c>
    </row>
    <row r="84" spans="1:13" hidden="1" x14ac:dyDescent="0.2">
      <c r="A84" s="343"/>
      <c r="B84" s="170" t="str">
        <f>Capacidades!M375</f>
        <v xml:space="preserve">   </v>
      </c>
      <c r="C84" s="171"/>
      <c r="D84" s="13"/>
      <c r="E84" s="13"/>
      <c r="F84" s="14"/>
      <c r="G84" s="14"/>
      <c r="H84" s="14"/>
      <c r="I84" s="14"/>
      <c r="J84" s="14"/>
      <c r="K84" s="14"/>
      <c r="L84" s="336"/>
      <c r="M84" s="95" t="str">
        <f t="shared" si="0"/>
        <v xml:space="preserve">   </v>
      </c>
    </row>
    <row r="85" spans="1:13" hidden="1" x14ac:dyDescent="0.2">
      <c r="A85" s="343"/>
      <c r="B85" s="170" t="str">
        <f>Capacidades!M376</f>
        <v xml:space="preserve">   </v>
      </c>
      <c r="C85" s="171"/>
      <c r="D85" s="13"/>
      <c r="E85" s="13"/>
      <c r="F85" s="14"/>
      <c r="G85" s="14"/>
      <c r="H85" s="14"/>
      <c r="I85" s="14"/>
      <c r="J85" s="14"/>
      <c r="K85" s="14"/>
      <c r="L85" s="336"/>
      <c r="M85" s="95" t="str">
        <f t="shared" ref="M85:M148" si="1">B85</f>
        <v xml:space="preserve">   </v>
      </c>
    </row>
    <row r="86" spans="1:13" hidden="1" x14ac:dyDescent="0.2">
      <c r="A86" s="343"/>
      <c r="B86" s="170" t="str">
        <f>Capacidades!M377</f>
        <v xml:space="preserve">   </v>
      </c>
      <c r="C86" s="171"/>
      <c r="D86" s="13"/>
      <c r="E86" s="13"/>
      <c r="F86" s="14"/>
      <c r="G86" s="14"/>
      <c r="H86" s="14"/>
      <c r="I86" s="14"/>
      <c r="J86" s="14"/>
      <c r="K86" s="14"/>
      <c r="L86" s="336"/>
      <c r="M86" s="95" t="str">
        <f t="shared" si="1"/>
        <v xml:space="preserve">   </v>
      </c>
    </row>
    <row r="87" spans="1:13" hidden="1" x14ac:dyDescent="0.2">
      <c r="A87" s="343"/>
      <c r="B87" s="170" t="str">
        <f>Capacidades!M378</f>
        <v xml:space="preserve">   </v>
      </c>
      <c r="C87" s="171"/>
      <c r="D87" s="13"/>
      <c r="E87" s="13"/>
      <c r="F87" s="14"/>
      <c r="G87" s="14"/>
      <c r="H87" s="14"/>
      <c r="I87" s="14"/>
      <c r="J87" s="14"/>
      <c r="K87" s="14"/>
      <c r="L87" s="336"/>
      <c r="M87" s="95" t="str">
        <f t="shared" si="1"/>
        <v xml:space="preserve">   </v>
      </c>
    </row>
    <row r="88" spans="1:13" hidden="1" x14ac:dyDescent="0.2">
      <c r="A88" s="343"/>
      <c r="B88" s="170" t="str">
        <f>Capacidades!M379</f>
        <v xml:space="preserve">   </v>
      </c>
      <c r="C88" s="171"/>
      <c r="D88" s="13"/>
      <c r="E88" s="13"/>
      <c r="F88" s="14"/>
      <c r="G88" s="14"/>
      <c r="H88" s="14"/>
      <c r="I88" s="14"/>
      <c r="J88" s="14"/>
      <c r="K88" s="14"/>
      <c r="L88" s="336"/>
      <c r="M88" s="95" t="str">
        <f t="shared" si="1"/>
        <v xml:space="preserve">   </v>
      </c>
    </row>
    <row r="89" spans="1:13" hidden="1" x14ac:dyDescent="0.2">
      <c r="A89" s="344"/>
      <c r="B89" s="170" t="str">
        <f>Capacidades!M380</f>
        <v xml:space="preserve">   </v>
      </c>
      <c r="C89" s="171"/>
      <c r="D89" s="15"/>
      <c r="E89" s="15"/>
      <c r="F89" s="16"/>
      <c r="G89" s="16"/>
      <c r="H89" s="16"/>
      <c r="I89" s="16"/>
      <c r="J89" s="16"/>
      <c r="K89" s="16"/>
      <c r="L89" s="337"/>
      <c r="M89" s="95" t="str">
        <f t="shared" si="1"/>
        <v xml:space="preserve">   </v>
      </c>
    </row>
    <row r="90" spans="1:13" hidden="1" x14ac:dyDescent="0.2">
      <c r="A90" s="342" t="str">
        <f>Capacidades!L381</f>
        <v xml:space="preserve">       </v>
      </c>
      <c r="B90" s="170" t="str">
        <f>Capacidades!M381</f>
        <v xml:space="preserve">   </v>
      </c>
      <c r="C90" s="171"/>
      <c r="D90" s="11">
        <f>Organización_Modular!F48</f>
        <v>0</v>
      </c>
      <c r="E90" s="11">
        <f>Organización_Modular!G48</f>
        <v>0</v>
      </c>
      <c r="F90" s="11">
        <f>Organización_Modular!H48</f>
        <v>0</v>
      </c>
      <c r="G90" s="11">
        <f>Organización_Modular!I48</f>
        <v>0</v>
      </c>
      <c r="H90" s="12">
        <f>SUM(F90:G90)</f>
        <v>0</v>
      </c>
      <c r="I90" s="12">
        <f>F90*16</f>
        <v>0</v>
      </c>
      <c r="J90" s="12">
        <f>G90*32</f>
        <v>0</v>
      </c>
      <c r="K90" s="12">
        <f>SUM(I90:J90)</f>
        <v>0</v>
      </c>
      <c r="L90" s="335"/>
      <c r="M90" s="95" t="str">
        <f t="shared" si="1"/>
        <v xml:space="preserve">   </v>
      </c>
    </row>
    <row r="91" spans="1:13" hidden="1" x14ac:dyDescent="0.2">
      <c r="A91" s="343"/>
      <c r="B91" s="170" t="str">
        <f>Capacidades!M382</f>
        <v xml:space="preserve">   </v>
      </c>
      <c r="C91" s="171"/>
      <c r="D91" s="13"/>
      <c r="E91" s="13"/>
      <c r="F91" s="14"/>
      <c r="G91" s="14"/>
      <c r="H91" s="14"/>
      <c r="I91" s="14"/>
      <c r="J91" s="14"/>
      <c r="K91" s="14"/>
      <c r="L91" s="336"/>
      <c r="M91" s="95" t="str">
        <f t="shared" si="1"/>
        <v xml:space="preserve">   </v>
      </c>
    </row>
    <row r="92" spans="1:13" hidden="1" x14ac:dyDescent="0.2">
      <c r="A92" s="343"/>
      <c r="B92" s="170" t="str">
        <f>Capacidades!M383</f>
        <v xml:space="preserve">   </v>
      </c>
      <c r="C92" s="171"/>
      <c r="D92" s="13"/>
      <c r="E92" s="13"/>
      <c r="F92" s="14"/>
      <c r="G92" s="14"/>
      <c r="H92" s="14"/>
      <c r="I92" s="14"/>
      <c r="J92" s="14"/>
      <c r="K92" s="14"/>
      <c r="L92" s="336"/>
      <c r="M92" s="95" t="str">
        <f t="shared" si="1"/>
        <v xml:space="preserve">   </v>
      </c>
    </row>
    <row r="93" spans="1:13" hidden="1" x14ac:dyDescent="0.2">
      <c r="A93" s="343"/>
      <c r="B93" s="170" t="str">
        <f>Capacidades!M384</f>
        <v xml:space="preserve">   </v>
      </c>
      <c r="C93" s="171"/>
      <c r="D93" s="13"/>
      <c r="E93" s="13"/>
      <c r="F93" s="14"/>
      <c r="G93" s="14"/>
      <c r="H93" s="14"/>
      <c r="I93" s="14"/>
      <c r="J93" s="14"/>
      <c r="K93" s="14"/>
      <c r="L93" s="336"/>
      <c r="M93" s="95" t="str">
        <f t="shared" si="1"/>
        <v xml:space="preserve">   </v>
      </c>
    </row>
    <row r="94" spans="1:13" hidden="1" x14ac:dyDescent="0.2">
      <c r="A94" s="343"/>
      <c r="B94" s="170" t="str">
        <f>Capacidades!M385</f>
        <v xml:space="preserve">   </v>
      </c>
      <c r="C94" s="171"/>
      <c r="D94" s="13"/>
      <c r="E94" s="13"/>
      <c r="F94" s="14"/>
      <c r="G94" s="14"/>
      <c r="H94" s="14"/>
      <c r="I94" s="14"/>
      <c r="J94" s="14"/>
      <c r="K94" s="14"/>
      <c r="L94" s="336"/>
      <c r="M94" s="95" t="str">
        <f t="shared" si="1"/>
        <v xml:space="preserve">   </v>
      </c>
    </row>
    <row r="95" spans="1:13" hidden="1" x14ac:dyDescent="0.2">
      <c r="A95" s="343"/>
      <c r="B95" s="170" t="str">
        <f>Capacidades!M386</f>
        <v xml:space="preserve">   </v>
      </c>
      <c r="C95" s="171"/>
      <c r="D95" s="13"/>
      <c r="E95" s="13"/>
      <c r="F95" s="14"/>
      <c r="G95" s="14"/>
      <c r="H95" s="14"/>
      <c r="I95" s="14"/>
      <c r="J95" s="14"/>
      <c r="K95" s="14"/>
      <c r="L95" s="336"/>
      <c r="M95" s="95" t="str">
        <f t="shared" si="1"/>
        <v xml:space="preserve">   </v>
      </c>
    </row>
    <row r="96" spans="1:13" hidden="1" x14ac:dyDescent="0.2">
      <c r="A96" s="343"/>
      <c r="B96" s="170" t="str">
        <f>Capacidades!M387</f>
        <v xml:space="preserve">   </v>
      </c>
      <c r="C96" s="171"/>
      <c r="D96" s="13"/>
      <c r="E96" s="13"/>
      <c r="F96" s="14"/>
      <c r="G96" s="14"/>
      <c r="H96" s="14"/>
      <c r="I96" s="14"/>
      <c r="J96" s="14"/>
      <c r="K96" s="14"/>
      <c r="L96" s="336"/>
      <c r="M96" s="95" t="str">
        <f t="shared" si="1"/>
        <v xml:space="preserve">   </v>
      </c>
    </row>
    <row r="97" spans="1:13" hidden="1" x14ac:dyDescent="0.2">
      <c r="A97" s="343"/>
      <c r="B97" s="170" t="str">
        <f>Capacidades!M388</f>
        <v xml:space="preserve">   </v>
      </c>
      <c r="C97" s="171"/>
      <c r="D97" s="13"/>
      <c r="E97" s="13"/>
      <c r="F97" s="14"/>
      <c r="G97" s="14"/>
      <c r="H97" s="14"/>
      <c r="I97" s="14"/>
      <c r="J97" s="14"/>
      <c r="K97" s="14"/>
      <c r="L97" s="336"/>
      <c r="M97" s="95" t="str">
        <f t="shared" si="1"/>
        <v xml:space="preserve">   </v>
      </c>
    </row>
    <row r="98" spans="1:13" hidden="1" x14ac:dyDescent="0.2">
      <c r="A98" s="343"/>
      <c r="B98" s="170" t="str">
        <f>Capacidades!M389</f>
        <v xml:space="preserve">   </v>
      </c>
      <c r="C98" s="171"/>
      <c r="D98" s="13"/>
      <c r="E98" s="13"/>
      <c r="F98" s="14"/>
      <c r="G98" s="14"/>
      <c r="H98" s="14"/>
      <c r="I98" s="14"/>
      <c r="J98" s="14"/>
      <c r="K98" s="14"/>
      <c r="L98" s="336"/>
      <c r="M98" s="95" t="str">
        <f t="shared" si="1"/>
        <v xml:space="preserve">   </v>
      </c>
    </row>
    <row r="99" spans="1:13" hidden="1" x14ac:dyDescent="0.2">
      <c r="A99" s="344"/>
      <c r="B99" s="170" t="str">
        <f>Capacidades!M390</f>
        <v xml:space="preserve">   </v>
      </c>
      <c r="C99" s="171"/>
      <c r="D99" s="15"/>
      <c r="E99" s="15"/>
      <c r="F99" s="16"/>
      <c r="G99" s="16"/>
      <c r="H99" s="16"/>
      <c r="I99" s="16"/>
      <c r="J99" s="16"/>
      <c r="K99" s="16"/>
      <c r="L99" s="337"/>
      <c r="M99" s="95" t="str">
        <f t="shared" si="1"/>
        <v xml:space="preserve">   </v>
      </c>
    </row>
    <row r="100" spans="1:13" hidden="1" x14ac:dyDescent="0.2">
      <c r="A100" s="342" t="str">
        <f>Capacidades!L391</f>
        <v xml:space="preserve">       </v>
      </c>
      <c r="B100" s="170" t="str">
        <f>Capacidades!M391</f>
        <v xml:space="preserve">   </v>
      </c>
      <c r="C100" s="171"/>
      <c r="D100" s="11">
        <f>Organización_Modular!F49</f>
        <v>0</v>
      </c>
      <c r="E100" s="11">
        <f>Organización_Modular!G49</f>
        <v>0</v>
      </c>
      <c r="F100" s="11">
        <f>Organización_Modular!H49</f>
        <v>0</v>
      </c>
      <c r="G100" s="11">
        <f>Organización_Modular!I49</f>
        <v>0</v>
      </c>
      <c r="H100" s="12">
        <f>SUM(F100:G100)</f>
        <v>0</v>
      </c>
      <c r="I100" s="12">
        <f>F100*16</f>
        <v>0</v>
      </c>
      <c r="J100" s="12">
        <f>G100*32</f>
        <v>0</v>
      </c>
      <c r="K100" s="12">
        <f>SUM(I100:J100)</f>
        <v>0</v>
      </c>
      <c r="L100" s="335"/>
      <c r="M100" s="95" t="str">
        <f t="shared" si="1"/>
        <v xml:space="preserve">   </v>
      </c>
    </row>
    <row r="101" spans="1:13" hidden="1" x14ac:dyDescent="0.2">
      <c r="A101" s="343"/>
      <c r="B101" s="170" t="str">
        <f>Capacidades!M392</f>
        <v xml:space="preserve">   </v>
      </c>
      <c r="C101" s="171"/>
      <c r="D101" s="13"/>
      <c r="E101" s="13"/>
      <c r="F101" s="14"/>
      <c r="G101" s="14"/>
      <c r="H101" s="14"/>
      <c r="I101" s="14"/>
      <c r="J101" s="14"/>
      <c r="K101" s="14"/>
      <c r="L101" s="336"/>
      <c r="M101" s="95" t="str">
        <f t="shared" si="1"/>
        <v xml:space="preserve">   </v>
      </c>
    </row>
    <row r="102" spans="1:13" hidden="1" x14ac:dyDescent="0.2">
      <c r="A102" s="343"/>
      <c r="B102" s="170" t="str">
        <f>Capacidades!M393</f>
        <v xml:space="preserve">   </v>
      </c>
      <c r="C102" s="171"/>
      <c r="D102" s="13"/>
      <c r="E102" s="13"/>
      <c r="F102" s="14"/>
      <c r="G102" s="14"/>
      <c r="H102" s="14"/>
      <c r="I102" s="14"/>
      <c r="J102" s="14"/>
      <c r="K102" s="14"/>
      <c r="L102" s="336"/>
      <c r="M102" s="95" t="str">
        <f t="shared" si="1"/>
        <v xml:space="preserve">   </v>
      </c>
    </row>
    <row r="103" spans="1:13" hidden="1" x14ac:dyDescent="0.2">
      <c r="A103" s="343"/>
      <c r="B103" s="170" t="str">
        <f>Capacidades!M394</f>
        <v xml:space="preserve">   </v>
      </c>
      <c r="C103" s="171"/>
      <c r="D103" s="13"/>
      <c r="E103" s="13"/>
      <c r="F103" s="14"/>
      <c r="G103" s="14"/>
      <c r="H103" s="14"/>
      <c r="I103" s="14"/>
      <c r="J103" s="14"/>
      <c r="K103" s="14"/>
      <c r="L103" s="336"/>
      <c r="M103" s="95" t="str">
        <f t="shared" si="1"/>
        <v xml:space="preserve">   </v>
      </c>
    </row>
    <row r="104" spans="1:13" hidden="1" x14ac:dyDescent="0.2">
      <c r="A104" s="343"/>
      <c r="B104" s="170" t="str">
        <f>Capacidades!M395</f>
        <v xml:space="preserve">   </v>
      </c>
      <c r="C104" s="171"/>
      <c r="D104" s="13"/>
      <c r="E104" s="13"/>
      <c r="F104" s="14"/>
      <c r="G104" s="14"/>
      <c r="H104" s="14"/>
      <c r="I104" s="14"/>
      <c r="J104" s="14"/>
      <c r="K104" s="14"/>
      <c r="L104" s="336"/>
      <c r="M104" s="95" t="str">
        <f t="shared" si="1"/>
        <v xml:space="preserve">   </v>
      </c>
    </row>
    <row r="105" spans="1:13" hidden="1" x14ac:dyDescent="0.2">
      <c r="A105" s="343"/>
      <c r="B105" s="170" t="str">
        <f>Capacidades!M396</f>
        <v xml:space="preserve">   </v>
      </c>
      <c r="C105" s="171"/>
      <c r="D105" s="13"/>
      <c r="E105" s="13"/>
      <c r="F105" s="14"/>
      <c r="G105" s="14"/>
      <c r="H105" s="14"/>
      <c r="I105" s="14"/>
      <c r="J105" s="14"/>
      <c r="K105" s="14"/>
      <c r="L105" s="336"/>
      <c r="M105" s="95" t="str">
        <f t="shared" si="1"/>
        <v xml:space="preserve">   </v>
      </c>
    </row>
    <row r="106" spans="1:13" hidden="1" x14ac:dyDescent="0.2">
      <c r="A106" s="343"/>
      <c r="B106" s="170" t="str">
        <f>Capacidades!M397</f>
        <v xml:space="preserve">   </v>
      </c>
      <c r="C106" s="171"/>
      <c r="D106" s="13"/>
      <c r="E106" s="13"/>
      <c r="F106" s="14"/>
      <c r="G106" s="14"/>
      <c r="H106" s="14"/>
      <c r="I106" s="14"/>
      <c r="J106" s="14"/>
      <c r="K106" s="14"/>
      <c r="L106" s="336"/>
      <c r="M106" s="95" t="str">
        <f t="shared" si="1"/>
        <v xml:space="preserve">   </v>
      </c>
    </row>
    <row r="107" spans="1:13" hidden="1" x14ac:dyDescent="0.2">
      <c r="A107" s="343"/>
      <c r="B107" s="170" t="str">
        <f>Capacidades!M398</f>
        <v xml:space="preserve">   </v>
      </c>
      <c r="C107" s="171"/>
      <c r="D107" s="13"/>
      <c r="E107" s="13"/>
      <c r="F107" s="14"/>
      <c r="G107" s="14"/>
      <c r="H107" s="14"/>
      <c r="I107" s="14"/>
      <c r="J107" s="14"/>
      <c r="K107" s="14"/>
      <c r="L107" s="336"/>
      <c r="M107" s="95" t="str">
        <f t="shared" si="1"/>
        <v xml:space="preserve">   </v>
      </c>
    </row>
    <row r="108" spans="1:13" hidden="1" x14ac:dyDescent="0.2">
      <c r="A108" s="343"/>
      <c r="B108" s="170" t="str">
        <f>Capacidades!M399</f>
        <v xml:space="preserve">   </v>
      </c>
      <c r="C108" s="171"/>
      <c r="D108" s="13"/>
      <c r="E108" s="13"/>
      <c r="F108" s="14"/>
      <c r="G108" s="14"/>
      <c r="H108" s="14"/>
      <c r="I108" s="14"/>
      <c r="J108" s="14"/>
      <c r="K108" s="14"/>
      <c r="L108" s="336"/>
      <c r="M108" s="95" t="str">
        <f t="shared" si="1"/>
        <v xml:space="preserve">   </v>
      </c>
    </row>
    <row r="109" spans="1:13" hidden="1" x14ac:dyDescent="0.2">
      <c r="A109" s="344"/>
      <c r="B109" s="170" t="str">
        <f>Capacidades!M400</f>
        <v xml:space="preserve">   </v>
      </c>
      <c r="C109" s="171"/>
      <c r="D109" s="15"/>
      <c r="E109" s="15"/>
      <c r="F109" s="16"/>
      <c r="G109" s="16"/>
      <c r="H109" s="16"/>
      <c r="I109" s="16"/>
      <c r="J109" s="16"/>
      <c r="K109" s="16"/>
      <c r="L109" s="337"/>
      <c r="M109" s="95" t="str">
        <f t="shared" si="1"/>
        <v xml:space="preserve">   </v>
      </c>
    </row>
    <row r="110" spans="1:13" hidden="1" x14ac:dyDescent="0.2">
      <c r="A110" s="342" t="str">
        <f>Capacidades!L401</f>
        <v xml:space="preserve">       </v>
      </c>
      <c r="B110" s="170" t="str">
        <f>Capacidades!M401</f>
        <v xml:space="preserve">   </v>
      </c>
      <c r="C110" s="171"/>
      <c r="D110" s="11">
        <f>Organización_Modular!F50</f>
        <v>0</v>
      </c>
      <c r="E110" s="11">
        <f>Organización_Modular!G50</f>
        <v>0</v>
      </c>
      <c r="F110" s="11">
        <f>Organización_Modular!H50</f>
        <v>0</v>
      </c>
      <c r="G110" s="11">
        <f>Organización_Modular!I50</f>
        <v>0</v>
      </c>
      <c r="H110" s="12">
        <f>SUM(F110:G110)</f>
        <v>0</v>
      </c>
      <c r="I110" s="12">
        <f>F110*16</f>
        <v>0</v>
      </c>
      <c r="J110" s="12">
        <f>G110*32</f>
        <v>0</v>
      </c>
      <c r="K110" s="12">
        <f>SUM(I110:J110)</f>
        <v>0</v>
      </c>
      <c r="L110" s="335"/>
      <c r="M110" s="95" t="str">
        <f t="shared" si="1"/>
        <v xml:space="preserve">   </v>
      </c>
    </row>
    <row r="111" spans="1:13" hidden="1" x14ac:dyDescent="0.2">
      <c r="A111" s="343"/>
      <c r="B111" s="170" t="str">
        <f>Capacidades!M402</f>
        <v xml:space="preserve">   </v>
      </c>
      <c r="C111" s="171"/>
      <c r="D111" s="13"/>
      <c r="E111" s="13"/>
      <c r="F111" s="14"/>
      <c r="G111" s="14"/>
      <c r="H111" s="14"/>
      <c r="I111" s="14"/>
      <c r="J111" s="14"/>
      <c r="K111" s="14"/>
      <c r="L111" s="336"/>
      <c r="M111" s="95" t="str">
        <f t="shared" si="1"/>
        <v xml:space="preserve">   </v>
      </c>
    </row>
    <row r="112" spans="1:13" hidden="1" x14ac:dyDescent="0.2">
      <c r="A112" s="343"/>
      <c r="B112" s="170" t="str">
        <f>Capacidades!M403</f>
        <v xml:space="preserve">   </v>
      </c>
      <c r="C112" s="171"/>
      <c r="D112" s="13"/>
      <c r="E112" s="13"/>
      <c r="F112" s="14"/>
      <c r="G112" s="14"/>
      <c r="H112" s="14"/>
      <c r="I112" s="14"/>
      <c r="J112" s="14"/>
      <c r="K112" s="14"/>
      <c r="L112" s="336"/>
      <c r="M112" s="95" t="str">
        <f t="shared" si="1"/>
        <v xml:space="preserve">   </v>
      </c>
    </row>
    <row r="113" spans="1:13" hidden="1" x14ac:dyDescent="0.2">
      <c r="A113" s="343"/>
      <c r="B113" s="170" t="str">
        <f>Capacidades!M404</f>
        <v xml:space="preserve">   </v>
      </c>
      <c r="C113" s="171"/>
      <c r="D113" s="13"/>
      <c r="E113" s="13"/>
      <c r="F113" s="14"/>
      <c r="G113" s="14"/>
      <c r="H113" s="14"/>
      <c r="I113" s="14"/>
      <c r="J113" s="14"/>
      <c r="K113" s="14"/>
      <c r="L113" s="336"/>
      <c r="M113" s="95" t="str">
        <f t="shared" si="1"/>
        <v xml:space="preserve">   </v>
      </c>
    </row>
    <row r="114" spans="1:13" hidden="1" x14ac:dyDescent="0.2">
      <c r="A114" s="343"/>
      <c r="B114" s="170" t="str">
        <f>Capacidades!M405</f>
        <v xml:space="preserve">   </v>
      </c>
      <c r="C114" s="171"/>
      <c r="D114" s="13"/>
      <c r="E114" s="13"/>
      <c r="F114" s="14"/>
      <c r="G114" s="14"/>
      <c r="H114" s="14"/>
      <c r="I114" s="14"/>
      <c r="J114" s="14"/>
      <c r="K114" s="14"/>
      <c r="L114" s="336"/>
      <c r="M114" s="95" t="str">
        <f t="shared" si="1"/>
        <v xml:space="preserve">   </v>
      </c>
    </row>
    <row r="115" spans="1:13" hidden="1" x14ac:dyDescent="0.2">
      <c r="A115" s="343"/>
      <c r="B115" s="170" t="str">
        <f>Capacidades!M406</f>
        <v xml:space="preserve">   </v>
      </c>
      <c r="C115" s="171"/>
      <c r="D115" s="13"/>
      <c r="E115" s="13"/>
      <c r="F115" s="14"/>
      <c r="G115" s="14"/>
      <c r="H115" s="14"/>
      <c r="I115" s="14"/>
      <c r="J115" s="14"/>
      <c r="K115" s="14"/>
      <c r="L115" s="336"/>
      <c r="M115" s="95" t="str">
        <f t="shared" si="1"/>
        <v xml:space="preserve">   </v>
      </c>
    </row>
    <row r="116" spans="1:13" hidden="1" x14ac:dyDescent="0.2">
      <c r="A116" s="343"/>
      <c r="B116" s="170" t="str">
        <f>Capacidades!M407</f>
        <v xml:space="preserve">   </v>
      </c>
      <c r="C116" s="171"/>
      <c r="D116" s="13"/>
      <c r="E116" s="13"/>
      <c r="F116" s="14"/>
      <c r="G116" s="14"/>
      <c r="H116" s="14"/>
      <c r="I116" s="14"/>
      <c r="J116" s="14"/>
      <c r="K116" s="14"/>
      <c r="L116" s="336"/>
      <c r="M116" s="95" t="str">
        <f t="shared" si="1"/>
        <v xml:space="preserve">   </v>
      </c>
    </row>
    <row r="117" spans="1:13" hidden="1" x14ac:dyDescent="0.2">
      <c r="A117" s="343"/>
      <c r="B117" s="170" t="str">
        <f>Capacidades!M408</f>
        <v xml:space="preserve">   </v>
      </c>
      <c r="C117" s="171"/>
      <c r="D117" s="13"/>
      <c r="E117" s="13"/>
      <c r="F117" s="14"/>
      <c r="G117" s="14"/>
      <c r="H117" s="14"/>
      <c r="I117" s="14"/>
      <c r="J117" s="14"/>
      <c r="K117" s="14"/>
      <c r="L117" s="336"/>
      <c r="M117" s="95" t="str">
        <f t="shared" si="1"/>
        <v xml:space="preserve">   </v>
      </c>
    </row>
    <row r="118" spans="1:13" hidden="1" x14ac:dyDescent="0.2">
      <c r="A118" s="343"/>
      <c r="B118" s="170" t="str">
        <f>Capacidades!M409</f>
        <v xml:space="preserve">   </v>
      </c>
      <c r="C118" s="171"/>
      <c r="D118" s="13"/>
      <c r="E118" s="13"/>
      <c r="F118" s="14"/>
      <c r="G118" s="14"/>
      <c r="H118" s="14"/>
      <c r="I118" s="14"/>
      <c r="J118" s="14"/>
      <c r="K118" s="14"/>
      <c r="L118" s="336"/>
      <c r="M118" s="95" t="str">
        <f t="shared" si="1"/>
        <v xml:space="preserve">   </v>
      </c>
    </row>
    <row r="119" spans="1:13" hidden="1" x14ac:dyDescent="0.2">
      <c r="A119" s="344"/>
      <c r="B119" s="170" t="str">
        <f>Capacidades!M410</f>
        <v xml:space="preserve">   </v>
      </c>
      <c r="C119" s="171"/>
      <c r="D119" s="15"/>
      <c r="E119" s="15"/>
      <c r="F119" s="16"/>
      <c r="G119" s="16"/>
      <c r="H119" s="16"/>
      <c r="I119" s="16"/>
      <c r="J119" s="16"/>
      <c r="K119" s="16"/>
      <c r="L119" s="337"/>
      <c r="M119" s="95" t="str">
        <f t="shared" si="1"/>
        <v xml:space="preserve">   </v>
      </c>
    </row>
    <row r="120" spans="1:13" hidden="1" x14ac:dyDescent="0.2">
      <c r="A120" s="342" t="str">
        <f>Capacidades!L411</f>
        <v xml:space="preserve">       </v>
      </c>
      <c r="B120" s="170" t="str">
        <f>Capacidades!M411</f>
        <v xml:space="preserve">   </v>
      </c>
      <c r="C120" s="171"/>
      <c r="D120" s="11">
        <f>Organización_Modular!F51</f>
        <v>0</v>
      </c>
      <c r="E120" s="11">
        <f>Organización_Modular!G51</f>
        <v>0</v>
      </c>
      <c r="F120" s="11">
        <f>Organización_Modular!H51</f>
        <v>0</v>
      </c>
      <c r="G120" s="11">
        <f>Organización_Modular!I51</f>
        <v>0</v>
      </c>
      <c r="H120" s="12">
        <f>SUM(F120:G120)</f>
        <v>0</v>
      </c>
      <c r="I120" s="12">
        <f>F120*16</f>
        <v>0</v>
      </c>
      <c r="J120" s="12">
        <f>G120*32</f>
        <v>0</v>
      </c>
      <c r="K120" s="12">
        <f>SUM(I120:J120)</f>
        <v>0</v>
      </c>
      <c r="L120" s="335"/>
      <c r="M120" s="95" t="str">
        <f t="shared" si="1"/>
        <v xml:space="preserve">   </v>
      </c>
    </row>
    <row r="121" spans="1:13" hidden="1" x14ac:dyDescent="0.2">
      <c r="A121" s="343"/>
      <c r="B121" s="170" t="str">
        <f>Capacidades!M412</f>
        <v xml:space="preserve">   </v>
      </c>
      <c r="C121" s="171"/>
      <c r="D121" s="13"/>
      <c r="E121" s="13"/>
      <c r="F121" s="14"/>
      <c r="G121" s="14"/>
      <c r="H121" s="14"/>
      <c r="I121" s="14"/>
      <c r="J121" s="14"/>
      <c r="K121" s="14"/>
      <c r="L121" s="336"/>
      <c r="M121" s="95" t="str">
        <f t="shared" si="1"/>
        <v xml:space="preserve">   </v>
      </c>
    </row>
    <row r="122" spans="1:13" hidden="1" x14ac:dyDescent="0.2">
      <c r="A122" s="343"/>
      <c r="B122" s="170" t="str">
        <f>Capacidades!M413</f>
        <v xml:space="preserve">   </v>
      </c>
      <c r="C122" s="171"/>
      <c r="D122" s="13"/>
      <c r="E122" s="13"/>
      <c r="F122" s="14"/>
      <c r="G122" s="14"/>
      <c r="H122" s="14"/>
      <c r="I122" s="14"/>
      <c r="J122" s="14"/>
      <c r="K122" s="14"/>
      <c r="L122" s="336"/>
      <c r="M122" s="95" t="str">
        <f t="shared" si="1"/>
        <v xml:space="preserve">   </v>
      </c>
    </row>
    <row r="123" spans="1:13" hidden="1" x14ac:dyDescent="0.2">
      <c r="A123" s="343"/>
      <c r="B123" s="170" t="str">
        <f>Capacidades!M414</f>
        <v xml:space="preserve">   </v>
      </c>
      <c r="C123" s="171"/>
      <c r="D123" s="13"/>
      <c r="E123" s="13"/>
      <c r="F123" s="14"/>
      <c r="G123" s="14"/>
      <c r="H123" s="14"/>
      <c r="I123" s="14"/>
      <c r="J123" s="14"/>
      <c r="K123" s="14"/>
      <c r="L123" s="336"/>
      <c r="M123" s="95" t="str">
        <f t="shared" si="1"/>
        <v xml:space="preserve">   </v>
      </c>
    </row>
    <row r="124" spans="1:13" hidden="1" x14ac:dyDescent="0.2">
      <c r="A124" s="343"/>
      <c r="B124" s="170" t="str">
        <f>Capacidades!M415</f>
        <v xml:space="preserve">   </v>
      </c>
      <c r="C124" s="171"/>
      <c r="D124" s="13"/>
      <c r="E124" s="13"/>
      <c r="F124" s="14"/>
      <c r="G124" s="14"/>
      <c r="H124" s="14"/>
      <c r="I124" s="14"/>
      <c r="J124" s="14"/>
      <c r="K124" s="14"/>
      <c r="L124" s="336"/>
      <c r="M124" s="95" t="str">
        <f t="shared" si="1"/>
        <v xml:space="preserve">   </v>
      </c>
    </row>
    <row r="125" spans="1:13" hidden="1" x14ac:dyDescent="0.2">
      <c r="A125" s="343"/>
      <c r="B125" s="170" t="str">
        <f>Capacidades!M416</f>
        <v xml:space="preserve">   </v>
      </c>
      <c r="C125" s="171"/>
      <c r="D125" s="13"/>
      <c r="E125" s="13"/>
      <c r="F125" s="14"/>
      <c r="G125" s="14"/>
      <c r="H125" s="14"/>
      <c r="I125" s="14"/>
      <c r="J125" s="14"/>
      <c r="K125" s="14"/>
      <c r="L125" s="336"/>
      <c r="M125" s="95" t="str">
        <f t="shared" si="1"/>
        <v xml:space="preserve">   </v>
      </c>
    </row>
    <row r="126" spans="1:13" hidden="1" x14ac:dyDescent="0.2">
      <c r="A126" s="343"/>
      <c r="B126" s="170" t="str">
        <f>Capacidades!M417</f>
        <v xml:space="preserve">   </v>
      </c>
      <c r="C126" s="171"/>
      <c r="D126" s="13"/>
      <c r="E126" s="13"/>
      <c r="F126" s="14"/>
      <c r="G126" s="14"/>
      <c r="H126" s="14"/>
      <c r="I126" s="14"/>
      <c r="J126" s="14"/>
      <c r="K126" s="14"/>
      <c r="L126" s="336"/>
      <c r="M126" s="95" t="str">
        <f t="shared" si="1"/>
        <v xml:space="preserve">   </v>
      </c>
    </row>
    <row r="127" spans="1:13" hidden="1" x14ac:dyDescent="0.2">
      <c r="A127" s="343"/>
      <c r="B127" s="170" t="str">
        <f>Capacidades!M418</f>
        <v xml:space="preserve">   </v>
      </c>
      <c r="C127" s="171"/>
      <c r="D127" s="13"/>
      <c r="E127" s="13"/>
      <c r="F127" s="14"/>
      <c r="G127" s="14"/>
      <c r="H127" s="14"/>
      <c r="I127" s="14"/>
      <c r="J127" s="14"/>
      <c r="K127" s="14"/>
      <c r="L127" s="336"/>
      <c r="M127" s="95" t="str">
        <f t="shared" si="1"/>
        <v xml:space="preserve">   </v>
      </c>
    </row>
    <row r="128" spans="1:13" hidden="1" x14ac:dyDescent="0.2">
      <c r="A128" s="343"/>
      <c r="B128" s="170" t="str">
        <f>Capacidades!M419</f>
        <v xml:space="preserve">   </v>
      </c>
      <c r="C128" s="171"/>
      <c r="D128" s="13"/>
      <c r="E128" s="13"/>
      <c r="F128" s="14"/>
      <c r="G128" s="14"/>
      <c r="H128" s="14"/>
      <c r="I128" s="14"/>
      <c r="J128" s="14"/>
      <c r="K128" s="14"/>
      <c r="L128" s="336"/>
      <c r="M128" s="95" t="str">
        <f t="shared" si="1"/>
        <v xml:space="preserve">   </v>
      </c>
    </row>
    <row r="129" spans="1:13" hidden="1" x14ac:dyDescent="0.2">
      <c r="A129" s="344"/>
      <c r="B129" s="170" t="str">
        <f>Capacidades!M420</f>
        <v xml:space="preserve">   </v>
      </c>
      <c r="C129" s="171"/>
      <c r="D129" s="15"/>
      <c r="E129" s="15"/>
      <c r="F129" s="16"/>
      <c r="G129" s="16"/>
      <c r="H129" s="16"/>
      <c r="I129" s="16"/>
      <c r="J129" s="16"/>
      <c r="K129" s="16"/>
      <c r="L129" s="337"/>
      <c r="M129" s="95" t="str">
        <f t="shared" si="1"/>
        <v xml:space="preserve">   </v>
      </c>
    </row>
    <row r="130" spans="1:13" hidden="1" x14ac:dyDescent="0.2">
      <c r="A130" s="342" t="str">
        <f>Capacidades!L421</f>
        <v xml:space="preserve">       </v>
      </c>
      <c r="B130" s="170" t="str">
        <f>Capacidades!M421</f>
        <v xml:space="preserve">   </v>
      </c>
      <c r="C130" s="171"/>
      <c r="D130" s="11">
        <f>Organización_Modular!F52</f>
        <v>0</v>
      </c>
      <c r="E130" s="11">
        <f>Organización_Modular!G52</f>
        <v>0</v>
      </c>
      <c r="F130" s="11">
        <f>Organización_Modular!H52</f>
        <v>0</v>
      </c>
      <c r="G130" s="11">
        <f>Organización_Modular!I52</f>
        <v>0</v>
      </c>
      <c r="H130" s="12">
        <f>SUM(F130:G130)</f>
        <v>0</v>
      </c>
      <c r="I130" s="12">
        <f>F130*16</f>
        <v>0</v>
      </c>
      <c r="J130" s="12">
        <f>G130*32</f>
        <v>0</v>
      </c>
      <c r="K130" s="12">
        <f>SUM(I130:J130)</f>
        <v>0</v>
      </c>
      <c r="L130" s="335"/>
      <c r="M130" s="95" t="str">
        <f t="shared" si="1"/>
        <v xml:space="preserve">   </v>
      </c>
    </row>
    <row r="131" spans="1:13" hidden="1" x14ac:dyDescent="0.2">
      <c r="A131" s="343"/>
      <c r="B131" s="170" t="str">
        <f>Capacidades!M422</f>
        <v xml:space="preserve">   </v>
      </c>
      <c r="C131" s="171"/>
      <c r="D131" s="13"/>
      <c r="E131" s="13"/>
      <c r="F131" s="14"/>
      <c r="G131" s="14"/>
      <c r="H131" s="14"/>
      <c r="I131" s="14"/>
      <c r="J131" s="14"/>
      <c r="K131" s="14"/>
      <c r="L131" s="336"/>
      <c r="M131" s="95" t="str">
        <f t="shared" si="1"/>
        <v xml:space="preserve">   </v>
      </c>
    </row>
    <row r="132" spans="1:13" hidden="1" x14ac:dyDescent="0.2">
      <c r="A132" s="343"/>
      <c r="B132" s="170" t="str">
        <f>Capacidades!M423</f>
        <v xml:space="preserve">   </v>
      </c>
      <c r="C132" s="171"/>
      <c r="D132" s="13"/>
      <c r="E132" s="13"/>
      <c r="F132" s="14"/>
      <c r="G132" s="14"/>
      <c r="H132" s="14"/>
      <c r="I132" s="14"/>
      <c r="J132" s="14"/>
      <c r="K132" s="14"/>
      <c r="L132" s="336"/>
      <c r="M132" s="95" t="str">
        <f t="shared" si="1"/>
        <v xml:space="preserve">   </v>
      </c>
    </row>
    <row r="133" spans="1:13" hidden="1" x14ac:dyDescent="0.2">
      <c r="A133" s="343"/>
      <c r="B133" s="170" t="str">
        <f>Capacidades!M424</f>
        <v xml:space="preserve">   </v>
      </c>
      <c r="C133" s="171"/>
      <c r="D133" s="13"/>
      <c r="E133" s="13"/>
      <c r="F133" s="14"/>
      <c r="G133" s="14"/>
      <c r="H133" s="14"/>
      <c r="I133" s="14"/>
      <c r="J133" s="14"/>
      <c r="K133" s="14"/>
      <c r="L133" s="336"/>
      <c r="M133" s="95" t="str">
        <f t="shared" si="1"/>
        <v xml:space="preserve">   </v>
      </c>
    </row>
    <row r="134" spans="1:13" hidden="1" x14ac:dyDescent="0.2">
      <c r="A134" s="343"/>
      <c r="B134" s="170" t="str">
        <f>Capacidades!M425</f>
        <v xml:space="preserve">   </v>
      </c>
      <c r="C134" s="171"/>
      <c r="D134" s="13"/>
      <c r="E134" s="13"/>
      <c r="F134" s="14"/>
      <c r="G134" s="14"/>
      <c r="H134" s="14"/>
      <c r="I134" s="14"/>
      <c r="J134" s="14"/>
      <c r="K134" s="14"/>
      <c r="L134" s="336"/>
      <c r="M134" s="95" t="str">
        <f t="shared" si="1"/>
        <v xml:space="preserve">   </v>
      </c>
    </row>
    <row r="135" spans="1:13" hidden="1" x14ac:dyDescent="0.2">
      <c r="A135" s="343"/>
      <c r="B135" s="170" t="str">
        <f>Capacidades!M426</f>
        <v xml:space="preserve">   </v>
      </c>
      <c r="C135" s="171"/>
      <c r="D135" s="13"/>
      <c r="E135" s="13"/>
      <c r="F135" s="14"/>
      <c r="G135" s="14"/>
      <c r="H135" s="14"/>
      <c r="I135" s="14"/>
      <c r="J135" s="14"/>
      <c r="K135" s="14"/>
      <c r="L135" s="336"/>
      <c r="M135" s="95" t="str">
        <f t="shared" si="1"/>
        <v xml:space="preserve">   </v>
      </c>
    </row>
    <row r="136" spans="1:13" hidden="1" x14ac:dyDescent="0.2">
      <c r="A136" s="343"/>
      <c r="B136" s="170" t="str">
        <f>Capacidades!M427</f>
        <v xml:space="preserve">   </v>
      </c>
      <c r="C136" s="171"/>
      <c r="D136" s="13"/>
      <c r="E136" s="13"/>
      <c r="F136" s="14"/>
      <c r="G136" s="14"/>
      <c r="H136" s="14"/>
      <c r="I136" s="14"/>
      <c r="J136" s="14"/>
      <c r="K136" s="14"/>
      <c r="L136" s="336"/>
      <c r="M136" s="95" t="str">
        <f t="shared" si="1"/>
        <v xml:space="preserve">   </v>
      </c>
    </row>
    <row r="137" spans="1:13" hidden="1" x14ac:dyDescent="0.2">
      <c r="A137" s="343"/>
      <c r="B137" s="170" t="str">
        <f>Capacidades!M428</f>
        <v xml:space="preserve">   </v>
      </c>
      <c r="C137" s="171"/>
      <c r="D137" s="13"/>
      <c r="E137" s="13"/>
      <c r="F137" s="14"/>
      <c r="G137" s="14"/>
      <c r="H137" s="14"/>
      <c r="I137" s="14"/>
      <c r="J137" s="14"/>
      <c r="K137" s="14"/>
      <c r="L137" s="336"/>
      <c r="M137" s="95" t="str">
        <f t="shared" si="1"/>
        <v xml:space="preserve">   </v>
      </c>
    </row>
    <row r="138" spans="1:13" hidden="1" x14ac:dyDescent="0.2">
      <c r="A138" s="343"/>
      <c r="B138" s="170" t="str">
        <f>Capacidades!M429</f>
        <v xml:space="preserve">   </v>
      </c>
      <c r="C138" s="171"/>
      <c r="D138" s="13"/>
      <c r="E138" s="13"/>
      <c r="F138" s="14"/>
      <c r="G138" s="14"/>
      <c r="H138" s="14"/>
      <c r="I138" s="14"/>
      <c r="J138" s="14"/>
      <c r="K138" s="14"/>
      <c r="L138" s="336"/>
      <c r="M138" s="95" t="str">
        <f t="shared" si="1"/>
        <v xml:space="preserve">   </v>
      </c>
    </row>
    <row r="139" spans="1:13" hidden="1" x14ac:dyDescent="0.2">
      <c r="A139" s="344"/>
      <c r="B139" s="170" t="str">
        <f>Capacidades!M430</f>
        <v xml:space="preserve">   </v>
      </c>
      <c r="C139" s="171"/>
      <c r="D139" s="15"/>
      <c r="E139" s="15"/>
      <c r="F139" s="16"/>
      <c r="G139" s="16"/>
      <c r="H139" s="16"/>
      <c r="I139" s="16"/>
      <c r="J139" s="16"/>
      <c r="K139" s="16"/>
      <c r="L139" s="337"/>
      <c r="M139" s="95" t="str">
        <f t="shared" si="1"/>
        <v xml:space="preserve">   </v>
      </c>
    </row>
    <row r="140" spans="1:13" hidden="1" x14ac:dyDescent="0.2">
      <c r="A140" s="342" t="str">
        <f>Capacidades!L431</f>
        <v xml:space="preserve">       </v>
      </c>
      <c r="B140" s="170" t="str">
        <f>Capacidades!M431</f>
        <v xml:space="preserve">   </v>
      </c>
      <c r="C140" s="171"/>
      <c r="D140" s="11">
        <f>Organización_Modular!F53</f>
        <v>0</v>
      </c>
      <c r="E140" s="11">
        <f>Organización_Modular!G53</f>
        <v>0</v>
      </c>
      <c r="F140" s="11">
        <f>Organización_Modular!H53</f>
        <v>0</v>
      </c>
      <c r="G140" s="11">
        <f>Organización_Modular!I53</f>
        <v>0</v>
      </c>
      <c r="H140" s="12">
        <f>SUM(F140:G140)</f>
        <v>0</v>
      </c>
      <c r="I140" s="12">
        <f>F140*16</f>
        <v>0</v>
      </c>
      <c r="J140" s="12">
        <f>G140*32</f>
        <v>0</v>
      </c>
      <c r="K140" s="12">
        <f>SUM(I140:J140)</f>
        <v>0</v>
      </c>
      <c r="L140" s="335"/>
      <c r="M140" s="95" t="str">
        <f t="shared" si="1"/>
        <v xml:space="preserve">   </v>
      </c>
    </row>
    <row r="141" spans="1:13" hidden="1" x14ac:dyDescent="0.2">
      <c r="A141" s="343"/>
      <c r="B141" s="170" t="str">
        <f>Capacidades!M432</f>
        <v xml:space="preserve">   </v>
      </c>
      <c r="C141" s="171"/>
      <c r="D141" s="13"/>
      <c r="E141" s="13"/>
      <c r="F141" s="14"/>
      <c r="G141" s="14"/>
      <c r="H141" s="14"/>
      <c r="I141" s="14"/>
      <c r="J141" s="14"/>
      <c r="K141" s="14"/>
      <c r="L141" s="336"/>
      <c r="M141" s="95" t="str">
        <f t="shared" si="1"/>
        <v xml:space="preserve">   </v>
      </c>
    </row>
    <row r="142" spans="1:13" hidden="1" x14ac:dyDescent="0.2">
      <c r="A142" s="343"/>
      <c r="B142" s="170" t="str">
        <f>Capacidades!M433</f>
        <v xml:space="preserve">   </v>
      </c>
      <c r="C142" s="171"/>
      <c r="D142" s="13"/>
      <c r="E142" s="13"/>
      <c r="F142" s="14"/>
      <c r="G142" s="14"/>
      <c r="H142" s="14"/>
      <c r="I142" s="14"/>
      <c r="J142" s="14"/>
      <c r="K142" s="14"/>
      <c r="L142" s="336"/>
      <c r="M142" s="95" t="str">
        <f t="shared" si="1"/>
        <v xml:space="preserve">   </v>
      </c>
    </row>
    <row r="143" spans="1:13" hidden="1" x14ac:dyDescent="0.2">
      <c r="A143" s="343"/>
      <c r="B143" s="170" t="str">
        <f>Capacidades!M434</f>
        <v xml:space="preserve">   </v>
      </c>
      <c r="C143" s="171"/>
      <c r="D143" s="13"/>
      <c r="E143" s="13"/>
      <c r="F143" s="14"/>
      <c r="G143" s="14"/>
      <c r="H143" s="14"/>
      <c r="I143" s="14"/>
      <c r="J143" s="14"/>
      <c r="K143" s="14"/>
      <c r="L143" s="336"/>
      <c r="M143" s="95" t="str">
        <f t="shared" si="1"/>
        <v xml:space="preserve">   </v>
      </c>
    </row>
    <row r="144" spans="1:13" hidden="1" x14ac:dyDescent="0.2">
      <c r="A144" s="343"/>
      <c r="B144" s="170" t="str">
        <f>Capacidades!M435</f>
        <v xml:space="preserve">   </v>
      </c>
      <c r="C144" s="171"/>
      <c r="D144" s="13"/>
      <c r="E144" s="13"/>
      <c r="F144" s="14"/>
      <c r="G144" s="14"/>
      <c r="H144" s="14"/>
      <c r="I144" s="14"/>
      <c r="J144" s="14"/>
      <c r="K144" s="14"/>
      <c r="L144" s="336"/>
      <c r="M144" s="95" t="str">
        <f t="shared" si="1"/>
        <v xml:space="preserve">   </v>
      </c>
    </row>
    <row r="145" spans="1:13" hidden="1" x14ac:dyDescent="0.2">
      <c r="A145" s="343"/>
      <c r="B145" s="170" t="str">
        <f>Capacidades!M436</f>
        <v xml:space="preserve">   </v>
      </c>
      <c r="C145" s="171"/>
      <c r="D145" s="13"/>
      <c r="E145" s="13"/>
      <c r="F145" s="14"/>
      <c r="G145" s="14"/>
      <c r="H145" s="14"/>
      <c r="I145" s="14"/>
      <c r="J145" s="14"/>
      <c r="K145" s="14"/>
      <c r="L145" s="336"/>
      <c r="M145" s="95" t="str">
        <f t="shared" si="1"/>
        <v xml:space="preserve">   </v>
      </c>
    </row>
    <row r="146" spans="1:13" hidden="1" x14ac:dyDescent="0.2">
      <c r="A146" s="343"/>
      <c r="B146" s="170" t="str">
        <f>Capacidades!M437</f>
        <v xml:space="preserve">   </v>
      </c>
      <c r="C146" s="171"/>
      <c r="D146" s="13"/>
      <c r="E146" s="13"/>
      <c r="F146" s="14"/>
      <c r="G146" s="14"/>
      <c r="H146" s="14"/>
      <c r="I146" s="14"/>
      <c r="J146" s="14"/>
      <c r="K146" s="14"/>
      <c r="L146" s="336"/>
      <c r="M146" s="95" t="str">
        <f t="shared" si="1"/>
        <v xml:space="preserve">   </v>
      </c>
    </row>
    <row r="147" spans="1:13" hidden="1" x14ac:dyDescent="0.2">
      <c r="A147" s="343"/>
      <c r="B147" s="170" t="str">
        <f>Capacidades!M438</f>
        <v xml:space="preserve">   </v>
      </c>
      <c r="C147" s="171"/>
      <c r="D147" s="13"/>
      <c r="E147" s="13"/>
      <c r="F147" s="14"/>
      <c r="G147" s="14"/>
      <c r="H147" s="14"/>
      <c r="I147" s="14"/>
      <c r="J147" s="14"/>
      <c r="K147" s="14"/>
      <c r="L147" s="336"/>
      <c r="M147" s="95" t="str">
        <f t="shared" si="1"/>
        <v xml:space="preserve">   </v>
      </c>
    </row>
    <row r="148" spans="1:13" hidden="1" x14ac:dyDescent="0.2">
      <c r="A148" s="343"/>
      <c r="B148" s="170" t="str">
        <f>Capacidades!M439</f>
        <v xml:space="preserve">   </v>
      </c>
      <c r="C148" s="171"/>
      <c r="D148" s="13"/>
      <c r="E148" s="13"/>
      <c r="F148" s="14"/>
      <c r="G148" s="14"/>
      <c r="H148" s="14"/>
      <c r="I148" s="14"/>
      <c r="J148" s="14"/>
      <c r="K148" s="14"/>
      <c r="L148" s="336"/>
      <c r="M148" s="95" t="str">
        <f t="shared" si="1"/>
        <v xml:space="preserve">   </v>
      </c>
    </row>
    <row r="149" spans="1:13" hidden="1" x14ac:dyDescent="0.2">
      <c r="A149" s="344"/>
      <c r="B149" s="170" t="str">
        <f>Capacidades!M440</f>
        <v xml:space="preserve">   </v>
      </c>
      <c r="C149" s="171"/>
      <c r="D149" s="15"/>
      <c r="E149" s="15"/>
      <c r="F149" s="16"/>
      <c r="G149" s="16"/>
      <c r="H149" s="16"/>
      <c r="I149" s="16"/>
      <c r="J149" s="16"/>
      <c r="K149" s="16"/>
      <c r="L149" s="337"/>
      <c r="M149" s="95" t="str">
        <f t="shared" ref="M149:M212" si="2">B149</f>
        <v xml:space="preserve">   </v>
      </c>
    </row>
    <row r="150" spans="1:13" hidden="1" x14ac:dyDescent="0.2">
      <c r="A150" s="342" t="str">
        <f>Capacidades!L441</f>
        <v xml:space="preserve">       </v>
      </c>
      <c r="B150" s="170" t="str">
        <f>Capacidades!M441</f>
        <v xml:space="preserve">   </v>
      </c>
      <c r="C150" s="171"/>
      <c r="D150" s="11">
        <f>Organización_Modular!F54</f>
        <v>0</v>
      </c>
      <c r="E150" s="11">
        <f>Organización_Modular!G54</f>
        <v>0</v>
      </c>
      <c r="F150" s="11">
        <f>Organización_Modular!H54</f>
        <v>0</v>
      </c>
      <c r="G150" s="11">
        <f>Organización_Modular!I54</f>
        <v>0</v>
      </c>
      <c r="H150" s="12">
        <f>SUM(F150:G150)</f>
        <v>0</v>
      </c>
      <c r="I150" s="12">
        <f>F150*16</f>
        <v>0</v>
      </c>
      <c r="J150" s="12">
        <f>G150*32</f>
        <v>0</v>
      </c>
      <c r="K150" s="12">
        <f>SUM(I150:J150)</f>
        <v>0</v>
      </c>
      <c r="L150" s="335"/>
      <c r="M150" s="95" t="str">
        <f t="shared" si="2"/>
        <v xml:space="preserve">   </v>
      </c>
    </row>
    <row r="151" spans="1:13" hidden="1" x14ac:dyDescent="0.2">
      <c r="A151" s="343"/>
      <c r="B151" s="170" t="str">
        <f>Capacidades!M442</f>
        <v xml:space="preserve">   </v>
      </c>
      <c r="C151" s="171"/>
      <c r="D151" s="13"/>
      <c r="E151" s="13"/>
      <c r="F151" s="14"/>
      <c r="G151" s="14"/>
      <c r="H151" s="14"/>
      <c r="I151" s="14"/>
      <c r="J151" s="14"/>
      <c r="K151" s="14"/>
      <c r="L151" s="336"/>
      <c r="M151" s="95" t="str">
        <f t="shared" si="2"/>
        <v xml:space="preserve">   </v>
      </c>
    </row>
    <row r="152" spans="1:13" hidden="1" x14ac:dyDescent="0.2">
      <c r="A152" s="343"/>
      <c r="B152" s="170" t="str">
        <f>Capacidades!M443</f>
        <v xml:space="preserve">   </v>
      </c>
      <c r="C152" s="171"/>
      <c r="D152" s="13"/>
      <c r="E152" s="13"/>
      <c r="F152" s="14"/>
      <c r="G152" s="14"/>
      <c r="H152" s="14"/>
      <c r="I152" s="14"/>
      <c r="J152" s="14"/>
      <c r="K152" s="14"/>
      <c r="L152" s="336"/>
      <c r="M152" s="95" t="str">
        <f t="shared" si="2"/>
        <v xml:space="preserve">   </v>
      </c>
    </row>
    <row r="153" spans="1:13" hidden="1" x14ac:dyDescent="0.2">
      <c r="A153" s="343"/>
      <c r="B153" s="170" t="str">
        <f>Capacidades!M444</f>
        <v xml:space="preserve">   </v>
      </c>
      <c r="C153" s="171"/>
      <c r="D153" s="13"/>
      <c r="E153" s="13"/>
      <c r="F153" s="14"/>
      <c r="G153" s="14"/>
      <c r="H153" s="14"/>
      <c r="I153" s="14"/>
      <c r="J153" s="14"/>
      <c r="K153" s="14"/>
      <c r="L153" s="336"/>
      <c r="M153" s="95" t="str">
        <f t="shared" si="2"/>
        <v xml:space="preserve">   </v>
      </c>
    </row>
    <row r="154" spans="1:13" hidden="1" x14ac:dyDescent="0.2">
      <c r="A154" s="343"/>
      <c r="B154" s="170" t="str">
        <f>Capacidades!M445</f>
        <v xml:space="preserve">   </v>
      </c>
      <c r="C154" s="171"/>
      <c r="D154" s="13"/>
      <c r="E154" s="13"/>
      <c r="F154" s="14"/>
      <c r="G154" s="14"/>
      <c r="H154" s="14"/>
      <c r="I154" s="14"/>
      <c r="J154" s="14"/>
      <c r="K154" s="14"/>
      <c r="L154" s="336"/>
      <c r="M154" s="95" t="str">
        <f t="shared" si="2"/>
        <v xml:space="preserve">   </v>
      </c>
    </row>
    <row r="155" spans="1:13" hidden="1" x14ac:dyDescent="0.2">
      <c r="A155" s="343"/>
      <c r="B155" s="170" t="str">
        <f>Capacidades!M446</f>
        <v xml:space="preserve">   </v>
      </c>
      <c r="C155" s="171"/>
      <c r="D155" s="13"/>
      <c r="E155" s="13"/>
      <c r="F155" s="14"/>
      <c r="G155" s="14"/>
      <c r="H155" s="14"/>
      <c r="I155" s="14"/>
      <c r="J155" s="14"/>
      <c r="K155" s="14"/>
      <c r="L155" s="336"/>
      <c r="M155" s="95" t="str">
        <f t="shared" si="2"/>
        <v xml:space="preserve">   </v>
      </c>
    </row>
    <row r="156" spans="1:13" hidden="1" x14ac:dyDescent="0.2">
      <c r="A156" s="343"/>
      <c r="B156" s="170" t="str">
        <f>Capacidades!M447</f>
        <v xml:space="preserve">   </v>
      </c>
      <c r="C156" s="171"/>
      <c r="D156" s="13"/>
      <c r="E156" s="13"/>
      <c r="F156" s="14"/>
      <c r="G156" s="14"/>
      <c r="H156" s="14"/>
      <c r="I156" s="14"/>
      <c r="J156" s="14"/>
      <c r="K156" s="14"/>
      <c r="L156" s="336"/>
      <c r="M156" s="95" t="str">
        <f t="shared" si="2"/>
        <v xml:space="preserve">   </v>
      </c>
    </row>
    <row r="157" spans="1:13" hidden="1" x14ac:dyDescent="0.2">
      <c r="A157" s="343"/>
      <c r="B157" s="170" t="str">
        <f>Capacidades!M448</f>
        <v xml:space="preserve">   </v>
      </c>
      <c r="C157" s="171"/>
      <c r="D157" s="13"/>
      <c r="E157" s="13"/>
      <c r="F157" s="14"/>
      <c r="G157" s="14"/>
      <c r="H157" s="14"/>
      <c r="I157" s="14"/>
      <c r="J157" s="14"/>
      <c r="K157" s="14"/>
      <c r="L157" s="336"/>
      <c r="M157" s="95" t="str">
        <f t="shared" si="2"/>
        <v xml:space="preserve">   </v>
      </c>
    </row>
    <row r="158" spans="1:13" hidden="1" x14ac:dyDescent="0.2">
      <c r="A158" s="343"/>
      <c r="B158" s="170" t="str">
        <f>Capacidades!M449</f>
        <v xml:space="preserve">   </v>
      </c>
      <c r="C158" s="171"/>
      <c r="D158" s="13"/>
      <c r="E158" s="13"/>
      <c r="F158" s="14"/>
      <c r="G158" s="14"/>
      <c r="H158" s="14"/>
      <c r="I158" s="14"/>
      <c r="J158" s="14"/>
      <c r="K158" s="14"/>
      <c r="L158" s="336"/>
      <c r="M158" s="95" t="str">
        <f t="shared" si="2"/>
        <v xml:space="preserve">   </v>
      </c>
    </row>
    <row r="159" spans="1:13" hidden="1" x14ac:dyDescent="0.2">
      <c r="A159" s="344"/>
      <c r="B159" s="170" t="str">
        <f>Capacidades!M450</f>
        <v xml:space="preserve">   </v>
      </c>
      <c r="C159" s="171"/>
      <c r="D159" s="15"/>
      <c r="E159" s="15"/>
      <c r="F159" s="16"/>
      <c r="G159" s="16"/>
      <c r="H159" s="16"/>
      <c r="I159" s="16"/>
      <c r="J159" s="16"/>
      <c r="K159" s="16"/>
      <c r="L159" s="337"/>
      <c r="M159" s="95" t="str">
        <f t="shared" si="2"/>
        <v xml:space="preserve">   </v>
      </c>
    </row>
    <row r="160" spans="1:13" hidden="1" x14ac:dyDescent="0.2">
      <c r="A160" s="342" t="str">
        <f>Capacidades!L451</f>
        <v xml:space="preserve">       </v>
      </c>
      <c r="B160" s="170" t="str">
        <f>Capacidades!M451</f>
        <v xml:space="preserve">   </v>
      </c>
      <c r="C160" s="171"/>
      <c r="D160" s="11">
        <f>Organización_Modular!F55</f>
        <v>0</v>
      </c>
      <c r="E160" s="11">
        <f>Organización_Modular!G55</f>
        <v>0</v>
      </c>
      <c r="F160" s="11">
        <f>Organización_Modular!H55</f>
        <v>0</v>
      </c>
      <c r="G160" s="11">
        <f>Organización_Modular!I55</f>
        <v>0</v>
      </c>
      <c r="H160" s="12">
        <f>SUM(F160:G160)</f>
        <v>0</v>
      </c>
      <c r="I160" s="12">
        <f>F160*16</f>
        <v>0</v>
      </c>
      <c r="J160" s="12">
        <f>G160*32</f>
        <v>0</v>
      </c>
      <c r="K160" s="12">
        <f>SUM(I160:J160)</f>
        <v>0</v>
      </c>
      <c r="L160" s="335"/>
      <c r="M160" s="95" t="str">
        <f t="shared" si="2"/>
        <v xml:space="preserve">   </v>
      </c>
    </row>
    <row r="161" spans="1:13" hidden="1" x14ac:dyDescent="0.2">
      <c r="A161" s="343"/>
      <c r="B161" s="170" t="str">
        <f>Capacidades!M452</f>
        <v xml:space="preserve">   </v>
      </c>
      <c r="C161" s="171"/>
      <c r="D161" s="13"/>
      <c r="E161" s="13"/>
      <c r="F161" s="14"/>
      <c r="G161" s="14"/>
      <c r="H161" s="14"/>
      <c r="I161" s="14"/>
      <c r="J161" s="14"/>
      <c r="K161" s="14"/>
      <c r="L161" s="336"/>
      <c r="M161" s="95" t="str">
        <f t="shared" si="2"/>
        <v xml:space="preserve">   </v>
      </c>
    </row>
    <row r="162" spans="1:13" hidden="1" x14ac:dyDescent="0.2">
      <c r="A162" s="343"/>
      <c r="B162" s="170" t="str">
        <f>Capacidades!M453</f>
        <v xml:space="preserve">   </v>
      </c>
      <c r="C162" s="171"/>
      <c r="D162" s="13"/>
      <c r="E162" s="13"/>
      <c r="F162" s="14"/>
      <c r="G162" s="14"/>
      <c r="H162" s="14"/>
      <c r="I162" s="14"/>
      <c r="J162" s="14"/>
      <c r="K162" s="14"/>
      <c r="L162" s="336"/>
      <c r="M162" s="95" t="str">
        <f t="shared" si="2"/>
        <v xml:space="preserve">   </v>
      </c>
    </row>
    <row r="163" spans="1:13" hidden="1" x14ac:dyDescent="0.2">
      <c r="A163" s="343"/>
      <c r="B163" s="170" t="str">
        <f>Capacidades!M454</f>
        <v xml:space="preserve">   </v>
      </c>
      <c r="C163" s="171"/>
      <c r="D163" s="13"/>
      <c r="E163" s="13"/>
      <c r="F163" s="14"/>
      <c r="G163" s="14"/>
      <c r="H163" s="14"/>
      <c r="I163" s="14"/>
      <c r="J163" s="14"/>
      <c r="K163" s="14"/>
      <c r="L163" s="336"/>
      <c r="M163" s="95" t="str">
        <f t="shared" si="2"/>
        <v xml:space="preserve">   </v>
      </c>
    </row>
    <row r="164" spans="1:13" hidden="1" x14ac:dyDescent="0.2">
      <c r="A164" s="343"/>
      <c r="B164" s="170" t="str">
        <f>Capacidades!M455</f>
        <v xml:space="preserve">   </v>
      </c>
      <c r="C164" s="171"/>
      <c r="D164" s="13"/>
      <c r="E164" s="13"/>
      <c r="F164" s="14"/>
      <c r="G164" s="14"/>
      <c r="H164" s="14"/>
      <c r="I164" s="14"/>
      <c r="J164" s="14"/>
      <c r="K164" s="14"/>
      <c r="L164" s="336"/>
      <c r="M164" s="95" t="str">
        <f t="shared" si="2"/>
        <v xml:space="preserve">   </v>
      </c>
    </row>
    <row r="165" spans="1:13" hidden="1" x14ac:dyDescent="0.2">
      <c r="A165" s="343"/>
      <c r="B165" s="170" t="str">
        <f>Capacidades!M456</f>
        <v xml:space="preserve">   </v>
      </c>
      <c r="C165" s="171"/>
      <c r="D165" s="13"/>
      <c r="E165" s="13"/>
      <c r="F165" s="14"/>
      <c r="G165" s="14"/>
      <c r="H165" s="14"/>
      <c r="I165" s="14"/>
      <c r="J165" s="14"/>
      <c r="K165" s="14"/>
      <c r="L165" s="336"/>
      <c r="M165" s="95" t="str">
        <f t="shared" si="2"/>
        <v xml:space="preserve">   </v>
      </c>
    </row>
    <row r="166" spans="1:13" hidden="1" x14ac:dyDescent="0.2">
      <c r="A166" s="343"/>
      <c r="B166" s="170" t="str">
        <f>Capacidades!M457</f>
        <v xml:space="preserve">   </v>
      </c>
      <c r="C166" s="171"/>
      <c r="D166" s="13"/>
      <c r="E166" s="13"/>
      <c r="F166" s="14"/>
      <c r="G166" s="14"/>
      <c r="H166" s="14"/>
      <c r="I166" s="14"/>
      <c r="J166" s="14"/>
      <c r="K166" s="14"/>
      <c r="L166" s="336"/>
      <c r="M166" s="95" t="str">
        <f t="shared" si="2"/>
        <v xml:space="preserve">   </v>
      </c>
    </row>
    <row r="167" spans="1:13" hidden="1" x14ac:dyDescent="0.2">
      <c r="A167" s="343"/>
      <c r="B167" s="170" t="str">
        <f>Capacidades!M458</f>
        <v xml:space="preserve">   </v>
      </c>
      <c r="C167" s="171"/>
      <c r="D167" s="13"/>
      <c r="E167" s="13"/>
      <c r="F167" s="14"/>
      <c r="G167" s="14"/>
      <c r="H167" s="14"/>
      <c r="I167" s="14"/>
      <c r="J167" s="14"/>
      <c r="K167" s="14"/>
      <c r="L167" s="336"/>
      <c r="M167" s="95" t="str">
        <f t="shared" si="2"/>
        <v xml:space="preserve">   </v>
      </c>
    </row>
    <row r="168" spans="1:13" hidden="1" x14ac:dyDescent="0.2">
      <c r="A168" s="343"/>
      <c r="B168" s="170" t="str">
        <f>Capacidades!M459</f>
        <v xml:space="preserve">   </v>
      </c>
      <c r="C168" s="171"/>
      <c r="D168" s="13"/>
      <c r="E168" s="13"/>
      <c r="F168" s="14"/>
      <c r="G168" s="14"/>
      <c r="H168" s="14"/>
      <c r="I168" s="14"/>
      <c r="J168" s="14"/>
      <c r="K168" s="14"/>
      <c r="L168" s="336"/>
      <c r="M168" s="95" t="str">
        <f t="shared" si="2"/>
        <v xml:space="preserve">   </v>
      </c>
    </row>
    <row r="169" spans="1:13" hidden="1" x14ac:dyDescent="0.2">
      <c r="A169" s="344"/>
      <c r="B169" s="170" t="str">
        <f>Capacidades!M460</f>
        <v xml:space="preserve">   </v>
      </c>
      <c r="C169" s="171"/>
      <c r="D169" s="15"/>
      <c r="E169" s="15"/>
      <c r="F169" s="16"/>
      <c r="G169" s="16"/>
      <c r="H169" s="16"/>
      <c r="I169" s="16"/>
      <c r="J169" s="16"/>
      <c r="K169" s="16"/>
      <c r="L169" s="337"/>
      <c r="M169" s="95" t="str">
        <f t="shared" si="2"/>
        <v xml:space="preserve">   </v>
      </c>
    </row>
    <row r="170" spans="1:13" hidden="1" x14ac:dyDescent="0.2">
      <c r="A170" s="342" t="str">
        <f>Capacidades!L461</f>
        <v xml:space="preserve">       </v>
      </c>
      <c r="B170" s="170" t="str">
        <f>Capacidades!M461</f>
        <v xml:space="preserve">   </v>
      </c>
      <c r="C170" s="171"/>
      <c r="D170" s="11">
        <f>Organización_Modular!F56</f>
        <v>0</v>
      </c>
      <c r="E170" s="11">
        <f>Organización_Modular!G56</f>
        <v>0</v>
      </c>
      <c r="F170" s="11">
        <f>Organización_Modular!H56</f>
        <v>0</v>
      </c>
      <c r="G170" s="11">
        <f>Organización_Modular!I56</f>
        <v>0</v>
      </c>
      <c r="H170" s="12">
        <f>SUM(F170:G170)</f>
        <v>0</v>
      </c>
      <c r="I170" s="12">
        <f>F170*16</f>
        <v>0</v>
      </c>
      <c r="J170" s="12">
        <f>G170*32</f>
        <v>0</v>
      </c>
      <c r="K170" s="12">
        <f>SUM(I170:J170)</f>
        <v>0</v>
      </c>
      <c r="L170" s="335"/>
      <c r="M170" s="95" t="str">
        <f t="shared" si="2"/>
        <v xml:space="preserve">   </v>
      </c>
    </row>
    <row r="171" spans="1:13" hidden="1" x14ac:dyDescent="0.2">
      <c r="A171" s="343"/>
      <c r="B171" s="170" t="str">
        <f>Capacidades!M462</f>
        <v xml:space="preserve">   </v>
      </c>
      <c r="C171" s="171"/>
      <c r="D171" s="13"/>
      <c r="E171" s="13"/>
      <c r="F171" s="14"/>
      <c r="G171" s="14"/>
      <c r="H171" s="14"/>
      <c r="I171" s="14"/>
      <c r="J171" s="14"/>
      <c r="K171" s="14"/>
      <c r="L171" s="336"/>
      <c r="M171" s="95" t="str">
        <f t="shared" si="2"/>
        <v xml:space="preserve">   </v>
      </c>
    </row>
    <row r="172" spans="1:13" hidden="1" x14ac:dyDescent="0.2">
      <c r="A172" s="343"/>
      <c r="B172" s="170" t="str">
        <f>Capacidades!M463</f>
        <v xml:space="preserve">   </v>
      </c>
      <c r="C172" s="171"/>
      <c r="D172" s="13"/>
      <c r="E172" s="13"/>
      <c r="F172" s="14"/>
      <c r="G172" s="14"/>
      <c r="H172" s="14"/>
      <c r="I172" s="14"/>
      <c r="J172" s="14"/>
      <c r="K172" s="14"/>
      <c r="L172" s="336"/>
      <c r="M172" s="95" t="str">
        <f t="shared" si="2"/>
        <v xml:space="preserve">   </v>
      </c>
    </row>
    <row r="173" spans="1:13" hidden="1" x14ac:dyDescent="0.2">
      <c r="A173" s="343"/>
      <c r="B173" s="170" t="str">
        <f>Capacidades!M464</f>
        <v xml:space="preserve">   </v>
      </c>
      <c r="C173" s="171"/>
      <c r="D173" s="13"/>
      <c r="E173" s="13"/>
      <c r="F173" s="14"/>
      <c r="G173" s="14"/>
      <c r="H173" s="14"/>
      <c r="I173" s="14"/>
      <c r="J173" s="14"/>
      <c r="K173" s="14"/>
      <c r="L173" s="336"/>
      <c r="M173" s="95" t="str">
        <f t="shared" si="2"/>
        <v xml:space="preserve">   </v>
      </c>
    </row>
    <row r="174" spans="1:13" hidden="1" x14ac:dyDescent="0.2">
      <c r="A174" s="343"/>
      <c r="B174" s="170" t="str">
        <f>Capacidades!M465</f>
        <v xml:space="preserve">   </v>
      </c>
      <c r="C174" s="171"/>
      <c r="D174" s="13"/>
      <c r="E174" s="13"/>
      <c r="F174" s="14"/>
      <c r="G174" s="14"/>
      <c r="H174" s="14"/>
      <c r="I174" s="14"/>
      <c r="J174" s="14"/>
      <c r="K174" s="14"/>
      <c r="L174" s="336"/>
      <c r="M174" s="95" t="str">
        <f t="shared" si="2"/>
        <v xml:space="preserve">   </v>
      </c>
    </row>
    <row r="175" spans="1:13" hidden="1" x14ac:dyDescent="0.2">
      <c r="A175" s="343"/>
      <c r="B175" s="170" t="str">
        <f>Capacidades!M466</f>
        <v xml:space="preserve">   </v>
      </c>
      <c r="C175" s="171"/>
      <c r="D175" s="13"/>
      <c r="E175" s="13"/>
      <c r="F175" s="14"/>
      <c r="G175" s="14"/>
      <c r="H175" s="14"/>
      <c r="I175" s="14"/>
      <c r="J175" s="14"/>
      <c r="K175" s="14"/>
      <c r="L175" s="336"/>
      <c r="M175" s="95" t="str">
        <f t="shared" si="2"/>
        <v xml:space="preserve">   </v>
      </c>
    </row>
    <row r="176" spans="1:13" hidden="1" x14ac:dyDescent="0.2">
      <c r="A176" s="343"/>
      <c r="B176" s="170" t="str">
        <f>Capacidades!M467</f>
        <v xml:space="preserve">   </v>
      </c>
      <c r="C176" s="171"/>
      <c r="D176" s="13"/>
      <c r="E176" s="13"/>
      <c r="F176" s="14"/>
      <c r="G176" s="14"/>
      <c r="H176" s="14"/>
      <c r="I176" s="14"/>
      <c r="J176" s="14"/>
      <c r="K176" s="14"/>
      <c r="L176" s="336"/>
      <c r="M176" s="95" t="str">
        <f t="shared" si="2"/>
        <v xml:space="preserve">   </v>
      </c>
    </row>
    <row r="177" spans="1:13" hidden="1" x14ac:dyDescent="0.2">
      <c r="A177" s="343"/>
      <c r="B177" s="170" t="str">
        <f>Capacidades!M468</f>
        <v xml:space="preserve">   </v>
      </c>
      <c r="C177" s="171"/>
      <c r="D177" s="13"/>
      <c r="E177" s="13"/>
      <c r="F177" s="14"/>
      <c r="G177" s="14"/>
      <c r="H177" s="14"/>
      <c r="I177" s="14"/>
      <c r="J177" s="14"/>
      <c r="K177" s="14"/>
      <c r="L177" s="336"/>
      <c r="M177" s="95" t="str">
        <f t="shared" si="2"/>
        <v xml:space="preserve">   </v>
      </c>
    </row>
    <row r="178" spans="1:13" hidden="1" x14ac:dyDescent="0.2">
      <c r="A178" s="343"/>
      <c r="B178" s="170" t="str">
        <f>Capacidades!M469</f>
        <v xml:space="preserve">   </v>
      </c>
      <c r="C178" s="171"/>
      <c r="D178" s="13"/>
      <c r="E178" s="13"/>
      <c r="F178" s="14"/>
      <c r="G178" s="14"/>
      <c r="H178" s="14"/>
      <c r="I178" s="14"/>
      <c r="J178" s="14"/>
      <c r="K178" s="14"/>
      <c r="L178" s="336"/>
      <c r="M178" s="95" t="str">
        <f t="shared" si="2"/>
        <v xml:space="preserve">   </v>
      </c>
    </row>
    <row r="179" spans="1:13" hidden="1" x14ac:dyDescent="0.2">
      <c r="A179" s="344"/>
      <c r="B179" s="170" t="str">
        <f>Capacidades!M470</f>
        <v xml:space="preserve">   </v>
      </c>
      <c r="C179" s="171"/>
      <c r="D179" s="15"/>
      <c r="E179" s="15"/>
      <c r="F179" s="16"/>
      <c r="G179" s="16"/>
      <c r="H179" s="16"/>
      <c r="I179" s="16"/>
      <c r="J179" s="16"/>
      <c r="K179" s="16"/>
      <c r="L179" s="337"/>
      <c r="M179" s="95" t="str">
        <f t="shared" si="2"/>
        <v xml:space="preserve">   </v>
      </c>
    </row>
    <row r="180" spans="1:13" hidden="1" x14ac:dyDescent="0.2">
      <c r="A180" s="342" t="str">
        <f>Capacidades!L471</f>
        <v xml:space="preserve">       </v>
      </c>
      <c r="B180" s="170" t="str">
        <f>Capacidades!M471</f>
        <v xml:space="preserve">   </v>
      </c>
      <c r="C180" s="171"/>
      <c r="D180" s="11">
        <f>Organización_Modular!F57</f>
        <v>0</v>
      </c>
      <c r="E180" s="11">
        <f>Organización_Modular!G57</f>
        <v>0</v>
      </c>
      <c r="F180" s="11">
        <f>Organización_Modular!H57</f>
        <v>0</v>
      </c>
      <c r="G180" s="11">
        <f>Organización_Modular!I57</f>
        <v>0</v>
      </c>
      <c r="H180" s="12">
        <f>SUM(F180:G180)</f>
        <v>0</v>
      </c>
      <c r="I180" s="12">
        <f>F180*16</f>
        <v>0</v>
      </c>
      <c r="J180" s="12">
        <f>G180*32</f>
        <v>0</v>
      </c>
      <c r="K180" s="12">
        <f>SUM(I180:J180)</f>
        <v>0</v>
      </c>
      <c r="L180" s="335"/>
      <c r="M180" s="95" t="str">
        <f t="shared" si="2"/>
        <v xml:space="preserve">   </v>
      </c>
    </row>
    <row r="181" spans="1:13" hidden="1" x14ac:dyDescent="0.2">
      <c r="A181" s="343"/>
      <c r="B181" s="170" t="str">
        <f>Capacidades!M472</f>
        <v xml:space="preserve">   </v>
      </c>
      <c r="C181" s="171"/>
      <c r="D181" s="13"/>
      <c r="E181" s="13"/>
      <c r="F181" s="14"/>
      <c r="G181" s="14"/>
      <c r="H181" s="14"/>
      <c r="I181" s="14"/>
      <c r="J181" s="14"/>
      <c r="K181" s="14"/>
      <c r="L181" s="336"/>
      <c r="M181" s="95" t="str">
        <f t="shared" si="2"/>
        <v xml:space="preserve">   </v>
      </c>
    </row>
    <row r="182" spans="1:13" hidden="1" x14ac:dyDescent="0.2">
      <c r="A182" s="343"/>
      <c r="B182" s="170" t="str">
        <f>Capacidades!M473</f>
        <v xml:space="preserve">   </v>
      </c>
      <c r="C182" s="171"/>
      <c r="D182" s="13"/>
      <c r="E182" s="13"/>
      <c r="F182" s="14"/>
      <c r="G182" s="14"/>
      <c r="H182" s="14"/>
      <c r="I182" s="14"/>
      <c r="J182" s="14"/>
      <c r="K182" s="14"/>
      <c r="L182" s="336"/>
      <c r="M182" s="95" t="str">
        <f t="shared" si="2"/>
        <v xml:space="preserve">   </v>
      </c>
    </row>
    <row r="183" spans="1:13" hidden="1" x14ac:dyDescent="0.2">
      <c r="A183" s="343"/>
      <c r="B183" s="170" t="str">
        <f>Capacidades!M474</f>
        <v xml:space="preserve">   </v>
      </c>
      <c r="C183" s="171"/>
      <c r="D183" s="13"/>
      <c r="E183" s="13"/>
      <c r="F183" s="14"/>
      <c r="G183" s="14"/>
      <c r="H183" s="14"/>
      <c r="I183" s="14"/>
      <c r="J183" s="14"/>
      <c r="K183" s="14"/>
      <c r="L183" s="336"/>
      <c r="M183" s="95" t="str">
        <f t="shared" si="2"/>
        <v xml:space="preserve">   </v>
      </c>
    </row>
    <row r="184" spans="1:13" hidden="1" x14ac:dyDescent="0.2">
      <c r="A184" s="343"/>
      <c r="B184" s="170" t="str">
        <f>Capacidades!M475</f>
        <v xml:space="preserve">   </v>
      </c>
      <c r="C184" s="171"/>
      <c r="D184" s="13"/>
      <c r="E184" s="13"/>
      <c r="F184" s="14"/>
      <c r="G184" s="14"/>
      <c r="H184" s="14"/>
      <c r="I184" s="14"/>
      <c r="J184" s="14"/>
      <c r="K184" s="14"/>
      <c r="L184" s="336"/>
      <c r="M184" s="95" t="str">
        <f t="shared" si="2"/>
        <v xml:space="preserve">   </v>
      </c>
    </row>
    <row r="185" spans="1:13" hidden="1" x14ac:dyDescent="0.2">
      <c r="A185" s="343"/>
      <c r="B185" s="170" t="str">
        <f>Capacidades!M476</f>
        <v xml:space="preserve">   </v>
      </c>
      <c r="C185" s="171"/>
      <c r="D185" s="13"/>
      <c r="E185" s="13"/>
      <c r="F185" s="14"/>
      <c r="G185" s="14"/>
      <c r="H185" s="14"/>
      <c r="I185" s="14"/>
      <c r="J185" s="14"/>
      <c r="K185" s="14"/>
      <c r="L185" s="336"/>
      <c r="M185" s="95" t="str">
        <f t="shared" si="2"/>
        <v xml:space="preserve">   </v>
      </c>
    </row>
    <row r="186" spans="1:13" hidden="1" x14ac:dyDescent="0.2">
      <c r="A186" s="343"/>
      <c r="B186" s="170" t="str">
        <f>Capacidades!M477</f>
        <v xml:space="preserve">   </v>
      </c>
      <c r="C186" s="171"/>
      <c r="D186" s="13"/>
      <c r="E186" s="13"/>
      <c r="F186" s="14"/>
      <c r="G186" s="14"/>
      <c r="H186" s="14"/>
      <c r="I186" s="14"/>
      <c r="J186" s="14"/>
      <c r="K186" s="14"/>
      <c r="L186" s="336"/>
      <c r="M186" s="95" t="str">
        <f t="shared" si="2"/>
        <v xml:space="preserve">   </v>
      </c>
    </row>
    <row r="187" spans="1:13" hidden="1" x14ac:dyDescent="0.2">
      <c r="A187" s="343"/>
      <c r="B187" s="170" t="str">
        <f>Capacidades!M478</f>
        <v xml:space="preserve">   </v>
      </c>
      <c r="C187" s="171"/>
      <c r="D187" s="13"/>
      <c r="E187" s="13"/>
      <c r="F187" s="14"/>
      <c r="G187" s="14"/>
      <c r="H187" s="14"/>
      <c r="I187" s="14"/>
      <c r="J187" s="14"/>
      <c r="K187" s="14"/>
      <c r="L187" s="336"/>
      <c r="M187" s="95" t="str">
        <f t="shared" si="2"/>
        <v xml:space="preserve">   </v>
      </c>
    </row>
    <row r="188" spans="1:13" hidden="1" x14ac:dyDescent="0.2">
      <c r="A188" s="343"/>
      <c r="B188" s="170" t="str">
        <f>Capacidades!M479</f>
        <v xml:space="preserve">   </v>
      </c>
      <c r="C188" s="171"/>
      <c r="D188" s="13"/>
      <c r="E188" s="13"/>
      <c r="F188" s="14"/>
      <c r="G188" s="14"/>
      <c r="H188" s="14"/>
      <c r="I188" s="14"/>
      <c r="J188" s="14"/>
      <c r="K188" s="14"/>
      <c r="L188" s="336"/>
      <c r="M188" s="95" t="str">
        <f t="shared" si="2"/>
        <v xml:space="preserve">   </v>
      </c>
    </row>
    <row r="189" spans="1:13" hidden="1" x14ac:dyDescent="0.2">
      <c r="A189" s="344"/>
      <c r="B189" s="170" t="str">
        <f>Capacidades!M480</f>
        <v xml:space="preserve">   </v>
      </c>
      <c r="C189" s="171"/>
      <c r="D189" s="15"/>
      <c r="E189" s="15"/>
      <c r="F189" s="16"/>
      <c r="G189" s="16"/>
      <c r="H189" s="16"/>
      <c r="I189" s="16"/>
      <c r="J189" s="16"/>
      <c r="K189" s="16"/>
      <c r="L189" s="337"/>
      <c r="M189" s="95" t="str">
        <f t="shared" si="2"/>
        <v xml:space="preserve">   </v>
      </c>
    </row>
    <row r="190" spans="1:13" hidden="1" x14ac:dyDescent="0.2">
      <c r="A190" s="342" t="str">
        <f>Capacidades!L481</f>
        <v xml:space="preserve">       </v>
      </c>
      <c r="B190" s="170" t="str">
        <f>Capacidades!M481</f>
        <v xml:space="preserve">   </v>
      </c>
      <c r="C190" s="171"/>
      <c r="D190" s="11">
        <f>Organización_Modular!F58</f>
        <v>0</v>
      </c>
      <c r="E190" s="11">
        <f>Organización_Modular!G58</f>
        <v>0</v>
      </c>
      <c r="F190" s="11">
        <f>Organización_Modular!H58</f>
        <v>0</v>
      </c>
      <c r="G190" s="11">
        <f>Organización_Modular!I58</f>
        <v>0</v>
      </c>
      <c r="H190" s="12">
        <f>SUM(F190:G190)</f>
        <v>0</v>
      </c>
      <c r="I190" s="12">
        <f>F190*16</f>
        <v>0</v>
      </c>
      <c r="J190" s="12">
        <f>G190*32</f>
        <v>0</v>
      </c>
      <c r="K190" s="12">
        <f>SUM(I190:J190)</f>
        <v>0</v>
      </c>
      <c r="L190" s="335"/>
      <c r="M190" s="95" t="str">
        <f t="shared" si="2"/>
        <v xml:space="preserve">   </v>
      </c>
    </row>
    <row r="191" spans="1:13" hidden="1" x14ac:dyDescent="0.2">
      <c r="A191" s="343"/>
      <c r="B191" s="170" t="str">
        <f>Capacidades!M482</f>
        <v xml:space="preserve">   </v>
      </c>
      <c r="C191" s="171"/>
      <c r="D191" s="13"/>
      <c r="E191" s="13"/>
      <c r="F191" s="14"/>
      <c r="G191" s="14"/>
      <c r="H191" s="14"/>
      <c r="I191" s="14"/>
      <c r="J191" s="14"/>
      <c r="K191" s="14"/>
      <c r="L191" s="336"/>
      <c r="M191" s="95" t="str">
        <f t="shared" si="2"/>
        <v xml:space="preserve">   </v>
      </c>
    </row>
    <row r="192" spans="1:13" hidden="1" x14ac:dyDescent="0.2">
      <c r="A192" s="343"/>
      <c r="B192" s="170" t="str">
        <f>Capacidades!M483</f>
        <v xml:space="preserve">   </v>
      </c>
      <c r="C192" s="171"/>
      <c r="D192" s="13"/>
      <c r="E192" s="13"/>
      <c r="F192" s="14"/>
      <c r="G192" s="14"/>
      <c r="H192" s="14"/>
      <c r="I192" s="14"/>
      <c r="J192" s="14"/>
      <c r="K192" s="14"/>
      <c r="L192" s="336"/>
      <c r="M192" s="95" t="str">
        <f t="shared" si="2"/>
        <v xml:space="preserve">   </v>
      </c>
    </row>
    <row r="193" spans="1:13" hidden="1" x14ac:dyDescent="0.2">
      <c r="A193" s="343"/>
      <c r="B193" s="170" t="str">
        <f>Capacidades!M484</f>
        <v xml:space="preserve">   </v>
      </c>
      <c r="C193" s="171"/>
      <c r="D193" s="13"/>
      <c r="E193" s="13"/>
      <c r="F193" s="14"/>
      <c r="G193" s="14"/>
      <c r="H193" s="14"/>
      <c r="I193" s="14"/>
      <c r="J193" s="14"/>
      <c r="K193" s="14"/>
      <c r="L193" s="336"/>
      <c r="M193" s="95" t="str">
        <f t="shared" si="2"/>
        <v xml:space="preserve">   </v>
      </c>
    </row>
    <row r="194" spans="1:13" hidden="1" x14ac:dyDescent="0.2">
      <c r="A194" s="343"/>
      <c r="B194" s="170" t="str">
        <f>Capacidades!M485</f>
        <v xml:space="preserve">   </v>
      </c>
      <c r="C194" s="171"/>
      <c r="D194" s="13"/>
      <c r="E194" s="13"/>
      <c r="F194" s="14"/>
      <c r="G194" s="14"/>
      <c r="H194" s="14"/>
      <c r="I194" s="14"/>
      <c r="J194" s="14"/>
      <c r="K194" s="14"/>
      <c r="L194" s="336"/>
      <c r="M194" s="95" t="str">
        <f t="shared" si="2"/>
        <v xml:space="preserve">   </v>
      </c>
    </row>
    <row r="195" spans="1:13" hidden="1" x14ac:dyDescent="0.2">
      <c r="A195" s="343"/>
      <c r="B195" s="170" t="str">
        <f>Capacidades!M486</f>
        <v xml:space="preserve">   </v>
      </c>
      <c r="C195" s="171"/>
      <c r="D195" s="13"/>
      <c r="E195" s="13"/>
      <c r="F195" s="14"/>
      <c r="G195" s="14"/>
      <c r="H195" s="14"/>
      <c r="I195" s="14"/>
      <c r="J195" s="14"/>
      <c r="K195" s="14"/>
      <c r="L195" s="336"/>
      <c r="M195" s="95" t="str">
        <f t="shared" si="2"/>
        <v xml:space="preserve">   </v>
      </c>
    </row>
    <row r="196" spans="1:13" hidden="1" x14ac:dyDescent="0.2">
      <c r="A196" s="343"/>
      <c r="B196" s="170" t="str">
        <f>Capacidades!M487</f>
        <v xml:space="preserve">   </v>
      </c>
      <c r="C196" s="171"/>
      <c r="D196" s="13"/>
      <c r="E196" s="13"/>
      <c r="F196" s="14"/>
      <c r="G196" s="14"/>
      <c r="H196" s="14"/>
      <c r="I196" s="14"/>
      <c r="J196" s="14"/>
      <c r="K196" s="14"/>
      <c r="L196" s="336"/>
      <c r="M196" s="95" t="str">
        <f t="shared" si="2"/>
        <v xml:space="preserve">   </v>
      </c>
    </row>
    <row r="197" spans="1:13" hidden="1" x14ac:dyDescent="0.2">
      <c r="A197" s="343"/>
      <c r="B197" s="170" t="str">
        <f>Capacidades!M488</f>
        <v xml:space="preserve">   </v>
      </c>
      <c r="C197" s="171"/>
      <c r="D197" s="13"/>
      <c r="E197" s="13"/>
      <c r="F197" s="14"/>
      <c r="G197" s="14"/>
      <c r="H197" s="14"/>
      <c r="I197" s="14"/>
      <c r="J197" s="14"/>
      <c r="K197" s="14"/>
      <c r="L197" s="336"/>
      <c r="M197" s="95" t="str">
        <f t="shared" si="2"/>
        <v xml:space="preserve">   </v>
      </c>
    </row>
    <row r="198" spans="1:13" hidden="1" x14ac:dyDescent="0.2">
      <c r="A198" s="343"/>
      <c r="B198" s="170" t="str">
        <f>Capacidades!M489</f>
        <v xml:space="preserve">   </v>
      </c>
      <c r="C198" s="171"/>
      <c r="D198" s="13"/>
      <c r="E198" s="13"/>
      <c r="F198" s="14"/>
      <c r="G198" s="14"/>
      <c r="H198" s="14"/>
      <c r="I198" s="14"/>
      <c r="J198" s="14"/>
      <c r="K198" s="14"/>
      <c r="L198" s="336"/>
      <c r="M198" s="95" t="str">
        <f t="shared" si="2"/>
        <v xml:space="preserve">   </v>
      </c>
    </row>
    <row r="199" spans="1:13" hidden="1" x14ac:dyDescent="0.2">
      <c r="A199" s="344"/>
      <c r="B199" s="170" t="str">
        <f>Capacidades!M490</f>
        <v xml:space="preserve">   </v>
      </c>
      <c r="C199" s="171"/>
      <c r="D199" s="15"/>
      <c r="E199" s="15"/>
      <c r="F199" s="16"/>
      <c r="G199" s="16"/>
      <c r="H199" s="16"/>
      <c r="I199" s="16"/>
      <c r="J199" s="16"/>
      <c r="K199" s="16"/>
      <c r="L199" s="337"/>
      <c r="M199" s="95" t="str">
        <f t="shared" si="2"/>
        <v xml:space="preserve">   </v>
      </c>
    </row>
    <row r="200" spans="1:13" hidden="1" x14ac:dyDescent="0.2">
      <c r="A200" s="342" t="str">
        <f>Capacidades!L491</f>
        <v xml:space="preserve">       </v>
      </c>
      <c r="B200" s="170" t="str">
        <f>Capacidades!M491</f>
        <v xml:space="preserve">   </v>
      </c>
      <c r="C200" s="171"/>
      <c r="D200" s="11">
        <f>Organización_Modular!F59</f>
        <v>0</v>
      </c>
      <c r="E200" s="11">
        <f>Organización_Modular!G59</f>
        <v>0</v>
      </c>
      <c r="F200" s="11">
        <f>Organización_Modular!H59</f>
        <v>0</v>
      </c>
      <c r="G200" s="11">
        <f>Organización_Modular!I59</f>
        <v>0</v>
      </c>
      <c r="H200" s="12">
        <f>SUM(F200:G200)</f>
        <v>0</v>
      </c>
      <c r="I200" s="12">
        <f>F200*16</f>
        <v>0</v>
      </c>
      <c r="J200" s="12">
        <f>G200*32</f>
        <v>0</v>
      </c>
      <c r="K200" s="12">
        <f>SUM(I200:J200)</f>
        <v>0</v>
      </c>
      <c r="L200" s="335"/>
      <c r="M200" s="95" t="str">
        <f t="shared" si="2"/>
        <v xml:space="preserve">   </v>
      </c>
    </row>
    <row r="201" spans="1:13" hidden="1" x14ac:dyDescent="0.2">
      <c r="A201" s="343"/>
      <c r="B201" s="170" t="str">
        <f>Capacidades!M492</f>
        <v xml:space="preserve">   </v>
      </c>
      <c r="C201" s="171"/>
      <c r="D201" s="13"/>
      <c r="E201" s="13"/>
      <c r="F201" s="14"/>
      <c r="G201" s="14"/>
      <c r="H201" s="14"/>
      <c r="I201" s="14"/>
      <c r="J201" s="14"/>
      <c r="K201" s="14"/>
      <c r="L201" s="336"/>
      <c r="M201" s="95" t="str">
        <f t="shared" si="2"/>
        <v xml:space="preserve">   </v>
      </c>
    </row>
    <row r="202" spans="1:13" hidden="1" x14ac:dyDescent="0.2">
      <c r="A202" s="343"/>
      <c r="B202" s="170" t="str">
        <f>Capacidades!M493</f>
        <v xml:space="preserve">   </v>
      </c>
      <c r="C202" s="171"/>
      <c r="D202" s="13"/>
      <c r="E202" s="13"/>
      <c r="F202" s="14"/>
      <c r="G202" s="14"/>
      <c r="H202" s="14"/>
      <c r="I202" s="14"/>
      <c r="J202" s="14"/>
      <c r="K202" s="14"/>
      <c r="L202" s="336"/>
      <c r="M202" s="95" t="str">
        <f t="shared" si="2"/>
        <v xml:space="preserve">   </v>
      </c>
    </row>
    <row r="203" spans="1:13" hidden="1" x14ac:dyDescent="0.2">
      <c r="A203" s="343"/>
      <c r="B203" s="170" t="str">
        <f>Capacidades!M494</f>
        <v xml:space="preserve">   </v>
      </c>
      <c r="C203" s="171"/>
      <c r="D203" s="13"/>
      <c r="E203" s="13"/>
      <c r="F203" s="14"/>
      <c r="G203" s="14"/>
      <c r="H203" s="14"/>
      <c r="I203" s="14"/>
      <c r="J203" s="14"/>
      <c r="K203" s="14"/>
      <c r="L203" s="336"/>
      <c r="M203" s="95" t="str">
        <f t="shared" si="2"/>
        <v xml:space="preserve">   </v>
      </c>
    </row>
    <row r="204" spans="1:13" hidden="1" x14ac:dyDescent="0.2">
      <c r="A204" s="343"/>
      <c r="B204" s="170" t="str">
        <f>Capacidades!M495</f>
        <v xml:space="preserve">   </v>
      </c>
      <c r="C204" s="171"/>
      <c r="D204" s="13"/>
      <c r="E204" s="13"/>
      <c r="F204" s="14"/>
      <c r="G204" s="14"/>
      <c r="H204" s="14"/>
      <c r="I204" s="14"/>
      <c r="J204" s="14"/>
      <c r="K204" s="14"/>
      <c r="L204" s="336"/>
      <c r="M204" s="95" t="str">
        <f t="shared" si="2"/>
        <v xml:space="preserve">   </v>
      </c>
    </row>
    <row r="205" spans="1:13" hidden="1" x14ac:dyDescent="0.2">
      <c r="A205" s="343"/>
      <c r="B205" s="170" t="str">
        <f>Capacidades!M496</f>
        <v xml:space="preserve">   </v>
      </c>
      <c r="C205" s="171"/>
      <c r="D205" s="13"/>
      <c r="E205" s="13"/>
      <c r="F205" s="14"/>
      <c r="G205" s="14"/>
      <c r="H205" s="14"/>
      <c r="I205" s="14"/>
      <c r="J205" s="14"/>
      <c r="K205" s="14"/>
      <c r="L205" s="336"/>
      <c r="M205" s="95" t="str">
        <f t="shared" si="2"/>
        <v xml:space="preserve">   </v>
      </c>
    </row>
    <row r="206" spans="1:13" hidden="1" x14ac:dyDescent="0.2">
      <c r="A206" s="343"/>
      <c r="B206" s="170" t="str">
        <f>Capacidades!M497</f>
        <v xml:space="preserve">   </v>
      </c>
      <c r="C206" s="171"/>
      <c r="D206" s="13"/>
      <c r="E206" s="13"/>
      <c r="F206" s="14"/>
      <c r="G206" s="14"/>
      <c r="H206" s="14"/>
      <c r="I206" s="14"/>
      <c r="J206" s="14"/>
      <c r="K206" s="14"/>
      <c r="L206" s="336"/>
      <c r="M206" s="95" t="str">
        <f t="shared" si="2"/>
        <v xml:space="preserve">   </v>
      </c>
    </row>
    <row r="207" spans="1:13" hidden="1" x14ac:dyDescent="0.2">
      <c r="A207" s="343"/>
      <c r="B207" s="170" t="str">
        <f>Capacidades!M498</f>
        <v xml:space="preserve">   </v>
      </c>
      <c r="C207" s="171"/>
      <c r="D207" s="13"/>
      <c r="E207" s="13"/>
      <c r="F207" s="14"/>
      <c r="G207" s="14"/>
      <c r="H207" s="14"/>
      <c r="I207" s="14"/>
      <c r="J207" s="14"/>
      <c r="K207" s="14"/>
      <c r="L207" s="336"/>
      <c r="M207" s="95" t="str">
        <f t="shared" si="2"/>
        <v xml:space="preserve">   </v>
      </c>
    </row>
    <row r="208" spans="1:13" hidden="1" x14ac:dyDescent="0.2">
      <c r="A208" s="343"/>
      <c r="B208" s="170" t="str">
        <f>Capacidades!M499</f>
        <v xml:space="preserve">   </v>
      </c>
      <c r="C208" s="171"/>
      <c r="D208" s="13"/>
      <c r="E208" s="13"/>
      <c r="F208" s="14"/>
      <c r="G208" s="14"/>
      <c r="H208" s="14"/>
      <c r="I208" s="14"/>
      <c r="J208" s="14"/>
      <c r="K208" s="14"/>
      <c r="L208" s="336"/>
      <c r="M208" s="95" t="str">
        <f t="shared" si="2"/>
        <v xml:space="preserve">   </v>
      </c>
    </row>
    <row r="209" spans="1:13" hidden="1" x14ac:dyDescent="0.2">
      <c r="A209" s="344"/>
      <c r="B209" s="170" t="str">
        <f>Capacidades!M500</f>
        <v xml:space="preserve">   </v>
      </c>
      <c r="C209" s="171"/>
      <c r="D209" s="15"/>
      <c r="E209" s="15"/>
      <c r="F209" s="16"/>
      <c r="G209" s="16"/>
      <c r="H209" s="16"/>
      <c r="I209" s="16"/>
      <c r="J209" s="16"/>
      <c r="K209" s="16"/>
      <c r="L209" s="337"/>
      <c r="M209" s="95" t="str">
        <f t="shared" si="2"/>
        <v xml:space="preserve">   </v>
      </c>
    </row>
    <row r="210" spans="1:13" hidden="1" x14ac:dyDescent="0.2">
      <c r="A210" s="342" t="str">
        <f>Capacidades!L501</f>
        <v xml:space="preserve">       </v>
      </c>
      <c r="B210" s="170" t="str">
        <f>Capacidades!M501</f>
        <v xml:space="preserve">   </v>
      </c>
      <c r="C210" s="171"/>
      <c r="D210" s="11">
        <f>Organización_Modular!F60</f>
        <v>0</v>
      </c>
      <c r="E210" s="11">
        <f>Organización_Modular!G60</f>
        <v>0</v>
      </c>
      <c r="F210" s="11">
        <f>Organización_Modular!H60</f>
        <v>0</v>
      </c>
      <c r="G210" s="11">
        <f>Organización_Modular!I60</f>
        <v>0</v>
      </c>
      <c r="H210" s="12">
        <f>SUM(F210:G210)</f>
        <v>0</v>
      </c>
      <c r="I210" s="12">
        <f>F210*16</f>
        <v>0</v>
      </c>
      <c r="J210" s="12">
        <f>G210*32</f>
        <v>0</v>
      </c>
      <c r="K210" s="12">
        <f>SUM(I210:J210)</f>
        <v>0</v>
      </c>
      <c r="L210" s="335"/>
      <c r="M210" s="95" t="str">
        <f t="shared" si="2"/>
        <v xml:space="preserve">   </v>
      </c>
    </row>
    <row r="211" spans="1:13" hidden="1" x14ac:dyDescent="0.2">
      <c r="A211" s="343"/>
      <c r="B211" s="170" t="str">
        <f>Capacidades!M502</f>
        <v xml:space="preserve">   </v>
      </c>
      <c r="C211" s="171"/>
      <c r="D211" s="13"/>
      <c r="E211" s="13"/>
      <c r="F211" s="14"/>
      <c r="G211" s="14"/>
      <c r="H211" s="14"/>
      <c r="I211" s="14"/>
      <c r="J211" s="14"/>
      <c r="K211" s="14"/>
      <c r="L211" s="336"/>
      <c r="M211" s="95" t="str">
        <f t="shared" si="2"/>
        <v xml:space="preserve">   </v>
      </c>
    </row>
    <row r="212" spans="1:13" hidden="1" x14ac:dyDescent="0.2">
      <c r="A212" s="343"/>
      <c r="B212" s="170" t="str">
        <f>Capacidades!M503</f>
        <v xml:space="preserve">   </v>
      </c>
      <c r="C212" s="171"/>
      <c r="D212" s="13"/>
      <c r="E212" s="13"/>
      <c r="F212" s="14"/>
      <c r="G212" s="14"/>
      <c r="H212" s="14"/>
      <c r="I212" s="14"/>
      <c r="J212" s="14"/>
      <c r="K212" s="14"/>
      <c r="L212" s="336"/>
      <c r="M212" s="95" t="str">
        <f t="shared" si="2"/>
        <v xml:space="preserve">   </v>
      </c>
    </row>
    <row r="213" spans="1:13" hidden="1" x14ac:dyDescent="0.2">
      <c r="A213" s="343"/>
      <c r="B213" s="170" t="str">
        <f>Capacidades!M504</f>
        <v xml:space="preserve">   </v>
      </c>
      <c r="C213" s="171"/>
      <c r="D213" s="13"/>
      <c r="E213" s="13"/>
      <c r="F213" s="14"/>
      <c r="G213" s="14"/>
      <c r="H213" s="14"/>
      <c r="I213" s="14"/>
      <c r="J213" s="14"/>
      <c r="K213" s="14"/>
      <c r="L213" s="336"/>
      <c r="M213" s="95" t="str">
        <f t="shared" ref="M213:M218" si="3">B213</f>
        <v xml:space="preserve">   </v>
      </c>
    </row>
    <row r="214" spans="1:13" ht="9" hidden="1" customHeight="1" x14ac:dyDescent="0.2">
      <c r="A214" s="343"/>
      <c r="B214" s="170" t="str">
        <f>Capacidades!M505</f>
        <v xml:space="preserve">   </v>
      </c>
      <c r="C214" s="171"/>
      <c r="D214" s="13"/>
      <c r="E214" s="13"/>
      <c r="F214" s="14"/>
      <c r="G214" s="14"/>
      <c r="H214" s="14"/>
      <c r="I214" s="14"/>
      <c r="J214" s="14"/>
      <c r="K214" s="14"/>
      <c r="L214" s="336"/>
      <c r="M214" s="95" t="str">
        <f t="shared" si="3"/>
        <v xml:space="preserve">   </v>
      </c>
    </row>
    <row r="215" spans="1:13" ht="15" hidden="1" customHeight="1" x14ac:dyDescent="0.2">
      <c r="A215" s="343"/>
      <c r="B215" s="170" t="str">
        <f>Capacidades!M506</f>
        <v xml:space="preserve">   </v>
      </c>
      <c r="C215" s="171"/>
      <c r="D215" s="13"/>
      <c r="E215" s="13"/>
      <c r="F215" s="14"/>
      <c r="G215" s="14"/>
      <c r="H215" s="14"/>
      <c r="I215" s="14"/>
      <c r="J215" s="14"/>
      <c r="K215" s="14"/>
      <c r="L215" s="336"/>
      <c r="M215" s="95" t="str">
        <f t="shared" si="3"/>
        <v xml:space="preserve">   </v>
      </c>
    </row>
    <row r="216" spans="1:13" hidden="1" x14ac:dyDescent="0.2">
      <c r="A216" s="343"/>
      <c r="B216" s="170" t="str">
        <f>Capacidades!M507</f>
        <v xml:space="preserve">   </v>
      </c>
      <c r="C216" s="171"/>
      <c r="D216" s="13"/>
      <c r="E216" s="13"/>
      <c r="F216" s="14"/>
      <c r="G216" s="14"/>
      <c r="H216" s="14"/>
      <c r="I216" s="14"/>
      <c r="J216" s="14"/>
      <c r="K216" s="14"/>
      <c r="L216" s="336"/>
      <c r="M216" s="95" t="str">
        <f t="shared" si="3"/>
        <v xml:space="preserve">   </v>
      </c>
    </row>
    <row r="217" spans="1:13" hidden="1" x14ac:dyDescent="0.2">
      <c r="A217" s="343"/>
      <c r="B217" s="170" t="str">
        <f>Capacidades!M508</f>
        <v xml:space="preserve">   </v>
      </c>
      <c r="C217" s="171"/>
      <c r="D217" s="13"/>
      <c r="E217" s="13"/>
      <c r="F217" s="14"/>
      <c r="G217" s="14"/>
      <c r="H217" s="14"/>
      <c r="I217" s="14"/>
      <c r="J217" s="14"/>
      <c r="K217" s="14"/>
      <c r="L217" s="336"/>
      <c r="M217" s="95" t="str">
        <f t="shared" si="3"/>
        <v xml:space="preserve">   </v>
      </c>
    </row>
    <row r="218" spans="1:13" hidden="1" x14ac:dyDescent="0.2">
      <c r="A218" s="343"/>
      <c r="B218" s="170" t="str">
        <f>Capacidades!M509</f>
        <v xml:space="preserve">   </v>
      </c>
      <c r="C218" s="171"/>
      <c r="D218" s="13"/>
      <c r="E218" s="13"/>
      <c r="F218" s="14"/>
      <c r="G218" s="14"/>
      <c r="H218" s="14"/>
      <c r="I218" s="14"/>
      <c r="J218" s="14"/>
      <c r="K218" s="14"/>
      <c r="L218" s="336"/>
      <c r="M218" s="95" t="str">
        <f t="shared" si="3"/>
        <v xml:space="preserve">   </v>
      </c>
    </row>
    <row r="219" spans="1:13" ht="22.5" customHeight="1" x14ac:dyDescent="0.2">
      <c r="A219" s="354" t="s">
        <v>105</v>
      </c>
      <c r="B219" s="354"/>
      <c r="C219" s="354"/>
      <c r="D219" s="354"/>
      <c r="E219" s="354"/>
      <c r="F219" s="354"/>
      <c r="G219" s="354"/>
      <c r="H219" s="354"/>
      <c r="I219" s="354"/>
      <c r="J219" s="354"/>
      <c r="K219" s="354"/>
      <c r="L219" s="354"/>
      <c r="M219" s="95" t="str">
        <f>A219</f>
        <v>COMPETENCIAS PARA LA EMPLEABILIDAD INCORPORADAS MEDIANTE UNIDAD DIDÁCTICA</v>
      </c>
    </row>
    <row r="220" spans="1:13" ht="17.25" customHeight="1" x14ac:dyDescent="0.2">
      <c r="A220" s="355" t="str">
        <f>Organización_Modular!C61</f>
        <v>CE5 Solución de problemas.-  Identificar situaciones complejas para evaluar posibles soluciones, aplicando un conjunto de herramientas flexibles que conlleven a la atención de una necesidad.(UD)</v>
      </c>
      <c r="B220" s="355"/>
      <c r="C220" s="355"/>
      <c r="D220" s="355"/>
      <c r="E220" s="355"/>
      <c r="F220" s="355"/>
      <c r="G220" s="355"/>
      <c r="H220" s="355"/>
      <c r="I220" s="355"/>
      <c r="J220" s="355"/>
      <c r="K220" s="355"/>
      <c r="L220" s="355"/>
      <c r="M220" s="95" t="str">
        <f>A220</f>
        <v>CE5 Solución de problemas.-  Identificar situaciones complejas para evaluar posibles soluciones, aplicando un conjunto de herramientas flexibles que conlleven a la atención de una necesidad.(UD)</v>
      </c>
    </row>
    <row r="221" spans="1:13" ht="12.75" customHeight="1" x14ac:dyDescent="0.2">
      <c r="A221" s="359" t="s">
        <v>99</v>
      </c>
      <c r="B221" s="360" t="s">
        <v>98</v>
      </c>
      <c r="C221" s="359" t="s">
        <v>97</v>
      </c>
      <c r="D221" s="359" t="s">
        <v>0</v>
      </c>
      <c r="E221" s="349" t="s">
        <v>61</v>
      </c>
      <c r="F221" s="359" t="s">
        <v>90</v>
      </c>
      <c r="G221" s="359"/>
      <c r="H221" s="359" t="s">
        <v>90</v>
      </c>
      <c r="I221" s="359" t="s">
        <v>96</v>
      </c>
      <c r="J221" s="359"/>
      <c r="K221" s="359" t="s">
        <v>96</v>
      </c>
      <c r="L221" s="359" t="s">
        <v>95</v>
      </c>
      <c r="M221" s="95" t="str">
        <f t="shared" ref="M221" si="4">A221</f>
        <v>CAPACIDADES DE EMPLEABILIDAD</v>
      </c>
    </row>
    <row r="222" spans="1:13" hidden="1" x14ac:dyDescent="0.2">
      <c r="A222" s="359"/>
      <c r="B222" s="360"/>
      <c r="C222" s="359"/>
      <c r="D222" s="359"/>
      <c r="E222" s="349"/>
      <c r="F222" s="160" t="s">
        <v>94</v>
      </c>
      <c r="G222" s="160" t="s">
        <v>93</v>
      </c>
      <c r="H222" s="359"/>
      <c r="I222" s="160" t="s">
        <v>94</v>
      </c>
      <c r="J222" s="160" t="s">
        <v>93</v>
      </c>
      <c r="K222" s="359"/>
      <c r="L222" s="359"/>
      <c r="M222" s="95" t="str">
        <f>A221</f>
        <v>CAPACIDADES DE EMPLEABILIDAD</v>
      </c>
    </row>
    <row r="223" spans="1:13" ht="80.25" customHeight="1" x14ac:dyDescent="0.2">
      <c r="A223" s="342" t="str">
        <f>Capacidades!L511</f>
        <v xml:space="preserve">CE5 C1 Identificar situaciones o problemas del proceso productivo o de servicios  considerando los objetivos del  área de desempeño.    </v>
      </c>
      <c r="B223" s="172" t="str">
        <f>Capacidades!M511</f>
        <v>C1 I1 Describe  problemas de su área,  considerando sus características y efectos.</v>
      </c>
      <c r="C223" s="173" t="s">
        <v>359</v>
      </c>
      <c r="D223" s="13" t="str">
        <f>Organización_Modular!F61</f>
        <v>Solucion de Problemas</v>
      </c>
      <c r="E223" s="13" t="str">
        <f>Organización_Modular!G61</f>
        <v>II</v>
      </c>
      <c r="F223" s="13">
        <f>Organización_Modular!H61</f>
        <v>0</v>
      </c>
      <c r="G223" s="13">
        <f>Organización_Modular!I61</f>
        <v>1</v>
      </c>
      <c r="H223" s="14">
        <f>SUM(F223:G223)</f>
        <v>1</v>
      </c>
      <c r="I223" s="14">
        <f>F223*16</f>
        <v>0</v>
      </c>
      <c r="J223" s="14">
        <f>G223*32</f>
        <v>32</v>
      </c>
      <c r="K223" s="14">
        <f>SUM(I223:J223)</f>
        <v>32</v>
      </c>
      <c r="L223" s="384" t="s">
        <v>631</v>
      </c>
      <c r="M223" s="95" t="str">
        <f>B223</f>
        <v>C1 I1 Describe  problemas de su área,  considerando sus características y efectos.</v>
      </c>
    </row>
    <row r="224" spans="1:13" ht="68.25" customHeight="1" x14ac:dyDescent="0.2">
      <c r="A224" s="343"/>
      <c r="B224" s="172" t="str">
        <f>Capacidades!M512</f>
        <v xml:space="preserve">C2 I2 Caracteriza las causas y consecuencias de situaciones o  problemas del área de desempeño, analizando la información disponible. </v>
      </c>
      <c r="C224" s="171" t="s">
        <v>386</v>
      </c>
      <c r="D224" s="13"/>
      <c r="E224" s="13"/>
      <c r="F224" s="14"/>
      <c r="G224" s="14"/>
      <c r="H224" s="14"/>
      <c r="I224" s="14"/>
      <c r="J224" s="14"/>
      <c r="K224" s="14"/>
      <c r="L224" s="385"/>
      <c r="M224" s="95" t="str">
        <f t="shared" ref="M224:M287" si="5">B224</f>
        <v xml:space="preserve">C2 I2 Caracteriza las causas y consecuencias de situaciones o  problemas del área de desempeño, analizando la información disponible. </v>
      </c>
    </row>
    <row r="225" spans="1:13" ht="12.75" hidden="1" customHeight="1" x14ac:dyDescent="0.2">
      <c r="A225" s="343"/>
      <c r="B225" s="172" t="str">
        <f>Capacidades!M513</f>
        <v xml:space="preserve">   </v>
      </c>
      <c r="C225" s="171"/>
      <c r="D225" s="13"/>
      <c r="E225" s="13"/>
      <c r="F225" s="14"/>
      <c r="G225" s="14"/>
      <c r="H225" s="14"/>
      <c r="I225" s="14"/>
      <c r="J225" s="14"/>
      <c r="K225" s="14"/>
      <c r="L225" s="385"/>
      <c r="M225" s="95" t="str">
        <f t="shared" si="5"/>
        <v xml:space="preserve">   </v>
      </c>
    </row>
    <row r="226" spans="1:13" ht="12.75" hidden="1" customHeight="1" x14ac:dyDescent="0.2">
      <c r="A226" s="343"/>
      <c r="B226" s="172" t="str">
        <f>Capacidades!M514</f>
        <v xml:space="preserve">   </v>
      </c>
      <c r="C226" s="171"/>
      <c r="D226" s="13"/>
      <c r="E226" s="13"/>
      <c r="F226" s="14"/>
      <c r="G226" s="14"/>
      <c r="H226" s="14"/>
      <c r="I226" s="14"/>
      <c r="J226" s="14"/>
      <c r="K226" s="14"/>
      <c r="L226" s="385"/>
      <c r="M226" s="95" t="str">
        <f t="shared" si="5"/>
        <v xml:space="preserve">   </v>
      </c>
    </row>
    <row r="227" spans="1:13" ht="12.75" hidden="1" customHeight="1" x14ac:dyDescent="0.2">
      <c r="A227" s="343"/>
      <c r="B227" s="172" t="str">
        <f>Capacidades!M515</f>
        <v xml:space="preserve">   </v>
      </c>
      <c r="C227" s="171"/>
      <c r="D227" s="13"/>
      <c r="E227" s="13"/>
      <c r="F227" s="14"/>
      <c r="G227" s="14"/>
      <c r="H227" s="14"/>
      <c r="I227" s="14"/>
      <c r="J227" s="14"/>
      <c r="K227" s="14"/>
      <c r="L227" s="385"/>
      <c r="M227" s="95" t="str">
        <f t="shared" si="5"/>
        <v xml:space="preserve">   </v>
      </c>
    </row>
    <row r="228" spans="1:13" ht="12.75" hidden="1" customHeight="1" x14ac:dyDescent="0.2">
      <c r="A228" s="343"/>
      <c r="B228" s="172" t="str">
        <f>Capacidades!M516</f>
        <v xml:space="preserve">   </v>
      </c>
      <c r="C228" s="171"/>
      <c r="D228" s="13"/>
      <c r="E228" s="13"/>
      <c r="F228" s="14"/>
      <c r="G228" s="14"/>
      <c r="H228" s="14"/>
      <c r="I228" s="14"/>
      <c r="J228" s="14"/>
      <c r="K228" s="14"/>
      <c r="L228" s="385"/>
      <c r="M228" s="95" t="str">
        <f t="shared" si="5"/>
        <v xml:space="preserve">   </v>
      </c>
    </row>
    <row r="229" spans="1:13" ht="12.75" hidden="1" customHeight="1" x14ac:dyDescent="0.2">
      <c r="A229" s="343"/>
      <c r="B229" s="172" t="str">
        <f>Capacidades!M517</f>
        <v xml:space="preserve">   </v>
      </c>
      <c r="C229" s="171"/>
      <c r="D229" s="13"/>
      <c r="E229" s="13"/>
      <c r="F229" s="14"/>
      <c r="G229" s="14"/>
      <c r="H229" s="14"/>
      <c r="I229" s="14"/>
      <c r="J229" s="14"/>
      <c r="K229" s="14"/>
      <c r="L229" s="385"/>
      <c r="M229" s="95" t="str">
        <f t="shared" si="5"/>
        <v xml:space="preserve">   </v>
      </c>
    </row>
    <row r="230" spans="1:13" ht="12.75" hidden="1" customHeight="1" x14ac:dyDescent="0.2">
      <c r="A230" s="343"/>
      <c r="B230" s="172" t="str">
        <f>Capacidades!M518</f>
        <v xml:space="preserve">   </v>
      </c>
      <c r="C230" s="171"/>
      <c r="D230" s="13"/>
      <c r="E230" s="13"/>
      <c r="F230" s="14"/>
      <c r="G230" s="14"/>
      <c r="H230" s="14"/>
      <c r="I230" s="14"/>
      <c r="J230" s="14"/>
      <c r="K230" s="14"/>
      <c r="L230" s="385"/>
      <c r="M230" s="95" t="str">
        <f t="shared" si="5"/>
        <v xml:space="preserve">   </v>
      </c>
    </row>
    <row r="231" spans="1:13" ht="12.75" hidden="1" customHeight="1" x14ac:dyDescent="0.2">
      <c r="A231" s="343"/>
      <c r="B231" s="172" t="str">
        <f>Capacidades!M519</f>
        <v xml:space="preserve">   </v>
      </c>
      <c r="C231" s="171"/>
      <c r="D231" s="13"/>
      <c r="E231" s="13"/>
      <c r="F231" s="14"/>
      <c r="G231" s="14"/>
      <c r="H231" s="14"/>
      <c r="I231" s="14"/>
      <c r="J231" s="14"/>
      <c r="K231" s="14"/>
      <c r="L231" s="385"/>
      <c r="M231" s="95" t="str">
        <f t="shared" si="5"/>
        <v xml:space="preserve">   </v>
      </c>
    </row>
    <row r="232" spans="1:13" ht="12.75" hidden="1" customHeight="1" x14ac:dyDescent="0.2">
      <c r="A232" s="344"/>
      <c r="B232" s="172" t="str">
        <f>Capacidades!M520</f>
        <v xml:space="preserve">   </v>
      </c>
      <c r="C232" s="171"/>
      <c r="D232" s="15"/>
      <c r="E232" s="15"/>
      <c r="F232" s="16"/>
      <c r="G232" s="16"/>
      <c r="H232" s="16"/>
      <c r="I232" s="16"/>
      <c r="J232" s="16"/>
      <c r="K232" s="16"/>
      <c r="L232" s="385"/>
      <c r="M232" s="95" t="str">
        <f t="shared" si="5"/>
        <v xml:space="preserve">   </v>
      </c>
    </row>
    <row r="233" spans="1:13" ht="90" customHeight="1" x14ac:dyDescent="0.2">
      <c r="A233" s="342" t="str">
        <f>Capacidades!L521</f>
        <v xml:space="preserve">CE5 C2 Plantear alternativas de soluciones a situaciones o problemas del proceso productivo o de servicios,  considerando los objetivos del 
 área de desempeño.    </v>
      </c>
      <c r="B233" s="172" t="str">
        <f>Capacidades!M521</f>
        <v>CE5 I1 Selecciona las herramientas considerando el problema 
identificado y su eficacia de 
acción.</v>
      </c>
      <c r="C233" s="171" t="s">
        <v>387</v>
      </c>
      <c r="D233" s="11" t="str">
        <f>Organización_Modular!F62</f>
        <v>Alternativas de solución de problemas.</v>
      </c>
      <c r="E233" s="11" t="str">
        <f>Organización_Modular!G62</f>
        <v>II</v>
      </c>
      <c r="F233" s="11">
        <f>Organización_Modular!H62</f>
        <v>0</v>
      </c>
      <c r="G233" s="11">
        <f>Organización_Modular!I62</f>
        <v>1</v>
      </c>
      <c r="H233" s="12">
        <f>SUM(F233:G233)</f>
        <v>1</v>
      </c>
      <c r="I233" s="12">
        <f>F233*16</f>
        <v>0</v>
      </c>
      <c r="J233" s="12">
        <f>G233*32</f>
        <v>32</v>
      </c>
      <c r="K233" s="12">
        <f>SUM(I233:J233)</f>
        <v>32</v>
      </c>
      <c r="L233" s="385"/>
      <c r="M233" s="95" t="str">
        <f t="shared" si="5"/>
        <v>CE5 I1 Selecciona las herramientas considerando el problema 
identificado y su eficacia de 
acción.</v>
      </c>
    </row>
    <row r="234" spans="1:13" ht="81" customHeight="1" x14ac:dyDescent="0.2">
      <c r="A234" s="343"/>
      <c r="B234" s="172" t="str">
        <f>Capacidades!M522</f>
        <v>CE5 C2 Propone alternativas de solución
 efectiva del problema, teniendo en cuenta hechos, 
referentes de fuentes
 bibliográficas y las
 herramientas de apoyo.</v>
      </c>
      <c r="C234" s="171" t="s">
        <v>388</v>
      </c>
      <c r="D234" s="13"/>
      <c r="E234" s="13"/>
      <c r="F234" s="14"/>
      <c r="G234" s="14"/>
      <c r="H234" s="14"/>
      <c r="I234" s="14"/>
      <c r="J234" s="14"/>
      <c r="K234" s="14"/>
      <c r="L234" s="385"/>
      <c r="M234" s="95" t="str">
        <f t="shared" si="5"/>
        <v>CE5 C2 Propone alternativas de solución
 efectiva del problema, teniendo en cuenta hechos, 
referentes de fuentes
 bibliográficas y las
 herramientas de apoyo.</v>
      </c>
    </row>
    <row r="235" spans="1:13" ht="12.75" hidden="1" customHeight="1" x14ac:dyDescent="0.2">
      <c r="A235" s="343"/>
      <c r="B235" s="172" t="str">
        <f>Capacidades!M523</f>
        <v xml:space="preserve">   </v>
      </c>
      <c r="C235" s="171"/>
      <c r="D235" s="13"/>
      <c r="E235" s="13"/>
      <c r="F235" s="14"/>
      <c r="G235" s="14"/>
      <c r="H235" s="14"/>
      <c r="I235" s="14"/>
      <c r="J235" s="14"/>
      <c r="K235" s="14"/>
      <c r="L235" s="385"/>
      <c r="M235" s="95" t="str">
        <f t="shared" si="5"/>
        <v xml:space="preserve">   </v>
      </c>
    </row>
    <row r="236" spans="1:13" ht="12.75" hidden="1" customHeight="1" x14ac:dyDescent="0.2">
      <c r="A236" s="343"/>
      <c r="B236" s="172" t="str">
        <f>Capacidades!M524</f>
        <v xml:space="preserve">   </v>
      </c>
      <c r="C236" s="171"/>
      <c r="D236" s="13"/>
      <c r="E236" s="13"/>
      <c r="F236" s="14"/>
      <c r="G236" s="14"/>
      <c r="H236" s="14"/>
      <c r="I236" s="14"/>
      <c r="J236" s="14"/>
      <c r="K236" s="14"/>
      <c r="L236" s="385"/>
      <c r="M236" s="95" t="str">
        <f t="shared" si="5"/>
        <v xml:space="preserve">   </v>
      </c>
    </row>
    <row r="237" spans="1:13" ht="12.75" hidden="1" customHeight="1" x14ac:dyDescent="0.2">
      <c r="A237" s="343"/>
      <c r="B237" s="172" t="str">
        <f>Capacidades!M525</f>
        <v xml:space="preserve">   </v>
      </c>
      <c r="C237" s="171"/>
      <c r="D237" s="13"/>
      <c r="E237" s="13"/>
      <c r="F237" s="14"/>
      <c r="G237" s="14"/>
      <c r="H237" s="14"/>
      <c r="I237" s="14"/>
      <c r="J237" s="14"/>
      <c r="K237" s="14"/>
      <c r="L237" s="385"/>
      <c r="M237" s="95" t="str">
        <f t="shared" si="5"/>
        <v xml:space="preserve">   </v>
      </c>
    </row>
    <row r="238" spans="1:13" ht="12.75" hidden="1" customHeight="1" x14ac:dyDescent="0.2">
      <c r="A238" s="343"/>
      <c r="B238" s="172" t="str">
        <f>Capacidades!M526</f>
        <v xml:space="preserve">   </v>
      </c>
      <c r="C238" s="171"/>
      <c r="D238" s="13"/>
      <c r="E238" s="13"/>
      <c r="F238" s="14"/>
      <c r="G238" s="14"/>
      <c r="H238" s="14"/>
      <c r="I238" s="14"/>
      <c r="J238" s="14"/>
      <c r="K238" s="14"/>
      <c r="L238" s="385"/>
      <c r="M238" s="95" t="str">
        <f t="shared" si="5"/>
        <v xml:space="preserve">   </v>
      </c>
    </row>
    <row r="239" spans="1:13" ht="12.75" hidden="1" customHeight="1" x14ac:dyDescent="0.2">
      <c r="A239" s="343"/>
      <c r="B239" s="172" t="str">
        <f>Capacidades!M527</f>
        <v xml:space="preserve">   </v>
      </c>
      <c r="C239" s="171"/>
      <c r="D239" s="13"/>
      <c r="E239" s="13"/>
      <c r="F239" s="14"/>
      <c r="G239" s="14"/>
      <c r="H239" s="14"/>
      <c r="I239" s="14"/>
      <c r="J239" s="14"/>
      <c r="K239" s="14"/>
      <c r="L239" s="385"/>
      <c r="M239" s="95" t="str">
        <f t="shared" si="5"/>
        <v xml:space="preserve">   </v>
      </c>
    </row>
    <row r="240" spans="1:13" ht="12.75" hidden="1" customHeight="1" x14ac:dyDescent="0.2">
      <c r="A240" s="343"/>
      <c r="B240" s="172" t="str">
        <f>Capacidades!M528</f>
        <v xml:space="preserve">   </v>
      </c>
      <c r="C240" s="171"/>
      <c r="D240" s="13"/>
      <c r="E240" s="13"/>
      <c r="F240" s="14"/>
      <c r="G240" s="14"/>
      <c r="H240" s="14"/>
      <c r="I240" s="14"/>
      <c r="J240" s="14"/>
      <c r="K240" s="14"/>
      <c r="L240" s="385"/>
      <c r="M240" s="95" t="str">
        <f t="shared" si="5"/>
        <v xml:space="preserve">   </v>
      </c>
    </row>
    <row r="241" spans="1:13" ht="12.75" hidden="1" customHeight="1" x14ac:dyDescent="0.2">
      <c r="A241" s="343"/>
      <c r="B241" s="172" t="str">
        <f>Capacidades!M529</f>
        <v xml:space="preserve">   </v>
      </c>
      <c r="C241" s="171"/>
      <c r="D241" s="13"/>
      <c r="E241" s="13"/>
      <c r="F241" s="14"/>
      <c r="G241" s="14"/>
      <c r="H241" s="14"/>
      <c r="I241" s="14"/>
      <c r="J241" s="14"/>
      <c r="K241" s="14"/>
      <c r="L241" s="385"/>
      <c r="M241" s="95" t="str">
        <f t="shared" si="5"/>
        <v xml:space="preserve">   </v>
      </c>
    </row>
    <row r="242" spans="1:13" ht="12.75" hidden="1" customHeight="1" x14ac:dyDescent="0.2">
      <c r="A242" s="344"/>
      <c r="B242" s="172" t="str">
        <f>Capacidades!M530</f>
        <v xml:space="preserve">   </v>
      </c>
      <c r="C242" s="174"/>
      <c r="D242" s="13"/>
      <c r="E242" s="13"/>
      <c r="F242" s="14"/>
      <c r="G242" s="14"/>
      <c r="H242" s="14"/>
      <c r="I242" s="14"/>
      <c r="J242" s="14"/>
      <c r="K242" s="14"/>
      <c r="L242" s="386"/>
      <c r="M242" s="95" t="str">
        <f t="shared" si="5"/>
        <v xml:space="preserve">   </v>
      </c>
    </row>
    <row r="243" spans="1:13" ht="39.6" hidden="1" customHeight="1" x14ac:dyDescent="0.2">
      <c r="A243" s="342" t="str">
        <f>Capacidades!L531</f>
        <v xml:space="preserve">       </v>
      </c>
      <c r="B243" s="172" t="str">
        <f>Capacidades!M531</f>
        <v xml:space="preserve">   </v>
      </c>
      <c r="C243" s="171"/>
      <c r="D243" s="11">
        <f>Organización_Modular!F63</f>
        <v>0</v>
      </c>
      <c r="E243" s="11">
        <f>Organización_Modular!G63</f>
        <v>0</v>
      </c>
      <c r="F243" s="11">
        <f>Organización_Modular!H63</f>
        <v>0</v>
      </c>
      <c r="G243" s="11">
        <f>Organización_Modular!I63</f>
        <v>0</v>
      </c>
      <c r="H243" s="12">
        <f>SUM(F243:G243)</f>
        <v>0</v>
      </c>
      <c r="I243" s="12">
        <f>F243*16</f>
        <v>0</v>
      </c>
      <c r="J243" s="12">
        <f>G243*32</f>
        <v>0</v>
      </c>
      <c r="K243" s="12">
        <f>SUM(I243:J243)</f>
        <v>0</v>
      </c>
      <c r="L243" s="335"/>
      <c r="M243" s="95" t="str">
        <f t="shared" si="5"/>
        <v xml:space="preserve">   </v>
      </c>
    </row>
    <row r="244" spans="1:13" ht="43.5" hidden="1" customHeight="1" x14ac:dyDescent="0.2">
      <c r="A244" s="343"/>
      <c r="B244" s="172" t="str">
        <f>Capacidades!M532</f>
        <v xml:space="preserve">   </v>
      </c>
      <c r="C244" s="171"/>
      <c r="D244" s="13"/>
      <c r="E244" s="13"/>
      <c r="F244" s="14"/>
      <c r="G244" s="14"/>
      <c r="H244" s="14"/>
      <c r="I244" s="14"/>
      <c r="J244" s="14"/>
      <c r="K244" s="14"/>
      <c r="L244" s="336"/>
      <c r="M244" s="95" t="str">
        <f t="shared" si="5"/>
        <v xml:space="preserve">   </v>
      </c>
    </row>
    <row r="245" spans="1:13" hidden="1" x14ac:dyDescent="0.2">
      <c r="A245" s="343"/>
      <c r="B245" s="172" t="str">
        <f>Capacidades!M533</f>
        <v xml:space="preserve">   </v>
      </c>
      <c r="C245" s="171"/>
      <c r="D245" s="13"/>
      <c r="E245" s="13"/>
      <c r="F245" s="14"/>
      <c r="G245" s="14"/>
      <c r="H245" s="14"/>
      <c r="I245" s="14"/>
      <c r="J245" s="14"/>
      <c r="K245" s="14"/>
      <c r="L245" s="336"/>
      <c r="M245" s="95" t="str">
        <f t="shared" si="5"/>
        <v xml:space="preserve">   </v>
      </c>
    </row>
    <row r="246" spans="1:13" hidden="1" x14ac:dyDescent="0.2">
      <c r="A246" s="343"/>
      <c r="B246" s="172" t="str">
        <f>Capacidades!M534</f>
        <v xml:space="preserve">   </v>
      </c>
      <c r="C246" s="171"/>
      <c r="D246" s="13"/>
      <c r="E246" s="13"/>
      <c r="F246" s="14"/>
      <c r="G246" s="14"/>
      <c r="H246" s="14"/>
      <c r="I246" s="14"/>
      <c r="J246" s="14"/>
      <c r="K246" s="14"/>
      <c r="L246" s="336"/>
      <c r="M246" s="95" t="str">
        <f t="shared" si="5"/>
        <v xml:space="preserve">   </v>
      </c>
    </row>
    <row r="247" spans="1:13" hidden="1" x14ac:dyDescent="0.2">
      <c r="A247" s="343"/>
      <c r="B247" s="172" t="str">
        <f>Capacidades!M535</f>
        <v xml:space="preserve">   </v>
      </c>
      <c r="C247" s="171"/>
      <c r="D247" s="13"/>
      <c r="E247" s="13"/>
      <c r="F247" s="14"/>
      <c r="G247" s="14"/>
      <c r="H247" s="14"/>
      <c r="I247" s="14"/>
      <c r="J247" s="14"/>
      <c r="K247" s="14"/>
      <c r="L247" s="336"/>
      <c r="M247" s="95" t="str">
        <f t="shared" si="5"/>
        <v xml:space="preserve">   </v>
      </c>
    </row>
    <row r="248" spans="1:13" hidden="1" x14ac:dyDescent="0.2">
      <c r="A248" s="343"/>
      <c r="B248" s="172" t="str">
        <f>Capacidades!M536</f>
        <v xml:space="preserve">   </v>
      </c>
      <c r="C248" s="171"/>
      <c r="D248" s="13"/>
      <c r="E248" s="13"/>
      <c r="F248" s="14"/>
      <c r="G248" s="14"/>
      <c r="H248" s="14"/>
      <c r="I248" s="14"/>
      <c r="J248" s="14"/>
      <c r="K248" s="14"/>
      <c r="L248" s="336"/>
      <c r="M248" s="95" t="str">
        <f t="shared" si="5"/>
        <v xml:space="preserve">   </v>
      </c>
    </row>
    <row r="249" spans="1:13" hidden="1" x14ac:dyDescent="0.2">
      <c r="A249" s="343"/>
      <c r="B249" s="172" t="str">
        <f>Capacidades!M537</f>
        <v xml:space="preserve">   </v>
      </c>
      <c r="C249" s="171"/>
      <c r="D249" s="13"/>
      <c r="E249" s="13"/>
      <c r="F249" s="14"/>
      <c r="G249" s="14"/>
      <c r="H249" s="14"/>
      <c r="I249" s="14"/>
      <c r="J249" s="14"/>
      <c r="K249" s="14"/>
      <c r="L249" s="336"/>
      <c r="M249" s="95" t="str">
        <f t="shared" si="5"/>
        <v xml:space="preserve">   </v>
      </c>
    </row>
    <row r="250" spans="1:13" hidden="1" x14ac:dyDescent="0.2">
      <c r="A250" s="343"/>
      <c r="B250" s="172" t="str">
        <f>Capacidades!M538</f>
        <v xml:space="preserve">   </v>
      </c>
      <c r="C250" s="171"/>
      <c r="D250" s="13"/>
      <c r="E250" s="13"/>
      <c r="F250" s="14"/>
      <c r="G250" s="14"/>
      <c r="H250" s="14"/>
      <c r="I250" s="14"/>
      <c r="J250" s="14"/>
      <c r="K250" s="14"/>
      <c r="L250" s="336"/>
      <c r="M250" s="95" t="str">
        <f t="shared" si="5"/>
        <v xml:space="preserve">   </v>
      </c>
    </row>
    <row r="251" spans="1:13" hidden="1" x14ac:dyDescent="0.2">
      <c r="A251" s="343"/>
      <c r="B251" s="172" t="str">
        <f>Capacidades!M539</f>
        <v xml:space="preserve">   </v>
      </c>
      <c r="C251" s="171"/>
      <c r="D251" s="13"/>
      <c r="E251" s="13"/>
      <c r="F251" s="14"/>
      <c r="G251" s="14"/>
      <c r="H251" s="14"/>
      <c r="I251" s="14"/>
      <c r="J251" s="14"/>
      <c r="K251" s="14"/>
      <c r="L251" s="336"/>
      <c r="M251" s="95" t="str">
        <f t="shared" si="5"/>
        <v xml:space="preserve">   </v>
      </c>
    </row>
    <row r="252" spans="1:13" hidden="1" x14ac:dyDescent="0.2">
      <c r="A252" s="344"/>
      <c r="B252" s="172" t="str">
        <f>Capacidades!M540</f>
        <v xml:space="preserve">   </v>
      </c>
      <c r="C252" s="174"/>
      <c r="D252" s="13"/>
      <c r="E252" s="13"/>
      <c r="F252" s="14"/>
      <c r="G252" s="14"/>
      <c r="H252" s="14"/>
      <c r="I252" s="14"/>
      <c r="J252" s="14"/>
      <c r="K252" s="14"/>
      <c r="L252" s="336"/>
      <c r="M252" s="95" t="str">
        <f t="shared" si="5"/>
        <v xml:space="preserve">   </v>
      </c>
    </row>
    <row r="253" spans="1:13" hidden="1" x14ac:dyDescent="0.2">
      <c r="A253" s="342" t="str">
        <f>Capacidades!L541</f>
        <v xml:space="preserve">       </v>
      </c>
      <c r="B253" s="172" t="str">
        <f>Capacidades!M541</f>
        <v xml:space="preserve">   </v>
      </c>
      <c r="C253" s="171"/>
      <c r="D253" s="11">
        <f>Organización_Modular!F64</f>
        <v>0</v>
      </c>
      <c r="E253" s="11">
        <f>Organización_Modular!G64</f>
        <v>0</v>
      </c>
      <c r="F253" s="11">
        <f>Organización_Modular!H64</f>
        <v>0</v>
      </c>
      <c r="G253" s="11">
        <f>Organización_Modular!I64</f>
        <v>0</v>
      </c>
      <c r="H253" s="12">
        <f>SUM(F253:G253)</f>
        <v>0</v>
      </c>
      <c r="I253" s="12">
        <f>F253*16</f>
        <v>0</v>
      </c>
      <c r="J253" s="12">
        <f>G253*32</f>
        <v>0</v>
      </c>
      <c r="K253" s="12">
        <f>SUM(I253:J253)</f>
        <v>0</v>
      </c>
      <c r="L253" s="335"/>
      <c r="M253" s="95" t="str">
        <f t="shared" si="5"/>
        <v xml:space="preserve">   </v>
      </c>
    </row>
    <row r="254" spans="1:13" hidden="1" x14ac:dyDescent="0.2">
      <c r="A254" s="343"/>
      <c r="B254" s="172" t="str">
        <f>Capacidades!M542</f>
        <v xml:space="preserve">   </v>
      </c>
      <c r="C254" s="171"/>
      <c r="D254" s="13"/>
      <c r="E254" s="13"/>
      <c r="F254" s="14"/>
      <c r="G254" s="14"/>
      <c r="H254" s="14"/>
      <c r="I254" s="14"/>
      <c r="J254" s="14"/>
      <c r="K254" s="14"/>
      <c r="L254" s="336"/>
      <c r="M254" s="95" t="str">
        <f t="shared" si="5"/>
        <v xml:space="preserve">   </v>
      </c>
    </row>
    <row r="255" spans="1:13" hidden="1" x14ac:dyDescent="0.2">
      <c r="A255" s="343"/>
      <c r="B255" s="172" t="str">
        <f>Capacidades!M543</f>
        <v xml:space="preserve">   </v>
      </c>
      <c r="C255" s="171"/>
      <c r="D255" s="13"/>
      <c r="E255" s="13"/>
      <c r="F255" s="14"/>
      <c r="G255" s="14"/>
      <c r="H255" s="14"/>
      <c r="I255" s="14"/>
      <c r="J255" s="14"/>
      <c r="K255" s="14"/>
      <c r="L255" s="336"/>
      <c r="M255" s="95" t="str">
        <f t="shared" si="5"/>
        <v xml:space="preserve">   </v>
      </c>
    </row>
    <row r="256" spans="1:13" hidden="1" x14ac:dyDescent="0.2">
      <c r="A256" s="343"/>
      <c r="B256" s="172" t="str">
        <f>Capacidades!M544</f>
        <v xml:space="preserve">   </v>
      </c>
      <c r="C256" s="171"/>
      <c r="D256" s="13"/>
      <c r="E256" s="13"/>
      <c r="F256" s="14"/>
      <c r="G256" s="14"/>
      <c r="H256" s="14"/>
      <c r="I256" s="14"/>
      <c r="J256" s="14"/>
      <c r="K256" s="14"/>
      <c r="L256" s="336"/>
      <c r="M256" s="95" t="str">
        <f t="shared" si="5"/>
        <v xml:space="preserve">   </v>
      </c>
    </row>
    <row r="257" spans="1:13" hidden="1" x14ac:dyDescent="0.2">
      <c r="A257" s="343"/>
      <c r="B257" s="172" t="str">
        <f>Capacidades!M545</f>
        <v xml:space="preserve">   </v>
      </c>
      <c r="C257" s="171"/>
      <c r="D257" s="13"/>
      <c r="E257" s="13"/>
      <c r="F257" s="14"/>
      <c r="G257" s="14"/>
      <c r="H257" s="14"/>
      <c r="I257" s="14"/>
      <c r="J257" s="14"/>
      <c r="K257" s="14"/>
      <c r="L257" s="336"/>
      <c r="M257" s="95" t="str">
        <f t="shared" si="5"/>
        <v xml:space="preserve">   </v>
      </c>
    </row>
    <row r="258" spans="1:13" hidden="1" x14ac:dyDescent="0.2">
      <c r="A258" s="343"/>
      <c r="B258" s="172" t="str">
        <f>Capacidades!M546</f>
        <v xml:space="preserve">   </v>
      </c>
      <c r="C258" s="171"/>
      <c r="D258" s="13"/>
      <c r="E258" s="13"/>
      <c r="F258" s="14"/>
      <c r="G258" s="14"/>
      <c r="H258" s="14"/>
      <c r="I258" s="14"/>
      <c r="J258" s="14"/>
      <c r="K258" s="14"/>
      <c r="L258" s="336"/>
      <c r="M258" s="95" t="str">
        <f t="shared" si="5"/>
        <v xml:space="preserve">   </v>
      </c>
    </row>
    <row r="259" spans="1:13" hidden="1" x14ac:dyDescent="0.2">
      <c r="A259" s="343"/>
      <c r="B259" s="172" t="str">
        <f>Capacidades!M547</f>
        <v xml:space="preserve">   </v>
      </c>
      <c r="C259" s="171"/>
      <c r="D259" s="13"/>
      <c r="E259" s="13"/>
      <c r="F259" s="14"/>
      <c r="G259" s="14"/>
      <c r="H259" s="14"/>
      <c r="I259" s="14"/>
      <c r="J259" s="14"/>
      <c r="K259" s="14"/>
      <c r="L259" s="336"/>
      <c r="M259" s="95" t="str">
        <f t="shared" si="5"/>
        <v xml:space="preserve">   </v>
      </c>
    </row>
    <row r="260" spans="1:13" hidden="1" x14ac:dyDescent="0.2">
      <c r="A260" s="343"/>
      <c r="B260" s="172" t="str">
        <f>Capacidades!M548</f>
        <v xml:space="preserve">   </v>
      </c>
      <c r="C260" s="171"/>
      <c r="D260" s="13"/>
      <c r="E260" s="13"/>
      <c r="F260" s="14"/>
      <c r="G260" s="14"/>
      <c r="H260" s="14"/>
      <c r="I260" s="14"/>
      <c r="J260" s="14"/>
      <c r="K260" s="14"/>
      <c r="L260" s="336"/>
      <c r="M260" s="95" t="str">
        <f t="shared" si="5"/>
        <v xml:space="preserve">   </v>
      </c>
    </row>
    <row r="261" spans="1:13" hidden="1" x14ac:dyDescent="0.2">
      <c r="A261" s="343"/>
      <c r="B261" s="172" t="str">
        <f>Capacidades!M549</f>
        <v xml:space="preserve">   </v>
      </c>
      <c r="C261" s="171"/>
      <c r="D261" s="13"/>
      <c r="E261" s="13"/>
      <c r="F261" s="14"/>
      <c r="G261" s="14"/>
      <c r="H261" s="14"/>
      <c r="I261" s="14"/>
      <c r="J261" s="14"/>
      <c r="K261" s="14"/>
      <c r="L261" s="336"/>
      <c r="M261" s="95" t="str">
        <f t="shared" si="5"/>
        <v xml:space="preserve">   </v>
      </c>
    </row>
    <row r="262" spans="1:13" hidden="1" x14ac:dyDescent="0.2">
      <c r="A262" s="344"/>
      <c r="B262" s="172" t="str">
        <f>Capacidades!M550</f>
        <v xml:space="preserve">   </v>
      </c>
      <c r="C262" s="174"/>
      <c r="D262" s="13"/>
      <c r="E262" s="13"/>
      <c r="F262" s="14"/>
      <c r="G262" s="14"/>
      <c r="H262" s="14"/>
      <c r="I262" s="14"/>
      <c r="J262" s="14"/>
      <c r="K262" s="14"/>
      <c r="L262" s="336"/>
      <c r="M262" s="95" t="str">
        <f t="shared" si="5"/>
        <v xml:space="preserve">   </v>
      </c>
    </row>
    <row r="263" spans="1:13" hidden="1" x14ac:dyDescent="0.2">
      <c r="A263" s="342" t="str">
        <f>Capacidades!L551</f>
        <v xml:space="preserve">       </v>
      </c>
      <c r="B263" s="172" t="str">
        <f>Capacidades!M551</f>
        <v xml:space="preserve">   </v>
      </c>
      <c r="C263" s="171"/>
      <c r="D263" s="11">
        <f>Organización_Modular!F65</f>
        <v>0</v>
      </c>
      <c r="E263" s="11">
        <f>Organización_Modular!G65</f>
        <v>0</v>
      </c>
      <c r="F263" s="11">
        <f>Organización_Modular!H65</f>
        <v>0</v>
      </c>
      <c r="G263" s="11">
        <f>Organización_Modular!I65</f>
        <v>0</v>
      </c>
      <c r="H263" s="12">
        <f>SUM(F263:G263)</f>
        <v>0</v>
      </c>
      <c r="I263" s="12">
        <f>F263*16</f>
        <v>0</v>
      </c>
      <c r="J263" s="12">
        <f>G263*32</f>
        <v>0</v>
      </c>
      <c r="K263" s="12">
        <f>SUM(I263:J263)</f>
        <v>0</v>
      </c>
      <c r="L263" s="335"/>
      <c r="M263" s="95" t="str">
        <f t="shared" si="5"/>
        <v xml:space="preserve">   </v>
      </c>
    </row>
    <row r="264" spans="1:13" hidden="1" x14ac:dyDescent="0.2">
      <c r="A264" s="343"/>
      <c r="B264" s="172" t="str">
        <f>Capacidades!M552</f>
        <v xml:space="preserve">   </v>
      </c>
      <c r="C264" s="171"/>
      <c r="D264" s="13"/>
      <c r="E264" s="13"/>
      <c r="F264" s="14"/>
      <c r="G264" s="14"/>
      <c r="H264" s="14"/>
      <c r="I264" s="14"/>
      <c r="J264" s="14"/>
      <c r="K264" s="14"/>
      <c r="L264" s="336"/>
      <c r="M264" s="95" t="str">
        <f t="shared" si="5"/>
        <v xml:space="preserve">   </v>
      </c>
    </row>
    <row r="265" spans="1:13" hidden="1" x14ac:dyDescent="0.2">
      <c r="A265" s="343"/>
      <c r="B265" s="172" t="str">
        <f>Capacidades!M553</f>
        <v xml:space="preserve">   </v>
      </c>
      <c r="C265" s="171"/>
      <c r="D265" s="13"/>
      <c r="E265" s="13"/>
      <c r="F265" s="14"/>
      <c r="G265" s="14"/>
      <c r="H265" s="14"/>
      <c r="I265" s="14"/>
      <c r="J265" s="14"/>
      <c r="K265" s="14"/>
      <c r="L265" s="336"/>
      <c r="M265" s="95" t="str">
        <f t="shared" si="5"/>
        <v xml:space="preserve">   </v>
      </c>
    </row>
    <row r="266" spans="1:13" hidden="1" x14ac:dyDescent="0.2">
      <c r="A266" s="343"/>
      <c r="B266" s="172" t="str">
        <f>Capacidades!M554</f>
        <v xml:space="preserve">   </v>
      </c>
      <c r="C266" s="171"/>
      <c r="D266" s="13"/>
      <c r="E266" s="13"/>
      <c r="F266" s="14"/>
      <c r="G266" s="14"/>
      <c r="H266" s="14"/>
      <c r="I266" s="14"/>
      <c r="J266" s="14"/>
      <c r="K266" s="14"/>
      <c r="L266" s="336"/>
      <c r="M266" s="95" t="str">
        <f t="shared" si="5"/>
        <v xml:space="preserve">   </v>
      </c>
    </row>
    <row r="267" spans="1:13" hidden="1" x14ac:dyDescent="0.2">
      <c r="A267" s="343"/>
      <c r="B267" s="172" t="str">
        <f>Capacidades!M555</f>
        <v xml:space="preserve">   </v>
      </c>
      <c r="C267" s="171"/>
      <c r="D267" s="13"/>
      <c r="E267" s="13"/>
      <c r="F267" s="14"/>
      <c r="G267" s="14"/>
      <c r="H267" s="14"/>
      <c r="I267" s="14"/>
      <c r="J267" s="14"/>
      <c r="K267" s="14"/>
      <c r="L267" s="336"/>
      <c r="M267" s="95" t="str">
        <f t="shared" si="5"/>
        <v xml:space="preserve">   </v>
      </c>
    </row>
    <row r="268" spans="1:13" hidden="1" x14ac:dyDescent="0.2">
      <c r="A268" s="343"/>
      <c r="B268" s="172" t="str">
        <f>Capacidades!M556</f>
        <v xml:space="preserve">   </v>
      </c>
      <c r="C268" s="171"/>
      <c r="D268" s="13"/>
      <c r="E268" s="13"/>
      <c r="F268" s="14"/>
      <c r="G268" s="14"/>
      <c r="H268" s="14"/>
      <c r="I268" s="14"/>
      <c r="J268" s="14"/>
      <c r="K268" s="14"/>
      <c r="L268" s="336"/>
      <c r="M268" s="95" t="str">
        <f t="shared" si="5"/>
        <v xml:space="preserve">   </v>
      </c>
    </row>
    <row r="269" spans="1:13" hidden="1" x14ac:dyDescent="0.2">
      <c r="A269" s="343"/>
      <c r="B269" s="172" t="str">
        <f>Capacidades!M557</f>
        <v xml:space="preserve">   </v>
      </c>
      <c r="C269" s="171"/>
      <c r="D269" s="13"/>
      <c r="E269" s="13"/>
      <c r="F269" s="14"/>
      <c r="G269" s="14"/>
      <c r="H269" s="14"/>
      <c r="I269" s="14"/>
      <c r="J269" s="14"/>
      <c r="K269" s="14"/>
      <c r="L269" s="336"/>
      <c r="M269" s="95" t="str">
        <f t="shared" si="5"/>
        <v xml:space="preserve">   </v>
      </c>
    </row>
    <row r="270" spans="1:13" hidden="1" x14ac:dyDescent="0.2">
      <c r="A270" s="343"/>
      <c r="B270" s="172" t="str">
        <f>Capacidades!M558</f>
        <v xml:space="preserve">   </v>
      </c>
      <c r="C270" s="171"/>
      <c r="D270" s="13"/>
      <c r="E270" s="13"/>
      <c r="F270" s="14"/>
      <c r="G270" s="14"/>
      <c r="H270" s="14"/>
      <c r="I270" s="14"/>
      <c r="J270" s="14"/>
      <c r="K270" s="14"/>
      <c r="L270" s="336"/>
      <c r="M270" s="95" t="str">
        <f t="shared" si="5"/>
        <v xml:space="preserve">   </v>
      </c>
    </row>
    <row r="271" spans="1:13" hidden="1" x14ac:dyDescent="0.2">
      <c r="A271" s="343"/>
      <c r="B271" s="172" t="str">
        <f>Capacidades!M559</f>
        <v xml:space="preserve">   </v>
      </c>
      <c r="C271" s="171"/>
      <c r="D271" s="13"/>
      <c r="E271" s="13"/>
      <c r="F271" s="14"/>
      <c r="G271" s="14"/>
      <c r="H271" s="14"/>
      <c r="I271" s="14"/>
      <c r="J271" s="14"/>
      <c r="K271" s="14"/>
      <c r="L271" s="336"/>
      <c r="M271" s="95" t="str">
        <f t="shared" si="5"/>
        <v xml:space="preserve">   </v>
      </c>
    </row>
    <row r="272" spans="1:13" hidden="1" x14ac:dyDescent="0.2">
      <c r="A272" s="344"/>
      <c r="B272" s="172" t="str">
        <f>Capacidades!M560</f>
        <v xml:space="preserve">   </v>
      </c>
      <c r="C272" s="174"/>
      <c r="D272" s="13"/>
      <c r="E272" s="13"/>
      <c r="F272" s="14"/>
      <c r="G272" s="14"/>
      <c r="H272" s="14"/>
      <c r="I272" s="14"/>
      <c r="J272" s="14"/>
      <c r="K272" s="14"/>
      <c r="L272" s="336"/>
      <c r="M272" s="95" t="str">
        <f t="shared" si="5"/>
        <v xml:space="preserve">   </v>
      </c>
    </row>
    <row r="273" spans="1:13" hidden="1" x14ac:dyDescent="0.2">
      <c r="A273" s="342" t="str">
        <f>Capacidades!L561</f>
        <v xml:space="preserve">       </v>
      </c>
      <c r="B273" s="172" t="str">
        <f>Capacidades!M561</f>
        <v xml:space="preserve">   </v>
      </c>
      <c r="C273" s="171"/>
      <c r="D273" s="11">
        <f>Organización_Modular!F66</f>
        <v>0</v>
      </c>
      <c r="E273" s="11">
        <f>Organización_Modular!G66</f>
        <v>0</v>
      </c>
      <c r="F273" s="11">
        <f>Organización_Modular!H66</f>
        <v>0</v>
      </c>
      <c r="G273" s="11">
        <f>Organización_Modular!I66</f>
        <v>0</v>
      </c>
      <c r="H273" s="12">
        <f>SUM(F273:G273)</f>
        <v>0</v>
      </c>
      <c r="I273" s="12">
        <f>F273*16</f>
        <v>0</v>
      </c>
      <c r="J273" s="12">
        <f>G273*32</f>
        <v>0</v>
      </c>
      <c r="K273" s="12">
        <f>SUM(I273:J273)</f>
        <v>0</v>
      </c>
      <c r="L273" s="335"/>
      <c r="M273" s="95" t="str">
        <f t="shared" si="5"/>
        <v xml:space="preserve">   </v>
      </c>
    </row>
    <row r="274" spans="1:13" hidden="1" x14ac:dyDescent="0.2">
      <c r="A274" s="343"/>
      <c r="B274" s="172" t="str">
        <f>Capacidades!M562</f>
        <v xml:space="preserve">   </v>
      </c>
      <c r="C274" s="171"/>
      <c r="D274" s="13"/>
      <c r="E274" s="13"/>
      <c r="F274" s="14"/>
      <c r="G274" s="14"/>
      <c r="H274" s="14"/>
      <c r="I274" s="14"/>
      <c r="J274" s="14"/>
      <c r="K274" s="14"/>
      <c r="L274" s="336"/>
      <c r="M274" s="95" t="str">
        <f t="shared" si="5"/>
        <v xml:space="preserve">   </v>
      </c>
    </row>
    <row r="275" spans="1:13" hidden="1" x14ac:dyDescent="0.2">
      <c r="A275" s="343"/>
      <c r="B275" s="172" t="str">
        <f>Capacidades!M563</f>
        <v xml:space="preserve">   </v>
      </c>
      <c r="C275" s="171"/>
      <c r="D275" s="13"/>
      <c r="E275" s="13"/>
      <c r="F275" s="14"/>
      <c r="G275" s="14"/>
      <c r="H275" s="14"/>
      <c r="I275" s="14"/>
      <c r="J275" s="14"/>
      <c r="K275" s="14"/>
      <c r="L275" s="336"/>
      <c r="M275" s="95" t="str">
        <f t="shared" si="5"/>
        <v xml:space="preserve">   </v>
      </c>
    </row>
    <row r="276" spans="1:13" hidden="1" x14ac:dyDescent="0.2">
      <c r="A276" s="343"/>
      <c r="B276" s="172" t="str">
        <f>Capacidades!M564</f>
        <v xml:space="preserve">   </v>
      </c>
      <c r="C276" s="171"/>
      <c r="D276" s="13"/>
      <c r="E276" s="13"/>
      <c r="F276" s="14"/>
      <c r="G276" s="14"/>
      <c r="H276" s="14"/>
      <c r="I276" s="14"/>
      <c r="J276" s="14"/>
      <c r="K276" s="14"/>
      <c r="L276" s="336"/>
      <c r="M276" s="95" t="str">
        <f t="shared" si="5"/>
        <v xml:space="preserve">   </v>
      </c>
    </row>
    <row r="277" spans="1:13" hidden="1" x14ac:dyDescent="0.2">
      <c r="A277" s="343"/>
      <c r="B277" s="172" t="str">
        <f>Capacidades!M565</f>
        <v xml:space="preserve">   </v>
      </c>
      <c r="C277" s="171"/>
      <c r="D277" s="13"/>
      <c r="E277" s="13"/>
      <c r="F277" s="14"/>
      <c r="G277" s="14"/>
      <c r="H277" s="14"/>
      <c r="I277" s="14"/>
      <c r="J277" s="14"/>
      <c r="K277" s="14"/>
      <c r="L277" s="336"/>
      <c r="M277" s="95" t="str">
        <f t="shared" si="5"/>
        <v xml:space="preserve">   </v>
      </c>
    </row>
    <row r="278" spans="1:13" hidden="1" x14ac:dyDescent="0.2">
      <c r="A278" s="343"/>
      <c r="B278" s="172" t="str">
        <f>Capacidades!M566</f>
        <v xml:space="preserve">   </v>
      </c>
      <c r="C278" s="171"/>
      <c r="D278" s="13"/>
      <c r="E278" s="13"/>
      <c r="F278" s="14"/>
      <c r="G278" s="14"/>
      <c r="H278" s="14"/>
      <c r="I278" s="14"/>
      <c r="J278" s="14"/>
      <c r="K278" s="14"/>
      <c r="L278" s="336"/>
      <c r="M278" s="95" t="str">
        <f t="shared" si="5"/>
        <v xml:space="preserve">   </v>
      </c>
    </row>
    <row r="279" spans="1:13" hidden="1" x14ac:dyDescent="0.2">
      <c r="A279" s="343"/>
      <c r="B279" s="172" t="str">
        <f>Capacidades!M567</f>
        <v xml:space="preserve">   </v>
      </c>
      <c r="C279" s="171"/>
      <c r="D279" s="13"/>
      <c r="E279" s="13"/>
      <c r="F279" s="14"/>
      <c r="G279" s="14"/>
      <c r="H279" s="14"/>
      <c r="I279" s="14"/>
      <c r="J279" s="14"/>
      <c r="K279" s="14"/>
      <c r="L279" s="336"/>
      <c r="M279" s="95" t="str">
        <f t="shared" si="5"/>
        <v xml:space="preserve">   </v>
      </c>
    </row>
    <row r="280" spans="1:13" hidden="1" x14ac:dyDescent="0.2">
      <c r="A280" s="343"/>
      <c r="B280" s="172" t="str">
        <f>Capacidades!M568</f>
        <v xml:space="preserve">   </v>
      </c>
      <c r="C280" s="171"/>
      <c r="D280" s="13"/>
      <c r="E280" s="13"/>
      <c r="F280" s="14"/>
      <c r="G280" s="14"/>
      <c r="H280" s="14"/>
      <c r="I280" s="14"/>
      <c r="J280" s="14"/>
      <c r="K280" s="14"/>
      <c r="L280" s="336"/>
      <c r="M280" s="95" t="str">
        <f t="shared" si="5"/>
        <v xml:space="preserve">   </v>
      </c>
    </row>
    <row r="281" spans="1:13" hidden="1" x14ac:dyDescent="0.2">
      <c r="A281" s="343"/>
      <c r="B281" s="172" t="str">
        <f>Capacidades!M569</f>
        <v xml:space="preserve">   </v>
      </c>
      <c r="C281" s="171"/>
      <c r="D281" s="13"/>
      <c r="E281" s="13"/>
      <c r="F281" s="14"/>
      <c r="G281" s="14"/>
      <c r="H281" s="14"/>
      <c r="I281" s="14"/>
      <c r="J281" s="14"/>
      <c r="K281" s="14"/>
      <c r="L281" s="336"/>
      <c r="M281" s="95" t="str">
        <f t="shared" si="5"/>
        <v xml:space="preserve">   </v>
      </c>
    </row>
    <row r="282" spans="1:13" hidden="1" x14ac:dyDescent="0.2">
      <c r="A282" s="344"/>
      <c r="B282" s="172" t="str">
        <f>Capacidades!M570</f>
        <v xml:space="preserve">   </v>
      </c>
      <c r="C282" s="174"/>
      <c r="D282" s="13"/>
      <c r="E282" s="13"/>
      <c r="F282" s="14"/>
      <c r="G282" s="14"/>
      <c r="H282" s="14"/>
      <c r="I282" s="14"/>
      <c r="J282" s="14"/>
      <c r="K282" s="14"/>
      <c r="L282" s="336"/>
      <c r="M282" s="95" t="str">
        <f t="shared" si="5"/>
        <v xml:space="preserve">   </v>
      </c>
    </row>
    <row r="283" spans="1:13" hidden="1" x14ac:dyDescent="0.2">
      <c r="A283" s="342" t="str">
        <f>Capacidades!L571</f>
        <v xml:space="preserve">       </v>
      </c>
      <c r="B283" s="172" t="str">
        <f>Capacidades!M571</f>
        <v xml:space="preserve">   </v>
      </c>
      <c r="C283" s="171"/>
      <c r="D283" s="11">
        <f>Organización_Modular!F67</f>
        <v>0</v>
      </c>
      <c r="E283" s="11">
        <f>Organización_Modular!G67</f>
        <v>0</v>
      </c>
      <c r="F283" s="11">
        <f>Organización_Modular!H67</f>
        <v>0</v>
      </c>
      <c r="G283" s="11">
        <f>Organización_Modular!I67</f>
        <v>0</v>
      </c>
      <c r="H283" s="12">
        <f>SUM(F283:G283)</f>
        <v>0</v>
      </c>
      <c r="I283" s="12">
        <f>F283*16</f>
        <v>0</v>
      </c>
      <c r="J283" s="12">
        <f>G283*32</f>
        <v>0</v>
      </c>
      <c r="K283" s="12">
        <f>SUM(I283:J283)</f>
        <v>0</v>
      </c>
      <c r="L283" s="335"/>
      <c r="M283" s="95" t="str">
        <f t="shared" si="5"/>
        <v xml:space="preserve">   </v>
      </c>
    </row>
    <row r="284" spans="1:13" hidden="1" x14ac:dyDescent="0.2">
      <c r="A284" s="343"/>
      <c r="B284" s="172" t="str">
        <f>Capacidades!M572</f>
        <v xml:space="preserve">   </v>
      </c>
      <c r="C284" s="171"/>
      <c r="D284" s="13"/>
      <c r="E284" s="13"/>
      <c r="F284" s="14"/>
      <c r="G284" s="14"/>
      <c r="H284" s="14"/>
      <c r="I284" s="14"/>
      <c r="J284" s="14"/>
      <c r="K284" s="14"/>
      <c r="L284" s="336"/>
      <c r="M284" s="95" t="str">
        <f t="shared" si="5"/>
        <v xml:space="preserve">   </v>
      </c>
    </row>
    <row r="285" spans="1:13" hidden="1" x14ac:dyDescent="0.2">
      <c r="A285" s="343"/>
      <c r="B285" s="172" t="str">
        <f>Capacidades!M573</f>
        <v xml:space="preserve">   </v>
      </c>
      <c r="C285" s="171"/>
      <c r="D285" s="13"/>
      <c r="E285" s="13"/>
      <c r="F285" s="14"/>
      <c r="G285" s="14"/>
      <c r="H285" s="14"/>
      <c r="I285" s="14"/>
      <c r="J285" s="14"/>
      <c r="K285" s="14"/>
      <c r="L285" s="336"/>
      <c r="M285" s="95" t="str">
        <f t="shared" si="5"/>
        <v xml:space="preserve">   </v>
      </c>
    </row>
    <row r="286" spans="1:13" hidden="1" x14ac:dyDescent="0.2">
      <c r="A286" s="343"/>
      <c r="B286" s="172" t="str">
        <f>Capacidades!M574</f>
        <v xml:space="preserve">   </v>
      </c>
      <c r="C286" s="171"/>
      <c r="D286" s="13"/>
      <c r="E286" s="13"/>
      <c r="F286" s="14"/>
      <c r="G286" s="14"/>
      <c r="H286" s="14"/>
      <c r="I286" s="14"/>
      <c r="J286" s="14"/>
      <c r="K286" s="14"/>
      <c r="L286" s="336"/>
      <c r="M286" s="95" t="str">
        <f t="shared" si="5"/>
        <v xml:space="preserve">   </v>
      </c>
    </row>
    <row r="287" spans="1:13" hidden="1" x14ac:dyDescent="0.2">
      <c r="A287" s="343"/>
      <c r="B287" s="172" t="str">
        <f>Capacidades!M575</f>
        <v xml:space="preserve">   </v>
      </c>
      <c r="C287" s="171"/>
      <c r="D287" s="13"/>
      <c r="E287" s="13"/>
      <c r="F287" s="14"/>
      <c r="G287" s="14"/>
      <c r="H287" s="14"/>
      <c r="I287" s="14"/>
      <c r="J287" s="14"/>
      <c r="K287" s="14"/>
      <c r="L287" s="336"/>
      <c r="M287" s="95" t="str">
        <f t="shared" si="5"/>
        <v xml:space="preserve">   </v>
      </c>
    </row>
    <row r="288" spans="1:13" hidden="1" x14ac:dyDescent="0.2">
      <c r="A288" s="343"/>
      <c r="B288" s="172" t="str">
        <f>Capacidades!M576</f>
        <v xml:space="preserve">   </v>
      </c>
      <c r="C288" s="171"/>
      <c r="D288" s="13"/>
      <c r="E288" s="13"/>
      <c r="F288" s="14"/>
      <c r="G288" s="14"/>
      <c r="H288" s="14"/>
      <c r="I288" s="14"/>
      <c r="J288" s="14"/>
      <c r="K288" s="14"/>
      <c r="L288" s="336"/>
      <c r="M288" s="95" t="str">
        <f t="shared" ref="M288:M322" si="6">B288</f>
        <v xml:space="preserve">   </v>
      </c>
    </row>
    <row r="289" spans="1:13" hidden="1" x14ac:dyDescent="0.2">
      <c r="A289" s="343"/>
      <c r="B289" s="172" t="str">
        <f>Capacidades!M577</f>
        <v xml:space="preserve">   </v>
      </c>
      <c r="C289" s="171"/>
      <c r="D289" s="13"/>
      <c r="E289" s="13"/>
      <c r="F289" s="14"/>
      <c r="G289" s="14"/>
      <c r="H289" s="14"/>
      <c r="I289" s="14"/>
      <c r="J289" s="14"/>
      <c r="K289" s="14"/>
      <c r="L289" s="336"/>
      <c r="M289" s="95" t="str">
        <f t="shared" si="6"/>
        <v xml:space="preserve">   </v>
      </c>
    </row>
    <row r="290" spans="1:13" hidden="1" x14ac:dyDescent="0.2">
      <c r="A290" s="343"/>
      <c r="B290" s="172" t="str">
        <f>Capacidades!M578</f>
        <v xml:space="preserve">   </v>
      </c>
      <c r="C290" s="171"/>
      <c r="D290" s="13"/>
      <c r="E290" s="13"/>
      <c r="F290" s="14"/>
      <c r="G290" s="14"/>
      <c r="H290" s="14"/>
      <c r="I290" s="14"/>
      <c r="J290" s="14"/>
      <c r="K290" s="14"/>
      <c r="L290" s="336"/>
      <c r="M290" s="95" t="str">
        <f t="shared" si="6"/>
        <v xml:space="preserve">   </v>
      </c>
    </row>
    <row r="291" spans="1:13" hidden="1" x14ac:dyDescent="0.2">
      <c r="A291" s="343"/>
      <c r="B291" s="172" t="str">
        <f>Capacidades!M579</f>
        <v xml:space="preserve">   </v>
      </c>
      <c r="C291" s="171"/>
      <c r="D291" s="13"/>
      <c r="E291" s="13"/>
      <c r="F291" s="14"/>
      <c r="G291" s="14"/>
      <c r="H291" s="14"/>
      <c r="I291" s="14"/>
      <c r="J291" s="14"/>
      <c r="K291" s="14"/>
      <c r="L291" s="336"/>
      <c r="M291" s="95" t="str">
        <f t="shared" si="6"/>
        <v xml:space="preserve">   </v>
      </c>
    </row>
    <row r="292" spans="1:13" hidden="1" x14ac:dyDescent="0.2">
      <c r="A292" s="344"/>
      <c r="B292" s="172" t="str">
        <f>Capacidades!M580</f>
        <v xml:space="preserve">   </v>
      </c>
      <c r="C292" s="174"/>
      <c r="D292" s="13"/>
      <c r="E292" s="13"/>
      <c r="F292" s="14"/>
      <c r="G292" s="14"/>
      <c r="H292" s="14"/>
      <c r="I292" s="14"/>
      <c r="J292" s="14"/>
      <c r="K292" s="14"/>
      <c r="L292" s="336"/>
      <c r="M292" s="95" t="str">
        <f t="shared" si="6"/>
        <v xml:space="preserve">   </v>
      </c>
    </row>
    <row r="293" spans="1:13" hidden="1" x14ac:dyDescent="0.2">
      <c r="A293" s="342" t="str">
        <f>Capacidades!L581</f>
        <v xml:space="preserve">       </v>
      </c>
      <c r="B293" s="172" t="str">
        <f>Capacidades!M581</f>
        <v xml:space="preserve">   </v>
      </c>
      <c r="C293" s="171"/>
      <c r="D293" s="11">
        <f>Organización_Modular!F68</f>
        <v>0</v>
      </c>
      <c r="E293" s="11">
        <f>Organización_Modular!G68</f>
        <v>0</v>
      </c>
      <c r="F293" s="11">
        <f>Organización_Modular!H68</f>
        <v>0</v>
      </c>
      <c r="G293" s="11">
        <f>Organización_Modular!I68</f>
        <v>0</v>
      </c>
      <c r="H293" s="12">
        <f>SUM(F293:G293)</f>
        <v>0</v>
      </c>
      <c r="I293" s="12">
        <f>F293*16</f>
        <v>0</v>
      </c>
      <c r="J293" s="12">
        <f>G293*32</f>
        <v>0</v>
      </c>
      <c r="K293" s="12">
        <f>SUM(I293:J293)</f>
        <v>0</v>
      </c>
      <c r="L293" s="335"/>
      <c r="M293" s="95" t="str">
        <f t="shared" si="6"/>
        <v xml:space="preserve">   </v>
      </c>
    </row>
    <row r="294" spans="1:13" hidden="1" x14ac:dyDescent="0.2">
      <c r="A294" s="343"/>
      <c r="B294" s="172" t="str">
        <f>Capacidades!M582</f>
        <v xml:space="preserve">   </v>
      </c>
      <c r="C294" s="171"/>
      <c r="D294" s="13"/>
      <c r="E294" s="13"/>
      <c r="F294" s="14"/>
      <c r="G294" s="14"/>
      <c r="H294" s="14"/>
      <c r="I294" s="14"/>
      <c r="J294" s="14"/>
      <c r="K294" s="14"/>
      <c r="L294" s="336"/>
      <c r="M294" s="95" t="str">
        <f t="shared" si="6"/>
        <v xml:space="preserve">   </v>
      </c>
    </row>
    <row r="295" spans="1:13" hidden="1" x14ac:dyDescent="0.2">
      <c r="A295" s="343"/>
      <c r="B295" s="172" t="str">
        <f>Capacidades!M583</f>
        <v xml:space="preserve">   </v>
      </c>
      <c r="C295" s="171"/>
      <c r="D295" s="13"/>
      <c r="E295" s="13"/>
      <c r="F295" s="14"/>
      <c r="G295" s="14"/>
      <c r="H295" s="14"/>
      <c r="I295" s="14"/>
      <c r="J295" s="14"/>
      <c r="K295" s="14"/>
      <c r="L295" s="336"/>
      <c r="M295" s="95" t="str">
        <f t="shared" si="6"/>
        <v xml:space="preserve">   </v>
      </c>
    </row>
    <row r="296" spans="1:13" hidden="1" x14ac:dyDescent="0.2">
      <c r="A296" s="343"/>
      <c r="B296" s="172" t="str">
        <f>Capacidades!M584</f>
        <v xml:space="preserve">   </v>
      </c>
      <c r="C296" s="171"/>
      <c r="D296" s="13"/>
      <c r="E296" s="13"/>
      <c r="F296" s="14"/>
      <c r="G296" s="14"/>
      <c r="H296" s="14"/>
      <c r="I296" s="14"/>
      <c r="J296" s="14"/>
      <c r="K296" s="14"/>
      <c r="L296" s="336"/>
      <c r="M296" s="95" t="str">
        <f t="shared" si="6"/>
        <v xml:space="preserve">   </v>
      </c>
    </row>
    <row r="297" spans="1:13" hidden="1" x14ac:dyDescent="0.2">
      <c r="A297" s="343"/>
      <c r="B297" s="172" t="str">
        <f>Capacidades!M585</f>
        <v xml:space="preserve">   </v>
      </c>
      <c r="C297" s="171"/>
      <c r="D297" s="13"/>
      <c r="E297" s="13"/>
      <c r="F297" s="14"/>
      <c r="G297" s="14"/>
      <c r="H297" s="14"/>
      <c r="I297" s="14"/>
      <c r="J297" s="14"/>
      <c r="K297" s="14"/>
      <c r="L297" s="336"/>
      <c r="M297" s="95" t="str">
        <f t="shared" si="6"/>
        <v xml:space="preserve">   </v>
      </c>
    </row>
    <row r="298" spans="1:13" hidden="1" x14ac:dyDescent="0.2">
      <c r="A298" s="343"/>
      <c r="B298" s="172" t="str">
        <f>Capacidades!M586</f>
        <v xml:space="preserve">   </v>
      </c>
      <c r="C298" s="171"/>
      <c r="D298" s="13"/>
      <c r="E298" s="13"/>
      <c r="F298" s="14"/>
      <c r="G298" s="14"/>
      <c r="H298" s="14"/>
      <c r="I298" s="14"/>
      <c r="J298" s="14"/>
      <c r="K298" s="14"/>
      <c r="L298" s="336"/>
      <c r="M298" s="95" t="str">
        <f t="shared" si="6"/>
        <v xml:space="preserve">   </v>
      </c>
    </row>
    <row r="299" spans="1:13" hidden="1" x14ac:dyDescent="0.2">
      <c r="A299" s="343"/>
      <c r="B299" s="172" t="str">
        <f>Capacidades!M587</f>
        <v xml:space="preserve">   </v>
      </c>
      <c r="C299" s="171"/>
      <c r="D299" s="13"/>
      <c r="E299" s="13"/>
      <c r="F299" s="14"/>
      <c r="G299" s="14"/>
      <c r="H299" s="14"/>
      <c r="I299" s="14"/>
      <c r="J299" s="14"/>
      <c r="K299" s="14"/>
      <c r="L299" s="336"/>
      <c r="M299" s="95" t="str">
        <f t="shared" si="6"/>
        <v xml:space="preserve">   </v>
      </c>
    </row>
    <row r="300" spans="1:13" hidden="1" x14ac:dyDescent="0.2">
      <c r="A300" s="343"/>
      <c r="B300" s="172" t="str">
        <f>Capacidades!M588</f>
        <v xml:space="preserve">   </v>
      </c>
      <c r="C300" s="171"/>
      <c r="D300" s="13"/>
      <c r="E300" s="13"/>
      <c r="F300" s="14"/>
      <c r="G300" s="14"/>
      <c r="H300" s="14"/>
      <c r="I300" s="14"/>
      <c r="J300" s="14"/>
      <c r="K300" s="14"/>
      <c r="L300" s="336"/>
      <c r="M300" s="95" t="str">
        <f t="shared" si="6"/>
        <v xml:space="preserve">   </v>
      </c>
    </row>
    <row r="301" spans="1:13" hidden="1" x14ac:dyDescent="0.2">
      <c r="A301" s="343"/>
      <c r="B301" s="172" t="str">
        <f>Capacidades!M589</f>
        <v xml:space="preserve">   </v>
      </c>
      <c r="C301" s="171"/>
      <c r="D301" s="13"/>
      <c r="E301" s="13"/>
      <c r="F301" s="14"/>
      <c r="G301" s="14"/>
      <c r="H301" s="14"/>
      <c r="I301" s="14"/>
      <c r="J301" s="14"/>
      <c r="K301" s="14"/>
      <c r="L301" s="336"/>
      <c r="M301" s="95" t="str">
        <f t="shared" si="6"/>
        <v xml:space="preserve">   </v>
      </c>
    </row>
    <row r="302" spans="1:13" hidden="1" x14ac:dyDescent="0.2">
      <c r="A302" s="344"/>
      <c r="B302" s="172" t="str">
        <f>Capacidades!M590</f>
        <v xml:space="preserve">   </v>
      </c>
      <c r="C302" s="174"/>
      <c r="D302" s="13"/>
      <c r="E302" s="13"/>
      <c r="F302" s="14"/>
      <c r="G302" s="14"/>
      <c r="H302" s="14"/>
      <c r="I302" s="14"/>
      <c r="J302" s="14"/>
      <c r="K302" s="14"/>
      <c r="L302" s="336"/>
      <c r="M302" s="95" t="str">
        <f t="shared" si="6"/>
        <v xml:space="preserve">   </v>
      </c>
    </row>
    <row r="303" spans="1:13" hidden="1" x14ac:dyDescent="0.2">
      <c r="A303" s="342" t="str">
        <f>Capacidades!L591</f>
        <v xml:space="preserve">       </v>
      </c>
      <c r="B303" s="172" t="str">
        <f>Capacidades!M591</f>
        <v xml:space="preserve">   </v>
      </c>
      <c r="C303" s="171"/>
      <c r="D303" s="11">
        <f>Organización_Modular!F69</f>
        <v>0</v>
      </c>
      <c r="E303" s="11">
        <f>Organización_Modular!G69</f>
        <v>0</v>
      </c>
      <c r="F303" s="11">
        <f>Organización_Modular!H69</f>
        <v>0</v>
      </c>
      <c r="G303" s="11">
        <f>Organización_Modular!I69</f>
        <v>0</v>
      </c>
      <c r="H303" s="12">
        <f>SUM(F303:G303)</f>
        <v>0</v>
      </c>
      <c r="I303" s="12">
        <f>F303*16</f>
        <v>0</v>
      </c>
      <c r="J303" s="12">
        <f>G303*32</f>
        <v>0</v>
      </c>
      <c r="K303" s="12">
        <f>SUM(I303:J303)</f>
        <v>0</v>
      </c>
      <c r="L303" s="335"/>
      <c r="M303" s="95" t="str">
        <f t="shared" si="6"/>
        <v xml:space="preserve">   </v>
      </c>
    </row>
    <row r="304" spans="1:13" hidden="1" x14ac:dyDescent="0.2">
      <c r="A304" s="343"/>
      <c r="B304" s="172" t="str">
        <f>Capacidades!M592</f>
        <v xml:space="preserve">   </v>
      </c>
      <c r="C304" s="171"/>
      <c r="D304" s="13"/>
      <c r="E304" s="13"/>
      <c r="F304" s="14"/>
      <c r="G304" s="14"/>
      <c r="H304" s="14"/>
      <c r="I304" s="14"/>
      <c r="J304" s="14"/>
      <c r="K304" s="14"/>
      <c r="L304" s="336"/>
      <c r="M304" s="95" t="str">
        <f t="shared" si="6"/>
        <v xml:space="preserve">   </v>
      </c>
    </row>
    <row r="305" spans="1:13" hidden="1" x14ac:dyDescent="0.2">
      <c r="A305" s="343"/>
      <c r="B305" s="172" t="str">
        <f>Capacidades!M593</f>
        <v xml:space="preserve">   </v>
      </c>
      <c r="C305" s="171"/>
      <c r="D305" s="13"/>
      <c r="E305" s="13"/>
      <c r="F305" s="14"/>
      <c r="G305" s="14"/>
      <c r="H305" s="14"/>
      <c r="I305" s="14"/>
      <c r="J305" s="14"/>
      <c r="K305" s="14"/>
      <c r="L305" s="336"/>
      <c r="M305" s="95" t="str">
        <f t="shared" si="6"/>
        <v xml:space="preserve">   </v>
      </c>
    </row>
    <row r="306" spans="1:13" hidden="1" x14ac:dyDescent="0.2">
      <c r="A306" s="343"/>
      <c r="B306" s="172" t="str">
        <f>Capacidades!M594</f>
        <v xml:space="preserve">   </v>
      </c>
      <c r="C306" s="171"/>
      <c r="D306" s="13"/>
      <c r="E306" s="13"/>
      <c r="F306" s="14"/>
      <c r="G306" s="14"/>
      <c r="H306" s="14"/>
      <c r="I306" s="14"/>
      <c r="J306" s="14"/>
      <c r="K306" s="14"/>
      <c r="L306" s="336"/>
      <c r="M306" s="95" t="str">
        <f t="shared" si="6"/>
        <v xml:space="preserve">   </v>
      </c>
    </row>
    <row r="307" spans="1:13" hidden="1" x14ac:dyDescent="0.2">
      <c r="A307" s="343"/>
      <c r="B307" s="172" t="str">
        <f>Capacidades!M595</f>
        <v xml:space="preserve">   </v>
      </c>
      <c r="C307" s="171"/>
      <c r="D307" s="13"/>
      <c r="E307" s="13"/>
      <c r="F307" s="14"/>
      <c r="G307" s="14"/>
      <c r="H307" s="14"/>
      <c r="I307" s="14"/>
      <c r="J307" s="14"/>
      <c r="K307" s="14"/>
      <c r="L307" s="336"/>
      <c r="M307" s="95" t="str">
        <f t="shared" si="6"/>
        <v xml:space="preserve">   </v>
      </c>
    </row>
    <row r="308" spans="1:13" hidden="1" x14ac:dyDescent="0.2">
      <c r="A308" s="343"/>
      <c r="B308" s="172" t="str">
        <f>Capacidades!M596</f>
        <v xml:space="preserve">   </v>
      </c>
      <c r="C308" s="171"/>
      <c r="D308" s="13"/>
      <c r="E308" s="13"/>
      <c r="F308" s="14"/>
      <c r="G308" s="14"/>
      <c r="H308" s="14"/>
      <c r="I308" s="14"/>
      <c r="J308" s="14"/>
      <c r="K308" s="14"/>
      <c r="L308" s="336"/>
      <c r="M308" s="95" t="str">
        <f t="shared" si="6"/>
        <v xml:space="preserve">   </v>
      </c>
    </row>
    <row r="309" spans="1:13" hidden="1" x14ac:dyDescent="0.2">
      <c r="A309" s="343"/>
      <c r="B309" s="172" t="str">
        <f>Capacidades!M597</f>
        <v xml:space="preserve">   </v>
      </c>
      <c r="C309" s="171"/>
      <c r="D309" s="13"/>
      <c r="E309" s="13"/>
      <c r="F309" s="14"/>
      <c r="G309" s="14"/>
      <c r="H309" s="14"/>
      <c r="I309" s="14"/>
      <c r="J309" s="14"/>
      <c r="K309" s="14"/>
      <c r="L309" s="336"/>
      <c r="M309" s="95" t="str">
        <f t="shared" si="6"/>
        <v xml:space="preserve">   </v>
      </c>
    </row>
    <row r="310" spans="1:13" hidden="1" x14ac:dyDescent="0.2">
      <c r="A310" s="343"/>
      <c r="B310" s="172" t="str">
        <f>Capacidades!M598</f>
        <v xml:space="preserve">   </v>
      </c>
      <c r="C310" s="171"/>
      <c r="D310" s="13"/>
      <c r="E310" s="13"/>
      <c r="F310" s="14"/>
      <c r="G310" s="14"/>
      <c r="H310" s="14"/>
      <c r="I310" s="14"/>
      <c r="J310" s="14"/>
      <c r="K310" s="14"/>
      <c r="L310" s="336"/>
      <c r="M310" s="95" t="str">
        <f t="shared" si="6"/>
        <v xml:space="preserve">   </v>
      </c>
    </row>
    <row r="311" spans="1:13" hidden="1" x14ac:dyDescent="0.2">
      <c r="A311" s="343"/>
      <c r="B311" s="172" t="str">
        <f>Capacidades!M599</f>
        <v xml:space="preserve">   </v>
      </c>
      <c r="C311" s="171"/>
      <c r="D311" s="13"/>
      <c r="E311" s="13"/>
      <c r="F311" s="14"/>
      <c r="G311" s="14"/>
      <c r="H311" s="14"/>
      <c r="I311" s="14"/>
      <c r="J311" s="14"/>
      <c r="K311" s="14"/>
      <c r="L311" s="336"/>
      <c r="M311" s="95" t="str">
        <f t="shared" si="6"/>
        <v xml:space="preserve">   </v>
      </c>
    </row>
    <row r="312" spans="1:13" hidden="1" x14ac:dyDescent="0.2">
      <c r="A312" s="344"/>
      <c r="B312" s="172" t="str">
        <f>Capacidades!M600</f>
        <v xml:space="preserve">   </v>
      </c>
      <c r="C312" s="174"/>
      <c r="D312" s="13"/>
      <c r="E312" s="13"/>
      <c r="F312" s="14"/>
      <c r="G312" s="14"/>
      <c r="H312" s="14"/>
      <c r="I312" s="14"/>
      <c r="J312" s="14"/>
      <c r="K312" s="14"/>
      <c r="L312" s="336"/>
      <c r="M312" s="95" t="str">
        <f t="shared" si="6"/>
        <v xml:space="preserve">   </v>
      </c>
    </row>
    <row r="313" spans="1:13" hidden="1" x14ac:dyDescent="0.2">
      <c r="A313" s="342" t="str">
        <f>Capacidades!L601</f>
        <v xml:space="preserve">       </v>
      </c>
      <c r="B313" s="172" t="str">
        <f>Capacidades!M601</f>
        <v xml:space="preserve">   </v>
      </c>
      <c r="C313" s="171"/>
      <c r="D313" s="11">
        <f>Organización_Modular!F70</f>
        <v>0</v>
      </c>
      <c r="E313" s="11">
        <f>Organización_Modular!G70</f>
        <v>0</v>
      </c>
      <c r="F313" s="11">
        <f>Organización_Modular!H70</f>
        <v>0</v>
      </c>
      <c r="G313" s="11">
        <f>Organización_Modular!I70</f>
        <v>0</v>
      </c>
      <c r="H313" s="12">
        <f>SUM(F313:G313)</f>
        <v>0</v>
      </c>
      <c r="I313" s="12">
        <f>F313*16</f>
        <v>0</v>
      </c>
      <c r="J313" s="12">
        <f>G313*32</f>
        <v>0</v>
      </c>
      <c r="K313" s="12">
        <f>SUM(I313:J313)</f>
        <v>0</v>
      </c>
      <c r="L313" s="335"/>
      <c r="M313" s="95" t="str">
        <f t="shared" si="6"/>
        <v xml:space="preserve">   </v>
      </c>
    </row>
    <row r="314" spans="1:13" hidden="1" x14ac:dyDescent="0.2">
      <c r="A314" s="343"/>
      <c r="B314" s="172" t="str">
        <f>Capacidades!M602</f>
        <v xml:space="preserve">   </v>
      </c>
      <c r="C314" s="171"/>
      <c r="D314" s="13"/>
      <c r="E314" s="13"/>
      <c r="F314" s="14"/>
      <c r="G314" s="14"/>
      <c r="H314" s="14"/>
      <c r="I314" s="14"/>
      <c r="J314" s="14"/>
      <c r="K314" s="14"/>
      <c r="L314" s="336"/>
      <c r="M314" s="95" t="str">
        <f t="shared" si="6"/>
        <v xml:space="preserve">   </v>
      </c>
    </row>
    <row r="315" spans="1:13" hidden="1" x14ac:dyDescent="0.2">
      <c r="A315" s="343"/>
      <c r="B315" s="172" t="str">
        <f>Capacidades!M603</f>
        <v xml:space="preserve">   </v>
      </c>
      <c r="C315" s="171"/>
      <c r="D315" s="13"/>
      <c r="E315" s="13"/>
      <c r="F315" s="14"/>
      <c r="G315" s="14"/>
      <c r="H315" s="14"/>
      <c r="I315" s="14"/>
      <c r="J315" s="14"/>
      <c r="K315" s="14"/>
      <c r="L315" s="336"/>
      <c r="M315" s="95" t="str">
        <f t="shared" si="6"/>
        <v xml:space="preserve">   </v>
      </c>
    </row>
    <row r="316" spans="1:13" hidden="1" x14ac:dyDescent="0.2">
      <c r="A316" s="343"/>
      <c r="B316" s="172" t="str">
        <f>Capacidades!M604</f>
        <v xml:space="preserve">   </v>
      </c>
      <c r="C316" s="171"/>
      <c r="D316" s="13"/>
      <c r="E316" s="13"/>
      <c r="F316" s="14"/>
      <c r="G316" s="14"/>
      <c r="H316" s="14"/>
      <c r="I316" s="14"/>
      <c r="J316" s="14"/>
      <c r="K316" s="14"/>
      <c r="L316" s="336"/>
      <c r="M316" s="95" t="str">
        <f t="shared" si="6"/>
        <v xml:space="preserve">   </v>
      </c>
    </row>
    <row r="317" spans="1:13" hidden="1" x14ac:dyDescent="0.2">
      <c r="A317" s="343"/>
      <c r="B317" s="172" t="str">
        <f>Capacidades!M605</f>
        <v xml:space="preserve">   </v>
      </c>
      <c r="C317" s="171"/>
      <c r="D317" s="13"/>
      <c r="E317" s="13"/>
      <c r="F317" s="14"/>
      <c r="G317" s="14"/>
      <c r="H317" s="14"/>
      <c r="I317" s="14"/>
      <c r="J317" s="14"/>
      <c r="K317" s="14"/>
      <c r="L317" s="336"/>
      <c r="M317" s="95" t="str">
        <f t="shared" si="6"/>
        <v xml:space="preserve">   </v>
      </c>
    </row>
    <row r="318" spans="1:13" hidden="1" x14ac:dyDescent="0.2">
      <c r="A318" s="343"/>
      <c r="B318" s="172" t="str">
        <f>Capacidades!M606</f>
        <v xml:space="preserve">   </v>
      </c>
      <c r="C318" s="171"/>
      <c r="D318" s="13"/>
      <c r="E318" s="13"/>
      <c r="F318" s="14"/>
      <c r="G318" s="14"/>
      <c r="H318" s="14"/>
      <c r="I318" s="14"/>
      <c r="J318" s="14"/>
      <c r="K318" s="14"/>
      <c r="L318" s="336"/>
      <c r="M318" s="95" t="str">
        <f t="shared" si="6"/>
        <v xml:space="preserve">   </v>
      </c>
    </row>
    <row r="319" spans="1:13" hidden="1" x14ac:dyDescent="0.2">
      <c r="A319" s="343"/>
      <c r="B319" s="172" t="str">
        <f>Capacidades!M607</f>
        <v xml:space="preserve">   </v>
      </c>
      <c r="C319" s="171"/>
      <c r="D319" s="13"/>
      <c r="E319" s="13"/>
      <c r="F319" s="14"/>
      <c r="G319" s="14"/>
      <c r="H319" s="14"/>
      <c r="I319" s="14"/>
      <c r="J319" s="14"/>
      <c r="K319" s="14"/>
      <c r="L319" s="336"/>
      <c r="M319" s="95" t="str">
        <f t="shared" si="6"/>
        <v xml:space="preserve">   </v>
      </c>
    </row>
    <row r="320" spans="1:13" hidden="1" x14ac:dyDescent="0.2">
      <c r="A320" s="343"/>
      <c r="B320" s="172" t="str">
        <f>Capacidades!M608</f>
        <v xml:space="preserve">   </v>
      </c>
      <c r="C320" s="171"/>
      <c r="D320" s="13"/>
      <c r="E320" s="13"/>
      <c r="F320" s="14"/>
      <c r="G320" s="14"/>
      <c r="H320" s="14"/>
      <c r="I320" s="14"/>
      <c r="J320" s="14"/>
      <c r="K320" s="14"/>
      <c r="L320" s="336"/>
      <c r="M320" s="95" t="str">
        <f t="shared" si="6"/>
        <v xml:space="preserve">   </v>
      </c>
    </row>
    <row r="321" spans="1:13" hidden="1" x14ac:dyDescent="0.2">
      <c r="A321" s="343"/>
      <c r="B321" s="172" t="str">
        <f>Capacidades!M609</f>
        <v xml:space="preserve">   </v>
      </c>
      <c r="C321" s="171"/>
      <c r="D321" s="13"/>
      <c r="E321" s="13"/>
      <c r="F321" s="14"/>
      <c r="G321" s="14"/>
      <c r="H321" s="14"/>
      <c r="I321" s="14"/>
      <c r="J321" s="14"/>
      <c r="K321" s="14"/>
      <c r="L321" s="336"/>
      <c r="M321" s="95" t="str">
        <f t="shared" si="6"/>
        <v xml:space="preserve">   </v>
      </c>
    </row>
    <row r="322" spans="1:13" hidden="1" x14ac:dyDescent="0.2">
      <c r="A322" s="344"/>
      <c r="B322" s="172" t="str">
        <f>Capacidades!M610</f>
        <v xml:space="preserve">   </v>
      </c>
      <c r="C322" s="174"/>
      <c r="D322" s="13"/>
      <c r="E322" s="13"/>
      <c r="F322" s="14"/>
      <c r="G322" s="14"/>
      <c r="H322" s="14"/>
      <c r="I322" s="14"/>
      <c r="J322" s="14"/>
      <c r="K322" s="14"/>
      <c r="L322" s="336"/>
      <c r="M322" s="95" t="str">
        <f t="shared" si="6"/>
        <v xml:space="preserve">   </v>
      </c>
    </row>
    <row r="323" spans="1:13" ht="27.75" customHeight="1" x14ac:dyDescent="0.2">
      <c r="A323" s="380" t="s">
        <v>106</v>
      </c>
      <c r="B323" s="380"/>
      <c r="C323" s="380"/>
      <c r="D323" s="380"/>
      <c r="E323" s="380"/>
      <c r="F323" s="380"/>
      <c r="G323" s="380"/>
      <c r="H323" s="380"/>
      <c r="I323" s="380"/>
      <c r="J323" s="380"/>
      <c r="K323" s="380"/>
      <c r="L323" s="380"/>
      <c r="M323" s="95" t="str">
        <f>A323</f>
        <v xml:space="preserve">COMPETENCIAS PARA LA EMPLEABILIDAD INCORPORADAS COMO CONTENIDO  TRANSVERSAL </v>
      </c>
    </row>
    <row r="324" spans="1:13" ht="33.75" customHeight="1" x14ac:dyDescent="0.2">
      <c r="A324" s="353" t="str">
        <f>'M1'!A316:L316</f>
        <v xml:space="preserve">CE6 Liderazgo personal y profesional. - Demostrar comportamiento de liderazgo que permita coordinar y organizar eficazmente las ideas, decisiones y actividades en el desempeño laboral y social. (T) </v>
      </c>
      <c r="B324" s="353"/>
      <c r="C324" s="353"/>
      <c r="D324" s="353"/>
      <c r="E324" s="353"/>
      <c r="F324" s="353"/>
      <c r="G324" s="353"/>
      <c r="H324" s="353"/>
      <c r="I324" s="353"/>
      <c r="J324" s="353"/>
      <c r="K324" s="353"/>
      <c r="L324" s="353"/>
      <c r="M324" s="95" t="str">
        <f t="shared" ref="M324:M359" si="7">A324</f>
        <v xml:space="preserve">CE6 Liderazgo personal y profesional. - Demostrar comportamiento de liderazgo que permita coordinar y organizar eficazmente las ideas, decisiones y actividades en el desempeño laboral y social. (T) </v>
      </c>
    </row>
    <row r="325" spans="1:13" ht="44.25" customHeight="1" x14ac:dyDescent="0.2">
      <c r="A325" s="353" t="str">
        <f>'M1'!A317:L317</f>
        <v xml:space="preserve">CE7 Cultura ambiental. - Convivir de manera ética, autónoma, responsable y sostenible, previniendo, reduciendo y controlando permanente y progresivamente los impactos ambientales. (T) </v>
      </c>
      <c r="B325" s="353"/>
      <c r="C325" s="353"/>
      <c r="D325" s="353"/>
      <c r="E325" s="353"/>
      <c r="F325" s="353"/>
      <c r="G325" s="353"/>
      <c r="H325" s="353"/>
      <c r="I325" s="353"/>
      <c r="J325" s="353"/>
      <c r="K325" s="353"/>
      <c r="L325" s="353"/>
      <c r="M325" s="95" t="str">
        <f t="shared" si="7"/>
        <v xml:space="preserve">CE7 Cultura ambiental. - Convivir de manera ética, autónoma, responsable y sostenible, previniendo, reduciendo y controlando permanente y progresivamente los impactos ambientales. (T) </v>
      </c>
    </row>
    <row r="326" spans="1:13" ht="10.5" hidden="1" customHeight="1" x14ac:dyDescent="0.2">
      <c r="A326" s="353">
        <f>'M1'!A318:L318</f>
        <v>0</v>
      </c>
      <c r="B326" s="353"/>
      <c r="C326" s="353"/>
      <c r="D326" s="353"/>
      <c r="E326" s="353"/>
      <c r="F326" s="353"/>
      <c r="G326" s="353"/>
      <c r="H326" s="353"/>
      <c r="I326" s="353"/>
      <c r="J326" s="353"/>
      <c r="K326" s="353"/>
      <c r="L326" s="353"/>
      <c r="M326" s="95">
        <f t="shared" si="7"/>
        <v>0</v>
      </c>
    </row>
    <row r="327" spans="1:13" ht="25.5" customHeight="1" x14ac:dyDescent="0.2">
      <c r="A327" s="349" t="s">
        <v>92</v>
      </c>
      <c r="B327" s="349"/>
      <c r="C327" s="349" t="s">
        <v>91</v>
      </c>
      <c r="D327" s="349"/>
      <c r="E327" s="349"/>
      <c r="F327" s="349"/>
      <c r="G327" s="349"/>
      <c r="H327" s="349"/>
      <c r="I327" s="349"/>
      <c r="J327" s="349"/>
      <c r="K327" s="349"/>
      <c r="L327" s="349"/>
      <c r="M327" s="95" t="str">
        <f t="shared" si="7"/>
        <v>CAPACIDADES A FORTALECER</v>
      </c>
    </row>
    <row r="328" spans="1:13" ht="133.5" customHeight="1" x14ac:dyDescent="0.2">
      <c r="A328" s="353" t="str">
        <f ca="1">OFFSET($A$9,(ROW()-326)*10-1,0)</f>
        <v xml:space="preserve">UC2 C2 Realizar  el mantenimiento preventivo de la infraestructura de plataformas y servicios de TI teniendo en cuenta las especificaciones técnicas y políticas del servicio.    </v>
      </c>
      <c r="B328" s="353"/>
      <c r="C328" s="365" t="s">
        <v>393</v>
      </c>
      <c r="D328" s="366"/>
      <c r="E328" s="366"/>
      <c r="F328" s="366"/>
      <c r="G328" s="366"/>
      <c r="H328" s="366"/>
      <c r="I328" s="366"/>
      <c r="J328" s="366"/>
      <c r="K328" s="366"/>
      <c r="L328" s="367"/>
      <c r="M328" s="95" t="str">
        <f t="shared" ca="1" si="7"/>
        <v xml:space="preserve">UC2 C2 Realizar  el mantenimiento preventivo de la infraestructura de plataformas y servicios de TI teniendo en cuenta las especificaciones técnicas y políticas del servicio.    </v>
      </c>
    </row>
    <row r="329" spans="1:13" ht="106.5" customHeight="1" x14ac:dyDescent="0.2">
      <c r="A329" s="353" t="s">
        <v>632</v>
      </c>
      <c r="B329" s="382"/>
      <c r="C329" s="368"/>
      <c r="D329" s="369"/>
      <c r="E329" s="369"/>
      <c r="F329" s="369"/>
      <c r="G329" s="369"/>
      <c r="H329" s="369"/>
      <c r="I329" s="369"/>
      <c r="J329" s="369"/>
      <c r="K329" s="369"/>
      <c r="L329" s="370"/>
      <c r="M329" s="95" t="str">
        <f t="shared" si="7"/>
        <v>CE5 C1 Identificar situaciones o problemas del proceso productivo o de servicios  considerando los objetivos del  área de desempeño.</v>
      </c>
    </row>
    <row r="330" spans="1:13" ht="31.5" hidden="1" customHeight="1" x14ac:dyDescent="0.2">
      <c r="A330" s="383"/>
      <c r="B330" s="382"/>
      <c r="C330" s="368"/>
      <c r="D330" s="369"/>
      <c r="E330" s="369"/>
      <c r="F330" s="369"/>
      <c r="G330" s="369"/>
      <c r="H330" s="369"/>
      <c r="I330" s="369"/>
      <c r="J330" s="369"/>
      <c r="K330" s="369"/>
      <c r="L330" s="370"/>
      <c r="M330" s="95">
        <f t="shared" si="7"/>
        <v>0</v>
      </c>
    </row>
    <row r="331" spans="1:13" ht="15" hidden="1" customHeight="1" x14ac:dyDescent="0.2">
      <c r="A331" s="353"/>
      <c r="B331" s="353"/>
      <c r="C331" s="368"/>
      <c r="D331" s="369"/>
      <c r="E331" s="369"/>
      <c r="F331" s="369"/>
      <c r="G331" s="369"/>
      <c r="H331" s="369"/>
      <c r="I331" s="369"/>
      <c r="J331" s="369"/>
      <c r="K331" s="369"/>
      <c r="L331" s="370"/>
      <c r="M331" s="95">
        <f t="shared" si="7"/>
        <v>0</v>
      </c>
    </row>
    <row r="332" spans="1:13" ht="17.25" hidden="1" customHeight="1" x14ac:dyDescent="0.2">
      <c r="A332" s="353">
        <f t="shared" ref="A332:A345" ca="1" si="8">OFFSET($A$9,(ROW()-326)*10-1,0)</f>
        <v>0</v>
      </c>
      <c r="B332" s="353"/>
      <c r="C332" s="368"/>
      <c r="D332" s="369"/>
      <c r="E332" s="369"/>
      <c r="F332" s="369"/>
      <c r="G332" s="369"/>
      <c r="H332" s="369"/>
      <c r="I332" s="369"/>
      <c r="J332" s="369"/>
      <c r="K332" s="369"/>
      <c r="L332" s="370"/>
      <c r="M332" s="95">
        <f t="shared" ca="1" si="7"/>
        <v>0</v>
      </c>
    </row>
    <row r="333" spans="1:13" ht="2.25" hidden="1" customHeight="1" x14ac:dyDescent="0.2">
      <c r="A333" s="353">
        <f t="shared" ca="1" si="8"/>
        <v>0</v>
      </c>
      <c r="B333" s="353"/>
      <c r="C333" s="368"/>
      <c r="D333" s="369"/>
      <c r="E333" s="369"/>
      <c r="F333" s="369"/>
      <c r="G333" s="369"/>
      <c r="H333" s="369"/>
      <c r="I333" s="369"/>
      <c r="J333" s="369"/>
      <c r="K333" s="369"/>
      <c r="L333" s="370"/>
      <c r="M333" s="95">
        <f t="shared" ca="1" si="7"/>
        <v>0</v>
      </c>
    </row>
    <row r="334" spans="1:13" ht="17.25" hidden="1" customHeight="1" x14ac:dyDescent="0.2">
      <c r="A334" s="353">
        <f t="shared" ca="1" si="8"/>
        <v>0</v>
      </c>
      <c r="B334" s="353"/>
      <c r="C334" s="368"/>
      <c r="D334" s="369"/>
      <c r="E334" s="369"/>
      <c r="F334" s="369"/>
      <c r="G334" s="369"/>
      <c r="H334" s="369"/>
      <c r="I334" s="369"/>
      <c r="J334" s="369"/>
      <c r="K334" s="369"/>
      <c r="L334" s="370"/>
      <c r="M334" s="95">
        <f t="shared" ca="1" si="7"/>
        <v>0</v>
      </c>
    </row>
    <row r="335" spans="1:13" ht="18" hidden="1" customHeight="1" x14ac:dyDescent="0.2">
      <c r="A335" s="353">
        <f t="shared" ca="1" si="8"/>
        <v>0</v>
      </c>
      <c r="B335" s="353"/>
      <c r="C335" s="368"/>
      <c r="D335" s="369"/>
      <c r="E335" s="369"/>
      <c r="F335" s="369"/>
      <c r="G335" s="369"/>
      <c r="H335" s="369"/>
      <c r="I335" s="369"/>
      <c r="J335" s="369"/>
      <c r="K335" s="369"/>
      <c r="L335" s="370"/>
      <c r="M335" s="95">
        <f t="shared" ca="1" si="7"/>
        <v>0</v>
      </c>
    </row>
    <row r="336" spans="1:13" ht="19.5" hidden="1" customHeight="1" x14ac:dyDescent="0.2">
      <c r="A336" s="353">
        <f t="shared" ca="1" si="8"/>
        <v>0</v>
      </c>
      <c r="B336" s="353"/>
      <c r="C336" s="368"/>
      <c r="D336" s="369"/>
      <c r="E336" s="369"/>
      <c r="F336" s="369"/>
      <c r="G336" s="369"/>
      <c r="H336" s="369"/>
      <c r="I336" s="369"/>
      <c r="J336" s="369"/>
      <c r="K336" s="369"/>
      <c r="L336" s="370"/>
      <c r="M336" s="95">
        <f t="shared" ca="1" si="7"/>
        <v>0</v>
      </c>
    </row>
    <row r="337" spans="1:13" ht="18" hidden="1" customHeight="1" x14ac:dyDescent="0.2">
      <c r="A337" s="353">
        <f t="shared" ca="1" si="8"/>
        <v>0</v>
      </c>
      <c r="B337" s="353"/>
      <c r="C337" s="368"/>
      <c r="D337" s="369"/>
      <c r="E337" s="369"/>
      <c r="F337" s="369"/>
      <c r="G337" s="369"/>
      <c r="H337" s="369"/>
      <c r="I337" s="369"/>
      <c r="J337" s="369"/>
      <c r="K337" s="369"/>
      <c r="L337" s="370"/>
      <c r="M337" s="95">
        <f t="shared" ca="1" si="7"/>
        <v>0</v>
      </c>
    </row>
    <row r="338" spans="1:13" ht="21.75" hidden="1" customHeight="1" x14ac:dyDescent="0.2">
      <c r="A338" s="353">
        <f t="shared" ca="1" si="8"/>
        <v>0</v>
      </c>
      <c r="B338" s="353"/>
      <c r="C338" s="368"/>
      <c r="D338" s="369"/>
      <c r="E338" s="369"/>
      <c r="F338" s="369"/>
      <c r="G338" s="369"/>
      <c r="H338" s="369"/>
      <c r="I338" s="369"/>
      <c r="J338" s="369"/>
      <c r="K338" s="369"/>
      <c r="L338" s="370"/>
      <c r="M338" s="95">
        <f t="shared" ca="1" si="7"/>
        <v>0</v>
      </c>
    </row>
    <row r="339" spans="1:13" ht="30" hidden="1" customHeight="1" x14ac:dyDescent="0.2">
      <c r="A339" s="353">
        <f t="shared" ca="1" si="8"/>
        <v>0</v>
      </c>
      <c r="B339" s="353"/>
      <c r="C339" s="368"/>
      <c r="D339" s="369"/>
      <c r="E339" s="369"/>
      <c r="F339" s="369"/>
      <c r="G339" s="369"/>
      <c r="H339" s="369"/>
      <c r="I339" s="369"/>
      <c r="J339" s="369"/>
      <c r="K339" s="369"/>
      <c r="L339" s="370"/>
      <c r="M339" s="95">
        <f t="shared" ca="1" si="7"/>
        <v>0</v>
      </c>
    </row>
    <row r="340" spans="1:13" ht="42" hidden="1" customHeight="1" x14ac:dyDescent="0.2">
      <c r="A340" s="353">
        <f t="shared" ca="1" si="8"/>
        <v>0</v>
      </c>
      <c r="B340" s="353"/>
      <c r="C340" s="368"/>
      <c r="D340" s="369"/>
      <c r="E340" s="369"/>
      <c r="F340" s="369"/>
      <c r="G340" s="369"/>
      <c r="H340" s="369"/>
      <c r="I340" s="369"/>
      <c r="J340" s="369"/>
      <c r="K340" s="369"/>
      <c r="L340" s="370"/>
      <c r="M340" s="95">
        <f t="shared" ca="1" si="7"/>
        <v>0</v>
      </c>
    </row>
    <row r="341" spans="1:13" ht="24.75" hidden="1" customHeight="1" x14ac:dyDescent="0.2">
      <c r="A341" s="353">
        <f t="shared" ca="1" si="8"/>
        <v>0</v>
      </c>
      <c r="B341" s="353"/>
      <c r="C341" s="368"/>
      <c r="D341" s="369"/>
      <c r="E341" s="369"/>
      <c r="F341" s="369"/>
      <c r="G341" s="369"/>
      <c r="H341" s="369"/>
      <c r="I341" s="369"/>
      <c r="J341" s="369"/>
      <c r="K341" s="369"/>
      <c r="L341" s="370"/>
      <c r="M341" s="95">
        <f t="shared" ca="1" si="7"/>
        <v>0</v>
      </c>
    </row>
    <row r="342" spans="1:13" ht="21" hidden="1" customHeight="1" x14ac:dyDescent="0.2">
      <c r="A342" s="353">
        <f t="shared" ca="1" si="8"/>
        <v>0</v>
      </c>
      <c r="B342" s="353"/>
      <c r="C342" s="368"/>
      <c r="D342" s="369"/>
      <c r="E342" s="369"/>
      <c r="F342" s="369"/>
      <c r="G342" s="369"/>
      <c r="H342" s="369"/>
      <c r="I342" s="369"/>
      <c r="J342" s="369"/>
      <c r="K342" s="369"/>
      <c r="L342" s="370"/>
      <c r="M342" s="95">
        <f t="shared" ca="1" si="7"/>
        <v>0</v>
      </c>
    </row>
    <row r="343" spans="1:13" ht="18.75" hidden="1" customHeight="1" x14ac:dyDescent="0.2">
      <c r="A343" s="353">
        <f t="shared" ca="1" si="8"/>
        <v>0</v>
      </c>
      <c r="B343" s="353"/>
      <c r="C343" s="368"/>
      <c r="D343" s="369"/>
      <c r="E343" s="369"/>
      <c r="F343" s="369"/>
      <c r="G343" s="369"/>
      <c r="H343" s="369"/>
      <c r="I343" s="369"/>
      <c r="J343" s="369"/>
      <c r="K343" s="369"/>
      <c r="L343" s="370"/>
      <c r="M343" s="95">
        <f t="shared" ca="1" si="7"/>
        <v>0</v>
      </c>
    </row>
    <row r="344" spans="1:13" ht="15.75" hidden="1" customHeight="1" x14ac:dyDescent="0.2">
      <c r="A344" s="353">
        <f t="shared" ca="1" si="8"/>
        <v>0</v>
      </c>
      <c r="B344" s="353"/>
      <c r="C344" s="368"/>
      <c r="D344" s="369"/>
      <c r="E344" s="369"/>
      <c r="F344" s="369"/>
      <c r="G344" s="369"/>
      <c r="H344" s="369"/>
      <c r="I344" s="369"/>
      <c r="J344" s="369"/>
      <c r="K344" s="369"/>
      <c r="L344" s="370"/>
      <c r="M344" s="95">
        <f t="shared" ca="1" si="7"/>
        <v>0</v>
      </c>
    </row>
    <row r="345" spans="1:13" ht="18.75" hidden="1" customHeight="1" x14ac:dyDescent="0.2">
      <c r="A345" s="353">
        <f t="shared" ca="1" si="8"/>
        <v>0</v>
      </c>
      <c r="B345" s="353"/>
      <c r="C345" s="368"/>
      <c r="D345" s="369"/>
      <c r="E345" s="369"/>
      <c r="F345" s="369"/>
      <c r="G345" s="369"/>
      <c r="H345" s="369"/>
      <c r="I345" s="369"/>
      <c r="J345" s="369"/>
      <c r="K345" s="369"/>
      <c r="L345" s="370"/>
      <c r="M345" s="95">
        <f t="shared" ca="1" si="7"/>
        <v>0</v>
      </c>
    </row>
    <row r="346" spans="1:13" ht="15.75" hidden="1" customHeight="1" x14ac:dyDescent="0.2">
      <c r="A346" s="353">
        <f ca="1">OFFSET($A$9,(ROW()-326)*10-1,0)</f>
        <v>0</v>
      </c>
      <c r="B346" s="353"/>
      <c r="C346" s="368"/>
      <c r="D346" s="369"/>
      <c r="E346" s="369"/>
      <c r="F346" s="369"/>
      <c r="G346" s="369"/>
      <c r="H346" s="369"/>
      <c r="I346" s="369"/>
      <c r="J346" s="369"/>
      <c r="K346" s="369"/>
      <c r="L346" s="370"/>
      <c r="M346" s="95">
        <f t="shared" ca="1" si="7"/>
        <v>0</v>
      </c>
    </row>
    <row r="347" spans="1:13" ht="27" hidden="1" customHeight="1" x14ac:dyDescent="0.2">
      <c r="A347" s="353"/>
      <c r="B347" s="353"/>
      <c r="C347" s="368"/>
      <c r="D347" s="369"/>
      <c r="E347" s="369"/>
      <c r="F347" s="369"/>
      <c r="G347" s="369"/>
      <c r="H347" s="369"/>
      <c r="I347" s="369"/>
      <c r="J347" s="369"/>
      <c r="K347" s="369"/>
      <c r="L347" s="370"/>
      <c r="M347" s="95">
        <f t="shared" si="7"/>
        <v>0</v>
      </c>
    </row>
    <row r="348" spans="1:13" ht="27" hidden="1" customHeight="1" x14ac:dyDescent="0.2">
      <c r="A348" s="353"/>
      <c r="B348" s="353"/>
      <c r="C348" s="368"/>
      <c r="D348" s="369"/>
      <c r="E348" s="369"/>
      <c r="F348" s="369"/>
      <c r="G348" s="369"/>
      <c r="H348" s="369"/>
      <c r="I348" s="369"/>
      <c r="J348" s="369"/>
      <c r="K348" s="369"/>
      <c r="L348" s="370"/>
      <c r="M348" s="95">
        <f t="shared" si="7"/>
        <v>0</v>
      </c>
    </row>
    <row r="349" spans="1:13" ht="27" hidden="1" customHeight="1" x14ac:dyDescent="0.2">
      <c r="A349" s="353"/>
      <c r="B349" s="353"/>
      <c r="C349" s="368"/>
      <c r="D349" s="369"/>
      <c r="E349" s="369"/>
      <c r="F349" s="369"/>
      <c r="G349" s="369"/>
      <c r="H349" s="369"/>
      <c r="I349" s="369"/>
      <c r="J349" s="369"/>
      <c r="K349" s="369"/>
      <c r="L349" s="370"/>
      <c r="M349" s="95">
        <f t="shared" si="7"/>
        <v>0</v>
      </c>
    </row>
    <row r="350" spans="1:13" ht="24.75" hidden="1" customHeight="1" x14ac:dyDescent="0.2">
      <c r="A350" s="353"/>
      <c r="B350" s="353"/>
      <c r="C350" s="368"/>
      <c r="D350" s="369"/>
      <c r="E350" s="369"/>
      <c r="F350" s="369"/>
      <c r="G350" s="369"/>
      <c r="H350" s="369"/>
      <c r="I350" s="369"/>
      <c r="J350" s="369"/>
      <c r="K350" s="369"/>
      <c r="L350" s="370"/>
      <c r="M350" s="95">
        <f t="shared" si="7"/>
        <v>0</v>
      </c>
    </row>
    <row r="351" spans="1:13" ht="28.5" hidden="1" customHeight="1" x14ac:dyDescent="0.2">
      <c r="A351" s="353">
        <f t="shared" ref="A351:A357" ca="1" si="9">OFFSET($A$215,(ROW()-346)*10-1,0)</f>
        <v>0</v>
      </c>
      <c r="B351" s="353"/>
      <c r="C351" s="368"/>
      <c r="D351" s="369"/>
      <c r="E351" s="369"/>
      <c r="F351" s="369"/>
      <c r="G351" s="369"/>
      <c r="H351" s="369"/>
      <c r="I351" s="369"/>
      <c r="J351" s="369"/>
      <c r="K351" s="369"/>
      <c r="L351" s="370"/>
      <c r="M351" s="95">
        <f t="shared" ca="1" si="7"/>
        <v>0</v>
      </c>
    </row>
    <row r="352" spans="1:13" ht="32.25" hidden="1" customHeight="1" x14ac:dyDescent="0.2">
      <c r="A352" s="353">
        <f t="shared" ca="1" si="9"/>
        <v>0</v>
      </c>
      <c r="B352" s="353"/>
      <c r="C352" s="368"/>
      <c r="D352" s="369"/>
      <c r="E352" s="369"/>
      <c r="F352" s="369"/>
      <c r="G352" s="369"/>
      <c r="H352" s="369"/>
      <c r="I352" s="369"/>
      <c r="J352" s="369"/>
      <c r="K352" s="369"/>
      <c r="L352" s="370"/>
      <c r="M352" s="95">
        <f t="shared" ca="1" si="7"/>
        <v>0</v>
      </c>
    </row>
    <row r="353" spans="1:13" ht="27" hidden="1" customHeight="1" x14ac:dyDescent="0.2">
      <c r="A353" s="353">
        <f t="shared" ca="1" si="9"/>
        <v>0</v>
      </c>
      <c r="B353" s="353"/>
      <c r="C353" s="368"/>
      <c r="D353" s="369"/>
      <c r="E353" s="369"/>
      <c r="F353" s="369"/>
      <c r="G353" s="369"/>
      <c r="H353" s="369"/>
      <c r="I353" s="369"/>
      <c r="J353" s="369"/>
      <c r="K353" s="369"/>
      <c r="L353" s="370"/>
      <c r="M353" s="95">
        <f t="shared" ca="1" si="7"/>
        <v>0</v>
      </c>
    </row>
    <row r="354" spans="1:13" ht="25.5" hidden="1" customHeight="1" x14ac:dyDescent="0.2">
      <c r="A354" s="353">
        <f t="shared" ca="1" si="9"/>
        <v>0</v>
      </c>
      <c r="B354" s="353"/>
      <c r="C354" s="368"/>
      <c r="D354" s="369"/>
      <c r="E354" s="369"/>
      <c r="F354" s="369"/>
      <c r="G354" s="369"/>
      <c r="H354" s="369"/>
      <c r="I354" s="369"/>
      <c r="J354" s="369"/>
      <c r="K354" s="369"/>
      <c r="L354" s="370"/>
      <c r="M354" s="95">
        <f t="shared" ca="1" si="7"/>
        <v>0</v>
      </c>
    </row>
    <row r="355" spans="1:13" ht="22.5" hidden="1" customHeight="1" x14ac:dyDescent="0.2">
      <c r="A355" s="353">
        <f t="shared" ca="1" si="9"/>
        <v>0</v>
      </c>
      <c r="B355" s="353"/>
      <c r="C355" s="368"/>
      <c r="D355" s="369"/>
      <c r="E355" s="369"/>
      <c r="F355" s="369"/>
      <c r="G355" s="369"/>
      <c r="H355" s="369"/>
      <c r="I355" s="369"/>
      <c r="J355" s="369"/>
      <c r="K355" s="369"/>
      <c r="L355" s="370"/>
      <c r="M355" s="95">
        <f t="shared" ca="1" si="7"/>
        <v>0</v>
      </c>
    </row>
    <row r="356" spans="1:13" ht="21.75" hidden="1" customHeight="1" x14ac:dyDescent="0.2">
      <c r="A356" s="353"/>
      <c r="B356" s="353"/>
      <c r="C356" s="368"/>
      <c r="D356" s="369"/>
      <c r="E356" s="369"/>
      <c r="F356" s="369"/>
      <c r="G356" s="369"/>
      <c r="H356" s="369"/>
      <c r="I356" s="369"/>
      <c r="J356" s="369"/>
      <c r="K356" s="369"/>
      <c r="L356" s="370"/>
      <c r="M356" s="95">
        <f t="shared" si="7"/>
        <v>0</v>
      </c>
    </row>
    <row r="357" spans="1:13" ht="15.75" hidden="1" customHeight="1" x14ac:dyDescent="0.2">
      <c r="A357" s="353" t="str">
        <f t="shared" ca="1" si="9"/>
        <v xml:space="preserve">CE6 Liderazgo personal y profesional. - Demostrar comportamiento de liderazgo que permita coordinar y organizar eficazmente las ideas, decisiones y actividades en el desempeño laboral y social. (T) </v>
      </c>
      <c r="B357" s="353"/>
      <c r="C357" s="371"/>
      <c r="D357" s="372"/>
      <c r="E357" s="372"/>
      <c r="F357" s="372"/>
      <c r="G357" s="372"/>
      <c r="H357" s="372"/>
      <c r="I357" s="372"/>
      <c r="J357" s="372"/>
      <c r="K357" s="372"/>
      <c r="L357" s="373"/>
      <c r="M357" s="95" t="str">
        <f t="shared" ca="1" si="7"/>
        <v xml:space="preserve">CE6 Liderazgo personal y profesional. - Demostrar comportamiento de liderazgo que permita coordinar y organizar eficazmente las ideas, decisiones y actividades en el desempeño laboral y social. (T) </v>
      </c>
    </row>
    <row r="358" spans="1:13" s="57" customFormat="1" ht="33" customHeight="1" x14ac:dyDescent="0.2">
      <c r="A358" s="380" t="str">
        <f>'M1'!A350:L350</f>
        <v>EXPERIENCIAS FORMATIVAS EN SITUACIONES REALES DE TRABAJO (EFSRT)</v>
      </c>
      <c r="B358" s="380"/>
      <c r="C358" s="380"/>
      <c r="D358" s="380"/>
      <c r="E358" s="380"/>
      <c r="F358" s="380"/>
      <c r="G358" s="380"/>
      <c r="H358" s="380"/>
      <c r="I358" s="380"/>
      <c r="J358" s="380"/>
      <c r="K358" s="380"/>
      <c r="L358" s="380"/>
      <c r="M358" s="95" t="str">
        <f t="shared" si="7"/>
        <v>EXPERIENCIAS FORMATIVAS EN SITUACIONES REALES DE TRABAJO (EFSRT)</v>
      </c>
    </row>
    <row r="359" spans="1:13" s="57" customFormat="1" ht="30" customHeight="1" x14ac:dyDescent="0.2">
      <c r="A359" s="161" t="str">
        <f>'M1'!A351</f>
        <v>LUGAR PARA EL DESARROLLO DE LA EFSRT</v>
      </c>
      <c r="B359" s="161" t="str">
        <f>'M1'!B351</f>
        <v>AMBIENTES/ÁREAS (1)</v>
      </c>
      <c r="C359" s="381" t="str">
        <f>'M1'!C351:J351</f>
        <v>DESCRIPCIÓN DE LA ESTRATEGIA PARA LA IMPLEMENTACIÓN DE LA EFSRT (2)</v>
      </c>
      <c r="D359" s="381"/>
      <c r="E359" s="381"/>
      <c r="F359" s="381"/>
      <c r="G359" s="381"/>
      <c r="H359" s="381"/>
      <c r="I359" s="381"/>
      <c r="J359" s="381"/>
      <c r="K359" s="161" t="str">
        <f>'M1'!K351</f>
        <v>CRÉDITOS</v>
      </c>
      <c r="L359" s="161" t="str">
        <f>'M1'!L351</f>
        <v>HORAS (P)</v>
      </c>
      <c r="M359" s="95" t="str">
        <f t="shared" si="7"/>
        <v>LUGAR PARA EL DESARROLLO DE LA EFSRT</v>
      </c>
    </row>
    <row r="360" spans="1:13" s="57" customFormat="1" ht="281.25" customHeight="1" x14ac:dyDescent="0.2">
      <c r="A360" s="197" t="s">
        <v>145</v>
      </c>
      <c r="B360" s="169" t="s">
        <v>550</v>
      </c>
      <c r="C360" s="374" t="s">
        <v>392</v>
      </c>
      <c r="D360" s="375"/>
      <c r="E360" s="375"/>
      <c r="F360" s="375"/>
      <c r="G360" s="375"/>
      <c r="H360" s="375"/>
      <c r="I360" s="375"/>
      <c r="J360" s="376"/>
      <c r="K360" s="17">
        <f>Organización_Modular!I71</f>
        <v>4</v>
      </c>
      <c r="L360" s="18">
        <f>K360*32</f>
        <v>128</v>
      </c>
      <c r="M360" s="95" t="str">
        <f>C360</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61" spans="1:13" s="57" customFormat="1" ht="142.5" customHeight="1" x14ac:dyDescent="0.2">
      <c r="A361" s="251"/>
      <c r="B361" s="169" t="s">
        <v>548</v>
      </c>
      <c r="C361" s="377" t="s">
        <v>547</v>
      </c>
      <c r="D361" s="378"/>
      <c r="E361" s="378"/>
      <c r="F361" s="378"/>
      <c r="G361" s="378"/>
      <c r="H361" s="378"/>
      <c r="I361" s="378"/>
      <c r="J361" s="379"/>
      <c r="K361" s="92"/>
      <c r="L361" s="93"/>
      <c r="M361" s="95" t="str">
        <f>C361</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2" spans="1:13" ht="22.5" customHeight="1" x14ac:dyDescent="0.2">
      <c r="A362" s="323" t="str">
        <f>'M1'!A354</f>
        <v>(1) Colocar el nombre del espacio, área u otros, donde se desarrolla las EFSRT
(2) Realizar una breve descripción respecto al desarrollo de las EFSRT, según el lugar de realización.</v>
      </c>
      <c r="B362" s="324"/>
      <c r="M362" s="95" t="str">
        <f>A362</f>
        <v>(1) Colocar el nombre del espacio, área u otros, donde se desarrolla las EFSRT
(2) Realizar una breve descripción respecto al desarrollo de las EFSRT, según el lugar de realización.</v>
      </c>
    </row>
    <row r="363" spans="1:13" ht="24.75" customHeight="1" x14ac:dyDescent="0.2">
      <c r="A363" s="138" t="s">
        <v>144</v>
      </c>
      <c r="B363" s="139" t="s">
        <v>148</v>
      </c>
      <c r="M363" s="51"/>
    </row>
    <row r="364" spans="1:13" ht="21.75" customHeight="1" x14ac:dyDescent="0.2">
      <c r="A364" s="138" t="s">
        <v>145</v>
      </c>
      <c r="B364" s="139" t="s">
        <v>149</v>
      </c>
      <c r="M364" s="51"/>
    </row>
    <row r="365" spans="1:13" ht="29.25" customHeight="1" x14ac:dyDescent="0.2">
      <c r="A365" s="138"/>
      <c r="B365" s="139" t="s">
        <v>152</v>
      </c>
    </row>
    <row r="366" spans="1:13" x14ac:dyDescent="0.2">
      <c r="A366" s="138"/>
      <c r="B366" s="139" t="s">
        <v>150</v>
      </c>
    </row>
    <row r="367" spans="1:13" ht="29.25" customHeight="1" x14ac:dyDescent="0.2">
      <c r="A367" s="138"/>
      <c r="B367" s="139" t="s">
        <v>151</v>
      </c>
    </row>
    <row r="368" spans="1:13" ht="18" customHeight="1" x14ac:dyDescent="0.2">
      <c r="A368" s="134"/>
      <c r="B368" s="139" t="s">
        <v>153</v>
      </c>
    </row>
  </sheetData>
  <autoFilter ref="A16:M368" xr:uid="{00000000-0009-0000-0000-000005000000}">
    <filterColumn colId="2">
      <customFilters>
        <customFilter operator="notEqual" val=" "/>
      </customFilters>
    </filterColumn>
    <filterColumn colId="5" showButton="0"/>
    <filterColumn colId="8" showButton="0"/>
  </autoFilter>
  <mergeCells count="138">
    <mergeCell ref="C360:J360"/>
    <mergeCell ref="C361:J361"/>
    <mergeCell ref="M16:M17"/>
    <mergeCell ref="A357:B357"/>
    <mergeCell ref="A348:B348"/>
    <mergeCell ref="A349:B349"/>
    <mergeCell ref="A350:B350"/>
    <mergeCell ref="A351:B351"/>
    <mergeCell ref="A352:B352"/>
    <mergeCell ref="A353:B353"/>
    <mergeCell ref="A354:B354"/>
    <mergeCell ref="A355:B355"/>
    <mergeCell ref="A356:B356"/>
    <mergeCell ref="L60:L69"/>
    <mergeCell ref="L70:L79"/>
    <mergeCell ref="L80:L89"/>
    <mergeCell ref="L90:L99"/>
    <mergeCell ref="L100:L109"/>
    <mergeCell ref="L210:L218"/>
    <mergeCell ref="A219:L219"/>
    <mergeCell ref="A243:A252"/>
    <mergeCell ref="A253:A262"/>
    <mergeCell ref="A223:A232"/>
    <mergeCell ref="A233:A242"/>
    <mergeCell ref="A263:A272"/>
    <mergeCell ref="A273:A282"/>
    <mergeCell ref="L170:L179"/>
    <mergeCell ref="L273:L282"/>
    <mergeCell ref="A220:L220"/>
    <mergeCell ref="A221:A222"/>
    <mergeCell ref="L180:L189"/>
    <mergeCell ref="L190:L199"/>
    <mergeCell ref="L200:L209"/>
    <mergeCell ref="L223:L242"/>
    <mergeCell ref="L253:L262"/>
    <mergeCell ref="L263:L272"/>
    <mergeCell ref="F221:G221"/>
    <mergeCell ref="H221:H222"/>
    <mergeCell ref="I221:J221"/>
    <mergeCell ref="K221:K222"/>
    <mergeCell ref="L221:L222"/>
    <mergeCell ref="E221:E222"/>
    <mergeCell ref="L243:L252"/>
    <mergeCell ref="F7:H7"/>
    <mergeCell ref="I7:L7"/>
    <mergeCell ref="F9:H9"/>
    <mergeCell ref="I9:L9"/>
    <mergeCell ref="B11:C11"/>
    <mergeCell ref="F11:H11"/>
    <mergeCell ref="I11:L11"/>
    <mergeCell ref="L16:L17"/>
    <mergeCell ref="L110:L119"/>
    <mergeCell ref="L28:L59"/>
    <mergeCell ref="L18:L20"/>
    <mergeCell ref="L120:L129"/>
    <mergeCell ref="L130:L139"/>
    <mergeCell ref="L140:L149"/>
    <mergeCell ref="L150:L159"/>
    <mergeCell ref="L160:L169"/>
    <mergeCell ref="A16:A17"/>
    <mergeCell ref="B16:B17"/>
    <mergeCell ref="C16:C17"/>
    <mergeCell ref="A1:L1"/>
    <mergeCell ref="B3:C3"/>
    <mergeCell ref="F3:H3"/>
    <mergeCell ref="I3:L3"/>
    <mergeCell ref="F5:H5"/>
    <mergeCell ref="I5:L5"/>
    <mergeCell ref="A13:L13"/>
    <mergeCell ref="A14:L14"/>
    <mergeCell ref="B15:L15"/>
    <mergeCell ref="D16:D17"/>
    <mergeCell ref="F16:G16"/>
    <mergeCell ref="H16:H17"/>
    <mergeCell ref="E16:E17"/>
    <mergeCell ref="I16:J16"/>
    <mergeCell ref="K16:K17"/>
    <mergeCell ref="A18:A27"/>
    <mergeCell ref="A28:A38"/>
    <mergeCell ref="A39:A49"/>
    <mergeCell ref="A50:A59"/>
    <mergeCell ref="A60:A69"/>
    <mergeCell ref="A70:A79"/>
    <mergeCell ref="A80:A89"/>
    <mergeCell ref="A90:A99"/>
    <mergeCell ref="A100:A109"/>
    <mergeCell ref="A110:A119"/>
    <mergeCell ref="A120:A129"/>
    <mergeCell ref="A130:A139"/>
    <mergeCell ref="A140:A149"/>
    <mergeCell ref="A150:A159"/>
    <mergeCell ref="A160:A169"/>
    <mergeCell ref="B221:B222"/>
    <mergeCell ref="C221:C222"/>
    <mergeCell ref="D221:D222"/>
    <mergeCell ref="A170:A179"/>
    <mergeCell ref="A180:A189"/>
    <mergeCell ref="A190:A199"/>
    <mergeCell ref="A200:A209"/>
    <mergeCell ref="A210:A218"/>
    <mergeCell ref="A325:L325"/>
    <mergeCell ref="A326:L326"/>
    <mergeCell ref="A327:B327"/>
    <mergeCell ref="C327:L327"/>
    <mergeCell ref="L283:L292"/>
    <mergeCell ref="L293:L302"/>
    <mergeCell ref="L303:L312"/>
    <mergeCell ref="L313:L322"/>
    <mergeCell ref="A323:L323"/>
    <mergeCell ref="A324:L324"/>
    <mergeCell ref="A293:A302"/>
    <mergeCell ref="A303:A312"/>
    <mergeCell ref="A313:A322"/>
    <mergeCell ref="A283:A292"/>
    <mergeCell ref="A362:B362"/>
    <mergeCell ref="A328:B328"/>
    <mergeCell ref="C328:L357"/>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58:L358"/>
    <mergeCell ref="C359:J359"/>
  </mergeCells>
  <conditionalFormatting sqref="A360">
    <cfRule type="containsBlanks" dxfId="63" priority="4">
      <formula>LEN(TRIM(C360))=0</formula>
    </cfRule>
  </conditionalFormatting>
  <conditionalFormatting sqref="B360:J360">
    <cfRule type="containsBlanks" dxfId="62" priority="2">
      <formula>LEN(TRIM(B360))=0</formula>
    </cfRule>
  </conditionalFormatting>
  <conditionalFormatting sqref="C18:C218">
    <cfRule type="containsBlanks" dxfId="61" priority="3">
      <formula>LEN(TRIM(C18))=0</formula>
    </cfRule>
  </conditionalFormatting>
  <conditionalFormatting sqref="L18 C223:C322 L223 C328:L357 B361:J361 L60:L218 L243:L322">
    <cfRule type="containsBlanks" dxfId="60" priority="6">
      <formula>LEN(TRIM(B18))=0</formula>
    </cfRule>
  </conditionalFormatting>
  <dataValidations count="1">
    <dataValidation type="list" allowBlank="1" showInputMessage="1" showErrorMessage="1" sqref="A360:A361" xr:uid="{00000000-0002-0000-0500-000000000000}">
      <formula1>$A$363:$A$364</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4:C326 D324:L326 M30:M39 M41:M359 M19:M28" unlockedFormula="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002060"/>
  </sheetPr>
  <dimension ref="A1:M367"/>
  <sheetViews>
    <sheetView showGridLines="0" view="pageBreakPreview" topLeftCell="A323" zoomScaleNormal="85" zoomScaleSheetLayoutView="100" workbookViewId="0">
      <selection activeCell="A326" sqref="A326:B326"/>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9.42578125" style="2" customWidth="1"/>
    <col min="14" max="16384" width="11.42578125" style="2"/>
  </cols>
  <sheetData>
    <row r="1" spans="1:13" s="57" customFormat="1" ht="18.75" x14ac:dyDescent="0.2">
      <c r="A1" s="345" t="str">
        <f>'M2'!A1:L1</f>
        <v>ORGANIZACIÓN DE LOS ELEMENTOS DEL MÓDULO</v>
      </c>
      <c r="B1" s="345"/>
      <c r="C1" s="345"/>
      <c r="D1" s="345"/>
      <c r="E1" s="345"/>
      <c r="F1" s="345"/>
      <c r="G1" s="345"/>
      <c r="H1" s="345"/>
      <c r="I1" s="345"/>
      <c r="J1" s="345"/>
      <c r="K1" s="345"/>
      <c r="L1" s="345"/>
    </row>
    <row r="2" spans="1:13" s="57" customFormat="1" ht="15.75" x14ac:dyDescent="0.2">
      <c r="A2" s="91"/>
      <c r="B2" s="91"/>
      <c r="C2" s="91"/>
      <c r="D2" s="91"/>
      <c r="E2" s="91"/>
      <c r="F2" s="91"/>
      <c r="G2" s="91"/>
      <c r="H2" s="91"/>
      <c r="I2" s="91"/>
      <c r="J2" s="91"/>
      <c r="K2" s="91"/>
      <c r="L2" s="91"/>
    </row>
    <row r="3" spans="1:13" ht="25.5" customHeight="1" x14ac:dyDescent="0.2">
      <c r="A3" s="19" t="s">
        <v>38</v>
      </c>
      <c r="B3" s="292" t="str">
        <f>Perfil_Egreso!B3</f>
        <v>CETPRO JUANJUI</v>
      </c>
      <c r="C3" s="292"/>
      <c r="D3" s="9"/>
      <c r="E3" s="9"/>
      <c r="F3" s="327" t="s">
        <v>186</v>
      </c>
      <c r="G3" s="327"/>
      <c r="H3" s="328"/>
      <c r="I3" s="325" t="str">
        <f>Perfil_Egreso!E3</f>
        <v>0533836</v>
      </c>
      <c r="J3" s="326"/>
      <c r="K3" s="326"/>
      <c r="L3" s="310"/>
    </row>
    <row r="4" spans="1:13" ht="15" customHeight="1" x14ac:dyDescent="0.2">
      <c r="A4" s="35"/>
      <c r="B4" s="35"/>
      <c r="C4" s="20"/>
      <c r="D4" s="20"/>
      <c r="E4" s="20"/>
      <c r="F4" s="9"/>
      <c r="G4" s="9"/>
      <c r="H4" s="9"/>
      <c r="I4" s="9"/>
      <c r="J4" s="9"/>
      <c r="K4" s="9"/>
      <c r="L4" s="9"/>
    </row>
    <row r="5" spans="1:13" ht="45"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row>
    <row r="13" spans="1:13" ht="18.75" customHeight="1" x14ac:dyDescent="0.2">
      <c r="A13" s="346" t="s">
        <v>104</v>
      </c>
      <c r="B13" s="346"/>
      <c r="C13" s="346"/>
      <c r="D13" s="346"/>
      <c r="E13" s="346"/>
      <c r="F13" s="346"/>
      <c r="G13" s="346"/>
      <c r="H13" s="346"/>
      <c r="I13" s="346"/>
      <c r="J13" s="346"/>
      <c r="K13" s="346"/>
      <c r="L13" s="346"/>
    </row>
    <row r="14" spans="1:13" ht="33.75" customHeight="1" x14ac:dyDescent="0.2">
      <c r="A14" s="347" t="str">
        <f>Organización_Modular!C72</f>
        <v>UC3: Realizar puesta en producción de sistemas de información o servicios de TI, de acuerdo a la planificación efectuada</v>
      </c>
      <c r="B14" s="347"/>
      <c r="C14" s="347"/>
      <c r="D14" s="347"/>
      <c r="E14" s="347"/>
      <c r="F14" s="347"/>
      <c r="G14" s="347"/>
      <c r="H14" s="347"/>
      <c r="I14" s="347"/>
      <c r="J14" s="347"/>
      <c r="K14" s="347"/>
      <c r="L14" s="347"/>
    </row>
    <row r="15" spans="1:13" ht="21" x14ac:dyDescent="0.2">
      <c r="A15" s="159" t="s">
        <v>103</v>
      </c>
      <c r="B15" s="348" t="str">
        <f>Organización_Modular!A72</f>
        <v>MÓDULO 3: CONEXIÓN Y DISEÑO DE REDES</v>
      </c>
      <c r="C15" s="348"/>
      <c r="D15" s="348"/>
      <c r="E15" s="348"/>
      <c r="F15" s="348"/>
      <c r="G15" s="348"/>
      <c r="H15" s="348"/>
      <c r="I15" s="348"/>
      <c r="J15" s="348"/>
      <c r="K15" s="348"/>
      <c r="L15" s="348"/>
    </row>
    <row r="16" spans="1:13" ht="18" customHeight="1" x14ac:dyDescent="0.2">
      <c r="A16" s="349" t="s">
        <v>102</v>
      </c>
      <c r="B16" s="350" t="s">
        <v>101</v>
      </c>
      <c r="C16" s="349" t="s">
        <v>97</v>
      </c>
      <c r="D16" s="349" t="s">
        <v>0</v>
      </c>
      <c r="E16" s="349" t="s">
        <v>61</v>
      </c>
      <c r="F16" s="349" t="s">
        <v>90</v>
      </c>
      <c r="G16" s="349"/>
      <c r="H16" s="349" t="s">
        <v>90</v>
      </c>
      <c r="I16" s="349" t="s">
        <v>96</v>
      </c>
      <c r="J16" s="349"/>
      <c r="K16" s="349" t="s">
        <v>96</v>
      </c>
      <c r="L16" s="349" t="s">
        <v>100</v>
      </c>
      <c r="M16" s="363" t="s">
        <v>118</v>
      </c>
    </row>
    <row r="17" spans="1:13" ht="15.75" customHeight="1" x14ac:dyDescent="0.2">
      <c r="A17" s="349"/>
      <c r="B17" s="350"/>
      <c r="C17" s="349"/>
      <c r="D17" s="349"/>
      <c r="E17" s="349"/>
      <c r="F17" s="162" t="s">
        <v>94</v>
      </c>
      <c r="G17" s="162" t="s">
        <v>93</v>
      </c>
      <c r="H17" s="349"/>
      <c r="I17" s="162" t="s">
        <v>94</v>
      </c>
      <c r="J17" s="162" t="s">
        <v>93</v>
      </c>
      <c r="K17" s="349"/>
      <c r="L17" s="349"/>
      <c r="M17" s="363"/>
    </row>
    <row r="18" spans="1:13" ht="178.5" customHeight="1" x14ac:dyDescent="0.2">
      <c r="A18" s="342" t="str">
        <f>Capacidades!L612</f>
        <v xml:space="preserve">UC3 C1 Desarrollar  las pruebas unitarias  de acuerdo a la funcionalidad del software y aplicando buenas prácticas de TI     </v>
      </c>
      <c r="B18" s="170" t="str">
        <f>Capacidades!M612</f>
        <v xml:space="preserve">C1 I1 Identifica  los componentes del sistema de información a acuerdo ala arquitectura del sistema </v>
      </c>
      <c r="C18" s="171" t="s">
        <v>533</v>
      </c>
      <c r="D18" s="11" t="str">
        <f>Organización_Modular!F72</f>
        <v xml:space="preserve">Desarrollo de prubas unitarias </v>
      </c>
      <c r="E18" s="11" t="str">
        <f>Organización_Modular!G72</f>
        <v>III</v>
      </c>
      <c r="F18" s="11">
        <f>Organización_Modular!H72</f>
        <v>2</v>
      </c>
      <c r="G18" s="11">
        <f>Organización_Modular!I72</f>
        <v>3</v>
      </c>
      <c r="H18" s="12">
        <f>SUM(F18:G18)</f>
        <v>5</v>
      </c>
      <c r="I18" s="12">
        <f>F18*16</f>
        <v>32</v>
      </c>
      <c r="J18" s="12">
        <f>G18*32</f>
        <v>96</v>
      </c>
      <c r="K18" s="12">
        <f>SUM(I18:J18)</f>
        <v>128</v>
      </c>
      <c r="L18" s="338" t="s">
        <v>631</v>
      </c>
      <c r="M18" s="95" t="str">
        <f>B18</f>
        <v xml:space="preserve">C1 I1 Identifica  los componentes del sistema de información a acuerdo ala arquitectura del sistema </v>
      </c>
    </row>
    <row r="19" spans="1:13" ht="81" customHeight="1" x14ac:dyDescent="0.2">
      <c r="A19" s="343"/>
      <c r="B19" s="170" t="str">
        <f>Capacidades!M613</f>
        <v xml:space="preserve">C1 I2 Establece  entorno de pruebas  teniendo en cuenta los criterios de satisfaccion de funcionamento del sistema de información </v>
      </c>
      <c r="C19" s="171" t="s">
        <v>516</v>
      </c>
      <c r="D19" s="13"/>
      <c r="E19" s="13"/>
      <c r="F19" s="14"/>
      <c r="G19" s="14"/>
      <c r="H19" s="14"/>
      <c r="I19" s="14"/>
      <c r="J19" s="14"/>
      <c r="K19" s="14"/>
      <c r="L19" s="339"/>
      <c r="M19" s="95" t="str">
        <f t="shared" ref="M19:M82" si="0">B19</f>
        <v xml:space="preserve">C1 I2 Establece  entorno de pruebas  teniendo en cuenta los criterios de satisfaccion de funcionamento del sistema de información </v>
      </c>
    </row>
    <row r="20" spans="1:13" ht="60" x14ac:dyDescent="0.2">
      <c r="A20" s="343"/>
      <c r="B20" s="170" t="str">
        <f>Capacidades!M614</f>
        <v xml:space="preserve">C1 I3 Elabora  el plan de pruebas  teniendo en cuenta los criterios de satisfaccion de funcionamento del sistema de información </v>
      </c>
      <c r="C20" s="171" t="s">
        <v>517</v>
      </c>
      <c r="D20" s="13"/>
      <c r="E20" s="13"/>
      <c r="F20" s="14"/>
      <c r="G20" s="14"/>
      <c r="H20" s="14"/>
      <c r="I20" s="14"/>
      <c r="J20" s="14"/>
      <c r="K20" s="14"/>
      <c r="L20" s="339"/>
      <c r="M20" s="95" t="str">
        <f t="shared" si="0"/>
        <v xml:space="preserve">C1 I3 Elabora  el plan de pruebas  teniendo en cuenta los criterios de satisfaccion de funcionamento del sistema de información </v>
      </c>
    </row>
    <row r="21" spans="1:13" ht="68.25" customHeight="1" x14ac:dyDescent="0.2">
      <c r="A21" s="343"/>
      <c r="B21" s="170" t="str">
        <f>Capacidades!M615</f>
        <v xml:space="preserve">C1 I4 Ejecuta  el plan de pruebas  teniendo en cuenta los criterios de satisfaccion de funcionamento del sistema de información </v>
      </c>
      <c r="C21" s="171" t="s">
        <v>534</v>
      </c>
      <c r="D21" s="13"/>
      <c r="E21" s="13"/>
      <c r="F21" s="14"/>
      <c r="G21" s="14"/>
      <c r="H21" s="14"/>
      <c r="I21" s="14"/>
      <c r="J21" s="14"/>
      <c r="K21" s="14"/>
      <c r="L21" s="339"/>
      <c r="M21" s="95" t="str">
        <f t="shared" si="0"/>
        <v xml:space="preserve">C1 I4 Ejecuta  el plan de pruebas  teniendo en cuenta los criterios de satisfaccion de funcionamento del sistema de información </v>
      </c>
    </row>
    <row r="22" spans="1:13" ht="0.75" customHeight="1" x14ac:dyDescent="0.2">
      <c r="A22" s="343"/>
      <c r="B22" s="170" t="str">
        <f>Capacidades!M616</f>
        <v xml:space="preserve">   </v>
      </c>
      <c r="C22" s="171"/>
      <c r="D22" s="13"/>
      <c r="E22" s="13"/>
      <c r="F22" s="14"/>
      <c r="G22" s="14"/>
      <c r="H22" s="14"/>
      <c r="I22" s="14"/>
      <c r="J22" s="14"/>
      <c r="K22" s="14"/>
      <c r="L22" s="339"/>
      <c r="M22" s="95" t="str">
        <f t="shared" si="0"/>
        <v xml:space="preserve">   </v>
      </c>
    </row>
    <row r="23" spans="1:13" ht="12.75" hidden="1" customHeight="1" x14ac:dyDescent="0.2">
      <c r="A23" s="343"/>
      <c r="B23" s="170" t="str">
        <f>Capacidades!M617</f>
        <v xml:space="preserve">   </v>
      </c>
      <c r="C23" s="171"/>
      <c r="D23" s="13"/>
      <c r="E23" s="13"/>
      <c r="F23" s="14"/>
      <c r="G23" s="14"/>
      <c r="H23" s="14"/>
      <c r="I23" s="14"/>
      <c r="J23" s="14"/>
      <c r="K23" s="14"/>
      <c r="L23" s="339"/>
      <c r="M23" s="95" t="str">
        <f t="shared" si="0"/>
        <v xml:space="preserve">   </v>
      </c>
    </row>
    <row r="24" spans="1:13" ht="12.75" hidden="1" customHeight="1" x14ac:dyDescent="0.2">
      <c r="A24" s="343"/>
      <c r="B24" s="170" t="str">
        <f>Capacidades!M618</f>
        <v xml:space="preserve">   </v>
      </c>
      <c r="C24" s="171"/>
      <c r="D24" s="13"/>
      <c r="E24" s="13"/>
      <c r="F24" s="14"/>
      <c r="G24" s="14"/>
      <c r="H24" s="14"/>
      <c r="I24" s="14"/>
      <c r="J24" s="14"/>
      <c r="K24" s="14"/>
      <c r="L24" s="339"/>
      <c r="M24" s="95" t="str">
        <f t="shared" si="0"/>
        <v xml:space="preserve">   </v>
      </c>
    </row>
    <row r="25" spans="1:13" ht="12.75" hidden="1" customHeight="1" x14ac:dyDescent="0.2">
      <c r="A25" s="343"/>
      <c r="B25" s="170" t="str">
        <f>Capacidades!M619</f>
        <v xml:space="preserve">   </v>
      </c>
      <c r="C25" s="171"/>
      <c r="D25" s="13"/>
      <c r="E25" s="13"/>
      <c r="F25" s="14"/>
      <c r="G25" s="14"/>
      <c r="H25" s="14"/>
      <c r="I25" s="14"/>
      <c r="J25" s="14"/>
      <c r="K25" s="14"/>
      <c r="L25" s="339"/>
      <c r="M25" s="95" t="str">
        <f t="shared" si="0"/>
        <v xml:space="preserve">   </v>
      </c>
    </row>
    <row r="26" spans="1:13" ht="12.75" hidden="1" customHeight="1" x14ac:dyDescent="0.2">
      <c r="A26" s="343"/>
      <c r="B26" s="170" t="str">
        <f>Capacidades!M620</f>
        <v xml:space="preserve">   </v>
      </c>
      <c r="C26" s="171"/>
      <c r="D26" s="13"/>
      <c r="E26" s="13"/>
      <c r="F26" s="14"/>
      <c r="G26" s="14"/>
      <c r="H26" s="14"/>
      <c r="I26" s="14"/>
      <c r="J26" s="14"/>
      <c r="K26" s="14"/>
      <c r="L26" s="339"/>
      <c r="M26" s="95" t="str">
        <f t="shared" si="0"/>
        <v xml:space="preserve">   </v>
      </c>
    </row>
    <row r="27" spans="1:13" ht="12.75" hidden="1" customHeight="1" x14ac:dyDescent="0.2">
      <c r="A27" s="344"/>
      <c r="B27" s="170" t="str">
        <f>Capacidades!M621</f>
        <v xml:space="preserve">   </v>
      </c>
      <c r="C27" s="171"/>
      <c r="D27" s="15"/>
      <c r="E27" s="15"/>
      <c r="F27" s="16"/>
      <c r="G27" s="16"/>
      <c r="H27" s="16"/>
      <c r="I27" s="16"/>
      <c r="J27" s="16"/>
      <c r="K27" s="16"/>
      <c r="L27" s="340"/>
      <c r="M27" s="95" t="str">
        <f t="shared" si="0"/>
        <v xml:space="preserve">   </v>
      </c>
    </row>
    <row r="28" spans="1:13" ht="69" customHeight="1" x14ac:dyDescent="0.2">
      <c r="A28" s="342" t="str">
        <f>Capacidades!L622</f>
        <v xml:space="preserve">UC3 C2 Implementar sistemas de información o servicios TI, de acuerdo a los requerimientos y aplicando buenas prácticas de TI.    </v>
      </c>
      <c r="B28" s="170" t="str">
        <f>Capacidades!M622</f>
        <v xml:space="preserve">C2 I1 Instala  el sistema de información o servicios de TI, de acuerdo con la arquitectura del sistema o servicio de TI, recomendaciones del fabricante y plan de implementación. </v>
      </c>
      <c r="C28" s="171" t="s">
        <v>518</v>
      </c>
      <c r="D28" s="11" t="str">
        <f>Organización_Modular!F73</f>
        <v>Implementación de sistemas de información y servicios de TI</v>
      </c>
      <c r="E28" s="11" t="str">
        <f>Organización_Modular!G73</f>
        <v>III</v>
      </c>
      <c r="F28" s="11">
        <f>Organización_Modular!H73</f>
        <v>2</v>
      </c>
      <c r="G28" s="11">
        <f>Organización_Modular!I73</f>
        <v>2</v>
      </c>
      <c r="H28" s="12">
        <f>SUM(F28:G28)</f>
        <v>4</v>
      </c>
      <c r="I28" s="12">
        <f>F28*16</f>
        <v>32</v>
      </c>
      <c r="J28" s="12">
        <f>G28*32</f>
        <v>64</v>
      </c>
      <c r="K28" s="12">
        <f>SUM(I28:J28)</f>
        <v>96</v>
      </c>
      <c r="L28" s="338" t="s">
        <v>631</v>
      </c>
      <c r="M28" s="95" t="str">
        <f t="shared" si="0"/>
        <v xml:space="preserve">C2 I1 Instala  el sistema de información o servicios de TI, de acuerdo con la arquitectura del sistema o servicio de TI, recomendaciones del fabricante y plan de implementación. </v>
      </c>
    </row>
    <row r="29" spans="1:13" ht="69" customHeight="1" x14ac:dyDescent="0.2">
      <c r="A29" s="343"/>
      <c r="B29" s="170" t="str">
        <f>Capacidades!M623</f>
        <v xml:space="preserve">C2 I2 Verifica el funcionamiento del sistema de información o servicios de TI de acuerdo con la arquitectura del sistema o servicio de TI, recomendaciones del fabricante y plan de implementación. </v>
      </c>
      <c r="C29" s="171" t="s">
        <v>519</v>
      </c>
      <c r="D29" s="13"/>
      <c r="E29" s="13"/>
      <c r="F29" s="14"/>
      <c r="G29" s="14"/>
      <c r="H29" s="14"/>
      <c r="I29" s="14"/>
      <c r="J29" s="14"/>
      <c r="K29" s="14"/>
      <c r="L29" s="339"/>
      <c r="M29" s="95" t="str">
        <f t="shared" si="0"/>
        <v xml:space="preserve">C2 I2 Verifica el funcionamiento del sistema de información o servicios de TI de acuerdo con la arquitectura del sistema o servicio de TI, recomendaciones del fabricante y plan de implementación. </v>
      </c>
    </row>
    <row r="30" spans="1:13" ht="45" customHeight="1" x14ac:dyDescent="0.2">
      <c r="A30" s="343"/>
      <c r="B30" s="170" t="str">
        <f>Capacidades!M624</f>
        <v xml:space="preserve">C2 I3 Elabora un informe de la implementación del sistema de información o servicios de TI considerando las políticas de la organización </v>
      </c>
      <c r="C30" s="171" t="s">
        <v>535</v>
      </c>
      <c r="D30" s="13"/>
      <c r="E30" s="13"/>
      <c r="F30" s="14"/>
      <c r="G30" s="14"/>
      <c r="H30" s="14"/>
      <c r="I30" s="14"/>
      <c r="J30" s="14"/>
      <c r="K30" s="14"/>
      <c r="L30" s="339"/>
      <c r="M30" s="95" t="str">
        <f t="shared" si="0"/>
        <v xml:space="preserve">C2 I3 Elabora un informe de la implementación del sistema de información o servicios de TI considerando las políticas de la organización </v>
      </c>
    </row>
    <row r="31" spans="1:13" ht="0.75" customHeight="1" x14ac:dyDescent="0.2">
      <c r="A31" s="343"/>
      <c r="B31" s="170" t="str">
        <f>Capacidades!M625</f>
        <v xml:space="preserve">   </v>
      </c>
      <c r="C31" s="171"/>
      <c r="D31" s="13"/>
      <c r="E31" s="13"/>
      <c r="F31" s="14"/>
      <c r="G31" s="14"/>
      <c r="H31" s="14"/>
      <c r="I31" s="14"/>
      <c r="J31" s="14"/>
      <c r="K31" s="14"/>
      <c r="L31" s="339"/>
      <c r="M31" s="95" t="str">
        <f t="shared" si="0"/>
        <v xml:space="preserve">   </v>
      </c>
    </row>
    <row r="32" spans="1:13" ht="8.25" hidden="1" customHeight="1" x14ac:dyDescent="0.2">
      <c r="A32" s="343"/>
      <c r="B32" s="170" t="str">
        <f>Capacidades!M626</f>
        <v xml:space="preserve">   </v>
      </c>
      <c r="C32" s="171"/>
      <c r="D32" s="13"/>
      <c r="E32" s="13"/>
      <c r="F32" s="14"/>
      <c r="G32" s="14"/>
      <c r="H32" s="14"/>
      <c r="I32" s="14"/>
      <c r="J32" s="14"/>
      <c r="K32" s="14"/>
      <c r="L32" s="339"/>
      <c r="M32" s="95" t="str">
        <f t="shared" si="0"/>
        <v xml:space="preserve">   </v>
      </c>
    </row>
    <row r="33" spans="1:13" ht="12.75" hidden="1" customHeight="1" x14ac:dyDescent="0.2">
      <c r="A33" s="343"/>
      <c r="B33" s="170" t="str">
        <f>Capacidades!M627</f>
        <v xml:space="preserve">   </v>
      </c>
      <c r="C33" s="171"/>
      <c r="D33" s="13"/>
      <c r="E33" s="13"/>
      <c r="F33" s="14"/>
      <c r="G33" s="14"/>
      <c r="H33" s="14"/>
      <c r="I33" s="14"/>
      <c r="J33" s="14"/>
      <c r="K33" s="14"/>
      <c r="L33" s="339"/>
      <c r="M33" s="95" t="str">
        <f t="shared" si="0"/>
        <v xml:space="preserve">   </v>
      </c>
    </row>
    <row r="34" spans="1:13" ht="12.75" hidden="1" customHeight="1" x14ac:dyDescent="0.2">
      <c r="A34" s="343"/>
      <c r="B34" s="170" t="str">
        <f>Capacidades!M628</f>
        <v xml:space="preserve">   </v>
      </c>
      <c r="C34" s="171"/>
      <c r="D34" s="13"/>
      <c r="E34" s="13"/>
      <c r="F34" s="14"/>
      <c r="G34" s="14"/>
      <c r="H34" s="14"/>
      <c r="I34" s="14"/>
      <c r="J34" s="14"/>
      <c r="K34" s="14"/>
      <c r="L34" s="339"/>
      <c r="M34" s="95" t="str">
        <f t="shared" si="0"/>
        <v xml:space="preserve">   </v>
      </c>
    </row>
    <row r="35" spans="1:13" ht="12.75" hidden="1" customHeight="1" x14ac:dyDescent="0.2">
      <c r="A35" s="343"/>
      <c r="B35" s="170" t="str">
        <f>Capacidades!M629</f>
        <v xml:space="preserve">   </v>
      </c>
      <c r="C35" s="171"/>
      <c r="D35" s="13"/>
      <c r="E35" s="13"/>
      <c r="F35" s="14"/>
      <c r="G35" s="14"/>
      <c r="H35" s="14"/>
      <c r="I35" s="14"/>
      <c r="J35" s="14"/>
      <c r="K35" s="14"/>
      <c r="L35" s="339"/>
      <c r="M35" s="95" t="str">
        <f t="shared" si="0"/>
        <v xml:space="preserve">   </v>
      </c>
    </row>
    <row r="36" spans="1:13" ht="12.75" hidden="1" customHeight="1" x14ac:dyDescent="0.2">
      <c r="A36" s="343"/>
      <c r="B36" s="170" t="str">
        <f>Capacidades!M630</f>
        <v xml:space="preserve">   </v>
      </c>
      <c r="C36" s="171"/>
      <c r="D36" s="13"/>
      <c r="E36" s="13"/>
      <c r="F36" s="14"/>
      <c r="G36" s="14"/>
      <c r="H36" s="14"/>
      <c r="I36" s="14"/>
      <c r="J36" s="14"/>
      <c r="K36" s="14"/>
      <c r="L36" s="339"/>
      <c r="M36" s="95" t="str">
        <f t="shared" si="0"/>
        <v xml:space="preserve">   </v>
      </c>
    </row>
    <row r="37" spans="1:13" ht="12.75" hidden="1" customHeight="1" x14ac:dyDescent="0.2">
      <c r="A37" s="344"/>
      <c r="B37" s="170" t="str">
        <f>Capacidades!M631</f>
        <v xml:space="preserve">   </v>
      </c>
      <c r="C37" s="171"/>
      <c r="D37" s="15"/>
      <c r="E37" s="15"/>
      <c r="F37" s="16"/>
      <c r="G37" s="16"/>
      <c r="H37" s="16"/>
      <c r="I37" s="16"/>
      <c r="J37" s="16"/>
      <c r="K37" s="16"/>
      <c r="L37" s="339"/>
      <c r="M37" s="95" t="str">
        <f t="shared" si="0"/>
        <v xml:space="preserve">   </v>
      </c>
    </row>
    <row r="38" spans="1:13" ht="72" x14ac:dyDescent="0.2">
      <c r="A38" s="342" t="str">
        <f>Capacidades!L632</f>
        <v xml:space="preserve">UC3 C3 Implementar acciones correctivas ante un mal funcionamiento del sistema de información o servicios de TI,  de acuerdo con el diseño funcional del sistema o servicio de TI y buenas prácticas de TI.    </v>
      </c>
      <c r="B38" s="170" t="str">
        <f>Capacidades!M632</f>
        <v>C3 I1 Idenfica  la falla del sistema de información o servicios  de TI  considerando el diseño funcional del sistema de infomación o servicios de TI y aplicando buenas practicas de TI</v>
      </c>
      <c r="C38" s="171" t="s">
        <v>520</v>
      </c>
      <c r="D38" s="11" t="str">
        <f>Organización_Modular!F74</f>
        <v>Acciones correctivas de sistemas de información y servicios de TI</v>
      </c>
      <c r="E38" s="11" t="str">
        <f>Organización_Modular!G74</f>
        <v>III</v>
      </c>
      <c r="F38" s="11">
        <f>Organización_Modular!H74</f>
        <v>2</v>
      </c>
      <c r="G38" s="11">
        <f>Organización_Modular!I74</f>
        <v>3</v>
      </c>
      <c r="H38" s="12">
        <f>SUM(F38:G38)</f>
        <v>5</v>
      </c>
      <c r="I38" s="12">
        <f>F38*16</f>
        <v>32</v>
      </c>
      <c r="J38" s="12">
        <f>G38*32</f>
        <v>96</v>
      </c>
      <c r="K38" s="12">
        <f>SUM(I38:J38)</f>
        <v>128</v>
      </c>
      <c r="L38" s="339"/>
      <c r="M38" s="95" t="str">
        <f t="shared" si="0"/>
        <v>C3 I1 Idenfica  la falla del sistema de información o servicios  de TI  considerando el diseño funcional del sistema de infomación o servicios de TI y aplicando buenas practicas de TI</v>
      </c>
    </row>
    <row r="39" spans="1:13" ht="66.75" customHeight="1" x14ac:dyDescent="0.2">
      <c r="A39" s="343"/>
      <c r="B39" s="170" t="str">
        <f>Capacidades!M633</f>
        <v>C3 I2 Propone  alternativas de solución ante un mal funcionamiento del sistema de información o servicios de TI considerando el diseño funcional del sistema de infomación o servicios de TI y aplicando buenas practicas de TI</v>
      </c>
      <c r="C39" s="171" t="s">
        <v>521</v>
      </c>
      <c r="D39" s="13"/>
      <c r="E39" s="13"/>
      <c r="F39" s="14"/>
      <c r="G39" s="14"/>
      <c r="H39" s="14"/>
      <c r="I39" s="14"/>
      <c r="J39" s="14"/>
      <c r="K39" s="14"/>
      <c r="L39" s="339"/>
      <c r="M39" s="95" t="str">
        <f t="shared" si="0"/>
        <v>C3 I2 Propone  alternativas de solución ante un mal funcionamiento del sistema de información o servicios de TI considerando el diseño funcional del sistema de infomación o servicios de TI y aplicando buenas practicas de TI</v>
      </c>
    </row>
    <row r="40" spans="1:13" ht="65.25" customHeight="1" x14ac:dyDescent="0.2">
      <c r="A40" s="343"/>
      <c r="B40" s="170" t="str">
        <f>Capacidades!M634</f>
        <v>C3 I3 Ejecuta las acciones correctivas en el sistema de información de información o servicios de TI considerando el diseño funcional del sistema de infomación o servicios de TI y aplicando buenas practicas de TI</v>
      </c>
      <c r="C40" s="171" t="s">
        <v>522</v>
      </c>
      <c r="D40" s="13"/>
      <c r="E40" s="13"/>
      <c r="F40" s="14"/>
      <c r="G40" s="14"/>
      <c r="H40" s="14"/>
      <c r="I40" s="14"/>
      <c r="J40" s="14"/>
      <c r="K40" s="14"/>
      <c r="L40" s="339"/>
      <c r="M40" s="95" t="str">
        <f t="shared" si="0"/>
        <v>C3 I3 Ejecuta las acciones correctivas en el sistema de información de información o servicios de TI considerando el diseño funcional del sistema de infomación o servicios de TI y aplicando buenas practicas de TI</v>
      </c>
    </row>
    <row r="41" spans="1:13" ht="2.25" hidden="1" customHeight="1" x14ac:dyDescent="0.2">
      <c r="A41" s="343"/>
      <c r="B41" s="170" t="str">
        <f>Capacidades!M635</f>
        <v xml:space="preserve">   </v>
      </c>
      <c r="C41" s="171"/>
      <c r="D41" s="13"/>
      <c r="E41" s="13"/>
      <c r="F41" s="14"/>
      <c r="G41" s="14"/>
      <c r="H41" s="14"/>
      <c r="I41" s="14"/>
      <c r="J41" s="14"/>
      <c r="K41" s="14"/>
      <c r="L41" s="339"/>
      <c r="M41" s="95" t="str">
        <f t="shared" si="0"/>
        <v xml:space="preserve">   </v>
      </c>
    </row>
    <row r="42" spans="1:13" ht="12.75" hidden="1" customHeight="1" x14ac:dyDescent="0.2">
      <c r="A42" s="343"/>
      <c r="B42" s="170" t="str">
        <f>Capacidades!M636</f>
        <v xml:space="preserve">   </v>
      </c>
      <c r="C42" s="171"/>
      <c r="D42" s="13"/>
      <c r="E42" s="13"/>
      <c r="F42" s="14"/>
      <c r="G42" s="14"/>
      <c r="H42" s="14"/>
      <c r="I42" s="14"/>
      <c r="J42" s="14"/>
      <c r="K42" s="14"/>
      <c r="L42" s="339"/>
      <c r="M42" s="95" t="str">
        <f t="shared" si="0"/>
        <v xml:space="preserve">   </v>
      </c>
    </row>
    <row r="43" spans="1:13" ht="12.75" hidden="1" customHeight="1" x14ac:dyDescent="0.2">
      <c r="A43" s="343"/>
      <c r="B43" s="170" t="str">
        <f>Capacidades!M637</f>
        <v xml:space="preserve">   </v>
      </c>
      <c r="C43" s="171"/>
      <c r="D43" s="13"/>
      <c r="E43" s="13"/>
      <c r="F43" s="14"/>
      <c r="G43" s="14"/>
      <c r="H43" s="14"/>
      <c r="I43" s="14"/>
      <c r="J43" s="14"/>
      <c r="K43" s="14"/>
      <c r="L43" s="339"/>
      <c r="M43" s="95" t="str">
        <f t="shared" si="0"/>
        <v xml:space="preserve">   </v>
      </c>
    </row>
    <row r="44" spans="1:13" ht="12.75" hidden="1" customHeight="1" x14ac:dyDescent="0.2">
      <c r="A44" s="343"/>
      <c r="B44" s="170" t="str">
        <f>Capacidades!M638</f>
        <v xml:space="preserve">   </v>
      </c>
      <c r="C44" s="171"/>
      <c r="D44" s="13"/>
      <c r="E44" s="13"/>
      <c r="F44" s="14"/>
      <c r="G44" s="14"/>
      <c r="H44" s="14"/>
      <c r="I44" s="14"/>
      <c r="J44" s="14"/>
      <c r="K44" s="14"/>
      <c r="L44" s="339"/>
      <c r="M44" s="95" t="str">
        <f t="shared" si="0"/>
        <v xml:space="preserve">   </v>
      </c>
    </row>
    <row r="45" spans="1:13" ht="12.75" hidden="1" customHeight="1" x14ac:dyDescent="0.2">
      <c r="A45" s="343"/>
      <c r="B45" s="170" t="str">
        <f>Capacidades!M639</f>
        <v xml:space="preserve">   </v>
      </c>
      <c r="C45" s="171"/>
      <c r="D45" s="13"/>
      <c r="E45" s="13"/>
      <c r="F45" s="14"/>
      <c r="G45" s="14"/>
      <c r="H45" s="14"/>
      <c r="I45" s="14"/>
      <c r="J45" s="14"/>
      <c r="K45" s="14"/>
      <c r="L45" s="339"/>
      <c r="M45" s="95" t="str">
        <f t="shared" si="0"/>
        <v xml:space="preserve">   </v>
      </c>
    </row>
    <row r="46" spans="1:13" ht="9.75" hidden="1" customHeight="1" x14ac:dyDescent="0.2">
      <c r="A46" s="343"/>
      <c r="B46" s="170" t="str">
        <f>Capacidades!M640</f>
        <v xml:space="preserve">   </v>
      </c>
      <c r="C46" s="171"/>
      <c r="D46" s="13"/>
      <c r="E46" s="13"/>
      <c r="F46" s="14"/>
      <c r="G46" s="14"/>
      <c r="H46" s="14"/>
      <c r="I46" s="14"/>
      <c r="J46" s="14"/>
      <c r="K46" s="14"/>
      <c r="L46" s="339"/>
      <c r="M46" s="95" t="str">
        <f t="shared" si="0"/>
        <v xml:space="preserve">   </v>
      </c>
    </row>
    <row r="47" spans="1:13" ht="12.75" hidden="1" customHeight="1" x14ac:dyDescent="0.2">
      <c r="A47" s="344"/>
      <c r="B47" s="170" t="str">
        <f>Capacidades!M641</f>
        <v xml:space="preserve">   </v>
      </c>
      <c r="C47" s="171"/>
      <c r="D47" s="15"/>
      <c r="E47" s="15"/>
      <c r="F47" s="16"/>
      <c r="G47" s="16"/>
      <c r="H47" s="16"/>
      <c r="I47" s="16"/>
      <c r="J47" s="16"/>
      <c r="K47" s="16"/>
      <c r="L47" s="340"/>
      <c r="M47" s="95" t="str">
        <f t="shared" si="0"/>
        <v xml:space="preserve">   </v>
      </c>
    </row>
    <row r="48" spans="1:13" hidden="1" x14ac:dyDescent="0.2">
      <c r="A48" s="342" t="str">
        <f>Capacidades!L642</f>
        <v xml:space="preserve">       </v>
      </c>
      <c r="B48" s="170" t="str">
        <f>Capacidades!M642</f>
        <v xml:space="preserve">   </v>
      </c>
      <c r="C48" s="171"/>
      <c r="D48" s="11">
        <f>Organización_Modular!F75</f>
        <v>0</v>
      </c>
      <c r="E48" s="11">
        <f>Organización_Modular!G75</f>
        <v>0</v>
      </c>
      <c r="F48" s="11">
        <f>Organización_Modular!H75</f>
        <v>0</v>
      </c>
      <c r="G48" s="11">
        <f>Organización_Modular!I75</f>
        <v>0</v>
      </c>
      <c r="H48" s="12">
        <f>SUM(F48:G48)</f>
        <v>0</v>
      </c>
      <c r="I48" s="12">
        <f>F48*16</f>
        <v>0</v>
      </c>
      <c r="J48" s="12">
        <f>G48*32</f>
        <v>0</v>
      </c>
      <c r="K48" s="12">
        <f>SUM(I48:J48)</f>
        <v>0</v>
      </c>
      <c r="L48" s="335"/>
      <c r="M48" s="95" t="str">
        <f t="shared" si="0"/>
        <v xml:space="preserve">   </v>
      </c>
    </row>
    <row r="49" spans="1:13" hidden="1" x14ac:dyDescent="0.2">
      <c r="A49" s="343"/>
      <c r="B49" s="170" t="str">
        <f>Capacidades!M643</f>
        <v xml:space="preserve">   </v>
      </c>
      <c r="C49" s="171"/>
      <c r="D49" s="13"/>
      <c r="E49" s="13"/>
      <c r="F49" s="14"/>
      <c r="G49" s="14"/>
      <c r="H49" s="14"/>
      <c r="I49" s="14"/>
      <c r="J49" s="14"/>
      <c r="K49" s="14"/>
      <c r="L49" s="336"/>
      <c r="M49" s="95" t="str">
        <f t="shared" si="0"/>
        <v xml:space="preserve">   </v>
      </c>
    </row>
    <row r="50" spans="1:13" hidden="1" x14ac:dyDescent="0.2">
      <c r="A50" s="343"/>
      <c r="B50" s="170" t="str">
        <f>Capacidades!M644</f>
        <v xml:space="preserve">   </v>
      </c>
      <c r="C50" s="171"/>
      <c r="D50" s="13"/>
      <c r="E50" s="13"/>
      <c r="F50" s="14"/>
      <c r="G50" s="14"/>
      <c r="H50" s="14"/>
      <c r="I50" s="14"/>
      <c r="J50" s="14"/>
      <c r="K50" s="14"/>
      <c r="L50" s="336"/>
      <c r="M50" s="95" t="str">
        <f t="shared" si="0"/>
        <v xml:space="preserve">   </v>
      </c>
    </row>
    <row r="51" spans="1:13" hidden="1" x14ac:dyDescent="0.2">
      <c r="A51" s="343"/>
      <c r="B51" s="170" t="str">
        <f>Capacidades!M645</f>
        <v xml:space="preserve">   </v>
      </c>
      <c r="C51" s="171"/>
      <c r="D51" s="13"/>
      <c r="E51" s="13"/>
      <c r="F51" s="14"/>
      <c r="G51" s="14"/>
      <c r="H51" s="14"/>
      <c r="I51" s="14"/>
      <c r="J51" s="14"/>
      <c r="K51" s="14"/>
      <c r="L51" s="336"/>
      <c r="M51" s="95" t="str">
        <f t="shared" si="0"/>
        <v xml:space="preserve">   </v>
      </c>
    </row>
    <row r="52" spans="1:13" hidden="1" x14ac:dyDescent="0.2">
      <c r="A52" s="343"/>
      <c r="B52" s="170" t="str">
        <f>Capacidades!M646</f>
        <v xml:space="preserve">   </v>
      </c>
      <c r="C52" s="171"/>
      <c r="D52" s="13"/>
      <c r="E52" s="13"/>
      <c r="F52" s="14"/>
      <c r="G52" s="14"/>
      <c r="H52" s="14"/>
      <c r="I52" s="14"/>
      <c r="J52" s="14"/>
      <c r="K52" s="14"/>
      <c r="L52" s="336"/>
      <c r="M52" s="95" t="str">
        <f t="shared" si="0"/>
        <v xml:space="preserve">   </v>
      </c>
    </row>
    <row r="53" spans="1:13" hidden="1" x14ac:dyDescent="0.2">
      <c r="A53" s="343"/>
      <c r="B53" s="170" t="str">
        <f>Capacidades!M647</f>
        <v xml:space="preserve">   </v>
      </c>
      <c r="C53" s="171"/>
      <c r="D53" s="13"/>
      <c r="E53" s="13"/>
      <c r="F53" s="14"/>
      <c r="G53" s="14"/>
      <c r="H53" s="14"/>
      <c r="I53" s="14"/>
      <c r="J53" s="14"/>
      <c r="K53" s="14"/>
      <c r="L53" s="336"/>
      <c r="M53" s="95" t="str">
        <f t="shared" si="0"/>
        <v xml:space="preserve">   </v>
      </c>
    </row>
    <row r="54" spans="1:13" hidden="1" x14ac:dyDescent="0.2">
      <c r="A54" s="343"/>
      <c r="B54" s="170" t="str">
        <f>Capacidades!M648</f>
        <v xml:space="preserve">   </v>
      </c>
      <c r="C54" s="171"/>
      <c r="D54" s="13"/>
      <c r="E54" s="13"/>
      <c r="F54" s="14"/>
      <c r="G54" s="14"/>
      <c r="H54" s="14"/>
      <c r="I54" s="14"/>
      <c r="J54" s="14"/>
      <c r="K54" s="14"/>
      <c r="L54" s="336"/>
      <c r="M54" s="95" t="str">
        <f t="shared" si="0"/>
        <v xml:space="preserve">   </v>
      </c>
    </row>
    <row r="55" spans="1:13" hidden="1" x14ac:dyDescent="0.2">
      <c r="A55" s="343"/>
      <c r="B55" s="170" t="str">
        <f>Capacidades!M649</f>
        <v xml:space="preserve">   </v>
      </c>
      <c r="C55" s="171"/>
      <c r="D55" s="13"/>
      <c r="E55" s="13"/>
      <c r="F55" s="14"/>
      <c r="G55" s="14"/>
      <c r="H55" s="14"/>
      <c r="I55" s="14"/>
      <c r="J55" s="14"/>
      <c r="K55" s="14"/>
      <c r="L55" s="336"/>
      <c r="M55" s="95" t="str">
        <f t="shared" si="0"/>
        <v xml:space="preserve">   </v>
      </c>
    </row>
    <row r="56" spans="1:13" hidden="1" x14ac:dyDescent="0.2">
      <c r="A56" s="343"/>
      <c r="B56" s="170" t="str">
        <f>Capacidades!M650</f>
        <v xml:space="preserve">   </v>
      </c>
      <c r="C56" s="171"/>
      <c r="D56" s="13"/>
      <c r="E56" s="13"/>
      <c r="F56" s="14"/>
      <c r="G56" s="14"/>
      <c r="H56" s="14"/>
      <c r="I56" s="14"/>
      <c r="J56" s="14"/>
      <c r="K56" s="14"/>
      <c r="L56" s="336"/>
      <c r="M56" s="95" t="str">
        <f t="shared" si="0"/>
        <v xml:space="preserve">   </v>
      </c>
    </row>
    <row r="57" spans="1:13" hidden="1" x14ac:dyDescent="0.2">
      <c r="A57" s="344"/>
      <c r="B57" s="170" t="str">
        <f>Capacidades!M651</f>
        <v xml:space="preserve">   </v>
      </c>
      <c r="C57" s="171"/>
      <c r="D57" s="15"/>
      <c r="E57" s="15"/>
      <c r="F57" s="16"/>
      <c r="G57" s="16"/>
      <c r="H57" s="16"/>
      <c r="I57" s="16"/>
      <c r="J57" s="16"/>
      <c r="K57" s="16"/>
      <c r="L57" s="337"/>
      <c r="M57" s="95" t="str">
        <f t="shared" si="0"/>
        <v xml:space="preserve">   </v>
      </c>
    </row>
    <row r="58" spans="1:13" hidden="1" x14ac:dyDescent="0.2">
      <c r="A58" s="342" t="str">
        <f>Capacidades!L652</f>
        <v xml:space="preserve">       </v>
      </c>
      <c r="B58" s="170" t="str">
        <f>Capacidades!M652</f>
        <v xml:space="preserve">   </v>
      </c>
      <c r="C58" s="171"/>
      <c r="D58" s="11">
        <f>Organización_Modular!F76</f>
        <v>0</v>
      </c>
      <c r="E58" s="11">
        <f>Organización_Modular!G76</f>
        <v>0</v>
      </c>
      <c r="F58" s="11">
        <f>Organización_Modular!H76</f>
        <v>0</v>
      </c>
      <c r="G58" s="11">
        <f>Organización_Modular!I76</f>
        <v>0</v>
      </c>
      <c r="H58" s="12">
        <f>SUM(F58:G58)</f>
        <v>0</v>
      </c>
      <c r="I58" s="12">
        <f>F58*16</f>
        <v>0</v>
      </c>
      <c r="J58" s="12">
        <f>G58*32</f>
        <v>0</v>
      </c>
      <c r="K58" s="12">
        <f>SUM(I58:J58)</f>
        <v>0</v>
      </c>
      <c r="L58" s="335"/>
      <c r="M58" s="95" t="str">
        <f t="shared" si="0"/>
        <v xml:space="preserve">   </v>
      </c>
    </row>
    <row r="59" spans="1:13" hidden="1" x14ac:dyDescent="0.2">
      <c r="A59" s="343"/>
      <c r="B59" s="170" t="str">
        <f>Capacidades!M653</f>
        <v xml:space="preserve">   </v>
      </c>
      <c r="C59" s="171"/>
      <c r="D59" s="13"/>
      <c r="E59" s="13"/>
      <c r="F59" s="14"/>
      <c r="G59" s="14"/>
      <c r="H59" s="14"/>
      <c r="I59" s="14"/>
      <c r="J59" s="14"/>
      <c r="K59" s="14"/>
      <c r="L59" s="336"/>
      <c r="M59" s="95" t="str">
        <f t="shared" si="0"/>
        <v xml:space="preserve">   </v>
      </c>
    </row>
    <row r="60" spans="1:13" hidden="1" x14ac:dyDescent="0.2">
      <c r="A60" s="343"/>
      <c r="B60" s="170" t="str">
        <f>Capacidades!M654</f>
        <v xml:space="preserve">   </v>
      </c>
      <c r="C60" s="171"/>
      <c r="D60" s="13"/>
      <c r="E60" s="13"/>
      <c r="F60" s="14"/>
      <c r="G60" s="14"/>
      <c r="H60" s="14"/>
      <c r="I60" s="14"/>
      <c r="J60" s="14"/>
      <c r="K60" s="14"/>
      <c r="L60" s="336"/>
      <c r="M60" s="95" t="str">
        <f t="shared" si="0"/>
        <v xml:space="preserve">   </v>
      </c>
    </row>
    <row r="61" spans="1:13" hidden="1" x14ac:dyDescent="0.2">
      <c r="A61" s="343"/>
      <c r="B61" s="170" t="str">
        <f>Capacidades!M655</f>
        <v xml:space="preserve">   </v>
      </c>
      <c r="C61" s="171"/>
      <c r="D61" s="13"/>
      <c r="E61" s="13"/>
      <c r="F61" s="14"/>
      <c r="G61" s="14"/>
      <c r="H61" s="14"/>
      <c r="I61" s="14"/>
      <c r="J61" s="14"/>
      <c r="K61" s="14"/>
      <c r="L61" s="336"/>
      <c r="M61" s="95" t="str">
        <f t="shared" si="0"/>
        <v xml:space="preserve">   </v>
      </c>
    </row>
    <row r="62" spans="1:13" hidden="1" x14ac:dyDescent="0.2">
      <c r="A62" s="343"/>
      <c r="B62" s="170" t="str">
        <f>Capacidades!M656</f>
        <v xml:space="preserve">   </v>
      </c>
      <c r="C62" s="171"/>
      <c r="D62" s="13"/>
      <c r="E62" s="13"/>
      <c r="F62" s="14"/>
      <c r="G62" s="14"/>
      <c r="H62" s="14"/>
      <c r="I62" s="14"/>
      <c r="J62" s="14"/>
      <c r="K62" s="14"/>
      <c r="L62" s="336"/>
      <c r="M62" s="95" t="str">
        <f t="shared" si="0"/>
        <v xml:space="preserve">   </v>
      </c>
    </row>
    <row r="63" spans="1:13" hidden="1" x14ac:dyDescent="0.2">
      <c r="A63" s="343"/>
      <c r="B63" s="170" t="str">
        <f>Capacidades!M657</f>
        <v xml:space="preserve">   </v>
      </c>
      <c r="C63" s="171"/>
      <c r="D63" s="13"/>
      <c r="E63" s="13"/>
      <c r="F63" s="14"/>
      <c r="G63" s="14"/>
      <c r="H63" s="14"/>
      <c r="I63" s="14"/>
      <c r="J63" s="14"/>
      <c r="K63" s="14"/>
      <c r="L63" s="336"/>
      <c r="M63" s="95" t="str">
        <f t="shared" si="0"/>
        <v xml:space="preserve">   </v>
      </c>
    </row>
    <row r="64" spans="1:13" hidden="1" x14ac:dyDescent="0.2">
      <c r="A64" s="343"/>
      <c r="B64" s="170" t="str">
        <f>Capacidades!M658</f>
        <v xml:space="preserve">   </v>
      </c>
      <c r="C64" s="171"/>
      <c r="D64" s="13"/>
      <c r="E64" s="13"/>
      <c r="F64" s="14"/>
      <c r="G64" s="14"/>
      <c r="H64" s="14"/>
      <c r="I64" s="14"/>
      <c r="J64" s="14"/>
      <c r="K64" s="14"/>
      <c r="L64" s="336"/>
      <c r="M64" s="95" t="str">
        <f t="shared" si="0"/>
        <v xml:space="preserve">   </v>
      </c>
    </row>
    <row r="65" spans="1:13" hidden="1" x14ac:dyDescent="0.2">
      <c r="A65" s="343"/>
      <c r="B65" s="170" t="str">
        <f>Capacidades!M659</f>
        <v xml:space="preserve">   </v>
      </c>
      <c r="C65" s="171"/>
      <c r="D65" s="13"/>
      <c r="E65" s="13"/>
      <c r="F65" s="14"/>
      <c r="G65" s="14"/>
      <c r="H65" s="14"/>
      <c r="I65" s="14"/>
      <c r="J65" s="14"/>
      <c r="K65" s="14"/>
      <c r="L65" s="336"/>
      <c r="M65" s="95" t="str">
        <f t="shared" si="0"/>
        <v xml:space="preserve">   </v>
      </c>
    </row>
    <row r="66" spans="1:13" hidden="1" x14ac:dyDescent="0.2">
      <c r="A66" s="343"/>
      <c r="B66" s="170" t="str">
        <f>Capacidades!M660</f>
        <v xml:space="preserve">   </v>
      </c>
      <c r="C66" s="171"/>
      <c r="D66" s="13"/>
      <c r="E66" s="13"/>
      <c r="F66" s="14"/>
      <c r="G66" s="14"/>
      <c r="H66" s="14"/>
      <c r="I66" s="14"/>
      <c r="J66" s="14"/>
      <c r="K66" s="14"/>
      <c r="L66" s="336"/>
      <c r="M66" s="95" t="str">
        <f t="shared" si="0"/>
        <v xml:space="preserve">   </v>
      </c>
    </row>
    <row r="67" spans="1:13" hidden="1" x14ac:dyDescent="0.2">
      <c r="A67" s="344"/>
      <c r="B67" s="170" t="str">
        <f>Capacidades!M661</f>
        <v xml:space="preserve">   </v>
      </c>
      <c r="C67" s="171"/>
      <c r="D67" s="15"/>
      <c r="E67" s="15"/>
      <c r="F67" s="16"/>
      <c r="G67" s="16"/>
      <c r="H67" s="16"/>
      <c r="I67" s="16"/>
      <c r="J67" s="16"/>
      <c r="K67" s="16"/>
      <c r="L67" s="337"/>
      <c r="M67" s="95" t="str">
        <f t="shared" si="0"/>
        <v xml:space="preserve">   </v>
      </c>
    </row>
    <row r="68" spans="1:13" hidden="1" x14ac:dyDescent="0.2">
      <c r="A68" s="342" t="str">
        <f>Capacidades!L662</f>
        <v xml:space="preserve">       </v>
      </c>
      <c r="B68" s="170" t="str">
        <f>Capacidades!M662</f>
        <v xml:space="preserve">   </v>
      </c>
      <c r="C68" s="171"/>
      <c r="D68" s="11">
        <f>Organización_Modular!F77</f>
        <v>0</v>
      </c>
      <c r="E68" s="11">
        <f>Organización_Modular!G77</f>
        <v>0</v>
      </c>
      <c r="F68" s="11">
        <f>Organización_Modular!H77</f>
        <v>0</v>
      </c>
      <c r="G68" s="11">
        <f>Organización_Modular!I77</f>
        <v>0</v>
      </c>
      <c r="H68" s="12">
        <f>SUM(F68:G68)</f>
        <v>0</v>
      </c>
      <c r="I68" s="12">
        <f>F68*16</f>
        <v>0</v>
      </c>
      <c r="J68" s="12">
        <f>G68*32</f>
        <v>0</v>
      </c>
      <c r="K68" s="12">
        <f>SUM(I68:J68)</f>
        <v>0</v>
      </c>
      <c r="L68" s="335"/>
      <c r="M68" s="95" t="str">
        <f t="shared" si="0"/>
        <v xml:space="preserve">   </v>
      </c>
    </row>
    <row r="69" spans="1:13" hidden="1" x14ac:dyDescent="0.2">
      <c r="A69" s="343"/>
      <c r="B69" s="170" t="str">
        <f>Capacidades!M663</f>
        <v xml:space="preserve">   </v>
      </c>
      <c r="C69" s="171"/>
      <c r="D69" s="13"/>
      <c r="E69" s="13"/>
      <c r="F69" s="14"/>
      <c r="G69" s="14"/>
      <c r="H69" s="14"/>
      <c r="I69" s="14"/>
      <c r="J69" s="14"/>
      <c r="K69" s="14"/>
      <c r="L69" s="336"/>
      <c r="M69" s="95" t="str">
        <f t="shared" si="0"/>
        <v xml:space="preserve">   </v>
      </c>
    </row>
    <row r="70" spans="1:13" hidden="1" x14ac:dyDescent="0.2">
      <c r="A70" s="343"/>
      <c r="B70" s="170" t="str">
        <f>Capacidades!M664</f>
        <v xml:space="preserve">   </v>
      </c>
      <c r="C70" s="171"/>
      <c r="D70" s="13"/>
      <c r="E70" s="13"/>
      <c r="F70" s="14"/>
      <c r="G70" s="14"/>
      <c r="H70" s="14"/>
      <c r="I70" s="14"/>
      <c r="J70" s="14"/>
      <c r="K70" s="14"/>
      <c r="L70" s="336"/>
      <c r="M70" s="95" t="str">
        <f t="shared" si="0"/>
        <v xml:space="preserve">   </v>
      </c>
    </row>
    <row r="71" spans="1:13" hidden="1" x14ac:dyDescent="0.2">
      <c r="A71" s="343"/>
      <c r="B71" s="170" t="str">
        <f>Capacidades!M665</f>
        <v xml:space="preserve">   </v>
      </c>
      <c r="C71" s="171"/>
      <c r="D71" s="13"/>
      <c r="E71" s="13"/>
      <c r="F71" s="14"/>
      <c r="G71" s="14"/>
      <c r="H71" s="14"/>
      <c r="I71" s="14"/>
      <c r="J71" s="14"/>
      <c r="K71" s="14"/>
      <c r="L71" s="336"/>
      <c r="M71" s="95" t="str">
        <f t="shared" si="0"/>
        <v xml:space="preserve">   </v>
      </c>
    </row>
    <row r="72" spans="1:13" hidden="1" x14ac:dyDescent="0.2">
      <c r="A72" s="343"/>
      <c r="B72" s="170" t="str">
        <f>Capacidades!M666</f>
        <v xml:space="preserve">   </v>
      </c>
      <c r="C72" s="171"/>
      <c r="D72" s="13"/>
      <c r="E72" s="13"/>
      <c r="F72" s="14"/>
      <c r="G72" s="14"/>
      <c r="H72" s="14"/>
      <c r="I72" s="14"/>
      <c r="J72" s="14"/>
      <c r="K72" s="14"/>
      <c r="L72" s="336"/>
      <c r="M72" s="95" t="str">
        <f t="shared" si="0"/>
        <v xml:space="preserve">   </v>
      </c>
    </row>
    <row r="73" spans="1:13" hidden="1" x14ac:dyDescent="0.2">
      <c r="A73" s="343"/>
      <c r="B73" s="170" t="str">
        <f>Capacidades!M667</f>
        <v xml:space="preserve">   </v>
      </c>
      <c r="C73" s="171"/>
      <c r="D73" s="13"/>
      <c r="E73" s="13"/>
      <c r="F73" s="14"/>
      <c r="G73" s="14"/>
      <c r="H73" s="14"/>
      <c r="I73" s="14"/>
      <c r="J73" s="14"/>
      <c r="K73" s="14"/>
      <c r="L73" s="336"/>
      <c r="M73" s="95" t="str">
        <f t="shared" si="0"/>
        <v xml:space="preserve">   </v>
      </c>
    </row>
    <row r="74" spans="1:13" hidden="1" x14ac:dyDescent="0.2">
      <c r="A74" s="343"/>
      <c r="B74" s="170" t="str">
        <f>Capacidades!M668</f>
        <v xml:space="preserve">   </v>
      </c>
      <c r="C74" s="171"/>
      <c r="D74" s="13"/>
      <c r="E74" s="13"/>
      <c r="F74" s="14"/>
      <c r="G74" s="14"/>
      <c r="H74" s="14"/>
      <c r="I74" s="14"/>
      <c r="J74" s="14"/>
      <c r="K74" s="14"/>
      <c r="L74" s="336"/>
      <c r="M74" s="95" t="str">
        <f t="shared" si="0"/>
        <v xml:space="preserve">   </v>
      </c>
    </row>
    <row r="75" spans="1:13" hidden="1" x14ac:dyDescent="0.2">
      <c r="A75" s="343"/>
      <c r="B75" s="170" t="str">
        <f>Capacidades!M669</f>
        <v xml:space="preserve">   </v>
      </c>
      <c r="C75" s="171"/>
      <c r="D75" s="13"/>
      <c r="E75" s="13"/>
      <c r="F75" s="14"/>
      <c r="G75" s="14"/>
      <c r="H75" s="14"/>
      <c r="I75" s="14"/>
      <c r="J75" s="14"/>
      <c r="K75" s="14"/>
      <c r="L75" s="336"/>
      <c r="M75" s="95" t="str">
        <f t="shared" si="0"/>
        <v xml:space="preserve">   </v>
      </c>
    </row>
    <row r="76" spans="1:13" hidden="1" x14ac:dyDescent="0.2">
      <c r="A76" s="343"/>
      <c r="B76" s="170" t="str">
        <f>Capacidades!M670</f>
        <v xml:space="preserve">   </v>
      </c>
      <c r="C76" s="171"/>
      <c r="D76" s="13"/>
      <c r="E76" s="13"/>
      <c r="F76" s="14"/>
      <c r="G76" s="14"/>
      <c r="H76" s="14"/>
      <c r="I76" s="14"/>
      <c r="J76" s="14"/>
      <c r="K76" s="14"/>
      <c r="L76" s="336"/>
      <c r="M76" s="95" t="str">
        <f t="shared" si="0"/>
        <v xml:space="preserve">   </v>
      </c>
    </row>
    <row r="77" spans="1:13" ht="7.5" hidden="1" customHeight="1" x14ac:dyDescent="0.2">
      <c r="A77" s="344"/>
      <c r="B77" s="170" t="str">
        <f>Capacidades!M671</f>
        <v xml:space="preserve">   </v>
      </c>
      <c r="C77" s="171"/>
      <c r="D77" s="15"/>
      <c r="E77" s="15"/>
      <c r="F77" s="16"/>
      <c r="G77" s="16"/>
      <c r="H77" s="16"/>
      <c r="I77" s="16"/>
      <c r="J77" s="16"/>
      <c r="K77" s="16"/>
      <c r="L77" s="337"/>
      <c r="M77" s="95" t="str">
        <f t="shared" si="0"/>
        <v xml:space="preserve">   </v>
      </c>
    </row>
    <row r="78" spans="1:13" hidden="1" x14ac:dyDescent="0.2">
      <c r="A78" s="342" t="str">
        <f>Capacidades!L672</f>
        <v xml:space="preserve">       </v>
      </c>
      <c r="B78" s="170" t="str">
        <f>Capacidades!M672</f>
        <v xml:space="preserve">   </v>
      </c>
      <c r="C78" s="171"/>
      <c r="D78" s="11">
        <f>Organización_Modular!F78</f>
        <v>0</v>
      </c>
      <c r="E78" s="11">
        <f>Organización_Modular!G78</f>
        <v>0</v>
      </c>
      <c r="F78" s="11">
        <f>Organización_Modular!H78</f>
        <v>0</v>
      </c>
      <c r="G78" s="11">
        <f>Organización_Modular!I78</f>
        <v>0</v>
      </c>
      <c r="H78" s="12">
        <f>SUM(F78:G78)</f>
        <v>0</v>
      </c>
      <c r="I78" s="12">
        <f>F78*16</f>
        <v>0</v>
      </c>
      <c r="J78" s="12">
        <f>G78*32</f>
        <v>0</v>
      </c>
      <c r="K78" s="12">
        <f>SUM(I78:J78)</f>
        <v>0</v>
      </c>
      <c r="L78" s="335"/>
      <c r="M78" s="95" t="str">
        <f t="shared" si="0"/>
        <v xml:space="preserve">   </v>
      </c>
    </row>
    <row r="79" spans="1:13" hidden="1" x14ac:dyDescent="0.2">
      <c r="A79" s="343"/>
      <c r="B79" s="170" t="str">
        <f>Capacidades!M673</f>
        <v xml:space="preserve">   </v>
      </c>
      <c r="C79" s="171"/>
      <c r="D79" s="13"/>
      <c r="E79" s="13"/>
      <c r="F79" s="14"/>
      <c r="G79" s="14"/>
      <c r="H79" s="14"/>
      <c r="I79" s="14"/>
      <c r="J79" s="14"/>
      <c r="K79" s="14"/>
      <c r="L79" s="336"/>
      <c r="M79" s="95" t="str">
        <f t="shared" si="0"/>
        <v xml:space="preserve">   </v>
      </c>
    </row>
    <row r="80" spans="1:13" hidden="1" x14ac:dyDescent="0.2">
      <c r="A80" s="343"/>
      <c r="B80" s="170" t="str">
        <f>Capacidades!M674</f>
        <v xml:space="preserve">   </v>
      </c>
      <c r="C80" s="171"/>
      <c r="D80" s="13"/>
      <c r="E80" s="13"/>
      <c r="F80" s="14"/>
      <c r="G80" s="14"/>
      <c r="H80" s="14"/>
      <c r="I80" s="14"/>
      <c r="J80" s="14"/>
      <c r="K80" s="14"/>
      <c r="L80" s="336"/>
      <c r="M80" s="95" t="str">
        <f t="shared" si="0"/>
        <v xml:space="preserve">   </v>
      </c>
    </row>
    <row r="81" spans="1:13" hidden="1" x14ac:dyDescent="0.2">
      <c r="A81" s="343"/>
      <c r="B81" s="170" t="str">
        <f>Capacidades!M675</f>
        <v xml:space="preserve">   </v>
      </c>
      <c r="C81" s="171"/>
      <c r="D81" s="13"/>
      <c r="E81" s="13"/>
      <c r="F81" s="14"/>
      <c r="G81" s="14"/>
      <c r="H81" s="14"/>
      <c r="I81" s="14"/>
      <c r="J81" s="14"/>
      <c r="K81" s="14"/>
      <c r="L81" s="336"/>
      <c r="M81" s="95" t="str">
        <f t="shared" si="0"/>
        <v xml:space="preserve">   </v>
      </c>
    </row>
    <row r="82" spans="1:13" hidden="1" x14ac:dyDescent="0.2">
      <c r="A82" s="343"/>
      <c r="B82" s="170" t="str">
        <f>Capacidades!M676</f>
        <v xml:space="preserve">   </v>
      </c>
      <c r="C82" s="171"/>
      <c r="D82" s="13"/>
      <c r="E82" s="13"/>
      <c r="F82" s="14"/>
      <c r="G82" s="14"/>
      <c r="H82" s="14"/>
      <c r="I82" s="14"/>
      <c r="J82" s="14"/>
      <c r="K82" s="14"/>
      <c r="L82" s="336"/>
      <c r="M82" s="95" t="str">
        <f t="shared" si="0"/>
        <v xml:space="preserve">   </v>
      </c>
    </row>
    <row r="83" spans="1:13" hidden="1" x14ac:dyDescent="0.2">
      <c r="A83" s="343"/>
      <c r="B83" s="170" t="str">
        <f>Capacidades!M677</f>
        <v xml:space="preserve">   </v>
      </c>
      <c r="C83" s="171"/>
      <c r="D83" s="13"/>
      <c r="E83" s="13"/>
      <c r="F83" s="14"/>
      <c r="G83" s="14"/>
      <c r="H83" s="14"/>
      <c r="I83" s="14"/>
      <c r="J83" s="14"/>
      <c r="K83" s="14"/>
      <c r="L83" s="336"/>
      <c r="M83" s="95" t="str">
        <f t="shared" ref="M83:M146" si="1">B83</f>
        <v xml:space="preserve">   </v>
      </c>
    </row>
    <row r="84" spans="1:13" hidden="1" x14ac:dyDescent="0.2">
      <c r="A84" s="343"/>
      <c r="B84" s="170" t="str">
        <f>Capacidades!M678</f>
        <v xml:space="preserve">   </v>
      </c>
      <c r="C84" s="171"/>
      <c r="D84" s="13"/>
      <c r="E84" s="13"/>
      <c r="F84" s="14"/>
      <c r="G84" s="14"/>
      <c r="H84" s="14"/>
      <c r="I84" s="14"/>
      <c r="J84" s="14"/>
      <c r="K84" s="14"/>
      <c r="L84" s="336"/>
      <c r="M84" s="95" t="str">
        <f t="shared" si="1"/>
        <v xml:space="preserve">   </v>
      </c>
    </row>
    <row r="85" spans="1:13" hidden="1" x14ac:dyDescent="0.2">
      <c r="A85" s="343"/>
      <c r="B85" s="170" t="str">
        <f>Capacidades!M679</f>
        <v xml:space="preserve">   </v>
      </c>
      <c r="C85" s="171"/>
      <c r="D85" s="13"/>
      <c r="E85" s="13"/>
      <c r="F85" s="14"/>
      <c r="G85" s="14"/>
      <c r="H85" s="14"/>
      <c r="I85" s="14"/>
      <c r="J85" s="14"/>
      <c r="K85" s="14"/>
      <c r="L85" s="336"/>
      <c r="M85" s="95" t="str">
        <f t="shared" si="1"/>
        <v xml:space="preserve">   </v>
      </c>
    </row>
    <row r="86" spans="1:13" hidden="1" x14ac:dyDescent="0.2">
      <c r="A86" s="343"/>
      <c r="B86" s="170" t="str">
        <f>Capacidades!M680</f>
        <v xml:space="preserve">   </v>
      </c>
      <c r="C86" s="171"/>
      <c r="D86" s="13"/>
      <c r="E86" s="13"/>
      <c r="F86" s="14"/>
      <c r="G86" s="14"/>
      <c r="H86" s="14"/>
      <c r="I86" s="14"/>
      <c r="J86" s="14"/>
      <c r="K86" s="14"/>
      <c r="L86" s="336"/>
      <c r="M86" s="95" t="str">
        <f t="shared" si="1"/>
        <v xml:space="preserve">   </v>
      </c>
    </row>
    <row r="87" spans="1:13" hidden="1" x14ac:dyDescent="0.2">
      <c r="A87" s="344"/>
      <c r="B87" s="170" t="str">
        <f>Capacidades!M681</f>
        <v xml:space="preserve">   </v>
      </c>
      <c r="C87" s="171"/>
      <c r="D87" s="15"/>
      <c r="E87" s="15"/>
      <c r="F87" s="16"/>
      <c r="G87" s="16"/>
      <c r="H87" s="16"/>
      <c r="I87" s="16"/>
      <c r="J87" s="16"/>
      <c r="K87" s="16"/>
      <c r="L87" s="337"/>
      <c r="M87" s="95" t="str">
        <f t="shared" si="1"/>
        <v xml:space="preserve">   </v>
      </c>
    </row>
    <row r="88" spans="1:13" hidden="1" x14ac:dyDescent="0.2">
      <c r="A88" s="342" t="str">
        <f>Capacidades!L682</f>
        <v xml:space="preserve">       </v>
      </c>
      <c r="B88" s="170" t="str">
        <f>Capacidades!M682</f>
        <v xml:space="preserve">   </v>
      </c>
      <c r="C88" s="171"/>
      <c r="D88" s="11">
        <f>Organización_Modular!F79</f>
        <v>0</v>
      </c>
      <c r="E88" s="11">
        <f>Organización_Modular!G79</f>
        <v>0</v>
      </c>
      <c r="F88" s="11">
        <f>Organización_Modular!H79</f>
        <v>0</v>
      </c>
      <c r="G88" s="11">
        <f>Organización_Modular!I79</f>
        <v>0</v>
      </c>
      <c r="H88" s="12">
        <f>SUM(F88:G88)</f>
        <v>0</v>
      </c>
      <c r="I88" s="12">
        <f>F88*16</f>
        <v>0</v>
      </c>
      <c r="J88" s="12">
        <f>G88*32</f>
        <v>0</v>
      </c>
      <c r="K88" s="12">
        <f>SUM(I88:J88)</f>
        <v>0</v>
      </c>
      <c r="L88" s="335"/>
      <c r="M88" s="95" t="str">
        <f t="shared" si="1"/>
        <v xml:space="preserve">   </v>
      </c>
    </row>
    <row r="89" spans="1:13" hidden="1" x14ac:dyDescent="0.2">
      <c r="A89" s="343"/>
      <c r="B89" s="170" t="str">
        <f>Capacidades!M683</f>
        <v xml:space="preserve">   </v>
      </c>
      <c r="C89" s="171"/>
      <c r="D89" s="13"/>
      <c r="E89" s="13"/>
      <c r="F89" s="14"/>
      <c r="G89" s="14"/>
      <c r="H89" s="14"/>
      <c r="I89" s="14"/>
      <c r="J89" s="14"/>
      <c r="K89" s="14"/>
      <c r="L89" s="336"/>
      <c r="M89" s="95" t="str">
        <f t="shared" si="1"/>
        <v xml:space="preserve">   </v>
      </c>
    </row>
    <row r="90" spans="1:13" hidden="1" x14ac:dyDescent="0.2">
      <c r="A90" s="343"/>
      <c r="B90" s="170" t="str">
        <f>Capacidades!M684</f>
        <v xml:space="preserve">   </v>
      </c>
      <c r="C90" s="171"/>
      <c r="D90" s="13"/>
      <c r="E90" s="13"/>
      <c r="F90" s="14"/>
      <c r="G90" s="14"/>
      <c r="H90" s="14"/>
      <c r="I90" s="14"/>
      <c r="J90" s="14"/>
      <c r="K90" s="14"/>
      <c r="L90" s="336"/>
      <c r="M90" s="95" t="str">
        <f t="shared" si="1"/>
        <v xml:space="preserve">   </v>
      </c>
    </row>
    <row r="91" spans="1:13" hidden="1" x14ac:dyDescent="0.2">
      <c r="A91" s="343"/>
      <c r="B91" s="170" t="str">
        <f>Capacidades!M685</f>
        <v xml:space="preserve">   </v>
      </c>
      <c r="C91" s="171"/>
      <c r="D91" s="13"/>
      <c r="E91" s="13"/>
      <c r="F91" s="14"/>
      <c r="G91" s="14"/>
      <c r="H91" s="14"/>
      <c r="I91" s="14"/>
      <c r="J91" s="14"/>
      <c r="K91" s="14"/>
      <c r="L91" s="336"/>
      <c r="M91" s="95" t="str">
        <f t="shared" si="1"/>
        <v xml:space="preserve">   </v>
      </c>
    </row>
    <row r="92" spans="1:13" hidden="1" x14ac:dyDescent="0.2">
      <c r="A92" s="343"/>
      <c r="B92" s="170" t="str">
        <f>Capacidades!M686</f>
        <v xml:space="preserve">   </v>
      </c>
      <c r="C92" s="171"/>
      <c r="D92" s="13"/>
      <c r="E92" s="13"/>
      <c r="F92" s="14"/>
      <c r="G92" s="14"/>
      <c r="H92" s="14"/>
      <c r="I92" s="14"/>
      <c r="J92" s="14"/>
      <c r="K92" s="14"/>
      <c r="L92" s="336"/>
      <c r="M92" s="95" t="str">
        <f t="shared" si="1"/>
        <v xml:space="preserve">   </v>
      </c>
    </row>
    <row r="93" spans="1:13" hidden="1" x14ac:dyDescent="0.2">
      <c r="A93" s="343"/>
      <c r="B93" s="170" t="str">
        <f>Capacidades!M687</f>
        <v xml:space="preserve">   </v>
      </c>
      <c r="C93" s="171"/>
      <c r="D93" s="13"/>
      <c r="E93" s="13"/>
      <c r="F93" s="14"/>
      <c r="G93" s="14"/>
      <c r="H93" s="14"/>
      <c r="I93" s="14"/>
      <c r="J93" s="14"/>
      <c r="K93" s="14"/>
      <c r="L93" s="336"/>
      <c r="M93" s="95" t="str">
        <f t="shared" si="1"/>
        <v xml:space="preserve">   </v>
      </c>
    </row>
    <row r="94" spans="1:13" hidden="1" x14ac:dyDescent="0.2">
      <c r="A94" s="343"/>
      <c r="B94" s="170" t="str">
        <f>Capacidades!M688</f>
        <v xml:space="preserve">   </v>
      </c>
      <c r="C94" s="171"/>
      <c r="D94" s="13"/>
      <c r="E94" s="13"/>
      <c r="F94" s="14"/>
      <c r="G94" s="14"/>
      <c r="H94" s="14"/>
      <c r="I94" s="14"/>
      <c r="J94" s="14"/>
      <c r="K94" s="14"/>
      <c r="L94" s="336"/>
      <c r="M94" s="95" t="str">
        <f t="shared" si="1"/>
        <v xml:space="preserve">   </v>
      </c>
    </row>
    <row r="95" spans="1:13" hidden="1" x14ac:dyDescent="0.2">
      <c r="A95" s="343"/>
      <c r="B95" s="170" t="str">
        <f>Capacidades!M689</f>
        <v xml:space="preserve">   </v>
      </c>
      <c r="C95" s="171"/>
      <c r="D95" s="13"/>
      <c r="E95" s="13"/>
      <c r="F95" s="14"/>
      <c r="G95" s="14"/>
      <c r="H95" s="14"/>
      <c r="I95" s="14"/>
      <c r="J95" s="14"/>
      <c r="K95" s="14"/>
      <c r="L95" s="336"/>
      <c r="M95" s="95" t="str">
        <f t="shared" si="1"/>
        <v xml:space="preserve">   </v>
      </c>
    </row>
    <row r="96" spans="1:13" hidden="1" x14ac:dyDescent="0.2">
      <c r="A96" s="343"/>
      <c r="B96" s="170" t="str">
        <f>Capacidades!M690</f>
        <v xml:space="preserve">   </v>
      </c>
      <c r="C96" s="171"/>
      <c r="D96" s="13"/>
      <c r="E96" s="13"/>
      <c r="F96" s="14"/>
      <c r="G96" s="14"/>
      <c r="H96" s="14"/>
      <c r="I96" s="14"/>
      <c r="J96" s="14"/>
      <c r="K96" s="14"/>
      <c r="L96" s="336"/>
      <c r="M96" s="95" t="str">
        <f t="shared" si="1"/>
        <v xml:space="preserve">   </v>
      </c>
    </row>
    <row r="97" spans="1:13" hidden="1" x14ac:dyDescent="0.2">
      <c r="A97" s="344"/>
      <c r="B97" s="170" t="str">
        <f>Capacidades!M691</f>
        <v xml:space="preserve">   </v>
      </c>
      <c r="C97" s="171"/>
      <c r="D97" s="15"/>
      <c r="E97" s="15"/>
      <c r="F97" s="16"/>
      <c r="G97" s="16"/>
      <c r="H97" s="16"/>
      <c r="I97" s="16"/>
      <c r="J97" s="16"/>
      <c r="K97" s="16"/>
      <c r="L97" s="337"/>
      <c r="M97" s="95" t="str">
        <f t="shared" si="1"/>
        <v xml:space="preserve">   </v>
      </c>
    </row>
    <row r="98" spans="1:13" hidden="1" x14ac:dyDescent="0.2">
      <c r="A98" s="342" t="str">
        <f>Capacidades!L692</f>
        <v xml:space="preserve">       </v>
      </c>
      <c r="B98" s="170" t="str">
        <f>Capacidades!M692</f>
        <v xml:space="preserve">   </v>
      </c>
      <c r="C98" s="171"/>
      <c r="D98" s="11">
        <f>Organización_Modular!F80</f>
        <v>0</v>
      </c>
      <c r="E98" s="11">
        <f>Organización_Modular!G80</f>
        <v>0</v>
      </c>
      <c r="F98" s="11">
        <f>Organización_Modular!H80</f>
        <v>0</v>
      </c>
      <c r="G98" s="11">
        <f>Organización_Modular!I80</f>
        <v>0</v>
      </c>
      <c r="H98" s="12">
        <f>SUM(F98:G98)</f>
        <v>0</v>
      </c>
      <c r="I98" s="12">
        <f>F98*16</f>
        <v>0</v>
      </c>
      <c r="J98" s="12">
        <f>G98*32</f>
        <v>0</v>
      </c>
      <c r="K98" s="12">
        <f>SUM(I98:J98)</f>
        <v>0</v>
      </c>
      <c r="L98" s="335"/>
      <c r="M98" s="95" t="str">
        <f t="shared" si="1"/>
        <v xml:space="preserve">   </v>
      </c>
    </row>
    <row r="99" spans="1:13" hidden="1" x14ac:dyDescent="0.2">
      <c r="A99" s="343"/>
      <c r="B99" s="170" t="str">
        <f>Capacidades!M693</f>
        <v xml:space="preserve">   </v>
      </c>
      <c r="C99" s="171"/>
      <c r="D99" s="13"/>
      <c r="E99" s="13"/>
      <c r="F99" s="14"/>
      <c r="G99" s="14"/>
      <c r="H99" s="14"/>
      <c r="I99" s="14"/>
      <c r="J99" s="14"/>
      <c r="K99" s="14"/>
      <c r="L99" s="336"/>
      <c r="M99" s="95" t="str">
        <f t="shared" si="1"/>
        <v xml:space="preserve">   </v>
      </c>
    </row>
    <row r="100" spans="1:13" hidden="1" x14ac:dyDescent="0.2">
      <c r="A100" s="343"/>
      <c r="B100" s="170" t="str">
        <f>Capacidades!M694</f>
        <v xml:space="preserve">   </v>
      </c>
      <c r="C100" s="171"/>
      <c r="D100" s="13"/>
      <c r="E100" s="13"/>
      <c r="F100" s="14"/>
      <c r="G100" s="14"/>
      <c r="H100" s="14"/>
      <c r="I100" s="14"/>
      <c r="J100" s="14"/>
      <c r="K100" s="14"/>
      <c r="L100" s="336"/>
      <c r="M100" s="95" t="str">
        <f t="shared" si="1"/>
        <v xml:space="preserve">   </v>
      </c>
    </row>
    <row r="101" spans="1:13" hidden="1" x14ac:dyDescent="0.2">
      <c r="A101" s="343"/>
      <c r="B101" s="170" t="str">
        <f>Capacidades!M695</f>
        <v xml:space="preserve">   </v>
      </c>
      <c r="C101" s="171"/>
      <c r="D101" s="13"/>
      <c r="E101" s="13"/>
      <c r="F101" s="14"/>
      <c r="G101" s="14"/>
      <c r="H101" s="14"/>
      <c r="I101" s="14"/>
      <c r="J101" s="14"/>
      <c r="K101" s="14"/>
      <c r="L101" s="336"/>
      <c r="M101" s="95" t="str">
        <f t="shared" si="1"/>
        <v xml:space="preserve">   </v>
      </c>
    </row>
    <row r="102" spans="1:13" hidden="1" x14ac:dyDescent="0.2">
      <c r="A102" s="343"/>
      <c r="B102" s="170" t="str">
        <f>Capacidades!M696</f>
        <v xml:space="preserve">   </v>
      </c>
      <c r="C102" s="171"/>
      <c r="D102" s="13"/>
      <c r="E102" s="13"/>
      <c r="F102" s="14"/>
      <c r="G102" s="14"/>
      <c r="H102" s="14"/>
      <c r="I102" s="14"/>
      <c r="J102" s="14"/>
      <c r="K102" s="14"/>
      <c r="L102" s="336"/>
      <c r="M102" s="95" t="str">
        <f t="shared" si="1"/>
        <v xml:space="preserve">   </v>
      </c>
    </row>
    <row r="103" spans="1:13" hidden="1" x14ac:dyDescent="0.2">
      <c r="A103" s="343"/>
      <c r="B103" s="170" t="str">
        <f>Capacidades!M697</f>
        <v xml:space="preserve">   </v>
      </c>
      <c r="C103" s="171"/>
      <c r="D103" s="13"/>
      <c r="E103" s="13"/>
      <c r="F103" s="14"/>
      <c r="G103" s="14"/>
      <c r="H103" s="14"/>
      <c r="I103" s="14"/>
      <c r="J103" s="14"/>
      <c r="K103" s="14"/>
      <c r="L103" s="336"/>
      <c r="M103" s="95" t="str">
        <f t="shared" si="1"/>
        <v xml:space="preserve">   </v>
      </c>
    </row>
    <row r="104" spans="1:13" hidden="1" x14ac:dyDescent="0.2">
      <c r="A104" s="343"/>
      <c r="B104" s="170" t="str">
        <f>Capacidades!M698</f>
        <v xml:space="preserve">   </v>
      </c>
      <c r="C104" s="171"/>
      <c r="D104" s="13"/>
      <c r="E104" s="13"/>
      <c r="F104" s="14"/>
      <c r="G104" s="14"/>
      <c r="H104" s="14"/>
      <c r="I104" s="14"/>
      <c r="J104" s="14"/>
      <c r="K104" s="14"/>
      <c r="L104" s="336"/>
      <c r="M104" s="95" t="str">
        <f t="shared" si="1"/>
        <v xml:space="preserve">   </v>
      </c>
    </row>
    <row r="105" spans="1:13" hidden="1" x14ac:dyDescent="0.2">
      <c r="A105" s="343"/>
      <c r="B105" s="170" t="str">
        <f>Capacidades!M699</f>
        <v xml:space="preserve">   </v>
      </c>
      <c r="C105" s="171"/>
      <c r="D105" s="13"/>
      <c r="E105" s="13"/>
      <c r="F105" s="14"/>
      <c r="G105" s="14"/>
      <c r="H105" s="14"/>
      <c r="I105" s="14"/>
      <c r="J105" s="14"/>
      <c r="K105" s="14"/>
      <c r="L105" s="336"/>
      <c r="M105" s="95" t="str">
        <f t="shared" si="1"/>
        <v xml:space="preserve">   </v>
      </c>
    </row>
    <row r="106" spans="1:13" hidden="1" x14ac:dyDescent="0.2">
      <c r="A106" s="343"/>
      <c r="B106" s="170" t="str">
        <f>Capacidades!M700</f>
        <v xml:space="preserve">   </v>
      </c>
      <c r="C106" s="171"/>
      <c r="D106" s="13"/>
      <c r="E106" s="13"/>
      <c r="F106" s="14"/>
      <c r="G106" s="14"/>
      <c r="H106" s="14"/>
      <c r="I106" s="14"/>
      <c r="J106" s="14"/>
      <c r="K106" s="14"/>
      <c r="L106" s="336"/>
      <c r="M106" s="95" t="str">
        <f t="shared" si="1"/>
        <v xml:space="preserve">   </v>
      </c>
    </row>
    <row r="107" spans="1:13" hidden="1" x14ac:dyDescent="0.2">
      <c r="A107" s="344"/>
      <c r="B107" s="170" t="str">
        <f>Capacidades!M701</f>
        <v xml:space="preserve">   </v>
      </c>
      <c r="C107" s="171"/>
      <c r="D107" s="15"/>
      <c r="E107" s="15"/>
      <c r="F107" s="16"/>
      <c r="G107" s="16"/>
      <c r="H107" s="16"/>
      <c r="I107" s="16"/>
      <c r="J107" s="16"/>
      <c r="K107" s="16"/>
      <c r="L107" s="337"/>
      <c r="M107" s="95" t="str">
        <f t="shared" si="1"/>
        <v xml:space="preserve">   </v>
      </c>
    </row>
    <row r="108" spans="1:13" hidden="1" x14ac:dyDescent="0.2">
      <c r="A108" s="342" t="str">
        <f>Capacidades!L702</f>
        <v xml:space="preserve">       </v>
      </c>
      <c r="B108" s="170" t="str">
        <f>Capacidades!M702</f>
        <v xml:space="preserve">   </v>
      </c>
      <c r="C108" s="171"/>
      <c r="D108" s="11">
        <f>Organización_Modular!F81</f>
        <v>0</v>
      </c>
      <c r="E108" s="11">
        <f>Organización_Modular!G81</f>
        <v>0</v>
      </c>
      <c r="F108" s="11">
        <f>Organización_Modular!H81</f>
        <v>0</v>
      </c>
      <c r="G108" s="11">
        <f>Organización_Modular!I81</f>
        <v>0</v>
      </c>
      <c r="H108" s="12">
        <f>SUM(F108:G108)</f>
        <v>0</v>
      </c>
      <c r="I108" s="12">
        <f>F108*16</f>
        <v>0</v>
      </c>
      <c r="J108" s="12">
        <f>G108*32</f>
        <v>0</v>
      </c>
      <c r="K108" s="12">
        <f>SUM(I108:J108)</f>
        <v>0</v>
      </c>
      <c r="L108" s="335"/>
      <c r="M108" s="95" t="str">
        <f t="shared" si="1"/>
        <v xml:space="preserve">   </v>
      </c>
    </row>
    <row r="109" spans="1:13" hidden="1" x14ac:dyDescent="0.2">
      <c r="A109" s="343"/>
      <c r="B109" s="170" t="str">
        <f>Capacidades!M703</f>
        <v xml:space="preserve">   </v>
      </c>
      <c r="C109" s="171"/>
      <c r="D109" s="13"/>
      <c r="E109" s="13"/>
      <c r="F109" s="14"/>
      <c r="G109" s="14"/>
      <c r="H109" s="14"/>
      <c r="I109" s="14"/>
      <c r="J109" s="14"/>
      <c r="K109" s="14"/>
      <c r="L109" s="336"/>
      <c r="M109" s="95" t="str">
        <f t="shared" si="1"/>
        <v xml:space="preserve">   </v>
      </c>
    </row>
    <row r="110" spans="1:13" hidden="1" x14ac:dyDescent="0.2">
      <c r="A110" s="343"/>
      <c r="B110" s="170" t="str">
        <f>Capacidades!M704</f>
        <v xml:space="preserve">   </v>
      </c>
      <c r="C110" s="171"/>
      <c r="D110" s="13"/>
      <c r="E110" s="13"/>
      <c r="F110" s="14"/>
      <c r="G110" s="14"/>
      <c r="H110" s="14"/>
      <c r="I110" s="14"/>
      <c r="J110" s="14"/>
      <c r="K110" s="14"/>
      <c r="L110" s="336"/>
      <c r="M110" s="95" t="str">
        <f t="shared" si="1"/>
        <v xml:space="preserve">   </v>
      </c>
    </row>
    <row r="111" spans="1:13" ht="9" hidden="1" customHeight="1" x14ac:dyDescent="0.2">
      <c r="A111" s="343"/>
      <c r="B111" s="170" t="str">
        <f>Capacidades!M705</f>
        <v xml:space="preserve">   </v>
      </c>
      <c r="C111" s="171"/>
      <c r="D111" s="13"/>
      <c r="E111" s="13"/>
      <c r="F111" s="14"/>
      <c r="G111" s="14"/>
      <c r="H111" s="14"/>
      <c r="I111" s="14"/>
      <c r="J111" s="14"/>
      <c r="K111" s="14"/>
      <c r="L111" s="336"/>
      <c r="M111" s="95" t="str">
        <f t="shared" si="1"/>
        <v xml:space="preserve">   </v>
      </c>
    </row>
    <row r="112" spans="1:13" hidden="1" x14ac:dyDescent="0.2">
      <c r="A112" s="343"/>
      <c r="B112" s="170" t="str">
        <f>Capacidades!M706</f>
        <v xml:space="preserve">   </v>
      </c>
      <c r="C112" s="171"/>
      <c r="D112" s="13"/>
      <c r="E112" s="13"/>
      <c r="F112" s="14"/>
      <c r="G112" s="14"/>
      <c r="H112" s="14"/>
      <c r="I112" s="14"/>
      <c r="J112" s="14"/>
      <c r="K112" s="14"/>
      <c r="L112" s="336"/>
      <c r="M112" s="95" t="str">
        <f t="shared" si="1"/>
        <v xml:space="preserve">   </v>
      </c>
    </row>
    <row r="113" spans="1:13" hidden="1" x14ac:dyDescent="0.2">
      <c r="A113" s="343"/>
      <c r="B113" s="170" t="str">
        <f>Capacidades!M707</f>
        <v xml:space="preserve">   </v>
      </c>
      <c r="C113" s="171"/>
      <c r="D113" s="13"/>
      <c r="E113" s="13"/>
      <c r="F113" s="14"/>
      <c r="G113" s="14"/>
      <c r="H113" s="14"/>
      <c r="I113" s="14"/>
      <c r="J113" s="14"/>
      <c r="K113" s="14"/>
      <c r="L113" s="336"/>
      <c r="M113" s="95" t="str">
        <f t="shared" si="1"/>
        <v xml:space="preserve">   </v>
      </c>
    </row>
    <row r="114" spans="1:13" hidden="1" x14ac:dyDescent="0.2">
      <c r="A114" s="343"/>
      <c r="B114" s="170" t="str">
        <f>Capacidades!M708</f>
        <v xml:space="preserve">   </v>
      </c>
      <c r="C114" s="171"/>
      <c r="D114" s="13"/>
      <c r="E114" s="13"/>
      <c r="F114" s="14"/>
      <c r="G114" s="14"/>
      <c r="H114" s="14"/>
      <c r="I114" s="14"/>
      <c r="J114" s="14"/>
      <c r="K114" s="14"/>
      <c r="L114" s="336"/>
      <c r="M114" s="95" t="str">
        <f t="shared" si="1"/>
        <v xml:space="preserve">   </v>
      </c>
    </row>
    <row r="115" spans="1:13" hidden="1" x14ac:dyDescent="0.2">
      <c r="A115" s="343"/>
      <c r="B115" s="170" t="str">
        <f>Capacidades!M709</f>
        <v xml:space="preserve">   </v>
      </c>
      <c r="C115" s="171"/>
      <c r="D115" s="13"/>
      <c r="E115" s="13"/>
      <c r="F115" s="14"/>
      <c r="G115" s="14"/>
      <c r="H115" s="14"/>
      <c r="I115" s="14"/>
      <c r="J115" s="14"/>
      <c r="K115" s="14"/>
      <c r="L115" s="336"/>
      <c r="M115" s="95" t="str">
        <f t="shared" si="1"/>
        <v xml:space="preserve">   </v>
      </c>
    </row>
    <row r="116" spans="1:13" hidden="1" x14ac:dyDescent="0.2">
      <c r="A116" s="343"/>
      <c r="B116" s="170" t="str">
        <f>Capacidades!M710</f>
        <v xml:space="preserve">   </v>
      </c>
      <c r="C116" s="171"/>
      <c r="D116" s="13"/>
      <c r="E116" s="13"/>
      <c r="F116" s="14"/>
      <c r="G116" s="14"/>
      <c r="H116" s="14"/>
      <c r="I116" s="14"/>
      <c r="J116" s="14"/>
      <c r="K116" s="14"/>
      <c r="L116" s="336"/>
      <c r="M116" s="95" t="str">
        <f t="shared" si="1"/>
        <v xml:space="preserve">   </v>
      </c>
    </row>
    <row r="117" spans="1:13" hidden="1" x14ac:dyDescent="0.2">
      <c r="A117" s="344"/>
      <c r="B117" s="170" t="str">
        <f>Capacidades!M711</f>
        <v xml:space="preserve">   </v>
      </c>
      <c r="C117" s="171"/>
      <c r="D117" s="15"/>
      <c r="E117" s="15"/>
      <c r="F117" s="16"/>
      <c r="G117" s="16"/>
      <c r="H117" s="16"/>
      <c r="I117" s="16"/>
      <c r="J117" s="16"/>
      <c r="K117" s="16"/>
      <c r="L117" s="337"/>
      <c r="M117" s="95" t="str">
        <f t="shared" si="1"/>
        <v xml:space="preserve">   </v>
      </c>
    </row>
    <row r="118" spans="1:13" hidden="1" x14ac:dyDescent="0.2">
      <c r="A118" s="342" t="str">
        <f>Capacidades!L712</f>
        <v xml:space="preserve">       </v>
      </c>
      <c r="B118" s="170" t="str">
        <f>Capacidades!M712</f>
        <v xml:space="preserve">   </v>
      </c>
      <c r="C118" s="171"/>
      <c r="D118" s="11">
        <f>Organización_Modular!F82</f>
        <v>0</v>
      </c>
      <c r="E118" s="11">
        <f>Organización_Modular!G82</f>
        <v>0</v>
      </c>
      <c r="F118" s="11">
        <f>Organización_Modular!H82</f>
        <v>0</v>
      </c>
      <c r="G118" s="11">
        <f>Organización_Modular!I82</f>
        <v>0</v>
      </c>
      <c r="H118" s="12">
        <f>SUM(F118:G118)</f>
        <v>0</v>
      </c>
      <c r="I118" s="12">
        <f>F118*16</f>
        <v>0</v>
      </c>
      <c r="J118" s="12">
        <f>G118*32</f>
        <v>0</v>
      </c>
      <c r="K118" s="12">
        <f>SUM(I118:J118)</f>
        <v>0</v>
      </c>
      <c r="L118" s="335"/>
      <c r="M118" s="95" t="str">
        <f t="shared" si="1"/>
        <v xml:space="preserve">   </v>
      </c>
    </row>
    <row r="119" spans="1:13" hidden="1" x14ac:dyDescent="0.2">
      <c r="A119" s="343"/>
      <c r="B119" s="170" t="str">
        <f>Capacidades!M713</f>
        <v xml:space="preserve">   </v>
      </c>
      <c r="C119" s="171"/>
      <c r="D119" s="13"/>
      <c r="E119" s="13"/>
      <c r="F119" s="14"/>
      <c r="G119" s="14"/>
      <c r="H119" s="14"/>
      <c r="I119" s="14"/>
      <c r="J119" s="14"/>
      <c r="K119" s="14"/>
      <c r="L119" s="336"/>
      <c r="M119" s="95" t="str">
        <f t="shared" si="1"/>
        <v xml:space="preserve">   </v>
      </c>
    </row>
    <row r="120" spans="1:13" hidden="1" x14ac:dyDescent="0.2">
      <c r="A120" s="343"/>
      <c r="B120" s="170" t="str">
        <f>Capacidades!M714</f>
        <v xml:space="preserve">   </v>
      </c>
      <c r="C120" s="171"/>
      <c r="D120" s="13"/>
      <c r="E120" s="13"/>
      <c r="F120" s="14"/>
      <c r="G120" s="14"/>
      <c r="H120" s="14"/>
      <c r="I120" s="14"/>
      <c r="J120" s="14"/>
      <c r="K120" s="14"/>
      <c r="L120" s="336"/>
      <c r="M120" s="95" t="str">
        <f t="shared" si="1"/>
        <v xml:space="preserve">   </v>
      </c>
    </row>
    <row r="121" spans="1:13" hidden="1" x14ac:dyDescent="0.2">
      <c r="A121" s="343"/>
      <c r="B121" s="170" t="str">
        <f>Capacidades!M715</f>
        <v xml:space="preserve">   </v>
      </c>
      <c r="C121" s="171"/>
      <c r="D121" s="13"/>
      <c r="E121" s="13"/>
      <c r="F121" s="14"/>
      <c r="G121" s="14"/>
      <c r="H121" s="14"/>
      <c r="I121" s="14"/>
      <c r="J121" s="14"/>
      <c r="K121" s="14"/>
      <c r="L121" s="336"/>
      <c r="M121" s="95" t="str">
        <f t="shared" si="1"/>
        <v xml:space="preserve">   </v>
      </c>
    </row>
    <row r="122" spans="1:13" hidden="1" x14ac:dyDescent="0.2">
      <c r="A122" s="343"/>
      <c r="B122" s="170" t="str">
        <f>Capacidades!M716</f>
        <v xml:space="preserve">   </v>
      </c>
      <c r="C122" s="171"/>
      <c r="D122" s="13"/>
      <c r="E122" s="13"/>
      <c r="F122" s="14"/>
      <c r="G122" s="14"/>
      <c r="H122" s="14"/>
      <c r="I122" s="14"/>
      <c r="J122" s="14"/>
      <c r="K122" s="14"/>
      <c r="L122" s="336"/>
      <c r="M122" s="95" t="str">
        <f t="shared" si="1"/>
        <v xml:space="preserve">   </v>
      </c>
    </row>
    <row r="123" spans="1:13" hidden="1" x14ac:dyDescent="0.2">
      <c r="A123" s="343"/>
      <c r="B123" s="170" t="str">
        <f>Capacidades!M717</f>
        <v xml:space="preserve">   </v>
      </c>
      <c r="C123" s="171"/>
      <c r="D123" s="13"/>
      <c r="E123" s="13"/>
      <c r="F123" s="14"/>
      <c r="G123" s="14"/>
      <c r="H123" s="14"/>
      <c r="I123" s="14"/>
      <c r="J123" s="14"/>
      <c r="K123" s="14"/>
      <c r="L123" s="336"/>
      <c r="M123" s="95" t="str">
        <f t="shared" si="1"/>
        <v xml:space="preserve">   </v>
      </c>
    </row>
    <row r="124" spans="1:13" hidden="1" x14ac:dyDescent="0.2">
      <c r="A124" s="343"/>
      <c r="B124" s="170" t="str">
        <f>Capacidades!M718</f>
        <v xml:space="preserve">   </v>
      </c>
      <c r="C124" s="171"/>
      <c r="D124" s="13"/>
      <c r="E124" s="13"/>
      <c r="F124" s="14"/>
      <c r="G124" s="14"/>
      <c r="H124" s="14"/>
      <c r="I124" s="14"/>
      <c r="J124" s="14"/>
      <c r="K124" s="14"/>
      <c r="L124" s="336"/>
      <c r="M124" s="95" t="str">
        <f t="shared" si="1"/>
        <v xml:space="preserve">   </v>
      </c>
    </row>
    <row r="125" spans="1:13" hidden="1" x14ac:dyDescent="0.2">
      <c r="A125" s="343"/>
      <c r="B125" s="170" t="str">
        <f>Capacidades!M719</f>
        <v xml:space="preserve">   </v>
      </c>
      <c r="C125" s="171"/>
      <c r="D125" s="13"/>
      <c r="E125" s="13"/>
      <c r="F125" s="14"/>
      <c r="G125" s="14"/>
      <c r="H125" s="14"/>
      <c r="I125" s="14"/>
      <c r="J125" s="14"/>
      <c r="K125" s="14"/>
      <c r="L125" s="336"/>
      <c r="M125" s="95" t="str">
        <f t="shared" si="1"/>
        <v xml:space="preserve">   </v>
      </c>
    </row>
    <row r="126" spans="1:13" hidden="1" x14ac:dyDescent="0.2">
      <c r="A126" s="343"/>
      <c r="B126" s="170" t="str">
        <f>Capacidades!M720</f>
        <v xml:space="preserve">   </v>
      </c>
      <c r="C126" s="171"/>
      <c r="D126" s="13"/>
      <c r="E126" s="13"/>
      <c r="F126" s="14"/>
      <c r="G126" s="14"/>
      <c r="H126" s="14"/>
      <c r="I126" s="14"/>
      <c r="J126" s="14"/>
      <c r="K126" s="14"/>
      <c r="L126" s="336"/>
      <c r="M126" s="95" t="str">
        <f t="shared" si="1"/>
        <v xml:space="preserve">   </v>
      </c>
    </row>
    <row r="127" spans="1:13" hidden="1" x14ac:dyDescent="0.2">
      <c r="A127" s="344"/>
      <c r="B127" s="170" t="str">
        <f>Capacidades!M721</f>
        <v xml:space="preserve">   </v>
      </c>
      <c r="C127" s="171"/>
      <c r="D127" s="15"/>
      <c r="E127" s="15"/>
      <c r="F127" s="16"/>
      <c r="G127" s="16"/>
      <c r="H127" s="16"/>
      <c r="I127" s="16"/>
      <c r="J127" s="16"/>
      <c r="K127" s="16"/>
      <c r="L127" s="337"/>
      <c r="M127" s="95" t="str">
        <f t="shared" si="1"/>
        <v xml:space="preserve">   </v>
      </c>
    </row>
    <row r="128" spans="1:13" hidden="1" x14ac:dyDescent="0.2">
      <c r="A128" s="342" t="str">
        <f>Capacidades!L722</f>
        <v xml:space="preserve">       </v>
      </c>
      <c r="B128" s="170" t="str">
        <f>Capacidades!M722</f>
        <v xml:space="preserve">   </v>
      </c>
      <c r="C128" s="171"/>
      <c r="D128" s="11">
        <f>Organización_Modular!F83</f>
        <v>0</v>
      </c>
      <c r="E128" s="11">
        <f>Organización_Modular!G83</f>
        <v>0</v>
      </c>
      <c r="F128" s="11">
        <f>Organización_Modular!H83</f>
        <v>0</v>
      </c>
      <c r="G128" s="11">
        <f>Organización_Modular!I83</f>
        <v>0</v>
      </c>
      <c r="H128" s="12">
        <f>SUM(F128:G128)</f>
        <v>0</v>
      </c>
      <c r="I128" s="12">
        <f>F128*16</f>
        <v>0</v>
      </c>
      <c r="J128" s="12">
        <f>G128*32</f>
        <v>0</v>
      </c>
      <c r="K128" s="12">
        <f>SUM(I128:J128)</f>
        <v>0</v>
      </c>
      <c r="L128" s="335"/>
      <c r="M128" s="95" t="str">
        <f t="shared" si="1"/>
        <v xml:space="preserve">   </v>
      </c>
    </row>
    <row r="129" spans="1:13" hidden="1" x14ac:dyDescent="0.2">
      <c r="A129" s="343"/>
      <c r="B129" s="170" t="str">
        <f>Capacidades!M723</f>
        <v xml:space="preserve">   </v>
      </c>
      <c r="C129" s="171"/>
      <c r="D129" s="13"/>
      <c r="E129" s="13"/>
      <c r="F129" s="14"/>
      <c r="G129" s="14"/>
      <c r="H129" s="14"/>
      <c r="I129" s="14"/>
      <c r="J129" s="14"/>
      <c r="K129" s="14"/>
      <c r="L129" s="336"/>
      <c r="M129" s="95" t="str">
        <f t="shared" si="1"/>
        <v xml:space="preserve">   </v>
      </c>
    </row>
    <row r="130" spans="1:13" hidden="1" x14ac:dyDescent="0.2">
      <c r="A130" s="343"/>
      <c r="B130" s="170" t="str">
        <f>Capacidades!M724</f>
        <v xml:space="preserve">   </v>
      </c>
      <c r="C130" s="171"/>
      <c r="D130" s="13"/>
      <c r="E130" s="13"/>
      <c r="F130" s="14"/>
      <c r="G130" s="14"/>
      <c r="H130" s="14"/>
      <c r="I130" s="14"/>
      <c r="J130" s="14"/>
      <c r="K130" s="14"/>
      <c r="L130" s="336"/>
      <c r="M130" s="95" t="str">
        <f t="shared" si="1"/>
        <v xml:space="preserve">   </v>
      </c>
    </row>
    <row r="131" spans="1:13" hidden="1" x14ac:dyDescent="0.2">
      <c r="A131" s="343"/>
      <c r="B131" s="170" t="str">
        <f>Capacidades!M725</f>
        <v xml:space="preserve">   </v>
      </c>
      <c r="C131" s="171"/>
      <c r="D131" s="13"/>
      <c r="E131" s="13"/>
      <c r="F131" s="14"/>
      <c r="G131" s="14"/>
      <c r="H131" s="14"/>
      <c r="I131" s="14"/>
      <c r="J131" s="14"/>
      <c r="K131" s="14"/>
      <c r="L131" s="336"/>
      <c r="M131" s="95" t="str">
        <f t="shared" si="1"/>
        <v xml:space="preserve">   </v>
      </c>
    </row>
    <row r="132" spans="1:13" hidden="1" x14ac:dyDescent="0.2">
      <c r="A132" s="343"/>
      <c r="B132" s="170" t="str">
        <f>Capacidades!M726</f>
        <v xml:space="preserve">   </v>
      </c>
      <c r="C132" s="171"/>
      <c r="D132" s="13"/>
      <c r="E132" s="13"/>
      <c r="F132" s="14"/>
      <c r="G132" s="14"/>
      <c r="H132" s="14"/>
      <c r="I132" s="14"/>
      <c r="J132" s="14"/>
      <c r="K132" s="14"/>
      <c r="L132" s="336"/>
      <c r="M132" s="95" t="str">
        <f t="shared" si="1"/>
        <v xml:space="preserve">   </v>
      </c>
    </row>
    <row r="133" spans="1:13" hidden="1" x14ac:dyDescent="0.2">
      <c r="A133" s="343"/>
      <c r="B133" s="170" t="str">
        <f>Capacidades!M727</f>
        <v xml:space="preserve">   </v>
      </c>
      <c r="C133" s="171"/>
      <c r="D133" s="13"/>
      <c r="E133" s="13"/>
      <c r="F133" s="14"/>
      <c r="G133" s="14"/>
      <c r="H133" s="14"/>
      <c r="I133" s="14"/>
      <c r="J133" s="14"/>
      <c r="K133" s="14"/>
      <c r="L133" s="336"/>
      <c r="M133" s="95" t="str">
        <f t="shared" si="1"/>
        <v xml:space="preserve">   </v>
      </c>
    </row>
    <row r="134" spans="1:13" hidden="1" x14ac:dyDescent="0.2">
      <c r="A134" s="343"/>
      <c r="B134" s="170" t="str">
        <f>Capacidades!M728</f>
        <v xml:space="preserve">   </v>
      </c>
      <c r="C134" s="171"/>
      <c r="D134" s="13"/>
      <c r="E134" s="13"/>
      <c r="F134" s="14"/>
      <c r="G134" s="14"/>
      <c r="H134" s="14"/>
      <c r="I134" s="14"/>
      <c r="J134" s="14"/>
      <c r="K134" s="14"/>
      <c r="L134" s="336"/>
      <c r="M134" s="95" t="str">
        <f t="shared" si="1"/>
        <v xml:space="preserve">   </v>
      </c>
    </row>
    <row r="135" spans="1:13" hidden="1" x14ac:dyDescent="0.2">
      <c r="A135" s="343"/>
      <c r="B135" s="170" t="str">
        <f>Capacidades!M729</f>
        <v xml:space="preserve">   </v>
      </c>
      <c r="C135" s="171"/>
      <c r="D135" s="13"/>
      <c r="E135" s="13"/>
      <c r="F135" s="14"/>
      <c r="G135" s="14"/>
      <c r="H135" s="14"/>
      <c r="I135" s="14"/>
      <c r="J135" s="14"/>
      <c r="K135" s="14"/>
      <c r="L135" s="336"/>
      <c r="M135" s="95" t="str">
        <f t="shared" si="1"/>
        <v xml:space="preserve">   </v>
      </c>
    </row>
    <row r="136" spans="1:13" hidden="1" x14ac:dyDescent="0.2">
      <c r="A136" s="343"/>
      <c r="B136" s="170" t="str">
        <f>Capacidades!M730</f>
        <v xml:space="preserve">   </v>
      </c>
      <c r="C136" s="171"/>
      <c r="D136" s="13"/>
      <c r="E136" s="13"/>
      <c r="F136" s="14"/>
      <c r="G136" s="14"/>
      <c r="H136" s="14"/>
      <c r="I136" s="14"/>
      <c r="J136" s="14"/>
      <c r="K136" s="14"/>
      <c r="L136" s="336"/>
      <c r="M136" s="95" t="str">
        <f t="shared" si="1"/>
        <v xml:space="preserve">   </v>
      </c>
    </row>
    <row r="137" spans="1:13" hidden="1" x14ac:dyDescent="0.2">
      <c r="A137" s="344"/>
      <c r="B137" s="170" t="str">
        <f>Capacidades!M731</f>
        <v xml:space="preserve">   </v>
      </c>
      <c r="C137" s="171"/>
      <c r="D137" s="15"/>
      <c r="E137" s="15"/>
      <c r="F137" s="16"/>
      <c r="G137" s="16"/>
      <c r="H137" s="16"/>
      <c r="I137" s="16"/>
      <c r="J137" s="16"/>
      <c r="K137" s="16"/>
      <c r="L137" s="337"/>
      <c r="M137" s="95" t="str">
        <f t="shared" si="1"/>
        <v xml:space="preserve">   </v>
      </c>
    </row>
    <row r="138" spans="1:13" hidden="1" x14ac:dyDescent="0.2">
      <c r="A138" s="342" t="str">
        <f>Capacidades!L732</f>
        <v xml:space="preserve">       </v>
      </c>
      <c r="B138" s="170" t="str">
        <f>Capacidades!M732</f>
        <v xml:space="preserve">   </v>
      </c>
      <c r="C138" s="171"/>
      <c r="D138" s="11">
        <f>Organización_Modular!F84</f>
        <v>0</v>
      </c>
      <c r="E138" s="11">
        <f>Organización_Modular!G84</f>
        <v>0</v>
      </c>
      <c r="F138" s="11">
        <f>Organización_Modular!H84</f>
        <v>0</v>
      </c>
      <c r="G138" s="11">
        <f>Organización_Modular!I84</f>
        <v>0</v>
      </c>
      <c r="H138" s="12">
        <f>SUM(F138:G138)</f>
        <v>0</v>
      </c>
      <c r="I138" s="12">
        <f>F138*16</f>
        <v>0</v>
      </c>
      <c r="J138" s="12">
        <f>G138*32</f>
        <v>0</v>
      </c>
      <c r="K138" s="12">
        <f>SUM(I138:J138)</f>
        <v>0</v>
      </c>
      <c r="L138" s="335"/>
      <c r="M138" s="95" t="str">
        <f t="shared" si="1"/>
        <v xml:space="preserve">   </v>
      </c>
    </row>
    <row r="139" spans="1:13" hidden="1" x14ac:dyDescent="0.2">
      <c r="A139" s="343"/>
      <c r="B139" s="170" t="str">
        <f>Capacidades!M733</f>
        <v xml:space="preserve">   </v>
      </c>
      <c r="C139" s="171"/>
      <c r="D139" s="13"/>
      <c r="E139" s="13"/>
      <c r="F139" s="14"/>
      <c r="G139" s="14"/>
      <c r="H139" s="14"/>
      <c r="I139" s="14"/>
      <c r="J139" s="14"/>
      <c r="K139" s="14"/>
      <c r="L139" s="336"/>
      <c r="M139" s="95" t="str">
        <f t="shared" si="1"/>
        <v xml:space="preserve">   </v>
      </c>
    </row>
    <row r="140" spans="1:13" hidden="1" x14ac:dyDescent="0.2">
      <c r="A140" s="343"/>
      <c r="B140" s="170" t="str">
        <f>Capacidades!M734</f>
        <v xml:space="preserve">   </v>
      </c>
      <c r="C140" s="171"/>
      <c r="D140" s="13"/>
      <c r="E140" s="13"/>
      <c r="F140" s="14"/>
      <c r="G140" s="14"/>
      <c r="H140" s="14"/>
      <c r="I140" s="14"/>
      <c r="J140" s="14"/>
      <c r="K140" s="14"/>
      <c r="L140" s="336"/>
      <c r="M140" s="95" t="str">
        <f t="shared" si="1"/>
        <v xml:space="preserve">   </v>
      </c>
    </row>
    <row r="141" spans="1:13" hidden="1" x14ac:dyDescent="0.2">
      <c r="A141" s="343"/>
      <c r="B141" s="170" t="str">
        <f>Capacidades!M735</f>
        <v xml:space="preserve">   </v>
      </c>
      <c r="C141" s="171"/>
      <c r="D141" s="13"/>
      <c r="E141" s="13"/>
      <c r="F141" s="14"/>
      <c r="G141" s="14"/>
      <c r="H141" s="14"/>
      <c r="I141" s="14"/>
      <c r="J141" s="14"/>
      <c r="K141" s="14"/>
      <c r="L141" s="336"/>
      <c r="M141" s="95" t="str">
        <f t="shared" si="1"/>
        <v xml:space="preserve">   </v>
      </c>
    </row>
    <row r="142" spans="1:13" hidden="1" x14ac:dyDescent="0.2">
      <c r="A142" s="343"/>
      <c r="B142" s="170" t="str">
        <f>Capacidades!M736</f>
        <v xml:space="preserve">   </v>
      </c>
      <c r="C142" s="171"/>
      <c r="D142" s="13"/>
      <c r="E142" s="13"/>
      <c r="F142" s="14"/>
      <c r="G142" s="14"/>
      <c r="H142" s="14"/>
      <c r="I142" s="14"/>
      <c r="J142" s="14"/>
      <c r="K142" s="14"/>
      <c r="L142" s="336"/>
      <c r="M142" s="95" t="str">
        <f t="shared" si="1"/>
        <v xml:space="preserve">   </v>
      </c>
    </row>
    <row r="143" spans="1:13" hidden="1" x14ac:dyDescent="0.2">
      <c r="A143" s="343"/>
      <c r="B143" s="170" t="str">
        <f>Capacidades!M737</f>
        <v xml:space="preserve">   </v>
      </c>
      <c r="C143" s="171"/>
      <c r="D143" s="13"/>
      <c r="E143" s="13"/>
      <c r="F143" s="14"/>
      <c r="G143" s="14"/>
      <c r="H143" s="14"/>
      <c r="I143" s="14"/>
      <c r="J143" s="14"/>
      <c r="K143" s="14"/>
      <c r="L143" s="336"/>
      <c r="M143" s="95" t="str">
        <f t="shared" si="1"/>
        <v xml:space="preserve">   </v>
      </c>
    </row>
    <row r="144" spans="1:13" ht="1.5" hidden="1" customHeight="1" x14ac:dyDescent="0.2">
      <c r="A144" s="343"/>
      <c r="B144" s="170" t="str">
        <f>Capacidades!M738</f>
        <v xml:space="preserve">   </v>
      </c>
      <c r="C144" s="171"/>
      <c r="D144" s="13"/>
      <c r="E144" s="13"/>
      <c r="F144" s="14"/>
      <c r="G144" s="14"/>
      <c r="H144" s="14"/>
      <c r="I144" s="14"/>
      <c r="J144" s="14"/>
      <c r="K144" s="14"/>
      <c r="L144" s="336"/>
      <c r="M144" s="95" t="str">
        <f t="shared" si="1"/>
        <v xml:space="preserve">   </v>
      </c>
    </row>
    <row r="145" spans="1:13" hidden="1" x14ac:dyDescent="0.2">
      <c r="A145" s="343"/>
      <c r="B145" s="170" t="str">
        <f>Capacidades!M739</f>
        <v xml:space="preserve">   </v>
      </c>
      <c r="C145" s="171"/>
      <c r="D145" s="13"/>
      <c r="E145" s="13"/>
      <c r="F145" s="14"/>
      <c r="G145" s="14"/>
      <c r="H145" s="14"/>
      <c r="I145" s="14"/>
      <c r="J145" s="14"/>
      <c r="K145" s="14"/>
      <c r="L145" s="336"/>
      <c r="M145" s="95" t="str">
        <f t="shared" si="1"/>
        <v xml:space="preserve">   </v>
      </c>
    </row>
    <row r="146" spans="1:13" hidden="1" x14ac:dyDescent="0.2">
      <c r="A146" s="343"/>
      <c r="B146" s="170" t="str">
        <f>Capacidades!M740</f>
        <v xml:space="preserve">   </v>
      </c>
      <c r="C146" s="171"/>
      <c r="D146" s="13"/>
      <c r="E146" s="13"/>
      <c r="F146" s="14"/>
      <c r="G146" s="14"/>
      <c r="H146" s="14"/>
      <c r="I146" s="14"/>
      <c r="J146" s="14"/>
      <c r="K146" s="14"/>
      <c r="L146" s="336"/>
      <c r="M146" s="95" t="str">
        <f t="shared" si="1"/>
        <v xml:space="preserve">   </v>
      </c>
    </row>
    <row r="147" spans="1:13" hidden="1" x14ac:dyDescent="0.2">
      <c r="A147" s="344"/>
      <c r="B147" s="170" t="str">
        <f>Capacidades!M741</f>
        <v xml:space="preserve">   </v>
      </c>
      <c r="C147" s="171"/>
      <c r="D147" s="15"/>
      <c r="E147" s="15"/>
      <c r="F147" s="16"/>
      <c r="G147" s="16"/>
      <c r="H147" s="16"/>
      <c r="I147" s="16"/>
      <c r="J147" s="16"/>
      <c r="K147" s="16"/>
      <c r="L147" s="337"/>
      <c r="M147" s="95" t="str">
        <f t="shared" ref="M147:M210" si="2">B147</f>
        <v xml:space="preserve">   </v>
      </c>
    </row>
    <row r="148" spans="1:13" hidden="1" x14ac:dyDescent="0.2">
      <c r="A148" s="342" t="str">
        <f>Capacidades!L742</f>
        <v xml:space="preserve">       </v>
      </c>
      <c r="B148" s="170" t="str">
        <f>Capacidades!M742</f>
        <v xml:space="preserve">   </v>
      </c>
      <c r="C148" s="171"/>
      <c r="D148" s="11">
        <f>Organización_Modular!F85</f>
        <v>0</v>
      </c>
      <c r="E148" s="11">
        <f>Organización_Modular!G85</f>
        <v>0</v>
      </c>
      <c r="F148" s="11">
        <f>Organización_Modular!H85</f>
        <v>0</v>
      </c>
      <c r="G148" s="11">
        <f>Organización_Modular!I85</f>
        <v>0</v>
      </c>
      <c r="H148" s="12">
        <f>SUM(F148:G148)</f>
        <v>0</v>
      </c>
      <c r="I148" s="12">
        <f>F148*16</f>
        <v>0</v>
      </c>
      <c r="J148" s="12">
        <f>G148*32</f>
        <v>0</v>
      </c>
      <c r="K148" s="12">
        <f>SUM(I148:J148)</f>
        <v>0</v>
      </c>
      <c r="L148" s="335"/>
      <c r="M148" s="95" t="str">
        <f t="shared" si="2"/>
        <v xml:space="preserve">   </v>
      </c>
    </row>
    <row r="149" spans="1:13" hidden="1" x14ac:dyDescent="0.2">
      <c r="A149" s="343"/>
      <c r="B149" s="170" t="str">
        <f>Capacidades!M743</f>
        <v xml:space="preserve">   </v>
      </c>
      <c r="C149" s="171"/>
      <c r="D149" s="13"/>
      <c r="E149" s="13"/>
      <c r="F149" s="13"/>
      <c r="G149" s="13"/>
      <c r="H149" s="14"/>
      <c r="I149" s="14"/>
      <c r="J149" s="14"/>
      <c r="K149" s="14"/>
      <c r="L149" s="336"/>
      <c r="M149" s="95" t="str">
        <f t="shared" si="2"/>
        <v xml:space="preserve">   </v>
      </c>
    </row>
    <row r="150" spans="1:13" hidden="1" x14ac:dyDescent="0.2">
      <c r="A150" s="343"/>
      <c r="B150" s="170" t="str">
        <f>Capacidades!M744</f>
        <v xml:space="preserve">   </v>
      </c>
      <c r="C150" s="171"/>
      <c r="D150" s="13"/>
      <c r="E150" s="13"/>
      <c r="F150" s="13"/>
      <c r="G150" s="13"/>
      <c r="H150" s="14"/>
      <c r="I150" s="14"/>
      <c r="J150" s="14"/>
      <c r="K150" s="14"/>
      <c r="L150" s="336"/>
      <c r="M150" s="95" t="str">
        <f t="shared" si="2"/>
        <v xml:space="preserve">   </v>
      </c>
    </row>
    <row r="151" spans="1:13" hidden="1" x14ac:dyDescent="0.2">
      <c r="A151" s="343"/>
      <c r="B151" s="170" t="str">
        <f>Capacidades!M745</f>
        <v xml:space="preserve">   </v>
      </c>
      <c r="C151" s="171"/>
      <c r="D151" s="13"/>
      <c r="E151" s="13"/>
      <c r="F151" s="13"/>
      <c r="G151" s="13"/>
      <c r="H151" s="14"/>
      <c r="I151" s="14"/>
      <c r="J151" s="14"/>
      <c r="K151" s="14"/>
      <c r="L151" s="336"/>
      <c r="M151" s="95" t="str">
        <f t="shared" si="2"/>
        <v xml:space="preserve">   </v>
      </c>
    </row>
    <row r="152" spans="1:13" hidden="1" x14ac:dyDescent="0.2">
      <c r="A152" s="343"/>
      <c r="B152" s="170" t="str">
        <f>Capacidades!M746</f>
        <v xml:space="preserve">   </v>
      </c>
      <c r="C152" s="171"/>
      <c r="D152" s="13"/>
      <c r="E152" s="13"/>
      <c r="F152" s="14"/>
      <c r="G152" s="14"/>
      <c r="H152" s="14"/>
      <c r="I152" s="14"/>
      <c r="J152" s="14"/>
      <c r="K152" s="14"/>
      <c r="L152" s="336"/>
      <c r="M152" s="95" t="str">
        <f t="shared" si="2"/>
        <v xml:space="preserve">   </v>
      </c>
    </row>
    <row r="153" spans="1:13" hidden="1" x14ac:dyDescent="0.2">
      <c r="A153" s="343"/>
      <c r="B153" s="170" t="str">
        <f>Capacidades!M747</f>
        <v xml:space="preserve">   </v>
      </c>
      <c r="C153" s="171"/>
      <c r="D153" s="13"/>
      <c r="E153" s="13"/>
      <c r="F153" s="14"/>
      <c r="G153" s="14"/>
      <c r="H153" s="14"/>
      <c r="I153" s="14"/>
      <c r="J153" s="14"/>
      <c r="K153" s="14"/>
      <c r="L153" s="336"/>
      <c r="M153" s="95" t="str">
        <f t="shared" si="2"/>
        <v xml:space="preserve">   </v>
      </c>
    </row>
    <row r="154" spans="1:13" hidden="1" x14ac:dyDescent="0.2">
      <c r="A154" s="343"/>
      <c r="B154" s="170" t="str">
        <f>Capacidades!M748</f>
        <v xml:space="preserve">   </v>
      </c>
      <c r="C154" s="171"/>
      <c r="D154" s="13"/>
      <c r="E154" s="13"/>
      <c r="F154" s="14"/>
      <c r="G154" s="14"/>
      <c r="H154" s="14"/>
      <c r="I154" s="14"/>
      <c r="J154" s="14"/>
      <c r="K154" s="14"/>
      <c r="L154" s="336"/>
      <c r="M154" s="95" t="str">
        <f t="shared" si="2"/>
        <v xml:space="preserve">   </v>
      </c>
    </row>
    <row r="155" spans="1:13" hidden="1" x14ac:dyDescent="0.2">
      <c r="A155" s="343"/>
      <c r="B155" s="170" t="str">
        <f>Capacidades!M749</f>
        <v xml:space="preserve">   </v>
      </c>
      <c r="C155" s="171"/>
      <c r="D155" s="13"/>
      <c r="E155" s="13"/>
      <c r="F155" s="14"/>
      <c r="G155" s="14"/>
      <c r="H155" s="14"/>
      <c r="I155" s="14"/>
      <c r="J155" s="14"/>
      <c r="K155" s="14"/>
      <c r="L155" s="336"/>
      <c r="M155" s="95" t="str">
        <f t="shared" si="2"/>
        <v xml:space="preserve">   </v>
      </c>
    </row>
    <row r="156" spans="1:13" hidden="1" x14ac:dyDescent="0.2">
      <c r="A156" s="343"/>
      <c r="B156" s="170" t="str">
        <f>Capacidades!M750</f>
        <v xml:space="preserve">   </v>
      </c>
      <c r="C156" s="171"/>
      <c r="D156" s="13"/>
      <c r="E156" s="13"/>
      <c r="F156" s="13"/>
      <c r="G156" s="13"/>
      <c r="H156" s="14"/>
      <c r="I156" s="14"/>
      <c r="J156" s="14"/>
      <c r="K156" s="14"/>
      <c r="L156" s="336"/>
      <c r="M156" s="95" t="str">
        <f t="shared" si="2"/>
        <v xml:space="preserve">   </v>
      </c>
    </row>
    <row r="157" spans="1:13" hidden="1" x14ac:dyDescent="0.2">
      <c r="A157" s="344"/>
      <c r="B157" s="170" t="str">
        <f>Capacidades!M751</f>
        <v xml:space="preserve">   </v>
      </c>
      <c r="C157" s="171"/>
      <c r="D157" s="15"/>
      <c r="E157" s="15"/>
      <c r="F157" s="15"/>
      <c r="G157" s="15"/>
      <c r="H157" s="16"/>
      <c r="I157" s="16"/>
      <c r="J157" s="16"/>
      <c r="K157" s="16"/>
      <c r="L157" s="337"/>
      <c r="M157" s="95" t="str">
        <f t="shared" si="2"/>
        <v xml:space="preserve">   </v>
      </c>
    </row>
    <row r="158" spans="1:13" hidden="1" x14ac:dyDescent="0.2">
      <c r="A158" s="342" t="str">
        <f>Capacidades!L752</f>
        <v xml:space="preserve">       </v>
      </c>
      <c r="B158" s="170" t="str">
        <f>Capacidades!M752</f>
        <v xml:space="preserve">   </v>
      </c>
      <c r="C158" s="171"/>
      <c r="D158" s="11">
        <f>Organización_Modular!F86</f>
        <v>0</v>
      </c>
      <c r="E158" s="11">
        <f>Organización_Modular!G86</f>
        <v>0</v>
      </c>
      <c r="F158" s="11">
        <f>Organización_Modular!H86</f>
        <v>0</v>
      </c>
      <c r="G158" s="11">
        <f>Organización_Modular!I86</f>
        <v>0</v>
      </c>
      <c r="H158" s="12">
        <f>SUM(F158:G158)</f>
        <v>0</v>
      </c>
      <c r="I158" s="12">
        <f>F158*16</f>
        <v>0</v>
      </c>
      <c r="J158" s="12">
        <f>G158*32</f>
        <v>0</v>
      </c>
      <c r="K158" s="12">
        <f>SUM(I158:J158)</f>
        <v>0</v>
      </c>
      <c r="L158" s="335"/>
      <c r="M158" s="95" t="str">
        <f t="shared" si="2"/>
        <v xml:space="preserve">   </v>
      </c>
    </row>
    <row r="159" spans="1:13" hidden="1" x14ac:dyDescent="0.2">
      <c r="A159" s="343"/>
      <c r="B159" s="170" t="str">
        <f>Capacidades!M753</f>
        <v xml:space="preserve">   </v>
      </c>
      <c r="C159" s="171"/>
      <c r="D159" s="13"/>
      <c r="E159" s="13"/>
      <c r="F159" s="13"/>
      <c r="G159" s="13"/>
      <c r="H159" s="14"/>
      <c r="I159" s="14"/>
      <c r="J159" s="14"/>
      <c r="K159" s="14"/>
      <c r="L159" s="336"/>
      <c r="M159" s="95" t="str">
        <f t="shared" si="2"/>
        <v xml:space="preserve">   </v>
      </c>
    </row>
    <row r="160" spans="1:13" hidden="1" x14ac:dyDescent="0.2">
      <c r="A160" s="343"/>
      <c r="B160" s="170" t="str">
        <f>Capacidades!M754</f>
        <v xml:space="preserve">   </v>
      </c>
      <c r="C160" s="171"/>
      <c r="D160" s="13"/>
      <c r="E160" s="13"/>
      <c r="F160" s="13"/>
      <c r="G160" s="13"/>
      <c r="H160" s="14"/>
      <c r="I160" s="14"/>
      <c r="J160" s="14"/>
      <c r="K160" s="14"/>
      <c r="L160" s="336"/>
      <c r="M160" s="95" t="str">
        <f t="shared" si="2"/>
        <v xml:space="preserve">   </v>
      </c>
    </row>
    <row r="161" spans="1:13" hidden="1" x14ac:dyDescent="0.2">
      <c r="A161" s="343"/>
      <c r="B161" s="170" t="str">
        <f>Capacidades!M755</f>
        <v xml:space="preserve">   </v>
      </c>
      <c r="C161" s="171"/>
      <c r="D161" s="13"/>
      <c r="E161" s="13"/>
      <c r="F161" s="13"/>
      <c r="G161" s="13"/>
      <c r="H161" s="14"/>
      <c r="I161" s="14"/>
      <c r="J161" s="14"/>
      <c r="K161" s="14"/>
      <c r="L161" s="336"/>
      <c r="M161" s="95" t="str">
        <f t="shared" si="2"/>
        <v xml:space="preserve">   </v>
      </c>
    </row>
    <row r="162" spans="1:13" hidden="1" x14ac:dyDescent="0.2">
      <c r="A162" s="343"/>
      <c r="B162" s="170" t="str">
        <f>Capacidades!M756</f>
        <v xml:space="preserve">   </v>
      </c>
      <c r="C162" s="171"/>
      <c r="D162" s="13"/>
      <c r="E162" s="13"/>
      <c r="F162" s="14"/>
      <c r="G162" s="14"/>
      <c r="H162" s="14"/>
      <c r="I162" s="14"/>
      <c r="J162" s="14"/>
      <c r="K162" s="14"/>
      <c r="L162" s="336"/>
      <c r="M162" s="95" t="str">
        <f t="shared" si="2"/>
        <v xml:space="preserve">   </v>
      </c>
    </row>
    <row r="163" spans="1:13" hidden="1" x14ac:dyDescent="0.2">
      <c r="A163" s="343"/>
      <c r="B163" s="170" t="str">
        <f>Capacidades!M757</f>
        <v xml:space="preserve">   </v>
      </c>
      <c r="C163" s="171"/>
      <c r="D163" s="13"/>
      <c r="E163" s="13"/>
      <c r="F163" s="14"/>
      <c r="G163" s="14"/>
      <c r="H163" s="14"/>
      <c r="I163" s="14"/>
      <c r="J163" s="14"/>
      <c r="K163" s="14"/>
      <c r="L163" s="336"/>
      <c r="M163" s="95" t="str">
        <f t="shared" si="2"/>
        <v xml:space="preserve">   </v>
      </c>
    </row>
    <row r="164" spans="1:13" hidden="1" x14ac:dyDescent="0.2">
      <c r="A164" s="343"/>
      <c r="B164" s="170" t="str">
        <f>Capacidades!M758</f>
        <v xml:space="preserve">   </v>
      </c>
      <c r="C164" s="171"/>
      <c r="D164" s="13"/>
      <c r="E164" s="13"/>
      <c r="F164" s="14"/>
      <c r="G164" s="14"/>
      <c r="H164" s="14"/>
      <c r="I164" s="14"/>
      <c r="J164" s="14"/>
      <c r="K164" s="14"/>
      <c r="L164" s="336"/>
      <c r="M164" s="95" t="str">
        <f t="shared" si="2"/>
        <v xml:space="preserve">   </v>
      </c>
    </row>
    <row r="165" spans="1:13" hidden="1" x14ac:dyDescent="0.2">
      <c r="A165" s="343"/>
      <c r="B165" s="170" t="str">
        <f>Capacidades!M759</f>
        <v xml:space="preserve">   </v>
      </c>
      <c r="C165" s="171"/>
      <c r="D165" s="13"/>
      <c r="E165" s="13"/>
      <c r="F165" s="14"/>
      <c r="G165" s="14"/>
      <c r="H165" s="14"/>
      <c r="I165" s="14"/>
      <c r="J165" s="14"/>
      <c r="K165" s="14"/>
      <c r="L165" s="336"/>
      <c r="M165" s="95" t="str">
        <f t="shared" si="2"/>
        <v xml:space="preserve">   </v>
      </c>
    </row>
    <row r="166" spans="1:13" hidden="1" x14ac:dyDescent="0.2">
      <c r="A166" s="343"/>
      <c r="B166" s="170" t="str">
        <f>Capacidades!M760</f>
        <v xml:space="preserve">   </v>
      </c>
      <c r="C166" s="171"/>
      <c r="D166" s="13"/>
      <c r="E166" s="13"/>
      <c r="F166" s="13"/>
      <c r="G166" s="13"/>
      <c r="H166" s="14"/>
      <c r="I166" s="14"/>
      <c r="J166" s="14"/>
      <c r="K166" s="14"/>
      <c r="L166" s="336"/>
      <c r="M166" s="95" t="str">
        <f t="shared" si="2"/>
        <v xml:space="preserve">   </v>
      </c>
    </row>
    <row r="167" spans="1:13" hidden="1" x14ac:dyDescent="0.2">
      <c r="A167" s="344"/>
      <c r="B167" s="170" t="str">
        <f>Capacidades!M761</f>
        <v xml:space="preserve">   </v>
      </c>
      <c r="C167" s="171"/>
      <c r="D167" s="15"/>
      <c r="E167" s="15"/>
      <c r="F167" s="15"/>
      <c r="G167" s="15"/>
      <c r="H167" s="16"/>
      <c r="I167" s="16"/>
      <c r="J167" s="16"/>
      <c r="K167" s="16"/>
      <c r="L167" s="337"/>
      <c r="M167" s="95" t="str">
        <f t="shared" si="2"/>
        <v xml:space="preserve">   </v>
      </c>
    </row>
    <row r="168" spans="1:13" hidden="1" x14ac:dyDescent="0.2">
      <c r="A168" s="342" t="str">
        <f>Capacidades!L762</f>
        <v xml:space="preserve">       </v>
      </c>
      <c r="B168" s="170" t="str">
        <f>Capacidades!M762</f>
        <v xml:space="preserve">   </v>
      </c>
      <c r="C168" s="171"/>
      <c r="D168" s="11">
        <f>Organización_Modular!F87</f>
        <v>0</v>
      </c>
      <c r="E168" s="11">
        <f>Organización_Modular!G87</f>
        <v>0</v>
      </c>
      <c r="F168" s="11">
        <f>Organización_Modular!H87</f>
        <v>0</v>
      </c>
      <c r="G168" s="11">
        <f>Organización_Modular!I87</f>
        <v>0</v>
      </c>
      <c r="H168" s="12">
        <f>SUM(F168:G168)</f>
        <v>0</v>
      </c>
      <c r="I168" s="12">
        <f>F168*16</f>
        <v>0</v>
      </c>
      <c r="J168" s="12">
        <f>G168*32</f>
        <v>0</v>
      </c>
      <c r="K168" s="12">
        <f>SUM(I168:J168)</f>
        <v>0</v>
      </c>
      <c r="L168" s="335"/>
      <c r="M168" s="95" t="str">
        <f t="shared" si="2"/>
        <v xml:space="preserve">   </v>
      </c>
    </row>
    <row r="169" spans="1:13" hidden="1" x14ac:dyDescent="0.2">
      <c r="A169" s="343"/>
      <c r="B169" s="170" t="str">
        <f>Capacidades!M763</f>
        <v xml:space="preserve">   </v>
      </c>
      <c r="C169" s="171"/>
      <c r="D169" s="13"/>
      <c r="E169" s="13"/>
      <c r="F169" s="13"/>
      <c r="G169" s="13"/>
      <c r="H169" s="14"/>
      <c r="I169" s="14"/>
      <c r="J169" s="14"/>
      <c r="K169" s="14"/>
      <c r="L169" s="336"/>
      <c r="M169" s="95" t="str">
        <f t="shared" si="2"/>
        <v xml:space="preserve">   </v>
      </c>
    </row>
    <row r="170" spans="1:13" hidden="1" x14ac:dyDescent="0.2">
      <c r="A170" s="343"/>
      <c r="B170" s="170" t="str">
        <f>Capacidades!M764</f>
        <v xml:space="preserve">   </v>
      </c>
      <c r="C170" s="171"/>
      <c r="D170" s="13"/>
      <c r="E170" s="13"/>
      <c r="F170" s="13"/>
      <c r="G170" s="13"/>
      <c r="H170" s="14"/>
      <c r="I170" s="14"/>
      <c r="J170" s="14"/>
      <c r="K170" s="14"/>
      <c r="L170" s="336"/>
      <c r="M170" s="95" t="str">
        <f t="shared" si="2"/>
        <v xml:space="preserve">   </v>
      </c>
    </row>
    <row r="171" spans="1:13" hidden="1" x14ac:dyDescent="0.2">
      <c r="A171" s="343"/>
      <c r="B171" s="170" t="str">
        <f>Capacidades!M765</f>
        <v xml:space="preserve">   </v>
      </c>
      <c r="C171" s="171"/>
      <c r="D171" s="13"/>
      <c r="E171" s="13"/>
      <c r="F171" s="13"/>
      <c r="G171" s="13"/>
      <c r="H171" s="14"/>
      <c r="I171" s="14"/>
      <c r="J171" s="14"/>
      <c r="K171" s="14"/>
      <c r="L171" s="336"/>
      <c r="M171" s="95" t="str">
        <f t="shared" si="2"/>
        <v xml:space="preserve">   </v>
      </c>
    </row>
    <row r="172" spans="1:13" hidden="1" x14ac:dyDescent="0.2">
      <c r="A172" s="343"/>
      <c r="B172" s="170" t="str">
        <f>Capacidades!M766</f>
        <v xml:space="preserve">   </v>
      </c>
      <c r="C172" s="171"/>
      <c r="D172" s="13"/>
      <c r="E172" s="13"/>
      <c r="F172" s="14"/>
      <c r="G172" s="14"/>
      <c r="H172" s="14"/>
      <c r="I172" s="14"/>
      <c r="J172" s="14"/>
      <c r="K172" s="14"/>
      <c r="L172" s="336"/>
      <c r="M172" s="95" t="str">
        <f t="shared" si="2"/>
        <v xml:space="preserve">   </v>
      </c>
    </row>
    <row r="173" spans="1:13" hidden="1" x14ac:dyDescent="0.2">
      <c r="A173" s="343"/>
      <c r="B173" s="170" t="str">
        <f>Capacidades!M767</f>
        <v xml:space="preserve">   </v>
      </c>
      <c r="C173" s="171"/>
      <c r="D173" s="13"/>
      <c r="E173" s="13"/>
      <c r="F173" s="14"/>
      <c r="G173" s="14"/>
      <c r="H173" s="14"/>
      <c r="I173" s="14"/>
      <c r="J173" s="14"/>
      <c r="K173" s="14"/>
      <c r="L173" s="336"/>
      <c r="M173" s="95" t="str">
        <f t="shared" si="2"/>
        <v xml:space="preserve">   </v>
      </c>
    </row>
    <row r="174" spans="1:13" hidden="1" x14ac:dyDescent="0.2">
      <c r="A174" s="343"/>
      <c r="B174" s="170" t="str">
        <f>Capacidades!M768</f>
        <v xml:space="preserve">   </v>
      </c>
      <c r="C174" s="171"/>
      <c r="D174" s="13"/>
      <c r="E174" s="13"/>
      <c r="F174" s="14"/>
      <c r="G174" s="14"/>
      <c r="H174" s="14"/>
      <c r="I174" s="14"/>
      <c r="J174" s="14"/>
      <c r="K174" s="14"/>
      <c r="L174" s="336"/>
      <c r="M174" s="95" t="str">
        <f t="shared" si="2"/>
        <v xml:space="preserve">   </v>
      </c>
    </row>
    <row r="175" spans="1:13" hidden="1" x14ac:dyDescent="0.2">
      <c r="A175" s="343"/>
      <c r="B175" s="170" t="str">
        <f>Capacidades!M769</f>
        <v xml:space="preserve">   </v>
      </c>
      <c r="C175" s="171"/>
      <c r="D175" s="13"/>
      <c r="E175" s="13"/>
      <c r="F175" s="14"/>
      <c r="G175" s="14"/>
      <c r="H175" s="14"/>
      <c r="I175" s="14"/>
      <c r="J175" s="14"/>
      <c r="K175" s="14"/>
      <c r="L175" s="336"/>
      <c r="M175" s="95" t="str">
        <f t="shared" si="2"/>
        <v xml:space="preserve">   </v>
      </c>
    </row>
    <row r="176" spans="1:13" hidden="1" x14ac:dyDescent="0.2">
      <c r="A176" s="343"/>
      <c r="B176" s="170" t="str">
        <f>Capacidades!M770</f>
        <v xml:space="preserve">   </v>
      </c>
      <c r="C176" s="171"/>
      <c r="D176" s="13"/>
      <c r="E176" s="13"/>
      <c r="F176" s="13"/>
      <c r="G176" s="13"/>
      <c r="H176" s="14"/>
      <c r="I176" s="14"/>
      <c r="J176" s="14"/>
      <c r="K176" s="14"/>
      <c r="L176" s="336"/>
      <c r="M176" s="95" t="str">
        <f t="shared" si="2"/>
        <v xml:space="preserve">   </v>
      </c>
    </row>
    <row r="177" spans="1:13" hidden="1" x14ac:dyDescent="0.2">
      <c r="A177" s="344"/>
      <c r="B177" s="170" t="str">
        <f>Capacidades!M771</f>
        <v xml:space="preserve">   </v>
      </c>
      <c r="C177" s="171"/>
      <c r="D177" s="15"/>
      <c r="E177" s="15"/>
      <c r="F177" s="15"/>
      <c r="G177" s="15"/>
      <c r="H177" s="16"/>
      <c r="I177" s="16"/>
      <c r="J177" s="16"/>
      <c r="K177" s="16"/>
      <c r="L177" s="337"/>
      <c r="M177" s="95" t="str">
        <f t="shared" si="2"/>
        <v xml:space="preserve">   </v>
      </c>
    </row>
    <row r="178" spans="1:13" ht="3.75" hidden="1" customHeight="1" x14ac:dyDescent="0.2">
      <c r="A178" s="342" t="str">
        <f>Capacidades!L772</f>
        <v xml:space="preserve">       </v>
      </c>
      <c r="B178" s="170" t="str">
        <f>Capacidades!M772</f>
        <v xml:space="preserve">   </v>
      </c>
      <c r="C178" s="171"/>
      <c r="D178" s="11">
        <f>Organización_Modular!F88</f>
        <v>0</v>
      </c>
      <c r="E178" s="11">
        <f>Organización_Modular!G88</f>
        <v>0</v>
      </c>
      <c r="F178" s="11">
        <f>Organización_Modular!H88</f>
        <v>0</v>
      </c>
      <c r="G178" s="11">
        <f>Organización_Modular!I88</f>
        <v>0</v>
      </c>
      <c r="H178" s="12">
        <f>SUM(F178:G178)</f>
        <v>0</v>
      </c>
      <c r="I178" s="12">
        <f>F178*16</f>
        <v>0</v>
      </c>
      <c r="J178" s="12">
        <f>G178*32</f>
        <v>0</v>
      </c>
      <c r="K178" s="12">
        <f>SUM(I178:J178)</f>
        <v>0</v>
      </c>
      <c r="L178" s="335"/>
      <c r="M178" s="95" t="str">
        <f t="shared" si="2"/>
        <v xml:space="preserve">   </v>
      </c>
    </row>
    <row r="179" spans="1:13" hidden="1" x14ac:dyDescent="0.2">
      <c r="A179" s="343"/>
      <c r="B179" s="170" t="str">
        <f>Capacidades!M773</f>
        <v xml:space="preserve">   </v>
      </c>
      <c r="C179" s="171"/>
      <c r="D179" s="13"/>
      <c r="E179" s="13"/>
      <c r="F179" s="13"/>
      <c r="G179" s="13"/>
      <c r="H179" s="14"/>
      <c r="I179" s="14"/>
      <c r="J179" s="14"/>
      <c r="K179" s="14"/>
      <c r="L179" s="336"/>
      <c r="M179" s="95" t="str">
        <f t="shared" si="2"/>
        <v xml:space="preserve">   </v>
      </c>
    </row>
    <row r="180" spans="1:13" hidden="1" x14ac:dyDescent="0.2">
      <c r="A180" s="343"/>
      <c r="B180" s="170" t="str">
        <f>Capacidades!M774</f>
        <v xml:space="preserve">   </v>
      </c>
      <c r="C180" s="171"/>
      <c r="D180" s="13"/>
      <c r="E180" s="13"/>
      <c r="F180" s="13"/>
      <c r="G180" s="13"/>
      <c r="H180" s="14"/>
      <c r="I180" s="14"/>
      <c r="J180" s="14"/>
      <c r="K180" s="14"/>
      <c r="L180" s="336"/>
      <c r="M180" s="95" t="str">
        <f t="shared" si="2"/>
        <v xml:space="preserve">   </v>
      </c>
    </row>
    <row r="181" spans="1:13" hidden="1" x14ac:dyDescent="0.2">
      <c r="A181" s="343"/>
      <c r="B181" s="170" t="str">
        <f>Capacidades!M775</f>
        <v xml:space="preserve">   </v>
      </c>
      <c r="C181" s="171"/>
      <c r="D181" s="13"/>
      <c r="E181" s="13"/>
      <c r="F181" s="13"/>
      <c r="G181" s="13"/>
      <c r="H181" s="14"/>
      <c r="I181" s="14"/>
      <c r="J181" s="14"/>
      <c r="K181" s="14"/>
      <c r="L181" s="336"/>
      <c r="M181" s="95" t="str">
        <f t="shared" si="2"/>
        <v xml:space="preserve">   </v>
      </c>
    </row>
    <row r="182" spans="1:13" hidden="1" x14ac:dyDescent="0.2">
      <c r="A182" s="343"/>
      <c r="B182" s="170" t="str">
        <f>Capacidades!M776</f>
        <v xml:space="preserve">   </v>
      </c>
      <c r="C182" s="171"/>
      <c r="D182" s="13"/>
      <c r="E182" s="13"/>
      <c r="F182" s="14"/>
      <c r="G182" s="14"/>
      <c r="H182" s="14"/>
      <c r="I182" s="14"/>
      <c r="J182" s="14"/>
      <c r="K182" s="14"/>
      <c r="L182" s="336"/>
      <c r="M182" s="95" t="str">
        <f t="shared" si="2"/>
        <v xml:space="preserve">   </v>
      </c>
    </row>
    <row r="183" spans="1:13" hidden="1" x14ac:dyDescent="0.2">
      <c r="A183" s="343"/>
      <c r="B183" s="170" t="str">
        <f>Capacidades!M777</f>
        <v xml:space="preserve">   </v>
      </c>
      <c r="C183" s="171"/>
      <c r="D183" s="13"/>
      <c r="E183" s="13"/>
      <c r="F183" s="14"/>
      <c r="G183" s="14"/>
      <c r="H183" s="14"/>
      <c r="I183" s="14"/>
      <c r="J183" s="14"/>
      <c r="K183" s="14"/>
      <c r="L183" s="336"/>
      <c r="M183" s="95" t="str">
        <f t="shared" si="2"/>
        <v xml:space="preserve">   </v>
      </c>
    </row>
    <row r="184" spans="1:13" hidden="1" x14ac:dyDescent="0.2">
      <c r="A184" s="343"/>
      <c r="B184" s="170" t="str">
        <f>Capacidades!M778</f>
        <v xml:space="preserve">   </v>
      </c>
      <c r="C184" s="171"/>
      <c r="D184" s="13"/>
      <c r="E184" s="13"/>
      <c r="F184" s="14"/>
      <c r="G184" s="14"/>
      <c r="H184" s="14"/>
      <c r="I184" s="14"/>
      <c r="J184" s="14"/>
      <c r="K184" s="14"/>
      <c r="L184" s="336"/>
      <c r="M184" s="95" t="str">
        <f t="shared" si="2"/>
        <v xml:space="preserve">   </v>
      </c>
    </row>
    <row r="185" spans="1:13" hidden="1" x14ac:dyDescent="0.2">
      <c r="A185" s="343"/>
      <c r="B185" s="170" t="str">
        <f>Capacidades!M779</f>
        <v xml:space="preserve">   </v>
      </c>
      <c r="C185" s="171"/>
      <c r="D185" s="13"/>
      <c r="E185" s="13"/>
      <c r="F185" s="14"/>
      <c r="G185" s="14"/>
      <c r="H185" s="14"/>
      <c r="I185" s="14"/>
      <c r="J185" s="14"/>
      <c r="K185" s="14"/>
      <c r="L185" s="336"/>
      <c r="M185" s="95" t="str">
        <f t="shared" si="2"/>
        <v xml:space="preserve">   </v>
      </c>
    </row>
    <row r="186" spans="1:13" hidden="1" x14ac:dyDescent="0.2">
      <c r="A186" s="343"/>
      <c r="B186" s="170" t="str">
        <f>Capacidades!M780</f>
        <v xml:space="preserve">   </v>
      </c>
      <c r="C186" s="171"/>
      <c r="D186" s="13"/>
      <c r="E186" s="13"/>
      <c r="F186" s="13"/>
      <c r="G186" s="13"/>
      <c r="H186" s="14"/>
      <c r="I186" s="14"/>
      <c r="J186" s="14"/>
      <c r="K186" s="14"/>
      <c r="L186" s="336"/>
      <c r="M186" s="95" t="str">
        <f t="shared" si="2"/>
        <v xml:space="preserve">   </v>
      </c>
    </row>
    <row r="187" spans="1:13" hidden="1" x14ac:dyDescent="0.2">
      <c r="A187" s="344"/>
      <c r="B187" s="170" t="str">
        <f>Capacidades!M781</f>
        <v xml:space="preserve">   </v>
      </c>
      <c r="C187" s="171"/>
      <c r="D187" s="15"/>
      <c r="E187" s="15"/>
      <c r="F187" s="15"/>
      <c r="G187" s="15"/>
      <c r="H187" s="16"/>
      <c r="I187" s="16"/>
      <c r="J187" s="16"/>
      <c r="K187" s="16"/>
      <c r="L187" s="337"/>
      <c r="M187" s="95" t="str">
        <f t="shared" si="2"/>
        <v xml:space="preserve">   </v>
      </c>
    </row>
    <row r="188" spans="1:13" hidden="1" x14ac:dyDescent="0.2">
      <c r="A188" s="342" t="str">
        <f>Capacidades!L782</f>
        <v xml:space="preserve">       </v>
      </c>
      <c r="B188" s="170" t="str">
        <f>Capacidades!M782</f>
        <v xml:space="preserve">   </v>
      </c>
      <c r="C188" s="171"/>
      <c r="D188" s="11">
        <f>Organización_Modular!F89</f>
        <v>0</v>
      </c>
      <c r="E188" s="11">
        <f>Organización_Modular!G89</f>
        <v>0</v>
      </c>
      <c r="F188" s="11">
        <f>Organización_Modular!H89</f>
        <v>0</v>
      </c>
      <c r="G188" s="11">
        <f>Organización_Modular!I89</f>
        <v>0</v>
      </c>
      <c r="H188" s="12">
        <f>SUM(F188:G188)</f>
        <v>0</v>
      </c>
      <c r="I188" s="12">
        <f>F188*16</f>
        <v>0</v>
      </c>
      <c r="J188" s="12">
        <f>G188*32</f>
        <v>0</v>
      </c>
      <c r="K188" s="12">
        <f>SUM(I188:J188)</f>
        <v>0</v>
      </c>
      <c r="L188" s="335"/>
      <c r="M188" s="95" t="str">
        <f t="shared" si="2"/>
        <v xml:space="preserve">   </v>
      </c>
    </row>
    <row r="189" spans="1:13" hidden="1" x14ac:dyDescent="0.2">
      <c r="A189" s="343"/>
      <c r="B189" s="170" t="str">
        <f>Capacidades!M783</f>
        <v xml:space="preserve">   </v>
      </c>
      <c r="C189" s="171"/>
      <c r="D189" s="13"/>
      <c r="E189" s="13"/>
      <c r="F189" s="13"/>
      <c r="G189" s="13"/>
      <c r="H189" s="14"/>
      <c r="I189" s="14"/>
      <c r="J189" s="14"/>
      <c r="K189" s="14"/>
      <c r="L189" s="336"/>
      <c r="M189" s="95" t="str">
        <f t="shared" si="2"/>
        <v xml:space="preserve">   </v>
      </c>
    </row>
    <row r="190" spans="1:13" hidden="1" x14ac:dyDescent="0.2">
      <c r="A190" s="343"/>
      <c r="B190" s="170" t="str">
        <f>Capacidades!M784</f>
        <v xml:space="preserve">   </v>
      </c>
      <c r="C190" s="171"/>
      <c r="D190" s="13"/>
      <c r="E190" s="13"/>
      <c r="F190" s="13"/>
      <c r="G190" s="13"/>
      <c r="H190" s="14"/>
      <c r="I190" s="14"/>
      <c r="J190" s="14"/>
      <c r="K190" s="14"/>
      <c r="L190" s="336"/>
      <c r="M190" s="95" t="str">
        <f t="shared" si="2"/>
        <v xml:space="preserve">   </v>
      </c>
    </row>
    <row r="191" spans="1:13" hidden="1" x14ac:dyDescent="0.2">
      <c r="A191" s="343"/>
      <c r="B191" s="170" t="str">
        <f>Capacidades!M785</f>
        <v xml:space="preserve">   </v>
      </c>
      <c r="C191" s="171"/>
      <c r="D191" s="13"/>
      <c r="E191" s="13"/>
      <c r="F191" s="13"/>
      <c r="G191" s="13"/>
      <c r="H191" s="14"/>
      <c r="I191" s="14"/>
      <c r="J191" s="14"/>
      <c r="K191" s="14"/>
      <c r="L191" s="336"/>
      <c r="M191" s="95" t="str">
        <f t="shared" si="2"/>
        <v xml:space="preserve">   </v>
      </c>
    </row>
    <row r="192" spans="1:13" hidden="1" x14ac:dyDescent="0.2">
      <c r="A192" s="343"/>
      <c r="B192" s="170" t="str">
        <f>Capacidades!M786</f>
        <v xml:space="preserve">   </v>
      </c>
      <c r="C192" s="171"/>
      <c r="D192" s="13"/>
      <c r="E192" s="13"/>
      <c r="F192" s="14"/>
      <c r="G192" s="14"/>
      <c r="H192" s="14"/>
      <c r="I192" s="14"/>
      <c r="J192" s="14"/>
      <c r="K192" s="14"/>
      <c r="L192" s="336"/>
      <c r="M192" s="95" t="str">
        <f t="shared" si="2"/>
        <v xml:space="preserve">   </v>
      </c>
    </row>
    <row r="193" spans="1:13" hidden="1" x14ac:dyDescent="0.2">
      <c r="A193" s="343"/>
      <c r="B193" s="170" t="str">
        <f>Capacidades!M787</f>
        <v xml:space="preserve">   </v>
      </c>
      <c r="C193" s="171"/>
      <c r="D193" s="13"/>
      <c r="E193" s="13"/>
      <c r="F193" s="14"/>
      <c r="G193" s="14"/>
      <c r="H193" s="14"/>
      <c r="I193" s="14"/>
      <c r="J193" s="14"/>
      <c r="K193" s="14"/>
      <c r="L193" s="336"/>
      <c r="M193" s="95" t="str">
        <f t="shared" si="2"/>
        <v xml:space="preserve">   </v>
      </c>
    </row>
    <row r="194" spans="1:13" hidden="1" x14ac:dyDescent="0.2">
      <c r="A194" s="343"/>
      <c r="B194" s="170" t="str">
        <f>Capacidades!M788</f>
        <v xml:space="preserve">   </v>
      </c>
      <c r="C194" s="171"/>
      <c r="D194" s="13"/>
      <c r="E194" s="13"/>
      <c r="F194" s="14"/>
      <c r="G194" s="14"/>
      <c r="H194" s="14"/>
      <c r="I194" s="14"/>
      <c r="J194" s="14"/>
      <c r="K194" s="14"/>
      <c r="L194" s="336"/>
      <c r="M194" s="95" t="str">
        <f t="shared" si="2"/>
        <v xml:space="preserve">   </v>
      </c>
    </row>
    <row r="195" spans="1:13" hidden="1" x14ac:dyDescent="0.2">
      <c r="A195" s="343"/>
      <c r="B195" s="170" t="str">
        <f>Capacidades!M789</f>
        <v xml:space="preserve">   </v>
      </c>
      <c r="C195" s="171"/>
      <c r="D195" s="13"/>
      <c r="E195" s="13"/>
      <c r="F195" s="14"/>
      <c r="G195" s="14"/>
      <c r="H195" s="14"/>
      <c r="I195" s="14"/>
      <c r="J195" s="14"/>
      <c r="K195" s="14"/>
      <c r="L195" s="336"/>
      <c r="M195" s="95" t="str">
        <f t="shared" si="2"/>
        <v xml:space="preserve">   </v>
      </c>
    </row>
    <row r="196" spans="1:13" hidden="1" x14ac:dyDescent="0.2">
      <c r="A196" s="343"/>
      <c r="B196" s="170" t="str">
        <f>Capacidades!M790</f>
        <v xml:space="preserve">   </v>
      </c>
      <c r="C196" s="171"/>
      <c r="D196" s="13"/>
      <c r="E196" s="13"/>
      <c r="F196" s="13"/>
      <c r="G196" s="13"/>
      <c r="H196" s="14"/>
      <c r="I196" s="14"/>
      <c r="J196" s="14"/>
      <c r="K196" s="14"/>
      <c r="L196" s="336"/>
      <c r="M196" s="95" t="str">
        <f t="shared" si="2"/>
        <v xml:space="preserve">   </v>
      </c>
    </row>
    <row r="197" spans="1:13" hidden="1" x14ac:dyDescent="0.2">
      <c r="A197" s="344"/>
      <c r="B197" s="170" t="str">
        <f>Capacidades!M791</f>
        <v xml:space="preserve">   </v>
      </c>
      <c r="C197" s="171"/>
      <c r="D197" s="15"/>
      <c r="E197" s="15"/>
      <c r="F197" s="15"/>
      <c r="G197" s="15"/>
      <c r="H197" s="16"/>
      <c r="I197" s="16"/>
      <c r="J197" s="16"/>
      <c r="K197" s="16"/>
      <c r="L197" s="337"/>
      <c r="M197" s="95" t="str">
        <f t="shared" si="2"/>
        <v xml:space="preserve">   </v>
      </c>
    </row>
    <row r="198" spans="1:13" hidden="1" x14ac:dyDescent="0.2">
      <c r="A198" s="342" t="str">
        <f>Capacidades!L792</f>
        <v xml:space="preserve">       </v>
      </c>
      <c r="B198" s="170" t="str">
        <f>Capacidades!M792</f>
        <v xml:space="preserve">   </v>
      </c>
      <c r="C198" s="171"/>
      <c r="D198" s="11">
        <f>Organización_Modular!F90</f>
        <v>0</v>
      </c>
      <c r="E198" s="11">
        <f>Organización_Modular!G90</f>
        <v>0</v>
      </c>
      <c r="F198" s="11">
        <f>Organización_Modular!H90</f>
        <v>0</v>
      </c>
      <c r="G198" s="11">
        <f>Organización_Modular!I90</f>
        <v>0</v>
      </c>
      <c r="H198" s="12">
        <f>SUM(F198:G198)</f>
        <v>0</v>
      </c>
      <c r="I198" s="12">
        <f>F198*16</f>
        <v>0</v>
      </c>
      <c r="J198" s="12">
        <f>G198*32</f>
        <v>0</v>
      </c>
      <c r="K198" s="12">
        <f>SUM(I198:J198)</f>
        <v>0</v>
      </c>
      <c r="L198" s="335"/>
      <c r="M198" s="95" t="str">
        <f t="shared" si="2"/>
        <v xml:space="preserve">   </v>
      </c>
    </row>
    <row r="199" spans="1:13" hidden="1" x14ac:dyDescent="0.2">
      <c r="A199" s="343"/>
      <c r="B199" s="170" t="str">
        <f>Capacidades!M793</f>
        <v xml:space="preserve">   </v>
      </c>
      <c r="C199" s="171"/>
      <c r="D199" s="13"/>
      <c r="E199" s="13"/>
      <c r="F199" s="13"/>
      <c r="G199" s="13"/>
      <c r="H199" s="14"/>
      <c r="I199" s="14"/>
      <c r="J199" s="14"/>
      <c r="K199" s="14"/>
      <c r="L199" s="336"/>
      <c r="M199" s="95" t="str">
        <f t="shared" si="2"/>
        <v xml:space="preserve">   </v>
      </c>
    </row>
    <row r="200" spans="1:13" hidden="1" x14ac:dyDescent="0.2">
      <c r="A200" s="343"/>
      <c r="B200" s="170" t="str">
        <f>Capacidades!M794</f>
        <v xml:space="preserve">   </v>
      </c>
      <c r="C200" s="171"/>
      <c r="D200" s="13"/>
      <c r="E200" s="13"/>
      <c r="F200" s="13"/>
      <c r="G200" s="13"/>
      <c r="H200" s="14"/>
      <c r="I200" s="14"/>
      <c r="J200" s="14"/>
      <c r="K200" s="14"/>
      <c r="L200" s="336"/>
      <c r="M200" s="95" t="str">
        <f t="shared" si="2"/>
        <v xml:space="preserve">   </v>
      </c>
    </row>
    <row r="201" spans="1:13" hidden="1" x14ac:dyDescent="0.2">
      <c r="A201" s="343"/>
      <c r="B201" s="170" t="str">
        <f>Capacidades!M795</f>
        <v xml:space="preserve">   </v>
      </c>
      <c r="C201" s="171"/>
      <c r="D201" s="13"/>
      <c r="E201" s="13"/>
      <c r="F201" s="13"/>
      <c r="G201" s="13"/>
      <c r="H201" s="14"/>
      <c r="I201" s="14"/>
      <c r="J201" s="14"/>
      <c r="K201" s="14"/>
      <c r="L201" s="336"/>
      <c r="M201" s="95" t="str">
        <f t="shared" si="2"/>
        <v xml:space="preserve">   </v>
      </c>
    </row>
    <row r="202" spans="1:13" hidden="1" x14ac:dyDescent="0.2">
      <c r="A202" s="343"/>
      <c r="B202" s="170" t="str">
        <f>Capacidades!M796</f>
        <v xml:space="preserve">   </v>
      </c>
      <c r="C202" s="171"/>
      <c r="D202" s="13"/>
      <c r="E202" s="13"/>
      <c r="F202" s="14"/>
      <c r="G202" s="14"/>
      <c r="H202" s="14"/>
      <c r="I202" s="14"/>
      <c r="J202" s="14"/>
      <c r="K202" s="14"/>
      <c r="L202" s="336"/>
      <c r="M202" s="95" t="str">
        <f t="shared" si="2"/>
        <v xml:space="preserve">   </v>
      </c>
    </row>
    <row r="203" spans="1:13" hidden="1" x14ac:dyDescent="0.2">
      <c r="A203" s="343"/>
      <c r="B203" s="170" t="str">
        <f>Capacidades!M797</f>
        <v xml:space="preserve">   </v>
      </c>
      <c r="C203" s="171"/>
      <c r="D203" s="13"/>
      <c r="E203" s="13"/>
      <c r="F203" s="14"/>
      <c r="G203" s="14"/>
      <c r="H203" s="14"/>
      <c r="I203" s="14"/>
      <c r="J203" s="14"/>
      <c r="K203" s="14"/>
      <c r="L203" s="336"/>
      <c r="M203" s="95" t="str">
        <f t="shared" si="2"/>
        <v xml:space="preserve">   </v>
      </c>
    </row>
    <row r="204" spans="1:13" hidden="1" x14ac:dyDescent="0.2">
      <c r="A204" s="343"/>
      <c r="B204" s="170" t="str">
        <f>Capacidades!M798</f>
        <v xml:space="preserve">   </v>
      </c>
      <c r="C204" s="171"/>
      <c r="D204" s="13"/>
      <c r="E204" s="13"/>
      <c r="F204" s="14"/>
      <c r="G204" s="14"/>
      <c r="H204" s="14"/>
      <c r="I204" s="14"/>
      <c r="J204" s="14"/>
      <c r="K204" s="14"/>
      <c r="L204" s="336"/>
      <c r="M204" s="95" t="str">
        <f t="shared" si="2"/>
        <v xml:space="preserve">   </v>
      </c>
    </row>
    <row r="205" spans="1:13" hidden="1" x14ac:dyDescent="0.2">
      <c r="A205" s="343"/>
      <c r="B205" s="170" t="str">
        <f>Capacidades!M799</f>
        <v xml:space="preserve">   </v>
      </c>
      <c r="C205" s="171"/>
      <c r="D205" s="13"/>
      <c r="E205" s="13"/>
      <c r="F205" s="14"/>
      <c r="G205" s="14"/>
      <c r="H205" s="14"/>
      <c r="I205" s="14"/>
      <c r="J205" s="14"/>
      <c r="K205" s="14"/>
      <c r="L205" s="336"/>
      <c r="M205" s="95" t="str">
        <f t="shared" si="2"/>
        <v xml:space="preserve">   </v>
      </c>
    </row>
    <row r="206" spans="1:13" hidden="1" x14ac:dyDescent="0.2">
      <c r="A206" s="343"/>
      <c r="B206" s="170" t="str">
        <f>Capacidades!M800</f>
        <v xml:space="preserve">   </v>
      </c>
      <c r="C206" s="171"/>
      <c r="D206" s="13"/>
      <c r="E206" s="13"/>
      <c r="F206" s="13"/>
      <c r="G206" s="13"/>
      <c r="H206" s="14"/>
      <c r="I206" s="14"/>
      <c r="J206" s="14"/>
      <c r="K206" s="14"/>
      <c r="L206" s="336"/>
      <c r="M206" s="95" t="str">
        <f t="shared" si="2"/>
        <v xml:space="preserve">   </v>
      </c>
    </row>
    <row r="207" spans="1:13" hidden="1" x14ac:dyDescent="0.2">
      <c r="A207" s="344"/>
      <c r="B207" s="170" t="str">
        <f>Capacidades!M801</f>
        <v xml:space="preserve">   </v>
      </c>
      <c r="C207" s="171"/>
      <c r="D207" s="15"/>
      <c r="E207" s="15"/>
      <c r="F207" s="15"/>
      <c r="G207" s="15"/>
      <c r="H207" s="16"/>
      <c r="I207" s="16"/>
      <c r="J207" s="16"/>
      <c r="K207" s="16"/>
      <c r="L207" s="337"/>
      <c r="M207" s="95" t="str">
        <f t="shared" si="2"/>
        <v xml:space="preserve">   </v>
      </c>
    </row>
    <row r="208" spans="1:13" hidden="1" x14ac:dyDescent="0.2">
      <c r="A208" s="342" t="str">
        <f>Capacidades!L802</f>
        <v xml:space="preserve">       </v>
      </c>
      <c r="B208" s="170" t="str">
        <f>Capacidades!M802</f>
        <v xml:space="preserve">   </v>
      </c>
      <c r="C208" s="171"/>
      <c r="D208" s="11">
        <f>Organización_Modular!F91</f>
        <v>0</v>
      </c>
      <c r="E208" s="11">
        <f>Organización_Modular!G91</f>
        <v>0</v>
      </c>
      <c r="F208" s="11">
        <f>Organización_Modular!H91</f>
        <v>0</v>
      </c>
      <c r="G208" s="11">
        <f>Organización_Modular!I91</f>
        <v>0</v>
      </c>
      <c r="H208" s="12">
        <f>SUM(F208:G208)</f>
        <v>0</v>
      </c>
      <c r="I208" s="12">
        <f>F208*16</f>
        <v>0</v>
      </c>
      <c r="J208" s="12">
        <f>G208*32</f>
        <v>0</v>
      </c>
      <c r="K208" s="12">
        <f>SUM(I208:J208)</f>
        <v>0</v>
      </c>
      <c r="L208" s="335"/>
      <c r="M208" s="95" t="str">
        <f t="shared" si="2"/>
        <v xml:space="preserve">   </v>
      </c>
    </row>
    <row r="209" spans="1:13" hidden="1" x14ac:dyDescent="0.2">
      <c r="A209" s="343"/>
      <c r="B209" s="170" t="str">
        <f>Capacidades!M803</f>
        <v xml:space="preserve">   </v>
      </c>
      <c r="C209" s="171"/>
      <c r="D209" s="13"/>
      <c r="E209" s="13"/>
      <c r="F209" s="14"/>
      <c r="G209" s="14"/>
      <c r="H209" s="14"/>
      <c r="I209" s="14"/>
      <c r="J209" s="14"/>
      <c r="K209" s="14"/>
      <c r="L209" s="336"/>
      <c r="M209" s="95" t="str">
        <f t="shared" si="2"/>
        <v xml:space="preserve">   </v>
      </c>
    </row>
    <row r="210" spans="1:13" hidden="1" x14ac:dyDescent="0.2">
      <c r="A210" s="343"/>
      <c r="B210" s="170" t="str">
        <f>Capacidades!M804</f>
        <v xml:space="preserve">   </v>
      </c>
      <c r="C210" s="171"/>
      <c r="D210" s="13"/>
      <c r="E210" s="13"/>
      <c r="F210" s="14"/>
      <c r="G210" s="14"/>
      <c r="H210" s="14"/>
      <c r="I210" s="14"/>
      <c r="J210" s="14"/>
      <c r="K210" s="14"/>
      <c r="L210" s="336"/>
      <c r="M210" s="95" t="str">
        <f t="shared" si="2"/>
        <v xml:space="preserve">   </v>
      </c>
    </row>
    <row r="211" spans="1:13" hidden="1" x14ac:dyDescent="0.2">
      <c r="A211" s="343"/>
      <c r="B211" s="170" t="str">
        <f>Capacidades!M805</f>
        <v xml:space="preserve">   </v>
      </c>
      <c r="C211" s="171"/>
      <c r="D211" s="13"/>
      <c r="E211" s="13"/>
      <c r="F211" s="14"/>
      <c r="G211" s="14"/>
      <c r="H211" s="14"/>
      <c r="I211" s="14"/>
      <c r="J211" s="14"/>
      <c r="K211" s="14"/>
      <c r="L211" s="336"/>
      <c r="M211" s="95" t="str">
        <f t="shared" ref="M211:M217" si="3">B211</f>
        <v xml:space="preserve">   </v>
      </c>
    </row>
    <row r="212" spans="1:13" hidden="1" x14ac:dyDescent="0.2">
      <c r="A212" s="343"/>
      <c r="B212" s="170" t="str">
        <f>Capacidades!M806</f>
        <v xml:space="preserve">   </v>
      </c>
      <c r="C212" s="171"/>
      <c r="D212" s="13"/>
      <c r="E212" s="13"/>
      <c r="F212" s="14"/>
      <c r="G212" s="14"/>
      <c r="H212" s="14"/>
      <c r="I212" s="14"/>
      <c r="J212" s="14"/>
      <c r="K212" s="14"/>
      <c r="L212" s="336"/>
      <c r="M212" s="95" t="str">
        <f t="shared" si="3"/>
        <v xml:space="preserve">   </v>
      </c>
    </row>
    <row r="213" spans="1:13" hidden="1" x14ac:dyDescent="0.2">
      <c r="A213" s="343"/>
      <c r="B213" s="170" t="str">
        <f>Capacidades!M807</f>
        <v xml:space="preserve">   </v>
      </c>
      <c r="C213" s="171"/>
      <c r="D213" s="13"/>
      <c r="E213" s="13"/>
      <c r="F213" s="14"/>
      <c r="G213" s="14"/>
      <c r="H213" s="14"/>
      <c r="I213" s="14"/>
      <c r="J213" s="14"/>
      <c r="K213" s="14"/>
      <c r="L213" s="336"/>
      <c r="M213" s="95" t="str">
        <f t="shared" si="3"/>
        <v xml:space="preserve">   </v>
      </c>
    </row>
    <row r="214" spans="1:13" hidden="1" x14ac:dyDescent="0.2">
      <c r="A214" s="343"/>
      <c r="B214" s="170" t="str">
        <f>Capacidades!M808</f>
        <v xml:space="preserve">   </v>
      </c>
      <c r="C214" s="171"/>
      <c r="D214" s="13"/>
      <c r="E214" s="13"/>
      <c r="F214" s="14"/>
      <c r="G214" s="14"/>
      <c r="H214" s="14"/>
      <c r="I214" s="14"/>
      <c r="J214" s="14"/>
      <c r="K214" s="14"/>
      <c r="L214" s="336"/>
      <c r="M214" s="95" t="str">
        <f t="shared" si="3"/>
        <v xml:space="preserve">   </v>
      </c>
    </row>
    <row r="215" spans="1:13" hidden="1" x14ac:dyDescent="0.2">
      <c r="A215" s="343"/>
      <c r="B215" s="170" t="str">
        <f>Capacidades!M809</f>
        <v xml:space="preserve">   </v>
      </c>
      <c r="C215" s="171"/>
      <c r="D215" s="13"/>
      <c r="E215" s="13"/>
      <c r="F215" s="14"/>
      <c r="G215" s="14"/>
      <c r="H215" s="14"/>
      <c r="I215" s="14"/>
      <c r="J215" s="14"/>
      <c r="K215" s="14"/>
      <c r="L215" s="336"/>
      <c r="M215" s="95" t="str">
        <f t="shared" si="3"/>
        <v xml:space="preserve">   </v>
      </c>
    </row>
    <row r="216" spans="1:13" hidden="1" x14ac:dyDescent="0.2">
      <c r="A216" s="343"/>
      <c r="B216" s="170" t="str">
        <f>Capacidades!M810</f>
        <v xml:space="preserve">   </v>
      </c>
      <c r="C216" s="171"/>
      <c r="D216" s="13"/>
      <c r="E216" s="13"/>
      <c r="F216" s="14"/>
      <c r="G216" s="14"/>
      <c r="H216" s="14"/>
      <c r="I216" s="14"/>
      <c r="J216" s="14"/>
      <c r="K216" s="14"/>
      <c r="L216" s="336"/>
      <c r="M216" s="95" t="str">
        <f t="shared" si="3"/>
        <v xml:space="preserve">   </v>
      </c>
    </row>
    <row r="217" spans="1:13" hidden="1" x14ac:dyDescent="0.2">
      <c r="A217" s="344"/>
      <c r="B217" s="170" t="str">
        <f>Capacidades!M811</f>
        <v xml:space="preserve">   </v>
      </c>
      <c r="C217" s="171"/>
      <c r="D217" s="15"/>
      <c r="E217" s="15"/>
      <c r="F217" s="16"/>
      <c r="G217" s="16"/>
      <c r="H217" s="16"/>
      <c r="I217" s="16"/>
      <c r="J217" s="16"/>
      <c r="K217" s="16"/>
      <c r="L217" s="337"/>
      <c r="M217" s="95" t="str">
        <f t="shared" si="3"/>
        <v xml:space="preserve">   </v>
      </c>
    </row>
    <row r="218" spans="1:13" ht="23.25" customHeight="1" x14ac:dyDescent="0.2">
      <c r="A218" s="354" t="s">
        <v>105</v>
      </c>
      <c r="B218" s="354"/>
      <c r="C218" s="354"/>
      <c r="D218" s="354"/>
      <c r="E218" s="354"/>
      <c r="F218" s="354"/>
      <c r="G218" s="354"/>
      <c r="H218" s="354"/>
      <c r="I218" s="354"/>
      <c r="J218" s="354"/>
      <c r="K218" s="354"/>
      <c r="L218" s="354"/>
      <c r="M218" s="95" t="str">
        <f>A218</f>
        <v>COMPETENCIAS PARA LA EMPLEABILIDAD INCORPORADAS MEDIANTE UNIDAD DIDÁCTICA</v>
      </c>
    </row>
    <row r="219" spans="1:13" ht="30.75" customHeight="1" x14ac:dyDescent="0.2">
      <c r="A219" s="355" t="str">
        <f>Organización_Modular!C92</f>
        <v>CE2 Tecnologías de la información.- Manejar herramientas informáticas  de las TIC para buscar y analizar información, comunicarse y realizar procedimientos o tareas vinculadas al área profesional, de acuerdo a los requerimientos de su entorno laboral.(UD)</v>
      </c>
      <c r="B219" s="355"/>
      <c r="C219" s="355"/>
      <c r="D219" s="355"/>
      <c r="E219" s="355"/>
      <c r="F219" s="355"/>
      <c r="G219" s="355"/>
      <c r="H219" s="355"/>
      <c r="I219" s="355"/>
      <c r="J219" s="355"/>
      <c r="K219" s="355"/>
      <c r="L219" s="355"/>
      <c r="M219" s="95" t="str">
        <f>A219</f>
        <v>CE2 Tecnologías de la información.- Manejar herramientas informáticas  de las TIC para buscar y analizar información, comunicarse y realizar procedimientos o tareas vinculadas al área profesional, de acuerdo a los requerimientos de su entorno laboral.(UD)</v>
      </c>
    </row>
    <row r="220" spans="1:13" ht="12.75" customHeight="1" x14ac:dyDescent="0.2">
      <c r="A220" s="359" t="s">
        <v>99</v>
      </c>
      <c r="B220" s="360" t="s">
        <v>98</v>
      </c>
      <c r="C220" s="359" t="s">
        <v>97</v>
      </c>
      <c r="D220" s="359" t="s">
        <v>0</v>
      </c>
      <c r="E220" s="349" t="s">
        <v>61</v>
      </c>
      <c r="F220" s="359" t="s">
        <v>90</v>
      </c>
      <c r="G220" s="359"/>
      <c r="H220" s="359" t="s">
        <v>90</v>
      </c>
      <c r="I220" s="359" t="s">
        <v>96</v>
      </c>
      <c r="J220" s="359"/>
      <c r="K220" s="359" t="s">
        <v>96</v>
      </c>
      <c r="L220" s="359" t="s">
        <v>95</v>
      </c>
      <c r="M220" s="95" t="str">
        <f t="shared" ref="M220" si="4">A220</f>
        <v>CAPACIDADES DE EMPLEABILIDAD</v>
      </c>
    </row>
    <row r="221" spans="1:13" x14ac:dyDescent="0.2">
      <c r="A221" s="359"/>
      <c r="B221" s="360"/>
      <c r="C221" s="359"/>
      <c r="D221" s="359"/>
      <c r="E221" s="349"/>
      <c r="F221" s="160" t="s">
        <v>94</v>
      </c>
      <c r="G221" s="160" t="s">
        <v>93</v>
      </c>
      <c r="H221" s="359"/>
      <c r="I221" s="160" t="s">
        <v>94</v>
      </c>
      <c r="J221" s="160" t="s">
        <v>93</v>
      </c>
      <c r="K221" s="359"/>
      <c r="L221" s="359"/>
      <c r="M221" s="95" t="str">
        <f>A220</f>
        <v>CAPACIDADES DE EMPLEABILIDAD</v>
      </c>
    </row>
    <row r="222" spans="1:13" ht="54" customHeight="1" x14ac:dyDescent="0.2">
      <c r="A222" s="342" t="str">
        <f>Capacidades!L812</f>
        <v xml:space="preserve">CE2 C1 Utilizar aplicaciones y herramientas informáticas de las TIC de manera responsable y técnica.    </v>
      </c>
      <c r="B222" s="172" t="str">
        <f>Capacidades!M812</f>
        <v>C1 I1 Emplea  aplicaciones de internet para publicar información,  respetando la propiedad intelectual.</v>
      </c>
      <c r="C222" s="173" t="s">
        <v>362</v>
      </c>
      <c r="D222" s="13" t="str">
        <f>Organización_Modular!F92</f>
        <v>Herramientas virtuales
(Aplicaciones Web)</v>
      </c>
      <c r="E222" s="13" t="str">
        <f>Organización_Modular!G92</f>
        <v>III</v>
      </c>
      <c r="F222" s="13">
        <f>Organización_Modular!H92</f>
        <v>1</v>
      </c>
      <c r="G222" s="13">
        <f>Organización_Modular!I92</f>
        <v>1</v>
      </c>
      <c r="H222" s="14">
        <f>SUM(F222:G222)</f>
        <v>2</v>
      </c>
      <c r="I222" s="14">
        <f>F222*16</f>
        <v>16</v>
      </c>
      <c r="J222" s="14">
        <f>G222*32</f>
        <v>32</v>
      </c>
      <c r="K222" s="14">
        <f>SUM(I222:J222)</f>
        <v>48</v>
      </c>
      <c r="L222" s="338" t="s">
        <v>631</v>
      </c>
      <c r="M222" s="95" t="str">
        <f>B222</f>
        <v>C1 I1 Emplea  aplicaciones de internet para publicar información,  respetando la propiedad intelectual.</v>
      </c>
    </row>
    <row r="223" spans="1:13" ht="69" customHeight="1" x14ac:dyDescent="0.2">
      <c r="A223" s="343"/>
      <c r="B223" s="172" t="str">
        <f>Capacidades!M813</f>
        <v>C1 I2 Maneja  herramientas WEB que permita a los usuarios interactuar y colaborar  en la creación de contenidos facilitando el trabajo colaborativo.</v>
      </c>
      <c r="C223" s="171" t="s">
        <v>363</v>
      </c>
      <c r="D223" s="13"/>
      <c r="E223" s="13"/>
      <c r="F223" s="13"/>
      <c r="G223" s="13"/>
      <c r="H223" s="14"/>
      <c r="I223" s="14"/>
      <c r="J223" s="14"/>
      <c r="K223" s="14"/>
      <c r="L223" s="339"/>
      <c r="M223" s="95" t="str">
        <f t="shared" ref="M223:M286" si="5">B223</f>
        <v>C1 I2 Maneja  herramientas WEB que permita a los usuarios interactuar y colaborar  en la creación de contenidos facilitando el trabajo colaborativo.</v>
      </c>
    </row>
    <row r="224" spans="1:13" ht="5.25" hidden="1" customHeight="1" x14ac:dyDescent="0.2">
      <c r="A224" s="343"/>
      <c r="B224" s="172" t="str">
        <f>Capacidades!M814</f>
        <v xml:space="preserve">   </v>
      </c>
      <c r="C224" s="171"/>
      <c r="D224" s="13"/>
      <c r="E224" s="13"/>
      <c r="F224" s="13"/>
      <c r="G224" s="13"/>
      <c r="H224" s="14"/>
      <c r="I224" s="14"/>
      <c r="J224" s="14"/>
      <c r="K224" s="14"/>
      <c r="L224" s="339"/>
      <c r="M224" s="95" t="str">
        <f t="shared" si="5"/>
        <v xml:space="preserve">   </v>
      </c>
    </row>
    <row r="225" spans="1:13" ht="12.75" hidden="1" customHeight="1" x14ac:dyDescent="0.2">
      <c r="A225" s="343"/>
      <c r="B225" s="172" t="str">
        <f>Capacidades!M815</f>
        <v xml:space="preserve">   </v>
      </c>
      <c r="C225" s="171"/>
      <c r="D225" s="13"/>
      <c r="E225" s="13"/>
      <c r="F225" s="13"/>
      <c r="G225" s="13"/>
      <c r="H225" s="14"/>
      <c r="I225" s="14"/>
      <c r="J225" s="14"/>
      <c r="K225" s="14"/>
      <c r="L225" s="339"/>
      <c r="M225" s="95" t="str">
        <f t="shared" si="5"/>
        <v xml:space="preserve">   </v>
      </c>
    </row>
    <row r="226" spans="1:13" ht="12.75" hidden="1" customHeight="1" x14ac:dyDescent="0.2">
      <c r="A226" s="343"/>
      <c r="B226" s="172" t="str">
        <f>Capacidades!M816</f>
        <v xml:space="preserve">   </v>
      </c>
      <c r="C226" s="171"/>
      <c r="D226" s="13"/>
      <c r="E226" s="13"/>
      <c r="F226" s="14"/>
      <c r="G226" s="14"/>
      <c r="H226" s="14"/>
      <c r="I226" s="14"/>
      <c r="J226" s="14"/>
      <c r="K226" s="14"/>
      <c r="L226" s="339"/>
      <c r="M226" s="95" t="str">
        <f t="shared" si="5"/>
        <v xml:space="preserve">   </v>
      </c>
    </row>
    <row r="227" spans="1:13" ht="12.75" hidden="1" customHeight="1" x14ac:dyDescent="0.2">
      <c r="A227" s="343"/>
      <c r="B227" s="172" t="str">
        <f>Capacidades!M817</f>
        <v xml:space="preserve">   </v>
      </c>
      <c r="C227" s="171"/>
      <c r="D227" s="13"/>
      <c r="E227" s="13"/>
      <c r="F227" s="14"/>
      <c r="G227" s="14"/>
      <c r="H227" s="14"/>
      <c r="I227" s="14"/>
      <c r="J227" s="14"/>
      <c r="K227" s="14"/>
      <c r="L227" s="339"/>
      <c r="M227" s="95" t="str">
        <f t="shared" si="5"/>
        <v xml:space="preserve">   </v>
      </c>
    </row>
    <row r="228" spans="1:13" ht="12.75" hidden="1" customHeight="1" x14ac:dyDescent="0.2">
      <c r="A228" s="343"/>
      <c r="B228" s="172" t="str">
        <f>Capacidades!M818</f>
        <v xml:space="preserve">   </v>
      </c>
      <c r="C228" s="171"/>
      <c r="D228" s="13"/>
      <c r="E228" s="13"/>
      <c r="F228" s="14"/>
      <c r="G228" s="14"/>
      <c r="H228" s="14"/>
      <c r="I228" s="14"/>
      <c r="J228" s="14"/>
      <c r="K228" s="14"/>
      <c r="L228" s="339"/>
      <c r="M228" s="95" t="str">
        <f t="shared" si="5"/>
        <v xml:space="preserve">   </v>
      </c>
    </row>
    <row r="229" spans="1:13" ht="12.75" hidden="1" customHeight="1" x14ac:dyDescent="0.2">
      <c r="A229" s="343"/>
      <c r="B229" s="172" t="str">
        <f>Capacidades!M819</f>
        <v xml:space="preserve">   </v>
      </c>
      <c r="C229" s="171"/>
      <c r="D229" s="13"/>
      <c r="E229" s="13"/>
      <c r="F229" s="14"/>
      <c r="G229" s="14"/>
      <c r="H229" s="14"/>
      <c r="I229" s="14"/>
      <c r="J229" s="14"/>
      <c r="K229" s="14"/>
      <c r="L229" s="339"/>
      <c r="M229" s="95" t="str">
        <f t="shared" si="5"/>
        <v xml:space="preserve">   </v>
      </c>
    </row>
    <row r="230" spans="1:13" ht="12.75" hidden="1" customHeight="1" x14ac:dyDescent="0.2">
      <c r="A230" s="343"/>
      <c r="B230" s="172" t="str">
        <f>Capacidades!M820</f>
        <v xml:space="preserve">   </v>
      </c>
      <c r="C230" s="171"/>
      <c r="D230" s="13"/>
      <c r="E230" s="13"/>
      <c r="F230" s="13"/>
      <c r="G230" s="13"/>
      <c r="H230" s="14"/>
      <c r="I230" s="14"/>
      <c r="J230" s="14"/>
      <c r="K230" s="14"/>
      <c r="L230" s="339"/>
      <c r="M230" s="95" t="str">
        <f t="shared" si="5"/>
        <v xml:space="preserve">   </v>
      </c>
    </row>
    <row r="231" spans="1:13" ht="12.75" hidden="1" customHeight="1" x14ac:dyDescent="0.2">
      <c r="A231" s="344"/>
      <c r="B231" s="172" t="str">
        <f>Capacidades!M821</f>
        <v xml:space="preserve">   </v>
      </c>
      <c r="C231" s="171"/>
      <c r="D231" s="15"/>
      <c r="E231" s="15"/>
      <c r="F231" s="15"/>
      <c r="G231" s="15"/>
      <c r="H231" s="16"/>
      <c r="I231" s="16"/>
      <c r="J231" s="16"/>
      <c r="K231" s="16"/>
      <c r="L231" s="339"/>
      <c r="M231" s="95" t="str">
        <f t="shared" si="5"/>
        <v xml:space="preserve">   </v>
      </c>
    </row>
    <row r="232" spans="1:13" ht="66.75" customHeight="1" x14ac:dyDescent="0.2">
      <c r="A232" s="342" t="str">
        <f>Capacidades!L822</f>
        <v xml:space="preserve">CE2 C2 Utilizar software de aplicación  en la realización de tareas y requerimientos vinculados a su programa de estudio.    </v>
      </c>
      <c r="B232" s="172" t="str">
        <f>Capacidades!M822</f>
        <v>C2 I1 Emplea  procesador de textos en la elaboración de documentos, teniendo en cuenta los requerimientos del contexto laboral y los formatos vinculados al programa de estudios.</v>
      </c>
      <c r="C232" s="171" t="s">
        <v>544</v>
      </c>
      <c r="D232" s="11" t="str">
        <f>Organización_Modular!F93</f>
        <v>Aplicaciones web
(Aplicaciones Ofimáticas)</v>
      </c>
      <c r="E232" s="11" t="str">
        <f>Organización_Modular!G93</f>
        <v>III</v>
      </c>
      <c r="F232" s="11">
        <f>Organización_Modular!H93</f>
        <v>0</v>
      </c>
      <c r="G232" s="11">
        <f>Organización_Modular!I93</f>
        <v>1</v>
      </c>
      <c r="H232" s="12">
        <f>SUM(F232:G232)</f>
        <v>1</v>
      </c>
      <c r="I232" s="12">
        <f>F232*16</f>
        <v>0</v>
      </c>
      <c r="J232" s="12">
        <f>G232*32</f>
        <v>32</v>
      </c>
      <c r="K232" s="12">
        <f>SUM(I232:J232)</f>
        <v>32</v>
      </c>
      <c r="L232" s="339"/>
      <c r="M232" s="95" t="str">
        <f t="shared" si="5"/>
        <v>C2 I1 Emplea  procesador de textos en la elaboración de documentos, teniendo en cuenta los requerimientos del contexto laboral y los formatos vinculados al programa de estudios.</v>
      </c>
    </row>
    <row r="233" spans="1:13" ht="54.75" customHeight="1" x14ac:dyDescent="0.2">
      <c r="A233" s="343"/>
      <c r="B233" s="172" t="str">
        <f>Capacidades!M823</f>
        <v>C2 I2 Sistematiza información  utilizando la hoja de cálculo vinculándola al programa de estudios.</v>
      </c>
      <c r="C233" s="171" t="s">
        <v>545</v>
      </c>
      <c r="D233" s="13"/>
      <c r="E233" s="13"/>
      <c r="F233" s="13"/>
      <c r="G233" s="13"/>
      <c r="H233" s="14"/>
      <c r="I233" s="14"/>
      <c r="J233" s="14"/>
      <c r="K233" s="14"/>
      <c r="L233" s="339"/>
      <c r="M233" s="95" t="str">
        <f t="shared" si="5"/>
        <v>C2 I2 Sistematiza información  utilizando la hoja de cálculo vinculándola al programa de estudios.</v>
      </c>
    </row>
    <row r="234" spans="1:13" ht="55.5" customHeight="1" x14ac:dyDescent="0.2">
      <c r="A234" s="343"/>
      <c r="B234" s="172" t="str">
        <f>Capacidades!M824</f>
        <v>C2 I3 Realiza  presentaciones que sintetiza la información en diapositivas,   vinculándola al programa de estudios.</v>
      </c>
      <c r="C234" s="171" t="s">
        <v>546</v>
      </c>
      <c r="D234" s="13"/>
      <c r="E234" s="13"/>
      <c r="F234" s="13"/>
      <c r="G234" s="13"/>
      <c r="H234" s="14"/>
      <c r="I234" s="14"/>
      <c r="J234" s="14"/>
      <c r="K234" s="14"/>
      <c r="L234" s="339"/>
      <c r="M234" s="95" t="str">
        <f t="shared" si="5"/>
        <v>C2 I3 Realiza  presentaciones que sintetiza la información en diapositivas,   vinculándola al programa de estudios.</v>
      </c>
    </row>
    <row r="235" spans="1:13" ht="6" hidden="1" customHeight="1" x14ac:dyDescent="0.2">
      <c r="A235" s="343"/>
      <c r="B235" s="172" t="str">
        <f>Capacidades!M825</f>
        <v xml:space="preserve">   </v>
      </c>
      <c r="C235" s="171"/>
      <c r="D235" s="13"/>
      <c r="E235" s="13"/>
      <c r="F235" s="13"/>
      <c r="G235" s="13"/>
      <c r="H235" s="14"/>
      <c r="I235" s="14"/>
      <c r="J235" s="14"/>
      <c r="K235" s="14"/>
      <c r="L235" s="339"/>
      <c r="M235" s="95" t="str">
        <f t="shared" si="5"/>
        <v xml:space="preserve">   </v>
      </c>
    </row>
    <row r="236" spans="1:13" ht="12.75" hidden="1" customHeight="1" x14ac:dyDescent="0.2">
      <c r="A236" s="343"/>
      <c r="B236" s="172" t="str">
        <f>Capacidades!M826</f>
        <v xml:space="preserve">   </v>
      </c>
      <c r="C236" s="171"/>
      <c r="D236" s="13"/>
      <c r="E236" s="13"/>
      <c r="F236" s="14"/>
      <c r="G236" s="14"/>
      <c r="H236" s="14"/>
      <c r="I236" s="14"/>
      <c r="J236" s="14"/>
      <c r="K236" s="14"/>
      <c r="L236" s="339"/>
      <c r="M236" s="95" t="str">
        <f t="shared" si="5"/>
        <v xml:space="preserve">   </v>
      </c>
    </row>
    <row r="237" spans="1:13" ht="12.75" hidden="1" customHeight="1" x14ac:dyDescent="0.2">
      <c r="A237" s="343"/>
      <c r="B237" s="172" t="str">
        <f>Capacidades!M827</f>
        <v xml:space="preserve">   </v>
      </c>
      <c r="C237" s="171"/>
      <c r="D237" s="13"/>
      <c r="E237" s="13"/>
      <c r="F237" s="14"/>
      <c r="G237" s="14"/>
      <c r="H237" s="14"/>
      <c r="I237" s="14"/>
      <c r="J237" s="14"/>
      <c r="K237" s="14"/>
      <c r="L237" s="339"/>
      <c r="M237" s="95" t="str">
        <f t="shared" si="5"/>
        <v xml:space="preserve">   </v>
      </c>
    </row>
    <row r="238" spans="1:13" ht="12.75" hidden="1" customHeight="1" x14ac:dyDescent="0.2">
      <c r="A238" s="343"/>
      <c r="B238" s="172" t="str">
        <f>Capacidades!M828</f>
        <v xml:space="preserve">   </v>
      </c>
      <c r="C238" s="171"/>
      <c r="D238" s="13"/>
      <c r="E238" s="13"/>
      <c r="F238" s="14"/>
      <c r="G238" s="14"/>
      <c r="H238" s="14"/>
      <c r="I238" s="14"/>
      <c r="J238" s="14"/>
      <c r="K238" s="14"/>
      <c r="L238" s="339"/>
      <c r="M238" s="95" t="str">
        <f t="shared" si="5"/>
        <v xml:space="preserve">   </v>
      </c>
    </row>
    <row r="239" spans="1:13" ht="12.75" hidden="1" customHeight="1" x14ac:dyDescent="0.2">
      <c r="A239" s="343"/>
      <c r="B239" s="172" t="str">
        <f>Capacidades!M829</f>
        <v xml:space="preserve">   </v>
      </c>
      <c r="C239" s="171"/>
      <c r="D239" s="13"/>
      <c r="E239" s="13"/>
      <c r="F239" s="14"/>
      <c r="G239" s="14"/>
      <c r="H239" s="14"/>
      <c r="I239" s="14"/>
      <c r="J239" s="14"/>
      <c r="K239" s="14"/>
      <c r="L239" s="339"/>
      <c r="M239" s="95" t="str">
        <f t="shared" si="5"/>
        <v xml:space="preserve">   </v>
      </c>
    </row>
    <row r="240" spans="1:13" ht="12.75" hidden="1" customHeight="1" x14ac:dyDescent="0.2">
      <c r="A240" s="343"/>
      <c r="B240" s="172" t="str">
        <f>Capacidades!M830</f>
        <v xml:space="preserve">   </v>
      </c>
      <c r="C240" s="171"/>
      <c r="D240" s="13"/>
      <c r="E240" s="13"/>
      <c r="F240" s="13"/>
      <c r="G240" s="13"/>
      <c r="H240" s="14"/>
      <c r="I240" s="14"/>
      <c r="J240" s="14"/>
      <c r="K240" s="14"/>
      <c r="L240" s="339"/>
      <c r="M240" s="95" t="str">
        <f t="shared" si="5"/>
        <v xml:space="preserve">   </v>
      </c>
    </row>
    <row r="241" spans="1:13" ht="12.75" hidden="1" customHeight="1" x14ac:dyDescent="0.2">
      <c r="A241" s="344"/>
      <c r="B241" s="172" t="str">
        <f>Capacidades!M831</f>
        <v xml:space="preserve">   </v>
      </c>
      <c r="C241" s="174"/>
      <c r="D241" s="13"/>
      <c r="E241" s="13"/>
      <c r="F241" s="13"/>
      <c r="G241" s="13"/>
      <c r="H241" s="14"/>
      <c r="I241" s="14"/>
      <c r="J241" s="14"/>
      <c r="K241" s="14"/>
      <c r="L241" s="340"/>
      <c r="M241" s="95" t="str">
        <f t="shared" si="5"/>
        <v xml:space="preserve">   </v>
      </c>
    </row>
    <row r="242" spans="1:13" hidden="1" x14ac:dyDescent="0.2">
      <c r="A242" s="342" t="str">
        <f>Capacidades!L832</f>
        <v xml:space="preserve">       </v>
      </c>
      <c r="B242" s="172" t="str">
        <f>Capacidades!M832</f>
        <v xml:space="preserve">   </v>
      </c>
      <c r="C242" s="171"/>
      <c r="D242" s="11">
        <f>Organización_Modular!F94</f>
        <v>0</v>
      </c>
      <c r="E242" s="11">
        <f>Organización_Modular!G94</f>
        <v>0</v>
      </c>
      <c r="F242" s="11">
        <f>Organización_Modular!H94</f>
        <v>0</v>
      </c>
      <c r="G242" s="11">
        <f>Organización_Modular!I94</f>
        <v>0</v>
      </c>
      <c r="H242" s="12">
        <f>SUM(F242:G242)</f>
        <v>0</v>
      </c>
      <c r="I242" s="12">
        <f>F242*16</f>
        <v>0</v>
      </c>
      <c r="J242" s="12">
        <f>G242*32</f>
        <v>0</v>
      </c>
      <c r="K242" s="12">
        <f>SUM(I242:J242)</f>
        <v>0</v>
      </c>
      <c r="L242" s="335"/>
      <c r="M242" s="95" t="str">
        <f t="shared" si="5"/>
        <v xml:space="preserve">   </v>
      </c>
    </row>
    <row r="243" spans="1:13" hidden="1" x14ac:dyDescent="0.2">
      <c r="A243" s="343"/>
      <c r="B243" s="172" t="str">
        <f>Capacidades!M833</f>
        <v xml:space="preserve">   </v>
      </c>
      <c r="C243" s="171"/>
      <c r="D243" s="13"/>
      <c r="E243" s="13"/>
      <c r="F243" s="13"/>
      <c r="G243" s="13"/>
      <c r="H243" s="14"/>
      <c r="I243" s="14"/>
      <c r="J243" s="14"/>
      <c r="K243" s="14"/>
      <c r="L243" s="336"/>
      <c r="M243" s="95" t="str">
        <f t="shared" si="5"/>
        <v xml:space="preserve">   </v>
      </c>
    </row>
    <row r="244" spans="1:13" hidden="1" x14ac:dyDescent="0.2">
      <c r="A244" s="343"/>
      <c r="B244" s="172" t="str">
        <f>Capacidades!M834</f>
        <v xml:space="preserve">   </v>
      </c>
      <c r="C244" s="171"/>
      <c r="D244" s="13"/>
      <c r="E244" s="13"/>
      <c r="F244" s="13"/>
      <c r="G244" s="13"/>
      <c r="H244" s="14"/>
      <c r="I244" s="14"/>
      <c r="J244" s="14"/>
      <c r="K244" s="14"/>
      <c r="L244" s="336"/>
      <c r="M244" s="95" t="str">
        <f t="shared" si="5"/>
        <v xml:space="preserve">   </v>
      </c>
    </row>
    <row r="245" spans="1:13" hidden="1" x14ac:dyDescent="0.2">
      <c r="A245" s="343"/>
      <c r="B245" s="172" t="str">
        <f>Capacidades!M835</f>
        <v xml:space="preserve">   </v>
      </c>
      <c r="C245" s="171"/>
      <c r="D245" s="13"/>
      <c r="E245" s="13"/>
      <c r="F245" s="13"/>
      <c r="G245" s="13"/>
      <c r="H245" s="14"/>
      <c r="I245" s="14"/>
      <c r="J245" s="14"/>
      <c r="K245" s="14"/>
      <c r="L245" s="336"/>
      <c r="M245" s="95" t="str">
        <f t="shared" si="5"/>
        <v xml:space="preserve">   </v>
      </c>
    </row>
    <row r="246" spans="1:13" hidden="1" x14ac:dyDescent="0.2">
      <c r="A246" s="343"/>
      <c r="B246" s="172" t="str">
        <f>Capacidades!M836</f>
        <v xml:space="preserve">   </v>
      </c>
      <c r="C246" s="171"/>
      <c r="D246" s="13"/>
      <c r="E246" s="13"/>
      <c r="F246" s="14"/>
      <c r="G246" s="14"/>
      <c r="H246" s="14"/>
      <c r="I246" s="14"/>
      <c r="J246" s="14"/>
      <c r="K246" s="14"/>
      <c r="L246" s="336"/>
      <c r="M246" s="95" t="str">
        <f t="shared" si="5"/>
        <v xml:space="preserve">   </v>
      </c>
    </row>
    <row r="247" spans="1:13" hidden="1" x14ac:dyDescent="0.2">
      <c r="A247" s="343"/>
      <c r="B247" s="172" t="str">
        <f>Capacidades!M837</f>
        <v xml:space="preserve">   </v>
      </c>
      <c r="C247" s="171"/>
      <c r="D247" s="13"/>
      <c r="E247" s="13"/>
      <c r="F247" s="14"/>
      <c r="G247" s="14"/>
      <c r="H247" s="14"/>
      <c r="I247" s="14"/>
      <c r="J247" s="14"/>
      <c r="K247" s="14"/>
      <c r="L247" s="336"/>
      <c r="M247" s="95" t="str">
        <f t="shared" si="5"/>
        <v xml:space="preserve">   </v>
      </c>
    </row>
    <row r="248" spans="1:13" hidden="1" x14ac:dyDescent="0.2">
      <c r="A248" s="343"/>
      <c r="B248" s="172" t="str">
        <f>Capacidades!M838</f>
        <v xml:space="preserve">   </v>
      </c>
      <c r="C248" s="171"/>
      <c r="D248" s="13"/>
      <c r="E248" s="13"/>
      <c r="F248" s="14"/>
      <c r="G248" s="14"/>
      <c r="H248" s="14"/>
      <c r="I248" s="14"/>
      <c r="J248" s="14"/>
      <c r="K248" s="14"/>
      <c r="L248" s="336"/>
      <c r="M248" s="95" t="str">
        <f t="shared" si="5"/>
        <v xml:space="preserve">   </v>
      </c>
    </row>
    <row r="249" spans="1:13" hidden="1" x14ac:dyDescent="0.2">
      <c r="A249" s="343"/>
      <c r="B249" s="172" t="str">
        <f>Capacidades!M839</f>
        <v xml:space="preserve">   </v>
      </c>
      <c r="C249" s="171"/>
      <c r="D249" s="13"/>
      <c r="E249" s="13"/>
      <c r="F249" s="14"/>
      <c r="G249" s="14"/>
      <c r="H249" s="14"/>
      <c r="I249" s="14"/>
      <c r="J249" s="14"/>
      <c r="K249" s="14"/>
      <c r="L249" s="336"/>
      <c r="M249" s="95" t="str">
        <f t="shared" si="5"/>
        <v xml:space="preserve">   </v>
      </c>
    </row>
    <row r="250" spans="1:13" ht="6.75" hidden="1" customHeight="1" x14ac:dyDescent="0.2">
      <c r="A250" s="343"/>
      <c r="B250" s="172" t="str">
        <f>Capacidades!M840</f>
        <v xml:space="preserve">   </v>
      </c>
      <c r="C250" s="171"/>
      <c r="D250" s="13"/>
      <c r="E250" s="13"/>
      <c r="F250" s="13"/>
      <c r="G250" s="13"/>
      <c r="H250" s="14"/>
      <c r="I250" s="14"/>
      <c r="J250" s="14"/>
      <c r="K250" s="14"/>
      <c r="L250" s="336"/>
      <c r="M250" s="95" t="str">
        <f t="shared" si="5"/>
        <v xml:space="preserve">   </v>
      </c>
    </row>
    <row r="251" spans="1:13" hidden="1" x14ac:dyDescent="0.2">
      <c r="A251" s="344"/>
      <c r="B251" s="172" t="str">
        <f>Capacidades!M841</f>
        <v xml:space="preserve">   </v>
      </c>
      <c r="C251" s="174"/>
      <c r="D251" s="13"/>
      <c r="E251" s="13"/>
      <c r="F251" s="13"/>
      <c r="G251" s="13"/>
      <c r="H251" s="14"/>
      <c r="I251" s="14"/>
      <c r="J251" s="14"/>
      <c r="K251" s="14"/>
      <c r="L251" s="336"/>
      <c r="M251" s="95" t="str">
        <f t="shared" si="5"/>
        <v xml:space="preserve">   </v>
      </c>
    </row>
    <row r="252" spans="1:13" hidden="1" x14ac:dyDescent="0.2">
      <c r="A252" s="342" t="str">
        <f>Capacidades!L842</f>
        <v xml:space="preserve">       </v>
      </c>
      <c r="B252" s="172" t="str">
        <f>Capacidades!M842</f>
        <v xml:space="preserve">   </v>
      </c>
      <c r="C252" s="171"/>
      <c r="D252" s="11">
        <f>Organización_Modular!F95</f>
        <v>0</v>
      </c>
      <c r="E252" s="11">
        <f>Organización_Modular!G95</f>
        <v>0</v>
      </c>
      <c r="F252" s="11">
        <f>Organización_Modular!H95</f>
        <v>0</v>
      </c>
      <c r="G252" s="11">
        <f>Organización_Modular!I95</f>
        <v>0</v>
      </c>
      <c r="H252" s="12">
        <f>SUM(F252:G252)</f>
        <v>0</v>
      </c>
      <c r="I252" s="12">
        <f>F252*16</f>
        <v>0</v>
      </c>
      <c r="J252" s="12">
        <f>G252*32</f>
        <v>0</v>
      </c>
      <c r="K252" s="12">
        <f>SUM(I252:J252)</f>
        <v>0</v>
      </c>
      <c r="L252" s="335"/>
      <c r="M252" s="95" t="str">
        <f t="shared" si="5"/>
        <v xml:space="preserve">   </v>
      </c>
    </row>
    <row r="253" spans="1:13" hidden="1" x14ac:dyDescent="0.2">
      <c r="A253" s="343"/>
      <c r="B253" s="172" t="str">
        <f>Capacidades!M843</f>
        <v xml:space="preserve">   </v>
      </c>
      <c r="C253" s="171"/>
      <c r="D253" s="13"/>
      <c r="E253" s="13"/>
      <c r="F253" s="13"/>
      <c r="G253" s="13"/>
      <c r="H253" s="14"/>
      <c r="I253" s="14"/>
      <c r="J253" s="14"/>
      <c r="K253" s="14"/>
      <c r="L253" s="336"/>
      <c r="M253" s="95" t="str">
        <f t="shared" si="5"/>
        <v xml:space="preserve">   </v>
      </c>
    </row>
    <row r="254" spans="1:13" hidden="1" x14ac:dyDescent="0.2">
      <c r="A254" s="343"/>
      <c r="B254" s="172" t="str">
        <f>Capacidades!M844</f>
        <v xml:space="preserve">   </v>
      </c>
      <c r="C254" s="171"/>
      <c r="D254" s="13"/>
      <c r="E254" s="13"/>
      <c r="F254" s="13"/>
      <c r="G254" s="13"/>
      <c r="H254" s="14"/>
      <c r="I254" s="14"/>
      <c r="J254" s="14"/>
      <c r="K254" s="14"/>
      <c r="L254" s="336"/>
      <c r="M254" s="95" t="str">
        <f t="shared" si="5"/>
        <v xml:space="preserve">   </v>
      </c>
    </row>
    <row r="255" spans="1:13" hidden="1" x14ac:dyDescent="0.2">
      <c r="A255" s="343"/>
      <c r="B255" s="172" t="str">
        <f>Capacidades!M845</f>
        <v xml:space="preserve">   </v>
      </c>
      <c r="C255" s="171"/>
      <c r="D255" s="13"/>
      <c r="E255" s="13"/>
      <c r="F255" s="13"/>
      <c r="G255" s="13"/>
      <c r="H255" s="14"/>
      <c r="I255" s="14"/>
      <c r="J255" s="14"/>
      <c r="K255" s="14"/>
      <c r="L255" s="336"/>
      <c r="M255" s="95" t="str">
        <f t="shared" si="5"/>
        <v xml:space="preserve">   </v>
      </c>
    </row>
    <row r="256" spans="1:13" hidden="1" x14ac:dyDescent="0.2">
      <c r="A256" s="343"/>
      <c r="B256" s="172" t="str">
        <f>Capacidades!M846</f>
        <v xml:space="preserve">   </v>
      </c>
      <c r="C256" s="171"/>
      <c r="D256" s="13"/>
      <c r="E256" s="13"/>
      <c r="F256" s="14"/>
      <c r="G256" s="14"/>
      <c r="H256" s="14"/>
      <c r="I256" s="14"/>
      <c r="J256" s="14"/>
      <c r="K256" s="14"/>
      <c r="L256" s="336"/>
      <c r="M256" s="95" t="str">
        <f t="shared" si="5"/>
        <v xml:space="preserve">   </v>
      </c>
    </row>
    <row r="257" spans="1:13" hidden="1" x14ac:dyDescent="0.2">
      <c r="A257" s="343"/>
      <c r="B257" s="172" t="str">
        <f>Capacidades!M847</f>
        <v xml:space="preserve">   </v>
      </c>
      <c r="C257" s="171"/>
      <c r="D257" s="13"/>
      <c r="E257" s="13"/>
      <c r="F257" s="14"/>
      <c r="G257" s="14"/>
      <c r="H257" s="14"/>
      <c r="I257" s="14"/>
      <c r="J257" s="14"/>
      <c r="K257" s="14"/>
      <c r="L257" s="336"/>
      <c r="M257" s="95" t="str">
        <f t="shared" si="5"/>
        <v xml:space="preserve">   </v>
      </c>
    </row>
    <row r="258" spans="1:13" hidden="1" x14ac:dyDescent="0.2">
      <c r="A258" s="343"/>
      <c r="B258" s="172" t="str">
        <f>Capacidades!M848</f>
        <v xml:space="preserve">   </v>
      </c>
      <c r="C258" s="171"/>
      <c r="D258" s="13"/>
      <c r="E258" s="13"/>
      <c r="F258" s="14"/>
      <c r="G258" s="14"/>
      <c r="H258" s="14"/>
      <c r="I258" s="14"/>
      <c r="J258" s="14"/>
      <c r="K258" s="14"/>
      <c r="L258" s="336"/>
      <c r="M258" s="95" t="str">
        <f t="shared" si="5"/>
        <v xml:space="preserve">   </v>
      </c>
    </row>
    <row r="259" spans="1:13" hidden="1" x14ac:dyDescent="0.2">
      <c r="A259" s="343"/>
      <c r="B259" s="172" t="str">
        <f>Capacidades!M849</f>
        <v xml:space="preserve">   </v>
      </c>
      <c r="C259" s="171"/>
      <c r="D259" s="13"/>
      <c r="E259" s="13"/>
      <c r="F259" s="14"/>
      <c r="G259" s="14"/>
      <c r="H259" s="14"/>
      <c r="I259" s="14"/>
      <c r="J259" s="14"/>
      <c r="K259" s="14"/>
      <c r="L259" s="336"/>
      <c r="M259" s="95" t="str">
        <f t="shared" si="5"/>
        <v xml:space="preserve">   </v>
      </c>
    </row>
    <row r="260" spans="1:13" hidden="1" x14ac:dyDescent="0.2">
      <c r="A260" s="343"/>
      <c r="B260" s="172" t="str">
        <f>Capacidades!M850</f>
        <v xml:space="preserve">   </v>
      </c>
      <c r="C260" s="171"/>
      <c r="D260" s="13"/>
      <c r="E260" s="13"/>
      <c r="F260" s="13"/>
      <c r="G260" s="13"/>
      <c r="H260" s="14"/>
      <c r="I260" s="14"/>
      <c r="J260" s="14"/>
      <c r="K260" s="14"/>
      <c r="L260" s="336"/>
      <c r="M260" s="95" t="str">
        <f t="shared" si="5"/>
        <v xml:space="preserve">   </v>
      </c>
    </row>
    <row r="261" spans="1:13" hidden="1" x14ac:dyDescent="0.2">
      <c r="A261" s="344"/>
      <c r="B261" s="172" t="str">
        <f>Capacidades!M851</f>
        <v xml:space="preserve">   </v>
      </c>
      <c r="C261" s="174"/>
      <c r="D261" s="13"/>
      <c r="E261" s="13"/>
      <c r="F261" s="13"/>
      <c r="G261" s="13"/>
      <c r="H261" s="14"/>
      <c r="I261" s="14"/>
      <c r="J261" s="14"/>
      <c r="K261" s="14"/>
      <c r="L261" s="336"/>
      <c r="M261" s="95" t="str">
        <f t="shared" si="5"/>
        <v xml:space="preserve">   </v>
      </c>
    </row>
    <row r="262" spans="1:13" hidden="1" x14ac:dyDescent="0.2">
      <c r="A262" s="342" t="str">
        <f>Capacidades!L852</f>
        <v xml:space="preserve">       </v>
      </c>
      <c r="B262" s="172" t="str">
        <f>Capacidades!M852</f>
        <v xml:space="preserve">   </v>
      </c>
      <c r="C262" s="171"/>
      <c r="D262" s="11">
        <f>Organización_Modular!F96</f>
        <v>0</v>
      </c>
      <c r="E262" s="11">
        <f>Organización_Modular!G96</f>
        <v>0</v>
      </c>
      <c r="F262" s="11">
        <f>Organización_Modular!H96</f>
        <v>0</v>
      </c>
      <c r="G262" s="11">
        <f>Organización_Modular!I96</f>
        <v>0</v>
      </c>
      <c r="H262" s="12">
        <f>SUM(F262:G262)</f>
        <v>0</v>
      </c>
      <c r="I262" s="12">
        <f>F262*16</f>
        <v>0</v>
      </c>
      <c r="J262" s="12">
        <f>G262*32</f>
        <v>0</v>
      </c>
      <c r="K262" s="12">
        <f>SUM(I262:J262)</f>
        <v>0</v>
      </c>
      <c r="L262" s="335"/>
      <c r="M262" s="95" t="str">
        <f t="shared" si="5"/>
        <v xml:space="preserve">   </v>
      </c>
    </row>
    <row r="263" spans="1:13" hidden="1" x14ac:dyDescent="0.2">
      <c r="A263" s="343"/>
      <c r="B263" s="172" t="str">
        <f>Capacidades!M853</f>
        <v xml:space="preserve">   </v>
      </c>
      <c r="C263" s="171"/>
      <c r="D263" s="13"/>
      <c r="E263" s="13"/>
      <c r="F263" s="13"/>
      <c r="G263" s="13"/>
      <c r="H263" s="14"/>
      <c r="I263" s="14"/>
      <c r="J263" s="14"/>
      <c r="K263" s="14"/>
      <c r="L263" s="336"/>
      <c r="M263" s="95" t="str">
        <f t="shared" si="5"/>
        <v xml:space="preserve">   </v>
      </c>
    </row>
    <row r="264" spans="1:13" hidden="1" x14ac:dyDescent="0.2">
      <c r="A264" s="343"/>
      <c r="B264" s="172" t="str">
        <f>Capacidades!M854</f>
        <v xml:space="preserve">   </v>
      </c>
      <c r="C264" s="171"/>
      <c r="D264" s="13"/>
      <c r="E264" s="13"/>
      <c r="F264" s="13"/>
      <c r="G264" s="13"/>
      <c r="H264" s="14"/>
      <c r="I264" s="14"/>
      <c r="J264" s="14"/>
      <c r="K264" s="14"/>
      <c r="L264" s="336"/>
      <c r="M264" s="95" t="str">
        <f t="shared" si="5"/>
        <v xml:space="preserve">   </v>
      </c>
    </row>
    <row r="265" spans="1:13" hidden="1" x14ac:dyDescent="0.2">
      <c r="A265" s="343"/>
      <c r="B265" s="172" t="str">
        <f>Capacidades!M855</f>
        <v xml:space="preserve">   </v>
      </c>
      <c r="C265" s="171"/>
      <c r="D265" s="13"/>
      <c r="E265" s="13"/>
      <c r="F265" s="13"/>
      <c r="G265" s="13"/>
      <c r="H265" s="14"/>
      <c r="I265" s="14"/>
      <c r="J265" s="14"/>
      <c r="K265" s="14"/>
      <c r="L265" s="336"/>
      <c r="M265" s="95" t="str">
        <f t="shared" si="5"/>
        <v xml:space="preserve">   </v>
      </c>
    </row>
    <row r="266" spans="1:13" hidden="1" x14ac:dyDescent="0.2">
      <c r="A266" s="343"/>
      <c r="B266" s="172" t="str">
        <f>Capacidades!M856</f>
        <v xml:space="preserve">   </v>
      </c>
      <c r="C266" s="171"/>
      <c r="D266" s="13"/>
      <c r="E266" s="13"/>
      <c r="F266" s="14"/>
      <c r="G266" s="14"/>
      <c r="H266" s="14"/>
      <c r="I266" s="14"/>
      <c r="J266" s="14"/>
      <c r="K266" s="14"/>
      <c r="L266" s="336"/>
      <c r="M266" s="95" t="str">
        <f t="shared" si="5"/>
        <v xml:space="preserve">   </v>
      </c>
    </row>
    <row r="267" spans="1:13" hidden="1" x14ac:dyDescent="0.2">
      <c r="A267" s="343"/>
      <c r="B267" s="172" t="str">
        <f>Capacidades!M857</f>
        <v xml:space="preserve">   </v>
      </c>
      <c r="C267" s="171"/>
      <c r="D267" s="13"/>
      <c r="E267" s="13"/>
      <c r="F267" s="14"/>
      <c r="G267" s="14"/>
      <c r="H267" s="14"/>
      <c r="I267" s="14"/>
      <c r="J267" s="14"/>
      <c r="K267" s="14"/>
      <c r="L267" s="336"/>
      <c r="M267" s="95" t="str">
        <f t="shared" si="5"/>
        <v xml:space="preserve">   </v>
      </c>
    </row>
    <row r="268" spans="1:13" hidden="1" x14ac:dyDescent="0.2">
      <c r="A268" s="343"/>
      <c r="B268" s="172" t="str">
        <f>Capacidades!M858</f>
        <v xml:space="preserve">   </v>
      </c>
      <c r="C268" s="171"/>
      <c r="D268" s="13"/>
      <c r="E268" s="13"/>
      <c r="F268" s="14"/>
      <c r="G268" s="14"/>
      <c r="H268" s="14"/>
      <c r="I268" s="14"/>
      <c r="J268" s="14"/>
      <c r="K268" s="14"/>
      <c r="L268" s="336"/>
      <c r="M268" s="95" t="str">
        <f t="shared" si="5"/>
        <v xml:space="preserve">   </v>
      </c>
    </row>
    <row r="269" spans="1:13" hidden="1" x14ac:dyDescent="0.2">
      <c r="A269" s="343"/>
      <c r="B269" s="172" t="str">
        <f>Capacidades!M859</f>
        <v xml:space="preserve">   </v>
      </c>
      <c r="C269" s="171"/>
      <c r="D269" s="13"/>
      <c r="E269" s="13"/>
      <c r="F269" s="14"/>
      <c r="G269" s="14"/>
      <c r="H269" s="14"/>
      <c r="I269" s="14"/>
      <c r="J269" s="14"/>
      <c r="K269" s="14"/>
      <c r="L269" s="336"/>
      <c r="M269" s="95" t="str">
        <f t="shared" si="5"/>
        <v xml:space="preserve">   </v>
      </c>
    </row>
    <row r="270" spans="1:13" hidden="1" x14ac:dyDescent="0.2">
      <c r="A270" s="343"/>
      <c r="B270" s="172" t="str">
        <f>Capacidades!M860</f>
        <v xml:space="preserve">   </v>
      </c>
      <c r="C270" s="171"/>
      <c r="D270" s="13"/>
      <c r="E270" s="13"/>
      <c r="F270" s="13"/>
      <c r="G270" s="13"/>
      <c r="H270" s="14"/>
      <c r="I270" s="14"/>
      <c r="J270" s="14"/>
      <c r="K270" s="14"/>
      <c r="L270" s="336"/>
      <c r="M270" s="95" t="str">
        <f t="shared" si="5"/>
        <v xml:space="preserve">   </v>
      </c>
    </row>
    <row r="271" spans="1:13" hidden="1" x14ac:dyDescent="0.2">
      <c r="A271" s="344"/>
      <c r="B271" s="172" t="str">
        <f>Capacidades!M861</f>
        <v xml:space="preserve">   </v>
      </c>
      <c r="C271" s="174"/>
      <c r="D271" s="13"/>
      <c r="E271" s="13"/>
      <c r="F271" s="13"/>
      <c r="G271" s="13"/>
      <c r="H271" s="14"/>
      <c r="I271" s="14"/>
      <c r="J271" s="14"/>
      <c r="K271" s="14"/>
      <c r="L271" s="336"/>
      <c r="M271" s="95" t="str">
        <f t="shared" si="5"/>
        <v xml:space="preserve">   </v>
      </c>
    </row>
    <row r="272" spans="1:13" hidden="1" x14ac:dyDescent="0.2">
      <c r="A272" s="342" t="str">
        <f>Capacidades!L862</f>
        <v xml:space="preserve">       </v>
      </c>
      <c r="B272" s="172" t="str">
        <f>Capacidades!M862</f>
        <v xml:space="preserve">   </v>
      </c>
      <c r="C272" s="171"/>
      <c r="D272" s="11">
        <f>Organización_Modular!F97</f>
        <v>0</v>
      </c>
      <c r="E272" s="11">
        <f>Organización_Modular!G97</f>
        <v>0</v>
      </c>
      <c r="F272" s="11">
        <f>Organización_Modular!H97</f>
        <v>0</v>
      </c>
      <c r="G272" s="11">
        <f>Organización_Modular!I97</f>
        <v>0</v>
      </c>
      <c r="H272" s="12">
        <f>SUM(F272:G272)</f>
        <v>0</v>
      </c>
      <c r="I272" s="12">
        <f>F272*16</f>
        <v>0</v>
      </c>
      <c r="J272" s="12">
        <f>G272*32</f>
        <v>0</v>
      </c>
      <c r="K272" s="12">
        <f>SUM(I272:J272)</f>
        <v>0</v>
      </c>
      <c r="L272" s="335"/>
      <c r="M272" s="95" t="str">
        <f t="shared" si="5"/>
        <v xml:space="preserve">   </v>
      </c>
    </row>
    <row r="273" spans="1:13" hidden="1" x14ac:dyDescent="0.2">
      <c r="A273" s="343"/>
      <c r="B273" s="172" t="str">
        <f>Capacidades!M863</f>
        <v xml:space="preserve">   </v>
      </c>
      <c r="C273" s="171"/>
      <c r="D273" s="13"/>
      <c r="E273" s="13"/>
      <c r="F273" s="13"/>
      <c r="G273" s="13"/>
      <c r="H273" s="14"/>
      <c r="I273" s="14"/>
      <c r="J273" s="14"/>
      <c r="K273" s="14"/>
      <c r="L273" s="336"/>
      <c r="M273" s="95" t="str">
        <f t="shared" si="5"/>
        <v xml:space="preserve">   </v>
      </c>
    </row>
    <row r="274" spans="1:13" hidden="1" x14ac:dyDescent="0.2">
      <c r="A274" s="343"/>
      <c r="B274" s="172" t="str">
        <f>Capacidades!M864</f>
        <v xml:space="preserve">   </v>
      </c>
      <c r="C274" s="171"/>
      <c r="D274" s="13"/>
      <c r="E274" s="13"/>
      <c r="F274" s="13"/>
      <c r="G274" s="13"/>
      <c r="H274" s="14"/>
      <c r="I274" s="14"/>
      <c r="J274" s="14"/>
      <c r="K274" s="14"/>
      <c r="L274" s="336"/>
      <c r="M274" s="95" t="str">
        <f t="shared" si="5"/>
        <v xml:space="preserve">   </v>
      </c>
    </row>
    <row r="275" spans="1:13" hidden="1" x14ac:dyDescent="0.2">
      <c r="A275" s="343"/>
      <c r="B275" s="172" t="str">
        <f>Capacidades!M865</f>
        <v xml:space="preserve">   </v>
      </c>
      <c r="C275" s="171"/>
      <c r="D275" s="13"/>
      <c r="E275" s="13"/>
      <c r="F275" s="13"/>
      <c r="G275" s="13"/>
      <c r="H275" s="14"/>
      <c r="I275" s="14"/>
      <c r="J275" s="14"/>
      <c r="K275" s="14"/>
      <c r="L275" s="336"/>
      <c r="M275" s="95" t="str">
        <f t="shared" si="5"/>
        <v xml:space="preserve">   </v>
      </c>
    </row>
    <row r="276" spans="1:13" hidden="1" x14ac:dyDescent="0.2">
      <c r="A276" s="343"/>
      <c r="B276" s="172" t="str">
        <f>Capacidades!M866</f>
        <v xml:space="preserve">   </v>
      </c>
      <c r="C276" s="171"/>
      <c r="D276" s="13"/>
      <c r="E276" s="13"/>
      <c r="F276" s="14"/>
      <c r="G276" s="14"/>
      <c r="H276" s="14"/>
      <c r="I276" s="14"/>
      <c r="J276" s="14"/>
      <c r="K276" s="14"/>
      <c r="L276" s="336"/>
      <c r="M276" s="95" t="str">
        <f t="shared" si="5"/>
        <v xml:space="preserve">   </v>
      </c>
    </row>
    <row r="277" spans="1:13" hidden="1" x14ac:dyDescent="0.2">
      <c r="A277" s="343"/>
      <c r="B277" s="172" t="str">
        <f>Capacidades!M867</f>
        <v xml:space="preserve">   </v>
      </c>
      <c r="C277" s="171"/>
      <c r="D277" s="13"/>
      <c r="E277" s="13"/>
      <c r="F277" s="14"/>
      <c r="G277" s="14"/>
      <c r="H277" s="14"/>
      <c r="I277" s="14"/>
      <c r="J277" s="14"/>
      <c r="K277" s="14"/>
      <c r="L277" s="336"/>
      <c r="M277" s="95" t="str">
        <f t="shared" si="5"/>
        <v xml:space="preserve">   </v>
      </c>
    </row>
    <row r="278" spans="1:13" hidden="1" x14ac:dyDescent="0.2">
      <c r="A278" s="343"/>
      <c r="B278" s="172" t="str">
        <f>Capacidades!M868</f>
        <v xml:space="preserve">   </v>
      </c>
      <c r="C278" s="171"/>
      <c r="D278" s="13"/>
      <c r="E278" s="13"/>
      <c r="F278" s="14"/>
      <c r="G278" s="14"/>
      <c r="H278" s="14"/>
      <c r="I278" s="14"/>
      <c r="J278" s="14"/>
      <c r="K278" s="14"/>
      <c r="L278" s="336"/>
      <c r="M278" s="95" t="str">
        <f t="shared" si="5"/>
        <v xml:space="preserve">   </v>
      </c>
    </row>
    <row r="279" spans="1:13" hidden="1" x14ac:dyDescent="0.2">
      <c r="A279" s="343"/>
      <c r="B279" s="172" t="str">
        <f>Capacidades!M869</f>
        <v xml:space="preserve">   </v>
      </c>
      <c r="C279" s="171"/>
      <c r="D279" s="13"/>
      <c r="E279" s="13"/>
      <c r="F279" s="14"/>
      <c r="G279" s="14"/>
      <c r="H279" s="14"/>
      <c r="I279" s="14"/>
      <c r="J279" s="14"/>
      <c r="K279" s="14"/>
      <c r="L279" s="336"/>
      <c r="M279" s="95" t="str">
        <f t="shared" si="5"/>
        <v xml:space="preserve">   </v>
      </c>
    </row>
    <row r="280" spans="1:13" hidden="1" x14ac:dyDescent="0.2">
      <c r="A280" s="343"/>
      <c r="B280" s="172" t="str">
        <f>Capacidades!M870</f>
        <v xml:space="preserve">   </v>
      </c>
      <c r="C280" s="171"/>
      <c r="D280" s="13"/>
      <c r="E280" s="13"/>
      <c r="F280" s="13"/>
      <c r="G280" s="13"/>
      <c r="H280" s="14"/>
      <c r="I280" s="14"/>
      <c r="J280" s="14"/>
      <c r="K280" s="14"/>
      <c r="L280" s="336"/>
      <c r="M280" s="95" t="str">
        <f t="shared" si="5"/>
        <v xml:space="preserve">   </v>
      </c>
    </row>
    <row r="281" spans="1:13" hidden="1" x14ac:dyDescent="0.2">
      <c r="A281" s="344"/>
      <c r="B281" s="172" t="str">
        <f>Capacidades!M871</f>
        <v xml:space="preserve">   </v>
      </c>
      <c r="C281" s="174"/>
      <c r="D281" s="13"/>
      <c r="E281" s="13"/>
      <c r="F281" s="13"/>
      <c r="G281" s="13"/>
      <c r="H281" s="14"/>
      <c r="I281" s="14"/>
      <c r="J281" s="14"/>
      <c r="K281" s="14"/>
      <c r="L281" s="336"/>
      <c r="M281" s="95" t="str">
        <f t="shared" si="5"/>
        <v xml:space="preserve">   </v>
      </c>
    </row>
    <row r="282" spans="1:13" hidden="1" x14ac:dyDescent="0.2">
      <c r="A282" s="342" t="str">
        <f>Capacidades!L872</f>
        <v xml:space="preserve">       </v>
      </c>
      <c r="B282" s="172" t="str">
        <f>Capacidades!M872</f>
        <v xml:space="preserve">   </v>
      </c>
      <c r="C282" s="171"/>
      <c r="D282" s="11">
        <f>Organización_Modular!F98</f>
        <v>0</v>
      </c>
      <c r="E282" s="11">
        <f>Organización_Modular!G98</f>
        <v>0</v>
      </c>
      <c r="F282" s="11">
        <f>Organización_Modular!H98</f>
        <v>0</v>
      </c>
      <c r="G282" s="11">
        <f>Organización_Modular!I98</f>
        <v>0</v>
      </c>
      <c r="H282" s="12">
        <f>SUM(F282:G282)</f>
        <v>0</v>
      </c>
      <c r="I282" s="12">
        <f>F282*16</f>
        <v>0</v>
      </c>
      <c r="J282" s="12">
        <f>G282*32</f>
        <v>0</v>
      </c>
      <c r="K282" s="12">
        <f>SUM(I282:J282)</f>
        <v>0</v>
      </c>
      <c r="L282" s="335"/>
      <c r="M282" s="95" t="str">
        <f t="shared" si="5"/>
        <v xml:space="preserve">   </v>
      </c>
    </row>
    <row r="283" spans="1:13" hidden="1" x14ac:dyDescent="0.2">
      <c r="A283" s="343"/>
      <c r="B283" s="172" t="str">
        <f>Capacidades!M873</f>
        <v xml:space="preserve">   </v>
      </c>
      <c r="C283" s="171"/>
      <c r="D283" s="13"/>
      <c r="E283" s="13"/>
      <c r="F283" s="13"/>
      <c r="G283" s="13"/>
      <c r="H283" s="14"/>
      <c r="I283" s="14"/>
      <c r="J283" s="14"/>
      <c r="K283" s="14"/>
      <c r="L283" s="336"/>
      <c r="M283" s="95" t="str">
        <f t="shared" si="5"/>
        <v xml:space="preserve">   </v>
      </c>
    </row>
    <row r="284" spans="1:13" hidden="1" x14ac:dyDescent="0.2">
      <c r="A284" s="343"/>
      <c r="B284" s="172" t="str">
        <f>Capacidades!M874</f>
        <v xml:space="preserve">   </v>
      </c>
      <c r="C284" s="171"/>
      <c r="D284" s="13"/>
      <c r="E284" s="13"/>
      <c r="F284" s="13"/>
      <c r="G284" s="13"/>
      <c r="H284" s="14"/>
      <c r="I284" s="14"/>
      <c r="J284" s="14"/>
      <c r="K284" s="14"/>
      <c r="L284" s="336"/>
      <c r="M284" s="95" t="str">
        <f t="shared" si="5"/>
        <v xml:space="preserve">   </v>
      </c>
    </row>
    <row r="285" spans="1:13" hidden="1" x14ac:dyDescent="0.2">
      <c r="A285" s="343"/>
      <c r="B285" s="172" t="str">
        <f>Capacidades!M875</f>
        <v xml:space="preserve">   </v>
      </c>
      <c r="C285" s="171"/>
      <c r="D285" s="13"/>
      <c r="E285" s="13"/>
      <c r="F285" s="13"/>
      <c r="G285" s="13"/>
      <c r="H285" s="14"/>
      <c r="I285" s="14"/>
      <c r="J285" s="14"/>
      <c r="K285" s="14"/>
      <c r="L285" s="336"/>
      <c r="M285" s="95" t="str">
        <f t="shared" si="5"/>
        <v xml:space="preserve">   </v>
      </c>
    </row>
    <row r="286" spans="1:13" ht="8.25" hidden="1" customHeight="1" x14ac:dyDescent="0.2">
      <c r="A286" s="343"/>
      <c r="B286" s="172" t="str">
        <f>Capacidades!M876</f>
        <v xml:space="preserve">   </v>
      </c>
      <c r="C286" s="171"/>
      <c r="D286" s="13"/>
      <c r="E286" s="13"/>
      <c r="F286" s="14"/>
      <c r="G286" s="14"/>
      <c r="H286" s="14"/>
      <c r="I286" s="14"/>
      <c r="J286" s="14"/>
      <c r="K286" s="14"/>
      <c r="L286" s="336"/>
      <c r="M286" s="95" t="str">
        <f t="shared" si="5"/>
        <v xml:space="preserve">   </v>
      </c>
    </row>
    <row r="287" spans="1:13" hidden="1" x14ac:dyDescent="0.2">
      <c r="A287" s="343"/>
      <c r="B287" s="172" t="str">
        <f>Capacidades!M877</f>
        <v xml:space="preserve">   </v>
      </c>
      <c r="C287" s="171"/>
      <c r="D287" s="13"/>
      <c r="E287" s="13"/>
      <c r="F287" s="14"/>
      <c r="G287" s="14"/>
      <c r="H287" s="14"/>
      <c r="I287" s="14"/>
      <c r="J287" s="14"/>
      <c r="K287" s="14"/>
      <c r="L287" s="336"/>
      <c r="M287" s="95" t="str">
        <f t="shared" ref="M287:M321" si="6">B287</f>
        <v xml:space="preserve">   </v>
      </c>
    </row>
    <row r="288" spans="1:13" hidden="1" x14ac:dyDescent="0.2">
      <c r="A288" s="343"/>
      <c r="B288" s="172" t="str">
        <f>Capacidades!M878</f>
        <v xml:space="preserve">   </v>
      </c>
      <c r="C288" s="171"/>
      <c r="D288" s="13"/>
      <c r="E288" s="13"/>
      <c r="F288" s="14"/>
      <c r="G288" s="14"/>
      <c r="H288" s="14"/>
      <c r="I288" s="14"/>
      <c r="J288" s="14"/>
      <c r="K288" s="14"/>
      <c r="L288" s="336"/>
      <c r="M288" s="95" t="str">
        <f t="shared" si="6"/>
        <v xml:space="preserve">   </v>
      </c>
    </row>
    <row r="289" spans="1:13" hidden="1" x14ac:dyDescent="0.2">
      <c r="A289" s="343"/>
      <c r="B289" s="172" t="str">
        <f>Capacidades!M879</f>
        <v xml:space="preserve">   </v>
      </c>
      <c r="C289" s="171"/>
      <c r="D289" s="13"/>
      <c r="E289" s="13"/>
      <c r="F289" s="14"/>
      <c r="G289" s="14"/>
      <c r="H289" s="14"/>
      <c r="I289" s="14"/>
      <c r="J289" s="14"/>
      <c r="K289" s="14"/>
      <c r="L289" s="336"/>
      <c r="M289" s="95" t="str">
        <f t="shared" si="6"/>
        <v xml:space="preserve">   </v>
      </c>
    </row>
    <row r="290" spans="1:13" hidden="1" x14ac:dyDescent="0.2">
      <c r="A290" s="343"/>
      <c r="B290" s="172" t="str">
        <f>Capacidades!M880</f>
        <v xml:space="preserve">   </v>
      </c>
      <c r="C290" s="171"/>
      <c r="D290" s="13"/>
      <c r="E290" s="13"/>
      <c r="F290" s="13"/>
      <c r="G290" s="13"/>
      <c r="H290" s="14"/>
      <c r="I290" s="14"/>
      <c r="J290" s="14"/>
      <c r="K290" s="14"/>
      <c r="L290" s="336"/>
      <c r="M290" s="95" t="str">
        <f t="shared" si="6"/>
        <v xml:space="preserve">   </v>
      </c>
    </row>
    <row r="291" spans="1:13" hidden="1" x14ac:dyDescent="0.2">
      <c r="A291" s="344"/>
      <c r="B291" s="172" t="str">
        <f>Capacidades!M881</f>
        <v xml:space="preserve">   </v>
      </c>
      <c r="C291" s="174"/>
      <c r="D291" s="13"/>
      <c r="E291" s="13"/>
      <c r="F291" s="13"/>
      <c r="G291" s="13"/>
      <c r="H291" s="14"/>
      <c r="I291" s="14"/>
      <c r="J291" s="14"/>
      <c r="K291" s="14"/>
      <c r="L291" s="336"/>
      <c r="M291" s="95" t="str">
        <f t="shared" si="6"/>
        <v xml:space="preserve">   </v>
      </c>
    </row>
    <row r="292" spans="1:13" hidden="1" x14ac:dyDescent="0.2">
      <c r="A292" s="342" t="str">
        <f>Capacidades!L882</f>
        <v xml:space="preserve">       </v>
      </c>
      <c r="B292" s="172" t="str">
        <f>Capacidades!M882</f>
        <v xml:space="preserve">   </v>
      </c>
      <c r="C292" s="171"/>
      <c r="D292" s="11">
        <f>Organización_Modular!F99</f>
        <v>0</v>
      </c>
      <c r="E292" s="11">
        <f>Organización_Modular!G99</f>
        <v>0</v>
      </c>
      <c r="F292" s="11">
        <f>Organización_Modular!H99</f>
        <v>0</v>
      </c>
      <c r="G292" s="11">
        <f>Organización_Modular!I99</f>
        <v>0</v>
      </c>
      <c r="H292" s="12">
        <f>SUM(F292:G292)</f>
        <v>0</v>
      </c>
      <c r="I292" s="12">
        <f>F292*16</f>
        <v>0</v>
      </c>
      <c r="J292" s="12">
        <f>G292*32</f>
        <v>0</v>
      </c>
      <c r="K292" s="12">
        <f>SUM(I292:J292)</f>
        <v>0</v>
      </c>
      <c r="L292" s="335"/>
      <c r="M292" s="95" t="str">
        <f t="shared" si="6"/>
        <v xml:space="preserve">   </v>
      </c>
    </row>
    <row r="293" spans="1:13" hidden="1" x14ac:dyDescent="0.2">
      <c r="A293" s="343"/>
      <c r="B293" s="172" t="str">
        <f>Capacidades!M883</f>
        <v xml:space="preserve">   </v>
      </c>
      <c r="C293" s="171"/>
      <c r="D293" s="13"/>
      <c r="E293" s="13"/>
      <c r="F293" s="13"/>
      <c r="G293" s="13"/>
      <c r="H293" s="14"/>
      <c r="I293" s="14"/>
      <c r="J293" s="14"/>
      <c r="K293" s="14"/>
      <c r="L293" s="336"/>
      <c r="M293" s="95" t="str">
        <f t="shared" si="6"/>
        <v xml:space="preserve">   </v>
      </c>
    </row>
    <row r="294" spans="1:13" hidden="1" x14ac:dyDescent="0.2">
      <c r="A294" s="343"/>
      <c r="B294" s="172" t="str">
        <f>Capacidades!M884</f>
        <v xml:space="preserve">   </v>
      </c>
      <c r="C294" s="171"/>
      <c r="D294" s="13"/>
      <c r="E294" s="13"/>
      <c r="F294" s="13"/>
      <c r="G294" s="13"/>
      <c r="H294" s="14"/>
      <c r="I294" s="14"/>
      <c r="J294" s="14"/>
      <c r="K294" s="14"/>
      <c r="L294" s="336"/>
      <c r="M294" s="95" t="str">
        <f t="shared" si="6"/>
        <v xml:space="preserve">   </v>
      </c>
    </row>
    <row r="295" spans="1:13" hidden="1" x14ac:dyDescent="0.2">
      <c r="A295" s="343"/>
      <c r="B295" s="172" t="str">
        <f>Capacidades!M885</f>
        <v xml:space="preserve">   </v>
      </c>
      <c r="C295" s="171"/>
      <c r="D295" s="13"/>
      <c r="E295" s="13"/>
      <c r="F295" s="13"/>
      <c r="G295" s="13"/>
      <c r="H295" s="14"/>
      <c r="I295" s="14"/>
      <c r="J295" s="14"/>
      <c r="K295" s="14"/>
      <c r="L295" s="336"/>
      <c r="M295" s="95" t="str">
        <f t="shared" si="6"/>
        <v xml:space="preserve">   </v>
      </c>
    </row>
    <row r="296" spans="1:13" hidden="1" x14ac:dyDescent="0.2">
      <c r="A296" s="343"/>
      <c r="B296" s="172" t="str">
        <f>Capacidades!M886</f>
        <v xml:space="preserve">   </v>
      </c>
      <c r="C296" s="171"/>
      <c r="D296" s="13"/>
      <c r="E296" s="13"/>
      <c r="F296" s="14"/>
      <c r="G296" s="14"/>
      <c r="H296" s="14"/>
      <c r="I296" s="14"/>
      <c r="J296" s="14"/>
      <c r="K296" s="14"/>
      <c r="L296" s="336"/>
      <c r="M296" s="95" t="str">
        <f t="shared" si="6"/>
        <v xml:space="preserve">   </v>
      </c>
    </row>
    <row r="297" spans="1:13" hidden="1" x14ac:dyDescent="0.2">
      <c r="A297" s="343"/>
      <c r="B297" s="172" t="str">
        <f>Capacidades!M887</f>
        <v xml:space="preserve">   </v>
      </c>
      <c r="C297" s="171"/>
      <c r="D297" s="13"/>
      <c r="E297" s="13"/>
      <c r="F297" s="14"/>
      <c r="G297" s="14"/>
      <c r="H297" s="14"/>
      <c r="I297" s="14"/>
      <c r="J297" s="14"/>
      <c r="K297" s="14"/>
      <c r="L297" s="336"/>
      <c r="M297" s="95" t="str">
        <f t="shared" si="6"/>
        <v xml:space="preserve">   </v>
      </c>
    </row>
    <row r="298" spans="1:13" hidden="1" x14ac:dyDescent="0.2">
      <c r="A298" s="343"/>
      <c r="B298" s="172" t="str">
        <f>Capacidades!M888</f>
        <v xml:space="preserve">   </v>
      </c>
      <c r="C298" s="171"/>
      <c r="D298" s="13"/>
      <c r="E298" s="13"/>
      <c r="F298" s="14"/>
      <c r="G298" s="14"/>
      <c r="H298" s="14"/>
      <c r="I298" s="14"/>
      <c r="J298" s="14"/>
      <c r="K298" s="14"/>
      <c r="L298" s="336"/>
      <c r="M298" s="95" t="str">
        <f t="shared" si="6"/>
        <v xml:space="preserve">   </v>
      </c>
    </row>
    <row r="299" spans="1:13" hidden="1" x14ac:dyDescent="0.2">
      <c r="A299" s="343"/>
      <c r="B299" s="172" t="str">
        <f>Capacidades!M889</f>
        <v xml:space="preserve">   </v>
      </c>
      <c r="C299" s="171"/>
      <c r="D299" s="13"/>
      <c r="E299" s="13"/>
      <c r="F299" s="14"/>
      <c r="G299" s="14"/>
      <c r="H299" s="14"/>
      <c r="I299" s="14"/>
      <c r="J299" s="14"/>
      <c r="K299" s="14"/>
      <c r="L299" s="336"/>
      <c r="M299" s="95" t="str">
        <f t="shared" si="6"/>
        <v xml:space="preserve">   </v>
      </c>
    </row>
    <row r="300" spans="1:13" hidden="1" x14ac:dyDescent="0.2">
      <c r="A300" s="343"/>
      <c r="B300" s="172" t="str">
        <f>Capacidades!M890</f>
        <v xml:space="preserve">   </v>
      </c>
      <c r="C300" s="171"/>
      <c r="D300" s="13"/>
      <c r="E300" s="13"/>
      <c r="F300" s="13"/>
      <c r="G300" s="13"/>
      <c r="H300" s="14"/>
      <c r="I300" s="14"/>
      <c r="J300" s="14"/>
      <c r="K300" s="14"/>
      <c r="L300" s="336"/>
      <c r="M300" s="95" t="str">
        <f t="shared" si="6"/>
        <v xml:space="preserve">   </v>
      </c>
    </row>
    <row r="301" spans="1:13" hidden="1" x14ac:dyDescent="0.2">
      <c r="A301" s="344"/>
      <c r="B301" s="172" t="str">
        <f>Capacidades!M891</f>
        <v xml:space="preserve">   </v>
      </c>
      <c r="C301" s="174"/>
      <c r="D301" s="13"/>
      <c r="E301" s="13"/>
      <c r="F301" s="13"/>
      <c r="G301" s="13"/>
      <c r="H301" s="14"/>
      <c r="I301" s="14"/>
      <c r="J301" s="14"/>
      <c r="K301" s="14"/>
      <c r="L301" s="336"/>
      <c r="M301" s="95" t="str">
        <f t="shared" si="6"/>
        <v xml:space="preserve">   </v>
      </c>
    </row>
    <row r="302" spans="1:13" hidden="1" x14ac:dyDescent="0.2">
      <c r="A302" s="342" t="str">
        <f>Capacidades!L892</f>
        <v xml:space="preserve">       </v>
      </c>
      <c r="B302" s="172" t="str">
        <f>Capacidades!M892</f>
        <v xml:space="preserve">   </v>
      </c>
      <c r="C302" s="171"/>
      <c r="D302" s="11">
        <f>Organización_Modular!F100</f>
        <v>0</v>
      </c>
      <c r="E302" s="11">
        <f>Organización_Modular!G100</f>
        <v>0</v>
      </c>
      <c r="F302" s="11">
        <f>Organización_Modular!H100</f>
        <v>0</v>
      </c>
      <c r="G302" s="11">
        <f>Organización_Modular!I100</f>
        <v>0</v>
      </c>
      <c r="H302" s="12">
        <f>SUM(F302:G302)</f>
        <v>0</v>
      </c>
      <c r="I302" s="12">
        <f>F302*16</f>
        <v>0</v>
      </c>
      <c r="J302" s="12">
        <f>G302*32</f>
        <v>0</v>
      </c>
      <c r="K302" s="12">
        <f>SUM(I302:J302)</f>
        <v>0</v>
      </c>
      <c r="L302" s="335"/>
      <c r="M302" s="95" t="str">
        <f t="shared" si="6"/>
        <v xml:space="preserve">   </v>
      </c>
    </row>
    <row r="303" spans="1:13" hidden="1" x14ac:dyDescent="0.2">
      <c r="A303" s="343"/>
      <c r="B303" s="172" t="str">
        <f>Capacidades!M893</f>
        <v xml:space="preserve">   </v>
      </c>
      <c r="C303" s="171"/>
      <c r="D303" s="13"/>
      <c r="E303" s="13"/>
      <c r="F303" s="13"/>
      <c r="G303" s="13"/>
      <c r="H303" s="14"/>
      <c r="I303" s="14"/>
      <c r="J303" s="14"/>
      <c r="K303" s="14"/>
      <c r="L303" s="336"/>
      <c r="M303" s="95" t="str">
        <f t="shared" si="6"/>
        <v xml:space="preserve">   </v>
      </c>
    </row>
    <row r="304" spans="1:13" hidden="1" x14ac:dyDescent="0.2">
      <c r="A304" s="343"/>
      <c r="B304" s="172" t="str">
        <f>Capacidades!M894</f>
        <v xml:space="preserve">   </v>
      </c>
      <c r="C304" s="171"/>
      <c r="D304" s="13"/>
      <c r="E304" s="13"/>
      <c r="F304" s="13"/>
      <c r="G304" s="13"/>
      <c r="H304" s="14"/>
      <c r="I304" s="14"/>
      <c r="J304" s="14"/>
      <c r="K304" s="14"/>
      <c r="L304" s="336"/>
      <c r="M304" s="95" t="str">
        <f t="shared" si="6"/>
        <v xml:space="preserve">   </v>
      </c>
    </row>
    <row r="305" spans="1:13" hidden="1" x14ac:dyDescent="0.2">
      <c r="A305" s="343"/>
      <c r="B305" s="172" t="str">
        <f>Capacidades!M895</f>
        <v xml:space="preserve">   </v>
      </c>
      <c r="C305" s="171"/>
      <c r="D305" s="13"/>
      <c r="E305" s="13"/>
      <c r="F305" s="13"/>
      <c r="G305" s="13"/>
      <c r="H305" s="14"/>
      <c r="I305" s="14"/>
      <c r="J305" s="14"/>
      <c r="K305" s="14"/>
      <c r="L305" s="336"/>
      <c r="M305" s="95" t="str">
        <f t="shared" si="6"/>
        <v xml:space="preserve">   </v>
      </c>
    </row>
    <row r="306" spans="1:13" hidden="1" x14ac:dyDescent="0.2">
      <c r="A306" s="343"/>
      <c r="B306" s="172" t="str">
        <f>Capacidades!M896</f>
        <v xml:space="preserve">   </v>
      </c>
      <c r="C306" s="171"/>
      <c r="D306" s="13"/>
      <c r="E306" s="13"/>
      <c r="F306" s="14"/>
      <c r="G306" s="14"/>
      <c r="H306" s="14"/>
      <c r="I306" s="14"/>
      <c r="J306" s="14"/>
      <c r="K306" s="14"/>
      <c r="L306" s="336"/>
      <c r="M306" s="95" t="str">
        <f t="shared" si="6"/>
        <v xml:space="preserve">   </v>
      </c>
    </row>
    <row r="307" spans="1:13" hidden="1" x14ac:dyDescent="0.2">
      <c r="A307" s="343"/>
      <c r="B307" s="172" t="str">
        <f>Capacidades!M897</f>
        <v xml:space="preserve">   </v>
      </c>
      <c r="C307" s="171"/>
      <c r="D307" s="13"/>
      <c r="E307" s="13"/>
      <c r="F307" s="14"/>
      <c r="G307" s="14"/>
      <c r="H307" s="14"/>
      <c r="I307" s="14"/>
      <c r="J307" s="14"/>
      <c r="K307" s="14"/>
      <c r="L307" s="336"/>
      <c r="M307" s="95" t="str">
        <f t="shared" si="6"/>
        <v xml:space="preserve">   </v>
      </c>
    </row>
    <row r="308" spans="1:13" hidden="1" x14ac:dyDescent="0.2">
      <c r="A308" s="343"/>
      <c r="B308" s="172" t="str">
        <f>Capacidades!M898</f>
        <v xml:space="preserve">   </v>
      </c>
      <c r="C308" s="171"/>
      <c r="D308" s="13"/>
      <c r="E308" s="13"/>
      <c r="F308" s="14"/>
      <c r="G308" s="14"/>
      <c r="H308" s="14"/>
      <c r="I308" s="14"/>
      <c r="J308" s="14"/>
      <c r="K308" s="14"/>
      <c r="L308" s="336"/>
      <c r="M308" s="95" t="str">
        <f t="shared" si="6"/>
        <v xml:space="preserve">   </v>
      </c>
    </row>
    <row r="309" spans="1:13" hidden="1" x14ac:dyDescent="0.2">
      <c r="A309" s="343"/>
      <c r="B309" s="172" t="str">
        <f>Capacidades!M899</f>
        <v xml:space="preserve">   </v>
      </c>
      <c r="C309" s="171"/>
      <c r="D309" s="13"/>
      <c r="E309" s="13"/>
      <c r="F309" s="14"/>
      <c r="G309" s="14"/>
      <c r="H309" s="14"/>
      <c r="I309" s="14"/>
      <c r="J309" s="14"/>
      <c r="K309" s="14"/>
      <c r="L309" s="336"/>
      <c r="M309" s="95" t="str">
        <f t="shared" si="6"/>
        <v xml:space="preserve">   </v>
      </c>
    </row>
    <row r="310" spans="1:13" hidden="1" x14ac:dyDescent="0.2">
      <c r="A310" s="343"/>
      <c r="B310" s="172" t="str">
        <f>Capacidades!M900</f>
        <v xml:space="preserve">   </v>
      </c>
      <c r="C310" s="171"/>
      <c r="D310" s="13"/>
      <c r="E310" s="13"/>
      <c r="F310" s="13"/>
      <c r="G310" s="13"/>
      <c r="H310" s="14"/>
      <c r="I310" s="14"/>
      <c r="J310" s="14"/>
      <c r="K310" s="14"/>
      <c r="L310" s="336"/>
      <c r="M310" s="95" t="str">
        <f t="shared" si="6"/>
        <v xml:space="preserve">   </v>
      </c>
    </row>
    <row r="311" spans="1:13" hidden="1" x14ac:dyDescent="0.2">
      <c r="A311" s="344"/>
      <c r="B311" s="172" t="str">
        <f>Capacidades!M901</f>
        <v xml:space="preserve">   </v>
      </c>
      <c r="C311" s="174"/>
      <c r="D311" s="13"/>
      <c r="E311" s="13"/>
      <c r="F311" s="13"/>
      <c r="G311" s="13"/>
      <c r="H311" s="14"/>
      <c r="I311" s="14"/>
      <c r="J311" s="14"/>
      <c r="K311" s="14"/>
      <c r="L311" s="336"/>
      <c r="M311" s="95" t="str">
        <f t="shared" si="6"/>
        <v xml:space="preserve">   </v>
      </c>
    </row>
    <row r="312" spans="1:13" hidden="1" x14ac:dyDescent="0.2">
      <c r="A312" s="342" t="str">
        <f>Capacidades!L902</f>
        <v xml:space="preserve">       </v>
      </c>
      <c r="B312" s="172" t="str">
        <f>Capacidades!M902</f>
        <v xml:space="preserve">   </v>
      </c>
      <c r="C312" s="171"/>
      <c r="D312" s="11">
        <f>Organización_Modular!F101</f>
        <v>0</v>
      </c>
      <c r="E312" s="11">
        <f>Organización_Modular!G101</f>
        <v>0</v>
      </c>
      <c r="F312" s="11">
        <f>Organización_Modular!H101</f>
        <v>0</v>
      </c>
      <c r="G312" s="11">
        <f>Organización_Modular!I101</f>
        <v>0</v>
      </c>
      <c r="H312" s="12">
        <f>SUM(F312:G312)</f>
        <v>0</v>
      </c>
      <c r="I312" s="12">
        <f>F312*16</f>
        <v>0</v>
      </c>
      <c r="J312" s="12">
        <f>G312*32</f>
        <v>0</v>
      </c>
      <c r="K312" s="12">
        <f>SUM(I312:J312)</f>
        <v>0</v>
      </c>
      <c r="L312" s="335"/>
      <c r="M312" s="95" t="str">
        <f t="shared" si="6"/>
        <v xml:space="preserve">   </v>
      </c>
    </row>
    <row r="313" spans="1:13" hidden="1" x14ac:dyDescent="0.2">
      <c r="A313" s="343"/>
      <c r="B313" s="172" t="str">
        <f>Capacidades!M903</f>
        <v xml:space="preserve">   </v>
      </c>
      <c r="C313" s="171"/>
      <c r="D313" s="13"/>
      <c r="E313" s="13"/>
      <c r="F313" s="14"/>
      <c r="G313" s="14"/>
      <c r="H313" s="14"/>
      <c r="I313" s="14"/>
      <c r="J313" s="14"/>
      <c r="K313" s="14"/>
      <c r="L313" s="336"/>
      <c r="M313" s="95" t="str">
        <f t="shared" si="6"/>
        <v xml:space="preserve">   </v>
      </c>
    </row>
    <row r="314" spans="1:13" hidden="1" x14ac:dyDescent="0.2">
      <c r="A314" s="343"/>
      <c r="B314" s="172" t="str">
        <f>Capacidades!M904</f>
        <v xml:space="preserve">   </v>
      </c>
      <c r="C314" s="171"/>
      <c r="D314" s="13"/>
      <c r="E314" s="13"/>
      <c r="F314" s="14"/>
      <c r="G314" s="14"/>
      <c r="H314" s="14"/>
      <c r="I314" s="14"/>
      <c r="J314" s="14"/>
      <c r="K314" s="14"/>
      <c r="L314" s="336"/>
      <c r="M314" s="95" t="str">
        <f t="shared" si="6"/>
        <v xml:space="preserve">   </v>
      </c>
    </row>
    <row r="315" spans="1:13" hidden="1" x14ac:dyDescent="0.2">
      <c r="A315" s="343"/>
      <c r="B315" s="172" t="str">
        <f>Capacidades!M905</f>
        <v xml:space="preserve">   </v>
      </c>
      <c r="C315" s="171"/>
      <c r="D315" s="13"/>
      <c r="E315" s="13"/>
      <c r="F315" s="14"/>
      <c r="G315" s="14"/>
      <c r="H315" s="14"/>
      <c r="I315" s="14"/>
      <c r="J315" s="14"/>
      <c r="K315" s="14"/>
      <c r="L315" s="336"/>
      <c r="M315" s="95" t="str">
        <f t="shared" si="6"/>
        <v xml:space="preserve">   </v>
      </c>
    </row>
    <row r="316" spans="1:13" hidden="1" x14ac:dyDescent="0.2">
      <c r="A316" s="343"/>
      <c r="B316" s="172" t="str">
        <f>Capacidades!M906</f>
        <v xml:space="preserve">   </v>
      </c>
      <c r="C316" s="171"/>
      <c r="D316" s="13"/>
      <c r="E316" s="13"/>
      <c r="F316" s="14"/>
      <c r="G316" s="14"/>
      <c r="H316" s="14"/>
      <c r="I316" s="14"/>
      <c r="J316" s="14"/>
      <c r="K316" s="14"/>
      <c r="L316" s="336"/>
      <c r="M316" s="95" t="str">
        <f t="shared" si="6"/>
        <v xml:space="preserve">   </v>
      </c>
    </row>
    <row r="317" spans="1:13" hidden="1" x14ac:dyDescent="0.2">
      <c r="A317" s="343"/>
      <c r="B317" s="172" t="str">
        <f>Capacidades!M907</f>
        <v xml:space="preserve">   </v>
      </c>
      <c r="C317" s="171"/>
      <c r="D317" s="13"/>
      <c r="E317" s="13"/>
      <c r="F317" s="14"/>
      <c r="G317" s="14"/>
      <c r="H317" s="14"/>
      <c r="I317" s="14"/>
      <c r="J317" s="14"/>
      <c r="K317" s="14"/>
      <c r="L317" s="336"/>
      <c r="M317" s="95" t="str">
        <f t="shared" si="6"/>
        <v xml:space="preserve">   </v>
      </c>
    </row>
    <row r="318" spans="1:13" hidden="1" x14ac:dyDescent="0.2">
      <c r="A318" s="343"/>
      <c r="B318" s="172" t="str">
        <f>Capacidades!M908</f>
        <v xml:space="preserve">   </v>
      </c>
      <c r="C318" s="171"/>
      <c r="D318" s="13"/>
      <c r="E318" s="13"/>
      <c r="F318" s="14"/>
      <c r="G318" s="14"/>
      <c r="H318" s="14"/>
      <c r="I318" s="14"/>
      <c r="J318" s="14"/>
      <c r="K318" s="14"/>
      <c r="L318" s="336"/>
      <c r="M318" s="95" t="str">
        <f t="shared" si="6"/>
        <v xml:space="preserve">   </v>
      </c>
    </row>
    <row r="319" spans="1:13" hidden="1" x14ac:dyDescent="0.2">
      <c r="A319" s="343"/>
      <c r="B319" s="172" t="str">
        <f>Capacidades!M909</f>
        <v xml:space="preserve">   </v>
      </c>
      <c r="C319" s="171"/>
      <c r="D319" s="13"/>
      <c r="E319" s="13"/>
      <c r="F319" s="14"/>
      <c r="G319" s="14"/>
      <c r="H319" s="14"/>
      <c r="I319" s="14"/>
      <c r="J319" s="14"/>
      <c r="K319" s="14"/>
      <c r="L319" s="336"/>
      <c r="M319" s="95" t="str">
        <f t="shared" si="6"/>
        <v xml:space="preserve">   </v>
      </c>
    </row>
    <row r="320" spans="1:13" hidden="1" x14ac:dyDescent="0.2">
      <c r="A320" s="343"/>
      <c r="B320" s="172" t="str">
        <f>Capacidades!M910</f>
        <v xml:space="preserve">   </v>
      </c>
      <c r="C320" s="171"/>
      <c r="D320" s="13"/>
      <c r="E320" s="13"/>
      <c r="F320" s="14"/>
      <c r="G320" s="14"/>
      <c r="H320" s="14"/>
      <c r="I320" s="14"/>
      <c r="J320" s="14"/>
      <c r="K320" s="14"/>
      <c r="L320" s="336"/>
      <c r="M320" s="95" t="str">
        <f t="shared" si="6"/>
        <v xml:space="preserve">   </v>
      </c>
    </row>
    <row r="321" spans="1:13" hidden="1" x14ac:dyDescent="0.2">
      <c r="A321" s="344"/>
      <c r="B321" s="172" t="str">
        <f>Capacidades!M911</f>
        <v xml:space="preserve">   </v>
      </c>
      <c r="C321" s="174"/>
      <c r="D321" s="13"/>
      <c r="E321" s="13"/>
      <c r="F321" s="14"/>
      <c r="G321" s="14"/>
      <c r="H321" s="14"/>
      <c r="I321" s="14"/>
      <c r="J321" s="14"/>
      <c r="K321" s="14"/>
      <c r="L321" s="336"/>
      <c r="M321" s="95" t="str">
        <f t="shared" si="6"/>
        <v xml:space="preserve">   </v>
      </c>
    </row>
    <row r="322" spans="1:13" ht="24.75" customHeight="1" x14ac:dyDescent="0.2">
      <c r="A322" s="380" t="s">
        <v>106</v>
      </c>
      <c r="B322" s="380"/>
      <c r="C322" s="380"/>
      <c r="D322" s="380"/>
      <c r="E322" s="380"/>
      <c r="F322" s="380"/>
      <c r="G322" s="380"/>
      <c r="H322" s="380"/>
      <c r="I322" s="380"/>
      <c r="J322" s="380"/>
      <c r="K322" s="380"/>
      <c r="L322" s="380"/>
      <c r="M322" s="95" t="str">
        <f>A322</f>
        <v xml:space="preserve">COMPETENCIAS PARA LA EMPLEABILIDAD INCORPORADAS COMO CONTENIDO  TRANSVERSAL </v>
      </c>
    </row>
    <row r="323" spans="1:13" ht="18" customHeight="1" x14ac:dyDescent="0.2">
      <c r="A323" s="353" t="str">
        <f>'M2'!A324:L324</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19.5" customHeight="1" x14ac:dyDescent="0.2">
      <c r="A324" s="353" t="str">
        <f>'M2'!A325:L325</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23.25" customHeight="1" x14ac:dyDescent="0.2">
      <c r="A325" s="353"/>
      <c r="B325" s="353"/>
      <c r="C325" s="353"/>
      <c r="D325" s="353"/>
      <c r="E325" s="353"/>
      <c r="F325" s="353"/>
      <c r="G325" s="353"/>
      <c r="H325" s="353"/>
      <c r="I325" s="353"/>
      <c r="J325" s="353"/>
      <c r="K325" s="353"/>
      <c r="L325" s="353"/>
      <c r="M325" s="95">
        <f t="shared" si="7"/>
        <v>0</v>
      </c>
    </row>
    <row r="326" spans="1:13" ht="25.5" customHeight="1" x14ac:dyDescent="0.2">
      <c r="A326" s="349" t="s">
        <v>92</v>
      </c>
      <c r="B326" s="349"/>
      <c r="C326" s="349" t="s">
        <v>91</v>
      </c>
      <c r="D326" s="349"/>
      <c r="E326" s="349"/>
      <c r="F326" s="349"/>
      <c r="G326" s="349"/>
      <c r="H326" s="349"/>
      <c r="I326" s="349"/>
      <c r="J326" s="349"/>
      <c r="K326" s="349"/>
      <c r="L326" s="349"/>
      <c r="M326" s="95" t="str">
        <f t="shared" si="7"/>
        <v>CAPACIDADES A FORTALECER</v>
      </c>
    </row>
    <row r="327" spans="1:13" ht="52.5" customHeight="1" x14ac:dyDescent="0.2">
      <c r="A327" s="353" t="str">
        <f ca="1">OFFSET($A$9,(ROW()-326)*10-1,0)</f>
        <v xml:space="preserve">UC3 C1 Desarrollar  las pruebas unitarias  de acuerdo a la funcionalidad del software y aplicando buenas prácticas de TI     </v>
      </c>
      <c r="B327" s="353"/>
      <c r="C327" s="365" t="s">
        <v>393</v>
      </c>
      <c r="D327" s="366"/>
      <c r="E327" s="366"/>
      <c r="F327" s="366"/>
      <c r="G327" s="366"/>
      <c r="H327" s="366"/>
      <c r="I327" s="366"/>
      <c r="J327" s="366"/>
      <c r="K327" s="366"/>
      <c r="L327" s="367"/>
      <c r="M327" s="95" t="str">
        <f t="shared" ca="1" si="7"/>
        <v xml:space="preserve">UC3 C1 Desarrollar  las pruebas unitarias  de acuerdo a la funcionalidad del software y aplicando buenas prácticas de TI     </v>
      </c>
    </row>
    <row r="328" spans="1:13" ht="68.25" customHeight="1" x14ac:dyDescent="0.2">
      <c r="A328" s="353" t="str">
        <f t="shared" ref="A328:A346" ca="1" si="8">OFFSET($A$9,(ROW()-326)*10-1,0)</f>
        <v xml:space="preserve">UC3 C2 Implementar sistemas de información o servicios TI, de acuerdo a los requerimientos y aplicando buenas prácticas de TI.    </v>
      </c>
      <c r="B328" s="353"/>
      <c r="C328" s="368"/>
      <c r="D328" s="369"/>
      <c r="E328" s="369"/>
      <c r="F328" s="369"/>
      <c r="G328" s="369"/>
      <c r="H328" s="369"/>
      <c r="I328" s="369"/>
      <c r="J328" s="369"/>
      <c r="K328" s="369"/>
      <c r="L328" s="370"/>
      <c r="M328" s="95" t="str">
        <f t="shared" ca="1" si="7"/>
        <v xml:space="preserve">UC3 C2 Implementar sistemas de información o servicios TI, de acuerdo a los requerimientos y aplicando buenas prácticas de TI.    </v>
      </c>
    </row>
    <row r="329" spans="1:13" ht="63" customHeight="1" x14ac:dyDescent="0.2">
      <c r="A329" s="353" t="str">
        <f t="shared" ca="1" si="8"/>
        <v xml:space="preserve">UC3 C3 Implementar acciones correctivas ante un mal funcionamiento del sistema de información o servicios de TI,  de acuerdo con el diseño funcional del sistema o servicio de TI y buenas prácticas de TI.    </v>
      </c>
      <c r="B329" s="353"/>
      <c r="C329" s="368"/>
      <c r="D329" s="369"/>
      <c r="E329" s="369"/>
      <c r="F329" s="369"/>
      <c r="G329" s="369"/>
      <c r="H329" s="369"/>
      <c r="I329" s="369"/>
      <c r="J329" s="369"/>
      <c r="K329" s="369"/>
      <c r="L329" s="370"/>
      <c r="M329" s="95" t="str">
        <f t="shared" ca="1" si="7"/>
        <v xml:space="preserve">UC3 C3 Implementar acciones correctivas ante un mal funcionamiento del sistema de información o servicios de TI,  de acuerdo con el diseño funcional del sistema o servicio de TI y buenas prácticas de TI.    </v>
      </c>
    </row>
    <row r="330" spans="1:13" ht="12.75" hidden="1" customHeight="1" x14ac:dyDescent="0.2">
      <c r="A330" s="353" t="str">
        <f t="shared" ca="1" si="8"/>
        <v xml:space="preserve">       </v>
      </c>
      <c r="B330" s="353"/>
      <c r="C330" s="368"/>
      <c r="D330" s="369"/>
      <c r="E330" s="369"/>
      <c r="F330" s="369"/>
      <c r="G330" s="369"/>
      <c r="H330" s="369"/>
      <c r="I330" s="369"/>
      <c r="J330" s="369"/>
      <c r="K330" s="369"/>
      <c r="L330" s="370"/>
      <c r="M330" s="95" t="str">
        <f t="shared" ca="1" si="7"/>
        <v xml:space="preserve">       </v>
      </c>
    </row>
    <row r="331" spans="1:13" ht="24.75" hidden="1" customHeight="1" x14ac:dyDescent="0.2">
      <c r="A331" s="353" t="str">
        <f t="shared" ca="1" si="8"/>
        <v xml:space="preserve">       </v>
      </c>
      <c r="B331" s="353"/>
      <c r="C331" s="368"/>
      <c r="D331" s="369"/>
      <c r="E331" s="369"/>
      <c r="F331" s="369"/>
      <c r="G331" s="369"/>
      <c r="H331" s="369"/>
      <c r="I331" s="369"/>
      <c r="J331" s="369"/>
      <c r="K331" s="369"/>
      <c r="L331" s="370"/>
      <c r="M331" s="95" t="str">
        <f t="shared" ca="1" si="7"/>
        <v xml:space="preserve">       </v>
      </c>
    </row>
    <row r="332" spans="1:13" ht="23.25" hidden="1" customHeight="1" x14ac:dyDescent="0.2">
      <c r="A332" s="353" t="str">
        <f t="shared" ca="1" si="8"/>
        <v xml:space="preserve">       </v>
      </c>
      <c r="B332" s="353"/>
      <c r="C332" s="368"/>
      <c r="D332" s="369"/>
      <c r="E332" s="369"/>
      <c r="F332" s="369"/>
      <c r="G332" s="369"/>
      <c r="H332" s="369"/>
      <c r="I332" s="369"/>
      <c r="J332" s="369"/>
      <c r="K332" s="369"/>
      <c r="L332" s="370"/>
      <c r="M332" s="95" t="str">
        <f t="shared" ca="1" si="7"/>
        <v xml:space="preserve">       </v>
      </c>
    </row>
    <row r="333" spans="1:13" ht="28.5" hidden="1" customHeight="1" x14ac:dyDescent="0.2">
      <c r="A333" s="353" t="str">
        <f t="shared" ca="1" si="8"/>
        <v xml:space="preserve">       </v>
      </c>
      <c r="B333" s="353"/>
      <c r="C333" s="368"/>
      <c r="D333" s="369"/>
      <c r="E333" s="369"/>
      <c r="F333" s="369"/>
      <c r="G333" s="369"/>
      <c r="H333" s="369"/>
      <c r="I333" s="369"/>
      <c r="J333" s="369"/>
      <c r="K333" s="369"/>
      <c r="L333" s="370"/>
      <c r="M333" s="95" t="str">
        <f t="shared" ca="1" si="7"/>
        <v xml:space="preserve">       </v>
      </c>
    </row>
    <row r="334" spans="1:13" ht="24.75" hidden="1" customHeight="1" x14ac:dyDescent="0.2">
      <c r="A334" s="353" t="str">
        <f t="shared" ca="1" si="8"/>
        <v xml:space="preserve">       </v>
      </c>
      <c r="B334" s="353"/>
      <c r="C334" s="368"/>
      <c r="D334" s="369"/>
      <c r="E334" s="369"/>
      <c r="F334" s="369"/>
      <c r="G334" s="369"/>
      <c r="H334" s="369"/>
      <c r="I334" s="369"/>
      <c r="J334" s="369"/>
      <c r="K334" s="369"/>
      <c r="L334" s="370"/>
      <c r="M334" s="95" t="str">
        <f t="shared" ca="1" si="7"/>
        <v xml:space="preserve">       </v>
      </c>
    </row>
    <row r="335" spans="1:13" ht="19.5" hidden="1" customHeight="1" x14ac:dyDescent="0.2">
      <c r="A335" s="353" t="str">
        <f t="shared" ca="1" si="8"/>
        <v xml:space="preserve">       </v>
      </c>
      <c r="B335" s="353"/>
      <c r="C335" s="368"/>
      <c r="D335" s="369"/>
      <c r="E335" s="369"/>
      <c r="F335" s="369"/>
      <c r="G335" s="369"/>
      <c r="H335" s="369"/>
      <c r="I335" s="369"/>
      <c r="J335" s="369"/>
      <c r="K335" s="369"/>
      <c r="L335" s="370"/>
      <c r="M335" s="95" t="str">
        <f t="shared" ca="1" si="7"/>
        <v xml:space="preserve">       </v>
      </c>
    </row>
    <row r="336" spans="1:13" ht="21.75" hidden="1" customHeight="1" x14ac:dyDescent="0.2">
      <c r="A336" s="353" t="str">
        <f t="shared" ca="1" si="8"/>
        <v xml:space="preserve">       </v>
      </c>
      <c r="B336" s="353"/>
      <c r="C336" s="368"/>
      <c r="D336" s="369"/>
      <c r="E336" s="369"/>
      <c r="F336" s="369"/>
      <c r="G336" s="369"/>
      <c r="H336" s="369"/>
      <c r="I336" s="369"/>
      <c r="J336" s="369"/>
      <c r="K336" s="369"/>
      <c r="L336" s="370"/>
      <c r="M336" s="95" t="str">
        <f t="shared" ca="1" si="7"/>
        <v xml:space="preserve">       </v>
      </c>
    </row>
    <row r="337" spans="1:13" ht="26.25" hidden="1" customHeight="1" x14ac:dyDescent="0.2">
      <c r="A337" s="353" t="str">
        <f t="shared" ca="1" si="8"/>
        <v xml:space="preserve">       </v>
      </c>
      <c r="B337" s="353"/>
      <c r="C337" s="368"/>
      <c r="D337" s="369"/>
      <c r="E337" s="369"/>
      <c r="F337" s="369"/>
      <c r="G337" s="369"/>
      <c r="H337" s="369"/>
      <c r="I337" s="369"/>
      <c r="J337" s="369"/>
      <c r="K337" s="369"/>
      <c r="L337" s="370"/>
      <c r="M337" s="95" t="str">
        <f t="shared" ca="1" si="7"/>
        <v xml:space="preserve">       </v>
      </c>
    </row>
    <row r="338" spans="1:13" ht="19.5" hidden="1" customHeight="1" x14ac:dyDescent="0.2">
      <c r="A338" s="353" t="str">
        <f t="shared" ca="1" si="8"/>
        <v xml:space="preserve">       </v>
      </c>
      <c r="B338" s="353"/>
      <c r="C338" s="368"/>
      <c r="D338" s="369"/>
      <c r="E338" s="369"/>
      <c r="F338" s="369"/>
      <c r="G338" s="369"/>
      <c r="H338" s="369"/>
      <c r="I338" s="369"/>
      <c r="J338" s="369"/>
      <c r="K338" s="369"/>
      <c r="L338" s="370"/>
      <c r="M338" s="95" t="str">
        <f t="shared" ca="1" si="7"/>
        <v xml:space="preserve">       </v>
      </c>
    </row>
    <row r="339" spans="1:13" ht="26.25" hidden="1" customHeight="1" x14ac:dyDescent="0.2">
      <c r="A339" s="353" t="str">
        <f t="shared" ca="1" si="8"/>
        <v xml:space="preserve">       </v>
      </c>
      <c r="B339" s="353"/>
      <c r="C339" s="368"/>
      <c r="D339" s="369"/>
      <c r="E339" s="369"/>
      <c r="F339" s="369"/>
      <c r="G339" s="369"/>
      <c r="H339" s="369"/>
      <c r="I339" s="369"/>
      <c r="J339" s="369"/>
      <c r="K339" s="369"/>
      <c r="L339" s="370"/>
      <c r="M339" s="95" t="str">
        <f t="shared" ca="1" si="7"/>
        <v xml:space="preserve">       </v>
      </c>
    </row>
    <row r="340" spans="1:13" ht="21" hidden="1" customHeight="1" x14ac:dyDescent="0.2">
      <c r="A340" s="353" t="str">
        <f t="shared" ca="1" si="8"/>
        <v xml:space="preserve">       </v>
      </c>
      <c r="B340" s="353"/>
      <c r="C340" s="368"/>
      <c r="D340" s="369"/>
      <c r="E340" s="369"/>
      <c r="F340" s="369"/>
      <c r="G340" s="369"/>
      <c r="H340" s="369"/>
      <c r="I340" s="369"/>
      <c r="J340" s="369"/>
      <c r="K340" s="369"/>
      <c r="L340" s="370"/>
      <c r="M340" s="95" t="str">
        <f t="shared" ca="1" si="7"/>
        <v xml:space="preserve">       </v>
      </c>
    </row>
    <row r="341" spans="1:13" ht="24.75" hidden="1" customHeight="1" x14ac:dyDescent="0.2">
      <c r="A341" s="353" t="str">
        <f t="shared" ca="1" si="8"/>
        <v xml:space="preserve">       </v>
      </c>
      <c r="B341" s="353"/>
      <c r="C341" s="368"/>
      <c r="D341" s="369"/>
      <c r="E341" s="369"/>
      <c r="F341" s="369"/>
      <c r="G341" s="369"/>
      <c r="H341" s="369"/>
      <c r="I341" s="369"/>
      <c r="J341" s="369"/>
      <c r="K341" s="369"/>
      <c r="L341" s="370"/>
      <c r="M341" s="95" t="str">
        <f t="shared" ca="1" si="7"/>
        <v xml:space="preserve">       </v>
      </c>
    </row>
    <row r="342" spans="1:13" ht="27" hidden="1" customHeight="1" x14ac:dyDescent="0.2">
      <c r="A342" s="353" t="str">
        <f t="shared" ca="1" si="8"/>
        <v xml:space="preserve">       </v>
      </c>
      <c r="B342" s="353"/>
      <c r="C342" s="368"/>
      <c r="D342" s="369"/>
      <c r="E342" s="369"/>
      <c r="F342" s="369"/>
      <c r="G342" s="369"/>
      <c r="H342" s="369"/>
      <c r="I342" s="369"/>
      <c r="J342" s="369"/>
      <c r="K342" s="369"/>
      <c r="L342" s="370"/>
      <c r="M342" s="95" t="str">
        <f t="shared" ca="1" si="7"/>
        <v xml:space="preserve">       </v>
      </c>
    </row>
    <row r="343" spans="1:13" ht="25.5" hidden="1" customHeight="1" x14ac:dyDescent="0.2">
      <c r="A343" s="353" t="str">
        <f t="shared" ca="1" si="8"/>
        <v xml:space="preserve">       </v>
      </c>
      <c r="B343" s="353"/>
      <c r="C343" s="368"/>
      <c r="D343" s="369"/>
      <c r="E343" s="369"/>
      <c r="F343" s="369"/>
      <c r="G343" s="369"/>
      <c r="H343" s="369"/>
      <c r="I343" s="369"/>
      <c r="J343" s="369"/>
      <c r="K343" s="369"/>
      <c r="L343" s="370"/>
      <c r="M343" s="95" t="str">
        <f t="shared" ca="1" si="7"/>
        <v xml:space="preserve">       </v>
      </c>
    </row>
    <row r="344" spans="1:13" ht="30.75" hidden="1" customHeight="1" x14ac:dyDescent="0.2">
      <c r="A344" s="353" t="str">
        <f t="shared" ca="1" si="8"/>
        <v xml:space="preserve">       </v>
      </c>
      <c r="B344" s="353"/>
      <c r="C344" s="368"/>
      <c r="D344" s="369"/>
      <c r="E344" s="369"/>
      <c r="F344" s="369"/>
      <c r="G344" s="369"/>
      <c r="H344" s="369"/>
      <c r="I344" s="369"/>
      <c r="J344" s="369"/>
      <c r="K344" s="369"/>
      <c r="L344" s="370"/>
      <c r="M344" s="95" t="str">
        <f t="shared" ca="1" si="7"/>
        <v xml:space="preserve">       </v>
      </c>
    </row>
    <row r="345" spans="1:13" ht="45" hidden="1" customHeight="1" x14ac:dyDescent="0.2">
      <c r="A345" s="353" t="str">
        <f ca="1">OFFSET($A$9,(ROW()-326)*10-1,0)</f>
        <v xml:space="preserve">       </v>
      </c>
      <c r="B345" s="353"/>
      <c r="C345" s="368"/>
      <c r="D345" s="369"/>
      <c r="E345" s="369"/>
      <c r="F345" s="369"/>
      <c r="G345" s="369"/>
      <c r="H345" s="369"/>
      <c r="I345" s="369"/>
      <c r="J345" s="369"/>
      <c r="K345" s="369"/>
      <c r="L345" s="370"/>
      <c r="M345" s="95" t="str">
        <f t="shared" ca="1" si="7"/>
        <v xml:space="preserve">       </v>
      </c>
    </row>
    <row r="346" spans="1:13" ht="28.5" hidden="1" customHeight="1" x14ac:dyDescent="0.2">
      <c r="A346" s="353" t="str">
        <f t="shared" ca="1" si="8"/>
        <v xml:space="preserve">       </v>
      </c>
      <c r="B346" s="353"/>
      <c r="C346" s="368"/>
      <c r="D346" s="369"/>
      <c r="E346" s="369"/>
      <c r="F346" s="369"/>
      <c r="G346" s="369"/>
      <c r="H346" s="369"/>
      <c r="I346" s="369"/>
      <c r="J346" s="369"/>
      <c r="K346" s="369"/>
      <c r="L346" s="370"/>
      <c r="M346" s="95" t="str">
        <f t="shared" ca="1" si="7"/>
        <v xml:space="preserve">       </v>
      </c>
    </row>
    <row r="347" spans="1:13" ht="33" customHeight="1" x14ac:dyDescent="0.2">
      <c r="A347" s="353" t="str">
        <f ca="1">OFFSET($A$213,(ROW()-346)*10-1,0)</f>
        <v xml:space="preserve">CE2 C1 Utilizar aplicaciones y herramientas informáticas de las TIC de manera responsable y técnica.    </v>
      </c>
      <c r="B347" s="353"/>
      <c r="C347" s="368"/>
      <c r="D347" s="369"/>
      <c r="E347" s="369"/>
      <c r="F347" s="369"/>
      <c r="G347" s="369"/>
      <c r="H347" s="369"/>
      <c r="I347" s="369"/>
      <c r="J347" s="369"/>
      <c r="K347" s="369"/>
      <c r="L347" s="370"/>
      <c r="M347" s="95" t="str">
        <f t="shared" ca="1" si="7"/>
        <v xml:space="preserve">CE2 C1 Utilizar aplicaciones y herramientas informáticas de las TIC de manera responsable y técnica.    </v>
      </c>
    </row>
    <row r="348" spans="1:13" ht="32.25" customHeight="1" x14ac:dyDescent="0.2">
      <c r="A348" s="353" t="str">
        <f t="shared" ref="A348:A356" ca="1" si="9">OFFSET($A$213,(ROW()-346)*10-1,0)</f>
        <v xml:space="preserve">CE2 C2 Utilizar software de aplicación  en la realización de tareas y requerimientos vinculados a su programa de estudio.    </v>
      </c>
      <c r="B348" s="353"/>
      <c r="C348" s="368"/>
      <c r="D348" s="369"/>
      <c r="E348" s="369"/>
      <c r="F348" s="369"/>
      <c r="G348" s="369"/>
      <c r="H348" s="369"/>
      <c r="I348" s="369"/>
      <c r="J348" s="369"/>
      <c r="K348" s="369"/>
      <c r="L348" s="370"/>
      <c r="M348" s="95" t="str">
        <f t="shared" ca="1" si="7"/>
        <v xml:space="preserve">CE2 C2 Utilizar software de aplicación  en la realización de tareas y requerimientos vinculados a su programa de estudio.    </v>
      </c>
    </row>
    <row r="349" spans="1:13" ht="15.75" hidden="1" customHeight="1" x14ac:dyDescent="0.2">
      <c r="A349" s="353" t="str">
        <f t="shared" ca="1" si="9"/>
        <v xml:space="preserve">       </v>
      </c>
      <c r="B349" s="353"/>
      <c r="C349" s="368"/>
      <c r="D349" s="369"/>
      <c r="E349" s="369"/>
      <c r="F349" s="369"/>
      <c r="G349" s="369"/>
      <c r="H349" s="369"/>
      <c r="I349" s="369"/>
      <c r="J349" s="369"/>
      <c r="K349" s="369"/>
      <c r="L349" s="370"/>
      <c r="M349" s="95" t="str">
        <f t="shared" ca="1" si="7"/>
        <v xml:space="preserve">       </v>
      </c>
    </row>
    <row r="350" spans="1:13" ht="37.5" hidden="1" customHeight="1" x14ac:dyDescent="0.2">
      <c r="A350" s="353" t="str">
        <f t="shared" ca="1" si="9"/>
        <v xml:space="preserve">       </v>
      </c>
      <c r="B350" s="353"/>
      <c r="C350" s="368"/>
      <c r="D350" s="369"/>
      <c r="E350" s="369"/>
      <c r="F350" s="369"/>
      <c r="G350" s="369"/>
      <c r="H350" s="369"/>
      <c r="I350" s="369"/>
      <c r="J350" s="369"/>
      <c r="K350" s="369"/>
      <c r="L350" s="370"/>
      <c r="M350" s="95" t="str">
        <f t="shared" ca="1" si="7"/>
        <v xml:space="preserve">       </v>
      </c>
    </row>
    <row r="351" spans="1:13" ht="58.5" hidden="1" customHeight="1" x14ac:dyDescent="0.2">
      <c r="A351" s="353" t="str">
        <f t="shared" ca="1" si="9"/>
        <v xml:space="preserve">       </v>
      </c>
      <c r="B351" s="353"/>
      <c r="C351" s="368"/>
      <c r="D351" s="369"/>
      <c r="E351" s="369"/>
      <c r="F351" s="369"/>
      <c r="G351" s="369"/>
      <c r="H351" s="369"/>
      <c r="I351" s="369"/>
      <c r="J351" s="369"/>
      <c r="K351" s="369"/>
      <c r="L351" s="370"/>
      <c r="M351" s="95" t="str">
        <f t="shared" ca="1" si="7"/>
        <v xml:space="preserve">       </v>
      </c>
    </row>
    <row r="352" spans="1:13" ht="44.25" hidden="1" customHeight="1" x14ac:dyDescent="0.2">
      <c r="A352" s="353" t="str">
        <f t="shared" ca="1" si="9"/>
        <v xml:space="preserve">       </v>
      </c>
      <c r="B352" s="353"/>
      <c r="C352" s="368"/>
      <c r="D352" s="369"/>
      <c r="E352" s="369"/>
      <c r="F352" s="369"/>
      <c r="G352" s="369"/>
      <c r="H352" s="369"/>
      <c r="I352" s="369"/>
      <c r="J352" s="369"/>
      <c r="K352" s="369"/>
      <c r="L352" s="370"/>
      <c r="M352" s="95" t="str">
        <f t="shared" ca="1" si="7"/>
        <v xml:space="preserve">       </v>
      </c>
    </row>
    <row r="353" spans="1:13" ht="30" hidden="1" customHeight="1" x14ac:dyDescent="0.2">
      <c r="A353" s="353" t="str">
        <f t="shared" ca="1" si="9"/>
        <v xml:space="preserve">       </v>
      </c>
      <c r="B353" s="353"/>
      <c r="C353" s="368"/>
      <c r="D353" s="369"/>
      <c r="E353" s="369"/>
      <c r="F353" s="369"/>
      <c r="G353" s="369"/>
      <c r="H353" s="369"/>
      <c r="I353" s="369"/>
      <c r="J353" s="369"/>
      <c r="K353" s="369"/>
      <c r="L353" s="370"/>
      <c r="M353" s="95" t="str">
        <f t="shared" ca="1" si="7"/>
        <v xml:space="preserve">       </v>
      </c>
    </row>
    <row r="354" spans="1:13" ht="28.5" hidden="1" customHeight="1" x14ac:dyDescent="0.2">
      <c r="A354" s="353" t="str">
        <f t="shared" ca="1" si="9"/>
        <v xml:space="preserve">       </v>
      </c>
      <c r="B354" s="353"/>
      <c r="C354" s="368"/>
      <c r="D354" s="369"/>
      <c r="E354" s="369"/>
      <c r="F354" s="369"/>
      <c r="G354" s="369"/>
      <c r="H354" s="369"/>
      <c r="I354" s="369"/>
      <c r="J354" s="369"/>
      <c r="K354" s="369"/>
      <c r="L354" s="370"/>
      <c r="M354" s="95" t="str">
        <f t="shared" ca="1" si="7"/>
        <v xml:space="preserve">       </v>
      </c>
    </row>
    <row r="355" spans="1:13" ht="30.75" hidden="1" customHeight="1" x14ac:dyDescent="0.2">
      <c r="A355" s="353" t="str">
        <f t="shared" ca="1" si="9"/>
        <v xml:space="preserve">       </v>
      </c>
      <c r="B355" s="353"/>
      <c r="C355" s="368"/>
      <c r="D355" s="369"/>
      <c r="E355" s="369"/>
      <c r="F355" s="369"/>
      <c r="G355" s="369"/>
      <c r="H355" s="369"/>
      <c r="I355" s="369"/>
      <c r="J355" s="369"/>
      <c r="K355" s="369"/>
      <c r="L355" s="370"/>
      <c r="M355" s="95" t="str">
        <f t="shared" ca="1" si="7"/>
        <v xml:space="preserve">       </v>
      </c>
    </row>
    <row r="356" spans="1:13" ht="192" hidden="1" customHeight="1" x14ac:dyDescent="0.2">
      <c r="A356" s="353" t="str">
        <f t="shared" ca="1" si="9"/>
        <v xml:space="preserve">       </v>
      </c>
      <c r="B356" s="353"/>
      <c r="C356" s="371"/>
      <c r="D356" s="372"/>
      <c r="E356" s="372"/>
      <c r="F356" s="372"/>
      <c r="G356" s="372"/>
      <c r="H356" s="372"/>
      <c r="I356" s="372"/>
      <c r="J356" s="372"/>
      <c r="K356" s="372"/>
      <c r="L356" s="373"/>
      <c r="M356" s="95" t="str">
        <f t="shared" ca="1" si="7"/>
        <v xml:space="preserve">       </v>
      </c>
    </row>
    <row r="357" spans="1:13" s="57" customFormat="1" ht="28.5" customHeight="1" x14ac:dyDescent="0.2">
      <c r="A357" s="380" t="str">
        <f>'M1'!A350:L350</f>
        <v>EXPERIENCIAS FORMATIVAS EN SITUACIONES REALES DE TRABAJO (EFSRT)</v>
      </c>
      <c r="B357" s="380"/>
      <c r="C357" s="380"/>
      <c r="D357" s="380"/>
      <c r="E357" s="380"/>
      <c r="F357" s="380"/>
      <c r="G357" s="380"/>
      <c r="H357" s="380"/>
      <c r="I357" s="380"/>
      <c r="J357" s="380"/>
      <c r="K357" s="380"/>
      <c r="L357" s="380"/>
      <c r="M357" s="95" t="str">
        <f t="shared" si="7"/>
        <v>EXPERIENCIAS FORMATIVAS EN SITUACIONES REALES DE TRABAJO (EFSRT)</v>
      </c>
    </row>
    <row r="358" spans="1:13" s="57" customFormat="1" ht="18.75" customHeight="1" x14ac:dyDescent="0.2">
      <c r="A358" s="161" t="str">
        <f>'M1'!A351</f>
        <v>LUGAR PARA EL DESARROLLO DE LA EFSRT</v>
      </c>
      <c r="B358" s="161" t="str">
        <f>'M1'!B351</f>
        <v>AMBIENTES/ÁREAS (1)</v>
      </c>
      <c r="C358" s="381" t="str">
        <f>'M1'!C351:J351</f>
        <v>DESCRIPCIÓN DE LA ESTRATEGIA PARA LA IMPLEMENTACIÓN DE LA EFSRT (2)</v>
      </c>
      <c r="D358" s="381"/>
      <c r="E358" s="381"/>
      <c r="F358" s="381"/>
      <c r="G358" s="381"/>
      <c r="H358" s="381"/>
      <c r="I358" s="381"/>
      <c r="J358" s="381"/>
      <c r="K358" s="161" t="str">
        <f>'M1'!K351</f>
        <v>CRÉDITOS</v>
      </c>
      <c r="L358" s="161" t="str">
        <f>'M1'!L351</f>
        <v>HORAS (P)</v>
      </c>
      <c r="M358" s="95" t="str">
        <f t="shared" si="7"/>
        <v>LUGAR PARA EL DESARROLLO DE LA EFSRT</v>
      </c>
    </row>
    <row r="359" spans="1:13" s="57" customFormat="1" ht="254.25" customHeight="1" x14ac:dyDescent="0.2">
      <c r="A359" s="197" t="s">
        <v>145</v>
      </c>
      <c r="B359" s="169" t="s">
        <v>550</v>
      </c>
      <c r="C359" s="374" t="s">
        <v>392</v>
      </c>
      <c r="D359" s="375"/>
      <c r="E359" s="375"/>
      <c r="F359" s="375"/>
      <c r="G359" s="375"/>
      <c r="H359" s="375"/>
      <c r="I359" s="375"/>
      <c r="J359" s="376"/>
      <c r="K359" s="17">
        <f>Organización_Modular!I102</f>
        <v>3</v>
      </c>
      <c r="L359" s="18">
        <f>K359*32</f>
        <v>96</v>
      </c>
      <c r="M359" s="95" t="str">
        <f>C359</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7" customFormat="1" ht="276" customHeight="1" x14ac:dyDescent="0.2">
      <c r="A360" s="252"/>
      <c r="B360" s="169" t="s">
        <v>548</v>
      </c>
      <c r="C360" s="377" t="s">
        <v>547</v>
      </c>
      <c r="D360" s="378"/>
      <c r="E360" s="378"/>
      <c r="F360" s="378"/>
      <c r="G360" s="378"/>
      <c r="H360" s="378"/>
      <c r="I360" s="378"/>
      <c r="J360" s="379"/>
      <c r="K360" s="92"/>
      <c r="L360" s="93"/>
      <c r="M360" s="95" t="str">
        <f>C360</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1" spans="1:13" ht="28.5" customHeight="1" x14ac:dyDescent="0.2">
      <c r="A361" s="323" t="str">
        <f>'M1'!A354</f>
        <v>(1) Colocar el nombre del espacio, área u otros, donde se desarrolla las EFSRT
(2) Realizar una breve descripción respecto al desarrollo de las EFSRT, según el lugar de realización.</v>
      </c>
      <c r="B361" s="323"/>
      <c r="M361" s="95" t="str">
        <f>A361</f>
        <v>(1) Colocar el nombre del espacio, área u otros, donde se desarrolla las EFSRT
(2) Realizar una breve descripción respecto al desarrollo de las EFSRT, según el lugar de realización.</v>
      </c>
    </row>
    <row r="362" spans="1:13" ht="36" customHeight="1" x14ac:dyDescent="0.2">
      <c r="A362" s="138" t="s">
        <v>144</v>
      </c>
      <c r="B362" s="139" t="s">
        <v>148</v>
      </c>
      <c r="M362" s="51"/>
    </row>
    <row r="363" spans="1:13" ht="33" customHeight="1" x14ac:dyDescent="0.2">
      <c r="A363" s="138" t="s">
        <v>145</v>
      </c>
      <c r="B363" s="139" t="s">
        <v>149</v>
      </c>
      <c r="M363" s="51"/>
    </row>
    <row r="364" spans="1:13" ht="22.5" customHeight="1" x14ac:dyDescent="0.2">
      <c r="A364" s="138"/>
      <c r="B364" s="139" t="s">
        <v>152</v>
      </c>
    </row>
    <row r="365" spans="1:13" ht="21" customHeight="1" x14ac:dyDescent="0.2">
      <c r="A365" s="138"/>
      <c r="B365" s="139" t="s">
        <v>150</v>
      </c>
    </row>
    <row r="366" spans="1:13" ht="23.25" customHeight="1" x14ac:dyDescent="0.2">
      <c r="A366" s="138"/>
      <c r="B366" s="139" t="s">
        <v>151</v>
      </c>
    </row>
    <row r="367" spans="1:13" ht="23.25" customHeight="1" x14ac:dyDescent="0.2">
      <c r="A367" s="134"/>
      <c r="B367" s="139" t="s">
        <v>153</v>
      </c>
    </row>
  </sheetData>
  <autoFilter ref="A16:M367" xr:uid="{00000000-0009-0000-0000-000006000000}">
    <filterColumn colId="5" showButton="0"/>
    <filterColumn colId="8" showButton="0"/>
  </autoFilter>
  <mergeCells count="139">
    <mergeCell ref="L222:L241"/>
    <mergeCell ref="L28:L47"/>
    <mergeCell ref="A18:A27"/>
    <mergeCell ref="A28:A37"/>
    <mergeCell ref="A38:A47"/>
    <mergeCell ref="A48:A57"/>
    <mergeCell ref="A58:A67"/>
    <mergeCell ref="A68:A77"/>
    <mergeCell ref="A78:A87"/>
    <mergeCell ref="A88:A97"/>
    <mergeCell ref="A98:A10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168:L177"/>
    <mergeCell ref="L178:L187"/>
    <mergeCell ref="L48:L57"/>
    <mergeCell ref="L58:L67"/>
    <mergeCell ref="L68:L77"/>
    <mergeCell ref="L78:L87"/>
    <mergeCell ref="L88:L97"/>
    <mergeCell ref="L188:L197"/>
    <mergeCell ref="L198:L207"/>
    <mergeCell ref="L208:L217"/>
    <mergeCell ref="A13:L13"/>
    <mergeCell ref="A14:L14"/>
    <mergeCell ref="B15:L15"/>
    <mergeCell ref="A16:A17"/>
    <mergeCell ref="B16:B17"/>
    <mergeCell ref="C16:C17"/>
    <mergeCell ref="D16:D17"/>
    <mergeCell ref="F16:G16"/>
    <mergeCell ref="H16:H17"/>
    <mergeCell ref="E16:E17"/>
    <mergeCell ref="I16:J16"/>
    <mergeCell ref="K16:K17"/>
    <mergeCell ref="L16:L17"/>
    <mergeCell ref="I7:L7"/>
    <mergeCell ref="F9:H9"/>
    <mergeCell ref="I9:L9"/>
    <mergeCell ref="B11:C11"/>
    <mergeCell ref="F11:H11"/>
    <mergeCell ref="I11:L11"/>
    <mergeCell ref="A1:L1"/>
    <mergeCell ref="B3:C3"/>
    <mergeCell ref="F3:H3"/>
    <mergeCell ref="I3:L3"/>
    <mergeCell ref="F5:H5"/>
    <mergeCell ref="I5:L5"/>
    <mergeCell ref="F7:H7"/>
    <mergeCell ref="A168:A177"/>
    <mergeCell ref="A178:A187"/>
    <mergeCell ref="A188:A197"/>
    <mergeCell ref="A198:A207"/>
    <mergeCell ref="A208:A217"/>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s>
  <conditionalFormatting sqref="A359">
    <cfRule type="containsBlanks" dxfId="59" priority="3">
      <formula>LEN(TRIM(C359))=0</formula>
    </cfRule>
  </conditionalFormatting>
  <conditionalFormatting sqref="B359:J359">
    <cfRule type="containsBlanks" dxfId="58" priority="2">
      <formula>LEN(TRIM(B359))=0</formula>
    </cfRule>
  </conditionalFormatting>
  <conditionalFormatting sqref="C18:C217 L18:L28 C222:C321 L222 C327:L356 B360:J360 L242:L321 L48:L217">
    <cfRule type="containsBlanks" dxfId="57" priority="5">
      <formula>LEN(TRIM(B18))=0</formula>
    </cfRule>
  </conditionalFormatting>
  <dataValidations count="1">
    <dataValidation type="list" allowBlank="1" showInputMessage="1" showErrorMessage="1" sqref="A359: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4 M18:M358 D323:L324"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002060"/>
  </sheetPr>
  <dimension ref="A1:M367"/>
  <sheetViews>
    <sheetView showGridLines="0" view="pageBreakPreview" topLeftCell="A357" zoomScaleNormal="85" zoomScaleSheetLayoutView="100" workbookViewId="0">
      <selection activeCell="F365" sqref="F365"/>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9.140625" style="2" customWidth="1"/>
    <col min="14" max="16384" width="11.42578125" style="2"/>
  </cols>
  <sheetData>
    <row r="1" spans="1:13" s="57" customFormat="1" ht="18.75" x14ac:dyDescent="0.2">
      <c r="A1" s="345" t="str">
        <f>'M3'!A1:L1</f>
        <v>ORGANIZACIÓN DE LOS ELEMENTOS DEL MÓDULO</v>
      </c>
      <c r="B1" s="345"/>
      <c r="C1" s="345"/>
      <c r="D1" s="345"/>
      <c r="E1" s="345"/>
      <c r="F1" s="345"/>
      <c r="G1" s="345"/>
      <c r="H1" s="345"/>
      <c r="I1" s="345"/>
      <c r="J1" s="345"/>
      <c r="K1" s="345"/>
      <c r="L1" s="345"/>
    </row>
    <row r="2" spans="1:13" s="57" customFormat="1" ht="15.75" x14ac:dyDescent="0.2">
      <c r="A2" s="91"/>
      <c r="B2" s="91"/>
      <c r="C2" s="91"/>
      <c r="D2" s="91"/>
      <c r="E2" s="91"/>
      <c r="F2" s="91"/>
      <c r="G2" s="91"/>
      <c r="H2" s="91"/>
      <c r="I2" s="91"/>
      <c r="J2" s="91"/>
      <c r="K2" s="91"/>
      <c r="L2" s="91"/>
    </row>
    <row r="3" spans="1:13" ht="25.5" customHeight="1" x14ac:dyDescent="0.2">
      <c r="A3" s="19" t="s">
        <v>38</v>
      </c>
      <c r="B3" s="292" t="str">
        <f>Perfil_Egreso!B3</f>
        <v>CETPRO JUANJUI</v>
      </c>
      <c r="C3" s="292"/>
      <c r="D3" s="9"/>
      <c r="E3" s="9"/>
      <c r="F3" s="327" t="s">
        <v>186</v>
      </c>
      <c r="G3" s="327"/>
      <c r="H3" s="328"/>
      <c r="I3" s="325" t="str">
        <f>Perfil_Egreso!E3</f>
        <v>0533836</v>
      </c>
      <c r="J3" s="326"/>
      <c r="K3" s="326"/>
      <c r="L3" s="310"/>
    </row>
    <row r="4" spans="1:13" ht="15" customHeight="1" x14ac:dyDescent="0.2">
      <c r="A4" s="35"/>
      <c r="B4" s="35"/>
      <c r="C4" s="20"/>
      <c r="D4" s="20"/>
      <c r="E4" s="20"/>
      <c r="F4" s="9"/>
      <c r="G4" s="9"/>
      <c r="H4" s="9"/>
      <c r="I4" s="9"/>
      <c r="J4" s="9"/>
      <c r="K4" s="9"/>
      <c r="L4" s="9"/>
    </row>
    <row r="5" spans="1:13" ht="43.5"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row>
    <row r="13" spans="1:13" ht="18.75" customHeight="1" x14ac:dyDescent="0.2">
      <c r="A13" s="346" t="s">
        <v>104</v>
      </c>
      <c r="B13" s="346"/>
      <c r="C13" s="346"/>
      <c r="D13" s="346"/>
      <c r="E13" s="346"/>
      <c r="F13" s="346"/>
      <c r="G13" s="346"/>
      <c r="H13" s="346"/>
      <c r="I13" s="346"/>
      <c r="J13" s="346"/>
      <c r="K13" s="346"/>
      <c r="L13" s="346"/>
    </row>
    <row r="14" spans="1:13" ht="38.25" customHeight="1" x14ac:dyDescent="0.2">
      <c r="A14" s="347" t="str">
        <f>Organización_Modular!C103</f>
        <v>UC4: Implementar y configurar las redes y servicios de comunicaciones efectuando las pruebas y certificaciones, de 
acuerdo con las necesidades del negocio, estándares internacionales de TI y políticas de seguridad de la organización.</v>
      </c>
      <c r="B14" s="347"/>
      <c r="C14" s="347"/>
      <c r="D14" s="347"/>
      <c r="E14" s="347"/>
      <c r="F14" s="347"/>
      <c r="G14" s="347"/>
      <c r="H14" s="347"/>
      <c r="I14" s="347"/>
      <c r="J14" s="347"/>
      <c r="K14" s="347"/>
      <c r="L14" s="347"/>
    </row>
    <row r="15" spans="1:13" ht="21" x14ac:dyDescent="0.2">
      <c r="A15" s="159" t="s">
        <v>103</v>
      </c>
      <c r="B15" s="348" t="str">
        <f>Organización_Modular!A103</f>
        <v>MÓDULO IV:   IMPLEMENTACIÓN Y CONFIGURACIÓN DE REDES DE SISTEMAS DE INFORMACION Y SERVICIOS TI</v>
      </c>
      <c r="C15" s="348"/>
      <c r="D15" s="348"/>
      <c r="E15" s="348"/>
      <c r="F15" s="348"/>
      <c r="G15" s="348"/>
      <c r="H15" s="348"/>
      <c r="I15" s="348"/>
      <c r="J15" s="348"/>
      <c r="K15" s="348"/>
      <c r="L15" s="348"/>
    </row>
    <row r="16" spans="1:13" ht="18" customHeight="1" x14ac:dyDescent="0.2">
      <c r="A16" s="349" t="s">
        <v>102</v>
      </c>
      <c r="B16" s="349" t="s">
        <v>101</v>
      </c>
      <c r="C16" s="349" t="s">
        <v>97</v>
      </c>
      <c r="D16" s="349" t="s">
        <v>0</v>
      </c>
      <c r="E16" s="349" t="s">
        <v>61</v>
      </c>
      <c r="F16" s="349" t="s">
        <v>90</v>
      </c>
      <c r="G16" s="349"/>
      <c r="H16" s="349" t="s">
        <v>90</v>
      </c>
      <c r="I16" s="349" t="s">
        <v>96</v>
      </c>
      <c r="J16" s="349"/>
      <c r="K16" s="349" t="s">
        <v>96</v>
      </c>
      <c r="L16" s="349" t="s">
        <v>100</v>
      </c>
      <c r="M16" s="363" t="s">
        <v>118</v>
      </c>
    </row>
    <row r="17" spans="1:13" ht="15.75" customHeight="1" x14ac:dyDescent="0.2">
      <c r="A17" s="349"/>
      <c r="B17" s="349"/>
      <c r="C17" s="349"/>
      <c r="D17" s="349"/>
      <c r="E17" s="349"/>
      <c r="F17" s="162" t="s">
        <v>94</v>
      </c>
      <c r="G17" s="162" t="s">
        <v>93</v>
      </c>
      <c r="H17" s="349"/>
      <c r="I17" s="162" t="s">
        <v>94</v>
      </c>
      <c r="J17" s="162" t="s">
        <v>93</v>
      </c>
      <c r="K17" s="349"/>
      <c r="L17" s="349"/>
      <c r="M17" s="363"/>
    </row>
    <row r="18" spans="1:13" ht="168" x14ac:dyDescent="0.2">
      <c r="A18" s="342" t="str">
        <f>Capacidades!L913</f>
        <v xml:space="preserve">UC 4 C1 Instalar las redes y servicios de comunicaciones efectuando las pruebas y certificaciones,  de 
acuerdo con las necesidades del negocio, estándares internacionales de TI y políticas de seguridad de la organización.    </v>
      </c>
      <c r="B18" s="170" t="str">
        <f>Capacidades!M913</f>
        <v>C1 I1 Realiza la planificación de la instalación de las redes y servicios de comunicaciones considerando las necesidades del cliente, los recursos requeridos, estándares internacionales de TI y políticas de seguridad de la organización.</v>
      </c>
      <c r="C18" s="171" t="s">
        <v>606</v>
      </c>
      <c r="D18" s="11" t="str">
        <f>Organización_Modular!F103</f>
        <v xml:space="preserve">Instalación de redes y comunicaciones </v>
      </c>
      <c r="E18" s="11" t="str">
        <f>Organización_Modular!G103</f>
        <v>IV</v>
      </c>
      <c r="F18" s="11">
        <f>Organización_Modular!H103</f>
        <v>3</v>
      </c>
      <c r="G18" s="11">
        <f>Organización_Modular!I103</f>
        <v>1</v>
      </c>
      <c r="H18" s="12">
        <f>SUM(F18:G18)</f>
        <v>4</v>
      </c>
      <c r="I18" s="12">
        <f>F18*16</f>
        <v>48</v>
      </c>
      <c r="J18" s="12">
        <f>G18*32</f>
        <v>32</v>
      </c>
      <c r="K18" s="12">
        <f>SUM(I18:J18)</f>
        <v>80</v>
      </c>
      <c r="L18" s="338" t="s">
        <v>631</v>
      </c>
      <c r="M18" s="95" t="str">
        <f>B18</f>
        <v>C1 I1 Realiza la planificación de la instalación de las redes y servicios de comunicaciones considerando las necesidades del cliente, los recursos requeridos, estándares internacionales de TI y políticas de seguridad de la organización.</v>
      </c>
    </row>
    <row r="19" spans="1:13" ht="132" x14ac:dyDescent="0.2">
      <c r="A19" s="343"/>
      <c r="B19" s="170" t="str">
        <f>Capacidades!M914</f>
        <v>C1 I2 Realiza la instalación de infraestuctura de red (redes inalámbricas, fibra óptica,  cableado UTP) y servicios de comunicaciones
 de acuerdo con las necesidades del negocio, los estándares internacionales de TI y políticas de seguridad de la organización.</v>
      </c>
      <c r="C19" s="171" t="s">
        <v>607</v>
      </c>
      <c r="D19" s="13"/>
      <c r="E19" s="13"/>
      <c r="F19" s="13"/>
      <c r="G19" s="13"/>
      <c r="H19" s="14"/>
      <c r="I19" s="14"/>
      <c r="J19" s="14"/>
      <c r="K19" s="14"/>
      <c r="L19" s="339"/>
      <c r="M19" s="95" t="str">
        <f t="shared" ref="M19:M82" si="0">B19</f>
        <v>C1 I2 Realiza la instalación de infraestuctura de red (redes inalámbricas, fibra óptica,  cableado UTP) y servicios de comunicaciones
 de acuerdo con las necesidades del negocio, los estándares internacionales de TI y políticas de seguridad de la organización.</v>
      </c>
    </row>
    <row r="20" spans="1:13" ht="87.75" customHeight="1" x14ac:dyDescent="0.2">
      <c r="A20" s="343"/>
      <c r="B20" s="170" t="str">
        <f>Capacidades!M915</f>
        <v xml:space="preserve">C1 I3 Realiza  pruebas o comprobación de las funcionalidades de la infraestructura de red y servicios de comunicación. de acuerdo con las necesidades del negocio, los estándares internacionales de TI y políticas de seguridad de la organización </v>
      </c>
      <c r="C20" s="171" t="s">
        <v>608</v>
      </c>
      <c r="D20" s="13"/>
      <c r="E20" s="13"/>
      <c r="F20" s="13"/>
      <c r="G20" s="13"/>
      <c r="H20" s="14"/>
      <c r="I20" s="14"/>
      <c r="J20" s="14"/>
      <c r="K20" s="14"/>
      <c r="L20" s="339"/>
      <c r="M20" s="95" t="str">
        <f t="shared" si="0"/>
        <v xml:space="preserve">C1 I3 Realiza  pruebas o comprobación de las funcionalidades de la infraestructura de red y servicios de comunicación. de acuerdo con las necesidades del negocio, los estándares internacionales de TI y políticas de seguridad de la organización </v>
      </c>
    </row>
    <row r="21" spans="1:13" ht="3" hidden="1" customHeight="1" x14ac:dyDescent="0.2">
      <c r="A21" s="343"/>
      <c r="B21" s="170" t="str">
        <f>Capacidades!M916</f>
        <v xml:space="preserve">   </v>
      </c>
      <c r="C21" s="171"/>
      <c r="D21" s="13"/>
      <c r="E21" s="13"/>
      <c r="F21" s="13"/>
      <c r="G21" s="13"/>
      <c r="H21" s="14"/>
      <c r="I21" s="14"/>
      <c r="J21" s="14"/>
      <c r="K21" s="14"/>
      <c r="L21" s="339"/>
      <c r="M21" s="95" t="str">
        <f t="shared" si="0"/>
        <v xml:space="preserve">   </v>
      </c>
    </row>
    <row r="22" spans="1:13" ht="12.75" hidden="1" customHeight="1" x14ac:dyDescent="0.2">
      <c r="A22" s="343"/>
      <c r="B22" s="170" t="str">
        <f>Capacidades!M917</f>
        <v xml:space="preserve">   </v>
      </c>
      <c r="C22" s="171"/>
      <c r="D22" s="13"/>
      <c r="E22" s="13"/>
      <c r="F22" s="13"/>
      <c r="G22" s="13"/>
      <c r="H22" s="14"/>
      <c r="I22" s="14"/>
      <c r="J22" s="14"/>
      <c r="K22" s="14"/>
      <c r="L22" s="339"/>
      <c r="M22" s="95" t="str">
        <f t="shared" si="0"/>
        <v xml:space="preserve">   </v>
      </c>
    </row>
    <row r="23" spans="1:13" ht="12.75" hidden="1" customHeight="1" x14ac:dyDescent="0.2">
      <c r="A23" s="343"/>
      <c r="B23" s="170" t="str">
        <f>Capacidades!M918</f>
        <v xml:space="preserve">   </v>
      </c>
      <c r="C23" s="171"/>
      <c r="D23" s="13"/>
      <c r="E23" s="13"/>
      <c r="F23" s="13"/>
      <c r="G23" s="13"/>
      <c r="H23" s="14"/>
      <c r="I23" s="14"/>
      <c r="J23" s="14"/>
      <c r="K23" s="14"/>
      <c r="L23" s="339"/>
      <c r="M23" s="95" t="str">
        <f t="shared" si="0"/>
        <v xml:space="preserve">   </v>
      </c>
    </row>
    <row r="24" spans="1:13" ht="12.75" hidden="1" customHeight="1" x14ac:dyDescent="0.2">
      <c r="A24" s="343"/>
      <c r="B24" s="170" t="str">
        <f>Capacidades!M919</f>
        <v xml:space="preserve">   </v>
      </c>
      <c r="C24" s="171"/>
      <c r="D24" s="13"/>
      <c r="E24" s="13"/>
      <c r="F24" s="13"/>
      <c r="G24" s="13"/>
      <c r="H24" s="14"/>
      <c r="I24" s="14"/>
      <c r="J24" s="14"/>
      <c r="K24" s="14"/>
      <c r="L24" s="339"/>
      <c r="M24" s="95" t="str">
        <f t="shared" si="0"/>
        <v xml:space="preserve">   </v>
      </c>
    </row>
    <row r="25" spans="1:13" ht="12.75" hidden="1" customHeight="1" x14ac:dyDescent="0.2">
      <c r="A25" s="343"/>
      <c r="B25" s="170" t="str">
        <f>Capacidades!M920</f>
        <v xml:space="preserve">   </v>
      </c>
      <c r="C25" s="171"/>
      <c r="D25" s="13"/>
      <c r="E25" s="13"/>
      <c r="F25" s="13"/>
      <c r="G25" s="13"/>
      <c r="H25" s="14"/>
      <c r="I25" s="14"/>
      <c r="J25" s="14"/>
      <c r="K25" s="14"/>
      <c r="L25" s="339"/>
      <c r="M25" s="95" t="str">
        <f t="shared" si="0"/>
        <v xml:space="preserve">   </v>
      </c>
    </row>
    <row r="26" spans="1:13" ht="12.75" hidden="1" customHeight="1" x14ac:dyDescent="0.2">
      <c r="A26" s="343"/>
      <c r="B26" s="170" t="str">
        <f>Capacidades!M921</f>
        <v xml:space="preserve">   </v>
      </c>
      <c r="C26" s="171"/>
      <c r="D26" s="13"/>
      <c r="E26" s="13"/>
      <c r="F26" s="13"/>
      <c r="G26" s="13"/>
      <c r="H26" s="14"/>
      <c r="I26" s="14"/>
      <c r="J26" s="14"/>
      <c r="K26" s="14"/>
      <c r="L26" s="339"/>
      <c r="M26" s="95" t="str">
        <f t="shared" si="0"/>
        <v xml:space="preserve">   </v>
      </c>
    </row>
    <row r="27" spans="1:13" ht="12.75" hidden="1" customHeight="1" x14ac:dyDescent="0.2">
      <c r="A27" s="344"/>
      <c r="B27" s="170" t="str">
        <f>Capacidades!M922</f>
        <v xml:space="preserve">   </v>
      </c>
      <c r="C27" s="171"/>
      <c r="D27" s="15"/>
      <c r="E27" s="15"/>
      <c r="F27" s="15"/>
      <c r="G27" s="15"/>
      <c r="H27" s="16"/>
      <c r="I27" s="16"/>
      <c r="J27" s="16"/>
      <c r="K27" s="16"/>
      <c r="L27" s="340"/>
      <c r="M27" s="95" t="str">
        <f t="shared" si="0"/>
        <v xml:space="preserve">   </v>
      </c>
    </row>
    <row r="28" spans="1:13" ht="126" customHeight="1" x14ac:dyDescent="0.2">
      <c r="A28" s="342" t="str">
        <f>Capacidades!L923</f>
        <v xml:space="preserve">UC4 C2 Ejecutar la configuración de la infraestructura de redes y telecomunicaciones de la empresa  de acuerdo con la arquitectura e infraestructura  de sistemas, requerimientos del negocio, estándares internacionales de TI y políticas de seguridad de la organización.    </v>
      </c>
      <c r="B28" s="170" t="str">
        <f>Capacidades!M923</f>
        <v>C2 I1 Realiza la configuración básica para la funcionalidad de los dispositivos de la infraestructura de red. de acuerdo con la arquitectura e infraestructura  de sistemas, requerimientos del negocio, estándares internacionales de TI y políticas de seguridad de la organización.</v>
      </c>
      <c r="C28" s="234" t="s">
        <v>609</v>
      </c>
      <c r="D28" s="11" t="str">
        <f>Organización_Modular!F104</f>
        <v>Configuración de redes y telecomunicaciones</v>
      </c>
      <c r="E28" s="11" t="str">
        <f>Organización_Modular!G104</f>
        <v>IV</v>
      </c>
      <c r="F28" s="11">
        <f>Organización_Modular!H104</f>
        <v>2</v>
      </c>
      <c r="G28" s="11">
        <f>Organización_Modular!I104</f>
        <v>1</v>
      </c>
      <c r="H28" s="12">
        <f>SUM(F28:G28)</f>
        <v>3</v>
      </c>
      <c r="I28" s="12">
        <f>F28*16</f>
        <v>32</v>
      </c>
      <c r="J28" s="12">
        <f>G28*32</f>
        <v>32</v>
      </c>
      <c r="K28" s="12">
        <f>SUM(I28:J28)</f>
        <v>64</v>
      </c>
      <c r="L28" s="338" t="s">
        <v>631</v>
      </c>
      <c r="M28" s="95" t="str">
        <f t="shared" si="0"/>
        <v>C2 I1 Realiza la configuración básica para la funcionalidad de los dispositivos de la infraestructura de red. de acuerdo con la arquitectura e infraestructura  de sistemas, requerimientos del negocio, estándares internacionales de TI y políticas de seguridad de la organización.</v>
      </c>
    </row>
    <row r="29" spans="1:13" ht="165.75" x14ac:dyDescent="0.2">
      <c r="A29" s="343"/>
      <c r="B29" s="170" t="str">
        <f>Capacidades!M924</f>
        <v>C2 I2 Implementa la administración de políticas de red y seguridad. de acuerdo con la arquitectura e infraestructura  de sistemas, requerimientos del negocio, estándares internacionales de TI y políticas de seguridad de la organización.</v>
      </c>
      <c r="C29" s="234" t="s">
        <v>620</v>
      </c>
      <c r="D29" s="13"/>
      <c r="E29" s="13"/>
      <c r="F29" s="13"/>
      <c r="G29" s="13"/>
      <c r="H29" s="14"/>
      <c r="I29" s="14"/>
      <c r="J29" s="14"/>
      <c r="K29" s="14"/>
      <c r="L29" s="339"/>
      <c r="M29" s="95" t="str">
        <f t="shared" si="0"/>
        <v>C2 I2 Implementa la administración de políticas de red y seguridad. de acuerdo con la arquitectura e infraestructura  de sistemas, requerimientos del negocio, estándares internacionales de TI y políticas de seguridad de la organización.</v>
      </c>
    </row>
    <row r="30" spans="1:13" ht="111" customHeight="1" x14ac:dyDescent="0.2">
      <c r="A30" s="343"/>
      <c r="B30" s="170" t="str">
        <f>Capacidades!M925</f>
        <v>C2 I3 Verifica el correcto funcionamiento de la infraestructura de redes y telecomunicaciónes. de acuerdo con la arquitectura e infraestructura  de sistemas, requerimientos del negocio, estándares internacionales de TI y políticas de seguridad de la organización.</v>
      </c>
      <c r="C30" s="234" t="s">
        <v>610</v>
      </c>
      <c r="D30" s="13"/>
      <c r="E30" s="13"/>
      <c r="F30" s="13"/>
      <c r="G30" s="13"/>
      <c r="H30" s="14"/>
      <c r="I30" s="14"/>
      <c r="J30" s="14"/>
      <c r="K30" s="14"/>
      <c r="L30" s="339"/>
      <c r="M30" s="95" t="str">
        <f t="shared" si="0"/>
        <v>C2 I3 Verifica el correcto funcionamiento de la infraestructura de redes y telecomunicaciónes. de acuerdo con la arquitectura e infraestructura  de sistemas, requerimientos del negocio, estándares internacionales de TI y políticas de seguridad de la organización.</v>
      </c>
    </row>
    <row r="31" spans="1:13" ht="1.5" customHeight="1" x14ac:dyDescent="0.2">
      <c r="A31" s="343"/>
      <c r="B31" s="170" t="str">
        <f>Capacidades!M926</f>
        <v xml:space="preserve">   </v>
      </c>
      <c r="C31" s="171"/>
      <c r="D31" s="13"/>
      <c r="E31" s="13"/>
      <c r="F31" s="13"/>
      <c r="G31" s="13"/>
      <c r="H31" s="14"/>
      <c r="I31" s="14"/>
      <c r="J31" s="14"/>
      <c r="K31" s="14"/>
      <c r="L31" s="339"/>
      <c r="M31" s="95" t="str">
        <f t="shared" si="0"/>
        <v xml:space="preserve">   </v>
      </c>
    </row>
    <row r="32" spans="1:13" ht="12.75" hidden="1" customHeight="1" x14ac:dyDescent="0.2">
      <c r="A32" s="343"/>
      <c r="B32" s="170" t="str">
        <f>Capacidades!M927</f>
        <v xml:space="preserve">   </v>
      </c>
      <c r="C32" s="171"/>
      <c r="D32" s="13"/>
      <c r="E32" s="13"/>
      <c r="F32" s="13"/>
      <c r="G32" s="13"/>
      <c r="H32" s="14"/>
      <c r="I32" s="14"/>
      <c r="J32" s="14"/>
      <c r="K32" s="14"/>
      <c r="L32" s="339"/>
      <c r="M32" s="95" t="str">
        <f t="shared" si="0"/>
        <v xml:space="preserve">   </v>
      </c>
    </row>
    <row r="33" spans="1:13" ht="12.75" hidden="1" customHeight="1" x14ac:dyDescent="0.2">
      <c r="A33" s="343"/>
      <c r="B33" s="170" t="str">
        <f>Capacidades!M928</f>
        <v xml:space="preserve">   </v>
      </c>
      <c r="C33" s="171"/>
      <c r="D33" s="13"/>
      <c r="E33" s="13"/>
      <c r="F33" s="13"/>
      <c r="G33" s="13"/>
      <c r="H33" s="14"/>
      <c r="I33" s="14"/>
      <c r="J33" s="14"/>
      <c r="K33" s="14"/>
      <c r="L33" s="339"/>
      <c r="M33" s="95" t="str">
        <f t="shared" si="0"/>
        <v xml:space="preserve">   </v>
      </c>
    </row>
    <row r="34" spans="1:13" ht="12.75" hidden="1" customHeight="1" x14ac:dyDescent="0.2">
      <c r="A34" s="343"/>
      <c r="B34" s="170" t="str">
        <f>Capacidades!M929</f>
        <v xml:space="preserve">   </v>
      </c>
      <c r="C34" s="171"/>
      <c r="D34" s="13"/>
      <c r="E34" s="13"/>
      <c r="F34" s="13"/>
      <c r="G34" s="13"/>
      <c r="H34" s="14"/>
      <c r="I34" s="14"/>
      <c r="J34" s="14"/>
      <c r="K34" s="14"/>
      <c r="L34" s="339"/>
      <c r="M34" s="95" t="str">
        <f t="shared" si="0"/>
        <v xml:space="preserve">   </v>
      </c>
    </row>
    <row r="35" spans="1:13" ht="12.75" hidden="1" customHeight="1" x14ac:dyDescent="0.2">
      <c r="A35" s="343"/>
      <c r="B35" s="170" t="str">
        <f>Capacidades!M930</f>
        <v xml:space="preserve">   </v>
      </c>
      <c r="C35" s="171"/>
      <c r="D35" s="13"/>
      <c r="E35" s="13"/>
      <c r="F35" s="13"/>
      <c r="G35" s="13"/>
      <c r="H35" s="14"/>
      <c r="I35" s="14"/>
      <c r="J35" s="14"/>
      <c r="K35" s="14"/>
      <c r="L35" s="339"/>
      <c r="M35" s="95" t="str">
        <f t="shared" si="0"/>
        <v xml:space="preserve">   </v>
      </c>
    </row>
    <row r="36" spans="1:13" ht="12.75" hidden="1" customHeight="1" x14ac:dyDescent="0.2">
      <c r="A36" s="343"/>
      <c r="B36" s="170" t="str">
        <f>Capacidades!M931</f>
        <v xml:space="preserve">   </v>
      </c>
      <c r="C36" s="171"/>
      <c r="D36" s="13"/>
      <c r="E36" s="13"/>
      <c r="F36" s="13"/>
      <c r="G36" s="13"/>
      <c r="H36" s="14"/>
      <c r="I36" s="14"/>
      <c r="J36" s="14"/>
      <c r="K36" s="14"/>
      <c r="L36" s="339"/>
      <c r="M36" s="95" t="str">
        <f t="shared" si="0"/>
        <v xml:space="preserve">   </v>
      </c>
    </row>
    <row r="37" spans="1:13" ht="12.75" hidden="1" customHeight="1" x14ac:dyDescent="0.2">
      <c r="A37" s="344"/>
      <c r="B37" s="170" t="str">
        <f>Capacidades!M932</f>
        <v xml:space="preserve">   </v>
      </c>
      <c r="C37" s="171"/>
      <c r="D37" s="15"/>
      <c r="E37" s="15"/>
      <c r="F37" s="15"/>
      <c r="G37" s="15"/>
      <c r="H37" s="16"/>
      <c r="I37" s="16"/>
      <c r="J37" s="16"/>
      <c r="K37" s="16"/>
      <c r="L37" s="339"/>
      <c r="M37" s="95" t="str">
        <f t="shared" si="0"/>
        <v xml:space="preserve">   </v>
      </c>
    </row>
    <row r="38" spans="1:13" ht="140.25" x14ac:dyDescent="0.2">
      <c r="A38" s="342" t="str">
        <f>Capacidades!L933</f>
        <v xml:space="preserve">UC4 C3 Realizar  el mantenimiento preventivo y correctivo de las redes y comunicaciones de la organización  de acuerdo con buenas prácticas de gestión de redes, recomendaciones del fabricantes, proveedores de servicios, capacity planning y gestión de riesgos.    </v>
      </c>
      <c r="B38" s="170" t="str">
        <f>Capacidades!M933</f>
        <v>C3 I1 Realiza la planificación del mantenimiento preventivo de las redes y comunicaciones de la organización  de acuerdo con buenas prácticas de gestión de redes, recomendaciones del fabricantes, proveedores de servicios, capacity planning y gestión de riesgos.</v>
      </c>
      <c r="C38" s="233" t="s">
        <v>611</v>
      </c>
      <c r="D38" s="11" t="str">
        <f>Organización_Modular!F105</f>
        <v>Mantenimiento preventivo y correctivo de redes y  comunicaciones</v>
      </c>
      <c r="E38" s="11" t="str">
        <f>Organización_Modular!G105</f>
        <v>IV</v>
      </c>
      <c r="F38" s="11">
        <f>Organización_Modular!H105</f>
        <v>1</v>
      </c>
      <c r="G38" s="11">
        <f>Organización_Modular!I105</f>
        <v>2</v>
      </c>
      <c r="H38" s="12">
        <f>SUM(F38:G38)</f>
        <v>3</v>
      </c>
      <c r="I38" s="12">
        <f>F38*16</f>
        <v>16</v>
      </c>
      <c r="J38" s="12">
        <f>G38*32</f>
        <v>64</v>
      </c>
      <c r="K38" s="12">
        <f>SUM(I38:J38)</f>
        <v>80</v>
      </c>
      <c r="L38" s="339"/>
      <c r="M38" s="95" t="str">
        <f t="shared" si="0"/>
        <v>C3 I1 Realiza la planificación del mantenimiento preventivo de las redes y comunicaciones de la organización  de acuerdo con buenas prácticas de gestión de redes, recomendaciones del fabricantes, proveedores de servicios, capacity planning y gestión de riesgos.</v>
      </c>
    </row>
    <row r="39" spans="1:13" ht="102" x14ac:dyDescent="0.2">
      <c r="A39" s="343"/>
      <c r="B39" s="170" t="str">
        <f>Capacidades!M934</f>
        <v>C3 I2 Ejecuta el mantenimiento preventivo de las redes y comunicaciones de la organización  de acuerdo con buenas prácticas de gestión de redes, recomendaciones del fabricantes, proveedores de servicios, capacity planning y gestión de riesgos.</v>
      </c>
      <c r="C39" s="233" t="s">
        <v>612</v>
      </c>
      <c r="D39" s="13"/>
      <c r="E39" s="13"/>
      <c r="F39" s="13"/>
      <c r="G39" s="13"/>
      <c r="H39" s="14"/>
      <c r="I39" s="14"/>
      <c r="J39" s="14"/>
      <c r="K39" s="14"/>
      <c r="L39" s="339"/>
      <c r="M39" s="95" t="str">
        <f t="shared" si="0"/>
        <v>C3 I2 Ejecuta el mantenimiento preventivo de las redes y comunicaciones de la organización  de acuerdo con buenas prácticas de gestión de redes, recomendaciones del fabricantes, proveedores de servicios, capacity planning y gestión de riesgos.</v>
      </c>
    </row>
    <row r="40" spans="1:13" ht="108.75" customHeight="1" x14ac:dyDescent="0.2">
      <c r="A40" s="343"/>
      <c r="B40" s="170" t="str">
        <f>Capacidades!M935</f>
        <v>C3 I3 Realiza la planificación del mantenimiento correctivo de las redes y comunicaciones de la organización  de acuerdo con buenas prácticas de gestión de redes, recomendaciones del fabricantes, proveedores de servicios, capacity planning y gestión de riesgos.</v>
      </c>
      <c r="C40" s="233" t="s">
        <v>613</v>
      </c>
      <c r="D40" s="13"/>
      <c r="E40" s="13"/>
      <c r="F40" s="13"/>
      <c r="G40" s="13"/>
      <c r="H40" s="14"/>
      <c r="I40" s="14"/>
      <c r="J40" s="14"/>
      <c r="K40" s="14"/>
      <c r="L40" s="339"/>
      <c r="M40" s="95" t="str">
        <f t="shared" si="0"/>
        <v>C3 I3 Realiza la planificación del mantenimiento correctivo de las redes y comunicaciones de la organización  de acuerdo con buenas prácticas de gestión de redes, recomendaciones del fabricantes, proveedores de servicios, capacity planning y gestión de riesgos.</v>
      </c>
    </row>
    <row r="41" spans="1:13" ht="221.25" customHeight="1" x14ac:dyDescent="0.2">
      <c r="A41" s="343"/>
      <c r="B41" s="170" t="str">
        <f>Capacidades!M936</f>
        <v>C3 I4 Ejecuta el mantenimiento correctivo de las redes y comunicaciones de la organización  de acuerdo con buenas prácticas de gestión de redes, recomendaciones del fabricantes, proveedores de servicios, capacity planning y gestión de riesgos.</v>
      </c>
      <c r="C41" s="233" t="s">
        <v>614</v>
      </c>
      <c r="D41" s="13"/>
      <c r="E41" s="13"/>
      <c r="F41" s="13"/>
      <c r="G41" s="13"/>
      <c r="H41" s="14"/>
      <c r="I41" s="14"/>
      <c r="J41" s="14"/>
      <c r="K41" s="14"/>
      <c r="L41" s="339" t="s">
        <v>631</v>
      </c>
      <c r="M41" s="95" t="str">
        <f t="shared" si="0"/>
        <v>C3 I4 Ejecuta el mantenimiento correctivo de las redes y comunicaciones de la organización  de acuerdo con buenas prácticas de gestión de redes, recomendaciones del fabricantes, proveedores de servicios, capacity planning y gestión de riesgos.</v>
      </c>
    </row>
    <row r="42" spans="1:13" ht="111.75" customHeight="1" x14ac:dyDescent="0.2">
      <c r="A42" s="343"/>
      <c r="B42" s="170" t="str">
        <f>Capacidades!M937</f>
        <v>C3 I5 Verifica el funcionamiento de las redes y comunicaciones de la organización despues de la ejecución del mantenimiento preventivo y correctivo  de acuerdo con buenas prácticas de gestión de redes, recomendaciones del fabricantes, proveedores de servicios, capacity planning y gestión de riesgos.</v>
      </c>
      <c r="C42" s="234" t="s">
        <v>615</v>
      </c>
      <c r="D42" s="13"/>
      <c r="E42" s="13"/>
      <c r="F42" s="13"/>
      <c r="G42" s="13"/>
      <c r="H42" s="14"/>
      <c r="I42" s="14"/>
      <c r="J42" s="14"/>
      <c r="K42" s="14"/>
      <c r="L42" s="339"/>
      <c r="M42" s="95" t="str">
        <f t="shared" si="0"/>
        <v>C3 I5 Verifica el funcionamiento de las redes y comunicaciones de la organización despues de la ejecución del mantenimiento preventivo y correctivo  de acuerdo con buenas prácticas de gestión de redes, recomendaciones del fabricantes, proveedores de servicios, capacity planning y gestión de riesgos.</v>
      </c>
    </row>
    <row r="43" spans="1:13" ht="1.5" customHeight="1" x14ac:dyDescent="0.2">
      <c r="A43" s="343"/>
      <c r="B43" s="170" t="str">
        <f>Capacidades!M938</f>
        <v xml:space="preserve">   </v>
      </c>
      <c r="C43" s="171"/>
      <c r="D43" s="13"/>
      <c r="E43" s="13"/>
      <c r="F43" s="13"/>
      <c r="G43" s="13"/>
      <c r="H43" s="14"/>
      <c r="I43" s="14"/>
      <c r="J43" s="14"/>
      <c r="K43" s="14"/>
      <c r="L43" s="339"/>
      <c r="M43" s="95" t="str">
        <f t="shared" si="0"/>
        <v xml:space="preserve">   </v>
      </c>
    </row>
    <row r="44" spans="1:13" ht="5.25" hidden="1" customHeight="1" x14ac:dyDescent="0.2">
      <c r="A44" s="343"/>
      <c r="B44" s="170" t="str">
        <f>Capacidades!M939</f>
        <v xml:space="preserve">   </v>
      </c>
      <c r="C44" s="171"/>
      <c r="D44" s="13"/>
      <c r="E44" s="13"/>
      <c r="F44" s="13"/>
      <c r="G44" s="13"/>
      <c r="H44" s="14"/>
      <c r="I44" s="14"/>
      <c r="J44" s="14"/>
      <c r="K44" s="14"/>
      <c r="L44" s="339"/>
      <c r="M44" s="95" t="str">
        <f t="shared" si="0"/>
        <v xml:space="preserve">   </v>
      </c>
    </row>
    <row r="45" spans="1:13" ht="12.75" hidden="1" customHeight="1" x14ac:dyDescent="0.2">
      <c r="A45" s="343"/>
      <c r="B45" s="170" t="str">
        <f>Capacidades!M940</f>
        <v xml:space="preserve">   </v>
      </c>
      <c r="C45" s="171"/>
      <c r="D45" s="13"/>
      <c r="E45" s="13"/>
      <c r="F45" s="13"/>
      <c r="G45" s="13"/>
      <c r="H45" s="14"/>
      <c r="I45" s="14"/>
      <c r="J45" s="14"/>
      <c r="K45" s="14"/>
      <c r="L45" s="339"/>
      <c r="M45" s="95" t="str">
        <f t="shared" si="0"/>
        <v xml:space="preserve">   </v>
      </c>
    </row>
    <row r="46" spans="1:13" ht="12.75" hidden="1" customHeight="1" x14ac:dyDescent="0.2">
      <c r="A46" s="343"/>
      <c r="B46" s="170" t="str">
        <f>Capacidades!M941</f>
        <v xml:space="preserve">   </v>
      </c>
      <c r="C46" s="171"/>
      <c r="D46" s="13"/>
      <c r="E46" s="13"/>
      <c r="F46" s="13"/>
      <c r="G46" s="13"/>
      <c r="H46" s="14"/>
      <c r="I46" s="14"/>
      <c r="J46" s="14"/>
      <c r="K46" s="14"/>
      <c r="L46" s="339"/>
      <c r="M46" s="95" t="str">
        <f t="shared" si="0"/>
        <v xml:space="preserve">   </v>
      </c>
    </row>
    <row r="47" spans="1:13" ht="12.75" hidden="1" customHeight="1" x14ac:dyDescent="0.2">
      <c r="A47" s="344"/>
      <c r="B47" s="170" t="str">
        <f>Capacidades!M942</f>
        <v xml:space="preserve">   </v>
      </c>
      <c r="C47" s="171"/>
      <c r="D47" s="15"/>
      <c r="E47" s="15"/>
      <c r="F47" s="15"/>
      <c r="G47" s="15"/>
      <c r="H47" s="16"/>
      <c r="I47" s="16"/>
      <c r="J47" s="16"/>
      <c r="K47" s="16"/>
      <c r="L47" s="339"/>
      <c r="M47" s="95" t="str">
        <f t="shared" si="0"/>
        <v xml:space="preserve">   </v>
      </c>
    </row>
    <row r="48" spans="1:13" ht="103.5" customHeight="1" x14ac:dyDescent="0.2">
      <c r="A48" s="342" t="str">
        <f>Capacidades!L943</f>
        <v xml:space="preserve">UC4 C4 Reportar las acciones ejecutadas y las observaciones detectadas en el proceso de mantemiento de la infrestructura de red y comunicaciones,  de acuerdo con el plan de actividades programadas, el historial de mantenimiento, gestión de riesgos y políticas de seguridad de la organización.    </v>
      </c>
      <c r="B48" s="170" t="str">
        <f>Capacidades!M943</f>
        <v>C4 I1 Registra  las incidencias o fallas de la red y comunicaciones  tomando en cuenta la base de datos y  el historial de mantenimiento, de acuerdo con buenas prácticas de gestión de redes.</v>
      </c>
      <c r="C48" s="170" t="s">
        <v>616</v>
      </c>
      <c r="D48" s="11" t="str">
        <f>Organización_Modular!F106</f>
        <v>Seguridad y control de riesgos</v>
      </c>
      <c r="E48" s="11" t="str">
        <f>Organización_Modular!G106</f>
        <v>IV</v>
      </c>
      <c r="F48" s="11">
        <f>Organización_Modular!H106</f>
        <v>0</v>
      </c>
      <c r="G48" s="11">
        <f>Organización_Modular!I106</f>
        <v>1</v>
      </c>
      <c r="H48" s="12">
        <f>SUM(F48:G48)</f>
        <v>1</v>
      </c>
      <c r="I48" s="12">
        <f>F48*16</f>
        <v>0</v>
      </c>
      <c r="J48" s="12">
        <f>G48*32</f>
        <v>32</v>
      </c>
      <c r="K48" s="12">
        <f>SUM(I48:J48)</f>
        <v>32</v>
      </c>
      <c r="L48" s="339"/>
      <c r="M48" s="95" t="str">
        <f t="shared" si="0"/>
        <v>C4 I1 Registra  las incidencias o fallas de la red y comunicaciones  tomando en cuenta la base de datos y  el historial de mantenimiento, de acuerdo con buenas prácticas de gestión de redes.</v>
      </c>
    </row>
    <row r="49" spans="1:13" ht="108.75" customHeight="1" x14ac:dyDescent="0.2">
      <c r="A49" s="343"/>
      <c r="B49" s="170" t="str">
        <f>Capacidades!M944</f>
        <v xml:space="preserve">C4 I2 clasifica  las incidencias o fallas de acuerdo a sus características técnicas y recurrencia. </v>
      </c>
      <c r="C49" s="170" t="s">
        <v>617</v>
      </c>
      <c r="D49" s="13"/>
      <c r="E49" s="13"/>
      <c r="F49" s="13"/>
      <c r="G49" s="13"/>
      <c r="H49" s="14"/>
      <c r="I49" s="14"/>
      <c r="J49" s="14"/>
      <c r="K49" s="14"/>
      <c r="L49" s="339"/>
      <c r="M49" s="95" t="str">
        <f t="shared" si="0"/>
        <v xml:space="preserve">C4 I2 clasifica  las incidencias o fallas de acuerdo a sus características técnicas y recurrencia. </v>
      </c>
    </row>
    <row r="50" spans="1:13" ht="84.75" customHeight="1" x14ac:dyDescent="0.2">
      <c r="A50" s="343"/>
      <c r="B50" s="170" t="str">
        <f>Capacidades!M945</f>
        <v>C4 I3 Documenta  el historial de mantenimiento y los cambios relevantes de la infraestructura y/o sistemas de la red  de acuerdo con buenas prácticas de gestión de la configuración y políticas de la organización.</v>
      </c>
      <c r="C50" s="170" t="s">
        <v>618</v>
      </c>
      <c r="D50" s="13"/>
      <c r="E50" s="13"/>
      <c r="F50" s="13"/>
      <c r="G50" s="13"/>
      <c r="H50" s="14"/>
      <c r="I50" s="14"/>
      <c r="J50" s="14"/>
      <c r="K50" s="14"/>
      <c r="L50" s="339"/>
      <c r="M50" s="95" t="str">
        <f t="shared" si="0"/>
        <v>C4 I3 Documenta  el historial de mantenimiento y los cambios relevantes de la infraestructura y/o sistemas de la red  de acuerdo con buenas prácticas de gestión de la configuración y políticas de la organización.</v>
      </c>
    </row>
    <row r="51" spans="1:13" ht="124.5" customHeight="1" x14ac:dyDescent="0.2">
      <c r="A51" s="343"/>
      <c r="B51" s="170" t="str">
        <f>Capacidades!M946</f>
        <v>C4 I4 Elabora el reporte o informe de las acciones ejecutadas y las observaciones detectadas en el proceso de mantemiento de la infrestructura de red y comunicaciones,   de acuerdo con buenas prácticas de gestión de la configuración y políticas de la organización.</v>
      </c>
      <c r="C51" s="170" t="s">
        <v>619</v>
      </c>
      <c r="D51" s="13"/>
      <c r="E51" s="13"/>
      <c r="F51" s="13"/>
      <c r="G51" s="13"/>
      <c r="H51" s="14"/>
      <c r="I51" s="14"/>
      <c r="J51" s="14"/>
      <c r="K51" s="14"/>
      <c r="L51" s="339"/>
      <c r="M51" s="95" t="str">
        <f t="shared" si="0"/>
        <v>C4 I4 Elabora el reporte o informe de las acciones ejecutadas y las observaciones detectadas en el proceso de mantemiento de la infrestructura de red y comunicaciones,   de acuerdo con buenas prácticas de gestión de la configuración y políticas de la organización.</v>
      </c>
    </row>
    <row r="52" spans="1:13" ht="9.75" hidden="1" customHeight="1" x14ac:dyDescent="0.2">
      <c r="A52" s="343"/>
      <c r="B52" s="170" t="str">
        <f>Capacidades!M947</f>
        <v xml:space="preserve">   </v>
      </c>
      <c r="C52" s="171"/>
      <c r="D52" s="13"/>
      <c r="E52" s="13"/>
      <c r="F52" s="13"/>
      <c r="G52" s="13"/>
      <c r="H52" s="14"/>
      <c r="I52" s="14"/>
      <c r="J52" s="14"/>
      <c r="K52" s="14"/>
      <c r="L52" s="339"/>
      <c r="M52" s="95" t="str">
        <f t="shared" si="0"/>
        <v xml:space="preserve">   </v>
      </c>
    </row>
    <row r="53" spans="1:13" ht="12.75" hidden="1" customHeight="1" x14ac:dyDescent="0.2">
      <c r="A53" s="343"/>
      <c r="B53" s="170" t="str">
        <f>Capacidades!M948</f>
        <v xml:space="preserve">   </v>
      </c>
      <c r="C53" s="171"/>
      <c r="D53" s="13"/>
      <c r="E53" s="13"/>
      <c r="F53" s="13"/>
      <c r="G53" s="13"/>
      <c r="H53" s="14"/>
      <c r="I53" s="14"/>
      <c r="J53" s="14"/>
      <c r="K53" s="14"/>
      <c r="L53" s="339"/>
      <c r="M53" s="95" t="str">
        <f t="shared" si="0"/>
        <v xml:space="preserve">   </v>
      </c>
    </row>
    <row r="54" spans="1:13" ht="12.75" hidden="1" customHeight="1" x14ac:dyDescent="0.2">
      <c r="A54" s="343"/>
      <c r="B54" s="170" t="str">
        <f>Capacidades!M949</f>
        <v xml:space="preserve">   </v>
      </c>
      <c r="C54" s="171"/>
      <c r="D54" s="13"/>
      <c r="E54" s="13"/>
      <c r="F54" s="13"/>
      <c r="G54" s="13"/>
      <c r="H54" s="14"/>
      <c r="I54" s="14"/>
      <c r="J54" s="14"/>
      <c r="K54" s="14"/>
      <c r="L54" s="339"/>
      <c r="M54" s="95" t="str">
        <f t="shared" si="0"/>
        <v xml:space="preserve">   </v>
      </c>
    </row>
    <row r="55" spans="1:13" ht="12.75" hidden="1" customHeight="1" x14ac:dyDescent="0.2">
      <c r="A55" s="343"/>
      <c r="B55" s="170" t="str">
        <f>Capacidades!M950</f>
        <v xml:space="preserve">   </v>
      </c>
      <c r="C55" s="171"/>
      <c r="D55" s="13"/>
      <c r="E55" s="13"/>
      <c r="F55" s="13"/>
      <c r="G55" s="13"/>
      <c r="H55" s="14"/>
      <c r="I55" s="14"/>
      <c r="J55" s="14"/>
      <c r="K55" s="14"/>
      <c r="L55" s="339"/>
      <c r="M55" s="95" t="str">
        <f t="shared" si="0"/>
        <v xml:space="preserve">   </v>
      </c>
    </row>
    <row r="56" spans="1:13" ht="12.75" hidden="1" customHeight="1" x14ac:dyDescent="0.2">
      <c r="A56" s="343"/>
      <c r="B56" s="170" t="str">
        <f>Capacidades!M951</f>
        <v xml:space="preserve">   </v>
      </c>
      <c r="C56" s="171"/>
      <c r="D56" s="13"/>
      <c r="E56" s="13"/>
      <c r="F56" s="13"/>
      <c r="G56" s="13"/>
      <c r="H56" s="14"/>
      <c r="I56" s="14"/>
      <c r="J56" s="14"/>
      <c r="K56" s="14"/>
      <c r="L56" s="339"/>
      <c r="M56" s="95" t="str">
        <f t="shared" si="0"/>
        <v xml:space="preserve">   </v>
      </c>
    </row>
    <row r="57" spans="1:13" ht="12.75" hidden="1" customHeight="1" x14ac:dyDescent="0.2">
      <c r="A57" s="344"/>
      <c r="B57" s="170" t="str">
        <f>Capacidades!M952</f>
        <v xml:space="preserve">   </v>
      </c>
      <c r="C57" s="171"/>
      <c r="D57" s="15"/>
      <c r="E57" s="15"/>
      <c r="F57" s="15"/>
      <c r="G57" s="15"/>
      <c r="H57" s="16"/>
      <c r="I57" s="16"/>
      <c r="J57" s="16"/>
      <c r="K57" s="16"/>
      <c r="L57" s="340"/>
      <c r="M57" s="95" t="str">
        <f t="shared" si="0"/>
        <v xml:space="preserve">   </v>
      </c>
    </row>
    <row r="58" spans="1:13" hidden="1" x14ac:dyDescent="0.2">
      <c r="A58" s="342" t="str">
        <f>Capacidades!L953</f>
        <v xml:space="preserve">       </v>
      </c>
      <c r="B58" s="170" t="str">
        <f>Capacidades!M953</f>
        <v xml:space="preserve">   </v>
      </c>
      <c r="C58" s="171"/>
      <c r="D58" s="11">
        <f>Organización_Modular!F107</f>
        <v>0</v>
      </c>
      <c r="E58" s="11">
        <f>Organización_Modular!G107</f>
        <v>0</v>
      </c>
      <c r="F58" s="11">
        <f>Organización_Modular!H107</f>
        <v>0</v>
      </c>
      <c r="G58" s="11">
        <f>Organización_Modular!I107</f>
        <v>0</v>
      </c>
      <c r="H58" s="12">
        <f>SUM(F58:G58)</f>
        <v>0</v>
      </c>
      <c r="I58" s="12">
        <f>F58*16</f>
        <v>0</v>
      </c>
      <c r="J58" s="12">
        <f>G58*32</f>
        <v>0</v>
      </c>
      <c r="K58" s="12">
        <f>SUM(I58:J58)</f>
        <v>0</v>
      </c>
      <c r="L58" s="335"/>
      <c r="M58" s="95" t="str">
        <f t="shared" si="0"/>
        <v xml:space="preserve">   </v>
      </c>
    </row>
    <row r="59" spans="1:13" hidden="1" x14ac:dyDescent="0.2">
      <c r="A59" s="343"/>
      <c r="B59" s="170" t="str">
        <f>Capacidades!M954</f>
        <v xml:space="preserve">   </v>
      </c>
      <c r="C59" s="171"/>
      <c r="D59" s="13"/>
      <c r="E59" s="13"/>
      <c r="F59" s="13"/>
      <c r="G59" s="13"/>
      <c r="H59" s="14"/>
      <c r="I59" s="14"/>
      <c r="J59" s="14"/>
      <c r="K59" s="14"/>
      <c r="L59" s="336"/>
      <c r="M59" s="95" t="str">
        <f t="shared" si="0"/>
        <v xml:space="preserve">   </v>
      </c>
    </row>
    <row r="60" spans="1:13" hidden="1" x14ac:dyDescent="0.2">
      <c r="A60" s="343"/>
      <c r="B60" s="170" t="str">
        <f>Capacidades!M955</f>
        <v xml:space="preserve">   </v>
      </c>
      <c r="C60" s="171"/>
      <c r="D60" s="13"/>
      <c r="E60" s="13"/>
      <c r="F60" s="13"/>
      <c r="G60" s="13"/>
      <c r="H60" s="14"/>
      <c r="I60" s="14"/>
      <c r="J60" s="14"/>
      <c r="K60" s="14"/>
      <c r="L60" s="336"/>
      <c r="M60" s="95" t="str">
        <f t="shared" si="0"/>
        <v xml:space="preserve">   </v>
      </c>
    </row>
    <row r="61" spans="1:13" hidden="1" x14ac:dyDescent="0.2">
      <c r="A61" s="343"/>
      <c r="B61" s="170" t="str">
        <f>Capacidades!M956</f>
        <v xml:space="preserve">   </v>
      </c>
      <c r="C61" s="171"/>
      <c r="D61" s="13"/>
      <c r="E61" s="13"/>
      <c r="F61" s="13"/>
      <c r="G61" s="13"/>
      <c r="H61" s="14"/>
      <c r="I61" s="14"/>
      <c r="J61" s="14"/>
      <c r="K61" s="14"/>
      <c r="L61" s="336"/>
      <c r="M61" s="95" t="str">
        <f t="shared" si="0"/>
        <v xml:space="preserve">   </v>
      </c>
    </row>
    <row r="62" spans="1:13" hidden="1" x14ac:dyDescent="0.2">
      <c r="A62" s="343"/>
      <c r="B62" s="170" t="str">
        <f>Capacidades!M957</f>
        <v xml:space="preserve">   </v>
      </c>
      <c r="C62" s="171"/>
      <c r="D62" s="13"/>
      <c r="E62" s="13"/>
      <c r="F62" s="13"/>
      <c r="G62" s="13"/>
      <c r="H62" s="14"/>
      <c r="I62" s="14"/>
      <c r="J62" s="14"/>
      <c r="K62" s="14"/>
      <c r="L62" s="336"/>
      <c r="M62" s="95" t="str">
        <f t="shared" si="0"/>
        <v xml:space="preserve">   </v>
      </c>
    </row>
    <row r="63" spans="1:13" hidden="1" x14ac:dyDescent="0.2">
      <c r="A63" s="343"/>
      <c r="B63" s="170" t="str">
        <f>Capacidades!M958</f>
        <v xml:space="preserve">   </v>
      </c>
      <c r="C63" s="171"/>
      <c r="D63" s="13"/>
      <c r="E63" s="13"/>
      <c r="F63" s="13"/>
      <c r="G63" s="13"/>
      <c r="H63" s="14"/>
      <c r="I63" s="14"/>
      <c r="J63" s="14"/>
      <c r="K63" s="14"/>
      <c r="L63" s="336"/>
      <c r="M63" s="95" t="str">
        <f t="shared" si="0"/>
        <v xml:space="preserve">   </v>
      </c>
    </row>
    <row r="64" spans="1:13" hidden="1" x14ac:dyDescent="0.2">
      <c r="A64" s="343"/>
      <c r="B64" s="170" t="str">
        <f>Capacidades!M959</f>
        <v xml:space="preserve">   </v>
      </c>
      <c r="C64" s="171"/>
      <c r="D64" s="13"/>
      <c r="E64" s="13"/>
      <c r="F64" s="13"/>
      <c r="G64" s="13"/>
      <c r="H64" s="14"/>
      <c r="I64" s="14"/>
      <c r="J64" s="14"/>
      <c r="K64" s="14"/>
      <c r="L64" s="336"/>
      <c r="M64" s="95" t="str">
        <f t="shared" si="0"/>
        <v xml:space="preserve">   </v>
      </c>
    </row>
    <row r="65" spans="1:13" hidden="1" x14ac:dyDescent="0.2">
      <c r="A65" s="343"/>
      <c r="B65" s="170" t="str">
        <f>Capacidades!M960</f>
        <v xml:space="preserve">   </v>
      </c>
      <c r="C65" s="171"/>
      <c r="D65" s="13"/>
      <c r="E65" s="13"/>
      <c r="F65" s="13"/>
      <c r="G65" s="13"/>
      <c r="H65" s="14"/>
      <c r="I65" s="14"/>
      <c r="J65" s="14"/>
      <c r="K65" s="14"/>
      <c r="L65" s="336"/>
      <c r="M65" s="95" t="str">
        <f t="shared" si="0"/>
        <v xml:space="preserve">   </v>
      </c>
    </row>
    <row r="66" spans="1:13" hidden="1" x14ac:dyDescent="0.2">
      <c r="A66" s="343"/>
      <c r="B66" s="170" t="str">
        <f>Capacidades!M961</f>
        <v xml:space="preserve">   </v>
      </c>
      <c r="C66" s="171"/>
      <c r="D66" s="13"/>
      <c r="E66" s="13"/>
      <c r="F66" s="13"/>
      <c r="G66" s="13"/>
      <c r="H66" s="14"/>
      <c r="I66" s="14"/>
      <c r="J66" s="14"/>
      <c r="K66" s="14"/>
      <c r="L66" s="336"/>
      <c r="M66" s="95" t="str">
        <f t="shared" si="0"/>
        <v xml:space="preserve">   </v>
      </c>
    </row>
    <row r="67" spans="1:13" ht="8.25" hidden="1" customHeight="1" x14ac:dyDescent="0.2">
      <c r="A67" s="344"/>
      <c r="B67" s="170" t="str">
        <f>Capacidades!M962</f>
        <v xml:space="preserve">   </v>
      </c>
      <c r="C67" s="171"/>
      <c r="D67" s="15"/>
      <c r="E67" s="15"/>
      <c r="F67" s="15"/>
      <c r="G67" s="15"/>
      <c r="H67" s="16"/>
      <c r="I67" s="16"/>
      <c r="J67" s="16"/>
      <c r="K67" s="16"/>
      <c r="L67" s="337"/>
      <c r="M67" s="95" t="str">
        <f t="shared" si="0"/>
        <v xml:space="preserve">   </v>
      </c>
    </row>
    <row r="68" spans="1:13" hidden="1" x14ac:dyDescent="0.2">
      <c r="A68" s="342" t="str">
        <f>Capacidades!L963</f>
        <v xml:space="preserve">       </v>
      </c>
      <c r="B68" s="170" t="str">
        <f>Capacidades!M963</f>
        <v xml:space="preserve">   </v>
      </c>
      <c r="C68" s="171"/>
      <c r="D68" s="11">
        <f>Organización_Modular!F108</f>
        <v>0</v>
      </c>
      <c r="E68" s="11">
        <f>Organización_Modular!G108</f>
        <v>0</v>
      </c>
      <c r="F68" s="11">
        <f>Organización_Modular!H108</f>
        <v>0</v>
      </c>
      <c r="G68" s="11">
        <f>Organización_Modular!I108</f>
        <v>0</v>
      </c>
      <c r="H68" s="12">
        <f>SUM(F68:G68)</f>
        <v>0</v>
      </c>
      <c r="I68" s="12">
        <f>F68*16</f>
        <v>0</v>
      </c>
      <c r="J68" s="12">
        <f>G68*32</f>
        <v>0</v>
      </c>
      <c r="K68" s="12">
        <f>SUM(I68:J68)</f>
        <v>0</v>
      </c>
      <c r="L68" s="335"/>
      <c r="M68" s="95" t="str">
        <f t="shared" si="0"/>
        <v xml:space="preserve">   </v>
      </c>
    </row>
    <row r="69" spans="1:13" hidden="1" x14ac:dyDescent="0.2">
      <c r="A69" s="343"/>
      <c r="B69" s="170" t="str">
        <f>Capacidades!M964</f>
        <v xml:space="preserve">   </v>
      </c>
      <c r="C69" s="171"/>
      <c r="D69" s="13"/>
      <c r="E69" s="13"/>
      <c r="F69" s="13"/>
      <c r="G69" s="13"/>
      <c r="H69" s="14"/>
      <c r="I69" s="14"/>
      <c r="J69" s="14"/>
      <c r="K69" s="14"/>
      <c r="L69" s="336"/>
      <c r="M69" s="95" t="str">
        <f t="shared" si="0"/>
        <v xml:space="preserve">   </v>
      </c>
    </row>
    <row r="70" spans="1:13" hidden="1" x14ac:dyDescent="0.2">
      <c r="A70" s="343"/>
      <c r="B70" s="170" t="str">
        <f>Capacidades!M965</f>
        <v xml:space="preserve">   </v>
      </c>
      <c r="C70" s="171"/>
      <c r="D70" s="13"/>
      <c r="E70" s="13"/>
      <c r="F70" s="13"/>
      <c r="G70" s="13"/>
      <c r="H70" s="14"/>
      <c r="I70" s="14"/>
      <c r="J70" s="14"/>
      <c r="K70" s="14"/>
      <c r="L70" s="336"/>
      <c r="M70" s="95" t="str">
        <f t="shared" si="0"/>
        <v xml:space="preserve">   </v>
      </c>
    </row>
    <row r="71" spans="1:13" hidden="1" x14ac:dyDescent="0.2">
      <c r="A71" s="343"/>
      <c r="B71" s="170" t="str">
        <f>Capacidades!M966</f>
        <v xml:space="preserve">   </v>
      </c>
      <c r="C71" s="171"/>
      <c r="D71" s="13"/>
      <c r="E71" s="13"/>
      <c r="F71" s="13"/>
      <c r="G71" s="13"/>
      <c r="H71" s="14"/>
      <c r="I71" s="14"/>
      <c r="J71" s="14"/>
      <c r="K71" s="14"/>
      <c r="L71" s="336"/>
      <c r="M71" s="95" t="str">
        <f t="shared" si="0"/>
        <v xml:space="preserve">   </v>
      </c>
    </row>
    <row r="72" spans="1:13" hidden="1" x14ac:dyDescent="0.2">
      <c r="A72" s="343"/>
      <c r="B72" s="170" t="str">
        <f>Capacidades!M967</f>
        <v xml:space="preserve">   </v>
      </c>
      <c r="C72" s="171"/>
      <c r="D72" s="13"/>
      <c r="E72" s="13"/>
      <c r="F72" s="13"/>
      <c r="G72" s="13"/>
      <c r="H72" s="14"/>
      <c r="I72" s="14"/>
      <c r="J72" s="14"/>
      <c r="K72" s="14"/>
      <c r="L72" s="336"/>
      <c r="M72" s="95" t="str">
        <f t="shared" si="0"/>
        <v xml:space="preserve">   </v>
      </c>
    </row>
    <row r="73" spans="1:13" hidden="1" x14ac:dyDescent="0.2">
      <c r="A73" s="343"/>
      <c r="B73" s="170" t="str">
        <f>Capacidades!M968</f>
        <v xml:space="preserve">   </v>
      </c>
      <c r="C73" s="171"/>
      <c r="D73" s="13"/>
      <c r="E73" s="13"/>
      <c r="F73" s="13"/>
      <c r="G73" s="13"/>
      <c r="H73" s="14"/>
      <c r="I73" s="14"/>
      <c r="J73" s="14"/>
      <c r="K73" s="14"/>
      <c r="L73" s="336"/>
      <c r="M73" s="95" t="str">
        <f t="shared" si="0"/>
        <v xml:space="preserve">   </v>
      </c>
    </row>
    <row r="74" spans="1:13" hidden="1" x14ac:dyDescent="0.2">
      <c r="A74" s="343"/>
      <c r="B74" s="170" t="str">
        <f>Capacidades!M969</f>
        <v xml:space="preserve">   </v>
      </c>
      <c r="C74" s="171"/>
      <c r="D74" s="13"/>
      <c r="E74" s="13"/>
      <c r="F74" s="13"/>
      <c r="G74" s="13"/>
      <c r="H74" s="14"/>
      <c r="I74" s="14"/>
      <c r="J74" s="14"/>
      <c r="K74" s="14"/>
      <c r="L74" s="336"/>
      <c r="M74" s="95" t="str">
        <f t="shared" si="0"/>
        <v xml:space="preserve">   </v>
      </c>
    </row>
    <row r="75" spans="1:13" hidden="1" x14ac:dyDescent="0.2">
      <c r="A75" s="343"/>
      <c r="B75" s="170" t="str">
        <f>Capacidades!M970</f>
        <v xml:space="preserve">   </v>
      </c>
      <c r="C75" s="171"/>
      <c r="D75" s="13"/>
      <c r="E75" s="13"/>
      <c r="F75" s="13"/>
      <c r="G75" s="13"/>
      <c r="H75" s="14"/>
      <c r="I75" s="14"/>
      <c r="J75" s="14"/>
      <c r="K75" s="14"/>
      <c r="L75" s="336"/>
      <c r="M75" s="95" t="str">
        <f t="shared" si="0"/>
        <v xml:space="preserve">   </v>
      </c>
    </row>
    <row r="76" spans="1:13" hidden="1" x14ac:dyDescent="0.2">
      <c r="A76" s="343"/>
      <c r="B76" s="170" t="str">
        <f>Capacidades!M971</f>
        <v xml:space="preserve">   </v>
      </c>
      <c r="C76" s="171"/>
      <c r="D76" s="13"/>
      <c r="E76" s="13"/>
      <c r="F76" s="13"/>
      <c r="G76" s="13"/>
      <c r="H76" s="14"/>
      <c r="I76" s="14"/>
      <c r="J76" s="14"/>
      <c r="K76" s="14"/>
      <c r="L76" s="336"/>
      <c r="M76" s="95" t="str">
        <f t="shared" si="0"/>
        <v xml:space="preserve">   </v>
      </c>
    </row>
    <row r="77" spans="1:13" hidden="1" x14ac:dyDescent="0.2">
      <c r="A77" s="344"/>
      <c r="B77" s="170" t="str">
        <f>Capacidades!M972</f>
        <v xml:space="preserve">   </v>
      </c>
      <c r="C77" s="171"/>
      <c r="D77" s="15"/>
      <c r="E77" s="15"/>
      <c r="F77" s="15"/>
      <c r="G77" s="15"/>
      <c r="H77" s="16"/>
      <c r="I77" s="16"/>
      <c r="J77" s="16"/>
      <c r="K77" s="16"/>
      <c r="L77" s="337"/>
      <c r="M77" s="95" t="str">
        <f t="shared" si="0"/>
        <v xml:space="preserve">   </v>
      </c>
    </row>
    <row r="78" spans="1:13" hidden="1" x14ac:dyDescent="0.2">
      <c r="A78" s="342" t="str">
        <f>Capacidades!L973</f>
        <v xml:space="preserve">       </v>
      </c>
      <c r="B78" s="170" t="str">
        <f>Capacidades!M973</f>
        <v xml:space="preserve">   </v>
      </c>
      <c r="C78" s="171"/>
      <c r="D78" s="11">
        <f>Organización_Modular!F109</f>
        <v>0</v>
      </c>
      <c r="E78" s="11">
        <f>Organización_Modular!G109</f>
        <v>0</v>
      </c>
      <c r="F78" s="11">
        <f>Organización_Modular!H109</f>
        <v>0</v>
      </c>
      <c r="G78" s="11">
        <f>Organización_Modular!I109</f>
        <v>0</v>
      </c>
      <c r="H78" s="12">
        <f>SUM(F78:G78)</f>
        <v>0</v>
      </c>
      <c r="I78" s="12">
        <f>F78*16</f>
        <v>0</v>
      </c>
      <c r="J78" s="12">
        <f>G78*32</f>
        <v>0</v>
      </c>
      <c r="K78" s="12">
        <f>SUM(I78:J78)</f>
        <v>0</v>
      </c>
      <c r="L78" s="335"/>
      <c r="M78" s="95" t="str">
        <f t="shared" si="0"/>
        <v xml:space="preserve">   </v>
      </c>
    </row>
    <row r="79" spans="1:13" hidden="1" x14ac:dyDescent="0.2">
      <c r="A79" s="343"/>
      <c r="B79" s="170" t="str">
        <f>Capacidades!M974</f>
        <v xml:space="preserve">   </v>
      </c>
      <c r="C79" s="171"/>
      <c r="D79" s="13"/>
      <c r="E79" s="13"/>
      <c r="F79" s="13"/>
      <c r="G79" s="13"/>
      <c r="H79" s="14"/>
      <c r="I79" s="14"/>
      <c r="J79" s="14"/>
      <c r="K79" s="14"/>
      <c r="L79" s="336"/>
      <c r="M79" s="95" t="str">
        <f t="shared" si="0"/>
        <v xml:space="preserve">   </v>
      </c>
    </row>
    <row r="80" spans="1:13" hidden="1" x14ac:dyDescent="0.2">
      <c r="A80" s="343"/>
      <c r="B80" s="170" t="str">
        <f>Capacidades!M975</f>
        <v xml:space="preserve">   </v>
      </c>
      <c r="C80" s="171"/>
      <c r="D80" s="13"/>
      <c r="E80" s="13"/>
      <c r="F80" s="13"/>
      <c r="G80" s="13"/>
      <c r="H80" s="14"/>
      <c r="I80" s="14"/>
      <c r="J80" s="14"/>
      <c r="K80" s="14"/>
      <c r="L80" s="336"/>
      <c r="M80" s="95" t="str">
        <f t="shared" si="0"/>
        <v xml:space="preserve">   </v>
      </c>
    </row>
    <row r="81" spans="1:13" hidden="1" x14ac:dyDescent="0.2">
      <c r="A81" s="343"/>
      <c r="B81" s="170" t="str">
        <f>Capacidades!M976</f>
        <v xml:space="preserve">   </v>
      </c>
      <c r="C81" s="171"/>
      <c r="D81" s="13"/>
      <c r="E81" s="13"/>
      <c r="F81" s="13"/>
      <c r="G81" s="13"/>
      <c r="H81" s="14"/>
      <c r="I81" s="14"/>
      <c r="J81" s="14"/>
      <c r="K81" s="14"/>
      <c r="L81" s="336"/>
      <c r="M81" s="95" t="str">
        <f t="shared" si="0"/>
        <v xml:space="preserve">   </v>
      </c>
    </row>
    <row r="82" spans="1:13" hidden="1" x14ac:dyDescent="0.2">
      <c r="A82" s="343"/>
      <c r="B82" s="170" t="str">
        <f>Capacidades!M977</f>
        <v xml:space="preserve">   </v>
      </c>
      <c r="C82" s="171"/>
      <c r="D82" s="13"/>
      <c r="E82" s="13"/>
      <c r="F82" s="13"/>
      <c r="G82" s="13"/>
      <c r="H82" s="14"/>
      <c r="I82" s="14"/>
      <c r="J82" s="14"/>
      <c r="K82" s="14"/>
      <c r="L82" s="336"/>
      <c r="M82" s="95" t="str">
        <f t="shared" si="0"/>
        <v xml:space="preserve">   </v>
      </c>
    </row>
    <row r="83" spans="1:13" hidden="1" x14ac:dyDescent="0.2">
      <c r="A83" s="343"/>
      <c r="B83" s="170" t="str">
        <f>Capacidades!M978</f>
        <v xml:space="preserve">   </v>
      </c>
      <c r="C83" s="171"/>
      <c r="D83" s="13"/>
      <c r="E83" s="13"/>
      <c r="F83" s="13"/>
      <c r="G83" s="13"/>
      <c r="H83" s="14"/>
      <c r="I83" s="14"/>
      <c r="J83" s="14"/>
      <c r="K83" s="14"/>
      <c r="L83" s="336"/>
      <c r="M83" s="95" t="str">
        <f t="shared" ref="M83:M146" si="1">B83</f>
        <v xml:space="preserve">   </v>
      </c>
    </row>
    <row r="84" spans="1:13" hidden="1" x14ac:dyDescent="0.2">
      <c r="A84" s="343"/>
      <c r="B84" s="170" t="str">
        <f>Capacidades!M979</f>
        <v xml:space="preserve">   </v>
      </c>
      <c r="C84" s="171"/>
      <c r="D84" s="13"/>
      <c r="E84" s="13"/>
      <c r="F84" s="13"/>
      <c r="G84" s="13"/>
      <c r="H84" s="14"/>
      <c r="I84" s="14"/>
      <c r="J84" s="14"/>
      <c r="K84" s="14"/>
      <c r="L84" s="336"/>
      <c r="M84" s="95" t="str">
        <f t="shared" si="1"/>
        <v xml:space="preserve">   </v>
      </c>
    </row>
    <row r="85" spans="1:13" hidden="1" x14ac:dyDescent="0.2">
      <c r="A85" s="343"/>
      <c r="B85" s="170" t="str">
        <f>Capacidades!M980</f>
        <v xml:space="preserve">   </v>
      </c>
      <c r="C85" s="171"/>
      <c r="D85" s="13"/>
      <c r="E85" s="13"/>
      <c r="F85" s="13"/>
      <c r="G85" s="13"/>
      <c r="H85" s="14"/>
      <c r="I85" s="14"/>
      <c r="J85" s="14"/>
      <c r="K85" s="14"/>
      <c r="L85" s="336"/>
      <c r="M85" s="95" t="str">
        <f t="shared" si="1"/>
        <v xml:space="preserve">   </v>
      </c>
    </row>
    <row r="86" spans="1:13" hidden="1" x14ac:dyDescent="0.2">
      <c r="A86" s="343"/>
      <c r="B86" s="170" t="str">
        <f>Capacidades!M981</f>
        <v xml:space="preserve">   </v>
      </c>
      <c r="C86" s="171"/>
      <c r="D86" s="13"/>
      <c r="E86" s="13"/>
      <c r="F86" s="13"/>
      <c r="G86" s="13"/>
      <c r="H86" s="14"/>
      <c r="I86" s="14"/>
      <c r="J86" s="14"/>
      <c r="K86" s="14"/>
      <c r="L86" s="336"/>
      <c r="M86" s="95" t="str">
        <f t="shared" si="1"/>
        <v xml:space="preserve">   </v>
      </c>
    </row>
    <row r="87" spans="1:13" hidden="1" x14ac:dyDescent="0.2">
      <c r="A87" s="344"/>
      <c r="B87" s="170" t="str">
        <f>Capacidades!M982</f>
        <v xml:space="preserve">   </v>
      </c>
      <c r="C87" s="171"/>
      <c r="D87" s="15"/>
      <c r="E87" s="15"/>
      <c r="F87" s="15"/>
      <c r="G87" s="15"/>
      <c r="H87" s="16"/>
      <c r="I87" s="16"/>
      <c r="J87" s="16"/>
      <c r="K87" s="16"/>
      <c r="L87" s="337"/>
      <c r="M87" s="95" t="str">
        <f t="shared" si="1"/>
        <v xml:space="preserve">   </v>
      </c>
    </row>
    <row r="88" spans="1:13" hidden="1" x14ac:dyDescent="0.2">
      <c r="A88" s="342" t="str">
        <f>Capacidades!L983</f>
        <v xml:space="preserve">       </v>
      </c>
      <c r="B88" s="170" t="str">
        <f>Capacidades!M983</f>
        <v xml:space="preserve">   </v>
      </c>
      <c r="C88" s="171"/>
      <c r="D88" s="11">
        <f>Organización_Modular!F110</f>
        <v>0</v>
      </c>
      <c r="E88" s="11">
        <f>Organización_Modular!G110</f>
        <v>0</v>
      </c>
      <c r="F88" s="11">
        <f>Organización_Modular!H110</f>
        <v>0</v>
      </c>
      <c r="G88" s="11">
        <f>Organización_Modular!I110</f>
        <v>0</v>
      </c>
      <c r="H88" s="12">
        <f>SUM(F88:G88)</f>
        <v>0</v>
      </c>
      <c r="I88" s="12">
        <f>F88*16</f>
        <v>0</v>
      </c>
      <c r="J88" s="12">
        <f>G88*32</f>
        <v>0</v>
      </c>
      <c r="K88" s="12">
        <f>SUM(I88:J88)</f>
        <v>0</v>
      </c>
      <c r="L88" s="335"/>
      <c r="M88" s="95" t="str">
        <f t="shared" si="1"/>
        <v xml:space="preserve">   </v>
      </c>
    </row>
    <row r="89" spans="1:13" hidden="1" x14ac:dyDescent="0.2">
      <c r="A89" s="343"/>
      <c r="B89" s="170" t="str">
        <f>Capacidades!M984</f>
        <v xml:space="preserve">   </v>
      </c>
      <c r="C89" s="171"/>
      <c r="D89" s="13"/>
      <c r="E89" s="13"/>
      <c r="F89" s="13"/>
      <c r="G89" s="13"/>
      <c r="H89" s="14"/>
      <c r="I89" s="14"/>
      <c r="J89" s="14"/>
      <c r="K89" s="14"/>
      <c r="L89" s="336"/>
      <c r="M89" s="95" t="str">
        <f t="shared" si="1"/>
        <v xml:space="preserve">   </v>
      </c>
    </row>
    <row r="90" spans="1:13" hidden="1" x14ac:dyDescent="0.2">
      <c r="A90" s="343"/>
      <c r="B90" s="170" t="str">
        <f>Capacidades!M985</f>
        <v xml:space="preserve">   </v>
      </c>
      <c r="C90" s="171"/>
      <c r="D90" s="13"/>
      <c r="E90" s="13"/>
      <c r="F90" s="13"/>
      <c r="G90" s="13"/>
      <c r="H90" s="14"/>
      <c r="I90" s="14"/>
      <c r="J90" s="14"/>
      <c r="K90" s="14"/>
      <c r="L90" s="336"/>
      <c r="M90" s="95" t="str">
        <f t="shared" si="1"/>
        <v xml:space="preserve">   </v>
      </c>
    </row>
    <row r="91" spans="1:13" hidden="1" x14ac:dyDescent="0.2">
      <c r="A91" s="343"/>
      <c r="B91" s="170" t="str">
        <f>Capacidades!M986</f>
        <v xml:space="preserve">   </v>
      </c>
      <c r="C91" s="171"/>
      <c r="D91" s="13"/>
      <c r="E91" s="13"/>
      <c r="F91" s="13"/>
      <c r="G91" s="13"/>
      <c r="H91" s="14"/>
      <c r="I91" s="14"/>
      <c r="J91" s="14"/>
      <c r="K91" s="14"/>
      <c r="L91" s="336"/>
      <c r="M91" s="95" t="str">
        <f t="shared" si="1"/>
        <v xml:space="preserve">   </v>
      </c>
    </row>
    <row r="92" spans="1:13" hidden="1" x14ac:dyDescent="0.2">
      <c r="A92" s="343"/>
      <c r="B92" s="170" t="str">
        <f>Capacidades!M987</f>
        <v xml:space="preserve">   </v>
      </c>
      <c r="C92" s="171"/>
      <c r="D92" s="13"/>
      <c r="E92" s="13"/>
      <c r="F92" s="13"/>
      <c r="G92" s="13"/>
      <c r="H92" s="14"/>
      <c r="I92" s="14"/>
      <c r="J92" s="14"/>
      <c r="K92" s="14"/>
      <c r="L92" s="336"/>
      <c r="M92" s="95" t="str">
        <f t="shared" si="1"/>
        <v xml:space="preserve">   </v>
      </c>
    </row>
    <row r="93" spans="1:13" hidden="1" x14ac:dyDescent="0.2">
      <c r="A93" s="343"/>
      <c r="B93" s="170" t="str">
        <f>Capacidades!M988</f>
        <v xml:space="preserve">   </v>
      </c>
      <c r="C93" s="171"/>
      <c r="D93" s="13"/>
      <c r="E93" s="13"/>
      <c r="F93" s="13"/>
      <c r="G93" s="13"/>
      <c r="H93" s="14"/>
      <c r="I93" s="14"/>
      <c r="J93" s="14"/>
      <c r="K93" s="14"/>
      <c r="L93" s="336"/>
      <c r="M93" s="95" t="str">
        <f t="shared" si="1"/>
        <v xml:space="preserve">   </v>
      </c>
    </row>
    <row r="94" spans="1:13" hidden="1" x14ac:dyDescent="0.2">
      <c r="A94" s="343"/>
      <c r="B94" s="170" t="str">
        <f>Capacidades!M989</f>
        <v xml:space="preserve">   </v>
      </c>
      <c r="C94" s="171"/>
      <c r="D94" s="13"/>
      <c r="E94" s="13"/>
      <c r="F94" s="13"/>
      <c r="G94" s="13"/>
      <c r="H94" s="14"/>
      <c r="I94" s="14"/>
      <c r="J94" s="14"/>
      <c r="K94" s="14"/>
      <c r="L94" s="336"/>
      <c r="M94" s="95" t="str">
        <f t="shared" si="1"/>
        <v xml:space="preserve">   </v>
      </c>
    </row>
    <row r="95" spans="1:13" hidden="1" x14ac:dyDescent="0.2">
      <c r="A95" s="343"/>
      <c r="B95" s="170" t="str">
        <f>Capacidades!M990</f>
        <v xml:space="preserve">   </v>
      </c>
      <c r="C95" s="171"/>
      <c r="D95" s="13"/>
      <c r="E95" s="13"/>
      <c r="F95" s="13"/>
      <c r="G95" s="13"/>
      <c r="H95" s="14"/>
      <c r="I95" s="14"/>
      <c r="J95" s="14"/>
      <c r="K95" s="14"/>
      <c r="L95" s="336"/>
      <c r="M95" s="95" t="str">
        <f t="shared" si="1"/>
        <v xml:space="preserve">   </v>
      </c>
    </row>
    <row r="96" spans="1:13" hidden="1" x14ac:dyDescent="0.2">
      <c r="A96" s="343"/>
      <c r="B96" s="170" t="str">
        <f>Capacidades!M991</f>
        <v xml:space="preserve">   </v>
      </c>
      <c r="C96" s="171"/>
      <c r="D96" s="13"/>
      <c r="E96" s="13"/>
      <c r="F96" s="13"/>
      <c r="G96" s="13"/>
      <c r="H96" s="14"/>
      <c r="I96" s="14"/>
      <c r="J96" s="14"/>
      <c r="K96" s="14"/>
      <c r="L96" s="336"/>
      <c r="M96" s="95" t="str">
        <f t="shared" si="1"/>
        <v xml:space="preserve">   </v>
      </c>
    </row>
    <row r="97" spans="1:13" hidden="1" x14ac:dyDescent="0.2">
      <c r="A97" s="344"/>
      <c r="B97" s="170" t="str">
        <f>Capacidades!M992</f>
        <v xml:space="preserve">   </v>
      </c>
      <c r="C97" s="171"/>
      <c r="D97" s="15"/>
      <c r="E97" s="15"/>
      <c r="F97" s="15"/>
      <c r="G97" s="15"/>
      <c r="H97" s="16"/>
      <c r="I97" s="16"/>
      <c r="J97" s="16"/>
      <c r="K97" s="16"/>
      <c r="L97" s="337"/>
      <c r="M97" s="95" t="str">
        <f t="shared" si="1"/>
        <v xml:space="preserve">   </v>
      </c>
    </row>
    <row r="98" spans="1:13" hidden="1" x14ac:dyDescent="0.2">
      <c r="A98" s="342" t="str">
        <f>Capacidades!L993</f>
        <v xml:space="preserve">       </v>
      </c>
      <c r="B98" s="170" t="str">
        <f>Capacidades!M993</f>
        <v xml:space="preserve">   </v>
      </c>
      <c r="C98" s="171"/>
      <c r="D98" s="11">
        <f>Organización_Modular!F111</f>
        <v>0</v>
      </c>
      <c r="E98" s="11">
        <f>Organización_Modular!G111</f>
        <v>0</v>
      </c>
      <c r="F98" s="11">
        <f>Organización_Modular!H111</f>
        <v>0</v>
      </c>
      <c r="G98" s="11">
        <f>Organización_Modular!I111</f>
        <v>0</v>
      </c>
      <c r="H98" s="12">
        <f>SUM(F98:G98)</f>
        <v>0</v>
      </c>
      <c r="I98" s="12">
        <f>F98*16</f>
        <v>0</v>
      </c>
      <c r="J98" s="12">
        <f>G98*32</f>
        <v>0</v>
      </c>
      <c r="K98" s="12">
        <f>SUM(I98:J98)</f>
        <v>0</v>
      </c>
      <c r="L98" s="335"/>
      <c r="M98" s="95" t="str">
        <f t="shared" si="1"/>
        <v xml:space="preserve">   </v>
      </c>
    </row>
    <row r="99" spans="1:13" hidden="1" x14ac:dyDescent="0.2">
      <c r="A99" s="343"/>
      <c r="B99" s="170" t="str">
        <f>Capacidades!M994</f>
        <v xml:space="preserve">   </v>
      </c>
      <c r="C99" s="171"/>
      <c r="D99" s="13"/>
      <c r="E99" s="13"/>
      <c r="F99" s="13"/>
      <c r="G99" s="13"/>
      <c r="H99" s="14"/>
      <c r="I99" s="14"/>
      <c r="J99" s="14"/>
      <c r="K99" s="14"/>
      <c r="L99" s="336"/>
      <c r="M99" s="95" t="str">
        <f t="shared" si="1"/>
        <v xml:space="preserve">   </v>
      </c>
    </row>
    <row r="100" spans="1:13" hidden="1" x14ac:dyDescent="0.2">
      <c r="A100" s="343"/>
      <c r="B100" s="170" t="str">
        <f>Capacidades!M995</f>
        <v xml:space="preserve">   </v>
      </c>
      <c r="C100" s="171"/>
      <c r="D100" s="13"/>
      <c r="E100" s="13"/>
      <c r="F100" s="13"/>
      <c r="G100" s="13"/>
      <c r="H100" s="14"/>
      <c r="I100" s="14"/>
      <c r="J100" s="14"/>
      <c r="K100" s="14"/>
      <c r="L100" s="336"/>
      <c r="M100" s="95" t="str">
        <f t="shared" si="1"/>
        <v xml:space="preserve">   </v>
      </c>
    </row>
    <row r="101" spans="1:13" hidden="1" x14ac:dyDescent="0.2">
      <c r="A101" s="343"/>
      <c r="B101" s="170" t="str">
        <f>Capacidades!M996</f>
        <v xml:space="preserve">   </v>
      </c>
      <c r="C101" s="171"/>
      <c r="D101" s="13"/>
      <c r="E101" s="13"/>
      <c r="F101" s="13"/>
      <c r="G101" s="13"/>
      <c r="H101" s="14"/>
      <c r="I101" s="14"/>
      <c r="J101" s="14"/>
      <c r="K101" s="14"/>
      <c r="L101" s="336"/>
      <c r="M101" s="95" t="str">
        <f t="shared" si="1"/>
        <v xml:space="preserve">   </v>
      </c>
    </row>
    <row r="102" spans="1:13" hidden="1" x14ac:dyDescent="0.2">
      <c r="A102" s="343"/>
      <c r="B102" s="170" t="str">
        <f>Capacidades!M997</f>
        <v xml:space="preserve">   </v>
      </c>
      <c r="C102" s="171"/>
      <c r="D102" s="13"/>
      <c r="E102" s="13"/>
      <c r="F102" s="13"/>
      <c r="G102" s="13"/>
      <c r="H102" s="14"/>
      <c r="I102" s="14"/>
      <c r="J102" s="14"/>
      <c r="K102" s="14"/>
      <c r="L102" s="336"/>
      <c r="M102" s="95" t="str">
        <f t="shared" si="1"/>
        <v xml:space="preserve">   </v>
      </c>
    </row>
    <row r="103" spans="1:13" hidden="1" x14ac:dyDescent="0.2">
      <c r="A103" s="343"/>
      <c r="B103" s="170" t="str">
        <f>Capacidades!M998</f>
        <v xml:space="preserve">   </v>
      </c>
      <c r="C103" s="171"/>
      <c r="D103" s="13"/>
      <c r="E103" s="13"/>
      <c r="F103" s="13"/>
      <c r="G103" s="13"/>
      <c r="H103" s="14"/>
      <c r="I103" s="14"/>
      <c r="J103" s="14"/>
      <c r="K103" s="14"/>
      <c r="L103" s="336"/>
      <c r="M103" s="95" t="str">
        <f t="shared" si="1"/>
        <v xml:space="preserve">   </v>
      </c>
    </row>
    <row r="104" spans="1:13" hidden="1" x14ac:dyDescent="0.2">
      <c r="A104" s="343"/>
      <c r="B104" s="170" t="str">
        <f>Capacidades!M999</f>
        <v xml:space="preserve">   </v>
      </c>
      <c r="C104" s="171"/>
      <c r="D104" s="13"/>
      <c r="E104" s="13"/>
      <c r="F104" s="13"/>
      <c r="G104" s="13"/>
      <c r="H104" s="14"/>
      <c r="I104" s="14"/>
      <c r="J104" s="14"/>
      <c r="K104" s="14"/>
      <c r="L104" s="336"/>
      <c r="M104" s="95" t="str">
        <f t="shared" si="1"/>
        <v xml:space="preserve">   </v>
      </c>
    </row>
    <row r="105" spans="1:13" hidden="1" x14ac:dyDescent="0.2">
      <c r="A105" s="343"/>
      <c r="B105" s="170" t="str">
        <f>Capacidades!M1000</f>
        <v xml:space="preserve">   </v>
      </c>
      <c r="C105" s="171"/>
      <c r="D105" s="13"/>
      <c r="E105" s="13"/>
      <c r="F105" s="13"/>
      <c r="G105" s="13"/>
      <c r="H105" s="14"/>
      <c r="I105" s="14"/>
      <c r="J105" s="14"/>
      <c r="K105" s="14"/>
      <c r="L105" s="336"/>
      <c r="M105" s="95" t="str">
        <f t="shared" si="1"/>
        <v xml:space="preserve">   </v>
      </c>
    </row>
    <row r="106" spans="1:13" hidden="1" x14ac:dyDescent="0.2">
      <c r="A106" s="343"/>
      <c r="B106" s="170" t="str">
        <f>Capacidades!M1001</f>
        <v xml:space="preserve">   </v>
      </c>
      <c r="C106" s="171"/>
      <c r="D106" s="13"/>
      <c r="E106" s="13"/>
      <c r="F106" s="13"/>
      <c r="G106" s="13"/>
      <c r="H106" s="14"/>
      <c r="I106" s="14"/>
      <c r="J106" s="14"/>
      <c r="K106" s="14"/>
      <c r="L106" s="336"/>
      <c r="M106" s="95" t="str">
        <f t="shared" si="1"/>
        <v xml:space="preserve">   </v>
      </c>
    </row>
    <row r="107" spans="1:13" hidden="1" x14ac:dyDescent="0.2">
      <c r="A107" s="344"/>
      <c r="B107" s="170" t="str">
        <f>Capacidades!M1002</f>
        <v xml:space="preserve">   </v>
      </c>
      <c r="C107" s="171"/>
      <c r="D107" s="15"/>
      <c r="E107" s="15"/>
      <c r="F107" s="15"/>
      <c r="G107" s="15"/>
      <c r="H107" s="16"/>
      <c r="I107" s="16"/>
      <c r="J107" s="16"/>
      <c r="K107" s="16"/>
      <c r="L107" s="337"/>
      <c r="M107" s="95" t="str">
        <f t="shared" si="1"/>
        <v xml:space="preserve">   </v>
      </c>
    </row>
    <row r="108" spans="1:13" ht="1.5" hidden="1" customHeight="1" x14ac:dyDescent="0.2">
      <c r="A108" s="342" t="str">
        <f>Capacidades!L1003</f>
        <v xml:space="preserve">       </v>
      </c>
      <c r="B108" s="170" t="str">
        <f>Capacidades!M1003</f>
        <v xml:space="preserve">   </v>
      </c>
      <c r="C108" s="171"/>
      <c r="D108" s="11">
        <f>Organización_Modular!F112</f>
        <v>0</v>
      </c>
      <c r="E108" s="11">
        <f>Organización_Modular!G112</f>
        <v>0</v>
      </c>
      <c r="F108" s="11">
        <f>Organización_Modular!H112</f>
        <v>0</v>
      </c>
      <c r="G108" s="11">
        <f>Organización_Modular!I112</f>
        <v>0</v>
      </c>
      <c r="H108" s="12">
        <f>SUM(F108:G108)</f>
        <v>0</v>
      </c>
      <c r="I108" s="12">
        <f>F108*16</f>
        <v>0</v>
      </c>
      <c r="J108" s="12">
        <f>G108*32</f>
        <v>0</v>
      </c>
      <c r="K108" s="12">
        <f>SUM(I108:J108)</f>
        <v>0</v>
      </c>
      <c r="L108" s="335"/>
      <c r="M108" s="95" t="str">
        <f t="shared" si="1"/>
        <v xml:space="preserve">   </v>
      </c>
    </row>
    <row r="109" spans="1:13" hidden="1" x14ac:dyDescent="0.2">
      <c r="A109" s="343"/>
      <c r="B109" s="170" t="str">
        <f>Capacidades!M1004</f>
        <v xml:space="preserve">   </v>
      </c>
      <c r="C109" s="171"/>
      <c r="D109" s="13"/>
      <c r="E109" s="13"/>
      <c r="F109" s="13"/>
      <c r="G109" s="13"/>
      <c r="H109" s="14"/>
      <c r="I109" s="14"/>
      <c r="J109" s="14"/>
      <c r="K109" s="14"/>
      <c r="L109" s="336"/>
      <c r="M109" s="95" t="str">
        <f t="shared" si="1"/>
        <v xml:space="preserve">   </v>
      </c>
    </row>
    <row r="110" spans="1:13" hidden="1" x14ac:dyDescent="0.2">
      <c r="A110" s="343"/>
      <c r="B110" s="170" t="str">
        <f>Capacidades!M1005</f>
        <v xml:space="preserve">   </v>
      </c>
      <c r="C110" s="171"/>
      <c r="D110" s="13"/>
      <c r="E110" s="13"/>
      <c r="F110" s="13"/>
      <c r="G110" s="13"/>
      <c r="H110" s="14"/>
      <c r="I110" s="14"/>
      <c r="J110" s="14"/>
      <c r="K110" s="14"/>
      <c r="L110" s="336"/>
      <c r="M110" s="95" t="str">
        <f t="shared" si="1"/>
        <v xml:space="preserve">   </v>
      </c>
    </row>
    <row r="111" spans="1:13" hidden="1" x14ac:dyDescent="0.2">
      <c r="A111" s="343"/>
      <c r="B111" s="170" t="str">
        <f>Capacidades!M1006</f>
        <v xml:space="preserve">   </v>
      </c>
      <c r="C111" s="171"/>
      <c r="D111" s="13"/>
      <c r="E111" s="13"/>
      <c r="F111" s="13"/>
      <c r="G111" s="13"/>
      <c r="H111" s="14"/>
      <c r="I111" s="14"/>
      <c r="J111" s="14"/>
      <c r="K111" s="14"/>
      <c r="L111" s="336"/>
      <c r="M111" s="95" t="str">
        <f t="shared" si="1"/>
        <v xml:space="preserve">   </v>
      </c>
    </row>
    <row r="112" spans="1:13" hidden="1" x14ac:dyDescent="0.2">
      <c r="A112" s="343"/>
      <c r="B112" s="170" t="str">
        <f>Capacidades!M1007</f>
        <v xml:space="preserve">   </v>
      </c>
      <c r="C112" s="171"/>
      <c r="D112" s="13"/>
      <c r="E112" s="13"/>
      <c r="F112" s="13"/>
      <c r="G112" s="13"/>
      <c r="H112" s="14"/>
      <c r="I112" s="14"/>
      <c r="J112" s="14"/>
      <c r="K112" s="14"/>
      <c r="L112" s="336"/>
      <c r="M112" s="95" t="str">
        <f t="shared" si="1"/>
        <v xml:space="preserve">   </v>
      </c>
    </row>
    <row r="113" spans="1:13" hidden="1" x14ac:dyDescent="0.2">
      <c r="A113" s="343"/>
      <c r="B113" s="170" t="str">
        <f>Capacidades!M1008</f>
        <v xml:space="preserve">   </v>
      </c>
      <c r="C113" s="171"/>
      <c r="D113" s="13"/>
      <c r="E113" s="13"/>
      <c r="F113" s="13"/>
      <c r="G113" s="13"/>
      <c r="H113" s="14"/>
      <c r="I113" s="14"/>
      <c r="J113" s="14"/>
      <c r="K113" s="14"/>
      <c r="L113" s="336"/>
      <c r="M113" s="95" t="str">
        <f t="shared" si="1"/>
        <v xml:space="preserve">   </v>
      </c>
    </row>
    <row r="114" spans="1:13" hidden="1" x14ac:dyDescent="0.2">
      <c r="A114" s="343"/>
      <c r="B114" s="170" t="str">
        <f>Capacidades!M1009</f>
        <v xml:space="preserve">   </v>
      </c>
      <c r="C114" s="171"/>
      <c r="D114" s="13"/>
      <c r="E114" s="13"/>
      <c r="F114" s="13"/>
      <c r="G114" s="13"/>
      <c r="H114" s="14"/>
      <c r="I114" s="14"/>
      <c r="J114" s="14"/>
      <c r="K114" s="14"/>
      <c r="L114" s="336"/>
      <c r="M114" s="95" t="str">
        <f t="shared" si="1"/>
        <v xml:space="preserve">   </v>
      </c>
    </row>
    <row r="115" spans="1:13" hidden="1" x14ac:dyDescent="0.2">
      <c r="A115" s="343"/>
      <c r="B115" s="170" t="str">
        <f>Capacidades!M1010</f>
        <v xml:space="preserve">   </v>
      </c>
      <c r="C115" s="171"/>
      <c r="D115" s="13"/>
      <c r="E115" s="13"/>
      <c r="F115" s="13"/>
      <c r="G115" s="13"/>
      <c r="H115" s="14"/>
      <c r="I115" s="14"/>
      <c r="J115" s="14"/>
      <c r="K115" s="14"/>
      <c r="L115" s="336"/>
      <c r="M115" s="95" t="str">
        <f t="shared" si="1"/>
        <v xml:space="preserve">   </v>
      </c>
    </row>
    <row r="116" spans="1:13" hidden="1" x14ac:dyDescent="0.2">
      <c r="A116" s="343"/>
      <c r="B116" s="170" t="str">
        <f>Capacidades!M1011</f>
        <v xml:space="preserve">   </v>
      </c>
      <c r="C116" s="171"/>
      <c r="D116" s="13"/>
      <c r="E116" s="13"/>
      <c r="F116" s="13"/>
      <c r="G116" s="13"/>
      <c r="H116" s="14"/>
      <c r="I116" s="14"/>
      <c r="J116" s="14"/>
      <c r="K116" s="14"/>
      <c r="L116" s="336"/>
      <c r="M116" s="95" t="str">
        <f t="shared" si="1"/>
        <v xml:space="preserve">   </v>
      </c>
    </row>
    <row r="117" spans="1:13" hidden="1" x14ac:dyDescent="0.2">
      <c r="A117" s="344"/>
      <c r="B117" s="170" t="str">
        <f>Capacidades!M1012</f>
        <v xml:space="preserve">   </v>
      </c>
      <c r="C117" s="171"/>
      <c r="D117" s="15"/>
      <c r="E117" s="15"/>
      <c r="F117" s="15"/>
      <c r="G117" s="15"/>
      <c r="H117" s="16"/>
      <c r="I117" s="16"/>
      <c r="J117" s="16"/>
      <c r="K117" s="16"/>
      <c r="L117" s="337"/>
      <c r="M117" s="95" t="str">
        <f t="shared" si="1"/>
        <v xml:space="preserve">   </v>
      </c>
    </row>
    <row r="118" spans="1:13" hidden="1" x14ac:dyDescent="0.2">
      <c r="A118" s="342" t="str">
        <f>Capacidades!L1013</f>
        <v xml:space="preserve">       </v>
      </c>
      <c r="B118" s="170" t="str">
        <f>Capacidades!M1013</f>
        <v xml:space="preserve">   </v>
      </c>
      <c r="C118" s="171"/>
      <c r="D118" s="11">
        <f>Organización_Modular!F113</f>
        <v>0</v>
      </c>
      <c r="E118" s="11">
        <f>Organización_Modular!G113</f>
        <v>0</v>
      </c>
      <c r="F118" s="11">
        <f>Organización_Modular!H113</f>
        <v>0</v>
      </c>
      <c r="G118" s="11">
        <f>Organización_Modular!I113</f>
        <v>0</v>
      </c>
      <c r="H118" s="12">
        <f>SUM(F118:G118)</f>
        <v>0</v>
      </c>
      <c r="I118" s="12">
        <f>F118*16</f>
        <v>0</v>
      </c>
      <c r="J118" s="12">
        <f>G118*32</f>
        <v>0</v>
      </c>
      <c r="K118" s="12">
        <f>SUM(I118:J118)</f>
        <v>0</v>
      </c>
      <c r="L118" s="335"/>
      <c r="M118" s="95" t="str">
        <f t="shared" si="1"/>
        <v xml:space="preserve">   </v>
      </c>
    </row>
    <row r="119" spans="1:13" hidden="1" x14ac:dyDescent="0.2">
      <c r="A119" s="343"/>
      <c r="B119" s="170" t="str">
        <f>Capacidades!M1014</f>
        <v xml:space="preserve">   </v>
      </c>
      <c r="C119" s="171"/>
      <c r="D119" s="13"/>
      <c r="E119" s="13"/>
      <c r="F119" s="13"/>
      <c r="G119" s="13"/>
      <c r="H119" s="14"/>
      <c r="I119" s="14"/>
      <c r="J119" s="14"/>
      <c r="K119" s="14"/>
      <c r="L119" s="336"/>
      <c r="M119" s="95" t="str">
        <f t="shared" si="1"/>
        <v xml:space="preserve">   </v>
      </c>
    </row>
    <row r="120" spans="1:13" hidden="1" x14ac:dyDescent="0.2">
      <c r="A120" s="343"/>
      <c r="B120" s="170" t="str">
        <f>Capacidades!M1015</f>
        <v xml:space="preserve">   </v>
      </c>
      <c r="C120" s="171"/>
      <c r="D120" s="13"/>
      <c r="E120" s="13"/>
      <c r="F120" s="13"/>
      <c r="G120" s="13"/>
      <c r="H120" s="14"/>
      <c r="I120" s="14"/>
      <c r="J120" s="14"/>
      <c r="K120" s="14"/>
      <c r="L120" s="336"/>
      <c r="M120" s="95" t="str">
        <f t="shared" si="1"/>
        <v xml:space="preserve">   </v>
      </c>
    </row>
    <row r="121" spans="1:13" hidden="1" x14ac:dyDescent="0.2">
      <c r="A121" s="343"/>
      <c r="B121" s="170" t="str">
        <f>Capacidades!M1016</f>
        <v xml:space="preserve">   </v>
      </c>
      <c r="C121" s="171"/>
      <c r="D121" s="13"/>
      <c r="E121" s="13"/>
      <c r="F121" s="13"/>
      <c r="G121" s="13"/>
      <c r="H121" s="14"/>
      <c r="I121" s="14"/>
      <c r="J121" s="14"/>
      <c r="K121" s="14"/>
      <c r="L121" s="336"/>
      <c r="M121" s="95" t="str">
        <f t="shared" si="1"/>
        <v xml:space="preserve">   </v>
      </c>
    </row>
    <row r="122" spans="1:13" hidden="1" x14ac:dyDescent="0.2">
      <c r="A122" s="343"/>
      <c r="B122" s="170" t="str">
        <f>Capacidades!M1017</f>
        <v xml:space="preserve">   </v>
      </c>
      <c r="C122" s="171"/>
      <c r="D122" s="13"/>
      <c r="E122" s="13"/>
      <c r="F122" s="13"/>
      <c r="G122" s="13"/>
      <c r="H122" s="14"/>
      <c r="I122" s="14"/>
      <c r="J122" s="14"/>
      <c r="K122" s="14"/>
      <c r="L122" s="336"/>
      <c r="M122" s="95" t="str">
        <f t="shared" si="1"/>
        <v xml:space="preserve">   </v>
      </c>
    </row>
    <row r="123" spans="1:13" hidden="1" x14ac:dyDescent="0.2">
      <c r="A123" s="343"/>
      <c r="B123" s="170" t="str">
        <f>Capacidades!M1018</f>
        <v xml:space="preserve">   </v>
      </c>
      <c r="C123" s="171"/>
      <c r="D123" s="13"/>
      <c r="E123" s="13"/>
      <c r="F123" s="13"/>
      <c r="G123" s="13"/>
      <c r="H123" s="14"/>
      <c r="I123" s="14"/>
      <c r="J123" s="14"/>
      <c r="K123" s="14"/>
      <c r="L123" s="336"/>
      <c r="M123" s="95" t="str">
        <f t="shared" si="1"/>
        <v xml:space="preserve">   </v>
      </c>
    </row>
    <row r="124" spans="1:13" hidden="1" x14ac:dyDescent="0.2">
      <c r="A124" s="343"/>
      <c r="B124" s="170" t="str">
        <f>Capacidades!M1019</f>
        <v xml:space="preserve">   </v>
      </c>
      <c r="C124" s="171"/>
      <c r="D124" s="13"/>
      <c r="E124" s="13"/>
      <c r="F124" s="13"/>
      <c r="G124" s="13"/>
      <c r="H124" s="14"/>
      <c r="I124" s="14"/>
      <c r="J124" s="14"/>
      <c r="K124" s="14"/>
      <c r="L124" s="336"/>
      <c r="M124" s="95" t="str">
        <f t="shared" si="1"/>
        <v xml:space="preserve">   </v>
      </c>
    </row>
    <row r="125" spans="1:13" hidden="1" x14ac:dyDescent="0.2">
      <c r="A125" s="343"/>
      <c r="B125" s="170" t="str">
        <f>Capacidades!M1020</f>
        <v xml:space="preserve">   </v>
      </c>
      <c r="C125" s="171"/>
      <c r="D125" s="13"/>
      <c r="E125" s="13"/>
      <c r="F125" s="13"/>
      <c r="G125" s="13"/>
      <c r="H125" s="14"/>
      <c r="I125" s="14"/>
      <c r="J125" s="14"/>
      <c r="K125" s="14"/>
      <c r="L125" s="336"/>
      <c r="M125" s="95" t="str">
        <f t="shared" si="1"/>
        <v xml:space="preserve">   </v>
      </c>
    </row>
    <row r="126" spans="1:13" hidden="1" x14ac:dyDescent="0.2">
      <c r="A126" s="343"/>
      <c r="B126" s="170" t="str">
        <f>Capacidades!M1021</f>
        <v xml:space="preserve">   </v>
      </c>
      <c r="C126" s="171"/>
      <c r="D126" s="13"/>
      <c r="E126" s="13"/>
      <c r="F126" s="13"/>
      <c r="G126" s="13"/>
      <c r="H126" s="14"/>
      <c r="I126" s="14"/>
      <c r="J126" s="14"/>
      <c r="K126" s="14"/>
      <c r="L126" s="336"/>
      <c r="M126" s="95" t="str">
        <f t="shared" si="1"/>
        <v xml:space="preserve">   </v>
      </c>
    </row>
    <row r="127" spans="1:13" hidden="1" x14ac:dyDescent="0.2">
      <c r="A127" s="344"/>
      <c r="B127" s="170" t="str">
        <f>Capacidades!M1022</f>
        <v xml:space="preserve">   </v>
      </c>
      <c r="C127" s="171"/>
      <c r="D127" s="15"/>
      <c r="E127" s="15"/>
      <c r="F127" s="15"/>
      <c r="G127" s="15"/>
      <c r="H127" s="16"/>
      <c r="I127" s="16"/>
      <c r="J127" s="16"/>
      <c r="K127" s="16"/>
      <c r="L127" s="337"/>
      <c r="M127" s="95" t="str">
        <f t="shared" si="1"/>
        <v xml:space="preserve">   </v>
      </c>
    </row>
    <row r="128" spans="1:13" hidden="1" x14ac:dyDescent="0.2">
      <c r="A128" s="342" t="str">
        <f>Capacidades!L1023</f>
        <v xml:space="preserve">       </v>
      </c>
      <c r="B128" s="170" t="str">
        <f>Capacidades!M1023</f>
        <v xml:space="preserve">   </v>
      </c>
      <c r="C128" s="171"/>
      <c r="D128" s="11">
        <f>Organización_Modular!F114</f>
        <v>0</v>
      </c>
      <c r="E128" s="11">
        <f>Organización_Modular!G114</f>
        <v>0</v>
      </c>
      <c r="F128" s="11">
        <f>Organización_Modular!H114</f>
        <v>0</v>
      </c>
      <c r="G128" s="11">
        <f>Organización_Modular!I114</f>
        <v>0</v>
      </c>
      <c r="H128" s="12">
        <f>SUM(F128:G128)</f>
        <v>0</v>
      </c>
      <c r="I128" s="12">
        <f>F128*16</f>
        <v>0</v>
      </c>
      <c r="J128" s="12">
        <f>G128*32</f>
        <v>0</v>
      </c>
      <c r="K128" s="12">
        <f>SUM(I128:J128)</f>
        <v>0</v>
      </c>
      <c r="L128" s="335"/>
      <c r="M128" s="95" t="str">
        <f t="shared" si="1"/>
        <v xml:space="preserve">   </v>
      </c>
    </row>
    <row r="129" spans="1:13" hidden="1" x14ac:dyDescent="0.2">
      <c r="A129" s="343"/>
      <c r="B129" s="170" t="str">
        <f>Capacidades!M1024</f>
        <v xml:space="preserve">   </v>
      </c>
      <c r="C129" s="171"/>
      <c r="D129" s="13"/>
      <c r="E129" s="13"/>
      <c r="F129" s="13"/>
      <c r="G129" s="13"/>
      <c r="H129" s="14"/>
      <c r="I129" s="14"/>
      <c r="J129" s="14"/>
      <c r="K129" s="14"/>
      <c r="L129" s="336"/>
      <c r="M129" s="95" t="str">
        <f t="shared" si="1"/>
        <v xml:space="preserve">   </v>
      </c>
    </row>
    <row r="130" spans="1:13" hidden="1" x14ac:dyDescent="0.2">
      <c r="A130" s="343"/>
      <c r="B130" s="170" t="str">
        <f>Capacidades!M1025</f>
        <v xml:space="preserve">   </v>
      </c>
      <c r="C130" s="171"/>
      <c r="D130" s="13"/>
      <c r="E130" s="13"/>
      <c r="F130" s="13"/>
      <c r="G130" s="13"/>
      <c r="H130" s="14"/>
      <c r="I130" s="14"/>
      <c r="J130" s="14"/>
      <c r="K130" s="14"/>
      <c r="L130" s="336"/>
      <c r="M130" s="95" t="str">
        <f t="shared" si="1"/>
        <v xml:space="preserve">   </v>
      </c>
    </row>
    <row r="131" spans="1:13" hidden="1" x14ac:dyDescent="0.2">
      <c r="A131" s="343"/>
      <c r="B131" s="170" t="str">
        <f>Capacidades!M1026</f>
        <v xml:space="preserve">   </v>
      </c>
      <c r="C131" s="171"/>
      <c r="D131" s="13"/>
      <c r="E131" s="13"/>
      <c r="F131" s="13"/>
      <c r="G131" s="13"/>
      <c r="H131" s="14"/>
      <c r="I131" s="14"/>
      <c r="J131" s="14"/>
      <c r="K131" s="14"/>
      <c r="L131" s="336"/>
      <c r="M131" s="95" t="str">
        <f t="shared" si="1"/>
        <v xml:space="preserve">   </v>
      </c>
    </row>
    <row r="132" spans="1:13" hidden="1" x14ac:dyDescent="0.2">
      <c r="A132" s="343"/>
      <c r="B132" s="170" t="str">
        <f>Capacidades!M1027</f>
        <v xml:space="preserve">   </v>
      </c>
      <c r="C132" s="171"/>
      <c r="D132" s="13"/>
      <c r="E132" s="13"/>
      <c r="F132" s="13"/>
      <c r="G132" s="13"/>
      <c r="H132" s="14"/>
      <c r="I132" s="14"/>
      <c r="J132" s="14"/>
      <c r="K132" s="14"/>
      <c r="L132" s="336"/>
      <c r="M132" s="95" t="str">
        <f t="shared" si="1"/>
        <v xml:space="preserve">   </v>
      </c>
    </row>
    <row r="133" spans="1:13" hidden="1" x14ac:dyDescent="0.2">
      <c r="A133" s="343"/>
      <c r="B133" s="170" t="str">
        <f>Capacidades!M1028</f>
        <v xml:space="preserve">   </v>
      </c>
      <c r="C133" s="171"/>
      <c r="D133" s="13"/>
      <c r="E133" s="13"/>
      <c r="F133" s="13"/>
      <c r="G133" s="13"/>
      <c r="H133" s="14"/>
      <c r="I133" s="14"/>
      <c r="J133" s="14"/>
      <c r="K133" s="14"/>
      <c r="L133" s="336"/>
      <c r="M133" s="95" t="str">
        <f t="shared" si="1"/>
        <v xml:space="preserve">   </v>
      </c>
    </row>
    <row r="134" spans="1:13" hidden="1" x14ac:dyDescent="0.2">
      <c r="A134" s="343"/>
      <c r="B134" s="170" t="str">
        <f>Capacidades!M1029</f>
        <v xml:space="preserve">   </v>
      </c>
      <c r="C134" s="171"/>
      <c r="D134" s="13"/>
      <c r="E134" s="13"/>
      <c r="F134" s="13"/>
      <c r="G134" s="13"/>
      <c r="H134" s="14"/>
      <c r="I134" s="14"/>
      <c r="J134" s="14"/>
      <c r="K134" s="14"/>
      <c r="L134" s="336"/>
      <c r="M134" s="95" t="str">
        <f t="shared" si="1"/>
        <v xml:space="preserve">   </v>
      </c>
    </row>
    <row r="135" spans="1:13" hidden="1" x14ac:dyDescent="0.2">
      <c r="A135" s="343"/>
      <c r="B135" s="170" t="str">
        <f>Capacidades!M1030</f>
        <v xml:space="preserve">   </v>
      </c>
      <c r="C135" s="171"/>
      <c r="D135" s="13"/>
      <c r="E135" s="13"/>
      <c r="F135" s="13"/>
      <c r="G135" s="13"/>
      <c r="H135" s="14"/>
      <c r="I135" s="14"/>
      <c r="J135" s="14"/>
      <c r="K135" s="14"/>
      <c r="L135" s="336"/>
      <c r="M135" s="95" t="str">
        <f t="shared" si="1"/>
        <v xml:space="preserve">   </v>
      </c>
    </row>
    <row r="136" spans="1:13" hidden="1" x14ac:dyDescent="0.2">
      <c r="A136" s="343"/>
      <c r="B136" s="170" t="str">
        <f>Capacidades!M1031</f>
        <v xml:space="preserve">   </v>
      </c>
      <c r="C136" s="171"/>
      <c r="D136" s="13"/>
      <c r="E136" s="13"/>
      <c r="F136" s="13"/>
      <c r="G136" s="13"/>
      <c r="H136" s="14"/>
      <c r="I136" s="14"/>
      <c r="J136" s="14"/>
      <c r="K136" s="14"/>
      <c r="L136" s="336"/>
      <c r="M136" s="95" t="str">
        <f t="shared" si="1"/>
        <v xml:space="preserve">   </v>
      </c>
    </row>
    <row r="137" spans="1:13" hidden="1" x14ac:dyDescent="0.2">
      <c r="A137" s="344"/>
      <c r="B137" s="170" t="str">
        <f>Capacidades!M1032</f>
        <v xml:space="preserve">   </v>
      </c>
      <c r="C137" s="171"/>
      <c r="D137" s="15"/>
      <c r="E137" s="15"/>
      <c r="F137" s="15"/>
      <c r="G137" s="15"/>
      <c r="H137" s="16"/>
      <c r="I137" s="16"/>
      <c r="J137" s="16"/>
      <c r="K137" s="16"/>
      <c r="L137" s="337"/>
      <c r="M137" s="95" t="str">
        <f t="shared" si="1"/>
        <v xml:space="preserve">   </v>
      </c>
    </row>
    <row r="138" spans="1:13" hidden="1" x14ac:dyDescent="0.2">
      <c r="A138" s="342" t="str">
        <f>Capacidades!L1033</f>
        <v xml:space="preserve">       </v>
      </c>
      <c r="B138" s="170" t="str">
        <f>Capacidades!M1033</f>
        <v xml:space="preserve">   </v>
      </c>
      <c r="C138" s="171"/>
      <c r="D138" s="11">
        <f>Organización_Modular!F115</f>
        <v>0</v>
      </c>
      <c r="E138" s="11">
        <f>Organización_Modular!G115</f>
        <v>0</v>
      </c>
      <c r="F138" s="11">
        <f>Organización_Modular!H115</f>
        <v>0</v>
      </c>
      <c r="G138" s="11">
        <f>Organización_Modular!I115</f>
        <v>0</v>
      </c>
      <c r="H138" s="12">
        <f>SUM(F138:G138)</f>
        <v>0</v>
      </c>
      <c r="I138" s="12">
        <f>F138*16</f>
        <v>0</v>
      </c>
      <c r="J138" s="12">
        <f>G138*32</f>
        <v>0</v>
      </c>
      <c r="K138" s="12">
        <f>SUM(I138:J138)</f>
        <v>0</v>
      </c>
      <c r="L138" s="335"/>
      <c r="M138" s="95" t="str">
        <f t="shared" si="1"/>
        <v xml:space="preserve">   </v>
      </c>
    </row>
    <row r="139" spans="1:13" hidden="1" x14ac:dyDescent="0.2">
      <c r="A139" s="343"/>
      <c r="B139" s="170" t="str">
        <f>Capacidades!M1034</f>
        <v xml:space="preserve">   </v>
      </c>
      <c r="C139" s="171"/>
      <c r="D139" s="13"/>
      <c r="E139" s="13"/>
      <c r="F139" s="13"/>
      <c r="G139" s="13"/>
      <c r="H139" s="14"/>
      <c r="I139" s="14"/>
      <c r="J139" s="14"/>
      <c r="K139" s="14"/>
      <c r="L139" s="336"/>
      <c r="M139" s="95" t="str">
        <f t="shared" si="1"/>
        <v xml:space="preserve">   </v>
      </c>
    </row>
    <row r="140" spans="1:13" hidden="1" x14ac:dyDescent="0.2">
      <c r="A140" s="343"/>
      <c r="B140" s="170" t="str">
        <f>Capacidades!M1035</f>
        <v xml:space="preserve">   </v>
      </c>
      <c r="C140" s="171"/>
      <c r="D140" s="13"/>
      <c r="E140" s="13"/>
      <c r="F140" s="13"/>
      <c r="G140" s="13"/>
      <c r="H140" s="14"/>
      <c r="I140" s="14"/>
      <c r="J140" s="14"/>
      <c r="K140" s="14"/>
      <c r="L140" s="336"/>
      <c r="M140" s="95" t="str">
        <f t="shared" si="1"/>
        <v xml:space="preserve">   </v>
      </c>
    </row>
    <row r="141" spans="1:13" hidden="1" x14ac:dyDescent="0.2">
      <c r="A141" s="343"/>
      <c r="B141" s="170" t="str">
        <f>Capacidades!M1036</f>
        <v xml:space="preserve">   </v>
      </c>
      <c r="C141" s="171"/>
      <c r="D141" s="13"/>
      <c r="E141" s="13"/>
      <c r="F141" s="13"/>
      <c r="G141" s="13"/>
      <c r="H141" s="14"/>
      <c r="I141" s="14"/>
      <c r="J141" s="14"/>
      <c r="K141" s="14"/>
      <c r="L141" s="336"/>
      <c r="M141" s="95" t="str">
        <f t="shared" si="1"/>
        <v xml:space="preserve">   </v>
      </c>
    </row>
    <row r="142" spans="1:13" hidden="1" x14ac:dyDescent="0.2">
      <c r="A142" s="343"/>
      <c r="B142" s="170" t="str">
        <f>Capacidades!M1037</f>
        <v xml:space="preserve">   </v>
      </c>
      <c r="C142" s="171"/>
      <c r="D142" s="13"/>
      <c r="E142" s="13"/>
      <c r="F142" s="13"/>
      <c r="G142" s="13"/>
      <c r="H142" s="14"/>
      <c r="I142" s="14"/>
      <c r="J142" s="14"/>
      <c r="K142" s="14"/>
      <c r="L142" s="336"/>
      <c r="M142" s="95" t="str">
        <f t="shared" si="1"/>
        <v xml:space="preserve">   </v>
      </c>
    </row>
    <row r="143" spans="1:13" hidden="1" x14ac:dyDescent="0.2">
      <c r="A143" s="343"/>
      <c r="B143" s="170" t="str">
        <f>Capacidades!M1038</f>
        <v xml:space="preserve">   </v>
      </c>
      <c r="C143" s="171"/>
      <c r="D143" s="13"/>
      <c r="E143" s="13"/>
      <c r="F143" s="13"/>
      <c r="G143" s="13"/>
      <c r="H143" s="14"/>
      <c r="I143" s="14"/>
      <c r="J143" s="14"/>
      <c r="K143" s="14"/>
      <c r="L143" s="336"/>
      <c r="M143" s="95" t="str">
        <f t="shared" si="1"/>
        <v xml:space="preserve">   </v>
      </c>
    </row>
    <row r="144" spans="1:13" hidden="1" x14ac:dyDescent="0.2">
      <c r="A144" s="343"/>
      <c r="B144" s="170" t="str">
        <f>Capacidades!M1039</f>
        <v xml:space="preserve">   </v>
      </c>
      <c r="C144" s="171"/>
      <c r="D144" s="13"/>
      <c r="E144" s="13"/>
      <c r="F144" s="13"/>
      <c r="G144" s="13"/>
      <c r="H144" s="14"/>
      <c r="I144" s="14"/>
      <c r="J144" s="14"/>
      <c r="K144" s="14"/>
      <c r="L144" s="336"/>
      <c r="M144" s="95" t="str">
        <f t="shared" si="1"/>
        <v xml:space="preserve">   </v>
      </c>
    </row>
    <row r="145" spans="1:13" hidden="1" x14ac:dyDescent="0.2">
      <c r="A145" s="343"/>
      <c r="B145" s="170" t="str">
        <f>Capacidades!M1040</f>
        <v xml:space="preserve">   </v>
      </c>
      <c r="C145" s="171"/>
      <c r="D145" s="13"/>
      <c r="E145" s="13"/>
      <c r="F145" s="13"/>
      <c r="G145" s="13"/>
      <c r="H145" s="14"/>
      <c r="I145" s="14"/>
      <c r="J145" s="14"/>
      <c r="K145" s="14"/>
      <c r="L145" s="336"/>
      <c r="M145" s="95" t="str">
        <f t="shared" si="1"/>
        <v xml:space="preserve">   </v>
      </c>
    </row>
    <row r="146" spans="1:13" hidden="1" x14ac:dyDescent="0.2">
      <c r="A146" s="343"/>
      <c r="B146" s="170" t="str">
        <f>Capacidades!M1041</f>
        <v xml:space="preserve">   </v>
      </c>
      <c r="C146" s="171"/>
      <c r="D146" s="13"/>
      <c r="E146" s="13"/>
      <c r="F146" s="13"/>
      <c r="G146" s="13"/>
      <c r="H146" s="14"/>
      <c r="I146" s="14"/>
      <c r="J146" s="14"/>
      <c r="K146" s="14"/>
      <c r="L146" s="336"/>
      <c r="M146" s="95" t="str">
        <f t="shared" si="1"/>
        <v xml:space="preserve">   </v>
      </c>
    </row>
    <row r="147" spans="1:13" hidden="1" x14ac:dyDescent="0.2">
      <c r="A147" s="344"/>
      <c r="B147" s="170" t="str">
        <f>Capacidades!M1042</f>
        <v xml:space="preserve">   </v>
      </c>
      <c r="C147" s="171"/>
      <c r="D147" s="15"/>
      <c r="E147" s="15"/>
      <c r="F147" s="15"/>
      <c r="G147" s="15"/>
      <c r="H147" s="16"/>
      <c r="I147" s="16"/>
      <c r="J147" s="16"/>
      <c r="K147" s="16"/>
      <c r="L147" s="337"/>
      <c r="M147" s="95" t="str">
        <f t="shared" ref="M147:M210" si="2">B147</f>
        <v xml:space="preserve">   </v>
      </c>
    </row>
    <row r="148" spans="1:13" hidden="1" x14ac:dyDescent="0.2">
      <c r="A148" s="342" t="str">
        <f>Capacidades!L1043</f>
        <v xml:space="preserve">       </v>
      </c>
      <c r="B148" s="170" t="str">
        <f>Capacidades!M1043</f>
        <v xml:space="preserve">   </v>
      </c>
      <c r="C148" s="171"/>
      <c r="D148" s="11">
        <f>Organización_Modular!F116</f>
        <v>0</v>
      </c>
      <c r="E148" s="11">
        <f>Organización_Modular!G116</f>
        <v>0</v>
      </c>
      <c r="F148" s="11">
        <f>Organización_Modular!H116</f>
        <v>0</v>
      </c>
      <c r="G148" s="11">
        <f>Organización_Modular!I116</f>
        <v>0</v>
      </c>
      <c r="H148" s="12">
        <f>SUM(F148:G148)</f>
        <v>0</v>
      </c>
      <c r="I148" s="12">
        <f>F148*16</f>
        <v>0</v>
      </c>
      <c r="J148" s="12">
        <f>G148*32</f>
        <v>0</v>
      </c>
      <c r="K148" s="12">
        <f>SUM(I148:J148)</f>
        <v>0</v>
      </c>
      <c r="L148" s="335"/>
      <c r="M148" s="95" t="str">
        <f t="shared" si="2"/>
        <v xml:space="preserve">   </v>
      </c>
    </row>
    <row r="149" spans="1:13" hidden="1" x14ac:dyDescent="0.2">
      <c r="A149" s="343"/>
      <c r="B149" s="170" t="str">
        <f>Capacidades!M1044</f>
        <v xml:space="preserve">   </v>
      </c>
      <c r="C149" s="171"/>
      <c r="D149" s="13"/>
      <c r="E149" s="13"/>
      <c r="F149" s="13"/>
      <c r="G149" s="13"/>
      <c r="H149" s="14"/>
      <c r="I149" s="14"/>
      <c r="J149" s="14"/>
      <c r="K149" s="14"/>
      <c r="L149" s="336"/>
      <c r="M149" s="95" t="str">
        <f t="shared" si="2"/>
        <v xml:space="preserve">   </v>
      </c>
    </row>
    <row r="150" spans="1:13" hidden="1" x14ac:dyDescent="0.2">
      <c r="A150" s="343"/>
      <c r="B150" s="170" t="str">
        <f>Capacidades!M1045</f>
        <v xml:space="preserve">   </v>
      </c>
      <c r="C150" s="171"/>
      <c r="D150" s="13"/>
      <c r="E150" s="13"/>
      <c r="F150" s="13"/>
      <c r="G150" s="13"/>
      <c r="H150" s="14"/>
      <c r="I150" s="14"/>
      <c r="J150" s="14"/>
      <c r="K150" s="14"/>
      <c r="L150" s="336"/>
      <c r="M150" s="95" t="str">
        <f t="shared" si="2"/>
        <v xml:space="preserve">   </v>
      </c>
    </row>
    <row r="151" spans="1:13" hidden="1" x14ac:dyDescent="0.2">
      <c r="A151" s="343"/>
      <c r="B151" s="170" t="str">
        <f>Capacidades!M1046</f>
        <v xml:space="preserve">   </v>
      </c>
      <c r="C151" s="171"/>
      <c r="D151" s="13"/>
      <c r="E151" s="13"/>
      <c r="F151" s="13"/>
      <c r="G151" s="13"/>
      <c r="H151" s="14"/>
      <c r="I151" s="14"/>
      <c r="J151" s="14"/>
      <c r="K151" s="14"/>
      <c r="L151" s="336"/>
      <c r="M151" s="95" t="str">
        <f t="shared" si="2"/>
        <v xml:space="preserve">   </v>
      </c>
    </row>
    <row r="152" spans="1:13" hidden="1" x14ac:dyDescent="0.2">
      <c r="A152" s="343"/>
      <c r="B152" s="170" t="str">
        <f>Capacidades!M1047</f>
        <v xml:space="preserve">   </v>
      </c>
      <c r="C152" s="171"/>
      <c r="D152" s="13"/>
      <c r="E152" s="13"/>
      <c r="F152" s="13"/>
      <c r="G152" s="13"/>
      <c r="H152" s="14"/>
      <c r="I152" s="14"/>
      <c r="J152" s="14"/>
      <c r="K152" s="14"/>
      <c r="L152" s="336"/>
      <c r="M152" s="95" t="str">
        <f t="shared" si="2"/>
        <v xml:space="preserve">   </v>
      </c>
    </row>
    <row r="153" spans="1:13" hidden="1" x14ac:dyDescent="0.2">
      <c r="A153" s="343"/>
      <c r="B153" s="170" t="str">
        <f>Capacidades!M1048</f>
        <v xml:space="preserve">   </v>
      </c>
      <c r="C153" s="171"/>
      <c r="D153" s="13"/>
      <c r="E153" s="13"/>
      <c r="F153" s="13"/>
      <c r="G153" s="13"/>
      <c r="H153" s="14"/>
      <c r="I153" s="14"/>
      <c r="J153" s="14"/>
      <c r="K153" s="14"/>
      <c r="L153" s="336"/>
      <c r="M153" s="95" t="str">
        <f t="shared" si="2"/>
        <v xml:space="preserve">   </v>
      </c>
    </row>
    <row r="154" spans="1:13" hidden="1" x14ac:dyDescent="0.2">
      <c r="A154" s="343"/>
      <c r="B154" s="170" t="str">
        <f>Capacidades!M1049</f>
        <v xml:space="preserve">   </v>
      </c>
      <c r="C154" s="171"/>
      <c r="D154" s="13"/>
      <c r="E154" s="13"/>
      <c r="F154" s="13"/>
      <c r="G154" s="13"/>
      <c r="H154" s="14"/>
      <c r="I154" s="14"/>
      <c r="J154" s="14"/>
      <c r="K154" s="14"/>
      <c r="L154" s="336"/>
      <c r="M154" s="95" t="str">
        <f t="shared" si="2"/>
        <v xml:space="preserve">   </v>
      </c>
    </row>
    <row r="155" spans="1:13" hidden="1" x14ac:dyDescent="0.2">
      <c r="A155" s="343"/>
      <c r="B155" s="170" t="str">
        <f>Capacidades!M1050</f>
        <v xml:space="preserve">   </v>
      </c>
      <c r="C155" s="171"/>
      <c r="D155" s="13"/>
      <c r="E155" s="13"/>
      <c r="F155" s="13"/>
      <c r="G155" s="13"/>
      <c r="H155" s="14"/>
      <c r="I155" s="14"/>
      <c r="J155" s="14"/>
      <c r="K155" s="14"/>
      <c r="L155" s="336"/>
      <c r="M155" s="95" t="str">
        <f t="shared" si="2"/>
        <v xml:space="preserve">   </v>
      </c>
    </row>
    <row r="156" spans="1:13" hidden="1" x14ac:dyDescent="0.2">
      <c r="A156" s="343"/>
      <c r="B156" s="170" t="str">
        <f>Capacidades!M1051</f>
        <v xml:space="preserve">   </v>
      </c>
      <c r="C156" s="171"/>
      <c r="D156" s="13"/>
      <c r="E156" s="13"/>
      <c r="F156" s="13"/>
      <c r="G156" s="13"/>
      <c r="H156" s="14"/>
      <c r="I156" s="14"/>
      <c r="J156" s="14"/>
      <c r="K156" s="14"/>
      <c r="L156" s="336"/>
      <c r="M156" s="95" t="str">
        <f t="shared" si="2"/>
        <v xml:space="preserve">   </v>
      </c>
    </row>
    <row r="157" spans="1:13" hidden="1" x14ac:dyDescent="0.2">
      <c r="A157" s="344"/>
      <c r="B157" s="170" t="str">
        <f>Capacidades!M1052</f>
        <v xml:space="preserve">   </v>
      </c>
      <c r="C157" s="171"/>
      <c r="D157" s="15"/>
      <c r="E157" s="15"/>
      <c r="F157" s="15"/>
      <c r="G157" s="15"/>
      <c r="H157" s="16"/>
      <c r="I157" s="16"/>
      <c r="J157" s="16"/>
      <c r="K157" s="16"/>
      <c r="L157" s="337"/>
      <c r="M157" s="95" t="str">
        <f t="shared" si="2"/>
        <v xml:space="preserve">   </v>
      </c>
    </row>
    <row r="158" spans="1:13" hidden="1" x14ac:dyDescent="0.2">
      <c r="A158" s="342" t="str">
        <f>Capacidades!L1053</f>
        <v xml:space="preserve">       </v>
      </c>
      <c r="B158" s="170" t="str">
        <f>Capacidades!M1053</f>
        <v xml:space="preserve">   </v>
      </c>
      <c r="C158" s="171"/>
      <c r="D158" s="11">
        <f>Organización_Modular!F117</f>
        <v>0</v>
      </c>
      <c r="E158" s="11">
        <f>Organización_Modular!G117</f>
        <v>0</v>
      </c>
      <c r="F158" s="11">
        <f>Organización_Modular!H117</f>
        <v>0</v>
      </c>
      <c r="G158" s="11">
        <f>Organización_Modular!I117</f>
        <v>0</v>
      </c>
      <c r="H158" s="12">
        <f>SUM(F158:G158)</f>
        <v>0</v>
      </c>
      <c r="I158" s="12">
        <f>F158*16</f>
        <v>0</v>
      </c>
      <c r="J158" s="12">
        <f>G158*32</f>
        <v>0</v>
      </c>
      <c r="K158" s="12">
        <f>SUM(I158:J158)</f>
        <v>0</v>
      </c>
      <c r="L158" s="335"/>
      <c r="M158" s="95" t="str">
        <f t="shared" si="2"/>
        <v xml:space="preserve">   </v>
      </c>
    </row>
    <row r="159" spans="1:13" hidden="1" x14ac:dyDescent="0.2">
      <c r="A159" s="343"/>
      <c r="B159" s="170" t="str">
        <f>Capacidades!M1054</f>
        <v xml:space="preserve">   </v>
      </c>
      <c r="C159" s="171"/>
      <c r="D159" s="13"/>
      <c r="E159" s="13"/>
      <c r="F159" s="13"/>
      <c r="G159" s="13"/>
      <c r="H159" s="14"/>
      <c r="I159" s="14"/>
      <c r="J159" s="14"/>
      <c r="K159" s="14"/>
      <c r="L159" s="336"/>
      <c r="M159" s="95" t="str">
        <f t="shared" si="2"/>
        <v xml:space="preserve">   </v>
      </c>
    </row>
    <row r="160" spans="1:13" hidden="1" x14ac:dyDescent="0.2">
      <c r="A160" s="343"/>
      <c r="B160" s="170" t="str">
        <f>Capacidades!M1055</f>
        <v xml:space="preserve">   </v>
      </c>
      <c r="C160" s="171"/>
      <c r="D160" s="13"/>
      <c r="E160" s="13"/>
      <c r="F160" s="13"/>
      <c r="G160" s="13"/>
      <c r="H160" s="14"/>
      <c r="I160" s="14"/>
      <c r="J160" s="14"/>
      <c r="K160" s="14"/>
      <c r="L160" s="336"/>
      <c r="M160" s="95" t="str">
        <f t="shared" si="2"/>
        <v xml:space="preserve">   </v>
      </c>
    </row>
    <row r="161" spans="1:13" hidden="1" x14ac:dyDescent="0.2">
      <c r="A161" s="343"/>
      <c r="B161" s="170" t="str">
        <f>Capacidades!M1056</f>
        <v xml:space="preserve">   </v>
      </c>
      <c r="C161" s="171"/>
      <c r="D161" s="13"/>
      <c r="E161" s="13"/>
      <c r="F161" s="13"/>
      <c r="G161" s="13"/>
      <c r="H161" s="14"/>
      <c r="I161" s="14"/>
      <c r="J161" s="14"/>
      <c r="K161" s="14"/>
      <c r="L161" s="336"/>
      <c r="M161" s="95" t="str">
        <f t="shared" si="2"/>
        <v xml:space="preserve">   </v>
      </c>
    </row>
    <row r="162" spans="1:13" hidden="1" x14ac:dyDescent="0.2">
      <c r="A162" s="343"/>
      <c r="B162" s="170" t="str">
        <f>Capacidades!M1057</f>
        <v xml:space="preserve">   </v>
      </c>
      <c r="C162" s="171"/>
      <c r="D162" s="13"/>
      <c r="E162" s="13"/>
      <c r="F162" s="13"/>
      <c r="G162" s="13"/>
      <c r="H162" s="14"/>
      <c r="I162" s="14"/>
      <c r="J162" s="14"/>
      <c r="K162" s="14"/>
      <c r="L162" s="336"/>
      <c r="M162" s="95" t="str">
        <f t="shared" si="2"/>
        <v xml:space="preserve">   </v>
      </c>
    </row>
    <row r="163" spans="1:13" hidden="1" x14ac:dyDescent="0.2">
      <c r="A163" s="343"/>
      <c r="B163" s="170" t="str">
        <f>Capacidades!M1058</f>
        <v xml:space="preserve">   </v>
      </c>
      <c r="C163" s="171"/>
      <c r="D163" s="13"/>
      <c r="E163" s="13"/>
      <c r="F163" s="13"/>
      <c r="G163" s="13"/>
      <c r="H163" s="14"/>
      <c r="I163" s="14"/>
      <c r="J163" s="14"/>
      <c r="K163" s="14"/>
      <c r="L163" s="336"/>
      <c r="M163" s="95" t="str">
        <f t="shared" si="2"/>
        <v xml:space="preserve">   </v>
      </c>
    </row>
    <row r="164" spans="1:13" hidden="1" x14ac:dyDescent="0.2">
      <c r="A164" s="343"/>
      <c r="B164" s="170" t="str">
        <f>Capacidades!M1059</f>
        <v xml:space="preserve">   </v>
      </c>
      <c r="C164" s="171"/>
      <c r="D164" s="13"/>
      <c r="E164" s="13"/>
      <c r="F164" s="13"/>
      <c r="G164" s="13"/>
      <c r="H164" s="14"/>
      <c r="I164" s="14"/>
      <c r="J164" s="14"/>
      <c r="K164" s="14"/>
      <c r="L164" s="336"/>
      <c r="M164" s="95" t="str">
        <f t="shared" si="2"/>
        <v xml:space="preserve">   </v>
      </c>
    </row>
    <row r="165" spans="1:13" hidden="1" x14ac:dyDescent="0.2">
      <c r="A165" s="343"/>
      <c r="B165" s="170" t="str">
        <f>Capacidades!M1060</f>
        <v xml:space="preserve">   </v>
      </c>
      <c r="C165" s="171"/>
      <c r="D165" s="13"/>
      <c r="E165" s="13"/>
      <c r="F165" s="13"/>
      <c r="G165" s="13"/>
      <c r="H165" s="14"/>
      <c r="I165" s="14"/>
      <c r="J165" s="14"/>
      <c r="K165" s="14"/>
      <c r="L165" s="336"/>
      <c r="M165" s="95" t="str">
        <f t="shared" si="2"/>
        <v xml:space="preserve">   </v>
      </c>
    </row>
    <row r="166" spans="1:13" hidden="1" x14ac:dyDescent="0.2">
      <c r="A166" s="343"/>
      <c r="B166" s="170" t="str">
        <f>Capacidades!M1061</f>
        <v xml:space="preserve">   </v>
      </c>
      <c r="C166" s="171"/>
      <c r="D166" s="13"/>
      <c r="E166" s="13"/>
      <c r="F166" s="13"/>
      <c r="G166" s="13"/>
      <c r="H166" s="14"/>
      <c r="I166" s="14"/>
      <c r="J166" s="14"/>
      <c r="K166" s="14"/>
      <c r="L166" s="336"/>
      <c r="M166" s="95" t="str">
        <f t="shared" si="2"/>
        <v xml:space="preserve">   </v>
      </c>
    </row>
    <row r="167" spans="1:13" hidden="1" x14ac:dyDescent="0.2">
      <c r="A167" s="344"/>
      <c r="B167" s="170" t="str">
        <f>Capacidades!M1062</f>
        <v xml:space="preserve">   </v>
      </c>
      <c r="C167" s="171"/>
      <c r="D167" s="15"/>
      <c r="E167" s="15"/>
      <c r="F167" s="15"/>
      <c r="G167" s="15"/>
      <c r="H167" s="16"/>
      <c r="I167" s="16"/>
      <c r="J167" s="16"/>
      <c r="K167" s="16"/>
      <c r="L167" s="337"/>
      <c r="M167" s="95" t="str">
        <f t="shared" si="2"/>
        <v xml:space="preserve">   </v>
      </c>
    </row>
    <row r="168" spans="1:13" hidden="1" x14ac:dyDescent="0.2">
      <c r="A168" s="342" t="str">
        <f>Capacidades!L1063</f>
        <v xml:space="preserve">       </v>
      </c>
      <c r="B168" s="170" t="str">
        <f>Capacidades!M1063</f>
        <v xml:space="preserve">   </v>
      </c>
      <c r="C168" s="171"/>
      <c r="D168" s="11">
        <f>Organización_Modular!F118</f>
        <v>0</v>
      </c>
      <c r="E168" s="11">
        <f>Organización_Modular!G118</f>
        <v>0</v>
      </c>
      <c r="F168" s="11">
        <f>Organización_Modular!H118</f>
        <v>0</v>
      </c>
      <c r="G168" s="11">
        <f>Organización_Modular!I118</f>
        <v>0</v>
      </c>
      <c r="H168" s="12">
        <f>SUM(F168:G168)</f>
        <v>0</v>
      </c>
      <c r="I168" s="12">
        <f>F168*16</f>
        <v>0</v>
      </c>
      <c r="J168" s="12">
        <f>G168*32</f>
        <v>0</v>
      </c>
      <c r="K168" s="12">
        <f>SUM(I168:J168)</f>
        <v>0</v>
      </c>
      <c r="L168" s="335"/>
      <c r="M168" s="95" t="str">
        <f t="shared" si="2"/>
        <v xml:space="preserve">   </v>
      </c>
    </row>
    <row r="169" spans="1:13" hidden="1" x14ac:dyDescent="0.2">
      <c r="A169" s="343"/>
      <c r="B169" s="170" t="str">
        <f>Capacidades!M1064</f>
        <v xml:space="preserve">   </v>
      </c>
      <c r="C169" s="171"/>
      <c r="D169" s="13"/>
      <c r="E169" s="13"/>
      <c r="F169" s="13"/>
      <c r="G169" s="13"/>
      <c r="H169" s="14"/>
      <c r="I169" s="14"/>
      <c r="J169" s="14"/>
      <c r="K169" s="14"/>
      <c r="L169" s="336"/>
      <c r="M169" s="95" t="str">
        <f t="shared" si="2"/>
        <v xml:space="preserve">   </v>
      </c>
    </row>
    <row r="170" spans="1:13" hidden="1" x14ac:dyDescent="0.2">
      <c r="A170" s="343"/>
      <c r="B170" s="170" t="str">
        <f>Capacidades!M1065</f>
        <v xml:space="preserve">   </v>
      </c>
      <c r="C170" s="171"/>
      <c r="D170" s="13"/>
      <c r="E170" s="13"/>
      <c r="F170" s="13"/>
      <c r="G170" s="13"/>
      <c r="H170" s="14"/>
      <c r="I170" s="14"/>
      <c r="J170" s="14"/>
      <c r="K170" s="14"/>
      <c r="L170" s="336"/>
      <c r="M170" s="95" t="str">
        <f t="shared" si="2"/>
        <v xml:space="preserve">   </v>
      </c>
    </row>
    <row r="171" spans="1:13" hidden="1" x14ac:dyDescent="0.2">
      <c r="A171" s="343"/>
      <c r="B171" s="170" t="str">
        <f>Capacidades!M1066</f>
        <v xml:space="preserve">   </v>
      </c>
      <c r="C171" s="171"/>
      <c r="D171" s="13"/>
      <c r="E171" s="13"/>
      <c r="F171" s="13"/>
      <c r="G171" s="13"/>
      <c r="H171" s="14"/>
      <c r="I171" s="14"/>
      <c r="J171" s="14"/>
      <c r="K171" s="14"/>
      <c r="L171" s="336"/>
      <c r="M171" s="95" t="str">
        <f t="shared" si="2"/>
        <v xml:space="preserve">   </v>
      </c>
    </row>
    <row r="172" spans="1:13" hidden="1" x14ac:dyDescent="0.2">
      <c r="A172" s="343"/>
      <c r="B172" s="170" t="str">
        <f>Capacidades!M1067</f>
        <v xml:space="preserve">   </v>
      </c>
      <c r="C172" s="171"/>
      <c r="D172" s="13"/>
      <c r="E172" s="13"/>
      <c r="F172" s="13"/>
      <c r="G172" s="13"/>
      <c r="H172" s="14"/>
      <c r="I172" s="14"/>
      <c r="J172" s="14"/>
      <c r="K172" s="14"/>
      <c r="L172" s="336"/>
      <c r="M172" s="95" t="str">
        <f t="shared" si="2"/>
        <v xml:space="preserve">   </v>
      </c>
    </row>
    <row r="173" spans="1:13" hidden="1" x14ac:dyDescent="0.2">
      <c r="A173" s="343"/>
      <c r="B173" s="170" t="str">
        <f>Capacidades!M1068</f>
        <v xml:space="preserve">   </v>
      </c>
      <c r="C173" s="171"/>
      <c r="D173" s="13"/>
      <c r="E173" s="13"/>
      <c r="F173" s="13"/>
      <c r="G173" s="13"/>
      <c r="H173" s="14"/>
      <c r="I173" s="14"/>
      <c r="J173" s="14"/>
      <c r="K173" s="14"/>
      <c r="L173" s="336"/>
      <c r="M173" s="95" t="str">
        <f t="shared" si="2"/>
        <v xml:space="preserve">   </v>
      </c>
    </row>
    <row r="174" spans="1:13" hidden="1" x14ac:dyDescent="0.2">
      <c r="A174" s="343"/>
      <c r="B174" s="170" t="str">
        <f>Capacidades!M1069</f>
        <v xml:space="preserve">   </v>
      </c>
      <c r="C174" s="171"/>
      <c r="D174" s="13"/>
      <c r="E174" s="13"/>
      <c r="F174" s="13"/>
      <c r="G174" s="13"/>
      <c r="H174" s="14"/>
      <c r="I174" s="14"/>
      <c r="J174" s="14"/>
      <c r="K174" s="14"/>
      <c r="L174" s="336"/>
      <c r="M174" s="95" t="str">
        <f t="shared" si="2"/>
        <v xml:space="preserve">   </v>
      </c>
    </row>
    <row r="175" spans="1:13" hidden="1" x14ac:dyDescent="0.2">
      <c r="A175" s="343"/>
      <c r="B175" s="170" t="str">
        <f>Capacidades!M1070</f>
        <v xml:space="preserve">   </v>
      </c>
      <c r="C175" s="171"/>
      <c r="D175" s="13"/>
      <c r="E175" s="13"/>
      <c r="F175" s="13"/>
      <c r="G175" s="13"/>
      <c r="H175" s="14"/>
      <c r="I175" s="14"/>
      <c r="J175" s="14"/>
      <c r="K175" s="14"/>
      <c r="L175" s="336"/>
      <c r="M175" s="95" t="str">
        <f t="shared" si="2"/>
        <v xml:space="preserve">   </v>
      </c>
    </row>
    <row r="176" spans="1:13" hidden="1" x14ac:dyDescent="0.2">
      <c r="A176" s="343"/>
      <c r="B176" s="170" t="str">
        <f>Capacidades!M1071</f>
        <v xml:space="preserve">   </v>
      </c>
      <c r="C176" s="171"/>
      <c r="D176" s="13"/>
      <c r="E176" s="13"/>
      <c r="F176" s="13"/>
      <c r="G176" s="13"/>
      <c r="H176" s="14"/>
      <c r="I176" s="14"/>
      <c r="J176" s="14"/>
      <c r="K176" s="14"/>
      <c r="L176" s="336"/>
      <c r="M176" s="95" t="str">
        <f t="shared" si="2"/>
        <v xml:space="preserve">   </v>
      </c>
    </row>
    <row r="177" spans="1:13" hidden="1" x14ac:dyDescent="0.2">
      <c r="A177" s="344"/>
      <c r="B177" s="170" t="str">
        <f>Capacidades!M1072</f>
        <v xml:space="preserve">   </v>
      </c>
      <c r="C177" s="171"/>
      <c r="D177" s="15"/>
      <c r="E177" s="15"/>
      <c r="F177" s="15"/>
      <c r="G177" s="15"/>
      <c r="H177" s="16"/>
      <c r="I177" s="16"/>
      <c r="J177" s="16"/>
      <c r="K177" s="16"/>
      <c r="L177" s="337"/>
      <c r="M177" s="95" t="str">
        <f t="shared" si="2"/>
        <v xml:space="preserve">   </v>
      </c>
    </row>
    <row r="178" spans="1:13" hidden="1" x14ac:dyDescent="0.2">
      <c r="A178" s="342" t="str">
        <f>Capacidades!L1073</f>
        <v xml:space="preserve">       </v>
      </c>
      <c r="B178" s="170" t="str">
        <f>Capacidades!M1073</f>
        <v xml:space="preserve">   </v>
      </c>
      <c r="C178" s="171"/>
      <c r="D178" s="11">
        <f>Organización_Modular!F119</f>
        <v>0</v>
      </c>
      <c r="E178" s="11">
        <f>Organización_Modular!G119</f>
        <v>0</v>
      </c>
      <c r="F178" s="11">
        <f>Organización_Modular!H119</f>
        <v>0</v>
      </c>
      <c r="G178" s="11">
        <f>Organización_Modular!I119</f>
        <v>0</v>
      </c>
      <c r="H178" s="12">
        <f>SUM(F178:G178)</f>
        <v>0</v>
      </c>
      <c r="I178" s="12">
        <f>F178*16</f>
        <v>0</v>
      </c>
      <c r="J178" s="12">
        <f>G178*32</f>
        <v>0</v>
      </c>
      <c r="K178" s="12">
        <f>SUM(I178:J178)</f>
        <v>0</v>
      </c>
      <c r="L178" s="335"/>
      <c r="M178" s="95" t="str">
        <f t="shared" si="2"/>
        <v xml:space="preserve">   </v>
      </c>
    </row>
    <row r="179" spans="1:13" hidden="1" x14ac:dyDescent="0.2">
      <c r="A179" s="343"/>
      <c r="B179" s="170" t="str">
        <f>Capacidades!M1074</f>
        <v xml:space="preserve">   </v>
      </c>
      <c r="C179" s="171"/>
      <c r="D179" s="13"/>
      <c r="E179" s="13"/>
      <c r="F179" s="13"/>
      <c r="G179" s="13"/>
      <c r="H179" s="14"/>
      <c r="I179" s="14"/>
      <c r="J179" s="14"/>
      <c r="K179" s="14"/>
      <c r="L179" s="336"/>
      <c r="M179" s="95" t="str">
        <f t="shared" si="2"/>
        <v xml:space="preserve">   </v>
      </c>
    </row>
    <row r="180" spans="1:13" hidden="1" x14ac:dyDescent="0.2">
      <c r="A180" s="343"/>
      <c r="B180" s="170" t="str">
        <f>Capacidades!M1075</f>
        <v xml:space="preserve">   </v>
      </c>
      <c r="C180" s="171"/>
      <c r="D180" s="13"/>
      <c r="E180" s="13"/>
      <c r="F180" s="13"/>
      <c r="G180" s="13"/>
      <c r="H180" s="14"/>
      <c r="I180" s="14"/>
      <c r="J180" s="14"/>
      <c r="K180" s="14"/>
      <c r="L180" s="336"/>
      <c r="M180" s="95" t="str">
        <f t="shared" si="2"/>
        <v xml:space="preserve">   </v>
      </c>
    </row>
    <row r="181" spans="1:13" hidden="1" x14ac:dyDescent="0.2">
      <c r="A181" s="343"/>
      <c r="B181" s="170" t="str">
        <f>Capacidades!M1076</f>
        <v xml:space="preserve">   </v>
      </c>
      <c r="C181" s="171"/>
      <c r="D181" s="13"/>
      <c r="E181" s="13"/>
      <c r="F181" s="13"/>
      <c r="G181" s="13"/>
      <c r="H181" s="14"/>
      <c r="I181" s="14"/>
      <c r="J181" s="14"/>
      <c r="K181" s="14"/>
      <c r="L181" s="336"/>
      <c r="M181" s="95" t="str">
        <f t="shared" si="2"/>
        <v xml:space="preserve">   </v>
      </c>
    </row>
    <row r="182" spans="1:13" hidden="1" x14ac:dyDescent="0.2">
      <c r="A182" s="343"/>
      <c r="B182" s="170" t="str">
        <f>Capacidades!M1077</f>
        <v xml:space="preserve">   </v>
      </c>
      <c r="C182" s="171"/>
      <c r="D182" s="13"/>
      <c r="E182" s="13"/>
      <c r="F182" s="13"/>
      <c r="G182" s="13"/>
      <c r="H182" s="14"/>
      <c r="I182" s="14"/>
      <c r="J182" s="14"/>
      <c r="K182" s="14"/>
      <c r="L182" s="336"/>
      <c r="M182" s="95" t="str">
        <f t="shared" si="2"/>
        <v xml:space="preserve">   </v>
      </c>
    </row>
    <row r="183" spans="1:13" ht="6.75" hidden="1" customHeight="1" x14ac:dyDescent="0.2">
      <c r="A183" s="343"/>
      <c r="B183" s="170" t="str">
        <f>Capacidades!M1078</f>
        <v xml:space="preserve">   </v>
      </c>
      <c r="C183" s="171"/>
      <c r="D183" s="13"/>
      <c r="E183" s="13"/>
      <c r="F183" s="13"/>
      <c r="G183" s="13"/>
      <c r="H183" s="14"/>
      <c r="I183" s="14"/>
      <c r="J183" s="14"/>
      <c r="K183" s="14"/>
      <c r="L183" s="336"/>
      <c r="M183" s="95" t="str">
        <f t="shared" si="2"/>
        <v xml:space="preserve">   </v>
      </c>
    </row>
    <row r="184" spans="1:13" hidden="1" x14ac:dyDescent="0.2">
      <c r="A184" s="343"/>
      <c r="B184" s="170" t="str">
        <f>Capacidades!M1079</f>
        <v xml:space="preserve">   </v>
      </c>
      <c r="C184" s="171"/>
      <c r="D184" s="13"/>
      <c r="E184" s="13"/>
      <c r="F184" s="13"/>
      <c r="G184" s="13"/>
      <c r="H184" s="14"/>
      <c r="I184" s="14"/>
      <c r="J184" s="14"/>
      <c r="K184" s="14"/>
      <c r="L184" s="336"/>
      <c r="M184" s="95" t="str">
        <f t="shared" si="2"/>
        <v xml:space="preserve">   </v>
      </c>
    </row>
    <row r="185" spans="1:13" hidden="1" x14ac:dyDescent="0.2">
      <c r="A185" s="343"/>
      <c r="B185" s="170" t="str">
        <f>Capacidades!M1080</f>
        <v xml:space="preserve">   </v>
      </c>
      <c r="C185" s="171"/>
      <c r="D185" s="13"/>
      <c r="E185" s="13"/>
      <c r="F185" s="13"/>
      <c r="G185" s="13"/>
      <c r="H185" s="14"/>
      <c r="I185" s="14"/>
      <c r="J185" s="14"/>
      <c r="K185" s="14"/>
      <c r="L185" s="336"/>
      <c r="M185" s="95" t="str">
        <f t="shared" si="2"/>
        <v xml:space="preserve">   </v>
      </c>
    </row>
    <row r="186" spans="1:13" hidden="1" x14ac:dyDescent="0.2">
      <c r="A186" s="343"/>
      <c r="B186" s="170" t="str">
        <f>Capacidades!M1081</f>
        <v xml:space="preserve">   </v>
      </c>
      <c r="C186" s="171"/>
      <c r="D186" s="13"/>
      <c r="E186" s="13"/>
      <c r="F186" s="13"/>
      <c r="G186" s="13"/>
      <c r="H186" s="14"/>
      <c r="I186" s="14"/>
      <c r="J186" s="14"/>
      <c r="K186" s="14"/>
      <c r="L186" s="336"/>
      <c r="M186" s="95" t="str">
        <f t="shared" si="2"/>
        <v xml:space="preserve">   </v>
      </c>
    </row>
    <row r="187" spans="1:13" hidden="1" x14ac:dyDescent="0.2">
      <c r="A187" s="344"/>
      <c r="B187" s="170" t="str">
        <f>Capacidades!M1082</f>
        <v xml:space="preserve">   </v>
      </c>
      <c r="C187" s="171"/>
      <c r="D187" s="15"/>
      <c r="E187" s="15"/>
      <c r="F187" s="15"/>
      <c r="G187" s="15"/>
      <c r="H187" s="16"/>
      <c r="I187" s="16"/>
      <c r="J187" s="16"/>
      <c r="K187" s="16"/>
      <c r="L187" s="337"/>
      <c r="M187" s="95" t="str">
        <f t="shared" si="2"/>
        <v xml:space="preserve">   </v>
      </c>
    </row>
    <row r="188" spans="1:13" hidden="1" x14ac:dyDescent="0.2">
      <c r="A188" s="342" t="str">
        <f>Capacidades!L1083</f>
        <v xml:space="preserve">       </v>
      </c>
      <c r="B188" s="170" t="str">
        <f>Capacidades!M1083</f>
        <v xml:space="preserve">   </v>
      </c>
      <c r="C188" s="171"/>
      <c r="D188" s="11">
        <f>Organización_Modular!F120</f>
        <v>0</v>
      </c>
      <c r="E188" s="11">
        <f>Organización_Modular!G120</f>
        <v>0</v>
      </c>
      <c r="F188" s="11">
        <f>Organización_Modular!H120</f>
        <v>0</v>
      </c>
      <c r="G188" s="11">
        <f>Organización_Modular!I120</f>
        <v>0</v>
      </c>
      <c r="H188" s="12">
        <f>SUM(F188:G188)</f>
        <v>0</v>
      </c>
      <c r="I188" s="12">
        <f>F188*16</f>
        <v>0</v>
      </c>
      <c r="J188" s="12">
        <f>G188*32</f>
        <v>0</v>
      </c>
      <c r="K188" s="12">
        <f>SUM(I188:J188)</f>
        <v>0</v>
      </c>
      <c r="L188" s="335"/>
      <c r="M188" s="95" t="str">
        <f t="shared" si="2"/>
        <v xml:space="preserve">   </v>
      </c>
    </row>
    <row r="189" spans="1:13" hidden="1" x14ac:dyDescent="0.2">
      <c r="A189" s="343"/>
      <c r="B189" s="170" t="str">
        <f>Capacidades!M1084</f>
        <v xml:space="preserve">   </v>
      </c>
      <c r="C189" s="171"/>
      <c r="D189" s="13"/>
      <c r="E189" s="13"/>
      <c r="F189" s="13"/>
      <c r="G189" s="13"/>
      <c r="H189" s="14"/>
      <c r="I189" s="14"/>
      <c r="J189" s="14"/>
      <c r="K189" s="14"/>
      <c r="L189" s="336"/>
      <c r="M189" s="95" t="str">
        <f t="shared" si="2"/>
        <v xml:space="preserve">   </v>
      </c>
    </row>
    <row r="190" spans="1:13" hidden="1" x14ac:dyDescent="0.2">
      <c r="A190" s="343"/>
      <c r="B190" s="170" t="str">
        <f>Capacidades!M1085</f>
        <v xml:space="preserve">   </v>
      </c>
      <c r="C190" s="171"/>
      <c r="D190" s="13"/>
      <c r="E190" s="13"/>
      <c r="F190" s="13"/>
      <c r="G190" s="13"/>
      <c r="H190" s="14"/>
      <c r="I190" s="14"/>
      <c r="J190" s="14"/>
      <c r="K190" s="14"/>
      <c r="L190" s="336"/>
      <c r="M190" s="95" t="str">
        <f t="shared" si="2"/>
        <v xml:space="preserve">   </v>
      </c>
    </row>
    <row r="191" spans="1:13" hidden="1" x14ac:dyDescent="0.2">
      <c r="A191" s="343"/>
      <c r="B191" s="170" t="str">
        <f>Capacidades!M1086</f>
        <v xml:space="preserve">   </v>
      </c>
      <c r="C191" s="171"/>
      <c r="D191" s="13"/>
      <c r="E191" s="13"/>
      <c r="F191" s="13"/>
      <c r="G191" s="13"/>
      <c r="H191" s="14"/>
      <c r="I191" s="14"/>
      <c r="J191" s="14"/>
      <c r="K191" s="14"/>
      <c r="L191" s="336"/>
      <c r="M191" s="95" t="str">
        <f t="shared" si="2"/>
        <v xml:space="preserve">   </v>
      </c>
    </row>
    <row r="192" spans="1:13" hidden="1" x14ac:dyDescent="0.2">
      <c r="A192" s="343"/>
      <c r="B192" s="170" t="str">
        <f>Capacidades!M1087</f>
        <v xml:space="preserve">   </v>
      </c>
      <c r="C192" s="171"/>
      <c r="D192" s="13"/>
      <c r="E192" s="13"/>
      <c r="F192" s="13"/>
      <c r="G192" s="13"/>
      <c r="H192" s="14"/>
      <c r="I192" s="14"/>
      <c r="J192" s="14"/>
      <c r="K192" s="14"/>
      <c r="L192" s="336"/>
      <c r="M192" s="95" t="str">
        <f t="shared" si="2"/>
        <v xml:space="preserve">   </v>
      </c>
    </row>
    <row r="193" spans="1:13" hidden="1" x14ac:dyDescent="0.2">
      <c r="A193" s="343"/>
      <c r="B193" s="170" t="str">
        <f>Capacidades!M1088</f>
        <v xml:space="preserve">   </v>
      </c>
      <c r="C193" s="171"/>
      <c r="D193" s="13"/>
      <c r="E193" s="13"/>
      <c r="F193" s="13"/>
      <c r="G193" s="13"/>
      <c r="H193" s="14"/>
      <c r="I193" s="14"/>
      <c r="J193" s="14"/>
      <c r="K193" s="14"/>
      <c r="L193" s="336"/>
      <c r="M193" s="95" t="str">
        <f t="shared" si="2"/>
        <v xml:space="preserve">   </v>
      </c>
    </row>
    <row r="194" spans="1:13" hidden="1" x14ac:dyDescent="0.2">
      <c r="A194" s="343"/>
      <c r="B194" s="170" t="str">
        <f>Capacidades!M1089</f>
        <v xml:space="preserve">   </v>
      </c>
      <c r="C194" s="171"/>
      <c r="D194" s="13"/>
      <c r="E194" s="13"/>
      <c r="F194" s="13"/>
      <c r="G194" s="13"/>
      <c r="H194" s="14"/>
      <c r="I194" s="14"/>
      <c r="J194" s="14"/>
      <c r="K194" s="14"/>
      <c r="L194" s="336"/>
      <c r="M194" s="95" t="str">
        <f t="shared" si="2"/>
        <v xml:space="preserve">   </v>
      </c>
    </row>
    <row r="195" spans="1:13" hidden="1" x14ac:dyDescent="0.2">
      <c r="A195" s="343"/>
      <c r="B195" s="170" t="str">
        <f>Capacidades!M1090</f>
        <v xml:space="preserve">   </v>
      </c>
      <c r="C195" s="171"/>
      <c r="D195" s="13"/>
      <c r="E195" s="13"/>
      <c r="F195" s="13"/>
      <c r="G195" s="13"/>
      <c r="H195" s="14"/>
      <c r="I195" s="14"/>
      <c r="J195" s="14"/>
      <c r="K195" s="14"/>
      <c r="L195" s="336"/>
      <c r="M195" s="95" t="str">
        <f t="shared" si="2"/>
        <v xml:space="preserve">   </v>
      </c>
    </row>
    <row r="196" spans="1:13" hidden="1" x14ac:dyDescent="0.2">
      <c r="A196" s="343"/>
      <c r="B196" s="170" t="str">
        <f>Capacidades!M1091</f>
        <v xml:space="preserve">   </v>
      </c>
      <c r="C196" s="171"/>
      <c r="D196" s="13"/>
      <c r="E196" s="13"/>
      <c r="F196" s="13"/>
      <c r="G196" s="13"/>
      <c r="H196" s="14"/>
      <c r="I196" s="14"/>
      <c r="J196" s="14"/>
      <c r="K196" s="14"/>
      <c r="L196" s="336"/>
      <c r="M196" s="95" t="str">
        <f t="shared" si="2"/>
        <v xml:space="preserve">   </v>
      </c>
    </row>
    <row r="197" spans="1:13" hidden="1" x14ac:dyDescent="0.2">
      <c r="A197" s="344"/>
      <c r="B197" s="170" t="str">
        <f>Capacidades!M1092</f>
        <v xml:space="preserve">   </v>
      </c>
      <c r="C197" s="171"/>
      <c r="D197" s="15"/>
      <c r="E197" s="15"/>
      <c r="F197" s="15"/>
      <c r="G197" s="15"/>
      <c r="H197" s="16"/>
      <c r="I197" s="16"/>
      <c r="J197" s="16"/>
      <c r="K197" s="16"/>
      <c r="L197" s="337"/>
      <c r="M197" s="95" t="str">
        <f t="shared" si="2"/>
        <v xml:space="preserve">   </v>
      </c>
    </row>
    <row r="198" spans="1:13" hidden="1" x14ac:dyDescent="0.2">
      <c r="A198" s="342" t="str">
        <f>Capacidades!L1093</f>
        <v xml:space="preserve">       </v>
      </c>
      <c r="B198" s="170" t="str">
        <f>Capacidades!M1093</f>
        <v xml:space="preserve">   </v>
      </c>
      <c r="C198" s="171"/>
      <c r="D198" s="11">
        <f>Organización_Modular!F121</f>
        <v>0</v>
      </c>
      <c r="E198" s="11">
        <f>Organización_Modular!G121</f>
        <v>0</v>
      </c>
      <c r="F198" s="11">
        <f>Organización_Modular!H121</f>
        <v>0</v>
      </c>
      <c r="G198" s="11">
        <f>Organización_Modular!I121</f>
        <v>0</v>
      </c>
      <c r="H198" s="12">
        <f>SUM(F198:G198)</f>
        <v>0</v>
      </c>
      <c r="I198" s="12">
        <f>F198*16</f>
        <v>0</v>
      </c>
      <c r="J198" s="12">
        <f>G198*32</f>
        <v>0</v>
      </c>
      <c r="K198" s="12">
        <f>SUM(I198:J198)</f>
        <v>0</v>
      </c>
      <c r="L198" s="335"/>
      <c r="M198" s="95" t="str">
        <f t="shared" si="2"/>
        <v xml:space="preserve">   </v>
      </c>
    </row>
    <row r="199" spans="1:13" hidden="1" x14ac:dyDescent="0.2">
      <c r="A199" s="343"/>
      <c r="B199" s="170" t="str">
        <f>Capacidades!M1094</f>
        <v xml:space="preserve">   </v>
      </c>
      <c r="C199" s="171"/>
      <c r="D199" s="13"/>
      <c r="E199" s="13"/>
      <c r="F199" s="13"/>
      <c r="G199" s="13"/>
      <c r="H199" s="14"/>
      <c r="I199" s="14"/>
      <c r="J199" s="14"/>
      <c r="K199" s="14"/>
      <c r="L199" s="336"/>
      <c r="M199" s="95" t="str">
        <f t="shared" si="2"/>
        <v xml:space="preserve">   </v>
      </c>
    </row>
    <row r="200" spans="1:13" hidden="1" x14ac:dyDescent="0.2">
      <c r="A200" s="343"/>
      <c r="B200" s="170" t="str">
        <f>Capacidades!M1095</f>
        <v xml:space="preserve">   </v>
      </c>
      <c r="C200" s="171"/>
      <c r="D200" s="13"/>
      <c r="E200" s="13"/>
      <c r="F200" s="13"/>
      <c r="G200" s="13"/>
      <c r="H200" s="14"/>
      <c r="I200" s="14"/>
      <c r="J200" s="14"/>
      <c r="K200" s="14"/>
      <c r="L200" s="336"/>
      <c r="M200" s="95" t="str">
        <f t="shared" si="2"/>
        <v xml:space="preserve">   </v>
      </c>
    </row>
    <row r="201" spans="1:13" hidden="1" x14ac:dyDescent="0.2">
      <c r="A201" s="343"/>
      <c r="B201" s="170" t="str">
        <f>Capacidades!M1096</f>
        <v xml:space="preserve">   </v>
      </c>
      <c r="C201" s="171"/>
      <c r="D201" s="13"/>
      <c r="E201" s="13"/>
      <c r="F201" s="13"/>
      <c r="G201" s="13"/>
      <c r="H201" s="14"/>
      <c r="I201" s="14"/>
      <c r="J201" s="14"/>
      <c r="K201" s="14"/>
      <c r="L201" s="336"/>
      <c r="M201" s="95" t="str">
        <f t="shared" si="2"/>
        <v xml:space="preserve">   </v>
      </c>
    </row>
    <row r="202" spans="1:13" hidden="1" x14ac:dyDescent="0.2">
      <c r="A202" s="343"/>
      <c r="B202" s="170" t="str">
        <f>Capacidades!M1097</f>
        <v xml:space="preserve">   </v>
      </c>
      <c r="C202" s="171"/>
      <c r="D202" s="13"/>
      <c r="E202" s="13"/>
      <c r="F202" s="13"/>
      <c r="G202" s="13"/>
      <c r="H202" s="14"/>
      <c r="I202" s="14"/>
      <c r="J202" s="14"/>
      <c r="K202" s="14"/>
      <c r="L202" s="336"/>
      <c r="M202" s="95" t="str">
        <f t="shared" si="2"/>
        <v xml:space="preserve">   </v>
      </c>
    </row>
    <row r="203" spans="1:13" hidden="1" x14ac:dyDescent="0.2">
      <c r="A203" s="343"/>
      <c r="B203" s="170" t="str">
        <f>Capacidades!M1098</f>
        <v xml:space="preserve">   </v>
      </c>
      <c r="C203" s="171"/>
      <c r="D203" s="13"/>
      <c r="E203" s="13"/>
      <c r="F203" s="13"/>
      <c r="G203" s="13"/>
      <c r="H203" s="14"/>
      <c r="I203" s="14"/>
      <c r="J203" s="14"/>
      <c r="K203" s="14"/>
      <c r="L203" s="336"/>
      <c r="M203" s="95" t="str">
        <f t="shared" si="2"/>
        <v xml:space="preserve">   </v>
      </c>
    </row>
    <row r="204" spans="1:13" hidden="1" x14ac:dyDescent="0.2">
      <c r="A204" s="343"/>
      <c r="B204" s="170" t="str">
        <f>Capacidades!M1099</f>
        <v xml:space="preserve">   </v>
      </c>
      <c r="C204" s="171"/>
      <c r="D204" s="13"/>
      <c r="E204" s="13"/>
      <c r="F204" s="13"/>
      <c r="G204" s="13"/>
      <c r="H204" s="14"/>
      <c r="I204" s="14"/>
      <c r="J204" s="14"/>
      <c r="K204" s="14"/>
      <c r="L204" s="336"/>
      <c r="M204" s="95" t="str">
        <f t="shared" si="2"/>
        <v xml:space="preserve">   </v>
      </c>
    </row>
    <row r="205" spans="1:13" hidden="1" x14ac:dyDescent="0.2">
      <c r="A205" s="343"/>
      <c r="B205" s="170" t="str">
        <f>Capacidades!M1100</f>
        <v xml:space="preserve">   </v>
      </c>
      <c r="C205" s="171"/>
      <c r="D205" s="13"/>
      <c r="E205" s="13"/>
      <c r="F205" s="13"/>
      <c r="G205" s="13"/>
      <c r="H205" s="14"/>
      <c r="I205" s="14"/>
      <c r="J205" s="14"/>
      <c r="K205" s="14"/>
      <c r="L205" s="336"/>
      <c r="M205" s="95" t="str">
        <f t="shared" si="2"/>
        <v xml:space="preserve">   </v>
      </c>
    </row>
    <row r="206" spans="1:13" hidden="1" x14ac:dyDescent="0.2">
      <c r="A206" s="343"/>
      <c r="B206" s="170" t="str">
        <f>Capacidades!M1101</f>
        <v xml:space="preserve">   </v>
      </c>
      <c r="C206" s="171"/>
      <c r="D206" s="13"/>
      <c r="E206" s="13"/>
      <c r="F206" s="13"/>
      <c r="G206" s="13"/>
      <c r="H206" s="14"/>
      <c r="I206" s="14"/>
      <c r="J206" s="14"/>
      <c r="K206" s="14"/>
      <c r="L206" s="336"/>
      <c r="M206" s="95" t="str">
        <f t="shared" si="2"/>
        <v xml:space="preserve">   </v>
      </c>
    </row>
    <row r="207" spans="1:13" hidden="1" x14ac:dyDescent="0.2">
      <c r="A207" s="344"/>
      <c r="B207" s="170" t="str">
        <f>Capacidades!M1102</f>
        <v xml:space="preserve">   </v>
      </c>
      <c r="C207" s="171"/>
      <c r="D207" s="15"/>
      <c r="E207" s="15"/>
      <c r="F207" s="15"/>
      <c r="G207" s="15"/>
      <c r="H207" s="16"/>
      <c r="I207" s="16"/>
      <c r="J207" s="16"/>
      <c r="K207" s="16"/>
      <c r="L207" s="337"/>
      <c r="M207" s="95" t="str">
        <f t="shared" si="2"/>
        <v xml:space="preserve">   </v>
      </c>
    </row>
    <row r="208" spans="1:13" hidden="1" x14ac:dyDescent="0.2">
      <c r="A208" s="342" t="str">
        <f>Capacidades!L1103</f>
        <v xml:space="preserve">       </v>
      </c>
      <c r="B208" s="170" t="str">
        <f>Capacidades!M1103</f>
        <v xml:space="preserve">   </v>
      </c>
      <c r="C208" s="171"/>
      <c r="D208" s="11">
        <f>Organización_Modular!F122</f>
        <v>0</v>
      </c>
      <c r="E208" s="11">
        <f>Organización_Modular!G122</f>
        <v>0</v>
      </c>
      <c r="F208" s="11">
        <f>Organización_Modular!H122</f>
        <v>0</v>
      </c>
      <c r="G208" s="11">
        <f>Organización_Modular!I122</f>
        <v>0</v>
      </c>
      <c r="H208" s="12">
        <f>SUM(F208:G208)</f>
        <v>0</v>
      </c>
      <c r="I208" s="12">
        <f>F208*16</f>
        <v>0</v>
      </c>
      <c r="J208" s="12">
        <f>G208*32</f>
        <v>0</v>
      </c>
      <c r="K208" s="12">
        <f>SUM(I208:J208)</f>
        <v>0</v>
      </c>
      <c r="L208" s="335"/>
      <c r="M208" s="95" t="str">
        <f t="shared" si="2"/>
        <v xml:space="preserve">   </v>
      </c>
    </row>
    <row r="209" spans="1:13" hidden="1" x14ac:dyDescent="0.2">
      <c r="A209" s="343"/>
      <c r="B209" s="170" t="str">
        <f>Capacidades!M1104</f>
        <v xml:space="preserve">   </v>
      </c>
      <c r="C209" s="171"/>
      <c r="D209" s="13"/>
      <c r="E209" s="13"/>
      <c r="F209" s="14"/>
      <c r="G209" s="14"/>
      <c r="H209" s="14"/>
      <c r="I209" s="14"/>
      <c r="J209" s="14"/>
      <c r="K209" s="14"/>
      <c r="L209" s="336"/>
      <c r="M209" s="95" t="str">
        <f t="shared" si="2"/>
        <v xml:space="preserve">   </v>
      </c>
    </row>
    <row r="210" spans="1:13" hidden="1" x14ac:dyDescent="0.2">
      <c r="A210" s="343"/>
      <c r="B210" s="170" t="str">
        <f>Capacidades!M1105</f>
        <v xml:space="preserve">   </v>
      </c>
      <c r="C210" s="171"/>
      <c r="D210" s="13"/>
      <c r="E210" s="13"/>
      <c r="F210" s="14"/>
      <c r="G210" s="14"/>
      <c r="H210" s="14"/>
      <c r="I210" s="14"/>
      <c r="J210" s="14"/>
      <c r="K210" s="14"/>
      <c r="L210" s="336"/>
      <c r="M210" s="95" t="str">
        <f t="shared" si="2"/>
        <v xml:space="preserve">   </v>
      </c>
    </row>
    <row r="211" spans="1:13" hidden="1" x14ac:dyDescent="0.2">
      <c r="A211" s="343"/>
      <c r="B211" s="170" t="str">
        <f>Capacidades!M1106</f>
        <v xml:space="preserve">   </v>
      </c>
      <c r="C211" s="171"/>
      <c r="D211" s="13"/>
      <c r="E211" s="13"/>
      <c r="F211" s="13"/>
      <c r="G211" s="13"/>
      <c r="H211" s="14"/>
      <c r="I211" s="14"/>
      <c r="J211" s="14"/>
      <c r="K211" s="14"/>
      <c r="L211" s="336"/>
      <c r="M211" s="95" t="str">
        <f t="shared" ref="M211:M217" si="3">B211</f>
        <v xml:space="preserve">   </v>
      </c>
    </row>
    <row r="212" spans="1:13" hidden="1" x14ac:dyDescent="0.2">
      <c r="A212" s="343"/>
      <c r="B212" s="170" t="str">
        <f>Capacidades!M1107</f>
        <v xml:space="preserve">   </v>
      </c>
      <c r="C212" s="171"/>
      <c r="D212" s="13"/>
      <c r="E212" s="13"/>
      <c r="F212" s="13"/>
      <c r="G212" s="13"/>
      <c r="H212" s="14"/>
      <c r="I212" s="14"/>
      <c r="J212" s="14"/>
      <c r="K212" s="14"/>
      <c r="L212" s="336"/>
      <c r="M212" s="95" t="str">
        <f t="shared" si="3"/>
        <v xml:space="preserve">   </v>
      </c>
    </row>
    <row r="213" spans="1:13" hidden="1" x14ac:dyDescent="0.2">
      <c r="A213" s="343"/>
      <c r="B213" s="170" t="str">
        <f>Capacidades!M1108</f>
        <v xml:space="preserve">   </v>
      </c>
      <c r="C213" s="171"/>
      <c r="D213" s="13"/>
      <c r="E213" s="13"/>
      <c r="F213" s="13"/>
      <c r="G213" s="13"/>
      <c r="H213" s="14"/>
      <c r="I213" s="14"/>
      <c r="J213" s="14"/>
      <c r="K213" s="14"/>
      <c r="L213" s="336"/>
      <c r="M213" s="95" t="str">
        <f t="shared" si="3"/>
        <v xml:space="preserve">   </v>
      </c>
    </row>
    <row r="214" spans="1:13" hidden="1" x14ac:dyDescent="0.2">
      <c r="A214" s="343"/>
      <c r="B214" s="170" t="str">
        <f>Capacidades!M1109</f>
        <v xml:space="preserve">   </v>
      </c>
      <c r="C214" s="171"/>
      <c r="D214" s="13"/>
      <c r="E214" s="13"/>
      <c r="F214" s="13"/>
      <c r="G214" s="13"/>
      <c r="H214" s="14"/>
      <c r="I214" s="14"/>
      <c r="J214" s="14"/>
      <c r="K214" s="14"/>
      <c r="L214" s="336"/>
      <c r="M214" s="95" t="str">
        <f t="shared" si="3"/>
        <v xml:space="preserve">   </v>
      </c>
    </row>
    <row r="215" spans="1:13" hidden="1" x14ac:dyDescent="0.2">
      <c r="A215" s="343"/>
      <c r="B215" s="170" t="str">
        <f>Capacidades!M1110</f>
        <v xml:space="preserve">   </v>
      </c>
      <c r="C215" s="171"/>
      <c r="D215" s="13"/>
      <c r="E215" s="13"/>
      <c r="F215" s="14"/>
      <c r="G215" s="14"/>
      <c r="H215" s="14"/>
      <c r="I215" s="14"/>
      <c r="J215" s="14"/>
      <c r="K215" s="14"/>
      <c r="L215" s="336"/>
      <c r="M215" s="95" t="str">
        <f t="shared" si="3"/>
        <v xml:space="preserve">   </v>
      </c>
    </row>
    <row r="216" spans="1:13" hidden="1" x14ac:dyDescent="0.2">
      <c r="A216" s="343"/>
      <c r="B216" s="170" t="str">
        <f>Capacidades!M1111</f>
        <v xml:space="preserve">   </v>
      </c>
      <c r="C216" s="171"/>
      <c r="D216" s="13"/>
      <c r="E216" s="13"/>
      <c r="F216" s="14"/>
      <c r="G216" s="14"/>
      <c r="H216" s="14"/>
      <c r="I216" s="14"/>
      <c r="J216" s="14"/>
      <c r="K216" s="14"/>
      <c r="L216" s="336"/>
      <c r="M216" s="95" t="str">
        <f t="shared" si="3"/>
        <v xml:space="preserve">   </v>
      </c>
    </row>
    <row r="217" spans="1:13" hidden="1" x14ac:dyDescent="0.2">
      <c r="A217" s="344"/>
      <c r="B217" s="170" t="str">
        <f>Capacidades!M1112</f>
        <v xml:space="preserve">   </v>
      </c>
      <c r="C217" s="171"/>
      <c r="D217" s="15"/>
      <c r="E217" s="15"/>
      <c r="F217" s="16"/>
      <c r="G217" s="16"/>
      <c r="H217" s="16"/>
      <c r="I217" s="16"/>
      <c r="J217" s="16"/>
      <c r="K217" s="16"/>
      <c r="L217" s="337"/>
      <c r="M217" s="95" t="str">
        <f t="shared" si="3"/>
        <v xml:space="preserve">   </v>
      </c>
    </row>
    <row r="218" spans="1:13" ht="23.25" customHeight="1" x14ac:dyDescent="0.2">
      <c r="A218" s="354" t="s">
        <v>105</v>
      </c>
      <c r="B218" s="354"/>
      <c r="C218" s="354"/>
      <c r="D218" s="354"/>
      <c r="E218" s="354"/>
      <c r="F218" s="354"/>
      <c r="G218" s="354"/>
      <c r="H218" s="354"/>
      <c r="I218" s="354"/>
      <c r="J218" s="354"/>
      <c r="K218" s="354"/>
      <c r="L218" s="354"/>
      <c r="M218" s="95" t="str">
        <f>A218</f>
        <v>COMPETENCIAS PARA LA EMPLEABILIDAD INCORPORADAS MEDIANTE UNIDAD DIDÁCTICA</v>
      </c>
    </row>
    <row r="219" spans="1:13" ht="55.5" customHeight="1" x14ac:dyDescent="0.2">
      <c r="A219" s="355" t="str">
        <f>Organización_Modular!C123</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219" s="355"/>
      <c r="C219" s="355"/>
      <c r="D219" s="355"/>
      <c r="E219" s="355"/>
      <c r="F219" s="355"/>
      <c r="G219" s="355"/>
      <c r="H219" s="355"/>
      <c r="I219" s="355"/>
      <c r="J219" s="355"/>
      <c r="K219" s="355"/>
      <c r="L219" s="355"/>
      <c r="M219" s="95" t="str">
        <f>A219</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220" spans="1:13" ht="26.25" customHeight="1" x14ac:dyDescent="0.2">
      <c r="A220" s="387" t="s">
        <v>99</v>
      </c>
      <c r="B220" s="388" t="s">
        <v>98</v>
      </c>
      <c r="C220" s="387" t="s">
        <v>97</v>
      </c>
      <c r="D220" s="387" t="s">
        <v>0</v>
      </c>
      <c r="E220" s="361" t="s">
        <v>61</v>
      </c>
      <c r="F220" s="387" t="s">
        <v>90</v>
      </c>
      <c r="G220" s="387"/>
      <c r="H220" s="387" t="s">
        <v>90</v>
      </c>
      <c r="I220" s="387" t="s">
        <v>96</v>
      </c>
      <c r="J220" s="387"/>
      <c r="K220" s="387" t="s">
        <v>96</v>
      </c>
      <c r="L220" s="387" t="s">
        <v>95</v>
      </c>
      <c r="M220" s="95" t="str">
        <f t="shared" ref="M220" si="4">A220</f>
        <v>CAPACIDADES DE EMPLEABILIDAD</v>
      </c>
    </row>
    <row r="221" spans="1:13" x14ac:dyDescent="0.2">
      <c r="A221" s="387"/>
      <c r="B221" s="388"/>
      <c r="C221" s="387"/>
      <c r="D221" s="387"/>
      <c r="E221" s="361"/>
      <c r="F221" s="163" t="s">
        <v>94</v>
      </c>
      <c r="G221" s="163" t="s">
        <v>93</v>
      </c>
      <c r="H221" s="387"/>
      <c r="I221" s="163" t="s">
        <v>94</v>
      </c>
      <c r="J221" s="163" t="s">
        <v>93</v>
      </c>
      <c r="K221" s="387"/>
      <c r="L221" s="387"/>
      <c r="M221" s="95" t="str">
        <f>A220</f>
        <v>CAPACIDADES DE EMPLEABILIDAD</v>
      </c>
    </row>
    <row r="222" spans="1:13" ht="134.25" customHeight="1" x14ac:dyDescent="0.2">
      <c r="A222" s="342" t="str">
        <f>Capacidades!L1113</f>
        <v xml:space="preserve">CE3 C1 Utilizar  metodologías para identificar oportunidades de negocio  tomando en cuenta el programa de estudios y las necesidades del cliente.    </v>
      </c>
      <c r="B222" s="172" t="str">
        <f>Capacidades!M1113</f>
        <v>C1 I1 Describe  las metodologías del emprendimiento y de innovación, de acuerdo al proceso de elaboración del plan de negocio.</v>
      </c>
      <c r="C222" s="173" t="s">
        <v>364</v>
      </c>
      <c r="D222" s="13" t="str">
        <f>Organización_Modular!F123</f>
        <v>Plan de negocio</v>
      </c>
      <c r="E222" s="13" t="str">
        <f>Organización_Modular!G123</f>
        <v>IV</v>
      </c>
      <c r="F222" s="13">
        <f>Organización_Modular!H123</f>
        <v>1</v>
      </c>
      <c r="G222" s="13">
        <f>Organización_Modular!I123</f>
        <v>1</v>
      </c>
      <c r="H222" s="14">
        <f>SUM(F222:G222)</f>
        <v>2</v>
      </c>
      <c r="I222" s="14">
        <f>F222*16</f>
        <v>16</v>
      </c>
      <c r="J222" s="14">
        <f>G222*32</f>
        <v>32</v>
      </c>
      <c r="K222" s="14">
        <f>SUM(I222:J222)</f>
        <v>48</v>
      </c>
      <c r="L222" s="338" t="s">
        <v>631</v>
      </c>
      <c r="M222" s="95" t="str">
        <f>B222</f>
        <v>C1 I1 Describe  las metodologías del emprendimiento y de innovación, de acuerdo al proceso de elaboración del plan de negocio.</v>
      </c>
    </row>
    <row r="223" spans="1:13" ht="120" x14ac:dyDescent="0.2">
      <c r="A223" s="343"/>
      <c r="B223" s="172" t="str">
        <f>Capacidades!M1114</f>
        <v>C1 I2 Emplea métodos y técnicas para identificar según el programa de estudios y las necesidades del cliente.</v>
      </c>
      <c r="C223" s="171" t="s">
        <v>365</v>
      </c>
      <c r="D223" s="13"/>
      <c r="E223" s="13"/>
      <c r="F223" s="13"/>
      <c r="G223" s="13"/>
      <c r="H223" s="14"/>
      <c r="I223" s="14"/>
      <c r="J223" s="14"/>
      <c r="K223" s="14"/>
      <c r="L223" s="339"/>
      <c r="M223" s="95" t="str">
        <f t="shared" ref="M223:M286" si="5">B223</f>
        <v>C1 I2 Emplea métodos y técnicas para identificar según el programa de estudios y las necesidades del cliente.</v>
      </c>
    </row>
    <row r="224" spans="1:13" ht="3.75" hidden="1" customHeight="1" x14ac:dyDescent="0.2">
      <c r="A224" s="343"/>
      <c r="B224" s="172" t="str">
        <f>Capacidades!M1115</f>
        <v xml:space="preserve">   </v>
      </c>
      <c r="C224" s="171"/>
      <c r="D224" s="13"/>
      <c r="E224" s="13"/>
      <c r="F224" s="13"/>
      <c r="G224" s="13"/>
      <c r="H224" s="14"/>
      <c r="I224" s="14"/>
      <c r="J224" s="14"/>
      <c r="K224" s="14"/>
      <c r="L224" s="339"/>
      <c r="M224" s="95" t="str">
        <f t="shared" si="5"/>
        <v xml:space="preserve">   </v>
      </c>
    </row>
    <row r="225" spans="1:13" ht="12.75" hidden="1" customHeight="1" x14ac:dyDescent="0.2">
      <c r="A225" s="343"/>
      <c r="B225" s="172" t="str">
        <f>Capacidades!M1116</f>
        <v xml:space="preserve">   </v>
      </c>
      <c r="C225" s="171"/>
      <c r="D225" s="13"/>
      <c r="E225" s="13"/>
      <c r="F225" s="13"/>
      <c r="G225" s="13"/>
      <c r="H225" s="14"/>
      <c r="I225" s="14"/>
      <c r="J225" s="14"/>
      <c r="K225" s="14"/>
      <c r="L225" s="339"/>
      <c r="M225" s="95" t="str">
        <f t="shared" si="5"/>
        <v xml:space="preserve">   </v>
      </c>
    </row>
    <row r="226" spans="1:13" ht="12.75" hidden="1" customHeight="1" x14ac:dyDescent="0.2">
      <c r="A226" s="343"/>
      <c r="B226" s="172" t="str">
        <f>Capacidades!M1117</f>
        <v xml:space="preserve">   </v>
      </c>
      <c r="C226" s="171"/>
      <c r="D226" s="13"/>
      <c r="E226" s="13"/>
      <c r="F226" s="13"/>
      <c r="G226" s="13"/>
      <c r="H226" s="14"/>
      <c r="I226" s="14"/>
      <c r="J226" s="14"/>
      <c r="K226" s="14"/>
      <c r="L226" s="339"/>
      <c r="M226" s="95" t="str">
        <f t="shared" si="5"/>
        <v xml:space="preserve">   </v>
      </c>
    </row>
    <row r="227" spans="1:13" ht="12.75" hidden="1" customHeight="1" x14ac:dyDescent="0.2">
      <c r="A227" s="343"/>
      <c r="B227" s="172" t="str">
        <f>Capacidades!M1118</f>
        <v xml:space="preserve">   </v>
      </c>
      <c r="C227" s="171"/>
      <c r="D227" s="13"/>
      <c r="E227" s="13"/>
      <c r="F227" s="13"/>
      <c r="G227" s="13"/>
      <c r="H227" s="14"/>
      <c r="I227" s="14"/>
      <c r="J227" s="14"/>
      <c r="K227" s="14"/>
      <c r="L227" s="339"/>
      <c r="M227" s="95" t="str">
        <f t="shared" si="5"/>
        <v xml:space="preserve">   </v>
      </c>
    </row>
    <row r="228" spans="1:13" ht="12.75" hidden="1" customHeight="1" x14ac:dyDescent="0.2">
      <c r="A228" s="343"/>
      <c r="B228" s="172" t="str">
        <f>Capacidades!M1119</f>
        <v xml:space="preserve">   </v>
      </c>
      <c r="C228" s="171"/>
      <c r="D228" s="13"/>
      <c r="E228" s="13"/>
      <c r="F228" s="13"/>
      <c r="G228" s="13"/>
      <c r="H228" s="14"/>
      <c r="I228" s="14"/>
      <c r="J228" s="14"/>
      <c r="K228" s="14"/>
      <c r="L228" s="339"/>
      <c r="M228" s="95" t="str">
        <f t="shared" si="5"/>
        <v xml:space="preserve">   </v>
      </c>
    </row>
    <row r="229" spans="1:13" ht="12.75" hidden="1" customHeight="1" x14ac:dyDescent="0.2">
      <c r="A229" s="343"/>
      <c r="B229" s="172" t="str">
        <f>Capacidades!M1120</f>
        <v xml:space="preserve">   </v>
      </c>
      <c r="C229" s="171"/>
      <c r="D229" s="13"/>
      <c r="E229" s="13"/>
      <c r="F229" s="13"/>
      <c r="G229" s="13"/>
      <c r="H229" s="14"/>
      <c r="I229" s="14"/>
      <c r="J229" s="14"/>
      <c r="K229" s="14"/>
      <c r="L229" s="339"/>
      <c r="M229" s="95" t="str">
        <f t="shared" si="5"/>
        <v xml:space="preserve">   </v>
      </c>
    </row>
    <row r="230" spans="1:13" ht="12.75" hidden="1" customHeight="1" x14ac:dyDescent="0.2">
      <c r="A230" s="343"/>
      <c r="B230" s="172" t="str">
        <f>Capacidades!M1121</f>
        <v xml:space="preserve">   </v>
      </c>
      <c r="C230" s="171"/>
      <c r="D230" s="13"/>
      <c r="E230" s="13"/>
      <c r="F230" s="13"/>
      <c r="G230" s="13"/>
      <c r="H230" s="14"/>
      <c r="I230" s="14"/>
      <c r="J230" s="14"/>
      <c r="K230" s="14"/>
      <c r="L230" s="339"/>
      <c r="M230" s="95" t="str">
        <f t="shared" si="5"/>
        <v xml:space="preserve">   </v>
      </c>
    </row>
    <row r="231" spans="1:13" ht="12.75" hidden="1" customHeight="1" x14ac:dyDescent="0.2">
      <c r="A231" s="344"/>
      <c r="B231" s="172" t="str">
        <f>Capacidades!M1122</f>
        <v xml:space="preserve">   </v>
      </c>
      <c r="C231" s="171"/>
      <c r="D231" s="15"/>
      <c r="E231" s="15"/>
      <c r="F231" s="15"/>
      <c r="G231" s="15"/>
      <c r="H231" s="16"/>
      <c r="I231" s="16"/>
      <c r="J231" s="16"/>
      <c r="K231" s="16"/>
      <c r="L231" s="339"/>
      <c r="M231" s="95" t="str">
        <f t="shared" si="5"/>
        <v xml:space="preserve">   </v>
      </c>
    </row>
    <row r="232" spans="1:13" ht="64.5" customHeight="1" x14ac:dyDescent="0.2">
      <c r="A232" s="342" t="str">
        <f>Capacidades!L1123</f>
        <v xml:space="preserve">CE3 C2 Formular planes de negocio innovadoresvinculados al programa de estudio  considerando un proceso metodológico que genere valor,  sea sostenible y preserve el ambiente.    </v>
      </c>
      <c r="B232" s="172" t="str">
        <f>Capacidades!M1123</f>
        <v>C2 I1 Plantea  la misión, visión y objetivos del negocio teniendo en cuenta las expectativas del cliente y la oportunidad de negocio.</v>
      </c>
      <c r="C232" s="171" t="s">
        <v>366</v>
      </c>
      <c r="D232" s="11" t="str">
        <f>Organización_Modular!F124</f>
        <v>Elaboración de planes de negocio</v>
      </c>
      <c r="E232" s="11" t="str">
        <f>Organización_Modular!G124</f>
        <v>IV</v>
      </c>
      <c r="F232" s="11">
        <f>Organización_Modular!H124</f>
        <v>0</v>
      </c>
      <c r="G232" s="11">
        <f>Organización_Modular!I124</f>
        <v>1</v>
      </c>
      <c r="H232" s="12">
        <f>SUM(F232:G232)</f>
        <v>1</v>
      </c>
      <c r="I232" s="12">
        <f>F232*16</f>
        <v>0</v>
      </c>
      <c r="J232" s="12">
        <f>G232*32</f>
        <v>32</v>
      </c>
      <c r="K232" s="12">
        <f>SUM(I232:J232)</f>
        <v>32</v>
      </c>
      <c r="L232" s="339"/>
      <c r="M232" s="95" t="str">
        <f t="shared" si="5"/>
        <v>C2 I1 Plantea  la misión, visión y objetivos del negocio teniendo en cuenta las expectativas del cliente y la oportunidad de negocio.</v>
      </c>
    </row>
    <row r="233" spans="1:13" ht="105" customHeight="1" x14ac:dyDescent="0.2">
      <c r="A233" s="343"/>
      <c r="B233" s="172" t="str">
        <f>Capacidades!M1124</f>
        <v>C2 I2 Elabora  el plan de acción del negocio participando en concursos y ferias de emprendimiento</v>
      </c>
      <c r="C233" s="171" t="s">
        <v>367</v>
      </c>
      <c r="D233" s="13"/>
      <c r="E233" s="13"/>
      <c r="F233" s="13"/>
      <c r="G233" s="13"/>
      <c r="H233" s="14"/>
      <c r="I233" s="14"/>
      <c r="J233" s="14"/>
      <c r="K233" s="14"/>
      <c r="L233" s="339"/>
      <c r="M233" s="95" t="str">
        <f t="shared" si="5"/>
        <v>C2 I2 Elabora  el plan de acción del negocio participando en concursos y ferias de emprendimiento</v>
      </c>
    </row>
    <row r="234" spans="1:13" ht="3" hidden="1" customHeight="1" x14ac:dyDescent="0.2">
      <c r="A234" s="343"/>
      <c r="B234" s="172" t="str">
        <f>Capacidades!M1125</f>
        <v xml:space="preserve">   </v>
      </c>
      <c r="C234" s="171"/>
      <c r="D234" s="13"/>
      <c r="E234" s="13"/>
      <c r="F234" s="13"/>
      <c r="G234" s="13"/>
      <c r="H234" s="14"/>
      <c r="I234" s="14"/>
      <c r="J234" s="14"/>
      <c r="K234" s="14"/>
      <c r="L234" s="339"/>
      <c r="M234" s="95" t="str">
        <f t="shared" si="5"/>
        <v xml:space="preserve">   </v>
      </c>
    </row>
    <row r="235" spans="1:13" ht="12.75" hidden="1" customHeight="1" x14ac:dyDescent="0.2">
      <c r="A235" s="343"/>
      <c r="B235" s="172" t="str">
        <f>Capacidades!M1126</f>
        <v xml:space="preserve">   </v>
      </c>
      <c r="C235" s="171"/>
      <c r="D235" s="13"/>
      <c r="E235" s="13"/>
      <c r="F235" s="13"/>
      <c r="G235" s="13"/>
      <c r="H235" s="14"/>
      <c r="I235" s="14"/>
      <c r="J235" s="14"/>
      <c r="K235" s="14"/>
      <c r="L235" s="339"/>
      <c r="M235" s="95" t="str">
        <f t="shared" si="5"/>
        <v xml:space="preserve">   </v>
      </c>
    </row>
    <row r="236" spans="1:13" ht="12.75" hidden="1" customHeight="1" x14ac:dyDescent="0.2">
      <c r="A236" s="343"/>
      <c r="B236" s="172" t="str">
        <f>Capacidades!M1127</f>
        <v xml:space="preserve">   </v>
      </c>
      <c r="C236" s="171"/>
      <c r="D236" s="13"/>
      <c r="E236" s="13"/>
      <c r="F236" s="13"/>
      <c r="G236" s="13"/>
      <c r="H236" s="14"/>
      <c r="I236" s="14"/>
      <c r="J236" s="14"/>
      <c r="K236" s="14"/>
      <c r="L236" s="339"/>
      <c r="M236" s="95" t="str">
        <f t="shared" si="5"/>
        <v xml:space="preserve">   </v>
      </c>
    </row>
    <row r="237" spans="1:13" ht="12.75" hidden="1" customHeight="1" x14ac:dyDescent="0.2">
      <c r="A237" s="343"/>
      <c r="B237" s="172" t="str">
        <f>Capacidades!M1128</f>
        <v xml:space="preserve">   </v>
      </c>
      <c r="C237" s="171"/>
      <c r="D237" s="13"/>
      <c r="E237" s="13"/>
      <c r="F237" s="13"/>
      <c r="G237" s="13"/>
      <c r="H237" s="14"/>
      <c r="I237" s="14"/>
      <c r="J237" s="14"/>
      <c r="K237" s="14"/>
      <c r="L237" s="339"/>
      <c r="M237" s="95" t="str">
        <f t="shared" si="5"/>
        <v xml:space="preserve">   </v>
      </c>
    </row>
    <row r="238" spans="1:13" ht="12.75" hidden="1" customHeight="1" x14ac:dyDescent="0.2">
      <c r="A238" s="343"/>
      <c r="B238" s="172" t="str">
        <f>Capacidades!M1129</f>
        <v xml:space="preserve">   </v>
      </c>
      <c r="C238" s="171"/>
      <c r="D238" s="13"/>
      <c r="E238" s="13"/>
      <c r="F238" s="13"/>
      <c r="G238" s="13"/>
      <c r="H238" s="14"/>
      <c r="I238" s="14"/>
      <c r="J238" s="14"/>
      <c r="K238" s="14"/>
      <c r="L238" s="339"/>
      <c r="M238" s="95" t="str">
        <f t="shared" si="5"/>
        <v xml:space="preserve">   </v>
      </c>
    </row>
    <row r="239" spans="1:13" ht="12.75" hidden="1" customHeight="1" x14ac:dyDescent="0.2">
      <c r="A239" s="343"/>
      <c r="B239" s="172" t="str">
        <f>Capacidades!M1130</f>
        <v xml:space="preserve">   </v>
      </c>
      <c r="C239" s="171"/>
      <c r="D239" s="13"/>
      <c r="E239" s="13"/>
      <c r="F239" s="13"/>
      <c r="G239" s="13"/>
      <c r="H239" s="14"/>
      <c r="I239" s="14"/>
      <c r="J239" s="14"/>
      <c r="K239" s="14"/>
      <c r="L239" s="339"/>
      <c r="M239" s="95" t="str">
        <f t="shared" si="5"/>
        <v xml:space="preserve">   </v>
      </c>
    </row>
    <row r="240" spans="1:13" ht="12.75" hidden="1" customHeight="1" x14ac:dyDescent="0.2">
      <c r="A240" s="343"/>
      <c r="B240" s="172" t="str">
        <f>Capacidades!M1131</f>
        <v xml:space="preserve">   </v>
      </c>
      <c r="C240" s="171"/>
      <c r="D240" s="13"/>
      <c r="E240" s="13"/>
      <c r="F240" s="13"/>
      <c r="G240" s="13"/>
      <c r="H240" s="14"/>
      <c r="I240" s="14"/>
      <c r="J240" s="14"/>
      <c r="K240" s="14"/>
      <c r="L240" s="339"/>
      <c r="M240" s="95" t="str">
        <f t="shared" si="5"/>
        <v xml:space="preserve">   </v>
      </c>
    </row>
    <row r="241" spans="1:13" ht="12.75" hidden="1" customHeight="1" x14ac:dyDescent="0.2">
      <c r="A241" s="344"/>
      <c r="B241" s="172" t="str">
        <f>Capacidades!M1132</f>
        <v xml:space="preserve">   </v>
      </c>
      <c r="C241" s="174"/>
      <c r="D241" s="13"/>
      <c r="E241" s="13"/>
      <c r="F241" s="13"/>
      <c r="G241" s="13"/>
      <c r="H241" s="14"/>
      <c r="I241" s="14"/>
      <c r="J241" s="14"/>
      <c r="K241" s="14"/>
      <c r="L241" s="339"/>
      <c r="M241" s="95" t="str">
        <f t="shared" si="5"/>
        <v xml:space="preserve">   </v>
      </c>
    </row>
    <row r="242" spans="1:13" ht="104.25" customHeight="1" x14ac:dyDescent="0.2">
      <c r="A242" s="342" t="str">
        <f>Capacidades!L1133</f>
        <v xml:space="preserve">CE4 I1 Practicar las relaciones interpersonales democráticas, teniendo en cuenta los principios y valores éticos, y la gestión efectiva de los conflictos en su contexto social y laboral.    </v>
      </c>
      <c r="B242" s="172" t="str">
        <f>Capacidades!M1133</f>
        <v>C1 I1 Ejerce  los principios de la democracia tomando en cuenta la optimización de sus relaciones interpersonales.</v>
      </c>
      <c r="C242" s="171" t="s">
        <v>368</v>
      </c>
      <c r="D242" s="11" t="str">
        <f>Organización_Modular!F125</f>
        <v>Principios y valores éticos.</v>
      </c>
      <c r="E242" s="11" t="str">
        <f>Organización_Modular!G125</f>
        <v>IV</v>
      </c>
      <c r="F242" s="11">
        <f>Organización_Modular!H125</f>
        <v>0</v>
      </c>
      <c r="G242" s="11">
        <f>Organización_Modular!I125</f>
        <v>1</v>
      </c>
      <c r="H242" s="12">
        <f>SUM(F242:G242)</f>
        <v>1</v>
      </c>
      <c r="I242" s="12">
        <f>F242*16</f>
        <v>0</v>
      </c>
      <c r="J242" s="12">
        <f>G242*32</f>
        <v>32</v>
      </c>
      <c r="K242" s="12">
        <f>SUM(I242:J242)</f>
        <v>32</v>
      </c>
      <c r="L242" s="339"/>
      <c r="M242" s="95" t="str">
        <f t="shared" si="5"/>
        <v>C1 I1 Ejerce  los principios de la democracia tomando en cuenta la optimización de sus relaciones interpersonales.</v>
      </c>
    </row>
    <row r="243" spans="1:13" ht="141.75" customHeight="1" x14ac:dyDescent="0.2">
      <c r="A243" s="343"/>
      <c r="B243" s="172" t="str">
        <f>Capacidades!M1134</f>
        <v>C1 I2 Demuestra acciones éticas  en el marco de sus relaciones sociales y laborales.</v>
      </c>
      <c r="C243" s="171" t="s">
        <v>369</v>
      </c>
      <c r="D243" s="13"/>
      <c r="E243" s="13"/>
      <c r="F243" s="13"/>
      <c r="G243" s="13"/>
      <c r="H243" s="14"/>
      <c r="I243" s="14"/>
      <c r="J243" s="14"/>
      <c r="K243" s="14"/>
      <c r="L243" s="339" t="s">
        <v>631</v>
      </c>
      <c r="M243" s="95" t="str">
        <f t="shared" si="5"/>
        <v>C1 I2 Demuestra acciones éticas  en el marco de sus relaciones sociales y laborales.</v>
      </c>
    </row>
    <row r="244" spans="1:13" ht="0.75" customHeight="1" x14ac:dyDescent="0.2">
      <c r="A244" s="343"/>
      <c r="B244" s="172" t="str">
        <f>Capacidades!M1135</f>
        <v xml:space="preserve">   </v>
      </c>
      <c r="C244" s="171"/>
      <c r="D244" s="13"/>
      <c r="E244" s="13"/>
      <c r="F244" s="13"/>
      <c r="G244" s="13"/>
      <c r="H244" s="14"/>
      <c r="I244" s="14"/>
      <c r="J244" s="14"/>
      <c r="K244" s="14"/>
      <c r="L244" s="339"/>
      <c r="M244" s="95" t="str">
        <f t="shared" si="5"/>
        <v xml:space="preserve">   </v>
      </c>
    </row>
    <row r="245" spans="1:13" ht="12.75" hidden="1" customHeight="1" x14ac:dyDescent="0.2">
      <c r="A245" s="343"/>
      <c r="B245" s="172" t="str">
        <f>Capacidades!M1136</f>
        <v xml:space="preserve">   </v>
      </c>
      <c r="C245" s="171"/>
      <c r="D245" s="13"/>
      <c r="E245" s="13"/>
      <c r="F245" s="13"/>
      <c r="G245" s="13"/>
      <c r="H245" s="14"/>
      <c r="I245" s="14"/>
      <c r="J245" s="14"/>
      <c r="K245" s="14"/>
      <c r="L245" s="339"/>
      <c r="M245" s="95" t="str">
        <f t="shared" si="5"/>
        <v xml:space="preserve">   </v>
      </c>
    </row>
    <row r="246" spans="1:13" ht="12.75" hidden="1" customHeight="1" x14ac:dyDescent="0.2">
      <c r="A246" s="343"/>
      <c r="B246" s="172" t="str">
        <f>Capacidades!M1137</f>
        <v xml:space="preserve">   </v>
      </c>
      <c r="C246" s="171"/>
      <c r="D246" s="13"/>
      <c r="E246" s="13"/>
      <c r="F246" s="13"/>
      <c r="G246" s="13"/>
      <c r="H246" s="14"/>
      <c r="I246" s="14"/>
      <c r="J246" s="14"/>
      <c r="K246" s="14"/>
      <c r="L246" s="339"/>
      <c r="M246" s="95" t="str">
        <f t="shared" si="5"/>
        <v xml:space="preserve">   </v>
      </c>
    </row>
    <row r="247" spans="1:13" ht="12.75" hidden="1" customHeight="1" x14ac:dyDescent="0.2">
      <c r="A247" s="343"/>
      <c r="B247" s="172" t="str">
        <f>Capacidades!M1138</f>
        <v xml:space="preserve">   </v>
      </c>
      <c r="C247" s="171"/>
      <c r="D247" s="13"/>
      <c r="E247" s="13"/>
      <c r="F247" s="13"/>
      <c r="G247" s="13"/>
      <c r="H247" s="14"/>
      <c r="I247" s="14"/>
      <c r="J247" s="14"/>
      <c r="K247" s="14"/>
      <c r="L247" s="339"/>
      <c r="M247" s="95" t="str">
        <f t="shared" si="5"/>
        <v xml:space="preserve">   </v>
      </c>
    </row>
    <row r="248" spans="1:13" ht="12.75" hidden="1" customHeight="1" x14ac:dyDescent="0.2">
      <c r="A248" s="343"/>
      <c r="B248" s="172" t="str">
        <f>Capacidades!M1139</f>
        <v xml:space="preserve">   </v>
      </c>
      <c r="C248" s="171"/>
      <c r="D248" s="13"/>
      <c r="E248" s="13"/>
      <c r="F248" s="13"/>
      <c r="G248" s="13"/>
      <c r="H248" s="14"/>
      <c r="I248" s="14"/>
      <c r="J248" s="14"/>
      <c r="K248" s="14"/>
      <c r="L248" s="339"/>
      <c r="M248" s="95" t="str">
        <f t="shared" si="5"/>
        <v xml:space="preserve">   </v>
      </c>
    </row>
    <row r="249" spans="1:13" ht="12.75" hidden="1" customHeight="1" x14ac:dyDescent="0.2">
      <c r="A249" s="343"/>
      <c r="B249" s="172" t="str">
        <f>Capacidades!M1140</f>
        <v xml:space="preserve">   </v>
      </c>
      <c r="C249" s="171"/>
      <c r="D249" s="13"/>
      <c r="E249" s="13"/>
      <c r="F249" s="13"/>
      <c r="G249" s="13"/>
      <c r="H249" s="14"/>
      <c r="I249" s="14"/>
      <c r="J249" s="14"/>
      <c r="K249" s="14"/>
      <c r="L249" s="339"/>
      <c r="M249" s="95" t="str">
        <f t="shared" si="5"/>
        <v xml:space="preserve">   </v>
      </c>
    </row>
    <row r="250" spans="1:13" ht="12.75" hidden="1" customHeight="1" x14ac:dyDescent="0.2">
      <c r="A250" s="343"/>
      <c r="B250" s="172" t="str">
        <f>Capacidades!M1141</f>
        <v xml:space="preserve">   </v>
      </c>
      <c r="C250" s="171"/>
      <c r="D250" s="13"/>
      <c r="E250" s="13"/>
      <c r="F250" s="13"/>
      <c r="G250" s="13"/>
      <c r="H250" s="14"/>
      <c r="I250" s="14"/>
      <c r="J250" s="14"/>
      <c r="K250" s="14"/>
      <c r="L250" s="339"/>
      <c r="M250" s="95" t="str">
        <f t="shared" si="5"/>
        <v xml:space="preserve">   </v>
      </c>
    </row>
    <row r="251" spans="1:13" ht="12.75" hidden="1" customHeight="1" x14ac:dyDescent="0.2">
      <c r="A251" s="344"/>
      <c r="B251" s="172" t="str">
        <f>Capacidades!M1142</f>
        <v xml:space="preserve">   </v>
      </c>
      <c r="C251" s="174"/>
      <c r="D251" s="13"/>
      <c r="E251" s="13"/>
      <c r="F251" s="13"/>
      <c r="G251" s="13"/>
      <c r="H251" s="14"/>
      <c r="I251" s="14"/>
      <c r="J251" s="14"/>
      <c r="K251" s="14"/>
      <c r="L251" s="339"/>
      <c r="M251" s="95" t="str">
        <f t="shared" si="5"/>
        <v xml:space="preserve">   </v>
      </c>
    </row>
    <row r="252" spans="1:13" ht="104.25" customHeight="1" x14ac:dyDescent="0.2">
      <c r="A252" s="342" t="str">
        <f>Capacidades!L1143</f>
        <v xml:space="preserve">CE4 I2 Promover una cultura ética en su contexto  social y laboral fomentando el bien común, la diversidad y la dignidad de las personas.    </v>
      </c>
      <c r="B252" s="172" t="str">
        <f>Capacidades!M1143</f>
        <v>C2 I1 Actúa  de manera ética   en su vida cotidiana y laboral, orientada al bien común</v>
      </c>
      <c r="C252" s="171" t="s">
        <v>370</v>
      </c>
      <c r="D252" s="11" t="str">
        <f>Organización_Modular!F126</f>
        <v xml:space="preserve">Comportamiento Ético </v>
      </c>
      <c r="E252" s="11" t="str">
        <f>Organización_Modular!G126</f>
        <v>IV</v>
      </c>
      <c r="F252" s="11">
        <f>Organización_Modular!H126</f>
        <v>0</v>
      </c>
      <c r="G252" s="11">
        <f>Organización_Modular!I126</f>
        <v>1</v>
      </c>
      <c r="H252" s="12">
        <f>SUM(F252:G252)</f>
        <v>1</v>
      </c>
      <c r="I252" s="12">
        <f>F252*16</f>
        <v>0</v>
      </c>
      <c r="J252" s="12">
        <f>G252*32</f>
        <v>32</v>
      </c>
      <c r="K252" s="12">
        <f>SUM(I252:J252)</f>
        <v>32</v>
      </c>
      <c r="L252" s="339"/>
      <c r="M252" s="95" t="str">
        <f t="shared" si="5"/>
        <v>C2 I1 Actúa  de manera ética   en su vida cotidiana y laboral, orientada al bien común</v>
      </c>
    </row>
    <row r="253" spans="1:13" ht="45" customHeight="1" x14ac:dyDescent="0.2">
      <c r="A253" s="343"/>
      <c r="B253" s="172" t="str">
        <f>Capacidades!M1144</f>
        <v>C2 I2 Elabora un código de ética para su quehacer laboral  orientado al bien común y a la dignidad de las personas.</v>
      </c>
      <c r="C253" s="171" t="s">
        <v>371</v>
      </c>
      <c r="D253" s="13"/>
      <c r="E253" s="13"/>
      <c r="F253" s="13"/>
      <c r="G253" s="13"/>
      <c r="H253" s="14"/>
      <c r="I253" s="14"/>
      <c r="J253" s="14"/>
      <c r="K253" s="14"/>
      <c r="L253" s="339"/>
      <c r="M253" s="95" t="str">
        <f t="shared" si="5"/>
        <v>C2 I2 Elabora un código de ética para su quehacer laboral  orientado al bien común y a la dignidad de las personas.</v>
      </c>
    </row>
    <row r="254" spans="1:13" ht="0.75" customHeight="1" x14ac:dyDescent="0.2">
      <c r="A254" s="343"/>
      <c r="B254" s="172" t="e">
        <f>Capacidades!#REF!</f>
        <v>#REF!</v>
      </c>
      <c r="C254" s="171"/>
      <c r="D254" s="13"/>
      <c r="E254" s="13"/>
      <c r="F254" s="13"/>
      <c r="G254" s="13"/>
      <c r="H254" s="14"/>
      <c r="I254" s="14"/>
      <c r="J254" s="14"/>
      <c r="K254" s="14"/>
      <c r="L254" s="339"/>
      <c r="M254" s="95" t="e">
        <f t="shared" si="5"/>
        <v>#REF!</v>
      </c>
    </row>
    <row r="255" spans="1:13" ht="12.75" hidden="1" customHeight="1" x14ac:dyDescent="0.2">
      <c r="A255" s="343"/>
      <c r="B255" s="172" t="e">
        <f>Capacidades!#REF!</f>
        <v>#REF!</v>
      </c>
      <c r="C255" s="171"/>
      <c r="D255" s="13"/>
      <c r="E255" s="13"/>
      <c r="F255" s="13"/>
      <c r="G255" s="13"/>
      <c r="H255" s="14"/>
      <c r="I255" s="14"/>
      <c r="J255" s="14"/>
      <c r="K255" s="14"/>
      <c r="L255" s="339"/>
      <c r="M255" s="95" t="e">
        <f t="shared" si="5"/>
        <v>#REF!</v>
      </c>
    </row>
    <row r="256" spans="1:13" ht="12.75" hidden="1" customHeight="1" x14ac:dyDescent="0.2">
      <c r="A256" s="343"/>
      <c r="B256" s="172" t="e">
        <f>Capacidades!#REF!</f>
        <v>#REF!</v>
      </c>
      <c r="C256" s="171"/>
      <c r="D256" s="13"/>
      <c r="E256" s="13"/>
      <c r="F256" s="13"/>
      <c r="G256" s="13"/>
      <c r="H256" s="14"/>
      <c r="I256" s="14"/>
      <c r="J256" s="14"/>
      <c r="K256" s="14"/>
      <c r="L256" s="339"/>
      <c r="M256" s="95" t="e">
        <f t="shared" si="5"/>
        <v>#REF!</v>
      </c>
    </row>
    <row r="257" spans="1:13" ht="12.75" hidden="1" customHeight="1" x14ac:dyDescent="0.2">
      <c r="A257" s="343"/>
      <c r="B257" s="172" t="e">
        <f>Capacidades!#REF!</f>
        <v>#REF!</v>
      </c>
      <c r="C257" s="171"/>
      <c r="D257" s="13"/>
      <c r="E257" s="13"/>
      <c r="F257" s="13"/>
      <c r="G257" s="13"/>
      <c r="H257" s="14"/>
      <c r="I257" s="14"/>
      <c r="J257" s="14"/>
      <c r="K257" s="14"/>
      <c r="L257" s="339"/>
      <c r="M257" s="95" t="e">
        <f t="shared" si="5"/>
        <v>#REF!</v>
      </c>
    </row>
    <row r="258" spans="1:13" ht="12.75" hidden="1" customHeight="1" x14ac:dyDescent="0.2">
      <c r="A258" s="343"/>
      <c r="B258" s="172" t="e">
        <f>Capacidades!#REF!</f>
        <v>#REF!</v>
      </c>
      <c r="C258" s="171"/>
      <c r="D258" s="13"/>
      <c r="E258" s="13"/>
      <c r="F258" s="13"/>
      <c r="G258" s="13"/>
      <c r="H258" s="14"/>
      <c r="I258" s="14"/>
      <c r="J258" s="14"/>
      <c r="K258" s="14"/>
      <c r="L258" s="339"/>
      <c r="M258" s="95" t="e">
        <f t="shared" si="5"/>
        <v>#REF!</v>
      </c>
    </row>
    <row r="259" spans="1:13" ht="12.75" hidden="1" customHeight="1" x14ac:dyDescent="0.2">
      <c r="A259" s="343"/>
      <c r="B259" s="172" t="e">
        <f>Capacidades!#REF!</f>
        <v>#REF!</v>
      </c>
      <c r="C259" s="171"/>
      <c r="D259" s="13"/>
      <c r="E259" s="13"/>
      <c r="F259" s="13"/>
      <c r="G259" s="13"/>
      <c r="H259" s="14"/>
      <c r="I259" s="14"/>
      <c r="J259" s="14"/>
      <c r="K259" s="14"/>
      <c r="L259" s="339"/>
      <c r="M259" s="95" t="e">
        <f t="shared" si="5"/>
        <v>#REF!</v>
      </c>
    </row>
    <row r="260" spans="1:13" ht="12.75" hidden="1" customHeight="1" x14ac:dyDescent="0.2">
      <c r="A260" s="343"/>
      <c r="B260" s="172" t="e">
        <f>Capacidades!#REF!</f>
        <v>#REF!</v>
      </c>
      <c r="C260" s="171"/>
      <c r="D260" s="13"/>
      <c r="E260" s="13"/>
      <c r="F260" s="13"/>
      <c r="G260" s="13"/>
      <c r="H260" s="14"/>
      <c r="I260" s="14"/>
      <c r="J260" s="14"/>
      <c r="K260" s="14"/>
      <c r="L260" s="339"/>
      <c r="M260" s="95" t="e">
        <f t="shared" si="5"/>
        <v>#REF!</v>
      </c>
    </row>
    <row r="261" spans="1:13" ht="12.75" hidden="1" customHeight="1" x14ac:dyDescent="0.2">
      <c r="A261" s="344"/>
      <c r="B261" s="172" t="e">
        <f>Capacidades!#REF!</f>
        <v>#REF!</v>
      </c>
      <c r="C261" s="174"/>
      <c r="D261" s="13"/>
      <c r="E261" s="13"/>
      <c r="F261" s="13"/>
      <c r="G261" s="13"/>
      <c r="H261" s="14"/>
      <c r="I261" s="14"/>
      <c r="J261" s="14"/>
      <c r="K261" s="14"/>
      <c r="L261" s="340"/>
      <c r="M261" s="95" t="e">
        <f t="shared" si="5"/>
        <v>#REF!</v>
      </c>
    </row>
    <row r="262" spans="1:13" hidden="1" x14ac:dyDescent="0.2">
      <c r="A262" s="342" t="e">
        <f>Capacidades!#REF!</f>
        <v>#REF!</v>
      </c>
      <c r="B262" s="172" t="e">
        <f>Capacidades!#REF!</f>
        <v>#REF!</v>
      </c>
      <c r="C262" s="171"/>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335"/>
      <c r="M262" s="95" t="e">
        <f t="shared" si="5"/>
        <v>#REF!</v>
      </c>
    </row>
    <row r="263" spans="1:13" hidden="1" x14ac:dyDescent="0.2">
      <c r="A263" s="343"/>
      <c r="B263" s="172" t="e">
        <f>Capacidades!#REF!</f>
        <v>#REF!</v>
      </c>
      <c r="C263" s="171"/>
      <c r="D263" s="13"/>
      <c r="E263" s="13"/>
      <c r="F263" s="13"/>
      <c r="G263" s="13"/>
      <c r="H263" s="14"/>
      <c r="I263" s="14"/>
      <c r="J263" s="14"/>
      <c r="K263" s="14"/>
      <c r="L263" s="336"/>
      <c r="M263" s="95" t="e">
        <f t="shared" si="5"/>
        <v>#REF!</v>
      </c>
    </row>
    <row r="264" spans="1:13" hidden="1" x14ac:dyDescent="0.2">
      <c r="A264" s="343"/>
      <c r="B264" s="172" t="e">
        <f>Capacidades!#REF!</f>
        <v>#REF!</v>
      </c>
      <c r="C264" s="171"/>
      <c r="D264" s="13"/>
      <c r="E264" s="13"/>
      <c r="F264" s="13"/>
      <c r="G264" s="13"/>
      <c r="H264" s="14"/>
      <c r="I264" s="14"/>
      <c r="J264" s="14"/>
      <c r="K264" s="14"/>
      <c r="L264" s="336"/>
      <c r="M264" s="95" t="e">
        <f t="shared" si="5"/>
        <v>#REF!</v>
      </c>
    </row>
    <row r="265" spans="1:13" hidden="1" x14ac:dyDescent="0.2">
      <c r="A265" s="343"/>
      <c r="B265" s="172" t="e">
        <f>Capacidades!#REF!</f>
        <v>#REF!</v>
      </c>
      <c r="C265" s="171"/>
      <c r="D265" s="13"/>
      <c r="E265" s="13"/>
      <c r="F265" s="13"/>
      <c r="G265" s="13"/>
      <c r="H265" s="14"/>
      <c r="I265" s="14"/>
      <c r="J265" s="14"/>
      <c r="K265" s="14"/>
      <c r="L265" s="336"/>
      <c r="M265" s="95" t="e">
        <f t="shared" si="5"/>
        <v>#REF!</v>
      </c>
    </row>
    <row r="266" spans="1:13" hidden="1" x14ac:dyDescent="0.2">
      <c r="A266" s="343"/>
      <c r="B266" s="172" t="e">
        <f>Capacidades!#REF!</f>
        <v>#REF!</v>
      </c>
      <c r="C266" s="171"/>
      <c r="D266" s="13"/>
      <c r="E266" s="13"/>
      <c r="F266" s="13"/>
      <c r="G266" s="13"/>
      <c r="H266" s="14"/>
      <c r="I266" s="14"/>
      <c r="J266" s="14"/>
      <c r="K266" s="14"/>
      <c r="L266" s="336"/>
      <c r="M266" s="95" t="e">
        <f t="shared" si="5"/>
        <v>#REF!</v>
      </c>
    </row>
    <row r="267" spans="1:13" hidden="1" x14ac:dyDescent="0.2">
      <c r="A267" s="343"/>
      <c r="B267" s="172" t="e">
        <f>Capacidades!#REF!</f>
        <v>#REF!</v>
      </c>
      <c r="C267" s="171"/>
      <c r="D267" s="13"/>
      <c r="E267" s="13"/>
      <c r="F267" s="13"/>
      <c r="G267" s="13"/>
      <c r="H267" s="14"/>
      <c r="I267" s="14"/>
      <c r="J267" s="14"/>
      <c r="K267" s="14"/>
      <c r="L267" s="336"/>
      <c r="M267" s="95" t="e">
        <f t="shared" si="5"/>
        <v>#REF!</v>
      </c>
    </row>
    <row r="268" spans="1:13" hidden="1" x14ac:dyDescent="0.2">
      <c r="A268" s="343"/>
      <c r="B268" s="172" t="e">
        <f>Capacidades!#REF!</f>
        <v>#REF!</v>
      </c>
      <c r="C268" s="171"/>
      <c r="D268" s="13"/>
      <c r="E268" s="13"/>
      <c r="F268" s="13"/>
      <c r="G268" s="13"/>
      <c r="H268" s="14"/>
      <c r="I268" s="14"/>
      <c r="J268" s="14"/>
      <c r="K268" s="14"/>
      <c r="L268" s="336"/>
      <c r="M268" s="95" t="e">
        <f t="shared" si="5"/>
        <v>#REF!</v>
      </c>
    </row>
    <row r="269" spans="1:13" hidden="1" x14ac:dyDescent="0.2">
      <c r="A269" s="343"/>
      <c r="B269" s="172" t="e">
        <f>Capacidades!#REF!</f>
        <v>#REF!</v>
      </c>
      <c r="C269" s="171"/>
      <c r="D269" s="13"/>
      <c r="E269" s="13"/>
      <c r="F269" s="13"/>
      <c r="G269" s="13"/>
      <c r="H269" s="14"/>
      <c r="I269" s="14"/>
      <c r="J269" s="14"/>
      <c r="K269" s="14"/>
      <c r="L269" s="336"/>
      <c r="M269" s="95" t="e">
        <f t="shared" si="5"/>
        <v>#REF!</v>
      </c>
    </row>
    <row r="270" spans="1:13" hidden="1" x14ac:dyDescent="0.2">
      <c r="A270" s="343"/>
      <c r="B270" s="172" t="e">
        <f>Capacidades!#REF!</f>
        <v>#REF!</v>
      </c>
      <c r="C270" s="171"/>
      <c r="D270" s="13"/>
      <c r="E270" s="13"/>
      <c r="F270" s="13"/>
      <c r="G270" s="13"/>
      <c r="H270" s="14"/>
      <c r="I270" s="14"/>
      <c r="J270" s="14"/>
      <c r="K270" s="14"/>
      <c r="L270" s="336"/>
      <c r="M270" s="95" t="e">
        <f t="shared" si="5"/>
        <v>#REF!</v>
      </c>
    </row>
    <row r="271" spans="1:13" hidden="1" x14ac:dyDescent="0.2">
      <c r="A271" s="344"/>
      <c r="B271" s="172" t="e">
        <f>Capacidades!#REF!</f>
        <v>#REF!</v>
      </c>
      <c r="C271" s="174"/>
      <c r="D271" s="13"/>
      <c r="E271" s="13"/>
      <c r="F271" s="13"/>
      <c r="G271" s="13"/>
      <c r="H271" s="14"/>
      <c r="I271" s="14"/>
      <c r="J271" s="14"/>
      <c r="K271" s="14"/>
      <c r="L271" s="336"/>
      <c r="M271" s="95" t="e">
        <f t="shared" si="5"/>
        <v>#REF!</v>
      </c>
    </row>
    <row r="272" spans="1:13" hidden="1" x14ac:dyDescent="0.2">
      <c r="A272" s="342" t="e">
        <f>Capacidades!#REF!</f>
        <v>#REF!</v>
      </c>
      <c r="B272" s="172" t="e">
        <f>Capacidades!#REF!</f>
        <v>#REF!</v>
      </c>
      <c r="C272" s="171"/>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335"/>
      <c r="M272" s="95" t="e">
        <f t="shared" si="5"/>
        <v>#REF!</v>
      </c>
    </row>
    <row r="273" spans="1:13" hidden="1" x14ac:dyDescent="0.2">
      <c r="A273" s="343"/>
      <c r="B273" s="172" t="e">
        <f>Capacidades!#REF!</f>
        <v>#REF!</v>
      </c>
      <c r="C273" s="171"/>
      <c r="D273" s="13"/>
      <c r="E273" s="13"/>
      <c r="F273" s="13"/>
      <c r="G273" s="13"/>
      <c r="H273" s="14"/>
      <c r="I273" s="14"/>
      <c r="J273" s="14"/>
      <c r="K273" s="14"/>
      <c r="L273" s="336"/>
      <c r="M273" s="95" t="e">
        <f t="shared" si="5"/>
        <v>#REF!</v>
      </c>
    </row>
    <row r="274" spans="1:13" hidden="1" x14ac:dyDescent="0.2">
      <c r="A274" s="343"/>
      <c r="B274" s="172" t="e">
        <f>Capacidades!#REF!</f>
        <v>#REF!</v>
      </c>
      <c r="C274" s="171"/>
      <c r="D274" s="13"/>
      <c r="E274" s="13"/>
      <c r="F274" s="13"/>
      <c r="G274" s="13"/>
      <c r="H274" s="14"/>
      <c r="I274" s="14"/>
      <c r="J274" s="14"/>
      <c r="K274" s="14"/>
      <c r="L274" s="336"/>
      <c r="M274" s="95" t="e">
        <f t="shared" si="5"/>
        <v>#REF!</v>
      </c>
    </row>
    <row r="275" spans="1:13" hidden="1" x14ac:dyDescent="0.2">
      <c r="A275" s="343"/>
      <c r="B275" s="172" t="e">
        <f>Capacidades!#REF!</f>
        <v>#REF!</v>
      </c>
      <c r="C275" s="171"/>
      <c r="D275" s="13"/>
      <c r="E275" s="13"/>
      <c r="F275" s="13"/>
      <c r="G275" s="13"/>
      <c r="H275" s="14"/>
      <c r="I275" s="14"/>
      <c r="J275" s="14"/>
      <c r="K275" s="14"/>
      <c r="L275" s="336"/>
      <c r="M275" s="95" t="e">
        <f t="shared" si="5"/>
        <v>#REF!</v>
      </c>
    </row>
    <row r="276" spans="1:13" hidden="1" x14ac:dyDescent="0.2">
      <c r="A276" s="343"/>
      <c r="B276" s="172" t="e">
        <f>Capacidades!#REF!</f>
        <v>#REF!</v>
      </c>
      <c r="C276" s="171"/>
      <c r="D276" s="13"/>
      <c r="E276" s="13"/>
      <c r="F276" s="13"/>
      <c r="G276" s="13"/>
      <c r="H276" s="14"/>
      <c r="I276" s="14"/>
      <c r="J276" s="14"/>
      <c r="K276" s="14"/>
      <c r="L276" s="336"/>
      <c r="M276" s="95" t="e">
        <f t="shared" si="5"/>
        <v>#REF!</v>
      </c>
    </row>
    <row r="277" spans="1:13" hidden="1" x14ac:dyDescent="0.2">
      <c r="A277" s="343"/>
      <c r="B277" s="172" t="e">
        <f>Capacidades!#REF!</f>
        <v>#REF!</v>
      </c>
      <c r="C277" s="171"/>
      <c r="D277" s="13"/>
      <c r="E277" s="13"/>
      <c r="F277" s="13"/>
      <c r="G277" s="13"/>
      <c r="H277" s="14"/>
      <c r="I277" s="14"/>
      <c r="J277" s="14"/>
      <c r="K277" s="14"/>
      <c r="L277" s="336"/>
      <c r="M277" s="95" t="e">
        <f t="shared" si="5"/>
        <v>#REF!</v>
      </c>
    </row>
    <row r="278" spans="1:13" hidden="1" x14ac:dyDescent="0.2">
      <c r="A278" s="343"/>
      <c r="B278" s="172" t="e">
        <f>Capacidades!#REF!</f>
        <v>#REF!</v>
      </c>
      <c r="C278" s="171"/>
      <c r="D278" s="13"/>
      <c r="E278" s="13"/>
      <c r="F278" s="13"/>
      <c r="G278" s="13"/>
      <c r="H278" s="14"/>
      <c r="I278" s="14"/>
      <c r="J278" s="14"/>
      <c r="K278" s="14"/>
      <c r="L278" s="336"/>
      <c r="M278" s="95" t="e">
        <f t="shared" si="5"/>
        <v>#REF!</v>
      </c>
    </row>
    <row r="279" spans="1:13" hidden="1" x14ac:dyDescent="0.2">
      <c r="A279" s="343"/>
      <c r="B279" s="172" t="e">
        <f>Capacidades!#REF!</f>
        <v>#REF!</v>
      </c>
      <c r="C279" s="171"/>
      <c r="D279" s="13"/>
      <c r="E279" s="13"/>
      <c r="F279" s="13"/>
      <c r="G279" s="13"/>
      <c r="H279" s="14"/>
      <c r="I279" s="14"/>
      <c r="J279" s="14"/>
      <c r="K279" s="14"/>
      <c r="L279" s="336"/>
      <c r="M279" s="95" t="e">
        <f t="shared" si="5"/>
        <v>#REF!</v>
      </c>
    </row>
    <row r="280" spans="1:13" hidden="1" x14ac:dyDescent="0.2">
      <c r="A280" s="343"/>
      <c r="B280" s="172" t="e">
        <f>Capacidades!#REF!</f>
        <v>#REF!</v>
      </c>
      <c r="C280" s="171"/>
      <c r="D280" s="13"/>
      <c r="E280" s="13"/>
      <c r="F280" s="13"/>
      <c r="G280" s="13"/>
      <c r="H280" s="14"/>
      <c r="I280" s="14"/>
      <c r="J280" s="14"/>
      <c r="K280" s="14"/>
      <c r="L280" s="336"/>
      <c r="M280" s="95" t="e">
        <f t="shared" si="5"/>
        <v>#REF!</v>
      </c>
    </row>
    <row r="281" spans="1:13" ht="7.5" hidden="1" customHeight="1" x14ac:dyDescent="0.2">
      <c r="A281" s="344"/>
      <c r="B281" s="172" t="e">
        <f>Capacidades!#REF!</f>
        <v>#REF!</v>
      </c>
      <c r="C281" s="174"/>
      <c r="D281" s="13"/>
      <c r="E281" s="13"/>
      <c r="F281" s="13"/>
      <c r="G281" s="13"/>
      <c r="H281" s="14"/>
      <c r="I281" s="14"/>
      <c r="J281" s="14"/>
      <c r="K281" s="14"/>
      <c r="L281" s="336"/>
      <c r="M281" s="95" t="e">
        <f t="shared" si="5"/>
        <v>#REF!</v>
      </c>
    </row>
    <row r="282" spans="1:13" hidden="1" x14ac:dyDescent="0.2">
      <c r="A282" s="342" t="e">
        <f>Capacidades!#REF!</f>
        <v>#REF!</v>
      </c>
      <c r="B282" s="172" t="e">
        <f>Capacidades!#REF!</f>
        <v>#REF!</v>
      </c>
      <c r="C282" s="171"/>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335"/>
      <c r="M282" s="95" t="e">
        <f t="shared" si="5"/>
        <v>#REF!</v>
      </c>
    </row>
    <row r="283" spans="1:13" hidden="1" x14ac:dyDescent="0.2">
      <c r="A283" s="343"/>
      <c r="B283" s="172" t="e">
        <f>Capacidades!#REF!</f>
        <v>#REF!</v>
      </c>
      <c r="C283" s="171"/>
      <c r="D283" s="13"/>
      <c r="E283" s="13"/>
      <c r="F283" s="13"/>
      <c r="G283" s="13"/>
      <c r="H283" s="14"/>
      <c r="I283" s="14"/>
      <c r="J283" s="14"/>
      <c r="K283" s="14"/>
      <c r="L283" s="336"/>
      <c r="M283" s="95" t="e">
        <f t="shared" si="5"/>
        <v>#REF!</v>
      </c>
    </row>
    <row r="284" spans="1:13" hidden="1" x14ac:dyDescent="0.2">
      <c r="A284" s="343"/>
      <c r="B284" s="172" t="e">
        <f>Capacidades!#REF!</f>
        <v>#REF!</v>
      </c>
      <c r="C284" s="171"/>
      <c r="D284" s="13"/>
      <c r="E284" s="13"/>
      <c r="F284" s="13"/>
      <c r="G284" s="13"/>
      <c r="H284" s="14"/>
      <c r="I284" s="14"/>
      <c r="J284" s="14"/>
      <c r="K284" s="14"/>
      <c r="L284" s="336"/>
      <c r="M284" s="95" t="e">
        <f t="shared" si="5"/>
        <v>#REF!</v>
      </c>
    </row>
    <row r="285" spans="1:13" hidden="1" x14ac:dyDescent="0.2">
      <c r="A285" s="343"/>
      <c r="B285" s="172" t="e">
        <f>Capacidades!#REF!</f>
        <v>#REF!</v>
      </c>
      <c r="C285" s="171"/>
      <c r="D285" s="13"/>
      <c r="E285" s="13"/>
      <c r="F285" s="13"/>
      <c r="G285" s="13"/>
      <c r="H285" s="14"/>
      <c r="I285" s="14"/>
      <c r="J285" s="14"/>
      <c r="K285" s="14"/>
      <c r="L285" s="336"/>
      <c r="M285" s="95" t="e">
        <f t="shared" si="5"/>
        <v>#REF!</v>
      </c>
    </row>
    <row r="286" spans="1:13" hidden="1" x14ac:dyDescent="0.2">
      <c r="A286" s="343"/>
      <c r="B286" s="172" t="e">
        <f>Capacidades!#REF!</f>
        <v>#REF!</v>
      </c>
      <c r="C286" s="171"/>
      <c r="D286" s="13"/>
      <c r="E286" s="13"/>
      <c r="F286" s="13"/>
      <c r="G286" s="13"/>
      <c r="H286" s="14"/>
      <c r="I286" s="14"/>
      <c r="J286" s="14"/>
      <c r="K286" s="14"/>
      <c r="L286" s="336"/>
      <c r="M286" s="95" t="e">
        <f t="shared" si="5"/>
        <v>#REF!</v>
      </c>
    </row>
    <row r="287" spans="1:13" hidden="1" x14ac:dyDescent="0.2">
      <c r="A287" s="343"/>
      <c r="B287" s="172" t="e">
        <f>Capacidades!#REF!</f>
        <v>#REF!</v>
      </c>
      <c r="C287" s="171"/>
      <c r="D287" s="13"/>
      <c r="E287" s="13"/>
      <c r="F287" s="13"/>
      <c r="G287" s="13"/>
      <c r="H287" s="14"/>
      <c r="I287" s="14"/>
      <c r="J287" s="14"/>
      <c r="K287" s="14"/>
      <c r="L287" s="336"/>
      <c r="M287" s="95" t="e">
        <f t="shared" ref="M287:M321" si="6">B287</f>
        <v>#REF!</v>
      </c>
    </row>
    <row r="288" spans="1:13" hidden="1" x14ac:dyDescent="0.2">
      <c r="A288" s="343"/>
      <c r="B288" s="172" t="e">
        <f>Capacidades!#REF!</f>
        <v>#REF!</v>
      </c>
      <c r="C288" s="171"/>
      <c r="D288" s="13"/>
      <c r="E288" s="13"/>
      <c r="F288" s="13"/>
      <c r="G288" s="13"/>
      <c r="H288" s="14"/>
      <c r="I288" s="14"/>
      <c r="J288" s="14"/>
      <c r="K288" s="14"/>
      <c r="L288" s="336"/>
      <c r="M288" s="95" t="e">
        <f t="shared" si="6"/>
        <v>#REF!</v>
      </c>
    </row>
    <row r="289" spans="1:13" hidden="1" x14ac:dyDescent="0.2">
      <c r="A289" s="343"/>
      <c r="B289" s="172" t="e">
        <f>Capacidades!#REF!</f>
        <v>#REF!</v>
      </c>
      <c r="C289" s="171"/>
      <c r="D289" s="13"/>
      <c r="E289" s="13"/>
      <c r="F289" s="13"/>
      <c r="G289" s="13"/>
      <c r="H289" s="14"/>
      <c r="I289" s="14"/>
      <c r="J289" s="14"/>
      <c r="K289" s="14"/>
      <c r="L289" s="336"/>
      <c r="M289" s="95" t="e">
        <f t="shared" si="6"/>
        <v>#REF!</v>
      </c>
    </row>
    <row r="290" spans="1:13" hidden="1" x14ac:dyDescent="0.2">
      <c r="A290" s="343"/>
      <c r="B290" s="172" t="e">
        <f>Capacidades!#REF!</f>
        <v>#REF!</v>
      </c>
      <c r="C290" s="171"/>
      <c r="D290" s="13"/>
      <c r="E290" s="13"/>
      <c r="F290" s="13"/>
      <c r="G290" s="13"/>
      <c r="H290" s="14"/>
      <c r="I290" s="14"/>
      <c r="J290" s="14"/>
      <c r="K290" s="14"/>
      <c r="L290" s="336"/>
      <c r="M290" s="95" t="e">
        <f t="shared" si="6"/>
        <v>#REF!</v>
      </c>
    </row>
    <row r="291" spans="1:13" hidden="1" x14ac:dyDescent="0.2">
      <c r="A291" s="344"/>
      <c r="B291" s="172" t="e">
        <f>Capacidades!#REF!</f>
        <v>#REF!</v>
      </c>
      <c r="C291" s="174"/>
      <c r="D291" s="13"/>
      <c r="E291" s="13"/>
      <c r="F291" s="13"/>
      <c r="G291" s="13"/>
      <c r="H291" s="14"/>
      <c r="I291" s="14"/>
      <c r="J291" s="14"/>
      <c r="K291" s="14"/>
      <c r="L291" s="336"/>
      <c r="M291" s="95" t="e">
        <f t="shared" si="6"/>
        <v>#REF!</v>
      </c>
    </row>
    <row r="292" spans="1:13" hidden="1" x14ac:dyDescent="0.2">
      <c r="A292" s="342" t="e">
        <f>Capacidades!#REF!</f>
        <v>#REF!</v>
      </c>
      <c r="B292" s="172" t="e">
        <f>Capacidades!#REF!</f>
        <v>#REF!</v>
      </c>
      <c r="C292" s="171"/>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335"/>
      <c r="M292" s="95" t="e">
        <f t="shared" si="6"/>
        <v>#REF!</v>
      </c>
    </row>
    <row r="293" spans="1:13" hidden="1" x14ac:dyDescent="0.2">
      <c r="A293" s="343"/>
      <c r="B293" s="172" t="e">
        <f>Capacidades!#REF!</f>
        <v>#REF!</v>
      </c>
      <c r="C293" s="171"/>
      <c r="D293" s="13"/>
      <c r="E293" s="13"/>
      <c r="F293" s="13"/>
      <c r="G293" s="13"/>
      <c r="H293" s="14"/>
      <c r="I293" s="14"/>
      <c r="J293" s="14"/>
      <c r="K293" s="14"/>
      <c r="L293" s="336"/>
      <c r="M293" s="95" t="e">
        <f t="shared" si="6"/>
        <v>#REF!</v>
      </c>
    </row>
    <row r="294" spans="1:13" hidden="1" x14ac:dyDescent="0.2">
      <c r="A294" s="343"/>
      <c r="B294" s="172" t="e">
        <f>Capacidades!#REF!</f>
        <v>#REF!</v>
      </c>
      <c r="C294" s="171"/>
      <c r="D294" s="13"/>
      <c r="E294" s="13"/>
      <c r="F294" s="13"/>
      <c r="G294" s="13"/>
      <c r="H294" s="14"/>
      <c r="I294" s="14"/>
      <c r="J294" s="14"/>
      <c r="K294" s="14"/>
      <c r="L294" s="336"/>
      <c r="M294" s="95" t="e">
        <f t="shared" si="6"/>
        <v>#REF!</v>
      </c>
    </row>
    <row r="295" spans="1:13" hidden="1" x14ac:dyDescent="0.2">
      <c r="A295" s="343"/>
      <c r="B295" s="172" t="e">
        <f>Capacidades!#REF!</f>
        <v>#REF!</v>
      </c>
      <c r="C295" s="171"/>
      <c r="D295" s="13"/>
      <c r="E295" s="13"/>
      <c r="F295" s="13"/>
      <c r="G295" s="13"/>
      <c r="H295" s="14"/>
      <c r="I295" s="14"/>
      <c r="J295" s="14"/>
      <c r="K295" s="14"/>
      <c r="L295" s="336"/>
      <c r="M295" s="95" t="e">
        <f t="shared" si="6"/>
        <v>#REF!</v>
      </c>
    </row>
    <row r="296" spans="1:13" hidden="1" x14ac:dyDescent="0.2">
      <c r="A296" s="343"/>
      <c r="B296" s="172" t="e">
        <f>Capacidades!#REF!</f>
        <v>#REF!</v>
      </c>
      <c r="C296" s="171"/>
      <c r="D296" s="13"/>
      <c r="E296" s="13"/>
      <c r="F296" s="13"/>
      <c r="G296" s="13"/>
      <c r="H296" s="14"/>
      <c r="I296" s="14"/>
      <c r="J296" s="14"/>
      <c r="K296" s="14"/>
      <c r="L296" s="336"/>
      <c r="M296" s="95" t="e">
        <f t="shared" si="6"/>
        <v>#REF!</v>
      </c>
    </row>
    <row r="297" spans="1:13" hidden="1" x14ac:dyDescent="0.2">
      <c r="A297" s="343"/>
      <c r="B297" s="172" t="e">
        <f>Capacidades!#REF!</f>
        <v>#REF!</v>
      </c>
      <c r="C297" s="171"/>
      <c r="D297" s="13"/>
      <c r="E297" s="13"/>
      <c r="F297" s="13"/>
      <c r="G297" s="13"/>
      <c r="H297" s="14"/>
      <c r="I297" s="14"/>
      <c r="J297" s="14"/>
      <c r="K297" s="14"/>
      <c r="L297" s="336"/>
      <c r="M297" s="95" t="e">
        <f t="shared" si="6"/>
        <v>#REF!</v>
      </c>
    </row>
    <row r="298" spans="1:13" hidden="1" x14ac:dyDescent="0.2">
      <c r="A298" s="343"/>
      <c r="B298" s="172" t="e">
        <f>Capacidades!#REF!</f>
        <v>#REF!</v>
      </c>
      <c r="C298" s="171"/>
      <c r="D298" s="13"/>
      <c r="E298" s="13"/>
      <c r="F298" s="13"/>
      <c r="G298" s="13"/>
      <c r="H298" s="14"/>
      <c r="I298" s="14"/>
      <c r="J298" s="14"/>
      <c r="K298" s="14"/>
      <c r="L298" s="336"/>
      <c r="M298" s="95" t="e">
        <f t="shared" si="6"/>
        <v>#REF!</v>
      </c>
    </row>
    <row r="299" spans="1:13" hidden="1" x14ac:dyDescent="0.2">
      <c r="A299" s="343"/>
      <c r="B299" s="172" t="e">
        <f>Capacidades!#REF!</f>
        <v>#REF!</v>
      </c>
      <c r="C299" s="171"/>
      <c r="D299" s="13"/>
      <c r="E299" s="13"/>
      <c r="F299" s="13"/>
      <c r="G299" s="13"/>
      <c r="H299" s="14"/>
      <c r="I299" s="14"/>
      <c r="J299" s="14"/>
      <c r="K299" s="14"/>
      <c r="L299" s="336"/>
      <c r="M299" s="95" t="e">
        <f t="shared" si="6"/>
        <v>#REF!</v>
      </c>
    </row>
    <row r="300" spans="1:13" hidden="1" x14ac:dyDescent="0.2">
      <c r="A300" s="343"/>
      <c r="B300" s="172" t="e">
        <f>Capacidades!#REF!</f>
        <v>#REF!</v>
      </c>
      <c r="C300" s="171"/>
      <c r="D300" s="13"/>
      <c r="E300" s="13"/>
      <c r="F300" s="13"/>
      <c r="G300" s="13"/>
      <c r="H300" s="14"/>
      <c r="I300" s="14"/>
      <c r="J300" s="14"/>
      <c r="K300" s="14"/>
      <c r="L300" s="336"/>
      <c r="M300" s="95" t="e">
        <f t="shared" si="6"/>
        <v>#REF!</v>
      </c>
    </row>
    <row r="301" spans="1:13" hidden="1" x14ac:dyDescent="0.2">
      <c r="A301" s="344"/>
      <c r="B301" s="172" t="e">
        <f>Capacidades!#REF!</f>
        <v>#REF!</v>
      </c>
      <c r="C301" s="174"/>
      <c r="D301" s="13"/>
      <c r="E301" s="13"/>
      <c r="F301" s="13"/>
      <c r="G301" s="13"/>
      <c r="H301" s="14"/>
      <c r="I301" s="14"/>
      <c r="J301" s="14"/>
      <c r="K301" s="14"/>
      <c r="L301" s="336"/>
      <c r="M301" s="95" t="e">
        <f t="shared" si="6"/>
        <v>#REF!</v>
      </c>
    </row>
    <row r="302" spans="1:13" hidden="1" x14ac:dyDescent="0.2">
      <c r="A302" s="342" t="e">
        <f>Capacidades!#REF!</f>
        <v>#REF!</v>
      </c>
      <c r="B302" s="172" t="e">
        <f>Capacidades!#REF!</f>
        <v>#REF!</v>
      </c>
      <c r="C302" s="171"/>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335"/>
      <c r="M302" s="95" t="e">
        <f t="shared" si="6"/>
        <v>#REF!</v>
      </c>
    </row>
    <row r="303" spans="1:13" hidden="1" x14ac:dyDescent="0.2">
      <c r="A303" s="343"/>
      <c r="B303" s="172" t="e">
        <f>Capacidades!#REF!</f>
        <v>#REF!</v>
      </c>
      <c r="C303" s="171"/>
      <c r="D303" s="13"/>
      <c r="E303" s="13"/>
      <c r="F303" s="13"/>
      <c r="G303" s="13"/>
      <c r="H303" s="14"/>
      <c r="I303" s="14"/>
      <c r="J303" s="14"/>
      <c r="K303" s="14"/>
      <c r="L303" s="336"/>
      <c r="M303" s="95" t="e">
        <f t="shared" si="6"/>
        <v>#REF!</v>
      </c>
    </row>
    <row r="304" spans="1:13" hidden="1" x14ac:dyDescent="0.2">
      <c r="A304" s="343"/>
      <c r="B304" s="172" t="e">
        <f>Capacidades!#REF!</f>
        <v>#REF!</v>
      </c>
      <c r="C304" s="171"/>
      <c r="D304" s="13"/>
      <c r="E304" s="13"/>
      <c r="F304" s="13"/>
      <c r="G304" s="13"/>
      <c r="H304" s="14"/>
      <c r="I304" s="14"/>
      <c r="J304" s="14"/>
      <c r="K304" s="14"/>
      <c r="L304" s="336"/>
      <c r="M304" s="95" t="e">
        <f t="shared" si="6"/>
        <v>#REF!</v>
      </c>
    </row>
    <row r="305" spans="1:13" hidden="1" x14ac:dyDescent="0.2">
      <c r="A305" s="343"/>
      <c r="B305" s="172" t="e">
        <f>Capacidades!#REF!</f>
        <v>#REF!</v>
      </c>
      <c r="C305" s="171"/>
      <c r="D305" s="13"/>
      <c r="E305" s="13"/>
      <c r="F305" s="13"/>
      <c r="G305" s="13"/>
      <c r="H305" s="14"/>
      <c r="I305" s="14"/>
      <c r="J305" s="14"/>
      <c r="K305" s="14"/>
      <c r="L305" s="336"/>
      <c r="M305" s="95" t="e">
        <f t="shared" si="6"/>
        <v>#REF!</v>
      </c>
    </row>
    <row r="306" spans="1:13" hidden="1" x14ac:dyDescent="0.2">
      <c r="A306" s="343"/>
      <c r="B306" s="172" t="e">
        <f>Capacidades!#REF!</f>
        <v>#REF!</v>
      </c>
      <c r="C306" s="171"/>
      <c r="D306" s="13"/>
      <c r="E306" s="13"/>
      <c r="F306" s="13"/>
      <c r="G306" s="13"/>
      <c r="H306" s="14"/>
      <c r="I306" s="14"/>
      <c r="J306" s="14"/>
      <c r="K306" s="14"/>
      <c r="L306" s="336"/>
      <c r="M306" s="95" t="e">
        <f t="shared" si="6"/>
        <v>#REF!</v>
      </c>
    </row>
    <row r="307" spans="1:13" hidden="1" x14ac:dyDescent="0.2">
      <c r="A307" s="343"/>
      <c r="B307" s="172" t="e">
        <f>Capacidades!#REF!</f>
        <v>#REF!</v>
      </c>
      <c r="C307" s="171"/>
      <c r="D307" s="13"/>
      <c r="E307" s="13"/>
      <c r="F307" s="13"/>
      <c r="G307" s="13"/>
      <c r="H307" s="14"/>
      <c r="I307" s="14"/>
      <c r="J307" s="14"/>
      <c r="K307" s="14"/>
      <c r="L307" s="336"/>
      <c r="M307" s="95" t="e">
        <f t="shared" si="6"/>
        <v>#REF!</v>
      </c>
    </row>
    <row r="308" spans="1:13" hidden="1" x14ac:dyDescent="0.2">
      <c r="A308" s="343"/>
      <c r="B308" s="172" t="e">
        <f>Capacidades!#REF!</f>
        <v>#REF!</v>
      </c>
      <c r="C308" s="171"/>
      <c r="D308" s="13"/>
      <c r="E308" s="13"/>
      <c r="F308" s="13"/>
      <c r="G308" s="13"/>
      <c r="H308" s="14"/>
      <c r="I308" s="14"/>
      <c r="J308" s="14"/>
      <c r="K308" s="14"/>
      <c r="L308" s="336"/>
      <c r="M308" s="95" t="e">
        <f t="shared" si="6"/>
        <v>#REF!</v>
      </c>
    </row>
    <row r="309" spans="1:13" hidden="1" x14ac:dyDescent="0.2">
      <c r="A309" s="343"/>
      <c r="B309" s="172" t="e">
        <f>Capacidades!#REF!</f>
        <v>#REF!</v>
      </c>
      <c r="C309" s="171"/>
      <c r="D309" s="13"/>
      <c r="E309" s="13"/>
      <c r="F309" s="13"/>
      <c r="G309" s="13"/>
      <c r="H309" s="14"/>
      <c r="I309" s="14"/>
      <c r="J309" s="14"/>
      <c r="K309" s="14"/>
      <c r="L309" s="336"/>
      <c r="M309" s="95" t="e">
        <f t="shared" si="6"/>
        <v>#REF!</v>
      </c>
    </row>
    <row r="310" spans="1:13" hidden="1" x14ac:dyDescent="0.2">
      <c r="A310" s="343"/>
      <c r="B310" s="172" t="e">
        <f>Capacidades!#REF!</f>
        <v>#REF!</v>
      </c>
      <c r="C310" s="171"/>
      <c r="D310" s="13"/>
      <c r="E310" s="13"/>
      <c r="F310" s="13"/>
      <c r="G310" s="13"/>
      <c r="H310" s="14"/>
      <c r="I310" s="14"/>
      <c r="J310" s="14"/>
      <c r="K310" s="14"/>
      <c r="L310" s="336"/>
      <c r="M310" s="95" t="e">
        <f t="shared" si="6"/>
        <v>#REF!</v>
      </c>
    </row>
    <row r="311" spans="1:13" hidden="1" x14ac:dyDescent="0.2">
      <c r="A311" s="344"/>
      <c r="B311" s="172" t="e">
        <f>Capacidades!#REF!</f>
        <v>#REF!</v>
      </c>
      <c r="C311" s="174"/>
      <c r="D311" s="13"/>
      <c r="E311" s="13"/>
      <c r="F311" s="13"/>
      <c r="G311" s="13"/>
      <c r="H311" s="14"/>
      <c r="I311" s="14"/>
      <c r="J311" s="14"/>
      <c r="K311" s="14"/>
      <c r="L311" s="336"/>
      <c r="M311" s="95" t="e">
        <f t="shared" si="6"/>
        <v>#REF!</v>
      </c>
    </row>
    <row r="312" spans="1:13" hidden="1" x14ac:dyDescent="0.2">
      <c r="A312" s="342" t="e">
        <f>Capacidades!#REF!</f>
        <v>#REF!</v>
      </c>
      <c r="B312" s="172" t="e">
        <f>Capacidades!#REF!</f>
        <v>#REF!</v>
      </c>
      <c r="C312" s="171"/>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335"/>
      <c r="M312" s="95" t="e">
        <f t="shared" si="6"/>
        <v>#REF!</v>
      </c>
    </row>
    <row r="313" spans="1:13" hidden="1" x14ac:dyDescent="0.2">
      <c r="A313" s="343"/>
      <c r="B313" s="172" t="e">
        <f>Capacidades!#REF!</f>
        <v>#REF!</v>
      </c>
      <c r="C313" s="171"/>
      <c r="D313" s="13"/>
      <c r="E313" s="13"/>
      <c r="F313" s="14"/>
      <c r="G313" s="14"/>
      <c r="H313" s="14"/>
      <c r="I313" s="14"/>
      <c r="J313" s="14"/>
      <c r="K313" s="14"/>
      <c r="L313" s="336"/>
      <c r="M313" s="95" t="e">
        <f t="shared" si="6"/>
        <v>#REF!</v>
      </c>
    </row>
    <row r="314" spans="1:13" hidden="1" x14ac:dyDescent="0.2">
      <c r="A314" s="343"/>
      <c r="B314" s="172" t="e">
        <f>Capacidades!#REF!</f>
        <v>#REF!</v>
      </c>
      <c r="C314" s="171"/>
      <c r="D314" s="13"/>
      <c r="E314" s="13"/>
      <c r="F314" s="14"/>
      <c r="G314" s="14"/>
      <c r="H314" s="14"/>
      <c r="I314" s="14"/>
      <c r="J314" s="14"/>
      <c r="K314" s="14"/>
      <c r="L314" s="336"/>
      <c r="M314" s="95" t="e">
        <f t="shared" si="6"/>
        <v>#REF!</v>
      </c>
    </row>
    <row r="315" spans="1:13" hidden="1" x14ac:dyDescent="0.2">
      <c r="A315" s="343"/>
      <c r="B315" s="172" t="e">
        <f>Capacidades!#REF!</f>
        <v>#REF!</v>
      </c>
      <c r="C315" s="171"/>
      <c r="D315" s="13"/>
      <c r="E315" s="13"/>
      <c r="F315" s="14"/>
      <c r="G315" s="14"/>
      <c r="H315" s="14"/>
      <c r="I315" s="14"/>
      <c r="J315" s="14"/>
      <c r="K315" s="14"/>
      <c r="L315" s="336"/>
      <c r="M315" s="95" t="e">
        <f t="shared" si="6"/>
        <v>#REF!</v>
      </c>
    </row>
    <row r="316" spans="1:13" hidden="1" x14ac:dyDescent="0.2">
      <c r="A316" s="343"/>
      <c r="B316" s="172" t="e">
        <f>Capacidades!#REF!</f>
        <v>#REF!</v>
      </c>
      <c r="C316" s="171"/>
      <c r="D316" s="13"/>
      <c r="E316" s="13"/>
      <c r="F316" s="13"/>
      <c r="G316" s="13"/>
      <c r="H316" s="14"/>
      <c r="I316" s="14"/>
      <c r="J316" s="14"/>
      <c r="K316" s="14"/>
      <c r="L316" s="336"/>
      <c r="M316" s="95" t="e">
        <f t="shared" si="6"/>
        <v>#REF!</v>
      </c>
    </row>
    <row r="317" spans="1:13" hidden="1" x14ac:dyDescent="0.2">
      <c r="A317" s="343"/>
      <c r="B317" s="172" t="e">
        <f>Capacidades!#REF!</f>
        <v>#REF!</v>
      </c>
      <c r="C317" s="171"/>
      <c r="D317" s="13"/>
      <c r="E317" s="13"/>
      <c r="F317" s="13"/>
      <c r="G317" s="13"/>
      <c r="H317" s="14"/>
      <c r="I317" s="14"/>
      <c r="J317" s="14"/>
      <c r="K317" s="14"/>
      <c r="L317" s="336"/>
      <c r="M317" s="95" t="e">
        <f t="shared" si="6"/>
        <v>#REF!</v>
      </c>
    </row>
    <row r="318" spans="1:13" hidden="1" x14ac:dyDescent="0.2">
      <c r="A318" s="343"/>
      <c r="B318" s="172" t="e">
        <f>Capacidades!#REF!</f>
        <v>#REF!</v>
      </c>
      <c r="C318" s="171"/>
      <c r="D318" s="13"/>
      <c r="E318" s="13"/>
      <c r="F318" s="13"/>
      <c r="G318" s="13"/>
      <c r="H318" s="14"/>
      <c r="I318" s="14"/>
      <c r="J318" s="14"/>
      <c r="K318" s="14"/>
      <c r="L318" s="336"/>
      <c r="M318" s="95" t="e">
        <f t="shared" si="6"/>
        <v>#REF!</v>
      </c>
    </row>
    <row r="319" spans="1:13" hidden="1" x14ac:dyDescent="0.2">
      <c r="A319" s="343"/>
      <c r="B319" s="172" t="e">
        <f>Capacidades!#REF!</f>
        <v>#REF!</v>
      </c>
      <c r="C319" s="171"/>
      <c r="D319" s="13"/>
      <c r="E319" s="13"/>
      <c r="F319" s="13"/>
      <c r="G319" s="13"/>
      <c r="H319" s="14"/>
      <c r="I319" s="14"/>
      <c r="J319" s="14"/>
      <c r="K319" s="14"/>
      <c r="L319" s="336"/>
      <c r="M319" s="95" t="e">
        <f t="shared" si="6"/>
        <v>#REF!</v>
      </c>
    </row>
    <row r="320" spans="1:13" hidden="1" x14ac:dyDescent="0.2">
      <c r="A320" s="343"/>
      <c r="B320" s="172" t="e">
        <f>Capacidades!#REF!</f>
        <v>#REF!</v>
      </c>
      <c r="C320" s="171"/>
      <c r="D320" s="13"/>
      <c r="E320" s="13"/>
      <c r="F320" s="14"/>
      <c r="G320" s="14"/>
      <c r="H320" s="14"/>
      <c r="I320" s="14"/>
      <c r="J320" s="14"/>
      <c r="K320" s="14"/>
      <c r="L320" s="336"/>
      <c r="M320" s="95" t="e">
        <f t="shared" si="6"/>
        <v>#REF!</v>
      </c>
    </row>
    <row r="321" spans="1:13" hidden="1" x14ac:dyDescent="0.2">
      <c r="A321" s="344"/>
      <c r="B321" s="172" t="e">
        <f>Capacidades!#REF!</f>
        <v>#REF!</v>
      </c>
      <c r="C321" s="174"/>
      <c r="D321" s="13"/>
      <c r="E321" s="13"/>
      <c r="F321" s="14"/>
      <c r="G321" s="14"/>
      <c r="H321" s="14"/>
      <c r="I321" s="14"/>
      <c r="J321" s="14"/>
      <c r="K321" s="14"/>
      <c r="L321" s="336"/>
      <c r="M321" s="95" t="e">
        <f t="shared" si="6"/>
        <v>#REF!</v>
      </c>
    </row>
    <row r="322" spans="1:13" ht="15.75" x14ac:dyDescent="0.2">
      <c r="A322" s="380" t="s">
        <v>106</v>
      </c>
      <c r="B322" s="380"/>
      <c r="C322" s="380"/>
      <c r="D322" s="380"/>
      <c r="E322" s="380"/>
      <c r="F322" s="380"/>
      <c r="G322" s="380"/>
      <c r="H322" s="380"/>
      <c r="I322" s="380"/>
      <c r="J322" s="380"/>
      <c r="K322" s="380"/>
      <c r="L322" s="380"/>
      <c r="M322" s="95" t="str">
        <f>A322</f>
        <v xml:space="preserve">COMPETENCIAS PARA LA EMPLEABILIDAD INCORPORADAS COMO CONTENIDO  TRANSVERSAL </v>
      </c>
    </row>
    <row r="323" spans="1:13" ht="24" customHeight="1" x14ac:dyDescent="0.2">
      <c r="A323" s="353" t="str">
        <f>'M3'!A323:L323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24" customHeight="1" x14ac:dyDescent="0.2">
      <c r="A324" s="353" t="str">
        <f>'M3'!A324:L324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18.75" customHeight="1" x14ac:dyDescent="0.2">
      <c r="A325" s="353">
        <f>'M3'!A325:L325</f>
        <v>0</v>
      </c>
      <c r="B325" s="353"/>
      <c r="C325" s="353"/>
      <c r="D325" s="353"/>
      <c r="E325" s="353"/>
      <c r="F325" s="353"/>
      <c r="G325" s="353"/>
      <c r="H325" s="353"/>
      <c r="I325" s="353"/>
      <c r="J325" s="353"/>
      <c r="K325" s="353"/>
      <c r="L325" s="353"/>
      <c r="M325" s="95">
        <f t="shared" si="7"/>
        <v>0</v>
      </c>
    </row>
    <row r="326" spans="1:13" ht="25.5" customHeight="1" x14ac:dyDescent="0.2">
      <c r="A326" s="349" t="s">
        <v>92</v>
      </c>
      <c r="B326" s="349"/>
      <c r="C326" s="349" t="s">
        <v>91</v>
      </c>
      <c r="D326" s="349"/>
      <c r="E326" s="349"/>
      <c r="F326" s="349"/>
      <c r="G326" s="349"/>
      <c r="H326" s="349"/>
      <c r="I326" s="349"/>
      <c r="J326" s="349"/>
      <c r="K326" s="349"/>
      <c r="L326" s="349"/>
      <c r="M326" s="95" t="str">
        <f t="shared" si="7"/>
        <v>CAPACIDADES A FORTALECER</v>
      </c>
    </row>
    <row r="327" spans="1:13" ht="28.5" customHeight="1" x14ac:dyDescent="0.2">
      <c r="A327" s="353" t="str">
        <f ca="1">OFFSET($A$9,(ROW()-326)*10-1,0)</f>
        <v xml:space="preserve">UC 4 C1 Instalar las redes y servicios de comunicaciones efectuando las pruebas y certificaciones,  de 
acuerdo con las necesidades del negocio, estándares internacionales de TI y políticas de seguridad de la organización.    </v>
      </c>
      <c r="B327" s="353"/>
      <c r="C327" s="365" t="str">
        <f>'M3'!C327:L356</f>
        <v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v>
      </c>
      <c r="D327" s="366"/>
      <c r="E327" s="366"/>
      <c r="F327" s="366"/>
      <c r="G327" s="366"/>
      <c r="H327" s="366"/>
      <c r="I327" s="366"/>
      <c r="J327" s="366"/>
      <c r="K327" s="366"/>
      <c r="L327" s="367"/>
      <c r="M327" s="95" t="str">
        <f t="shared" ca="1" si="7"/>
        <v xml:space="preserve">UC 4 C1 Instalar las redes y servicios de comunicaciones efectuando las pruebas y certificaciones,  de 
acuerdo con las necesidades del negocio, estándares internacionales de TI y políticas de seguridad de la organización.    </v>
      </c>
    </row>
    <row r="328" spans="1:13" ht="51" customHeight="1" x14ac:dyDescent="0.2">
      <c r="A328" s="353" t="str">
        <f t="shared" ref="A328:A346" ca="1" si="8">OFFSET($A$9,(ROW()-326)*10-1,0)</f>
        <v xml:space="preserve">UC4 C2 Ejecutar la configuración de la infraestructura de redes y telecomunicaciones de la empresa  de acuerdo con la arquitectura e infraestructura  de sistemas, requerimientos del negocio, estándares internacionales de TI y políticas de seguridad de la organización.    </v>
      </c>
      <c r="B328" s="353"/>
      <c r="C328" s="368"/>
      <c r="D328" s="369"/>
      <c r="E328" s="369"/>
      <c r="F328" s="369"/>
      <c r="G328" s="369"/>
      <c r="H328" s="369"/>
      <c r="I328" s="369"/>
      <c r="J328" s="369"/>
      <c r="K328" s="369"/>
      <c r="L328" s="370"/>
      <c r="M328" s="95" t="str">
        <f t="shared" ca="1" si="7"/>
        <v xml:space="preserve">UC4 C2 Ejecutar la configuración de la infraestructura de redes y telecomunicaciones de la empresa  de acuerdo con la arquitectura e infraestructura  de sistemas, requerimientos del negocio, estándares internacionales de TI y políticas de seguridad de la organización.    </v>
      </c>
    </row>
    <row r="329" spans="1:13" ht="67.5" customHeight="1" x14ac:dyDescent="0.2">
      <c r="A329" s="353" t="str">
        <f t="shared" ca="1" si="8"/>
        <v xml:space="preserve">UC4 C3 Realizar  el mantenimiento preventivo y correctivo de las redes y comunicaciones de la organización  de acuerdo con buenas prácticas de gestión de redes, recomendaciones del fabricantes, proveedores de servicios, capacity planning y gestión de riesgos.    </v>
      </c>
      <c r="B329" s="353"/>
      <c r="C329" s="368"/>
      <c r="D329" s="369"/>
      <c r="E329" s="369"/>
      <c r="F329" s="369"/>
      <c r="G329" s="369"/>
      <c r="H329" s="369"/>
      <c r="I329" s="369"/>
      <c r="J329" s="369"/>
      <c r="K329" s="369"/>
      <c r="L329" s="370"/>
      <c r="M329" s="95" t="str">
        <f t="shared" ca="1" si="7"/>
        <v xml:space="preserve">UC4 C3 Realizar  el mantenimiento preventivo y correctivo de las redes y comunicaciones de la organización  de acuerdo con buenas prácticas de gestión de redes, recomendaciones del fabricantes, proveedores de servicios, capacity planning y gestión de riesgos.    </v>
      </c>
    </row>
    <row r="330" spans="1:13" ht="58.5" customHeight="1" x14ac:dyDescent="0.2">
      <c r="A330" s="353" t="str">
        <f t="shared" ca="1" si="8"/>
        <v xml:space="preserve">UC4 C4 Reportar las acciones ejecutadas y las observaciones detectadas en el proceso de mantemiento de la infrestructura de red y comunicaciones,  de acuerdo con el plan de actividades programadas, el historial de mantenimiento, gestión de riesgos y políticas de seguridad de la organización.    </v>
      </c>
      <c r="B330" s="353"/>
      <c r="C330" s="368"/>
      <c r="D330" s="369"/>
      <c r="E330" s="369"/>
      <c r="F330" s="369"/>
      <c r="G330" s="369"/>
      <c r="H330" s="369"/>
      <c r="I330" s="369"/>
      <c r="J330" s="369"/>
      <c r="K330" s="369"/>
      <c r="L330" s="370"/>
      <c r="M330" s="95" t="str">
        <f t="shared" ca="1" si="7"/>
        <v xml:space="preserve">UC4 C4 Reportar las acciones ejecutadas y las observaciones detectadas en el proceso de mantemiento de la infrestructura de red y comunicaciones,  de acuerdo con el plan de actividades programadas, el historial de mantenimiento, gestión de riesgos y políticas de seguridad de la organización.    </v>
      </c>
    </row>
    <row r="331" spans="1:13" ht="18.75" customHeight="1" x14ac:dyDescent="0.2">
      <c r="A331" s="353" t="str">
        <f t="shared" ca="1" si="8"/>
        <v xml:space="preserve">       </v>
      </c>
      <c r="B331" s="353"/>
      <c r="C331" s="368"/>
      <c r="D331" s="369"/>
      <c r="E331" s="369"/>
      <c r="F331" s="369"/>
      <c r="G331" s="369"/>
      <c r="H331" s="369"/>
      <c r="I331" s="369"/>
      <c r="J331" s="369"/>
      <c r="K331" s="369"/>
      <c r="L331" s="370"/>
      <c r="M331" s="95" t="str">
        <f t="shared" ca="1" si="7"/>
        <v xml:space="preserve">       </v>
      </c>
    </row>
    <row r="332" spans="1:13" ht="23.25" hidden="1" customHeight="1" x14ac:dyDescent="0.2">
      <c r="A332" s="353" t="str">
        <f t="shared" ca="1" si="8"/>
        <v xml:space="preserve">       </v>
      </c>
      <c r="B332" s="353"/>
      <c r="C332" s="368"/>
      <c r="D332" s="369"/>
      <c r="E332" s="369"/>
      <c r="F332" s="369"/>
      <c r="G332" s="369"/>
      <c r="H332" s="369"/>
      <c r="I332" s="369"/>
      <c r="J332" s="369"/>
      <c r="K332" s="369"/>
      <c r="L332" s="370"/>
      <c r="M332" s="95" t="str">
        <f t="shared" ca="1" si="7"/>
        <v xml:space="preserve">       </v>
      </c>
    </row>
    <row r="333" spans="1:13" ht="18" hidden="1" customHeight="1" x14ac:dyDescent="0.2">
      <c r="A333" s="353" t="str">
        <f t="shared" ca="1" si="8"/>
        <v xml:space="preserve">       </v>
      </c>
      <c r="B333" s="353"/>
      <c r="C333" s="368"/>
      <c r="D333" s="369"/>
      <c r="E333" s="369"/>
      <c r="F333" s="369"/>
      <c r="G333" s="369"/>
      <c r="H333" s="369"/>
      <c r="I333" s="369"/>
      <c r="J333" s="369"/>
      <c r="K333" s="369"/>
      <c r="L333" s="370"/>
      <c r="M333" s="95" t="str">
        <f t="shared" ca="1" si="7"/>
        <v xml:space="preserve">       </v>
      </c>
    </row>
    <row r="334" spans="1:13" ht="15.75" hidden="1" customHeight="1" x14ac:dyDescent="0.2">
      <c r="A334" s="353" t="str">
        <f t="shared" ca="1" si="8"/>
        <v xml:space="preserve">       </v>
      </c>
      <c r="B334" s="353"/>
      <c r="C334" s="368"/>
      <c r="D334" s="369"/>
      <c r="E334" s="369"/>
      <c r="F334" s="369"/>
      <c r="G334" s="369"/>
      <c r="H334" s="369"/>
      <c r="I334" s="369"/>
      <c r="J334" s="369"/>
      <c r="K334" s="369"/>
      <c r="L334" s="370"/>
      <c r="M334" s="95" t="str">
        <f t="shared" ca="1" si="7"/>
        <v xml:space="preserve">       </v>
      </c>
    </row>
    <row r="335" spans="1:13" ht="18" hidden="1" customHeight="1" x14ac:dyDescent="0.2">
      <c r="A335" s="353" t="str">
        <f t="shared" ca="1" si="8"/>
        <v xml:space="preserve">       </v>
      </c>
      <c r="B335" s="353"/>
      <c r="C335" s="368"/>
      <c r="D335" s="369"/>
      <c r="E335" s="369"/>
      <c r="F335" s="369"/>
      <c r="G335" s="369"/>
      <c r="H335" s="369"/>
      <c r="I335" s="369"/>
      <c r="J335" s="369"/>
      <c r="K335" s="369"/>
      <c r="L335" s="370"/>
      <c r="M335" s="95" t="str">
        <f t="shared" ca="1" si="7"/>
        <v xml:space="preserve">       </v>
      </c>
    </row>
    <row r="336" spans="1:13" ht="19.5" hidden="1" customHeight="1" x14ac:dyDescent="0.2">
      <c r="A336" s="353" t="str">
        <f t="shared" ca="1" si="8"/>
        <v xml:space="preserve">       </v>
      </c>
      <c r="B336" s="353"/>
      <c r="C336" s="368"/>
      <c r="D336" s="369"/>
      <c r="E336" s="369"/>
      <c r="F336" s="369"/>
      <c r="G336" s="369"/>
      <c r="H336" s="369"/>
      <c r="I336" s="369"/>
      <c r="J336" s="369"/>
      <c r="K336" s="369"/>
      <c r="L336" s="370"/>
      <c r="M336" s="95" t="str">
        <f t="shared" ca="1" si="7"/>
        <v xml:space="preserve">       </v>
      </c>
    </row>
    <row r="337" spans="1:13" ht="21" hidden="1" customHeight="1" x14ac:dyDescent="0.2">
      <c r="A337" s="353" t="str">
        <f t="shared" ca="1" si="8"/>
        <v xml:space="preserve">       </v>
      </c>
      <c r="B337" s="353"/>
      <c r="C337" s="368"/>
      <c r="D337" s="369"/>
      <c r="E337" s="369"/>
      <c r="F337" s="369"/>
      <c r="G337" s="369"/>
      <c r="H337" s="369"/>
      <c r="I337" s="369"/>
      <c r="J337" s="369"/>
      <c r="K337" s="369"/>
      <c r="L337" s="370"/>
      <c r="M337" s="95" t="str">
        <f t="shared" ca="1" si="7"/>
        <v xml:space="preserve">       </v>
      </c>
    </row>
    <row r="338" spans="1:13" ht="14.25" hidden="1" customHeight="1" x14ac:dyDescent="0.2">
      <c r="A338" s="353" t="str">
        <f t="shared" ca="1" si="8"/>
        <v xml:space="preserve">       </v>
      </c>
      <c r="B338" s="353"/>
      <c r="C338" s="368"/>
      <c r="D338" s="369"/>
      <c r="E338" s="369"/>
      <c r="F338" s="369"/>
      <c r="G338" s="369"/>
      <c r="H338" s="369"/>
      <c r="I338" s="369"/>
      <c r="J338" s="369"/>
      <c r="K338" s="369"/>
      <c r="L338" s="370"/>
      <c r="M338" s="95" t="str">
        <f t="shared" ca="1" si="7"/>
        <v xml:space="preserve">       </v>
      </c>
    </row>
    <row r="339" spans="1:13" ht="22.5" hidden="1" customHeight="1" x14ac:dyDescent="0.2">
      <c r="A339" s="353" t="str">
        <f t="shared" ca="1" si="8"/>
        <v xml:space="preserve">       </v>
      </c>
      <c r="B339" s="353"/>
      <c r="C339" s="368"/>
      <c r="D339" s="369"/>
      <c r="E339" s="369"/>
      <c r="F339" s="369"/>
      <c r="G339" s="369"/>
      <c r="H339" s="369"/>
      <c r="I339" s="369"/>
      <c r="J339" s="369"/>
      <c r="K339" s="369"/>
      <c r="L339" s="370"/>
      <c r="M339" s="95" t="str">
        <f t="shared" ca="1" si="7"/>
        <v xml:space="preserve">       </v>
      </c>
    </row>
    <row r="340" spans="1:13" ht="15" hidden="1" customHeight="1" x14ac:dyDescent="0.2">
      <c r="A340" s="353" t="str">
        <f t="shared" ca="1" si="8"/>
        <v xml:space="preserve">       </v>
      </c>
      <c r="B340" s="353"/>
      <c r="C340" s="368"/>
      <c r="D340" s="369"/>
      <c r="E340" s="369"/>
      <c r="F340" s="369"/>
      <c r="G340" s="369"/>
      <c r="H340" s="369"/>
      <c r="I340" s="369"/>
      <c r="J340" s="369"/>
      <c r="K340" s="369"/>
      <c r="L340" s="370"/>
      <c r="M340" s="95" t="str">
        <f t="shared" ca="1" si="7"/>
        <v xml:space="preserve">       </v>
      </c>
    </row>
    <row r="341" spans="1:13" ht="21.75" hidden="1" customHeight="1" x14ac:dyDescent="0.2">
      <c r="A341" s="353" t="str">
        <f t="shared" ca="1" si="8"/>
        <v xml:space="preserve">       </v>
      </c>
      <c r="B341" s="353"/>
      <c r="C341" s="368"/>
      <c r="D341" s="369"/>
      <c r="E341" s="369"/>
      <c r="F341" s="369"/>
      <c r="G341" s="369"/>
      <c r="H341" s="369"/>
      <c r="I341" s="369"/>
      <c r="J341" s="369"/>
      <c r="K341" s="369"/>
      <c r="L341" s="370"/>
      <c r="M341" s="95" t="str">
        <f t="shared" ca="1" si="7"/>
        <v xml:space="preserve">       </v>
      </c>
    </row>
    <row r="342" spans="1:13" ht="30" hidden="1" customHeight="1" x14ac:dyDescent="0.2">
      <c r="A342" s="353" t="str">
        <f t="shared" ca="1" si="8"/>
        <v xml:space="preserve">       </v>
      </c>
      <c r="B342" s="353"/>
      <c r="C342" s="368"/>
      <c r="D342" s="369"/>
      <c r="E342" s="369"/>
      <c r="F342" s="369"/>
      <c r="G342" s="369"/>
      <c r="H342" s="369"/>
      <c r="I342" s="369"/>
      <c r="J342" s="369"/>
      <c r="K342" s="369"/>
      <c r="L342" s="370"/>
      <c r="M342" s="95" t="str">
        <f t="shared" ca="1" si="7"/>
        <v xml:space="preserve">       </v>
      </c>
    </row>
    <row r="343" spans="1:13" ht="30.75" hidden="1" customHeight="1" x14ac:dyDescent="0.2">
      <c r="A343" s="353" t="str">
        <f t="shared" ca="1" si="8"/>
        <v xml:space="preserve">       </v>
      </c>
      <c r="B343" s="353"/>
      <c r="C343" s="368"/>
      <c r="D343" s="369"/>
      <c r="E343" s="369"/>
      <c r="F343" s="369"/>
      <c r="G343" s="369"/>
      <c r="H343" s="369"/>
      <c r="I343" s="369"/>
      <c r="J343" s="369"/>
      <c r="K343" s="369"/>
      <c r="L343" s="370"/>
      <c r="M343" s="95" t="str">
        <f t="shared" ca="1" si="7"/>
        <v xml:space="preserve">       </v>
      </c>
    </row>
    <row r="344" spans="1:13" ht="21" hidden="1" customHeight="1" x14ac:dyDescent="0.2">
      <c r="A344" s="353" t="str">
        <f t="shared" ca="1" si="8"/>
        <v xml:space="preserve">       </v>
      </c>
      <c r="B344" s="353"/>
      <c r="C344" s="368"/>
      <c r="D344" s="369"/>
      <c r="E344" s="369"/>
      <c r="F344" s="369"/>
      <c r="G344" s="369"/>
      <c r="H344" s="369"/>
      <c r="I344" s="369"/>
      <c r="J344" s="369"/>
      <c r="K344" s="369"/>
      <c r="L344" s="370"/>
      <c r="M344" s="95" t="str">
        <f t="shared" ca="1" si="7"/>
        <v xml:space="preserve">       </v>
      </c>
    </row>
    <row r="345" spans="1:13" ht="45" hidden="1" customHeight="1" x14ac:dyDescent="0.2">
      <c r="A345" s="353" t="str">
        <f ca="1">OFFSET($A$9,(ROW()-326)*10-1,0)</f>
        <v xml:space="preserve">       </v>
      </c>
      <c r="B345" s="353"/>
      <c r="C345" s="368"/>
      <c r="D345" s="369"/>
      <c r="E345" s="369"/>
      <c r="F345" s="369"/>
      <c r="G345" s="369"/>
      <c r="H345" s="369"/>
      <c r="I345" s="369"/>
      <c r="J345" s="369"/>
      <c r="K345" s="369"/>
      <c r="L345" s="370"/>
      <c r="M345" s="95" t="str">
        <f t="shared" ca="1" si="7"/>
        <v xml:space="preserve">       </v>
      </c>
    </row>
    <row r="346" spans="1:13" ht="48.75" hidden="1" customHeight="1" x14ac:dyDescent="0.2">
      <c r="A346" s="353" t="str">
        <f t="shared" ca="1" si="8"/>
        <v xml:space="preserve">       </v>
      </c>
      <c r="B346" s="353"/>
      <c r="C346" s="368"/>
      <c r="D346" s="369"/>
      <c r="E346" s="369"/>
      <c r="F346" s="369"/>
      <c r="G346" s="369"/>
      <c r="H346" s="369"/>
      <c r="I346" s="369"/>
      <c r="J346" s="369"/>
      <c r="K346" s="369"/>
      <c r="L346" s="370"/>
      <c r="M346" s="95" t="str">
        <f t="shared" ca="1" si="7"/>
        <v xml:space="preserve">       </v>
      </c>
    </row>
    <row r="347" spans="1:13" ht="34.5" customHeight="1" x14ac:dyDescent="0.2">
      <c r="A347" s="353" t="str">
        <f ca="1">OFFSET($A$213,(ROW()-346)*10-1,0)</f>
        <v xml:space="preserve">CE3 C1 Utilizar  metodologías para identificar oportunidades de negocio  tomando en cuenta el programa de estudios y las necesidades del cliente.    </v>
      </c>
      <c r="B347" s="353"/>
      <c r="C347" s="368"/>
      <c r="D347" s="369"/>
      <c r="E347" s="369"/>
      <c r="F347" s="369"/>
      <c r="G347" s="369"/>
      <c r="H347" s="369"/>
      <c r="I347" s="369"/>
      <c r="J347" s="369"/>
      <c r="K347" s="369"/>
      <c r="L347" s="370"/>
      <c r="M347" s="95" t="str">
        <f t="shared" ca="1" si="7"/>
        <v xml:space="preserve">CE3 C1 Utilizar  metodologías para identificar oportunidades de negocio  tomando en cuenta el programa de estudios y las necesidades del cliente.    </v>
      </c>
    </row>
    <row r="348" spans="1:13" ht="27" customHeight="1" x14ac:dyDescent="0.2">
      <c r="A348" s="353" t="str">
        <f t="shared" ref="A348:A356" ca="1" si="9">OFFSET($A$213,(ROW()-346)*10-1,0)</f>
        <v xml:space="preserve">CE3 C2 Formular planes de negocio innovadoresvinculados al programa de estudio  considerando un proceso metodológico que genere valor,  sea sostenible y preserve el ambiente.    </v>
      </c>
      <c r="B348" s="353"/>
      <c r="C348" s="368"/>
      <c r="D348" s="369"/>
      <c r="E348" s="369"/>
      <c r="F348" s="369"/>
      <c r="G348" s="369"/>
      <c r="H348" s="369"/>
      <c r="I348" s="369"/>
      <c r="J348" s="369"/>
      <c r="K348" s="369"/>
      <c r="L348" s="370"/>
      <c r="M348" s="95" t="str">
        <f t="shared" ca="1" si="7"/>
        <v xml:space="preserve">CE3 C2 Formular planes de negocio innovadoresvinculados al programa de estudio  considerando un proceso metodológico que genere valor,  sea sostenible y preserve el ambiente.    </v>
      </c>
    </row>
    <row r="349" spans="1:13" ht="36.75" customHeight="1" x14ac:dyDescent="0.2">
      <c r="A349" s="353" t="str">
        <f t="shared" ca="1" si="9"/>
        <v xml:space="preserve">CE4 I1 Practicar las relaciones interpersonales democráticas, teniendo en cuenta los principios y valores éticos, y la gestión efectiva de los conflictos en su contexto social y laboral.    </v>
      </c>
      <c r="B349" s="353"/>
      <c r="C349" s="368"/>
      <c r="D349" s="369"/>
      <c r="E349" s="369"/>
      <c r="F349" s="369"/>
      <c r="G349" s="369"/>
      <c r="H349" s="369"/>
      <c r="I349" s="369"/>
      <c r="J349" s="369"/>
      <c r="K349" s="369"/>
      <c r="L349" s="370"/>
      <c r="M349" s="95" t="str">
        <f t="shared" ca="1" si="7"/>
        <v xml:space="preserve">CE4 I1 Practicar las relaciones interpersonales democráticas, teniendo en cuenta los principios y valores éticos, y la gestión efectiva de los conflictos en su contexto social y laboral.    </v>
      </c>
    </row>
    <row r="350" spans="1:13" ht="34.5" customHeight="1" x14ac:dyDescent="0.2">
      <c r="A350" s="353" t="str">
        <f t="shared" ca="1" si="9"/>
        <v xml:space="preserve">CE4 I2 Promover una cultura ética en su contexto  social y laboral fomentando el bien común, la diversidad y la dignidad de las personas.    </v>
      </c>
      <c r="B350" s="353"/>
      <c r="C350" s="368"/>
      <c r="D350" s="369"/>
      <c r="E350" s="369"/>
      <c r="F350" s="369"/>
      <c r="G350" s="369"/>
      <c r="H350" s="369"/>
      <c r="I350" s="369"/>
      <c r="J350" s="369"/>
      <c r="K350" s="369"/>
      <c r="L350" s="370"/>
      <c r="M350" s="95" t="str">
        <f t="shared" ca="1" si="7"/>
        <v xml:space="preserve">CE4 I2 Promover una cultura ética en su contexto  social y laboral fomentando el bien común, la diversidad y la dignidad de las personas.    </v>
      </c>
    </row>
    <row r="351" spans="1:13" ht="1.5" customHeight="1" x14ac:dyDescent="0.2">
      <c r="A351" s="353" t="e">
        <f t="shared" ca="1" si="9"/>
        <v>#REF!</v>
      </c>
      <c r="B351" s="353"/>
      <c r="C351" s="368"/>
      <c r="D351" s="369"/>
      <c r="E351" s="369"/>
      <c r="F351" s="369"/>
      <c r="G351" s="369"/>
      <c r="H351" s="369"/>
      <c r="I351" s="369"/>
      <c r="J351" s="369"/>
      <c r="K351" s="369"/>
      <c r="L351" s="370"/>
      <c r="M351" s="95" t="e">
        <f t="shared" ca="1" si="7"/>
        <v>#REF!</v>
      </c>
    </row>
    <row r="352" spans="1:13" ht="33.75" hidden="1" customHeight="1" x14ac:dyDescent="0.2">
      <c r="A352" s="353" t="e">
        <f t="shared" ca="1" si="9"/>
        <v>#REF!</v>
      </c>
      <c r="B352" s="353"/>
      <c r="C352" s="368"/>
      <c r="D352" s="369"/>
      <c r="E352" s="369"/>
      <c r="F352" s="369"/>
      <c r="G352" s="369"/>
      <c r="H352" s="369"/>
      <c r="I352" s="369"/>
      <c r="J352" s="369"/>
      <c r="K352" s="369"/>
      <c r="L352" s="370"/>
      <c r="M352" s="95" t="e">
        <f t="shared" ca="1" si="7"/>
        <v>#REF!</v>
      </c>
    </row>
    <row r="353" spans="1:13" ht="38.25" hidden="1" customHeight="1" x14ac:dyDescent="0.2">
      <c r="A353" s="353" t="e">
        <f t="shared" ca="1" si="9"/>
        <v>#REF!</v>
      </c>
      <c r="B353" s="353"/>
      <c r="C353" s="368"/>
      <c r="D353" s="369"/>
      <c r="E353" s="369"/>
      <c r="F353" s="369"/>
      <c r="G353" s="369"/>
      <c r="H353" s="369"/>
      <c r="I353" s="369"/>
      <c r="J353" s="369"/>
      <c r="K353" s="369"/>
      <c r="L353" s="370"/>
      <c r="M353" s="95" t="e">
        <f t="shared" ca="1" si="7"/>
        <v>#REF!</v>
      </c>
    </row>
    <row r="354" spans="1:13" ht="44.25" hidden="1" customHeight="1" x14ac:dyDescent="0.2">
      <c r="A354" s="353" t="e">
        <f t="shared" ca="1" si="9"/>
        <v>#REF!</v>
      </c>
      <c r="B354" s="353"/>
      <c r="C354" s="368"/>
      <c r="D354" s="369"/>
      <c r="E354" s="369"/>
      <c r="F354" s="369"/>
      <c r="G354" s="369"/>
      <c r="H354" s="369"/>
      <c r="I354" s="369"/>
      <c r="J354" s="369"/>
      <c r="K354" s="369"/>
      <c r="L354" s="370"/>
      <c r="M354" s="95" t="e">
        <f t="shared" ca="1" si="7"/>
        <v>#REF!</v>
      </c>
    </row>
    <row r="355" spans="1:13" ht="34.5" hidden="1" customHeight="1" x14ac:dyDescent="0.2">
      <c r="A355" s="353" t="e">
        <f t="shared" ca="1" si="9"/>
        <v>#REF!</v>
      </c>
      <c r="B355" s="353"/>
      <c r="C355" s="368"/>
      <c r="D355" s="369"/>
      <c r="E355" s="369"/>
      <c r="F355" s="369"/>
      <c r="G355" s="369"/>
      <c r="H355" s="369"/>
      <c r="I355" s="369"/>
      <c r="J355" s="369"/>
      <c r="K355" s="369"/>
      <c r="L355" s="370"/>
      <c r="M355" s="95" t="e">
        <f t="shared" ca="1" si="7"/>
        <v>#REF!</v>
      </c>
    </row>
    <row r="356" spans="1:13" ht="6.75" hidden="1" customHeight="1" x14ac:dyDescent="0.2">
      <c r="A356" s="353" t="e">
        <f t="shared" ca="1" si="9"/>
        <v>#REF!</v>
      </c>
      <c r="B356" s="353"/>
      <c r="C356" s="371"/>
      <c r="D356" s="372"/>
      <c r="E356" s="372"/>
      <c r="F356" s="372"/>
      <c r="G356" s="372"/>
      <c r="H356" s="372"/>
      <c r="I356" s="372"/>
      <c r="J356" s="372"/>
      <c r="K356" s="372"/>
      <c r="L356" s="373"/>
      <c r="M356" s="95" t="e">
        <f t="shared" ca="1" si="7"/>
        <v>#REF!</v>
      </c>
    </row>
    <row r="357" spans="1:13" s="57" customFormat="1" ht="30.75" customHeight="1" x14ac:dyDescent="0.2">
      <c r="A357" s="380" t="str">
        <f>'M1'!A350:L350</f>
        <v>EXPERIENCIAS FORMATIVAS EN SITUACIONES REALES DE TRABAJO (EFSRT)</v>
      </c>
      <c r="B357" s="380"/>
      <c r="C357" s="380"/>
      <c r="D357" s="380"/>
      <c r="E357" s="380"/>
      <c r="F357" s="380"/>
      <c r="G357" s="380"/>
      <c r="H357" s="380"/>
      <c r="I357" s="380"/>
      <c r="J357" s="380"/>
      <c r="K357" s="380"/>
      <c r="L357" s="380"/>
      <c r="M357" s="95" t="str">
        <f t="shared" si="7"/>
        <v>EXPERIENCIAS FORMATIVAS EN SITUACIONES REALES DE TRABAJO (EFSRT)</v>
      </c>
    </row>
    <row r="358" spans="1:13" s="57" customFormat="1" ht="28.5" customHeight="1" x14ac:dyDescent="0.2">
      <c r="A358" s="161" t="str">
        <f>'M1'!A351</f>
        <v>LUGAR PARA EL DESARROLLO DE LA EFSRT</v>
      </c>
      <c r="B358" s="161" t="str">
        <f>'M1'!B351</f>
        <v>AMBIENTES/ÁREAS (1)</v>
      </c>
      <c r="C358" s="381" t="str">
        <f>'M1'!C351:J351</f>
        <v>DESCRIPCIÓN DE LA ESTRATEGIA PARA LA IMPLEMENTACIÓN DE LA EFSRT (2)</v>
      </c>
      <c r="D358" s="381"/>
      <c r="E358" s="381"/>
      <c r="F358" s="381"/>
      <c r="G358" s="381"/>
      <c r="H358" s="381"/>
      <c r="I358" s="381"/>
      <c r="J358" s="381"/>
      <c r="K358" s="161" t="str">
        <f>'M1'!K351</f>
        <v>CRÉDITOS</v>
      </c>
      <c r="L358" s="161" t="str">
        <f>'M1'!L351</f>
        <v>HORAS (P)</v>
      </c>
      <c r="M358" s="95" t="str">
        <f t="shared" si="7"/>
        <v>LUGAR PARA EL DESARROLLO DE LA EFSRT</v>
      </c>
    </row>
    <row r="359" spans="1:13" s="57" customFormat="1" ht="213" customHeight="1" x14ac:dyDescent="0.2">
      <c r="A359" s="197" t="s">
        <v>145</v>
      </c>
      <c r="B359" s="169" t="s">
        <v>550</v>
      </c>
      <c r="C359" s="374" t="s">
        <v>392</v>
      </c>
      <c r="D359" s="375"/>
      <c r="E359" s="375"/>
      <c r="F359" s="375"/>
      <c r="G359" s="375"/>
      <c r="H359" s="375"/>
      <c r="I359" s="375"/>
      <c r="J359" s="376"/>
      <c r="K359" s="17">
        <f>Organización_Modular!I133</f>
        <v>4</v>
      </c>
      <c r="L359" s="18">
        <f>K359*32</f>
        <v>128</v>
      </c>
      <c r="M359" s="95" t="str">
        <f>C359</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7" customFormat="1" ht="151.5" customHeight="1" x14ac:dyDescent="0.2">
      <c r="A360" s="251"/>
      <c r="B360" s="169" t="s">
        <v>549</v>
      </c>
      <c r="C360" s="377" t="s">
        <v>547</v>
      </c>
      <c r="D360" s="378"/>
      <c r="E360" s="378"/>
      <c r="F360" s="378"/>
      <c r="G360" s="378"/>
      <c r="H360" s="378"/>
      <c r="I360" s="378"/>
      <c r="J360" s="379"/>
      <c r="K360" s="92"/>
      <c r="L360" s="93"/>
      <c r="M360" s="95" t="str">
        <f>C360</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1" spans="1:13" ht="21" customHeight="1" x14ac:dyDescent="0.2">
      <c r="A361" s="323" t="str">
        <f>'M1'!A354</f>
        <v>(1) Colocar el nombre del espacio, área u otros, donde se desarrolla las EFSRT
(2) Realizar una breve descripción respecto al desarrollo de las EFSRT, según el lugar de realización.</v>
      </c>
      <c r="B361" s="324"/>
      <c r="M361" s="95" t="str">
        <f>A361</f>
        <v>(1) Colocar el nombre del espacio, área u otros, donde se desarrolla las EFSRT
(2) Realizar una breve descripción respecto al desarrollo de las EFSRT, según el lugar de realización.</v>
      </c>
    </row>
    <row r="362" spans="1:13" ht="17.25" customHeight="1" x14ac:dyDescent="0.2">
      <c r="A362" s="138" t="s">
        <v>144</v>
      </c>
      <c r="B362" s="139" t="s">
        <v>148</v>
      </c>
      <c r="M362" s="51"/>
    </row>
    <row r="363" spans="1:13" ht="12" customHeight="1" x14ac:dyDescent="0.2">
      <c r="A363" s="138" t="s">
        <v>145</v>
      </c>
      <c r="B363" s="139" t="s">
        <v>149</v>
      </c>
      <c r="M363" s="51"/>
    </row>
    <row r="364" spans="1:13" ht="21.75" customHeight="1" x14ac:dyDescent="0.2">
      <c r="A364" s="138"/>
      <c r="B364" s="139" t="s">
        <v>152</v>
      </c>
    </row>
    <row r="365" spans="1:13" ht="19.5" customHeight="1" x14ac:dyDescent="0.2">
      <c r="A365" s="138"/>
      <c r="B365" s="139" t="s">
        <v>150</v>
      </c>
    </row>
    <row r="366" spans="1:13" ht="15.75" customHeight="1" x14ac:dyDescent="0.2">
      <c r="A366" s="138"/>
      <c r="B366" s="139" t="s">
        <v>151</v>
      </c>
    </row>
    <row r="367" spans="1:13" ht="15" customHeight="1" x14ac:dyDescent="0.2">
      <c r="A367" s="134"/>
      <c r="B367" s="139" t="s">
        <v>153</v>
      </c>
    </row>
  </sheetData>
  <autoFilter ref="A16:M367" xr:uid="{00000000-0009-0000-0000-000007000000}">
    <filterColumn colId="5" showButton="0"/>
    <filterColumn colId="8" showButton="0"/>
  </autoFilter>
  <mergeCells count="138">
    <mergeCell ref="A208:A217"/>
    <mergeCell ref="A118:A127"/>
    <mergeCell ref="A128:A137"/>
    <mergeCell ref="A138:A147"/>
    <mergeCell ref="A148:A157"/>
    <mergeCell ref="A158:A167"/>
    <mergeCell ref="A168:A177"/>
    <mergeCell ref="A178:A187"/>
    <mergeCell ref="A188:A197"/>
    <mergeCell ref="A198:A207"/>
    <mergeCell ref="A28:A37"/>
    <mergeCell ref="A38:A47"/>
    <mergeCell ref="A48:A57"/>
    <mergeCell ref="A58:A67"/>
    <mergeCell ref="A68:A77"/>
    <mergeCell ref="A78:A87"/>
    <mergeCell ref="A88:A97"/>
    <mergeCell ref="A98:A107"/>
    <mergeCell ref="A108:A117"/>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L262:L271"/>
    <mergeCell ref="L272:L281"/>
    <mergeCell ref="A324:L324"/>
    <mergeCell ref="A325:L325"/>
    <mergeCell ref="A326:B326"/>
    <mergeCell ref="C326:L326"/>
    <mergeCell ref="A302:A311"/>
    <mergeCell ref="A312:A321"/>
    <mergeCell ref="L222:L242"/>
    <mergeCell ref="L243:L261"/>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L220:L221"/>
    <mergeCell ref="E220:E221"/>
    <mergeCell ref="L16:L17"/>
    <mergeCell ref="L18:L27"/>
    <mergeCell ref="L168:L177"/>
    <mergeCell ref="L178:L187"/>
    <mergeCell ref="L188:L197"/>
    <mergeCell ref="L198:L207"/>
    <mergeCell ref="L208:L217"/>
    <mergeCell ref="L28:L40"/>
    <mergeCell ref="L41:L57"/>
    <mergeCell ref="A1:L1"/>
    <mergeCell ref="B3:C3"/>
    <mergeCell ref="F3:H3"/>
    <mergeCell ref="I3:L3"/>
    <mergeCell ref="F5:H5"/>
    <mergeCell ref="I5:L5"/>
    <mergeCell ref="A13:L13"/>
    <mergeCell ref="A14:L14"/>
    <mergeCell ref="B15:L15"/>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58:L67"/>
    <mergeCell ref="L68:L77"/>
    <mergeCell ref="L78:L87"/>
    <mergeCell ref="L88:L97"/>
    <mergeCell ref="L98:L107"/>
    <mergeCell ref="I16:J16"/>
    <mergeCell ref="K16:K17"/>
    <mergeCell ref="K220:K221"/>
  </mergeCells>
  <conditionalFormatting sqref="A359">
    <cfRule type="containsBlanks" dxfId="56" priority="5">
      <formula>LEN(TRIM(C359))=0</formula>
    </cfRule>
  </conditionalFormatting>
  <conditionalFormatting sqref="B359:J359">
    <cfRule type="containsBlanks" dxfId="55" priority="3">
      <formula>LEN(TRIM(B359))=0</formula>
    </cfRule>
  </conditionalFormatting>
  <conditionalFormatting sqref="C18:C47 C52:C217">
    <cfRule type="containsBlanks" dxfId="54" priority="1">
      <formula>LEN(TRIM(C18))=0</formula>
    </cfRule>
  </conditionalFormatting>
  <conditionalFormatting sqref="L18:L28 C222:C321 L222 C327:L356 B360:J360 L41 L58:L217 L243 L262:L321">
    <cfRule type="containsBlanks" dxfId="53" priority="7">
      <formula>LEN(TRIM(B18))=0</formula>
    </cfRule>
  </conditionalFormatting>
  <dataValidations count="1">
    <dataValidation type="list" allowBlank="1" showInputMessage="1" showErrorMessage="1" sqref="A359: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002060"/>
  </sheetPr>
  <dimension ref="A1:M367"/>
  <sheetViews>
    <sheetView showGridLines="0" topLeftCell="A7"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45" t="str">
        <f>'M4'!A1:L1</f>
        <v>ORGANIZACIÓN DE LOS ELEMENTOS DEL MÓDULO</v>
      </c>
      <c r="B1" s="345"/>
      <c r="C1" s="345"/>
      <c r="D1" s="345"/>
      <c r="E1" s="345"/>
      <c r="F1" s="345"/>
      <c r="G1" s="345"/>
      <c r="H1" s="345"/>
      <c r="I1" s="345"/>
      <c r="J1" s="345"/>
      <c r="K1" s="345"/>
      <c r="L1" s="345"/>
      <c r="M1" s="97"/>
    </row>
    <row r="2" spans="1:13" s="57" customFormat="1" ht="15.75" x14ac:dyDescent="0.2">
      <c r="A2" s="91"/>
      <c r="B2" s="91"/>
      <c r="C2" s="91"/>
      <c r="D2" s="91"/>
      <c r="E2" s="91"/>
      <c r="F2" s="91"/>
      <c r="G2" s="91"/>
      <c r="H2" s="91"/>
      <c r="I2" s="91"/>
      <c r="J2" s="91"/>
      <c r="K2" s="91"/>
      <c r="L2" s="91"/>
      <c r="M2" s="97"/>
    </row>
    <row r="3" spans="1:13" ht="25.5" customHeight="1" x14ac:dyDescent="0.2">
      <c r="A3" s="19" t="s">
        <v>38</v>
      </c>
      <c r="B3" s="292" t="str">
        <f>Perfil_Egreso!B3</f>
        <v>CETPRO JUANJUI</v>
      </c>
      <c r="C3" s="292"/>
      <c r="D3" s="9"/>
      <c r="E3" s="9"/>
      <c r="F3" s="327" t="s">
        <v>62</v>
      </c>
      <c r="G3" s="327"/>
      <c r="H3" s="328"/>
      <c r="I3" s="325" t="str">
        <f>Perfil_Egreso!E3</f>
        <v>0533836</v>
      </c>
      <c r="J3" s="326"/>
      <c r="K3" s="326"/>
      <c r="L3" s="310"/>
    </row>
    <row r="4" spans="1:13" ht="15" customHeight="1" x14ac:dyDescent="0.2">
      <c r="A4" s="35"/>
      <c r="B4" s="35"/>
      <c r="C4" s="20"/>
      <c r="D4" s="20"/>
      <c r="E4" s="20"/>
      <c r="F4" s="9"/>
      <c r="G4" s="9"/>
      <c r="H4" s="9"/>
      <c r="I4" s="9"/>
      <c r="J4" s="9"/>
      <c r="K4" s="9"/>
      <c r="L4" s="9"/>
    </row>
    <row r="5" spans="1:13" ht="26.25"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46" t="s">
        <v>104</v>
      </c>
      <c r="B13" s="346"/>
      <c r="C13" s="346"/>
      <c r="D13" s="346"/>
      <c r="E13" s="346"/>
      <c r="F13" s="346"/>
      <c r="G13" s="346"/>
      <c r="H13" s="346"/>
      <c r="I13" s="346"/>
      <c r="J13" s="346"/>
      <c r="K13" s="346"/>
      <c r="L13" s="346"/>
    </row>
    <row r="14" spans="1:13" ht="78.75" customHeight="1" x14ac:dyDescent="0.2">
      <c r="A14" s="347">
        <f>Organización_Modular!C134</f>
        <v>0</v>
      </c>
      <c r="B14" s="347"/>
      <c r="C14" s="347"/>
      <c r="D14" s="347"/>
      <c r="E14" s="347"/>
      <c r="F14" s="347"/>
      <c r="G14" s="347"/>
      <c r="H14" s="347"/>
      <c r="I14" s="347"/>
      <c r="J14" s="347"/>
      <c r="K14" s="347"/>
      <c r="L14" s="347"/>
    </row>
    <row r="15" spans="1:13" ht="21" x14ac:dyDescent="0.2">
      <c r="A15" s="159" t="s">
        <v>103</v>
      </c>
      <c r="B15" s="348">
        <f>Organización_Modular!A134</f>
        <v>0</v>
      </c>
      <c r="C15" s="348"/>
      <c r="D15" s="348"/>
      <c r="E15" s="348"/>
      <c r="F15" s="348"/>
      <c r="G15" s="348"/>
      <c r="H15" s="348"/>
      <c r="I15" s="348"/>
      <c r="J15" s="348"/>
      <c r="K15" s="348"/>
      <c r="L15" s="348"/>
    </row>
    <row r="16" spans="1:13" ht="18" customHeight="1" x14ac:dyDescent="0.2">
      <c r="A16" s="349" t="s">
        <v>102</v>
      </c>
      <c r="B16" s="350" t="s">
        <v>101</v>
      </c>
      <c r="C16" s="349" t="s">
        <v>97</v>
      </c>
      <c r="D16" s="349" t="s">
        <v>0</v>
      </c>
      <c r="E16" s="349" t="s">
        <v>61</v>
      </c>
      <c r="F16" s="349" t="s">
        <v>90</v>
      </c>
      <c r="G16" s="349"/>
      <c r="H16" s="349" t="s">
        <v>90</v>
      </c>
      <c r="I16" s="349" t="s">
        <v>96</v>
      </c>
      <c r="J16" s="349"/>
      <c r="K16" s="349" t="s">
        <v>96</v>
      </c>
      <c r="L16" s="349" t="s">
        <v>100</v>
      </c>
      <c r="M16" s="363" t="s">
        <v>118</v>
      </c>
    </row>
    <row r="17" spans="1:13" ht="15.75" customHeight="1" x14ac:dyDescent="0.2">
      <c r="A17" s="349"/>
      <c r="B17" s="350"/>
      <c r="C17" s="349"/>
      <c r="D17" s="349"/>
      <c r="E17" s="349"/>
      <c r="F17" s="162" t="s">
        <v>94</v>
      </c>
      <c r="G17" s="162" t="s">
        <v>93</v>
      </c>
      <c r="H17" s="349"/>
      <c r="I17" s="162" t="s">
        <v>94</v>
      </c>
      <c r="J17" s="162" t="s">
        <v>93</v>
      </c>
      <c r="K17" s="349"/>
      <c r="L17" s="349"/>
      <c r="M17" s="363"/>
    </row>
    <row r="18" spans="1:13" x14ac:dyDescent="0.2">
      <c r="A18" s="342" t="e">
        <f>Capacidades!#REF!</f>
        <v>#REF!</v>
      </c>
      <c r="B18" s="170" t="e">
        <f>Capacidades!#REF!</f>
        <v>#REF!</v>
      </c>
      <c r="C18" s="171"/>
      <c r="D18" s="11">
        <f>Organización_Modular!F134</f>
        <v>0</v>
      </c>
      <c r="E18" s="11">
        <f>Organización_Modular!G134</f>
        <v>0</v>
      </c>
      <c r="F18" s="11">
        <f>Organización_Modular!H134</f>
        <v>0</v>
      </c>
      <c r="G18" s="11">
        <f>Organización_Modular!I134</f>
        <v>0</v>
      </c>
      <c r="H18" s="12">
        <f>SUM(F18:G18)</f>
        <v>0</v>
      </c>
      <c r="I18" s="12">
        <f>F18*16</f>
        <v>0</v>
      </c>
      <c r="J18" s="12">
        <f>G18*32</f>
        <v>0</v>
      </c>
      <c r="K18" s="12">
        <f>SUM(I18:J18)</f>
        <v>0</v>
      </c>
      <c r="L18" s="335"/>
      <c r="M18" s="95" t="e">
        <f>B18</f>
        <v>#REF!</v>
      </c>
    </row>
    <row r="19" spans="1:13" x14ac:dyDescent="0.2">
      <c r="A19" s="343"/>
      <c r="B19" s="170" t="e">
        <f>Capacidades!#REF!</f>
        <v>#REF!</v>
      </c>
      <c r="C19" s="171"/>
      <c r="D19" s="13"/>
      <c r="E19" s="13"/>
      <c r="F19" s="13"/>
      <c r="G19" s="13"/>
      <c r="H19" s="14"/>
      <c r="I19" s="14"/>
      <c r="J19" s="14"/>
      <c r="K19" s="14"/>
      <c r="L19" s="336"/>
      <c r="M19" s="95" t="e">
        <f t="shared" ref="M19:M82" si="0">B19</f>
        <v>#REF!</v>
      </c>
    </row>
    <row r="20" spans="1:13" x14ac:dyDescent="0.2">
      <c r="A20" s="343"/>
      <c r="B20" s="170" t="e">
        <f>Capacidades!#REF!</f>
        <v>#REF!</v>
      </c>
      <c r="C20" s="171"/>
      <c r="D20" s="13"/>
      <c r="E20" s="13"/>
      <c r="F20" s="13"/>
      <c r="G20" s="13"/>
      <c r="H20" s="14"/>
      <c r="I20" s="14"/>
      <c r="J20" s="14"/>
      <c r="K20" s="14"/>
      <c r="L20" s="336"/>
      <c r="M20" s="95" t="e">
        <f t="shared" si="0"/>
        <v>#REF!</v>
      </c>
    </row>
    <row r="21" spans="1:13" x14ac:dyDescent="0.2">
      <c r="A21" s="343"/>
      <c r="B21" s="170" t="e">
        <f>Capacidades!#REF!</f>
        <v>#REF!</v>
      </c>
      <c r="C21" s="171"/>
      <c r="D21" s="13"/>
      <c r="E21" s="13"/>
      <c r="F21" s="13"/>
      <c r="G21" s="13"/>
      <c r="H21" s="14"/>
      <c r="I21" s="14"/>
      <c r="J21" s="14"/>
      <c r="K21" s="14"/>
      <c r="L21" s="336"/>
      <c r="M21" s="95" t="e">
        <f t="shared" si="0"/>
        <v>#REF!</v>
      </c>
    </row>
    <row r="22" spans="1:13" x14ac:dyDescent="0.2">
      <c r="A22" s="343"/>
      <c r="B22" s="170" t="e">
        <f>Capacidades!#REF!</f>
        <v>#REF!</v>
      </c>
      <c r="C22" s="171"/>
      <c r="D22" s="13"/>
      <c r="E22" s="13"/>
      <c r="F22" s="13"/>
      <c r="G22" s="13"/>
      <c r="H22" s="14"/>
      <c r="I22" s="14"/>
      <c r="J22" s="14"/>
      <c r="K22" s="14"/>
      <c r="L22" s="336"/>
      <c r="M22" s="95" t="e">
        <f t="shared" si="0"/>
        <v>#REF!</v>
      </c>
    </row>
    <row r="23" spans="1:13" x14ac:dyDescent="0.2">
      <c r="A23" s="343"/>
      <c r="B23" s="170" t="e">
        <f>Capacidades!#REF!</f>
        <v>#REF!</v>
      </c>
      <c r="C23" s="171"/>
      <c r="D23" s="13"/>
      <c r="E23" s="13"/>
      <c r="F23" s="13"/>
      <c r="G23" s="13"/>
      <c r="H23" s="14"/>
      <c r="I23" s="14"/>
      <c r="J23" s="14"/>
      <c r="K23" s="14"/>
      <c r="L23" s="336"/>
      <c r="M23" s="95" t="e">
        <f t="shared" si="0"/>
        <v>#REF!</v>
      </c>
    </row>
    <row r="24" spans="1:13" x14ac:dyDescent="0.2">
      <c r="A24" s="343"/>
      <c r="B24" s="170" t="e">
        <f>Capacidades!#REF!</f>
        <v>#REF!</v>
      </c>
      <c r="C24" s="171"/>
      <c r="D24" s="13"/>
      <c r="E24" s="13"/>
      <c r="F24" s="13"/>
      <c r="G24" s="13"/>
      <c r="H24" s="14"/>
      <c r="I24" s="14"/>
      <c r="J24" s="14"/>
      <c r="K24" s="14"/>
      <c r="L24" s="336"/>
      <c r="M24" s="95" t="e">
        <f t="shared" si="0"/>
        <v>#REF!</v>
      </c>
    </row>
    <row r="25" spans="1:13" x14ac:dyDescent="0.2">
      <c r="A25" s="343"/>
      <c r="B25" s="170" t="e">
        <f>Capacidades!#REF!</f>
        <v>#REF!</v>
      </c>
      <c r="C25" s="171"/>
      <c r="D25" s="13"/>
      <c r="E25" s="13"/>
      <c r="F25" s="13"/>
      <c r="G25" s="13"/>
      <c r="H25" s="14"/>
      <c r="I25" s="14"/>
      <c r="J25" s="14"/>
      <c r="K25" s="14"/>
      <c r="L25" s="336"/>
      <c r="M25" s="95" t="e">
        <f t="shared" si="0"/>
        <v>#REF!</v>
      </c>
    </row>
    <row r="26" spans="1:13" x14ac:dyDescent="0.2">
      <c r="A26" s="343"/>
      <c r="B26" s="170" t="e">
        <f>Capacidades!#REF!</f>
        <v>#REF!</v>
      </c>
      <c r="C26" s="171"/>
      <c r="D26" s="13"/>
      <c r="E26" s="13"/>
      <c r="F26" s="13"/>
      <c r="G26" s="13"/>
      <c r="H26" s="14"/>
      <c r="I26" s="14"/>
      <c r="J26" s="14"/>
      <c r="K26" s="14"/>
      <c r="L26" s="336"/>
      <c r="M26" s="95" t="e">
        <f t="shared" si="0"/>
        <v>#REF!</v>
      </c>
    </row>
    <row r="27" spans="1:13" x14ac:dyDescent="0.2">
      <c r="A27" s="344"/>
      <c r="B27" s="170" t="e">
        <f>Capacidades!#REF!</f>
        <v>#REF!</v>
      </c>
      <c r="C27" s="171"/>
      <c r="D27" s="15"/>
      <c r="E27" s="15"/>
      <c r="F27" s="15"/>
      <c r="G27" s="15"/>
      <c r="H27" s="16"/>
      <c r="I27" s="16"/>
      <c r="J27" s="16"/>
      <c r="K27" s="16"/>
      <c r="L27" s="337"/>
      <c r="M27" s="95" t="e">
        <f t="shared" si="0"/>
        <v>#REF!</v>
      </c>
    </row>
    <row r="28" spans="1:13" x14ac:dyDescent="0.2">
      <c r="A28" s="342" t="e">
        <f>Capacidades!#REF!</f>
        <v>#REF!</v>
      </c>
      <c r="B28" s="170" t="e">
        <f>Capacidades!#REF!</f>
        <v>#REF!</v>
      </c>
      <c r="C28" s="171"/>
      <c r="D28" s="11">
        <f>Organización_Modular!F135</f>
        <v>0</v>
      </c>
      <c r="E28" s="11">
        <f>Organización_Modular!G135</f>
        <v>0</v>
      </c>
      <c r="F28" s="11">
        <f>Organización_Modular!H135</f>
        <v>0</v>
      </c>
      <c r="G28" s="11">
        <f>Organización_Modular!I135</f>
        <v>0</v>
      </c>
      <c r="H28" s="12">
        <f>SUM(F28:G28)</f>
        <v>0</v>
      </c>
      <c r="I28" s="12">
        <f>F28*16</f>
        <v>0</v>
      </c>
      <c r="J28" s="12">
        <f>G28*32</f>
        <v>0</v>
      </c>
      <c r="K28" s="12">
        <f>SUM(I28:J28)</f>
        <v>0</v>
      </c>
      <c r="L28" s="335"/>
      <c r="M28" s="95" t="e">
        <f t="shared" si="0"/>
        <v>#REF!</v>
      </c>
    </row>
    <row r="29" spans="1:13" x14ac:dyDescent="0.2">
      <c r="A29" s="343"/>
      <c r="B29" s="170" t="e">
        <f>Capacidades!#REF!</f>
        <v>#REF!</v>
      </c>
      <c r="C29" s="171"/>
      <c r="D29" s="13"/>
      <c r="E29" s="13"/>
      <c r="F29" s="13"/>
      <c r="G29" s="13"/>
      <c r="H29" s="14"/>
      <c r="I29" s="14"/>
      <c r="J29" s="14"/>
      <c r="K29" s="14"/>
      <c r="L29" s="336"/>
      <c r="M29" s="95" t="e">
        <f t="shared" si="0"/>
        <v>#REF!</v>
      </c>
    </row>
    <row r="30" spans="1:13" x14ac:dyDescent="0.2">
      <c r="A30" s="343"/>
      <c r="B30" s="170" t="e">
        <f>Capacidades!#REF!</f>
        <v>#REF!</v>
      </c>
      <c r="C30" s="171"/>
      <c r="D30" s="13"/>
      <c r="E30" s="13"/>
      <c r="F30" s="13"/>
      <c r="G30" s="13"/>
      <c r="H30" s="14"/>
      <c r="I30" s="14"/>
      <c r="J30" s="14"/>
      <c r="K30" s="14"/>
      <c r="L30" s="336"/>
      <c r="M30" s="95" t="e">
        <f t="shared" si="0"/>
        <v>#REF!</v>
      </c>
    </row>
    <row r="31" spans="1:13" x14ac:dyDescent="0.2">
      <c r="A31" s="343"/>
      <c r="B31" s="170" t="e">
        <f>Capacidades!#REF!</f>
        <v>#REF!</v>
      </c>
      <c r="C31" s="171"/>
      <c r="D31" s="13"/>
      <c r="E31" s="13"/>
      <c r="F31" s="13"/>
      <c r="G31" s="13"/>
      <c r="H31" s="14"/>
      <c r="I31" s="14"/>
      <c r="J31" s="14"/>
      <c r="K31" s="14"/>
      <c r="L31" s="336"/>
      <c r="M31" s="95" t="e">
        <f t="shared" si="0"/>
        <v>#REF!</v>
      </c>
    </row>
    <row r="32" spans="1:13" x14ac:dyDescent="0.2">
      <c r="A32" s="343"/>
      <c r="B32" s="170" t="e">
        <f>Capacidades!#REF!</f>
        <v>#REF!</v>
      </c>
      <c r="C32" s="171"/>
      <c r="D32" s="13"/>
      <c r="E32" s="13"/>
      <c r="F32" s="13"/>
      <c r="G32" s="13"/>
      <c r="H32" s="14"/>
      <c r="I32" s="14"/>
      <c r="J32" s="14"/>
      <c r="K32" s="14"/>
      <c r="L32" s="336"/>
      <c r="M32" s="95" t="e">
        <f t="shared" si="0"/>
        <v>#REF!</v>
      </c>
    </row>
    <row r="33" spans="1:13" x14ac:dyDescent="0.2">
      <c r="A33" s="343"/>
      <c r="B33" s="170" t="e">
        <f>Capacidades!#REF!</f>
        <v>#REF!</v>
      </c>
      <c r="C33" s="171"/>
      <c r="D33" s="13"/>
      <c r="E33" s="13"/>
      <c r="F33" s="13"/>
      <c r="G33" s="13"/>
      <c r="H33" s="14"/>
      <c r="I33" s="14"/>
      <c r="J33" s="14"/>
      <c r="K33" s="14"/>
      <c r="L33" s="336"/>
      <c r="M33" s="95" t="e">
        <f t="shared" si="0"/>
        <v>#REF!</v>
      </c>
    </row>
    <row r="34" spans="1:13" x14ac:dyDescent="0.2">
      <c r="A34" s="343"/>
      <c r="B34" s="170" t="e">
        <f>Capacidades!#REF!</f>
        <v>#REF!</v>
      </c>
      <c r="C34" s="171"/>
      <c r="D34" s="13"/>
      <c r="E34" s="13"/>
      <c r="F34" s="13"/>
      <c r="G34" s="13"/>
      <c r="H34" s="14"/>
      <c r="I34" s="14"/>
      <c r="J34" s="14"/>
      <c r="K34" s="14"/>
      <c r="L34" s="336"/>
      <c r="M34" s="95" t="e">
        <f t="shared" si="0"/>
        <v>#REF!</v>
      </c>
    </row>
    <row r="35" spans="1:13" x14ac:dyDescent="0.2">
      <c r="A35" s="343"/>
      <c r="B35" s="170" t="e">
        <f>Capacidades!#REF!</f>
        <v>#REF!</v>
      </c>
      <c r="C35" s="171"/>
      <c r="D35" s="13"/>
      <c r="E35" s="13"/>
      <c r="F35" s="13"/>
      <c r="G35" s="13"/>
      <c r="H35" s="14"/>
      <c r="I35" s="14"/>
      <c r="J35" s="14"/>
      <c r="K35" s="14"/>
      <c r="L35" s="336"/>
      <c r="M35" s="95" t="e">
        <f t="shared" si="0"/>
        <v>#REF!</v>
      </c>
    </row>
    <row r="36" spans="1:13" x14ac:dyDescent="0.2">
      <c r="A36" s="343"/>
      <c r="B36" s="170" t="e">
        <f>Capacidades!#REF!</f>
        <v>#REF!</v>
      </c>
      <c r="C36" s="171"/>
      <c r="D36" s="13"/>
      <c r="E36" s="13"/>
      <c r="F36" s="13"/>
      <c r="G36" s="13"/>
      <c r="H36" s="14"/>
      <c r="I36" s="14"/>
      <c r="J36" s="14"/>
      <c r="K36" s="14"/>
      <c r="L36" s="336"/>
      <c r="M36" s="95" t="e">
        <f t="shared" si="0"/>
        <v>#REF!</v>
      </c>
    </row>
    <row r="37" spans="1:13" x14ac:dyDescent="0.2">
      <c r="A37" s="344"/>
      <c r="B37" s="170" t="e">
        <f>Capacidades!#REF!</f>
        <v>#REF!</v>
      </c>
      <c r="C37" s="171"/>
      <c r="D37" s="15"/>
      <c r="E37" s="15"/>
      <c r="F37" s="15"/>
      <c r="G37" s="15"/>
      <c r="H37" s="16"/>
      <c r="I37" s="16"/>
      <c r="J37" s="16"/>
      <c r="K37" s="16"/>
      <c r="L37" s="337"/>
      <c r="M37" s="95" t="e">
        <f t="shared" si="0"/>
        <v>#REF!</v>
      </c>
    </row>
    <row r="38" spans="1:13" x14ac:dyDescent="0.2">
      <c r="A38" s="342" t="e">
        <f>Capacidades!#REF!</f>
        <v>#REF!</v>
      </c>
      <c r="B38" s="170" t="e">
        <f>Capacidades!#REF!</f>
        <v>#REF!</v>
      </c>
      <c r="C38" s="171"/>
      <c r="D38" s="11">
        <f>Organización_Modular!F136</f>
        <v>0</v>
      </c>
      <c r="E38" s="11">
        <f>Organización_Modular!G136</f>
        <v>0</v>
      </c>
      <c r="F38" s="11">
        <f>Organización_Modular!H136</f>
        <v>0</v>
      </c>
      <c r="G38" s="11">
        <f>Organización_Modular!I136</f>
        <v>0</v>
      </c>
      <c r="H38" s="12">
        <f>SUM(F38:G38)</f>
        <v>0</v>
      </c>
      <c r="I38" s="12">
        <f>F38*16</f>
        <v>0</v>
      </c>
      <c r="J38" s="12">
        <f>G38*32</f>
        <v>0</v>
      </c>
      <c r="K38" s="12">
        <f>SUM(I38:J38)</f>
        <v>0</v>
      </c>
      <c r="L38" s="335"/>
      <c r="M38" s="95" t="e">
        <f t="shared" si="0"/>
        <v>#REF!</v>
      </c>
    </row>
    <row r="39" spans="1:13" x14ac:dyDescent="0.2">
      <c r="A39" s="343"/>
      <c r="B39" s="170" t="e">
        <f>Capacidades!#REF!</f>
        <v>#REF!</v>
      </c>
      <c r="C39" s="171"/>
      <c r="D39" s="13"/>
      <c r="E39" s="13"/>
      <c r="F39" s="13"/>
      <c r="G39" s="13"/>
      <c r="H39" s="14"/>
      <c r="I39" s="14"/>
      <c r="J39" s="14"/>
      <c r="K39" s="14"/>
      <c r="L39" s="336"/>
      <c r="M39" s="95" t="e">
        <f t="shared" si="0"/>
        <v>#REF!</v>
      </c>
    </row>
    <row r="40" spans="1:13" x14ac:dyDescent="0.2">
      <c r="A40" s="343"/>
      <c r="B40" s="170" t="e">
        <f>Capacidades!#REF!</f>
        <v>#REF!</v>
      </c>
      <c r="C40" s="171"/>
      <c r="D40" s="13"/>
      <c r="E40" s="13"/>
      <c r="F40" s="13"/>
      <c r="G40" s="13"/>
      <c r="H40" s="14"/>
      <c r="I40" s="14"/>
      <c r="J40" s="14"/>
      <c r="K40" s="14"/>
      <c r="L40" s="336"/>
      <c r="M40" s="95" t="e">
        <f t="shared" si="0"/>
        <v>#REF!</v>
      </c>
    </row>
    <row r="41" spans="1:13" x14ac:dyDescent="0.2">
      <c r="A41" s="343"/>
      <c r="B41" s="170" t="e">
        <f>Capacidades!#REF!</f>
        <v>#REF!</v>
      </c>
      <c r="C41" s="171"/>
      <c r="D41" s="13"/>
      <c r="E41" s="13"/>
      <c r="F41" s="13"/>
      <c r="G41" s="13"/>
      <c r="H41" s="14"/>
      <c r="I41" s="14"/>
      <c r="J41" s="14"/>
      <c r="K41" s="14"/>
      <c r="L41" s="336"/>
      <c r="M41" s="95" t="e">
        <f t="shared" si="0"/>
        <v>#REF!</v>
      </c>
    </row>
    <row r="42" spans="1:13" x14ac:dyDescent="0.2">
      <c r="A42" s="343"/>
      <c r="B42" s="170" t="e">
        <f>Capacidades!#REF!</f>
        <v>#REF!</v>
      </c>
      <c r="C42" s="171"/>
      <c r="D42" s="13"/>
      <c r="E42" s="13"/>
      <c r="F42" s="13"/>
      <c r="G42" s="13"/>
      <c r="H42" s="14"/>
      <c r="I42" s="14"/>
      <c r="J42" s="14"/>
      <c r="K42" s="14"/>
      <c r="L42" s="336"/>
      <c r="M42" s="95" t="e">
        <f t="shared" si="0"/>
        <v>#REF!</v>
      </c>
    </row>
    <row r="43" spans="1:13" x14ac:dyDescent="0.2">
      <c r="A43" s="343"/>
      <c r="B43" s="170" t="e">
        <f>Capacidades!#REF!</f>
        <v>#REF!</v>
      </c>
      <c r="C43" s="171"/>
      <c r="D43" s="13"/>
      <c r="E43" s="13"/>
      <c r="F43" s="13"/>
      <c r="G43" s="13"/>
      <c r="H43" s="14"/>
      <c r="I43" s="14"/>
      <c r="J43" s="14"/>
      <c r="K43" s="14"/>
      <c r="L43" s="336"/>
      <c r="M43" s="95" t="e">
        <f t="shared" si="0"/>
        <v>#REF!</v>
      </c>
    </row>
    <row r="44" spans="1:13" x14ac:dyDescent="0.2">
      <c r="A44" s="343"/>
      <c r="B44" s="170" t="e">
        <f>Capacidades!#REF!</f>
        <v>#REF!</v>
      </c>
      <c r="C44" s="171"/>
      <c r="D44" s="13"/>
      <c r="E44" s="13"/>
      <c r="F44" s="13"/>
      <c r="G44" s="13"/>
      <c r="H44" s="14"/>
      <c r="I44" s="14"/>
      <c r="J44" s="14"/>
      <c r="K44" s="14"/>
      <c r="L44" s="336"/>
      <c r="M44" s="95" t="e">
        <f t="shared" si="0"/>
        <v>#REF!</v>
      </c>
    </row>
    <row r="45" spans="1:13" x14ac:dyDescent="0.2">
      <c r="A45" s="343"/>
      <c r="B45" s="170" t="e">
        <f>Capacidades!#REF!</f>
        <v>#REF!</v>
      </c>
      <c r="C45" s="171"/>
      <c r="D45" s="13"/>
      <c r="E45" s="13"/>
      <c r="F45" s="13"/>
      <c r="G45" s="13"/>
      <c r="H45" s="14"/>
      <c r="I45" s="14"/>
      <c r="J45" s="14"/>
      <c r="K45" s="14"/>
      <c r="L45" s="336"/>
      <c r="M45" s="95" t="e">
        <f t="shared" si="0"/>
        <v>#REF!</v>
      </c>
    </row>
    <row r="46" spans="1:13" x14ac:dyDescent="0.2">
      <c r="A46" s="343"/>
      <c r="B46" s="170" t="e">
        <f>Capacidades!#REF!</f>
        <v>#REF!</v>
      </c>
      <c r="C46" s="171"/>
      <c r="D46" s="13"/>
      <c r="E46" s="13"/>
      <c r="F46" s="13"/>
      <c r="G46" s="13"/>
      <c r="H46" s="14"/>
      <c r="I46" s="14"/>
      <c r="J46" s="14"/>
      <c r="K46" s="14"/>
      <c r="L46" s="336"/>
      <c r="M46" s="95" t="e">
        <f t="shared" si="0"/>
        <v>#REF!</v>
      </c>
    </row>
    <row r="47" spans="1:13" x14ac:dyDescent="0.2">
      <c r="A47" s="344"/>
      <c r="B47" s="170" t="e">
        <f>Capacidades!#REF!</f>
        <v>#REF!</v>
      </c>
      <c r="C47" s="171"/>
      <c r="D47" s="15"/>
      <c r="E47" s="15"/>
      <c r="F47" s="15"/>
      <c r="G47" s="15"/>
      <c r="H47" s="16"/>
      <c r="I47" s="16"/>
      <c r="J47" s="16"/>
      <c r="K47" s="16"/>
      <c r="L47" s="337"/>
      <c r="M47" s="95" t="e">
        <f t="shared" si="0"/>
        <v>#REF!</v>
      </c>
    </row>
    <row r="48" spans="1:13" x14ac:dyDescent="0.2">
      <c r="A48" s="342" t="e">
        <f>Capacidades!#REF!</f>
        <v>#REF!</v>
      </c>
      <c r="B48" s="170" t="e">
        <f>Capacidades!#REF!</f>
        <v>#REF!</v>
      </c>
      <c r="C48" s="171"/>
      <c r="D48" s="11">
        <f>Organización_Modular!F137</f>
        <v>0</v>
      </c>
      <c r="E48" s="11">
        <f>Organización_Modular!G137</f>
        <v>0</v>
      </c>
      <c r="F48" s="11">
        <f>Organización_Modular!H137</f>
        <v>0</v>
      </c>
      <c r="G48" s="11">
        <f>Organización_Modular!I137</f>
        <v>0</v>
      </c>
      <c r="H48" s="12">
        <f>SUM(F48:G48)</f>
        <v>0</v>
      </c>
      <c r="I48" s="12">
        <f>F48*16</f>
        <v>0</v>
      </c>
      <c r="J48" s="12">
        <f>G48*32</f>
        <v>0</v>
      </c>
      <c r="K48" s="12">
        <f>SUM(I48:J48)</f>
        <v>0</v>
      </c>
      <c r="L48" s="335"/>
      <c r="M48" s="95" t="e">
        <f t="shared" si="0"/>
        <v>#REF!</v>
      </c>
    </row>
    <row r="49" spans="1:13" x14ac:dyDescent="0.2">
      <c r="A49" s="343"/>
      <c r="B49" s="170" t="e">
        <f>Capacidades!#REF!</f>
        <v>#REF!</v>
      </c>
      <c r="C49" s="171"/>
      <c r="D49" s="13"/>
      <c r="E49" s="13"/>
      <c r="F49" s="13"/>
      <c r="G49" s="13"/>
      <c r="H49" s="14"/>
      <c r="I49" s="14"/>
      <c r="J49" s="14"/>
      <c r="K49" s="14"/>
      <c r="L49" s="336"/>
      <c r="M49" s="95" t="e">
        <f t="shared" si="0"/>
        <v>#REF!</v>
      </c>
    </row>
    <row r="50" spans="1:13" x14ac:dyDescent="0.2">
      <c r="A50" s="343"/>
      <c r="B50" s="170" t="e">
        <f>Capacidades!#REF!</f>
        <v>#REF!</v>
      </c>
      <c r="C50" s="171"/>
      <c r="D50" s="13"/>
      <c r="E50" s="13"/>
      <c r="F50" s="13"/>
      <c r="G50" s="13"/>
      <c r="H50" s="14"/>
      <c r="I50" s="14"/>
      <c r="J50" s="14"/>
      <c r="K50" s="14"/>
      <c r="L50" s="336"/>
      <c r="M50" s="95" t="e">
        <f t="shared" si="0"/>
        <v>#REF!</v>
      </c>
    </row>
    <row r="51" spans="1:13" x14ac:dyDescent="0.2">
      <c r="A51" s="343"/>
      <c r="B51" s="170" t="e">
        <f>Capacidades!#REF!</f>
        <v>#REF!</v>
      </c>
      <c r="C51" s="171"/>
      <c r="D51" s="13"/>
      <c r="E51" s="13"/>
      <c r="F51" s="13"/>
      <c r="G51" s="13"/>
      <c r="H51" s="14"/>
      <c r="I51" s="14"/>
      <c r="J51" s="14"/>
      <c r="K51" s="14"/>
      <c r="L51" s="336"/>
      <c r="M51" s="95" t="e">
        <f t="shared" si="0"/>
        <v>#REF!</v>
      </c>
    </row>
    <row r="52" spans="1:13" x14ac:dyDescent="0.2">
      <c r="A52" s="343"/>
      <c r="B52" s="170" t="e">
        <f>Capacidades!#REF!</f>
        <v>#REF!</v>
      </c>
      <c r="C52" s="171"/>
      <c r="D52" s="13"/>
      <c r="E52" s="13"/>
      <c r="F52" s="13"/>
      <c r="G52" s="13"/>
      <c r="H52" s="14"/>
      <c r="I52" s="14"/>
      <c r="J52" s="14"/>
      <c r="K52" s="14"/>
      <c r="L52" s="336"/>
      <c r="M52" s="95" t="e">
        <f t="shared" si="0"/>
        <v>#REF!</v>
      </c>
    </row>
    <row r="53" spans="1:13" x14ac:dyDescent="0.2">
      <c r="A53" s="343"/>
      <c r="B53" s="170" t="e">
        <f>Capacidades!#REF!</f>
        <v>#REF!</v>
      </c>
      <c r="C53" s="171"/>
      <c r="D53" s="13"/>
      <c r="E53" s="13"/>
      <c r="F53" s="13"/>
      <c r="G53" s="13"/>
      <c r="H53" s="14"/>
      <c r="I53" s="14"/>
      <c r="J53" s="14"/>
      <c r="K53" s="14"/>
      <c r="L53" s="336"/>
      <c r="M53" s="95" t="e">
        <f t="shared" si="0"/>
        <v>#REF!</v>
      </c>
    </row>
    <row r="54" spans="1:13" x14ac:dyDescent="0.2">
      <c r="A54" s="343"/>
      <c r="B54" s="170" t="e">
        <f>Capacidades!#REF!</f>
        <v>#REF!</v>
      </c>
      <c r="C54" s="171"/>
      <c r="D54" s="13"/>
      <c r="E54" s="13"/>
      <c r="F54" s="13"/>
      <c r="G54" s="13"/>
      <c r="H54" s="14"/>
      <c r="I54" s="14"/>
      <c r="J54" s="14"/>
      <c r="K54" s="14"/>
      <c r="L54" s="336"/>
      <c r="M54" s="95" t="e">
        <f t="shared" si="0"/>
        <v>#REF!</v>
      </c>
    </row>
    <row r="55" spans="1:13" x14ac:dyDescent="0.2">
      <c r="A55" s="343"/>
      <c r="B55" s="170" t="e">
        <f>Capacidades!#REF!</f>
        <v>#REF!</v>
      </c>
      <c r="C55" s="171"/>
      <c r="D55" s="13"/>
      <c r="E55" s="13"/>
      <c r="F55" s="13"/>
      <c r="G55" s="13"/>
      <c r="H55" s="14"/>
      <c r="I55" s="14"/>
      <c r="J55" s="14"/>
      <c r="K55" s="14"/>
      <c r="L55" s="336"/>
      <c r="M55" s="95" t="e">
        <f t="shared" si="0"/>
        <v>#REF!</v>
      </c>
    </row>
    <row r="56" spans="1:13" x14ac:dyDescent="0.2">
      <c r="A56" s="343"/>
      <c r="B56" s="170" t="e">
        <f>Capacidades!#REF!</f>
        <v>#REF!</v>
      </c>
      <c r="C56" s="171"/>
      <c r="D56" s="13"/>
      <c r="E56" s="13"/>
      <c r="F56" s="13"/>
      <c r="G56" s="13"/>
      <c r="H56" s="14"/>
      <c r="I56" s="14"/>
      <c r="J56" s="14"/>
      <c r="K56" s="14"/>
      <c r="L56" s="336"/>
      <c r="M56" s="95" t="e">
        <f t="shared" si="0"/>
        <v>#REF!</v>
      </c>
    </row>
    <row r="57" spans="1:13" x14ac:dyDescent="0.2">
      <c r="A57" s="344"/>
      <c r="B57" s="170" t="e">
        <f>Capacidades!#REF!</f>
        <v>#REF!</v>
      </c>
      <c r="C57" s="171"/>
      <c r="D57" s="15"/>
      <c r="E57" s="15"/>
      <c r="F57" s="15"/>
      <c r="G57" s="15"/>
      <c r="H57" s="16"/>
      <c r="I57" s="16"/>
      <c r="J57" s="16"/>
      <c r="K57" s="16"/>
      <c r="L57" s="337"/>
      <c r="M57" s="95" t="e">
        <f t="shared" si="0"/>
        <v>#REF!</v>
      </c>
    </row>
    <row r="58" spans="1:13" x14ac:dyDescent="0.2">
      <c r="A58" s="342" t="e">
        <f>Capacidades!#REF!</f>
        <v>#REF!</v>
      </c>
      <c r="B58" s="170" t="e">
        <f>Capacidades!#REF!</f>
        <v>#REF!</v>
      </c>
      <c r="C58" s="171"/>
      <c r="D58" s="11">
        <f>Organización_Modular!F138</f>
        <v>0</v>
      </c>
      <c r="E58" s="11">
        <f>Organización_Modular!G138</f>
        <v>0</v>
      </c>
      <c r="F58" s="11">
        <f>Organización_Modular!H138</f>
        <v>0</v>
      </c>
      <c r="G58" s="11">
        <f>Organización_Modular!I138</f>
        <v>0</v>
      </c>
      <c r="H58" s="12">
        <f>SUM(F58:G58)</f>
        <v>0</v>
      </c>
      <c r="I58" s="12">
        <f>F58*16</f>
        <v>0</v>
      </c>
      <c r="J58" s="12">
        <f>G58*32</f>
        <v>0</v>
      </c>
      <c r="K58" s="12">
        <f>SUM(I58:J58)</f>
        <v>0</v>
      </c>
      <c r="L58" s="335"/>
      <c r="M58" s="95" t="e">
        <f t="shared" si="0"/>
        <v>#REF!</v>
      </c>
    </row>
    <row r="59" spans="1:13" x14ac:dyDescent="0.2">
      <c r="A59" s="343"/>
      <c r="B59" s="170" t="e">
        <f>Capacidades!#REF!</f>
        <v>#REF!</v>
      </c>
      <c r="C59" s="171"/>
      <c r="D59" s="13"/>
      <c r="E59" s="13"/>
      <c r="F59" s="13"/>
      <c r="G59" s="13"/>
      <c r="H59" s="14"/>
      <c r="I59" s="14"/>
      <c r="J59" s="14"/>
      <c r="K59" s="14"/>
      <c r="L59" s="336"/>
      <c r="M59" s="95" t="e">
        <f t="shared" si="0"/>
        <v>#REF!</v>
      </c>
    </row>
    <row r="60" spans="1:13" x14ac:dyDescent="0.2">
      <c r="A60" s="343"/>
      <c r="B60" s="170" t="e">
        <f>Capacidades!#REF!</f>
        <v>#REF!</v>
      </c>
      <c r="C60" s="171"/>
      <c r="D60" s="13"/>
      <c r="E60" s="13"/>
      <c r="F60" s="13"/>
      <c r="G60" s="13"/>
      <c r="H60" s="14"/>
      <c r="I60" s="14"/>
      <c r="J60" s="14"/>
      <c r="K60" s="14"/>
      <c r="L60" s="336"/>
      <c r="M60" s="95" t="e">
        <f t="shared" si="0"/>
        <v>#REF!</v>
      </c>
    </row>
    <row r="61" spans="1:13" x14ac:dyDescent="0.2">
      <c r="A61" s="343"/>
      <c r="B61" s="170" t="e">
        <f>Capacidades!#REF!</f>
        <v>#REF!</v>
      </c>
      <c r="C61" s="171"/>
      <c r="D61" s="13"/>
      <c r="E61" s="13"/>
      <c r="F61" s="13"/>
      <c r="G61" s="13"/>
      <c r="H61" s="14"/>
      <c r="I61" s="14"/>
      <c r="J61" s="14"/>
      <c r="K61" s="14"/>
      <c r="L61" s="336"/>
      <c r="M61" s="95" t="e">
        <f t="shared" si="0"/>
        <v>#REF!</v>
      </c>
    </row>
    <row r="62" spans="1:13" x14ac:dyDescent="0.2">
      <c r="A62" s="343"/>
      <c r="B62" s="170" t="e">
        <f>Capacidades!#REF!</f>
        <v>#REF!</v>
      </c>
      <c r="C62" s="171"/>
      <c r="D62" s="13"/>
      <c r="E62" s="13"/>
      <c r="F62" s="13"/>
      <c r="G62" s="13"/>
      <c r="H62" s="14"/>
      <c r="I62" s="14"/>
      <c r="J62" s="14"/>
      <c r="K62" s="14"/>
      <c r="L62" s="336"/>
      <c r="M62" s="95" t="e">
        <f t="shared" si="0"/>
        <v>#REF!</v>
      </c>
    </row>
    <row r="63" spans="1:13" x14ac:dyDescent="0.2">
      <c r="A63" s="343"/>
      <c r="B63" s="170" t="e">
        <f>Capacidades!#REF!</f>
        <v>#REF!</v>
      </c>
      <c r="C63" s="171"/>
      <c r="D63" s="13"/>
      <c r="E63" s="13"/>
      <c r="F63" s="13"/>
      <c r="G63" s="13"/>
      <c r="H63" s="14"/>
      <c r="I63" s="14"/>
      <c r="J63" s="14"/>
      <c r="K63" s="14"/>
      <c r="L63" s="336"/>
      <c r="M63" s="95" t="e">
        <f t="shared" si="0"/>
        <v>#REF!</v>
      </c>
    </row>
    <row r="64" spans="1:13" x14ac:dyDescent="0.2">
      <c r="A64" s="343"/>
      <c r="B64" s="170" t="e">
        <f>Capacidades!#REF!</f>
        <v>#REF!</v>
      </c>
      <c r="C64" s="171"/>
      <c r="D64" s="13"/>
      <c r="E64" s="13"/>
      <c r="F64" s="13"/>
      <c r="G64" s="13"/>
      <c r="H64" s="14"/>
      <c r="I64" s="14"/>
      <c r="J64" s="14"/>
      <c r="K64" s="14"/>
      <c r="L64" s="336"/>
      <c r="M64" s="95" t="e">
        <f t="shared" si="0"/>
        <v>#REF!</v>
      </c>
    </row>
    <row r="65" spans="1:13" x14ac:dyDescent="0.2">
      <c r="A65" s="343"/>
      <c r="B65" s="170" t="e">
        <f>Capacidades!#REF!</f>
        <v>#REF!</v>
      </c>
      <c r="C65" s="171"/>
      <c r="D65" s="13"/>
      <c r="E65" s="13"/>
      <c r="F65" s="13"/>
      <c r="G65" s="13"/>
      <c r="H65" s="14"/>
      <c r="I65" s="14"/>
      <c r="J65" s="14"/>
      <c r="K65" s="14"/>
      <c r="L65" s="336"/>
      <c r="M65" s="95" t="e">
        <f t="shared" si="0"/>
        <v>#REF!</v>
      </c>
    </row>
    <row r="66" spans="1:13" x14ac:dyDescent="0.2">
      <c r="A66" s="343"/>
      <c r="B66" s="170" t="e">
        <f>Capacidades!#REF!</f>
        <v>#REF!</v>
      </c>
      <c r="C66" s="171"/>
      <c r="D66" s="13"/>
      <c r="E66" s="13"/>
      <c r="F66" s="13"/>
      <c r="G66" s="13"/>
      <c r="H66" s="14"/>
      <c r="I66" s="14"/>
      <c r="J66" s="14"/>
      <c r="K66" s="14"/>
      <c r="L66" s="336"/>
      <c r="M66" s="95" t="e">
        <f t="shared" si="0"/>
        <v>#REF!</v>
      </c>
    </row>
    <row r="67" spans="1:13" x14ac:dyDescent="0.2">
      <c r="A67" s="344"/>
      <c r="B67" s="170" t="e">
        <f>Capacidades!#REF!</f>
        <v>#REF!</v>
      </c>
      <c r="C67" s="171"/>
      <c r="D67" s="15"/>
      <c r="E67" s="15"/>
      <c r="F67" s="15"/>
      <c r="G67" s="15"/>
      <c r="H67" s="16"/>
      <c r="I67" s="16"/>
      <c r="J67" s="16"/>
      <c r="K67" s="16"/>
      <c r="L67" s="337"/>
      <c r="M67" s="95" t="e">
        <f t="shared" si="0"/>
        <v>#REF!</v>
      </c>
    </row>
    <row r="68" spans="1:13" x14ac:dyDescent="0.2">
      <c r="A68" s="342" t="e">
        <f>Capacidades!#REF!</f>
        <v>#REF!</v>
      </c>
      <c r="B68" s="170" t="e">
        <f>Capacidades!#REF!</f>
        <v>#REF!</v>
      </c>
      <c r="C68" s="171"/>
      <c r="D68" s="11">
        <f>Organización_Modular!F139</f>
        <v>0</v>
      </c>
      <c r="E68" s="11">
        <f>Organización_Modular!G139</f>
        <v>0</v>
      </c>
      <c r="F68" s="11">
        <f>Organización_Modular!H139</f>
        <v>0</v>
      </c>
      <c r="G68" s="11">
        <f>Organización_Modular!I139</f>
        <v>0</v>
      </c>
      <c r="H68" s="12">
        <f>SUM(F68:G68)</f>
        <v>0</v>
      </c>
      <c r="I68" s="12">
        <f>F68*16</f>
        <v>0</v>
      </c>
      <c r="J68" s="12">
        <f>G68*32</f>
        <v>0</v>
      </c>
      <c r="K68" s="12">
        <f>SUM(I68:J68)</f>
        <v>0</v>
      </c>
      <c r="L68" s="335"/>
      <c r="M68" s="95" t="e">
        <f t="shared" si="0"/>
        <v>#REF!</v>
      </c>
    </row>
    <row r="69" spans="1:13" x14ac:dyDescent="0.2">
      <c r="A69" s="343"/>
      <c r="B69" s="170" t="e">
        <f>Capacidades!#REF!</f>
        <v>#REF!</v>
      </c>
      <c r="C69" s="171"/>
      <c r="D69" s="13"/>
      <c r="E69" s="13"/>
      <c r="F69" s="13"/>
      <c r="G69" s="13"/>
      <c r="H69" s="14"/>
      <c r="I69" s="14"/>
      <c r="J69" s="14"/>
      <c r="K69" s="14"/>
      <c r="L69" s="336"/>
      <c r="M69" s="95" t="e">
        <f t="shared" si="0"/>
        <v>#REF!</v>
      </c>
    </row>
    <row r="70" spans="1:13" x14ac:dyDescent="0.2">
      <c r="A70" s="343"/>
      <c r="B70" s="170" t="e">
        <f>Capacidades!#REF!</f>
        <v>#REF!</v>
      </c>
      <c r="C70" s="171"/>
      <c r="D70" s="13"/>
      <c r="E70" s="13"/>
      <c r="F70" s="13"/>
      <c r="G70" s="13"/>
      <c r="H70" s="14"/>
      <c r="I70" s="14"/>
      <c r="J70" s="14"/>
      <c r="K70" s="14"/>
      <c r="L70" s="336"/>
      <c r="M70" s="95" t="e">
        <f t="shared" si="0"/>
        <v>#REF!</v>
      </c>
    </row>
    <row r="71" spans="1:13" x14ac:dyDescent="0.2">
      <c r="A71" s="343"/>
      <c r="B71" s="170" t="e">
        <f>Capacidades!#REF!</f>
        <v>#REF!</v>
      </c>
      <c r="C71" s="171"/>
      <c r="D71" s="13"/>
      <c r="E71" s="13"/>
      <c r="F71" s="13"/>
      <c r="G71" s="13"/>
      <c r="H71" s="14"/>
      <c r="I71" s="14"/>
      <c r="J71" s="14"/>
      <c r="K71" s="14"/>
      <c r="L71" s="336"/>
      <c r="M71" s="95" t="e">
        <f t="shared" si="0"/>
        <v>#REF!</v>
      </c>
    </row>
    <row r="72" spans="1:13" x14ac:dyDescent="0.2">
      <c r="A72" s="343"/>
      <c r="B72" s="170" t="e">
        <f>Capacidades!#REF!</f>
        <v>#REF!</v>
      </c>
      <c r="C72" s="171"/>
      <c r="D72" s="13"/>
      <c r="E72" s="13"/>
      <c r="F72" s="13"/>
      <c r="G72" s="13"/>
      <c r="H72" s="14"/>
      <c r="I72" s="14"/>
      <c r="J72" s="14"/>
      <c r="K72" s="14"/>
      <c r="L72" s="336"/>
      <c r="M72" s="95" t="e">
        <f t="shared" si="0"/>
        <v>#REF!</v>
      </c>
    </row>
    <row r="73" spans="1:13" x14ac:dyDescent="0.2">
      <c r="A73" s="343"/>
      <c r="B73" s="170" t="e">
        <f>Capacidades!#REF!</f>
        <v>#REF!</v>
      </c>
      <c r="C73" s="171"/>
      <c r="D73" s="13"/>
      <c r="E73" s="13"/>
      <c r="F73" s="13"/>
      <c r="G73" s="13"/>
      <c r="H73" s="14"/>
      <c r="I73" s="14"/>
      <c r="J73" s="14"/>
      <c r="K73" s="14"/>
      <c r="L73" s="336"/>
      <c r="M73" s="95" t="e">
        <f t="shared" si="0"/>
        <v>#REF!</v>
      </c>
    </row>
    <row r="74" spans="1:13" x14ac:dyDescent="0.2">
      <c r="A74" s="343"/>
      <c r="B74" s="170" t="e">
        <f>Capacidades!#REF!</f>
        <v>#REF!</v>
      </c>
      <c r="C74" s="171"/>
      <c r="D74" s="13"/>
      <c r="E74" s="13"/>
      <c r="F74" s="13"/>
      <c r="G74" s="13"/>
      <c r="H74" s="14"/>
      <c r="I74" s="14"/>
      <c r="J74" s="14"/>
      <c r="K74" s="14"/>
      <c r="L74" s="336"/>
      <c r="M74" s="95" t="e">
        <f t="shared" si="0"/>
        <v>#REF!</v>
      </c>
    </row>
    <row r="75" spans="1:13" x14ac:dyDescent="0.2">
      <c r="A75" s="343"/>
      <c r="B75" s="170" t="e">
        <f>Capacidades!#REF!</f>
        <v>#REF!</v>
      </c>
      <c r="C75" s="171"/>
      <c r="D75" s="13"/>
      <c r="E75" s="13"/>
      <c r="F75" s="13"/>
      <c r="G75" s="13"/>
      <c r="H75" s="14"/>
      <c r="I75" s="14"/>
      <c r="J75" s="14"/>
      <c r="K75" s="14"/>
      <c r="L75" s="336"/>
      <c r="M75" s="95" t="e">
        <f t="shared" si="0"/>
        <v>#REF!</v>
      </c>
    </row>
    <row r="76" spans="1:13" x14ac:dyDescent="0.2">
      <c r="A76" s="343"/>
      <c r="B76" s="170" t="e">
        <f>Capacidades!#REF!</f>
        <v>#REF!</v>
      </c>
      <c r="C76" s="171"/>
      <c r="D76" s="13"/>
      <c r="E76" s="13"/>
      <c r="F76" s="13"/>
      <c r="G76" s="13"/>
      <c r="H76" s="14"/>
      <c r="I76" s="14"/>
      <c r="J76" s="14"/>
      <c r="K76" s="14"/>
      <c r="L76" s="336"/>
      <c r="M76" s="95" t="e">
        <f t="shared" si="0"/>
        <v>#REF!</v>
      </c>
    </row>
    <row r="77" spans="1:13" x14ac:dyDescent="0.2">
      <c r="A77" s="344"/>
      <c r="B77" s="170" t="e">
        <f>Capacidades!#REF!</f>
        <v>#REF!</v>
      </c>
      <c r="C77" s="171"/>
      <c r="D77" s="15"/>
      <c r="E77" s="15"/>
      <c r="F77" s="15"/>
      <c r="G77" s="15"/>
      <c r="H77" s="16"/>
      <c r="I77" s="16"/>
      <c r="J77" s="16"/>
      <c r="K77" s="16"/>
      <c r="L77" s="337"/>
      <c r="M77" s="95" t="e">
        <f t="shared" si="0"/>
        <v>#REF!</v>
      </c>
    </row>
    <row r="78" spans="1:13" x14ac:dyDescent="0.2">
      <c r="A78" s="342" t="e">
        <f>Capacidades!#REF!</f>
        <v>#REF!</v>
      </c>
      <c r="B78" s="170" t="e">
        <f>Capacidades!#REF!</f>
        <v>#REF!</v>
      </c>
      <c r="C78" s="171"/>
      <c r="D78" s="11">
        <f>Organización_Modular!F140</f>
        <v>0</v>
      </c>
      <c r="E78" s="11">
        <f>Organización_Modular!G140</f>
        <v>0</v>
      </c>
      <c r="F78" s="11">
        <f>Organización_Modular!H140</f>
        <v>0</v>
      </c>
      <c r="G78" s="11">
        <f>Organización_Modular!I140</f>
        <v>0</v>
      </c>
      <c r="H78" s="12">
        <f>SUM(F78:G78)</f>
        <v>0</v>
      </c>
      <c r="I78" s="12">
        <f>F78*16</f>
        <v>0</v>
      </c>
      <c r="J78" s="12">
        <f>G78*32</f>
        <v>0</v>
      </c>
      <c r="K78" s="12">
        <f>SUM(I78:J78)</f>
        <v>0</v>
      </c>
      <c r="L78" s="335"/>
      <c r="M78" s="95" t="e">
        <f t="shared" si="0"/>
        <v>#REF!</v>
      </c>
    </row>
    <row r="79" spans="1:13" x14ac:dyDescent="0.2">
      <c r="A79" s="343"/>
      <c r="B79" s="170" t="e">
        <f>Capacidades!#REF!</f>
        <v>#REF!</v>
      </c>
      <c r="C79" s="171"/>
      <c r="D79" s="13"/>
      <c r="E79" s="13"/>
      <c r="F79" s="13"/>
      <c r="G79" s="13"/>
      <c r="H79" s="14"/>
      <c r="I79" s="14"/>
      <c r="J79" s="14"/>
      <c r="K79" s="14"/>
      <c r="L79" s="336"/>
      <c r="M79" s="95" t="e">
        <f t="shared" si="0"/>
        <v>#REF!</v>
      </c>
    </row>
    <row r="80" spans="1:13" x14ac:dyDescent="0.2">
      <c r="A80" s="343"/>
      <c r="B80" s="170" t="e">
        <f>Capacidades!#REF!</f>
        <v>#REF!</v>
      </c>
      <c r="C80" s="171"/>
      <c r="D80" s="13"/>
      <c r="E80" s="13"/>
      <c r="F80" s="13"/>
      <c r="G80" s="13"/>
      <c r="H80" s="14"/>
      <c r="I80" s="14"/>
      <c r="J80" s="14"/>
      <c r="K80" s="14"/>
      <c r="L80" s="336"/>
      <c r="M80" s="95" t="e">
        <f t="shared" si="0"/>
        <v>#REF!</v>
      </c>
    </row>
    <row r="81" spans="1:13" x14ac:dyDescent="0.2">
      <c r="A81" s="343"/>
      <c r="B81" s="170" t="e">
        <f>Capacidades!#REF!</f>
        <v>#REF!</v>
      </c>
      <c r="C81" s="171"/>
      <c r="D81" s="13"/>
      <c r="E81" s="13"/>
      <c r="F81" s="13"/>
      <c r="G81" s="13"/>
      <c r="H81" s="14"/>
      <c r="I81" s="14"/>
      <c r="J81" s="14"/>
      <c r="K81" s="14"/>
      <c r="L81" s="336"/>
      <c r="M81" s="95" t="e">
        <f t="shared" si="0"/>
        <v>#REF!</v>
      </c>
    </row>
    <row r="82" spans="1:13" x14ac:dyDescent="0.2">
      <c r="A82" s="343"/>
      <c r="B82" s="170" t="e">
        <f>Capacidades!#REF!</f>
        <v>#REF!</v>
      </c>
      <c r="C82" s="171"/>
      <c r="D82" s="13"/>
      <c r="E82" s="13"/>
      <c r="F82" s="13"/>
      <c r="G82" s="13"/>
      <c r="H82" s="14"/>
      <c r="I82" s="14"/>
      <c r="J82" s="14"/>
      <c r="K82" s="14"/>
      <c r="L82" s="336"/>
      <c r="M82" s="95" t="e">
        <f t="shared" si="0"/>
        <v>#REF!</v>
      </c>
    </row>
    <row r="83" spans="1:13" x14ac:dyDescent="0.2">
      <c r="A83" s="343"/>
      <c r="B83" s="170" t="e">
        <f>Capacidades!#REF!</f>
        <v>#REF!</v>
      </c>
      <c r="C83" s="171"/>
      <c r="D83" s="13"/>
      <c r="E83" s="13"/>
      <c r="F83" s="13"/>
      <c r="G83" s="13"/>
      <c r="H83" s="14"/>
      <c r="I83" s="14"/>
      <c r="J83" s="14"/>
      <c r="K83" s="14"/>
      <c r="L83" s="336"/>
      <c r="M83" s="95" t="e">
        <f t="shared" ref="M83:M146" si="1">B83</f>
        <v>#REF!</v>
      </c>
    </row>
    <row r="84" spans="1:13" x14ac:dyDescent="0.2">
      <c r="A84" s="343"/>
      <c r="B84" s="170" t="e">
        <f>Capacidades!#REF!</f>
        <v>#REF!</v>
      </c>
      <c r="C84" s="171"/>
      <c r="D84" s="13"/>
      <c r="E84" s="13"/>
      <c r="F84" s="13"/>
      <c r="G84" s="13"/>
      <c r="H84" s="14"/>
      <c r="I84" s="14"/>
      <c r="J84" s="14"/>
      <c r="K84" s="14"/>
      <c r="L84" s="336"/>
      <c r="M84" s="95" t="e">
        <f t="shared" si="1"/>
        <v>#REF!</v>
      </c>
    </row>
    <row r="85" spans="1:13" x14ac:dyDescent="0.2">
      <c r="A85" s="343"/>
      <c r="B85" s="170" t="e">
        <f>Capacidades!#REF!</f>
        <v>#REF!</v>
      </c>
      <c r="C85" s="171"/>
      <c r="D85" s="13"/>
      <c r="E85" s="13"/>
      <c r="F85" s="13"/>
      <c r="G85" s="13"/>
      <c r="H85" s="14"/>
      <c r="I85" s="14"/>
      <c r="J85" s="14"/>
      <c r="K85" s="14"/>
      <c r="L85" s="336"/>
      <c r="M85" s="95" t="e">
        <f t="shared" si="1"/>
        <v>#REF!</v>
      </c>
    </row>
    <row r="86" spans="1:13" x14ac:dyDescent="0.2">
      <c r="A86" s="343"/>
      <c r="B86" s="170" t="e">
        <f>Capacidades!#REF!</f>
        <v>#REF!</v>
      </c>
      <c r="C86" s="171"/>
      <c r="D86" s="13"/>
      <c r="E86" s="13"/>
      <c r="F86" s="13"/>
      <c r="G86" s="13"/>
      <c r="H86" s="14"/>
      <c r="I86" s="14"/>
      <c r="J86" s="14"/>
      <c r="K86" s="14"/>
      <c r="L86" s="336"/>
      <c r="M86" s="95" t="e">
        <f t="shared" si="1"/>
        <v>#REF!</v>
      </c>
    </row>
    <row r="87" spans="1:13" x14ac:dyDescent="0.2">
      <c r="A87" s="344"/>
      <c r="B87" s="170" t="e">
        <f>Capacidades!#REF!</f>
        <v>#REF!</v>
      </c>
      <c r="C87" s="171"/>
      <c r="D87" s="15"/>
      <c r="E87" s="15"/>
      <c r="F87" s="15"/>
      <c r="G87" s="15"/>
      <c r="H87" s="16"/>
      <c r="I87" s="16"/>
      <c r="J87" s="16"/>
      <c r="K87" s="16"/>
      <c r="L87" s="337"/>
      <c r="M87" s="95" t="e">
        <f t="shared" si="1"/>
        <v>#REF!</v>
      </c>
    </row>
    <row r="88" spans="1:13" x14ac:dyDescent="0.2">
      <c r="A88" s="342" t="e">
        <f>Capacidades!#REF!</f>
        <v>#REF!</v>
      </c>
      <c r="B88" s="170" t="e">
        <f>Capacidades!#REF!</f>
        <v>#REF!</v>
      </c>
      <c r="C88" s="171"/>
      <c r="D88" s="11">
        <f>Organización_Modular!F141</f>
        <v>0</v>
      </c>
      <c r="E88" s="11">
        <f>Organización_Modular!G141</f>
        <v>0</v>
      </c>
      <c r="F88" s="11">
        <f>Organización_Modular!H141</f>
        <v>0</v>
      </c>
      <c r="G88" s="11">
        <f>Organización_Modular!I141</f>
        <v>0</v>
      </c>
      <c r="H88" s="12">
        <f>SUM(F88:G88)</f>
        <v>0</v>
      </c>
      <c r="I88" s="12">
        <f>F88*16</f>
        <v>0</v>
      </c>
      <c r="J88" s="12">
        <f>G88*32</f>
        <v>0</v>
      </c>
      <c r="K88" s="12">
        <f>SUM(I88:J88)</f>
        <v>0</v>
      </c>
      <c r="L88" s="335"/>
      <c r="M88" s="95" t="e">
        <f t="shared" si="1"/>
        <v>#REF!</v>
      </c>
    </row>
    <row r="89" spans="1:13" x14ac:dyDescent="0.2">
      <c r="A89" s="343"/>
      <c r="B89" s="170" t="e">
        <f>Capacidades!#REF!</f>
        <v>#REF!</v>
      </c>
      <c r="C89" s="171"/>
      <c r="D89" s="13"/>
      <c r="E89" s="13"/>
      <c r="F89" s="13"/>
      <c r="G89" s="13"/>
      <c r="H89" s="14"/>
      <c r="I89" s="14"/>
      <c r="J89" s="14"/>
      <c r="K89" s="14"/>
      <c r="L89" s="336"/>
      <c r="M89" s="95" t="e">
        <f t="shared" si="1"/>
        <v>#REF!</v>
      </c>
    </row>
    <row r="90" spans="1:13" x14ac:dyDescent="0.2">
      <c r="A90" s="343"/>
      <c r="B90" s="170" t="e">
        <f>Capacidades!#REF!</f>
        <v>#REF!</v>
      </c>
      <c r="C90" s="171"/>
      <c r="D90" s="13"/>
      <c r="E90" s="13"/>
      <c r="F90" s="13"/>
      <c r="G90" s="13"/>
      <c r="H90" s="14"/>
      <c r="I90" s="14"/>
      <c r="J90" s="14"/>
      <c r="K90" s="14"/>
      <c r="L90" s="336"/>
      <c r="M90" s="95" t="e">
        <f t="shared" si="1"/>
        <v>#REF!</v>
      </c>
    </row>
    <row r="91" spans="1:13" x14ac:dyDescent="0.2">
      <c r="A91" s="343"/>
      <c r="B91" s="170" t="e">
        <f>Capacidades!#REF!</f>
        <v>#REF!</v>
      </c>
      <c r="C91" s="171"/>
      <c r="D91" s="13"/>
      <c r="E91" s="13"/>
      <c r="F91" s="13"/>
      <c r="G91" s="13"/>
      <c r="H91" s="14"/>
      <c r="I91" s="14"/>
      <c r="J91" s="14"/>
      <c r="K91" s="14"/>
      <c r="L91" s="336"/>
      <c r="M91" s="95" t="e">
        <f t="shared" si="1"/>
        <v>#REF!</v>
      </c>
    </row>
    <row r="92" spans="1:13" x14ac:dyDescent="0.2">
      <c r="A92" s="343"/>
      <c r="B92" s="170" t="e">
        <f>Capacidades!#REF!</f>
        <v>#REF!</v>
      </c>
      <c r="C92" s="171"/>
      <c r="D92" s="13"/>
      <c r="E92" s="13"/>
      <c r="F92" s="13"/>
      <c r="G92" s="13"/>
      <c r="H92" s="14"/>
      <c r="I92" s="14"/>
      <c r="J92" s="14"/>
      <c r="K92" s="14"/>
      <c r="L92" s="336"/>
      <c r="M92" s="95" t="e">
        <f t="shared" si="1"/>
        <v>#REF!</v>
      </c>
    </row>
    <row r="93" spans="1:13" x14ac:dyDescent="0.2">
      <c r="A93" s="343"/>
      <c r="B93" s="170" t="e">
        <f>Capacidades!#REF!</f>
        <v>#REF!</v>
      </c>
      <c r="C93" s="171"/>
      <c r="D93" s="13"/>
      <c r="E93" s="13"/>
      <c r="F93" s="13"/>
      <c r="G93" s="13"/>
      <c r="H93" s="14"/>
      <c r="I93" s="14"/>
      <c r="J93" s="14"/>
      <c r="K93" s="14"/>
      <c r="L93" s="336"/>
      <c r="M93" s="95" t="e">
        <f t="shared" si="1"/>
        <v>#REF!</v>
      </c>
    </row>
    <row r="94" spans="1:13" x14ac:dyDescent="0.2">
      <c r="A94" s="343"/>
      <c r="B94" s="170" t="e">
        <f>Capacidades!#REF!</f>
        <v>#REF!</v>
      </c>
      <c r="C94" s="171"/>
      <c r="D94" s="13"/>
      <c r="E94" s="13"/>
      <c r="F94" s="13"/>
      <c r="G94" s="13"/>
      <c r="H94" s="14"/>
      <c r="I94" s="14"/>
      <c r="J94" s="14"/>
      <c r="K94" s="14"/>
      <c r="L94" s="336"/>
      <c r="M94" s="95" t="e">
        <f t="shared" si="1"/>
        <v>#REF!</v>
      </c>
    </row>
    <row r="95" spans="1:13" x14ac:dyDescent="0.2">
      <c r="A95" s="343"/>
      <c r="B95" s="170" t="e">
        <f>Capacidades!#REF!</f>
        <v>#REF!</v>
      </c>
      <c r="C95" s="171"/>
      <c r="D95" s="13"/>
      <c r="E95" s="13"/>
      <c r="F95" s="13"/>
      <c r="G95" s="13"/>
      <c r="H95" s="14"/>
      <c r="I95" s="14"/>
      <c r="J95" s="14"/>
      <c r="K95" s="14"/>
      <c r="L95" s="336"/>
      <c r="M95" s="95" t="e">
        <f t="shared" si="1"/>
        <v>#REF!</v>
      </c>
    </row>
    <row r="96" spans="1:13" x14ac:dyDescent="0.2">
      <c r="A96" s="343"/>
      <c r="B96" s="170" t="e">
        <f>Capacidades!#REF!</f>
        <v>#REF!</v>
      </c>
      <c r="C96" s="171"/>
      <c r="D96" s="13"/>
      <c r="E96" s="13"/>
      <c r="F96" s="13"/>
      <c r="G96" s="13"/>
      <c r="H96" s="14"/>
      <c r="I96" s="14"/>
      <c r="J96" s="14"/>
      <c r="K96" s="14"/>
      <c r="L96" s="336"/>
      <c r="M96" s="95" t="e">
        <f t="shared" si="1"/>
        <v>#REF!</v>
      </c>
    </row>
    <row r="97" spans="1:13" x14ac:dyDescent="0.2">
      <c r="A97" s="344"/>
      <c r="B97" s="170" t="e">
        <f>Capacidades!#REF!</f>
        <v>#REF!</v>
      </c>
      <c r="C97" s="171"/>
      <c r="D97" s="15"/>
      <c r="E97" s="15"/>
      <c r="F97" s="15"/>
      <c r="G97" s="15"/>
      <c r="H97" s="16"/>
      <c r="I97" s="16"/>
      <c r="J97" s="16"/>
      <c r="K97" s="16"/>
      <c r="L97" s="337"/>
      <c r="M97" s="95" t="e">
        <f t="shared" si="1"/>
        <v>#REF!</v>
      </c>
    </row>
    <row r="98" spans="1:13" x14ac:dyDescent="0.2">
      <c r="A98" s="342" t="e">
        <f>Capacidades!#REF!</f>
        <v>#REF!</v>
      </c>
      <c r="B98" s="170" t="e">
        <f>Capacidades!#REF!</f>
        <v>#REF!</v>
      </c>
      <c r="C98" s="171"/>
      <c r="D98" s="11">
        <f>Organización_Modular!F142</f>
        <v>0</v>
      </c>
      <c r="E98" s="11">
        <f>Organización_Modular!G142</f>
        <v>0</v>
      </c>
      <c r="F98" s="11">
        <f>Organización_Modular!H142</f>
        <v>0</v>
      </c>
      <c r="G98" s="11">
        <f>Organización_Modular!I142</f>
        <v>0</v>
      </c>
      <c r="H98" s="12">
        <f>SUM(F98:G98)</f>
        <v>0</v>
      </c>
      <c r="I98" s="12">
        <f>F98*16</f>
        <v>0</v>
      </c>
      <c r="J98" s="12">
        <f>G98*32</f>
        <v>0</v>
      </c>
      <c r="K98" s="12">
        <f>SUM(I98:J98)</f>
        <v>0</v>
      </c>
      <c r="L98" s="335"/>
      <c r="M98" s="95" t="e">
        <f t="shared" si="1"/>
        <v>#REF!</v>
      </c>
    </row>
    <row r="99" spans="1:13" x14ac:dyDescent="0.2">
      <c r="A99" s="343"/>
      <c r="B99" s="170" t="e">
        <f>Capacidades!#REF!</f>
        <v>#REF!</v>
      </c>
      <c r="C99" s="171"/>
      <c r="D99" s="13"/>
      <c r="E99" s="13"/>
      <c r="F99" s="13"/>
      <c r="G99" s="13"/>
      <c r="H99" s="14"/>
      <c r="I99" s="14"/>
      <c r="J99" s="14"/>
      <c r="K99" s="14"/>
      <c r="L99" s="336"/>
      <c r="M99" s="95" t="e">
        <f t="shared" si="1"/>
        <v>#REF!</v>
      </c>
    </row>
    <row r="100" spans="1:13" x14ac:dyDescent="0.2">
      <c r="A100" s="343"/>
      <c r="B100" s="170" t="e">
        <f>Capacidades!#REF!</f>
        <v>#REF!</v>
      </c>
      <c r="C100" s="171"/>
      <c r="D100" s="13"/>
      <c r="E100" s="13"/>
      <c r="F100" s="13"/>
      <c r="G100" s="13"/>
      <c r="H100" s="14"/>
      <c r="I100" s="14"/>
      <c r="J100" s="14"/>
      <c r="K100" s="14"/>
      <c r="L100" s="336"/>
      <c r="M100" s="95" t="e">
        <f t="shared" si="1"/>
        <v>#REF!</v>
      </c>
    </row>
    <row r="101" spans="1:13" x14ac:dyDescent="0.2">
      <c r="A101" s="343"/>
      <c r="B101" s="170" t="e">
        <f>Capacidades!#REF!</f>
        <v>#REF!</v>
      </c>
      <c r="C101" s="171"/>
      <c r="D101" s="13"/>
      <c r="E101" s="13"/>
      <c r="F101" s="13"/>
      <c r="G101" s="13"/>
      <c r="H101" s="14"/>
      <c r="I101" s="14"/>
      <c r="J101" s="14"/>
      <c r="K101" s="14"/>
      <c r="L101" s="336"/>
      <c r="M101" s="95" t="e">
        <f t="shared" si="1"/>
        <v>#REF!</v>
      </c>
    </row>
    <row r="102" spans="1:13" x14ac:dyDescent="0.2">
      <c r="A102" s="343"/>
      <c r="B102" s="170" t="e">
        <f>Capacidades!#REF!</f>
        <v>#REF!</v>
      </c>
      <c r="C102" s="171"/>
      <c r="D102" s="13"/>
      <c r="E102" s="13"/>
      <c r="F102" s="13"/>
      <c r="G102" s="13"/>
      <c r="H102" s="14"/>
      <c r="I102" s="14"/>
      <c r="J102" s="14"/>
      <c r="K102" s="14"/>
      <c r="L102" s="336"/>
      <c r="M102" s="95" t="e">
        <f t="shared" si="1"/>
        <v>#REF!</v>
      </c>
    </row>
    <row r="103" spans="1:13" x14ac:dyDescent="0.2">
      <c r="A103" s="343"/>
      <c r="B103" s="170" t="e">
        <f>Capacidades!#REF!</f>
        <v>#REF!</v>
      </c>
      <c r="C103" s="171"/>
      <c r="D103" s="13"/>
      <c r="E103" s="13"/>
      <c r="F103" s="13"/>
      <c r="G103" s="13"/>
      <c r="H103" s="14"/>
      <c r="I103" s="14"/>
      <c r="J103" s="14"/>
      <c r="K103" s="14"/>
      <c r="L103" s="336"/>
      <c r="M103" s="95" t="e">
        <f t="shared" si="1"/>
        <v>#REF!</v>
      </c>
    </row>
    <row r="104" spans="1:13" x14ac:dyDescent="0.2">
      <c r="A104" s="343"/>
      <c r="B104" s="170" t="e">
        <f>Capacidades!#REF!</f>
        <v>#REF!</v>
      </c>
      <c r="C104" s="171"/>
      <c r="D104" s="13"/>
      <c r="E104" s="13"/>
      <c r="F104" s="13"/>
      <c r="G104" s="13"/>
      <c r="H104" s="14"/>
      <c r="I104" s="14"/>
      <c r="J104" s="14"/>
      <c r="K104" s="14"/>
      <c r="L104" s="336"/>
      <c r="M104" s="95" t="e">
        <f t="shared" si="1"/>
        <v>#REF!</v>
      </c>
    </row>
    <row r="105" spans="1:13" x14ac:dyDescent="0.2">
      <c r="A105" s="343"/>
      <c r="B105" s="170" t="e">
        <f>Capacidades!#REF!</f>
        <v>#REF!</v>
      </c>
      <c r="C105" s="171"/>
      <c r="D105" s="13"/>
      <c r="E105" s="13"/>
      <c r="F105" s="13"/>
      <c r="G105" s="13"/>
      <c r="H105" s="14"/>
      <c r="I105" s="14"/>
      <c r="J105" s="14"/>
      <c r="K105" s="14"/>
      <c r="L105" s="336"/>
      <c r="M105" s="95" t="e">
        <f t="shared" si="1"/>
        <v>#REF!</v>
      </c>
    </row>
    <row r="106" spans="1:13" x14ac:dyDescent="0.2">
      <c r="A106" s="343"/>
      <c r="B106" s="170" t="e">
        <f>Capacidades!#REF!</f>
        <v>#REF!</v>
      </c>
      <c r="C106" s="171"/>
      <c r="D106" s="13"/>
      <c r="E106" s="13"/>
      <c r="F106" s="13"/>
      <c r="G106" s="13"/>
      <c r="H106" s="14"/>
      <c r="I106" s="14"/>
      <c r="J106" s="14"/>
      <c r="K106" s="14"/>
      <c r="L106" s="336"/>
      <c r="M106" s="95" t="e">
        <f t="shared" si="1"/>
        <v>#REF!</v>
      </c>
    </row>
    <row r="107" spans="1:13" x14ac:dyDescent="0.2">
      <c r="A107" s="344"/>
      <c r="B107" s="170" t="e">
        <f>Capacidades!#REF!</f>
        <v>#REF!</v>
      </c>
      <c r="C107" s="171"/>
      <c r="D107" s="15"/>
      <c r="E107" s="15"/>
      <c r="F107" s="15"/>
      <c r="G107" s="15"/>
      <c r="H107" s="16"/>
      <c r="I107" s="16"/>
      <c r="J107" s="16"/>
      <c r="K107" s="16"/>
      <c r="L107" s="337"/>
      <c r="M107" s="95" t="e">
        <f t="shared" si="1"/>
        <v>#REF!</v>
      </c>
    </row>
    <row r="108" spans="1:13" x14ac:dyDescent="0.2">
      <c r="A108" s="342" t="e">
        <f>Capacidades!#REF!</f>
        <v>#REF!</v>
      </c>
      <c r="B108" s="170" t="e">
        <f>Capacidades!#REF!</f>
        <v>#REF!</v>
      </c>
      <c r="C108" s="171"/>
      <c r="D108" s="11">
        <f>Organización_Modular!F143</f>
        <v>0</v>
      </c>
      <c r="E108" s="11">
        <f>Organización_Modular!G143</f>
        <v>0</v>
      </c>
      <c r="F108" s="11">
        <f>Organización_Modular!H143</f>
        <v>0</v>
      </c>
      <c r="G108" s="11">
        <f>Organización_Modular!I143</f>
        <v>0</v>
      </c>
      <c r="H108" s="12">
        <f>SUM(F108:G108)</f>
        <v>0</v>
      </c>
      <c r="I108" s="12">
        <f>F108*16</f>
        <v>0</v>
      </c>
      <c r="J108" s="12">
        <f>G108*32</f>
        <v>0</v>
      </c>
      <c r="K108" s="12">
        <f>SUM(I108:J108)</f>
        <v>0</v>
      </c>
      <c r="L108" s="335"/>
      <c r="M108" s="95" t="e">
        <f t="shared" si="1"/>
        <v>#REF!</v>
      </c>
    </row>
    <row r="109" spans="1:13" x14ac:dyDescent="0.2">
      <c r="A109" s="343"/>
      <c r="B109" s="170" t="e">
        <f>Capacidades!#REF!</f>
        <v>#REF!</v>
      </c>
      <c r="C109" s="171"/>
      <c r="D109" s="13"/>
      <c r="E109" s="13"/>
      <c r="F109" s="13"/>
      <c r="G109" s="13"/>
      <c r="H109" s="14"/>
      <c r="I109" s="14"/>
      <c r="J109" s="14"/>
      <c r="K109" s="14"/>
      <c r="L109" s="336"/>
      <c r="M109" s="95" t="e">
        <f t="shared" si="1"/>
        <v>#REF!</v>
      </c>
    </row>
    <row r="110" spans="1:13" x14ac:dyDescent="0.2">
      <c r="A110" s="343"/>
      <c r="B110" s="170" t="e">
        <f>Capacidades!#REF!</f>
        <v>#REF!</v>
      </c>
      <c r="C110" s="171"/>
      <c r="D110" s="13"/>
      <c r="E110" s="13"/>
      <c r="F110" s="13"/>
      <c r="G110" s="13"/>
      <c r="H110" s="14"/>
      <c r="I110" s="14"/>
      <c r="J110" s="14"/>
      <c r="K110" s="14"/>
      <c r="L110" s="336"/>
      <c r="M110" s="95" t="e">
        <f t="shared" si="1"/>
        <v>#REF!</v>
      </c>
    </row>
    <row r="111" spans="1:13" x14ac:dyDescent="0.2">
      <c r="A111" s="343"/>
      <c r="B111" s="170" t="e">
        <f>Capacidades!#REF!</f>
        <v>#REF!</v>
      </c>
      <c r="C111" s="171"/>
      <c r="D111" s="13"/>
      <c r="E111" s="13"/>
      <c r="F111" s="13"/>
      <c r="G111" s="13"/>
      <c r="H111" s="14"/>
      <c r="I111" s="14"/>
      <c r="J111" s="14"/>
      <c r="K111" s="14"/>
      <c r="L111" s="336"/>
      <c r="M111" s="95" t="e">
        <f t="shared" si="1"/>
        <v>#REF!</v>
      </c>
    </row>
    <row r="112" spans="1:13" x14ac:dyDescent="0.2">
      <c r="A112" s="343"/>
      <c r="B112" s="170" t="e">
        <f>Capacidades!#REF!</f>
        <v>#REF!</v>
      </c>
      <c r="C112" s="171"/>
      <c r="D112" s="13"/>
      <c r="E112" s="13"/>
      <c r="F112" s="13"/>
      <c r="G112" s="13"/>
      <c r="H112" s="14"/>
      <c r="I112" s="14"/>
      <c r="J112" s="14"/>
      <c r="K112" s="14"/>
      <c r="L112" s="336"/>
      <c r="M112" s="95" t="e">
        <f t="shared" si="1"/>
        <v>#REF!</v>
      </c>
    </row>
    <row r="113" spans="1:13" x14ac:dyDescent="0.2">
      <c r="A113" s="343"/>
      <c r="B113" s="170" t="e">
        <f>Capacidades!#REF!</f>
        <v>#REF!</v>
      </c>
      <c r="C113" s="171"/>
      <c r="D113" s="13"/>
      <c r="E113" s="13"/>
      <c r="F113" s="13"/>
      <c r="G113" s="13"/>
      <c r="H113" s="14"/>
      <c r="I113" s="14"/>
      <c r="J113" s="14"/>
      <c r="K113" s="14"/>
      <c r="L113" s="336"/>
      <c r="M113" s="95" t="e">
        <f t="shared" si="1"/>
        <v>#REF!</v>
      </c>
    </row>
    <row r="114" spans="1:13" x14ac:dyDescent="0.2">
      <c r="A114" s="343"/>
      <c r="B114" s="170" t="e">
        <f>Capacidades!#REF!</f>
        <v>#REF!</v>
      </c>
      <c r="C114" s="171"/>
      <c r="D114" s="13"/>
      <c r="E114" s="13"/>
      <c r="F114" s="13"/>
      <c r="G114" s="13"/>
      <c r="H114" s="14"/>
      <c r="I114" s="14"/>
      <c r="J114" s="14"/>
      <c r="K114" s="14"/>
      <c r="L114" s="336"/>
      <c r="M114" s="95" t="e">
        <f t="shared" si="1"/>
        <v>#REF!</v>
      </c>
    </row>
    <row r="115" spans="1:13" x14ac:dyDescent="0.2">
      <c r="A115" s="343"/>
      <c r="B115" s="170" t="e">
        <f>Capacidades!#REF!</f>
        <v>#REF!</v>
      </c>
      <c r="C115" s="171"/>
      <c r="D115" s="13"/>
      <c r="E115" s="13"/>
      <c r="F115" s="13"/>
      <c r="G115" s="13"/>
      <c r="H115" s="14"/>
      <c r="I115" s="14"/>
      <c r="J115" s="14"/>
      <c r="K115" s="14"/>
      <c r="L115" s="336"/>
      <c r="M115" s="95" t="e">
        <f t="shared" si="1"/>
        <v>#REF!</v>
      </c>
    </row>
    <row r="116" spans="1:13" x14ac:dyDescent="0.2">
      <c r="A116" s="343"/>
      <c r="B116" s="170" t="e">
        <f>Capacidades!#REF!</f>
        <v>#REF!</v>
      </c>
      <c r="C116" s="171"/>
      <c r="D116" s="13"/>
      <c r="E116" s="13"/>
      <c r="F116" s="13"/>
      <c r="G116" s="13"/>
      <c r="H116" s="14"/>
      <c r="I116" s="14"/>
      <c r="J116" s="14"/>
      <c r="K116" s="14"/>
      <c r="L116" s="336"/>
      <c r="M116" s="95" t="e">
        <f t="shared" si="1"/>
        <v>#REF!</v>
      </c>
    </row>
    <row r="117" spans="1:13" x14ac:dyDescent="0.2">
      <c r="A117" s="344"/>
      <c r="B117" s="170" t="e">
        <f>Capacidades!#REF!</f>
        <v>#REF!</v>
      </c>
      <c r="C117" s="171"/>
      <c r="D117" s="15"/>
      <c r="E117" s="15"/>
      <c r="F117" s="15"/>
      <c r="G117" s="15"/>
      <c r="H117" s="16"/>
      <c r="I117" s="16"/>
      <c r="J117" s="16"/>
      <c r="K117" s="16"/>
      <c r="L117" s="337"/>
      <c r="M117" s="95" t="e">
        <f t="shared" si="1"/>
        <v>#REF!</v>
      </c>
    </row>
    <row r="118" spans="1:13" x14ac:dyDescent="0.2">
      <c r="A118" s="342" t="e">
        <f>Capacidades!#REF!</f>
        <v>#REF!</v>
      </c>
      <c r="B118" s="170" t="e">
        <f>Capacidades!#REF!</f>
        <v>#REF!</v>
      </c>
      <c r="C118" s="171"/>
      <c r="D118" s="11">
        <f>Organización_Modular!F144</f>
        <v>0</v>
      </c>
      <c r="E118" s="11">
        <f>Organización_Modular!G144</f>
        <v>0</v>
      </c>
      <c r="F118" s="11">
        <f>Organización_Modular!H144</f>
        <v>0</v>
      </c>
      <c r="G118" s="11">
        <f>Organización_Modular!I144</f>
        <v>0</v>
      </c>
      <c r="H118" s="12">
        <f>SUM(F118:G118)</f>
        <v>0</v>
      </c>
      <c r="I118" s="12">
        <f>F118*16</f>
        <v>0</v>
      </c>
      <c r="J118" s="12">
        <f>G118*32</f>
        <v>0</v>
      </c>
      <c r="K118" s="12">
        <f>SUM(I118:J118)</f>
        <v>0</v>
      </c>
      <c r="L118" s="335"/>
      <c r="M118" s="95" t="e">
        <f t="shared" si="1"/>
        <v>#REF!</v>
      </c>
    </row>
    <row r="119" spans="1:13" x14ac:dyDescent="0.2">
      <c r="A119" s="343"/>
      <c r="B119" s="170" t="e">
        <f>Capacidades!#REF!</f>
        <v>#REF!</v>
      </c>
      <c r="C119" s="171"/>
      <c r="D119" s="13"/>
      <c r="E119" s="13"/>
      <c r="F119" s="13"/>
      <c r="G119" s="13"/>
      <c r="H119" s="14"/>
      <c r="I119" s="14"/>
      <c r="J119" s="14"/>
      <c r="K119" s="14"/>
      <c r="L119" s="336"/>
      <c r="M119" s="95" t="e">
        <f t="shared" si="1"/>
        <v>#REF!</v>
      </c>
    </row>
    <row r="120" spans="1:13" x14ac:dyDescent="0.2">
      <c r="A120" s="343"/>
      <c r="B120" s="170" t="e">
        <f>Capacidades!#REF!</f>
        <v>#REF!</v>
      </c>
      <c r="C120" s="171"/>
      <c r="D120" s="13"/>
      <c r="E120" s="13"/>
      <c r="F120" s="13"/>
      <c r="G120" s="13"/>
      <c r="H120" s="14"/>
      <c r="I120" s="14"/>
      <c r="J120" s="14"/>
      <c r="K120" s="14"/>
      <c r="L120" s="336"/>
      <c r="M120" s="95" t="e">
        <f t="shared" si="1"/>
        <v>#REF!</v>
      </c>
    </row>
    <row r="121" spans="1:13" x14ac:dyDescent="0.2">
      <c r="A121" s="343"/>
      <c r="B121" s="170" t="e">
        <f>Capacidades!#REF!</f>
        <v>#REF!</v>
      </c>
      <c r="C121" s="171"/>
      <c r="D121" s="13"/>
      <c r="E121" s="13"/>
      <c r="F121" s="13"/>
      <c r="G121" s="13"/>
      <c r="H121" s="14"/>
      <c r="I121" s="14"/>
      <c r="J121" s="14"/>
      <c r="K121" s="14"/>
      <c r="L121" s="336"/>
      <c r="M121" s="95" t="e">
        <f t="shared" si="1"/>
        <v>#REF!</v>
      </c>
    </row>
    <row r="122" spans="1:13" x14ac:dyDescent="0.2">
      <c r="A122" s="343"/>
      <c r="B122" s="170" t="e">
        <f>Capacidades!#REF!</f>
        <v>#REF!</v>
      </c>
      <c r="C122" s="171"/>
      <c r="D122" s="13"/>
      <c r="E122" s="13"/>
      <c r="F122" s="13"/>
      <c r="G122" s="13"/>
      <c r="H122" s="14"/>
      <c r="I122" s="14"/>
      <c r="J122" s="14"/>
      <c r="K122" s="14"/>
      <c r="L122" s="336"/>
      <c r="M122" s="95" t="e">
        <f t="shared" si="1"/>
        <v>#REF!</v>
      </c>
    </row>
    <row r="123" spans="1:13" x14ac:dyDescent="0.2">
      <c r="A123" s="343"/>
      <c r="B123" s="170" t="e">
        <f>Capacidades!#REF!</f>
        <v>#REF!</v>
      </c>
      <c r="C123" s="171"/>
      <c r="D123" s="13"/>
      <c r="E123" s="13"/>
      <c r="F123" s="13"/>
      <c r="G123" s="13"/>
      <c r="H123" s="14"/>
      <c r="I123" s="14"/>
      <c r="J123" s="14"/>
      <c r="K123" s="14"/>
      <c r="L123" s="336"/>
      <c r="M123" s="95" t="e">
        <f t="shared" si="1"/>
        <v>#REF!</v>
      </c>
    </row>
    <row r="124" spans="1:13" x14ac:dyDescent="0.2">
      <c r="A124" s="343"/>
      <c r="B124" s="170" t="e">
        <f>Capacidades!#REF!</f>
        <v>#REF!</v>
      </c>
      <c r="C124" s="171"/>
      <c r="D124" s="13"/>
      <c r="E124" s="13"/>
      <c r="F124" s="13"/>
      <c r="G124" s="13"/>
      <c r="H124" s="14"/>
      <c r="I124" s="14"/>
      <c r="J124" s="14"/>
      <c r="K124" s="14"/>
      <c r="L124" s="336"/>
      <c r="M124" s="95" t="e">
        <f t="shared" si="1"/>
        <v>#REF!</v>
      </c>
    </row>
    <row r="125" spans="1:13" x14ac:dyDescent="0.2">
      <c r="A125" s="343"/>
      <c r="B125" s="170" t="e">
        <f>Capacidades!#REF!</f>
        <v>#REF!</v>
      </c>
      <c r="C125" s="171"/>
      <c r="D125" s="13"/>
      <c r="E125" s="13"/>
      <c r="F125" s="13"/>
      <c r="G125" s="13"/>
      <c r="H125" s="14"/>
      <c r="I125" s="14"/>
      <c r="J125" s="14"/>
      <c r="K125" s="14"/>
      <c r="L125" s="336"/>
      <c r="M125" s="95" t="e">
        <f t="shared" si="1"/>
        <v>#REF!</v>
      </c>
    </row>
    <row r="126" spans="1:13" x14ac:dyDescent="0.2">
      <c r="A126" s="343"/>
      <c r="B126" s="170" t="e">
        <f>Capacidades!#REF!</f>
        <v>#REF!</v>
      </c>
      <c r="C126" s="171"/>
      <c r="D126" s="13"/>
      <c r="E126" s="13"/>
      <c r="F126" s="13"/>
      <c r="G126" s="13"/>
      <c r="H126" s="14"/>
      <c r="I126" s="14"/>
      <c r="J126" s="14"/>
      <c r="K126" s="14"/>
      <c r="L126" s="336"/>
      <c r="M126" s="95" t="e">
        <f t="shared" si="1"/>
        <v>#REF!</v>
      </c>
    </row>
    <row r="127" spans="1:13" x14ac:dyDescent="0.2">
      <c r="A127" s="344"/>
      <c r="B127" s="170" t="e">
        <f>Capacidades!#REF!</f>
        <v>#REF!</v>
      </c>
      <c r="C127" s="171"/>
      <c r="D127" s="15"/>
      <c r="E127" s="15"/>
      <c r="F127" s="15"/>
      <c r="G127" s="15"/>
      <c r="H127" s="16"/>
      <c r="I127" s="16"/>
      <c r="J127" s="16"/>
      <c r="K127" s="16"/>
      <c r="L127" s="337"/>
      <c r="M127" s="95" t="e">
        <f t="shared" si="1"/>
        <v>#REF!</v>
      </c>
    </row>
    <row r="128" spans="1:13" x14ac:dyDescent="0.2">
      <c r="A128" s="342" t="e">
        <f>Capacidades!#REF!</f>
        <v>#REF!</v>
      </c>
      <c r="B128" s="170" t="e">
        <f>Capacidades!#REF!</f>
        <v>#REF!</v>
      </c>
      <c r="C128" s="171"/>
      <c r="D128" s="11">
        <f>Organización_Modular!F145</f>
        <v>0</v>
      </c>
      <c r="E128" s="11">
        <f>Organización_Modular!G145</f>
        <v>0</v>
      </c>
      <c r="F128" s="11">
        <f>Organización_Modular!H145</f>
        <v>0</v>
      </c>
      <c r="G128" s="11">
        <f>Organización_Modular!I145</f>
        <v>0</v>
      </c>
      <c r="H128" s="12">
        <f>SUM(F128:G128)</f>
        <v>0</v>
      </c>
      <c r="I128" s="12">
        <f>F128*16</f>
        <v>0</v>
      </c>
      <c r="J128" s="12">
        <f>G128*32</f>
        <v>0</v>
      </c>
      <c r="K128" s="12">
        <f>SUM(I128:J128)</f>
        <v>0</v>
      </c>
      <c r="L128" s="335"/>
      <c r="M128" s="95" t="e">
        <f t="shared" si="1"/>
        <v>#REF!</v>
      </c>
    </row>
    <row r="129" spans="1:13" x14ac:dyDescent="0.2">
      <c r="A129" s="343"/>
      <c r="B129" s="170" t="e">
        <f>Capacidades!#REF!</f>
        <v>#REF!</v>
      </c>
      <c r="C129" s="171"/>
      <c r="D129" s="13"/>
      <c r="E129" s="13"/>
      <c r="F129" s="13"/>
      <c r="G129" s="13"/>
      <c r="H129" s="14"/>
      <c r="I129" s="14"/>
      <c r="J129" s="14"/>
      <c r="K129" s="14"/>
      <c r="L129" s="336"/>
      <c r="M129" s="95" t="e">
        <f t="shared" si="1"/>
        <v>#REF!</v>
      </c>
    </row>
    <row r="130" spans="1:13" x14ac:dyDescent="0.2">
      <c r="A130" s="343"/>
      <c r="B130" s="170" t="e">
        <f>Capacidades!#REF!</f>
        <v>#REF!</v>
      </c>
      <c r="C130" s="171"/>
      <c r="D130" s="13"/>
      <c r="E130" s="13"/>
      <c r="F130" s="13"/>
      <c r="G130" s="13"/>
      <c r="H130" s="14"/>
      <c r="I130" s="14"/>
      <c r="J130" s="14"/>
      <c r="K130" s="14"/>
      <c r="L130" s="336"/>
      <c r="M130" s="95" t="e">
        <f t="shared" si="1"/>
        <v>#REF!</v>
      </c>
    </row>
    <row r="131" spans="1:13" x14ac:dyDescent="0.2">
      <c r="A131" s="343"/>
      <c r="B131" s="170" t="e">
        <f>Capacidades!#REF!</f>
        <v>#REF!</v>
      </c>
      <c r="C131" s="171"/>
      <c r="D131" s="13"/>
      <c r="E131" s="13"/>
      <c r="F131" s="13"/>
      <c r="G131" s="13"/>
      <c r="H131" s="14"/>
      <c r="I131" s="14"/>
      <c r="J131" s="14"/>
      <c r="K131" s="14"/>
      <c r="L131" s="336"/>
      <c r="M131" s="95" t="e">
        <f t="shared" si="1"/>
        <v>#REF!</v>
      </c>
    </row>
    <row r="132" spans="1:13" x14ac:dyDescent="0.2">
      <c r="A132" s="343"/>
      <c r="B132" s="170" t="e">
        <f>Capacidades!#REF!</f>
        <v>#REF!</v>
      </c>
      <c r="C132" s="171"/>
      <c r="D132" s="13"/>
      <c r="E132" s="13"/>
      <c r="F132" s="13"/>
      <c r="G132" s="13"/>
      <c r="H132" s="14"/>
      <c r="I132" s="14"/>
      <c r="J132" s="14"/>
      <c r="K132" s="14"/>
      <c r="L132" s="336"/>
      <c r="M132" s="95" t="e">
        <f t="shared" si="1"/>
        <v>#REF!</v>
      </c>
    </row>
    <row r="133" spans="1:13" x14ac:dyDescent="0.2">
      <c r="A133" s="343"/>
      <c r="B133" s="170" t="e">
        <f>Capacidades!#REF!</f>
        <v>#REF!</v>
      </c>
      <c r="C133" s="171"/>
      <c r="D133" s="13"/>
      <c r="E133" s="13"/>
      <c r="F133" s="13"/>
      <c r="G133" s="13"/>
      <c r="H133" s="14"/>
      <c r="I133" s="14"/>
      <c r="J133" s="14"/>
      <c r="K133" s="14"/>
      <c r="L133" s="336"/>
      <c r="M133" s="95" t="e">
        <f t="shared" si="1"/>
        <v>#REF!</v>
      </c>
    </row>
    <row r="134" spans="1:13" x14ac:dyDescent="0.2">
      <c r="A134" s="343"/>
      <c r="B134" s="170" t="e">
        <f>Capacidades!#REF!</f>
        <v>#REF!</v>
      </c>
      <c r="C134" s="171"/>
      <c r="D134" s="13"/>
      <c r="E134" s="13"/>
      <c r="F134" s="13"/>
      <c r="G134" s="13"/>
      <c r="H134" s="14"/>
      <c r="I134" s="14"/>
      <c r="J134" s="14"/>
      <c r="K134" s="14"/>
      <c r="L134" s="336"/>
      <c r="M134" s="95" t="e">
        <f t="shared" si="1"/>
        <v>#REF!</v>
      </c>
    </row>
    <row r="135" spans="1:13" x14ac:dyDescent="0.2">
      <c r="A135" s="343"/>
      <c r="B135" s="170" t="e">
        <f>Capacidades!#REF!</f>
        <v>#REF!</v>
      </c>
      <c r="C135" s="171"/>
      <c r="D135" s="13"/>
      <c r="E135" s="13"/>
      <c r="F135" s="13"/>
      <c r="G135" s="13"/>
      <c r="H135" s="14"/>
      <c r="I135" s="14"/>
      <c r="J135" s="14"/>
      <c r="K135" s="14"/>
      <c r="L135" s="336"/>
      <c r="M135" s="95" t="e">
        <f t="shared" si="1"/>
        <v>#REF!</v>
      </c>
    </row>
    <row r="136" spans="1:13" x14ac:dyDescent="0.2">
      <c r="A136" s="343"/>
      <c r="B136" s="170" t="e">
        <f>Capacidades!#REF!</f>
        <v>#REF!</v>
      </c>
      <c r="C136" s="171"/>
      <c r="D136" s="13"/>
      <c r="E136" s="13"/>
      <c r="F136" s="13"/>
      <c r="G136" s="13"/>
      <c r="H136" s="14"/>
      <c r="I136" s="14"/>
      <c r="J136" s="14"/>
      <c r="K136" s="14"/>
      <c r="L136" s="336"/>
      <c r="M136" s="95" t="e">
        <f t="shared" si="1"/>
        <v>#REF!</v>
      </c>
    </row>
    <row r="137" spans="1:13" x14ac:dyDescent="0.2">
      <c r="A137" s="344"/>
      <c r="B137" s="170" t="e">
        <f>Capacidades!#REF!</f>
        <v>#REF!</v>
      </c>
      <c r="C137" s="171"/>
      <c r="D137" s="15"/>
      <c r="E137" s="15"/>
      <c r="F137" s="15"/>
      <c r="G137" s="15"/>
      <c r="H137" s="16"/>
      <c r="I137" s="16"/>
      <c r="J137" s="16"/>
      <c r="K137" s="16"/>
      <c r="L137" s="337"/>
      <c r="M137" s="95" t="e">
        <f t="shared" si="1"/>
        <v>#REF!</v>
      </c>
    </row>
    <row r="138" spans="1:13" x14ac:dyDescent="0.2">
      <c r="A138" s="342" t="e">
        <f>Capacidades!#REF!</f>
        <v>#REF!</v>
      </c>
      <c r="B138" s="170" t="e">
        <f>Capacidades!#REF!</f>
        <v>#REF!</v>
      </c>
      <c r="C138" s="171"/>
      <c r="D138" s="11">
        <f>Organización_Modular!F146</f>
        <v>0</v>
      </c>
      <c r="E138" s="11">
        <f>Organización_Modular!G146</f>
        <v>0</v>
      </c>
      <c r="F138" s="11">
        <f>Organización_Modular!H146</f>
        <v>0</v>
      </c>
      <c r="G138" s="11">
        <f>Organización_Modular!I146</f>
        <v>0</v>
      </c>
      <c r="H138" s="12">
        <f>SUM(F138:G138)</f>
        <v>0</v>
      </c>
      <c r="I138" s="12">
        <f>F138*16</f>
        <v>0</v>
      </c>
      <c r="J138" s="12">
        <f>G138*32</f>
        <v>0</v>
      </c>
      <c r="K138" s="12">
        <f>SUM(I138:J138)</f>
        <v>0</v>
      </c>
      <c r="L138" s="335"/>
      <c r="M138" s="95" t="e">
        <f t="shared" si="1"/>
        <v>#REF!</v>
      </c>
    </row>
    <row r="139" spans="1:13" x14ac:dyDescent="0.2">
      <c r="A139" s="343"/>
      <c r="B139" s="170" t="e">
        <f>Capacidades!#REF!</f>
        <v>#REF!</v>
      </c>
      <c r="C139" s="171"/>
      <c r="D139" s="13"/>
      <c r="E139" s="13"/>
      <c r="F139" s="13"/>
      <c r="G139" s="13"/>
      <c r="H139" s="14"/>
      <c r="I139" s="14"/>
      <c r="J139" s="14"/>
      <c r="K139" s="14"/>
      <c r="L139" s="336"/>
      <c r="M139" s="95" t="e">
        <f t="shared" si="1"/>
        <v>#REF!</v>
      </c>
    </row>
    <row r="140" spans="1:13" x14ac:dyDescent="0.2">
      <c r="A140" s="343"/>
      <c r="B140" s="170" t="e">
        <f>Capacidades!#REF!</f>
        <v>#REF!</v>
      </c>
      <c r="C140" s="171"/>
      <c r="D140" s="13"/>
      <c r="E140" s="13"/>
      <c r="F140" s="13"/>
      <c r="G140" s="13"/>
      <c r="H140" s="14"/>
      <c r="I140" s="14"/>
      <c r="J140" s="14"/>
      <c r="K140" s="14"/>
      <c r="L140" s="336"/>
      <c r="M140" s="95" t="e">
        <f t="shared" si="1"/>
        <v>#REF!</v>
      </c>
    </row>
    <row r="141" spans="1:13" x14ac:dyDescent="0.2">
      <c r="A141" s="343"/>
      <c r="B141" s="170" t="e">
        <f>Capacidades!#REF!</f>
        <v>#REF!</v>
      </c>
      <c r="C141" s="171"/>
      <c r="D141" s="13"/>
      <c r="E141" s="13"/>
      <c r="F141" s="13"/>
      <c r="G141" s="13"/>
      <c r="H141" s="14"/>
      <c r="I141" s="14"/>
      <c r="J141" s="14"/>
      <c r="K141" s="14"/>
      <c r="L141" s="336"/>
      <c r="M141" s="95" t="e">
        <f t="shared" si="1"/>
        <v>#REF!</v>
      </c>
    </row>
    <row r="142" spans="1:13" x14ac:dyDescent="0.2">
      <c r="A142" s="343"/>
      <c r="B142" s="170" t="e">
        <f>Capacidades!#REF!</f>
        <v>#REF!</v>
      </c>
      <c r="C142" s="171"/>
      <c r="D142" s="13"/>
      <c r="E142" s="13"/>
      <c r="F142" s="13"/>
      <c r="G142" s="13"/>
      <c r="H142" s="14"/>
      <c r="I142" s="14"/>
      <c r="J142" s="14"/>
      <c r="K142" s="14"/>
      <c r="L142" s="336"/>
      <c r="M142" s="95" t="e">
        <f t="shared" si="1"/>
        <v>#REF!</v>
      </c>
    </row>
    <row r="143" spans="1:13" x14ac:dyDescent="0.2">
      <c r="A143" s="343"/>
      <c r="B143" s="170" t="e">
        <f>Capacidades!#REF!</f>
        <v>#REF!</v>
      </c>
      <c r="C143" s="171"/>
      <c r="D143" s="13"/>
      <c r="E143" s="13"/>
      <c r="F143" s="13"/>
      <c r="G143" s="13"/>
      <c r="H143" s="14"/>
      <c r="I143" s="14"/>
      <c r="J143" s="14"/>
      <c r="K143" s="14"/>
      <c r="L143" s="336"/>
      <c r="M143" s="95" t="e">
        <f t="shared" si="1"/>
        <v>#REF!</v>
      </c>
    </row>
    <row r="144" spans="1:13" x14ac:dyDescent="0.2">
      <c r="A144" s="343"/>
      <c r="B144" s="170" t="e">
        <f>Capacidades!#REF!</f>
        <v>#REF!</v>
      </c>
      <c r="C144" s="171"/>
      <c r="D144" s="13"/>
      <c r="E144" s="13"/>
      <c r="F144" s="13"/>
      <c r="G144" s="13"/>
      <c r="H144" s="14"/>
      <c r="I144" s="14"/>
      <c r="J144" s="14"/>
      <c r="K144" s="14"/>
      <c r="L144" s="336"/>
      <c r="M144" s="95" t="e">
        <f t="shared" si="1"/>
        <v>#REF!</v>
      </c>
    </row>
    <row r="145" spans="1:13" x14ac:dyDescent="0.2">
      <c r="A145" s="343"/>
      <c r="B145" s="170" t="e">
        <f>Capacidades!#REF!</f>
        <v>#REF!</v>
      </c>
      <c r="C145" s="171"/>
      <c r="D145" s="13"/>
      <c r="E145" s="13"/>
      <c r="F145" s="13"/>
      <c r="G145" s="13"/>
      <c r="H145" s="14"/>
      <c r="I145" s="14"/>
      <c r="J145" s="14"/>
      <c r="K145" s="14"/>
      <c r="L145" s="336"/>
      <c r="M145" s="95" t="e">
        <f t="shared" si="1"/>
        <v>#REF!</v>
      </c>
    </row>
    <row r="146" spans="1:13" x14ac:dyDescent="0.2">
      <c r="A146" s="343"/>
      <c r="B146" s="170" t="e">
        <f>Capacidades!#REF!</f>
        <v>#REF!</v>
      </c>
      <c r="C146" s="171"/>
      <c r="D146" s="13"/>
      <c r="E146" s="13"/>
      <c r="F146" s="13"/>
      <c r="G146" s="13"/>
      <c r="H146" s="14"/>
      <c r="I146" s="14"/>
      <c r="J146" s="14"/>
      <c r="K146" s="14"/>
      <c r="L146" s="336"/>
      <c r="M146" s="95" t="e">
        <f t="shared" si="1"/>
        <v>#REF!</v>
      </c>
    </row>
    <row r="147" spans="1:13" x14ac:dyDescent="0.2">
      <c r="A147" s="344"/>
      <c r="B147" s="170" t="e">
        <f>Capacidades!#REF!</f>
        <v>#REF!</v>
      </c>
      <c r="C147" s="171"/>
      <c r="D147" s="15"/>
      <c r="E147" s="15"/>
      <c r="F147" s="15"/>
      <c r="G147" s="15"/>
      <c r="H147" s="16"/>
      <c r="I147" s="16"/>
      <c r="J147" s="16"/>
      <c r="K147" s="16"/>
      <c r="L147" s="337"/>
      <c r="M147" s="95" t="e">
        <f t="shared" ref="M147:M210" si="2">B147</f>
        <v>#REF!</v>
      </c>
    </row>
    <row r="148" spans="1:13" x14ac:dyDescent="0.2">
      <c r="A148" s="342" t="e">
        <f>Capacidades!#REF!</f>
        <v>#REF!</v>
      </c>
      <c r="B148" s="170" t="e">
        <f>Capacidades!#REF!</f>
        <v>#REF!</v>
      </c>
      <c r="C148" s="171"/>
      <c r="D148" s="11">
        <f>Organización_Modular!F147</f>
        <v>0</v>
      </c>
      <c r="E148" s="11">
        <f>Organización_Modular!G147</f>
        <v>0</v>
      </c>
      <c r="F148" s="11">
        <f>Organización_Modular!H147</f>
        <v>0</v>
      </c>
      <c r="G148" s="11">
        <f>Organización_Modular!I147</f>
        <v>0</v>
      </c>
      <c r="H148" s="12">
        <f>SUM(F148:G148)</f>
        <v>0</v>
      </c>
      <c r="I148" s="12">
        <f>F148*16</f>
        <v>0</v>
      </c>
      <c r="J148" s="12">
        <f>G148*32</f>
        <v>0</v>
      </c>
      <c r="K148" s="12">
        <f>SUM(I148:J148)</f>
        <v>0</v>
      </c>
      <c r="L148" s="335"/>
      <c r="M148" s="95" t="e">
        <f t="shared" si="2"/>
        <v>#REF!</v>
      </c>
    </row>
    <row r="149" spans="1:13" x14ac:dyDescent="0.2">
      <c r="A149" s="343"/>
      <c r="B149" s="170" t="e">
        <f>Capacidades!#REF!</f>
        <v>#REF!</v>
      </c>
      <c r="C149" s="171"/>
      <c r="D149" s="13"/>
      <c r="E149" s="13"/>
      <c r="F149" s="13"/>
      <c r="G149" s="13"/>
      <c r="H149" s="14"/>
      <c r="I149" s="14"/>
      <c r="J149" s="14"/>
      <c r="K149" s="14"/>
      <c r="L149" s="336"/>
      <c r="M149" s="95" t="e">
        <f t="shared" si="2"/>
        <v>#REF!</v>
      </c>
    </row>
    <row r="150" spans="1:13" x14ac:dyDescent="0.2">
      <c r="A150" s="343"/>
      <c r="B150" s="170" t="e">
        <f>Capacidades!#REF!</f>
        <v>#REF!</v>
      </c>
      <c r="C150" s="171"/>
      <c r="D150" s="13"/>
      <c r="E150" s="13"/>
      <c r="F150" s="13"/>
      <c r="G150" s="13"/>
      <c r="H150" s="14"/>
      <c r="I150" s="14"/>
      <c r="J150" s="14"/>
      <c r="K150" s="14"/>
      <c r="L150" s="336"/>
      <c r="M150" s="95" t="e">
        <f t="shared" si="2"/>
        <v>#REF!</v>
      </c>
    </row>
    <row r="151" spans="1:13" x14ac:dyDescent="0.2">
      <c r="A151" s="343"/>
      <c r="B151" s="170" t="e">
        <f>Capacidades!#REF!</f>
        <v>#REF!</v>
      </c>
      <c r="C151" s="171"/>
      <c r="D151" s="13"/>
      <c r="E151" s="13"/>
      <c r="F151" s="13"/>
      <c r="G151" s="13"/>
      <c r="H151" s="14"/>
      <c r="I151" s="14"/>
      <c r="J151" s="14"/>
      <c r="K151" s="14"/>
      <c r="L151" s="336"/>
      <c r="M151" s="95" t="e">
        <f t="shared" si="2"/>
        <v>#REF!</v>
      </c>
    </row>
    <row r="152" spans="1:13" x14ac:dyDescent="0.2">
      <c r="A152" s="343"/>
      <c r="B152" s="170" t="e">
        <f>Capacidades!#REF!</f>
        <v>#REF!</v>
      </c>
      <c r="C152" s="171"/>
      <c r="D152" s="13"/>
      <c r="E152" s="13"/>
      <c r="F152" s="13"/>
      <c r="G152" s="13"/>
      <c r="H152" s="14"/>
      <c r="I152" s="14"/>
      <c r="J152" s="14"/>
      <c r="K152" s="14"/>
      <c r="L152" s="336"/>
      <c r="M152" s="95" t="e">
        <f t="shared" si="2"/>
        <v>#REF!</v>
      </c>
    </row>
    <row r="153" spans="1:13" x14ac:dyDescent="0.2">
      <c r="A153" s="343"/>
      <c r="B153" s="170" t="e">
        <f>Capacidades!#REF!</f>
        <v>#REF!</v>
      </c>
      <c r="C153" s="171"/>
      <c r="D153" s="13"/>
      <c r="E153" s="13"/>
      <c r="F153" s="13"/>
      <c r="G153" s="13"/>
      <c r="H153" s="14"/>
      <c r="I153" s="14"/>
      <c r="J153" s="14"/>
      <c r="K153" s="14"/>
      <c r="L153" s="336"/>
      <c r="M153" s="95" t="e">
        <f t="shared" si="2"/>
        <v>#REF!</v>
      </c>
    </row>
    <row r="154" spans="1:13" x14ac:dyDescent="0.2">
      <c r="A154" s="343"/>
      <c r="B154" s="170" t="e">
        <f>Capacidades!#REF!</f>
        <v>#REF!</v>
      </c>
      <c r="C154" s="171"/>
      <c r="D154" s="13"/>
      <c r="E154" s="13"/>
      <c r="F154" s="13"/>
      <c r="G154" s="13"/>
      <c r="H154" s="14"/>
      <c r="I154" s="14"/>
      <c r="J154" s="14"/>
      <c r="K154" s="14"/>
      <c r="L154" s="336"/>
      <c r="M154" s="95" t="e">
        <f t="shared" si="2"/>
        <v>#REF!</v>
      </c>
    </row>
    <row r="155" spans="1:13" x14ac:dyDescent="0.2">
      <c r="A155" s="343"/>
      <c r="B155" s="170" t="e">
        <f>Capacidades!#REF!</f>
        <v>#REF!</v>
      </c>
      <c r="C155" s="171"/>
      <c r="D155" s="13"/>
      <c r="E155" s="13"/>
      <c r="F155" s="13"/>
      <c r="G155" s="13"/>
      <c r="H155" s="14"/>
      <c r="I155" s="14"/>
      <c r="J155" s="14"/>
      <c r="K155" s="14"/>
      <c r="L155" s="336"/>
      <c r="M155" s="95" t="e">
        <f t="shared" si="2"/>
        <v>#REF!</v>
      </c>
    </row>
    <row r="156" spans="1:13" x14ac:dyDescent="0.2">
      <c r="A156" s="343"/>
      <c r="B156" s="170" t="e">
        <f>Capacidades!#REF!</f>
        <v>#REF!</v>
      </c>
      <c r="C156" s="171"/>
      <c r="D156" s="13"/>
      <c r="E156" s="13"/>
      <c r="F156" s="13"/>
      <c r="G156" s="13"/>
      <c r="H156" s="14"/>
      <c r="I156" s="14"/>
      <c r="J156" s="14"/>
      <c r="K156" s="14"/>
      <c r="L156" s="336"/>
      <c r="M156" s="95" t="e">
        <f t="shared" si="2"/>
        <v>#REF!</v>
      </c>
    </row>
    <row r="157" spans="1:13" x14ac:dyDescent="0.2">
      <c r="A157" s="344"/>
      <c r="B157" s="170" t="e">
        <f>Capacidades!#REF!</f>
        <v>#REF!</v>
      </c>
      <c r="C157" s="171"/>
      <c r="D157" s="15"/>
      <c r="E157" s="15"/>
      <c r="F157" s="15"/>
      <c r="G157" s="15"/>
      <c r="H157" s="16"/>
      <c r="I157" s="16"/>
      <c r="J157" s="16"/>
      <c r="K157" s="16"/>
      <c r="L157" s="337"/>
      <c r="M157" s="95" t="e">
        <f t="shared" si="2"/>
        <v>#REF!</v>
      </c>
    </row>
    <row r="158" spans="1:13" x14ac:dyDescent="0.2">
      <c r="A158" s="342" t="e">
        <f>Capacidades!#REF!</f>
        <v>#REF!</v>
      </c>
      <c r="B158" s="170" t="e">
        <f>Capacidades!#REF!</f>
        <v>#REF!</v>
      </c>
      <c r="C158" s="171"/>
      <c r="D158" s="11">
        <f>Organización_Modular!F148</f>
        <v>0</v>
      </c>
      <c r="E158" s="11">
        <f>Organización_Modular!G148</f>
        <v>0</v>
      </c>
      <c r="F158" s="11">
        <f>Organización_Modular!H148</f>
        <v>0</v>
      </c>
      <c r="G158" s="11">
        <f>Organización_Modular!I148</f>
        <v>0</v>
      </c>
      <c r="H158" s="12">
        <f>SUM(F158:G158)</f>
        <v>0</v>
      </c>
      <c r="I158" s="12">
        <f>F158*16</f>
        <v>0</v>
      </c>
      <c r="J158" s="12">
        <f>G158*32</f>
        <v>0</v>
      </c>
      <c r="K158" s="12">
        <f>SUM(I158:J158)</f>
        <v>0</v>
      </c>
      <c r="L158" s="335"/>
      <c r="M158" s="95" t="e">
        <f t="shared" si="2"/>
        <v>#REF!</v>
      </c>
    </row>
    <row r="159" spans="1:13" x14ac:dyDescent="0.2">
      <c r="A159" s="343"/>
      <c r="B159" s="170" t="e">
        <f>Capacidades!#REF!</f>
        <v>#REF!</v>
      </c>
      <c r="C159" s="171"/>
      <c r="D159" s="13"/>
      <c r="E159" s="13"/>
      <c r="F159" s="13"/>
      <c r="G159" s="13"/>
      <c r="H159" s="14"/>
      <c r="I159" s="14"/>
      <c r="J159" s="14"/>
      <c r="K159" s="14"/>
      <c r="L159" s="336"/>
      <c r="M159" s="95" t="e">
        <f t="shared" si="2"/>
        <v>#REF!</v>
      </c>
    </row>
    <row r="160" spans="1:13" x14ac:dyDescent="0.2">
      <c r="A160" s="343"/>
      <c r="B160" s="170" t="e">
        <f>Capacidades!#REF!</f>
        <v>#REF!</v>
      </c>
      <c r="C160" s="171"/>
      <c r="D160" s="13"/>
      <c r="E160" s="13"/>
      <c r="F160" s="13"/>
      <c r="G160" s="13"/>
      <c r="H160" s="14"/>
      <c r="I160" s="14"/>
      <c r="J160" s="14"/>
      <c r="K160" s="14"/>
      <c r="L160" s="336"/>
      <c r="M160" s="95" t="e">
        <f t="shared" si="2"/>
        <v>#REF!</v>
      </c>
    </row>
    <row r="161" spans="1:13" x14ac:dyDescent="0.2">
      <c r="A161" s="343"/>
      <c r="B161" s="170" t="e">
        <f>Capacidades!#REF!</f>
        <v>#REF!</v>
      </c>
      <c r="C161" s="171"/>
      <c r="D161" s="13"/>
      <c r="E161" s="13"/>
      <c r="F161" s="13"/>
      <c r="G161" s="13"/>
      <c r="H161" s="14"/>
      <c r="I161" s="14"/>
      <c r="J161" s="14"/>
      <c r="K161" s="14"/>
      <c r="L161" s="336"/>
      <c r="M161" s="95" t="e">
        <f t="shared" si="2"/>
        <v>#REF!</v>
      </c>
    </row>
    <row r="162" spans="1:13" x14ac:dyDescent="0.2">
      <c r="A162" s="343"/>
      <c r="B162" s="170" t="e">
        <f>Capacidades!#REF!</f>
        <v>#REF!</v>
      </c>
      <c r="C162" s="171"/>
      <c r="D162" s="13"/>
      <c r="E162" s="13"/>
      <c r="F162" s="13"/>
      <c r="G162" s="13"/>
      <c r="H162" s="14"/>
      <c r="I162" s="14"/>
      <c r="J162" s="14"/>
      <c r="K162" s="14"/>
      <c r="L162" s="336"/>
      <c r="M162" s="95" t="e">
        <f t="shared" si="2"/>
        <v>#REF!</v>
      </c>
    </row>
    <row r="163" spans="1:13" x14ac:dyDescent="0.2">
      <c r="A163" s="343"/>
      <c r="B163" s="170" t="e">
        <f>Capacidades!#REF!</f>
        <v>#REF!</v>
      </c>
      <c r="C163" s="171"/>
      <c r="D163" s="13"/>
      <c r="E163" s="13"/>
      <c r="F163" s="13"/>
      <c r="G163" s="13"/>
      <c r="H163" s="14"/>
      <c r="I163" s="14"/>
      <c r="J163" s="14"/>
      <c r="K163" s="14"/>
      <c r="L163" s="336"/>
      <c r="M163" s="95" t="e">
        <f t="shared" si="2"/>
        <v>#REF!</v>
      </c>
    </row>
    <row r="164" spans="1:13" x14ac:dyDescent="0.2">
      <c r="A164" s="343"/>
      <c r="B164" s="170" t="e">
        <f>Capacidades!#REF!</f>
        <v>#REF!</v>
      </c>
      <c r="C164" s="171"/>
      <c r="D164" s="13"/>
      <c r="E164" s="13"/>
      <c r="F164" s="13"/>
      <c r="G164" s="13"/>
      <c r="H164" s="14"/>
      <c r="I164" s="14"/>
      <c r="J164" s="14"/>
      <c r="K164" s="14"/>
      <c r="L164" s="336"/>
      <c r="M164" s="95" t="e">
        <f t="shared" si="2"/>
        <v>#REF!</v>
      </c>
    </row>
    <row r="165" spans="1:13" x14ac:dyDescent="0.2">
      <c r="A165" s="343"/>
      <c r="B165" s="170" t="e">
        <f>Capacidades!#REF!</f>
        <v>#REF!</v>
      </c>
      <c r="C165" s="171"/>
      <c r="D165" s="13"/>
      <c r="E165" s="13"/>
      <c r="F165" s="13"/>
      <c r="G165" s="13"/>
      <c r="H165" s="14"/>
      <c r="I165" s="14"/>
      <c r="J165" s="14"/>
      <c r="K165" s="14"/>
      <c r="L165" s="336"/>
      <c r="M165" s="95" t="e">
        <f t="shared" si="2"/>
        <v>#REF!</v>
      </c>
    </row>
    <row r="166" spans="1:13" x14ac:dyDescent="0.2">
      <c r="A166" s="343"/>
      <c r="B166" s="170" t="e">
        <f>Capacidades!#REF!</f>
        <v>#REF!</v>
      </c>
      <c r="C166" s="171"/>
      <c r="D166" s="13"/>
      <c r="E166" s="13"/>
      <c r="F166" s="13"/>
      <c r="G166" s="13"/>
      <c r="H166" s="14"/>
      <c r="I166" s="14"/>
      <c r="J166" s="14"/>
      <c r="K166" s="14"/>
      <c r="L166" s="336"/>
      <c r="M166" s="95" t="e">
        <f t="shared" si="2"/>
        <v>#REF!</v>
      </c>
    </row>
    <row r="167" spans="1:13" x14ac:dyDescent="0.2">
      <c r="A167" s="344"/>
      <c r="B167" s="170" t="e">
        <f>Capacidades!#REF!</f>
        <v>#REF!</v>
      </c>
      <c r="C167" s="171"/>
      <c r="D167" s="15"/>
      <c r="E167" s="15"/>
      <c r="F167" s="15"/>
      <c r="G167" s="15"/>
      <c r="H167" s="16"/>
      <c r="I167" s="16"/>
      <c r="J167" s="16"/>
      <c r="K167" s="16"/>
      <c r="L167" s="337"/>
      <c r="M167" s="95" t="e">
        <f t="shared" si="2"/>
        <v>#REF!</v>
      </c>
    </row>
    <row r="168" spans="1:13" x14ac:dyDescent="0.2">
      <c r="A168" s="342" t="e">
        <f>Capacidades!#REF!</f>
        <v>#REF!</v>
      </c>
      <c r="B168" s="170" t="e">
        <f>Capacidades!#REF!</f>
        <v>#REF!</v>
      </c>
      <c r="C168" s="171"/>
      <c r="D168" s="11">
        <f>Organización_Modular!F149</f>
        <v>0</v>
      </c>
      <c r="E168" s="11">
        <f>Organización_Modular!G149</f>
        <v>0</v>
      </c>
      <c r="F168" s="11">
        <f>Organización_Modular!H149</f>
        <v>0</v>
      </c>
      <c r="G168" s="11">
        <f>Organización_Modular!I149</f>
        <v>0</v>
      </c>
      <c r="H168" s="12">
        <f>SUM(F168:G168)</f>
        <v>0</v>
      </c>
      <c r="I168" s="12">
        <f>F168*16</f>
        <v>0</v>
      </c>
      <c r="J168" s="12">
        <f>G168*32</f>
        <v>0</v>
      </c>
      <c r="K168" s="12">
        <f>SUM(I168:J168)</f>
        <v>0</v>
      </c>
      <c r="L168" s="335"/>
      <c r="M168" s="95" t="e">
        <f t="shared" si="2"/>
        <v>#REF!</v>
      </c>
    </row>
    <row r="169" spans="1:13" x14ac:dyDescent="0.2">
      <c r="A169" s="343"/>
      <c r="B169" s="170" t="e">
        <f>Capacidades!#REF!</f>
        <v>#REF!</v>
      </c>
      <c r="C169" s="171"/>
      <c r="D169" s="13"/>
      <c r="E169" s="13"/>
      <c r="F169" s="13"/>
      <c r="G169" s="13"/>
      <c r="H169" s="14"/>
      <c r="I169" s="14"/>
      <c r="J169" s="14"/>
      <c r="K169" s="14"/>
      <c r="L169" s="336"/>
      <c r="M169" s="95" t="e">
        <f t="shared" si="2"/>
        <v>#REF!</v>
      </c>
    </row>
    <row r="170" spans="1:13" x14ac:dyDescent="0.2">
      <c r="A170" s="343"/>
      <c r="B170" s="170" t="e">
        <f>Capacidades!#REF!</f>
        <v>#REF!</v>
      </c>
      <c r="C170" s="171"/>
      <c r="D170" s="13"/>
      <c r="E170" s="13"/>
      <c r="F170" s="13"/>
      <c r="G170" s="13"/>
      <c r="H170" s="14"/>
      <c r="I170" s="14"/>
      <c r="J170" s="14"/>
      <c r="K170" s="14"/>
      <c r="L170" s="336"/>
      <c r="M170" s="95" t="e">
        <f t="shared" si="2"/>
        <v>#REF!</v>
      </c>
    </row>
    <row r="171" spans="1:13" x14ac:dyDescent="0.2">
      <c r="A171" s="343"/>
      <c r="B171" s="170" t="e">
        <f>Capacidades!#REF!</f>
        <v>#REF!</v>
      </c>
      <c r="C171" s="171"/>
      <c r="D171" s="13"/>
      <c r="E171" s="13"/>
      <c r="F171" s="13"/>
      <c r="G171" s="13"/>
      <c r="H171" s="14"/>
      <c r="I171" s="14"/>
      <c r="J171" s="14"/>
      <c r="K171" s="14"/>
      <c r="L171" s="336"/>
      <c r="M171" s="95" t="e">
        <f t="shared" si="2"/>
        <v>#REF!</v>
      </c>
    </row>
    <row r="172" spans="1:13" x14ac:dyDescent="0.2">
      <c r="A172" s="343"/>
      <c r="B172" s="170" t="e">
        <f>Capacidades!#REF!</f>
        <v>#REF!</v>
      </c>
      <c r="C172" s="171"/>
      <c r="D172" s="13"/>
      <c r="E172" s="13"/>
      <c r="F172" s="13"/>
      <c r="G172" s="13"/>
      <c r="H172" s="14"/>
      <c r="I172" s="14"/>
      <c r="J172" s="14"/>
      <c r="K172" s="14"/>
      <c r="L172" s="336"/>
      <c r="M172" s="95" t="e">
        <f t="shared" si="2"/>
        <v>#REF!</v>
      </c>
    </row>
    <row r="173" spans="1:13" x14ac:dyDescent="0.2">
      <c r="A173" s="343"/>
      <c r="B173" s="170" t="e">
        <f>Capacidades!#REF!</f>
        <v>#REF!</v>
      </c>
      <c r="C173" s="171"/>
      <c r="D173" s="13"/>
      <c r="E173" s="13"/>
      <c r="F173" s="13"/>
      <c r="G173" s="13"/>
      <c r="H173" s="14"/>
      <c r="I173" s="14"/>
      <c r="J173" s="14"/>
      <c r="K173" s="14"/>
      <c r="L173" s="336"/>
      <c r="M173" s="95" t="e">
        <f t="shared" si="2"/>
        <v>#REF!</v>
      </c>
    </row>
    <row r="174" spans="1:13" x14ac:dyDescent="0.2">
      <c r="A174" s="343"/>
      <c r="B174" s="170" t="e">
        <f>Capacidades!#REF!</f>
        <v>#REF!</v>
      </c>
      <c r="C174" s="171"/>
      <c r="D174" s="13"/>
      <c r="E174" s="13"/>
      <c r="F174" s="13"/>
      <c r="G174" s="13"/>
      <c r="H174" s="14"/>
      <c r="I174" s="14"/>
      <c r="J174" s="14"/>
      <c r="K174" s="14"/>
      <c r="L174" s="336"/>
      <c r="M174" s="95" t="e">
        <f t="shared" si="2"/>
        <v>#REF!</v>
      </c>
    </row>
    <row r="175" spans="1:13" x14ac:dyDescent="0.2">
      <c r="A175" s="343"/>
      <c r="B175" s="170" t="e">
        <f>Capacidades!#REF!</f>
        <v>#REF!</v>
      </c>
      <c r="C175" s="171"/>
      <c r="D175" s="13"/>
      <c r="E175" s="13"/>
      <c r="F175" s="13"/>
      <c r="G175" s="13"/>
      <c r="H175" s="14"/>
      <c r="I175" s="14"/>
      <c r="J175" s="14"/>
      <c r="K175" s="14"/>
      <c r="L175" s="336"/>
      <c r="M175" s="95" t="e">
        <f t="shared" si="2"/>
        <v>#REF!</v>
      </c>
    </row>
    <row r="176" spans="1:13" x14ac:dyDescent="0.2">
      <c r="A176" s="343"/>
      <c r="B176" s="170" t="e">
        <f>Capacidades!#REF!</f>
        <v>#REF!</v>
      </c>
      <c r="C176" s="171"/>
      <c r="D176" s="13"/>
      <c r="E176" s="13"/>
      <c r="F176" s="13"/>
      <c r="G176" s="13"/>
      <c r="H176" s="14"/>
      <c r="I176" s="14"/>
      <c r="J176" s="14"/>
      <c r="K176" s="14"/>
      <c r="L176" s="336"/>
      <c r="M176" s="95" t="e">
        <f t="shared" si="2"/>
        <v>#REF!</v>
      </c>
    </row>
    <row r="177" spans="1:13" x14ac:dyDescent="0.2">
      <c r="A177" s="344"/>
      <c r="B177" s="170" t="e">
        <f>Capacidades!#REF!</f>
        <v>#REF!</v>
      </c>
      <c r="C177" s="171"/>
      <c r="D177" s="15"/>
      <c r="E177" s="15"/>
      <c r="F177" s="15"/>
      <c r="G177" s="15"/>
      <c r="H177" s="16"/>
      <c r="I177" s="16"/>
      <c r="J177" s="16"/>
      <c r="K177" s="16"/>
      <c r="L177" s="337"/>
      <c r="M177" s="95" t="e">
        <f t="shared" si="2"/>
        <v>#REF!</v>
      </c>
    </row>
    <row r="178" spans="1:13" x14ac:dyDescent="0.2">
      <c r="A178" s="342" t="e">
        <f>Capacidades!#REF!</f>
        <v>#REF!</v>
      </c>
      <c r="B178" s="170" t="e">
        <f>Capacidades!#REF!</f>
        <v>#REF!</v>
      </c>
      <c r="C178" s="171"/>
      <c r="D178" s="11">
        <f>Organización_Modular!F150</f>
        <v>0</v>
      </c>
      <c r="E178" s="11">
        <f>Organización_Modular!G150</f>
        <v>0</v>
      </c>
      <c r="F178" s="11">
        <f>Organización_Modular!H150</f>
        <v>0</v>
      </c>
      <c r="G178" s="11">
        <f>Organización_Modular!I150</f>
        <v>0</v>
      </c>
      <c r="H178" s="12">
        <f>SUM(F178:G178)</f>
        <v>0</v>
      </c>
      <c r="I178" s="12">
        <f>F178*16</f>
        <v>0</v>
      </c>
      <c r="J178" s="12">
        <f>G178*32</f>
        <v>0</v>
      </c>
      <c r="K178" s="12">
        <f>SUM(I178:J178)</f>
        <v>0</v>
      </c>
      <c r="L178" s="335"/>
      <c r="M178" s="95" t="e">
        <f t="shared" si="2"/>
        <v>#REF!</v>
      </c>
    </row>
    <row r="179" spans="1:13" x14ac:dyDescent="0.2">
      <c r="A179" s="343"/>
      <c r="B179" s="170" t="e">
        <f>Capacidades!#REF!</f>
        <v>#REF!</v>
      </c>
      <c r="C179" s="171"/>
      <c r="D179" s="13"/>
      <c r="E179" s="13"/>
      <c r="F179" s="13"/>
      <c r="G179" s="13"/>
      <c r="H179" s="14"/>
      <c r="I179" s="14"/>
      <c r="J179" s="14"/>
      <c r="K179" s="14"/>
      <c r="L179" s="336"/>
      <c r="M179" s="95" t="e">
        <f t="shared" si="2"/>
        <v>#REF!</v>
      </c>
    </row>
    <row r="180" spans="1:13" x14ac:dyDescent="0.2">
      <c r="A180" s="343"/>
      <c r="B180" s="170" t="e">
        <f>Capacidades!#REF!</f>
        <v>#REF!</v>
      </c>
      <c r="C180" s="171"/>
      <c r="D180" s="13"/>
      <c r="E180" s="13"/>
      <c r="F180" s="13"/>
      <c r="G180" s="13"/>
      <c r="H180" s="14"/>
      <c r="I180" s="14"/>
      <c r="J180" s="14"/>
      <c r="K180" s="14"/>
      <c r="L180" s="336"/>
      <c r="M180" s="95" t="e">
        <f t="shared" si="2"/>
        <v>#REF!</v>
      </c>
    </row>
    <row r="181" spans="1:13" x14ac:dyDescent="0.2">
      <c r="A181" s="343"/>
      <c r="B181" s="170" t="e">
        <f>Capacidades!#REF!</f>
        <v>#REF!</v>
      </c>
      <c r="C181" s="171"/>
      <c r="D181" s="13"/>
      <c r="E181" s="13"/>
      <c r="F181" s="13"/>
      <c r="G181" s="13"/>
      <c r="H181" s="14"/>
      <c r="I181" s="14"/>
      <c r="J181" s="14"/>
      <c r="K181" s="14"/>
      <c r="L181" s="336"/>
      <c r="M181" s="95" t="e">
        <f t="shared" si="2"/>
        <v>#REF!</v>
      </c>
    </row>
    <row r="182" spans="1:13" x14ac:dyDescent="0.2">
      <c r="A182" s="343"/>
      <c r="B182" s="170" t="e">
        <f>Capacidades!#REF!</f>
        <v>#REF!</v>
      </c>
      <c r="C182" s="171"/>
      <c r="D182" s="13"/>
      <c r="E182" s="13"/>
      <c r="F182" s="13"/>
      <c r="G182" s="13"/>
      <c r="H182" s="14"/>
      <c r="I182" s="14"/>
      <c r="J182" s="14"/>
      <c r="K182" s="14"/>
      <c r="L182" s="336"/>
      <c r="M182" s="95" t="e">
        <f t="shared" si="2"/>
        <v>#REF!</v>
      </c>
    </row>
    <row r="183" spans="1:13" x14ac:dyDescent="0.2">
      <c r="A183" s="343"/>
      <c r="B183" s="170" t="e">
        <f>Capacidades!#REF!</f>
        <v>#REF!</v>
      </c>
      <c r="C183" s="171"/>
      <c r="D183" s="13"/>
      <c r="E183" s="13"/>
      <c r="F183" s="13"/>
      <c r="G183" s="13"/>
      <c r="H183" s="14"/>
      <c r="I183" s="14"/>
      <c r="J183" s="14"/>
      <c r="K183" s="14"/>
      <c r="L183" s="336"/>
      <c r="M183" s="95" t="e">
        <f t="shared" si="2"/>
        <v>#REF!</v>
      </c>
    </row>
    <row r="184" spans="1:13" x14ac:dyDescent="0.2">
      <c r="A184" s="343"/>
      <c r="B184" s="170" t="e">
        <f>Capacidades!#REF!</f>
        <v>#REF!</v>
      </c>
      <c r="C184" s="171"/>
      <c r="D184" s="13"/>
      <c r="E184" s="13"/>
      <c r="F184" s="13"/>
      <c r="G184" s="13"/>
      <c r="H184" s="14"/>
      <c r="I184" s="14"/>
      <c r="J184" s="14"/>
      <c r="K184" s="14"/>
      <c r="L184" s="336"/>
      <c r="M184" s="95" t="e">
        <f t="shared" si="2"/>
        <v>#REF!</v>
      </c>
    </row>
    <row r="185" spans="1:13" x14ac:dyDescent="0.2">
      <c r="A185" s="343"/>
      <c r="B185" s="170" t="e">
        <f>Capacidades!#REF!</f>
        <v>#REF!</v>
      </c>
      <c r="C185" s="171"/>
      <c r="D185" s="13"/>
      <c r="E185" s="13"/>
      <c r="F185" s="13"/>
      <c r="G185" s="13"/>
      <c r="H185" s="14"/>
      <c r="I185" s="14"/>
      <c r="J185" s="14"/>
      <c r="K185" s="14"/>
      <c r="L185" s="336"/>
      <c r="M185" s="95" t="e">
        <f t="shared" si="2"/>
        <v>#REF!</v>
      </c>
    </row>
    <row r="186" spans="1:13" x14ac:dyDescent="0.2">
      <c r="A186" s="343"/>
      <c r="B186" s="170" t="e">
        <f>Capacidades!#REF!</f>
        <v>#REF!</v>
      </c>
      <c r="C186" s="171"/>
      <c r="D186" s="13"/>
      <c r="E186" s="13"/>
      <c r="F186" s="13"/>
      <c r="G186" s="13"/>
      <c r="H186" s="14"/>
      <c r="I186" s="14"/>
      <c r="J186" s="14"/>
      <c r="K186" s="14"/>
      <c r="L186" s="336"/>
      <c r="M186" s="95" t="e">
        <f t="shared" si="2"/>
        <v>#REF!</v>
      </c>
    </row>
    <row r="187" spans="1:13" x14ac:dyDescent="0.2">
      <c r="A187" s="344"/>
      <c r="B187" s="170" t="e">
        <f>Capacidades!#REF!</f>
        <v>#REF!</v>
      </c>
      <c r="C187" s="171"/>
      <c r="D187" s="15"/>
      <c r="E187" s="15"/>
      <c r="F187" s="15"/>
      <c r="G187" s="15"/>
      <c r="H187" s="16"/>
      <c r="I187" s="16"/>
      <c r="J187" s="16"/>
      <c r="K187" s="16"/>
      <c r="L187" s="337"/>
      <c r="M187" s="95" t="e">
        <f t="shared" si="2"/>
        <v>#REF!</v>
      </c>
    </row>
    <row r="188" spans="1:13" x14ac:dyDescent="0.2">
      <c r="A188" s="342" t="e">
        <f>Capacidades!#REF!</f>
        <v>#REF!</v>
      </c>
      <c r="B188" s="170" t="e">
        <f>Capacidades!#REF!</f>
        <v>#REF!</v>
      </c>
      <c r="C188" s="171"/>
      <c r="D188" s="11">
        <f>Organización_Modular!F151</f>
        <v>0</v>
      </c>
      <c r="E188" s="11">
        <f>Organización_Modular!G151</f>
        <v>0</v>
      </c>
      <c r="F188" s="11">
        <f>Organización_Modular!H151</f>
        <v>0</v>
      </c>
      <c r="G188" s="11">
        <f>Organización_Modular!I151</f>
        <v>0</v>
      </c>
      <c r="H188" s="12">
        <f>SUM(F188:G188)</f>
        <v>0</v>
      </c>
      <c r="I188" s="12">
        <f>F188*16</f>
        <v>0</v>
      </c>
      <c r="J188" s="12">
        <f>G188*32</f>
        <v>0</v>
      </c>
      <c r="K188" s="12">
        <f>SUM(I188:J188)</f>
        <v>0</v>
      </c>
      <c r="L188" s="335"/>
      <c r="M188" s="95" t="e">
        <f t="shared" si="2"/>
        <v>#REF!</v>
      </c>
    </row>
    <row r="189" spans="1:13" x14ac:dyDescent="0.2">
      <c r="A189" s="343"/>
      <c r="B189" s="170" t="e">
        <f>Capacidades!#REF!</f>
        <v>#REF!</v>
      </c>
      <c r="C189" s="171"/>
      <c r="D189" s="13"/>
      <c r="E189" s="13"/>
      <c r="F189" s="13"/>
      <c r="G189" s="13"/>
      <c r="H189" s="14"/>
      <c r="I189" s="14"/>
      <c r="J189" s="14"/>
      <c r="K189" s="14"/>
      <c r="L189" s="336"/>
      <c r="M189" s="95" t="e">
        <f t="shared" si="2"/>
        <v>#REF!</v>
      </c>
    </row>
    <row r="190" spans="1:13" x14ac:dyDescent="0.2">
      <c r="A190" s="343"/>
      <c r="B190" s="170" t="e">
        <f>Capacidades!#REF!</f>
        <v>#REF!</v>
      </c>
      <c r="C190" s="171"/>
      <c r="D190" s="13"/>
      <c r="E190" s="13"/>
      <c r="F190" s="13"/>
      <c r="G190" s="13"/>
      <c r="H190" s="14"/>
      <c r="I190" s="14"/>
      <c r="J190" s="14"/>
      <c r="K190" s="14"/>
      <c r="L190" s="336"/>
      <c r="M190" s="95" t="e">
        <f t="shared" si="2"/>
        <v>#REF!</v>
      </c>
    </row>
    <row r="191" spans="1:13" x14ac:dyDescent="0.2">
      <c r="A191" s="343"/>
      <c r="B191" s="170" t="e">
        <f>Capacidades!#REF!</f>
        <v>#REF!</v>
      </c>
      <c r="C191" s="171"/>
      <c r="D191" s="13"/>
      <c r="E191" s="13"/>
      <c r="F191" s="13"/>
      <c r="G191" s="13"/>
      <c r="H191" s="14"/>
      <c r="I191" s="14"/>
      <c r="J191" s="14"/>
      <c r="K191" s="14"/>
      <c r="L191" s="336"/>
      <c r="M191" s="95" t="e">
        <f t="shared" si="2"/>
        <v>#REF!</v>
      </c>
    </row>
    <row r="192" spans="1:13" x14ac:dyDescent="0.2">
      <c r="A192" s="343"/>
      <c r="B192" s="170" t="e">
        <f>Capacidades!#REF!</f>
        <v>#REF!</v>
      </c>
      <c r="C192" s="171"/>
      <c r="D192" s="13"/>
      <c r="E192" s="13"/>
      <c r="F192" s="13"/>
      <c r="G192" s="13"/>
      <c r="H192" s="14"/>
      <c r="I192" s="14"/>
      <c r="J192" s="14"/>
      <c r="K192" s="14"/>
      <c r="L192" s="336"/>
      <c r="M192" s="95" t="e">
        <f t="shared" si="2"/>
        <v>#REF!</v>
      </c>
    </row>
    <row r="193" spans="1:13" x14ac:dyDescent="0.2">
      <c r="A193" s="343"/>
      <c r="B193" s="170" t="e">
        <f>Capacidades!#REF!</f>
        <v>#REF!</v>
      </c>
      <c r="C193" s="171"/>
      <c r="D193" s="13"/>
      <c r="E193" s="13"/>
      <c r="F193" s="13"/>
      <c r="G193" s="13"/>
      <c r="H193" s="14"/>
      <c r="I193" s="14"/>
      <c r="J193" s="14"/>
      <c r="K193" s="14"/>
      <c r="L193" s="336"/>
      <c r="M193" s="95" t="e">
        <f t="shared" si="2"/>
        <v>#REF!</v>
      </c>
    </row>
    <row r="194" spans="1:13" x14ac:dyDescent="0.2">
      <c r="A194" s="343"/>
      <c r="B194" s="170" t="e">
        <f>Capacidades!#REF!</f>
        <v>#REF!</v>
      </c>
      <c r="C194" s="171"/>
      <c r="D194" s="13"/>
      <c r="E194" s="13"/>
      <c r="F194" s="13"/>
      <c r="G194" s="13"/>
      <c r="H194" s="14"/>
      <c r="I194" s="14"/>
      <c r="J194" s="14"/>
      <c r="K194" s="14"/>
      <c r="L194" s="336"/>
      <c r="M194" s="95" t="e">
        <f t="shared" si="2"/>
        <v>#REF!</v>
      </c>
    </row>
    <row r="195" spans="1:13" x14ac:dyDescent="0.2">
      <c r="A195" s="343"/>
      <c r="B195" s="170" t="e">
        <f>Capacidades!#REF!</f>
        <v>#REF!</v>
      </c>
      <c r="C195" s="171"/>
      <c r="D195" s="13"/>
      <c r="E195" s="13"/>
      <c r="F195" s="13"/>
      <c r="G195" s="13"/>
      <c r="H195" s="14"/>
      <c r="I195" s="14"/>
      <c r="J195" s="14"/>
      <c r="K195" s="14"/>
      <c r="L195" s="336"/>
      <c r="M195" s="95" t="e">
        <f t="shared" si="2"/>
        <v>#REF!</v>
      </c>
    </row>
    <row r="196" spans="1:13" x14ac:dyDescent="0.2">
      <c r="A196" s="343"/>
      <c r="B196" s="170" t="e">
        <f>Capacidades!#REF!</f>
        <v>#REF!</v>
      </c>
      <c r="C196" s="171"/>
      <c r="D196" s="13"/>
      <c r="E196" s="13"/>
      <c r="F196" s="13"/>
      <c r="G196" s="13"/>
      <c r="H196" s="14"/>
      <c r="I196" s="14"/>
      <c r="J196" s="14"/>
      <c r="K196" s="14"/>
      <c r="L196" s="336"/>
      <c r="M196" s="95" t="e">
        <f t="shared" si="2"/>
        <v>#REF!</v>
      </c>
    </row>
    <row r="197" spans="1:13" x14ac:dyDescent="0.2">
      <c r="A197" s="344"/>
      <c r="B197" s="170" t="e">
        <f>Capacidades!#REF!</f>
        <v>#REF!</v>
      </c>
      <c r="C197" s="171"/>
      <c r="D197" s="15"/>
      <c r="E197" s="15"/>
      <c r="F197" s="15"/>
      <c r="G197" s="15"/>
      <c r="H197" s="16"/>
      <c r="I197" s="16"/>
      <c r="J197" s="16"/>
      <c r="K197" s="16"/>
      <c r="L197" s="337"/>
      <c r="M197" s="95" t="e">
        <f t="shared" si="2"/>
        <v>#REF!</v>
      </c>
    </row>
    <row r="198" spans="1:13" x14ac:dyDescent="0.2">
      <c r="A198" s="342" t="e">
        <f>Capacidades!#REF!</f>
        <v>#REF!</v>
      </c>
      <c r="B198" s="170" t="e">
        <f>Capacidades!#REF!</f>
        <v>#REF!</v>
      </c>
      <c r="C198" s="171"/>
      <c r="D198" s="11">
        <f>Organización_Modular!F152</f>
        <v>0</v>
      </c>
      <c r="E198" s="11">
        <f>Organización_Modular!G152</f>
        <v>0</v>
      </c>
      <c r="F198" s="11">
        <f>Organización_Modular!H152</f>
        <v>0</v>
      </c>
      <c r="G198" s="11">
        <f>Organización_Modular!I152</f>
        <v>0</v>
      </c>
      <c r="H198" s="12">
        <f>SUM(F198:G198)</f>
        <v>0</v>
      </c>
      <c r="I198" s="12">
        <f>F198*16</f>
        <v>0</v>
      </c>
      <c r="J198" s="12">
        <f>G198*32</f>
        <v>0</v>
      </c>
      <c r="K198" s="12">
        <f>SUM(I198:J198)</f>
        <v>0</v>
      </c>
      <c r="L198" s="335"/>
      <c r="M198" s="95" t="e">
        <f t="shared" si="2"/>
        <v>#REF!</v>
      </c>
    </row>
    <row r="199" spans="1:13" x14ac:dyDescent="0.2">
      <c r="A199" s="343"/>
      <c r="B199" s="170" t="e">
        <f>Capacidades!#REF!</f>
        <v>#REF!</v>
      </c>
      <c r="C199" s="171"/>
      <c r="D199" s="13"/>
      <c r="E199" s="13"/>
      <c r="F199" s="13"/>
      <c r="G199" s="13"/>
      <c r="H199" s="14"/>
      <c r="I199" s="14"/>
      <c r="J199" s="14"/>
      <c r="K199" s="14"/>
      <c r="L199" s="336"/>
      <c r="M199" s="95" t="e">
        <f t="shared" si="2"/>
        <v>#REF!</v>
      </c>
    </row>
    <row r="200" spans="1:13" x14ac:dyDescent="0.2">
      <c r="A200" s="343"/>
      <c r="B200" s="170" t="e">
        <f>Capacidades!#REF!</f>
        <v>#REF!</v>
      </c>
      <c r="C200" s="171"/>
      <c r="D200" s="13"/>
      <c r="E200" s="13"/>
      <c r="F200" s="13"/>
      <c r="G200" s="13"/>
      <c r="H200" s="14"/>
      <c r="I200" s="14"/>
      <c r="J200" s="14"/>
      <c r="K200" s="14"/>
      <c r="L200" s="336"/>
      <c r="M200" s="95" t="e">
        <f t="shared" si="2"/>
        <v>#REF!</v>
      </c>
    </row>
    <row r="201" spans="1:13" x14ac:dyDescent="0.2">
      <c r="A201" s="343"/>
      <c r="B201" s="170" t="e">
        <f>Capacidades!#REF!</f>
        <v>#REF!</v>
      </c>
      <c r="C201" s="171"/>
      <c r="D201" s="13"/>
      <c r="E201" s="13"/>
      <c r="F201" s="13"/>
      <c r="G201" s="13"/>
      <c r="H201" s="14"/>
      <c r="I201" s="14"/>
      <c r="J201" s="14"/>
      <c r="K201" s="14"/>
      <c r="L201" s="336"/>
      <c r="M201" s="95" t="e">
        <f t="shared" si="2"/>
        <v>#REF!</v>
      </c>
    </row>
    <row r="202" spans="1:13" x14ac:dyDescent="0.2">
      <c r="A202" s="343"/>
      <c r="B202" s="170" t="e">
        <f>Capacidades!#REF!</f>
        <v>#REF!</v>
      </c>
      <c r="C202" s="171"/>
      <c r="D202" s="13"/>
      <c r="E202" s="13"/>
      <c r="F202" s="13"/>
      <c r="G202" s="13"/>
      <c r="H202" s="14"/>
      <c r="I202" s="14"/>
      <c r="J202" s="14"/>
      <c r="K202" s="14"/>
      <c r="L202" s="336"/>
      <c r="M202" s="95" t="e">
        <f t="shared" si="2"/>
        <v>#REF!</v>
      </c>
    </row>
    <row r="203" spans="1:13" x14ac:dyDescent="0.2">
      <c r="A203" s="343"/>
      <c r="B203" s="170" t="e">
        <f>Capacidades!#REF!</f>
        <v>#REF!</v>
      </c>
      <c r="C203" s="171"/>
      <c r="D203" s="13"/>
      <c r="E203" s="13"/>
      <c r="F203" s="13"/>
      <c r="G203" s="13"/>
      <c r="H203" s="14"/>
      <c r="I203" s="14"/>
      <c r="J203" s="14"/>
      <c r="K203" s="14"/>
      <c r="L203" s="336"/>
      <c r="M203" s="95" t="e">
        <f t="shared" si="2"/>
        <v>#REF!</v>
      </c>
    </row>
    <row r="204" spans="1:13" x14ac:dyDescent="0.2">
      <c r="A204" s="343"/>
      <c r="B204" s="170" t="e">
        <f>Capacidades!#REF!</f>
        <v>#REF!</v>
      </c>
      <c r="C204" s="171"/>
      <c r="D204" s="13"/>
      <c r="E204" s="13"/>
      <c r="F204" s="13"/>
      <c r="G204" s="13"/>
      <c r="H204" s="14"/>
      <c r="I204" s="14"/>
      <c r="J204" s="14"/>
      <c r="K204" s="14"/>
      <c r="L204" s="336"/>
      <c r="M204" s="95" t="e">
        <f t="shared" si="2"/>
        <v>#REF!</v>
      </c>
    </row>
    <row r="205" spans="1:13" x14ac:dyDescent="0.2">
      <c r="A205" s="343"/>
      <c r="B205" s="170" t="e">
        <f>Capacidades!#REF!</f>
        <v>#REF!</v>
      </c>
      <c r="C205" s="171"/>
      <c r="D205" s="13"/>
      <c r="E205" s="13"/>
      <c r="F205" s="13"/>
      <c r="G205" s="13"/>
      <c r="H205" s="14"/>
      <c r="I205" s="14"/>
      <c r="J205" s="14"/>
      <c r="K205" s="14"/>
      <c r="L205" s="336"/>
      <c r="M205" s="95" t="e">
        <f t="shared" si="2"/>
        <v>#REF!</v>
      </c>
    </row>
    <row r="206" spans="1:13" x14ac:dyDescent="0.2">
      <c r="A206" s="343"/>
      <c r="B206" s="170" t="e">
        <f>Capacidades!#REF!</f>
        <v>#REF!</v>
      </c>
      <c r="C206" s="171"/>
      <c r="D206" s="13"/>
      <c r="E206" s="13"/>
      <c r="F206" s="13"/>
      <c r="G206" s="13"/>
      <c r="H206" s="14"/>
      <c r="I206" s="14"/>
      <c r="J206" s="14"/>
      <c r="K206" s="14"/>
      <c r="L206" s="336"/>
      <c r="M206" s="95" t="e">
        <f t="shared" si="2"/>
        <v>#REF!</v>
      </c>
    </row>
    <row r="207" spans="1:13" x14ac:dyDescent="0.2">
      <c r="A207" s="344"/>
      <c r="B207" s="170" t="e">
        <f>Capacidades!#REF!</f>
        <v>#REF!</v>
      </c>
      <c r="C207" s="171"/>
      <c r="D207" s="15"/>
      <c r="E207" s="15"/>
      <c r="F207" s="15"/>
      <c r="G207" s="15"/>
      <c r="H207" s="16"/>
      <c r="I207" s="16"/>
      <c r="J207" s="16"/>
      <c r="K207" s="16"/>
      <c r="L207" s="337"/>
      <c r="M207" s="95" t="e">
        <f t="shared" si="2"/>
        <v>#REF!</v>
      </c>
    </row>
    <row r="208" spans="1:13" x14ac:dyDescent="0.2">
      <c r="A208" s="342" t="e">
        <f>Capacidades!#REF!</f>
        <v>#REF!</v>
      </c>
      <c r="B208" s="170" t="e">
        <f>Capacidades!#REF!</f>
        <v>#REF!</v>
      </c>
      <c r="C208" s="171"/>
      <c r="D208" s="11">
        <f>Organización_Modular!F153</f>
        <v>0</v>
      </c>
      <c r="E208" s="11">
        <f>Organización_Modular!G153</f>
        <v>0</v>
      </c>
      <c r="F208" s="11">
        <f>Organización_Modular!H153</f>
        <v>0</v>
      </c>
      <c r="G208" s="11">
        <f>Organización_Modular!I153</f>
        <v>0</v>
      </c>
      <c r="H208" s="12">
        <f>SUM(F208:G208)</f>
        <v>0</v>
      </c>
      <c r="I208" s="12">
        <f>F208*16</f>
        <v>0</v>
      </c>
      <c r="J208" s="12">
        <f>G208*32</f>
        <v>0</v>
      </c>
      <c r="K208" s="12">
        <f>SUM(I208:J208)</f>
        <v>0</v>
      </c>
      <c r="L208" s="335"/>
      <c r="M208" s="95" t="e">
        <f t="shared" si="2"/>
        <v>#REF!</v>
      </c>
    </row>
    <row r="209" spans="1:13" x14ac:dyDescent="0.2">
      <c r="A209" s="343"/>
      <c r="B209" s="170" t="e">
        <f>Capacidades!#REF!</f>
        <v>#REF!</v>
      </c>
      <c r="C209" s="171"/>
      <c r="D209" s="13"/>
      <c r="E209" s="13"/>
      <c r="F209" s="14"/>
      <c r="G209" s="14"/>
      <c r="H209" s="14"/>
      <c r="I209" s="14"/>
      <c r="J209" s="14"/>
      <c r="K209" s="14"/>
      <c r="L209" s="336"/>
      <c r="M209" s="95" t="e">
        <f t="shared" si="2"/>
        <v>#REF!</v>
      </c>
    </row>
    <row r="210" spans="1:13" x14ac:dyDescent="0.2">
      <c r="A210" s="343"/>
      <c r="B210" s="170" t="e">
        <f>Capacidades!#REF!</f>
        <v>#REF!</v>
      </c>
      <c r="C210" s="171"/>
      <c r="D210" s="13"/>
      <c r="E210" s="13"/>
      <c r="F210" s="14"/>
      <c r="G210" s="14"/>
      <c r="H210" s="14"/>
      <c r="I210" s="14"/>
      <c r="J210" s="14"/>
      <c r="K210" s="14"/>
      <c r="L210" s="336"/>
      <c r="M210" s="95" t="e">
        <f t="shared" si="2"/>
        <v>#REF!</v>
      </c>
    </row>
    <row r="211" spans="1:13" x14ac:dyDescent="0.2">
      <c r="A211" s="343"/>
      <c r="B211" s="170" t="e">
        <f>Capacidades!#REF!</f>
        <v>#REF!</v>
      </c>
      <c r="C211" s="171"/>
      <c r="D211" s="13"/>
      <c r="E211" s="13"/>
      <c r="F211" s="13"/>
      <c r="G211" s="13"/>
      <c r="H211" s="14"/>
      <c r="I211" s="14"/>
      <c r="J211" s="14"/>
      <c r="K211" s="14"/>
      <c r="L211" s="336"/>
      <c r="M211" s="95" t="e">
        <f t="shared" ref="M211:M217" si="3">B211</f>
        <v>#REF!</v>
      </c>
    </row>
    <row r="212" spans="1:13" x14ac:dyDescent="0.2">
      <c r="A212" s="343"/>
      <c r="B212" s="170" t="e">
        <f>Capacidades!#REF!</f>
        <v>#REF!</v>
      </c>
      <c r="C212" s="171"/>
      <c r="D212" s="13"/>
      <c r="E212" s="13"/>
      <c r="F212" s="13"/>
      <c r="G212" s="13"/>
      <c r="H212" s="14"/>
      <c r="I212" s="14"/>
      <c r="J212" s="14"/>
      <c r="K212" s="14"/>
      <c r="L212" s="336"/>
      <c r="M212" s="95" t="e">
        <f t="shared" si="3"/>
        <v>#REF!</v>
      </c>
    </row>
    <row r="213" spans="1:13" x14ac:dyDescent="0.2">
      <c r="A213" s="343"/>
      <c r="B213" s="170" t="e">
        <f>Capacidades!#REF!</f>
        <v>#REF!</v>
      </c>
      <c r="C213" s="171"/>
      <c r="D213" s="13"/>
      <c r="E213" s="13"/>
      <c r="F213" s="13"/>
      <c r="G213" s="13"/>
      <c r="H213" s="14"/>
      <c r="I213" s="14"/>
      <c r="J213" s="14"/>
      <c r="K213" s="14"/>
      <c r="L213" s="336"/>
      <c r="M213" s="95" t="e">
        <f t="shared" si="3"/>
        <v>#REF!</v>
      </c>
    </row>
    <row r="214" spans="1:13" x14ac:dyDescent="0.2">
      <c r="A214" s="343"/>
      <c r="B214" s="170" t="e">
        <f>Capacidades!#REF!</f>
        <v>#REF!</v>
      </c>
      <c r="C214" s="171"/>
      <c r="D214" s="13"/>
      <c r="E214" s="13"/>
      <c r="F214" s="13"/>
      <c r="G214" s="13"/>
      <c r="H214" s="14"/>
      <c r="I214" s="14"/>
      <c r="J214" s="14"/>
      <c r="K214" s="14"/>
      <c r="L214" s="336"/>
      <c r="M214" s="95" t="e">
        <f t="shared" si="3"/>
        <v>#REF!</v>
      </c>
    </row>
    <row r="215" spans="1:13" x14ac:dyDescent="0.2">
      <c r="A215" s="343"/>
      <c r="B215" s="170" t="e">
        <f>Capacidades!#REF!</f>
        <v>#REF!</v>
      </c>
      <c r="C215" s="171"/>
      <c r="D215" s="13"/>
      <c r="E215" s="13"/>
      <c r="F215" s="14"/>
      <c r="G215" s="14"/>
      <c r="H215" s="14"/>
      <c r="I215" s="14"/>
      <c r="J215" s="14"/>
      <c r="K215" s="14"/>
      <c r="L215" s="336"/>
      <c r="M215" s="95" t="e">
        <f t="shared" si="3"/>
        <v>#REF!</v>
      </c>
    </row>
    <row r="216" spans="1:13" x14ac:dyDescent="0.2">
      <c r="A216" s="343"/>
      <c r="B216" s="170" t="e">
        <f>Capacidades!#REF!</f>
        <v>#REF!</v>
      </c>
      <c r="C216" s="171"/>
      <c r="D216" s="13"/>
      <c r="E216" s="13"/>
      <c r="F216" s="14"/>
      <c r="G216" s="14"/>
      <c r="H216" s="14"/>
      <c r="I216" s="14"/>
      <c r="J216" s="14"/>
      <c r="K216" s="14"/>
      <c r="L216" s="336"/>
      <c r="M216" s="95" t="e">
        <f t="shared" si="3"/>
        <v>#REF!</v>
      </c>
    </row>
    <row r="217" spans="1:13" x14ac:dyDescent="0.2">
      <c r="A217" s="344"/>
      <c r="B217" s="170" t="e">
        <f>Capacidades!#REF!</f>
        <v>#REF!</v>
      </c>
      <c r="C217" s="171"/>
      <c r="D217" s="15"/>
      <c r="E217" s="15"/>
      <c r="F217" s="16"/>
      <c r="G217" s="16"/>
      <c r="H217" s="16"/>
      <c r="I217" s="16"/>
      <c r="J217" s="16"/>
      <c r="K217" s="16"/>
      <c r="L217" s="337"/>
      <c r="M217" s="95" t="e">
        <f t="shared" si="3"/>
        <v>#REF!</v>
      </c>
    </row>
    <row r="218" spans="1:13" ht="23.25" customHeight="1" x14ac:dyDescent="0.2">
      <c r="A218" s="354" t="s">
        <v>105</v>
      </c>
      <c r="B218" s="354"/>
      <c r="C218" s="354"/>
      <c r="D218" s="354"/>
      <c r="E218" s="354"/>
      <c r="F218" s="354"/>
      <c r="G218" s="354"/>
      <c r="H218" s="354"/>
      <c r="I218" s="354"/>
      <c r="J218" s="354"/>
      <c r="K218" s="354"/>
      <c r="L218" s="354"/>
      <c r="M218" s="95" t="str">
        <f>A218</f>
        <v>COMPETENCIAS PARA LA EMPLEABILIDAD INCORPORADAS MEDIANTE UNIDAD DIDÁCTICA</v>
      </c>
    </row>
    <row r="219" spans="1:13" ht="79.5" customHeight="1" x14ac:dyDescent="0.2">
      <c r="A219" s="355">
        <f>Organización_Modular!C154</f>
        <v>0</v>
      </c>
      <c r="B219" s="355"/>
      <c r="C219" s="355"/>
      <c r="D219" s="355"/>
      <c r="E219" s="355"/>
      <c r="F219" s="355"/>
      <c r="G219" s="355"/>
      <c r="H219" s="355"/>
      <c r="I219" s="355"/>
      <c r="J219" s="355"/>
      <c r="K219" s="355"/>
      <c r="L219" s="355"/>
      <c r="M219" s="95">
        <f>A219</f>
        <v>0</v>
      </c>
    </row>
    <row r="220" spans="1:13" ht="12.75" customHeight="1" x14ac:dyDescent="0.2">
      <c r="A220" s="359" t="s">
        <v>99</v>
      </c>
      <c r="B220" s="360" t="s">
        <v>98</v>
      </c>
      <c r="C220" s="359" t="s">
        <v>97</v>
      </c>
      <c r="D220" s="359" t="s">
        <v>0</v>
      </c>
      <c r="E220" s="349" t="s">
        <v>61</v>
      </c>
      <c r="F220" s="359" t="s">
        <v>90</v>
      </c>
      <c r="G220" s="359"/>
      <c r="H220" s="359" t="s">
        <v>90</v>
      </c>
      <c r="I220" s="359" t="s">
        <v>96</v>
      </c>
      <c r="J220" s="359"/>
      <c r="K220" s="359" t="s">
        <v>96</v>
      </c>
      <c r="L220" s="359" t="s">
        <v>95</v>
      </c>
      <c r="M220" s="95" t="str">
        <f t="shared" ref="M220" si="4">A220</f>
        <v>CAPACIDADES DE EMPLEABILIDAD</v>
      </c>
    </row>
    <row r="221" spans="1:13" x14ac:dyDescent="0.2">
      <c r="A221" s="359"/>
      <c r="B221" s="360"/>
      <c r="C221" s="359"/>
      <c r="D221" s="359"/>
      <c r="E221" s="349"/>
      <c r="F221" s="160" t="s">
        <v>94</v>
      </c>
      <c r="G221" s="160" t="s">
        <v>93</v>
      </c>
      <c r="H221" s="359"/>
      <c r="I221" s="160" t="s">
        <v>94</v>
      </c>
      <c r="J221" s="160" t="s">
        <v>93</v>
      </c>
      <c r="K221" s="359"/>
      <c r="L221" s="359"/>
      <c r="M221" s="95" t="str">
        <f>A220</f>
        <v>CAPACIDADES DE EMPLEABILIDAD</v>
      </c>
    </row>
    <row r="222" spans="1:13" x14ac:dyDescent="0.2">
      <c r="A222" s="342" t="e">
        <f>Capacidades!#REF!</f>
        <v>#REF!</v>
      </c>
      <c r="B222" s="172" t="e">
        <f>Capacidades!#REF!</f>
        <v>#REF!</v>
      </c>
      <c r="C222" s="173"/>
      <c r="D222" s="13">
        <f>Organización_Modular!F154</f>
        <v>0</v>
      </c>
      <c r="E222" s="13">
        <f>Organización_Modular!G154</f>
        <v>0</v>
      </c>
      <c r="F222" s="13">
        <f>Organización_Modular!H154</f>
        <v>0</v>
      </c>
      <c r="G222" s="13">
        <f>Organización_Modular!I154</f>
        <v>0</v>
      </c>
      <c r="H222" s="14">
        <f>SUM(F222:G222)</f>
        <v>0</v>
      </c>
      <c r="I222" s="14">
        <f>F222*16</f>
        <v>0</v>
      </c>
      <c r="J222" s="14">
        <f>G222*32</f>
        <v>0</v>
      </c>
      <c r="K222" s="14">
        <f>SUM(I222:J222)</f>
        <v>0</v>
      </c>
      <c r="L222" s="336"/>
      <c r="M222" s="95" t="e">
        <f>B222</f>
        <v>#REF!</v>
      </c>
    </row>
    <row r="223" spans="1:13" x14ac:dyDescent="0.2">
      <c r="A223" s="343"/>
      <c r="B223" s="172" t="e">
        <f>Capacidades!#REF!</f>
        <v>#REF!</v>
      </c>
      <c r="C223" s="171"/>
      <c r="D223" s="13"/>
      <c r="E223" s="13"/>
      <c r="F223" s="13"/>
      <c r="G223" s="13"/>
      <c r="H223" s="14"/>
      <c r="I223" s="14"/>
      <c r="J223" s="14"/>
      <c r="K223" s="14"/>
      <c r="L223" s="336"/>
      <c r="M223" s="95" t="e">
        <f t="shared" ref="M223:M286" si="5">B223</f>
        <v>#REF!</v>
      </c>
    </row>
    <row r="224" spans="1:13" x14ac:dyDescent="0.2">
      <c r="A224" s="343"/>
      <c r="B224" s="172" t="e">
        <f>Capacidades!#REF!</f>
        <v>#REF!</v>
      </c>
      <c r="C224" s="171"/>
      <c r="D224" s="13"/>
      <c r="E224" s="13"/>
      <c r="F224" s="13"/>
      <c r="G224" s="13"/>
      <c r="H224" s="14"/>
      <c r="I224" s="14"/>
      <c r="J224" s="14"/>
      <c r="K224" s="14"/>
      <c r="L224" s="336"/>
      <c r="M224" s="95" t="e">
        <f t="shared" si="5"/>
        <v>#REF!</v>
      </c>
    </row>
    <row r="225" spans="1:13" x14ac:dyDescent="0.2">
      <c r="A225" s="343"/>
      <c r="B225" s="172" t="e">
        <f>Capacidades!#REF!</f>
        <v>#REF!</v>
      </c>
      <c r="C225" s="171"/>
      <c r="D225" s="13"/>
      <c r="E225" s="13"/>
      <c r="F225" s="13"/>
      <c r="G225" s="13"/>
      <c r="H225" s="14"/>
      <c r="I225" s="14"/>
      <c r="J225" s="14"/>
      <c r="K225" s="14"/>
      <c r="L225" s="336"/>
      <c r="M225" s="95" t="e">
        <f t="shared" si="5"/>
        <v>#REF!</v>
      </c>
    </row>
    <row r="226" spans="1:13" x14ac:dyDescent="0.2">
      <c r="A226" s="343"/>
      <c r="B226" s="172" t="e">
        <f>Capacidades!#REF!</f>
        <v>#REF!</v>
      </c>
      <c r="C226" s="171"/>
      <c r="D226" s="13"/>
      <c r="E226" s="13"/>
      <c r="F226" s="13"/>
      <c r="G226" s="13"/>
      <c r="H226" s="14"/>
      <c r="I226" s="14"/>
      <c r="J226" s="14"/>
      <c r="K226" s="14"/>
      <c r="L226" s="336"/>
      <c r="M226" s="95" t="e">
        <f t="shared" si="5"/>
        <v>#REF!</v>
      </c>
    </row>
    <row r="227" spans="1:13" x14ac:dyDescent="0.2">
      <c r="A227" s="343"/>
      <c r="B227" s="172" t="e">
        <f>Capacidades!#REF!</f>
        <v>#REF!</v>
      </c>
      <c r="C227" s="171"/>
      <c r="D227" s="13"/>
      <c r="E227" s="13"/>
      <c r="F227" s="13"/>
      <c r="G227" s="13"/>
      <c r="H227" s="14"/>
      <c r="I227" s="14"/>
      <c r="J227" s="14"/>
      <c r="K227" s="14"/>
      <c r="L227" s="336"/>
      <c r="M227" s="95" t="e">
        <f t="shared" si="5"/>
        <v>#REF!</v>
      </c>
    </row>
    <row r="228" spans="1:13" x14ac:dyDescent="0.2">
      <c r="A228" s="343"/>
      <c r="B228" s="172" t="e">
        <f>Capacidades!#REF!</f>
        <v>#REF!</v>
      </c>
      <c r="C228" s="171"/>
      <c r="D228" s="13"/>
      <c r="E228" s="13"/>
      <c r="F228" s="13"/>
      <c r="G228" s="13"/>
      <c r="H228" s="14"/>
      <c r="I228" s="14"/>
      <c r="J228" s="14"/>
      <c r="K228" s="14"/>
      <c r="L228" s="336"/>
      <c r="M228" s="95" t="e">
        <f t="shared" si="5"/>
        <v>#REF!</v>
      </c>
    </row>
    <row r="229" spans="1:13" x14ac:dyDescent="0.2">
      <c r="A229" s="343"/>
      <c r="B229" s="172" t="e">
        <f>Capacidades!#REF!</f>
        <v>#REF!</v>
      </c>
      <c r="C229" s="171"/>
      <c r="D229" s="13"/>
      <c r="E229" s="13"/>
      <c r="F229" s="13"/>
      <c r="G229" s="13"/>
      <c r="H229" s="14"/>
      <c r="I229" s="14"/>
      <c r="J229" s="14"/>
      <c r="K229" s="14"/>
      <c r="L229" s="336"/>
      <c r="M229" s="95" t="e">
        <f t="shared" si="5"/>
        <v>#REF!</v>
      </c>
    </row>
    <row r="230" spans="1:13" x14ac:dyDescent="0.2">
      <c r="A230" s="343"/>
      <c r="B230" s="172" t="e">
        <f>Capacidades!#REF!</f>
        <v>#REF!</v>
      </c>
      <c r="C230" s="171"/>
      <c r="D230" s="13"/>
      <c r="E230" s="13"/>
      <c r="F230" s="13"/>
      <c r="G230" s="13"/>
      <c r="H230" s="14"/>
      <c r="I230" s="14"/>
      <c r="J230" s="14"/>
      <c r="K230" s="14"/>
      <c r="L230" s="336"/>
      <c r="M230" s="95" t="e">
        <f t="shared" si="5"/>
        <v>#REF!</v>
      </c>
    </row>
    <row r="231" spans="1:13" x14ac:dyDescent="0.2">
      <c r="A231" s="344"/>
      <c r="B231" s="172" t="e">
        <f>Capacidades!#REF!</f>
        <v>#REF!</v>
      </c>
      <c r="C231" s="171"/>
      <c r="D231" s="15"/>
      <c r="E231" s="15"/>
      <c r="F231" s="15"/>
      <c r="G231" s="15"/>
      <c r="H231" s="16"/>
      <c r="I231" s="16"/>
      <c r="J231" s="16"/>
      <c r="K231" s="16"/>
      <c r="L231" s="337"/>
      <c r="M231" s="95" t="e">
        <f t="shared" si="5"/>
        <v>#REF!</v>
      </c>
    </row>
    <row r="232" spans="1:13" x14ac:dyDescent="0.2">
      <c r="A232" s="342" t="e">
        <f>Capacidades!#REF!</f>
        <v>#REF!</v>
      </c>
      <c r="B232" s="172" t="e">
        <f>Capacidades!#REF!</f>
        <v>#REF!</v>
      </c>
      <c r="C232" s="171"/>
      <c r="D232" s="11">
        <f>Organización_Modular!F155</f>
        <v>0</v>
      </c>
      <c r="E232" s="11">
        <f>Organización_Modular!G155</f>
        <v>0</v>
      </c>
      <c r="F232" s="11">
        <f>Organización_Modular!H155</f>
        <v>0</v>
      </c>
      <c r="G232" s="11">
        <f>Organización_Modular!I155</f>
        <v>0</v>
      </c>
      <c r="H232" s="12">
        <f>SUM(F232:G232)</f>
        <v>0</v>
      </c>
      <c r="I232" s="12">
        <f>F232*16</f>
        <v>0</v>
      </c>
      <c r="J232" s="12">
        <f>G232*32</f>
        <v>0</v>
      </c>
      <c r="K232" s="12">
        <f>SUM(I232:J232)</f>
        <v>0</v>
      </c>
      <c r="L232" s="335"/>
      <c r="M232" s="95" t="e">
        <f t="shared" si="5"/>
        <v>#REF!</v>
      </c>
    </row>
    <row r="233" spans="1:13" x14ac:dyDescent="0.2">
      <c r="A233" s="343"/>
      <c r="B233" s="172" t="e">
        <f>Capacidades!#REF!</f>
        <v>#REF!</v>
      </c>
      <c r="C233" s="171"/>
      <c r="D233" s="13"/>
      <c r="E233" s="13"/>
      <c r="F233" s="13"/>
      <c r="G233" s="13"/>
      <c r="H233" s="14"/>
      <c r="I233" s="14"/>
      <c r="J233" s="14"/>
      <c r="K233" s="14"/>
      <c r="L233" s="336"/>
      <c r="M233" s="95" t="e">
        <f t="shared" si="5"/>
        <v>#REF!</v>
      </c>
    </row>
    <row r="234" spans="1:13" x14ac:dyDescent="0.2">
      <c r="A234" s="343"/>
      <c r="B234" s="172" t="e">
        <f>Capacidades!#REF!</f>
        <v>#REF!</v>
      </c>
      <c r="C234" s="171"/>
      <c r="D234" s="13"/>
      <c r="E234" s="13"/>
      <c r="F234" s="13"/>
      <c r="G234" s="13"/>
      <c r="H234" s="14"/>
      <c r="I234" s="14"/>
      <c r="J234" s="14"/>
      <c r="K234" s="14"/>
      <c r="L234" s="336"/>
      <c r="M234" s="95" t="e">
        <f t="shared" si="5"/>
        <v>#REF!</v>
      </c>
    </row>
    <row r="235" spans="1:13" x14ac:dyDescent="0.2">
      <c r="A235" s="343"/>
      <c r="B235" s="172" t="e">
        <f>Capacidades!#REF!</f>
        <v>#REF!</v>
      </c>
      <c r="C235" s="171"/>
      <c r="D235" s="13"/>
      <c r="E235" s="13"/>
      <c r="F235" s="13"/>
      <c r="G235" s="13"/>
      <c r="H235" s="14"/>
      <c r="I235" s="14"/>
      <c r="J235" s="14"/>
      <c r="K235" s="14"/>
      <c r="L235" s="336"/>
      <c r="M235" s="95" t="e">
        <f t="shared" si="5"/>
        <v>#REF!</v>
      </c>
    </row>
    <row r="236" spans="1:13" x14ac:dyDescent="0.2">
      <c r="A236" s="343"/>
      <c r="B236" s="172" t="e">
        <f>Capacidades!#REF!</f>
        <v>#REF!</v>
      </c>
      <c r="C236" s="171"/>
      <c r="D236" s="13"/>
      <c r="E236" s="13"/>
      <c r="F236" s="13"/>
      <c r="G236" s="13"/>
      <c r="H236" s="14"/>
      <c r="I236" s="14"/>
      <c r="J236" s="14"/>
      <c r="K236" s="14"/>
      <c r="L236" s="336"/>
      <c r="M236" s="95" t="e">
        <f t="shared" si="5"/>
        <v>#REF!</v>
      </c>
    </row>
    <row r="237" spans="1:13" x14ac:dyDescent="0.2">
      <c r="A237" s="343"/>
      <c r="B237" s="172" t="e">
        <f>Capacidades!#REF!</f>
        <v>#REF!</v>
      </c>
      <c r="C237" s="171"/>
      <c r="D237" s="13"/>
      <c r="E237" s="13"/>
      <c r="F237" s="13"/>
      <c r="G237" s="13"/>
      <c r="H237" s="14"/>
      <c r="I237" s="14"/>
      <c r="J237" s="14"/>
      <c r="K237" s="14"/>
      <c r="L237" s="336"/>
      <c r="M237" s="95" t="e">
        <f t="shared" si="5"/>
        <v>#REF!</v>
      </c>
    </row>
    <row r="238" spans="1:13" x14ac:dyDescent="0.2">
      <c r="A238" s="343"/>
      <c r="B238" s="172" t="e">
        <f>Capacidades!#REF!</f>
        <v>#REF!</v>
      </c>
      <c r="C238" s="171"/>
      <c r="D238" s="13"/>
      <c r="E238" s="13"/>
      <c r="F238" s="13"/>
      <c r="G238" s="13"/>
      <c r="H238" s="14"/>
      <c r="I238" s="14"/>
      <c r="J238" s="14"/>
      <c r="K238" s="14"/>
      <c r="L238" s="336"/>
      <c r="M238" s="95" t="e">
        <f t="shared" si="5"/>
        <v>#REF!</v>
      </c>
    </row>
    <row r="239" spans="1:13" x14ac:dyDescent="0.2">
      <c r="A239" s="343"/>
      <c r="B239" s="172" t="e">
        <f>Capacidades!#REF!</f>
        <v>#REF!</v>
      </c>
      <c r="C239" s="171"/>
      <c r="D239" s="13"/>
      <c r="E239" s="13"/>
      <c r="F239" s="13"/>
      <c r="G239" s="13"/>
      <c r="H239" s="14"/>
      <c r="I239" s="14"/>
      <c r="J239" s="14"/>
      <c r="K239" s="14"/>
      <c r="L239" s="336"/>
      <c r="M239" s="95" t="e">
        <f t="shared" si="5"/>
        <v>#REF!</v>
      </c>
    </row>
    <row r="240" spans="1:13" x14ac:dyDescent="0.2">
      <c r="A240" s="343"/>
      <c r="B240" s="172" t="e">
        <f>Capacidades!#REF!</f>
        <v>#REF!</v>
      </c>
      <c r="C240" s="171"/>
      <c r="D240" s="13"/>
      <c r="E240" s="13"/>
      <c r="F240" s="13"/>
      <c r="G240" s="13"/>
      <c r="H240" s="14"/>
      <c r="I240" s="14"/>
      <c r="J240" s="14"/>
      <c r="K240" s="14"/>
      <c r="L240" s="336"/>
      <c r="M240" s="95" t="e">
        <f t="shared" si="5"/>
        <v>#REF!</v>
      </c>
    </row>
    <row r="241" spans="1:13" x14ac:dyDescent="0.2">
      <c r="A241" s="344"/>
      <c r="B241" s="172" t="e">
        <f>Capacidades!#REF!</f>
        <v>#REF!</v>
      </c>
      <c r="C241" s="174"/>
      <c r="D241" s="13"/>
      <c r="E241" s="13"/>
      <c r="F241" s="13"/>
      <c r="G241" s="13"/>
      <c r="H241" s="14"/>
      <c r="I241" s="14"/>
      <c r="J241" s="14"/>
      <c r="K241" s="14"/>
      <c r="L241" s="336"/>
      <c r="M241" s="95" t="e">
        <f t="shared" si="5"/>
        <v>#REF!</v>
      </c>
    </row>
    <row r="242" spans="1:13" x14ac:dyDescent="0.2">
      <c r="A242" s="342" t="e">
        <f>Capacidades!#REF!</f>
        <v>#REF!</v>
      </c>
      <c r="B242" s="172" t="e">
        <f>Capacidades!#REF!</f>
        <v>#REF!</v>
      </c>
      <c r="C242" s="171"/>
      <c r="D242" s="11">
        <f>Organización_Modular!F156</f>
        <v>0</v>
      </c>
      <c r="E242" s="11">
        <f>Organización_Modular!G156</f>
        <v>0</v>
      </c>
      <c r="F242" s="11">
        <f>Organización_Modular!H156</f>
        <v>0</v>
      </c>
      <c r="G242" s="11">
        <f>Organización_Modular!I156</f>
        <v>0</v>
      </c>
      <c r="H242" s="12">
        <f>SUM(F242:G242)</f>
        <v>0</v>
      </c>
      <c r="I242" s="12">
        <f>F242*16</f>
        <v>0</v>
      </c>
      <c r="J242" s="12">
        <f>G242*32</f>
        <v>0</v>
      </c>
      <c r="K242" s="12">
        <f>SUM(I242:J242)</f>
        <v>0</v>
      </c>
      <c r="L242" s="335"/>
      <c r="M242" s="95" t="e">
        <f t="shared" si="5"/>
        <v>#REF!</v>
      </c>
    </row>
    <row r="243" spans="1:13" x14ac:dyDescent="0.2">
      <c r="A243" s="343"/>
      <c r="B243" s="172" t="e">
        <f>Capacidades!#REF!</f>
        <v>#REF!</v>
      </c>
      <c r="C243" s="171"/>
      <c r="D243" s="13"/>
      <c r="E243" s="13"/>
      <c r="F243" s="13"/>
      <c r="G243" s="13"/>
      <c r="H243" s="14"/>
      <c r="I243" s="14"/>
      <c r="J243" s="14"/>
      <c r="K243" s="14"/>
      <c r="L243" s="336"/>
      <c r="M243" s="95" t="e">
        <f t="shared" si="5"/>
        <v>#REF!</v>
      </c>
    </row>
    <row r="244" spans="1:13" x14ac:dyDescent="0.2">
      <c r="A244" s="343"/>
      <c r="B244" s="172" t="e">
        <f>Capacidades!#REF!</f>
        <v>#REF!</v>
      </c>
      <c r="C244" s="171"/>
      <c r="D244" s="13"/>
      <c r="E244" s="13"/>
      <c r="F244" s="13"/>
      <c r="G244" s="13"/>
      <c r="H244" s="14"/>
      <c r="I244" s="14"/>
      <c r="J244" s="14"/>
      <c r="K244" s="14"/>
      <c r="L244" s="336"/>
      <c r="M244" s="95" t="e">
        <f t="shared" si="5"/>
        <v>#REF!</v>
      </c>
    </row>
    <row r="245" spans="1:13" x14ac:dyDescent="0.2">
      <c r="A245" s="343"/>
      <c r="B245" s="172" t="e">
        <f>Capacidades!#REF!</f>
        <v>#REF!</v>
      </c>
      <c r="C245" s="171"/>
      <c r="D245" s="13"/>
      <c r="E245" s="13"/>
      <c r="F245" s="13"/>
      <c r="G245" s="13"/>
      <c r="H245" s="14"/>
      <c r="I245" s="14"/>
      <c r="J245" s="14"/>
      <c r="K245" s="14"/>
      <c r="L245" s="336"/>
      <c r="M245" s="95" t="e">
        <f t="shared" si="5"/>
        <v>#REF!</v>
      </c>
    </row>
    <row r="246" spans="1:13" x14ac:dyDescent="0.2">
      <c r="A246" s="343"/>
      <c r="B246" s="172" t="e">
        <f>Capacidades!#REF!</f>
        <v>#REF!</v>
      </c>
      <c r="C246" s="171"/>
      <c r="D246" s="13"/>
      <c r="E246" s="13"/>
      <c r="F246" s="13"/>
      <c r="G246" s="13"/>
      <c r="H246" s="14"/>
      <c r="I246" s="14"/>
      <c r="J246" s="14"/>
      <c r="K246" s="14"/>
      <c r="L246" s="336"/>
      <c r="M246" s="95" t="e">
        <f t="shared" si="5"/>
        <v>#REF!</v>
      </c>
    </row>
    <row r="247" spans="1:13" x14ac:dyDescent="0.2">
      <c r="A247" s="343"/>
      <c r="B247" s="172" t="e">
        <f>Capacidades!#REF!</f>
        <v>#REF!</v>
      </c>
      <c r="C247" s="171"/>
      <c r="D247" s="13"/>
      <c r="E247" s="13"/>
      <c r="F247" s="13"/>
      <c r="G247" s="13"/>
      <c r="H247" s="14"/>
      <c r="I247" s="14"/>
      <c r="J247" s="14"/>
      <c r="K247" s="14"/>
      <c r="L247" s="336"/>
      <c r="M247" s="95" t="e">
        <f t="shared" si="5"/>
        <v>#REF!</v>
      </c>
    </row>
    <row r="248" spans="1:13" x14ac:dyDescent="0.2">
      <c r="A248" s="343"/>
      <c r="B248" s="172" t="e">
        <f>Capacidades!#REF!</f>
        <v>#REF!</v>
      </c>
      <c r="C248" s="171"/>
      <c r="D248" s="13"/>
      <c r="E248" s="13"/>
      <c r="F248" s="13"/>
      <c r="G248" s="13"/>
      <c r="H248" s="14"/>
      <c r="I248" s="14"/>
      <c r="J248" s="14"/>
      <c r="K248" s="14"/>
      <c r="L248" s="336"/>
      <c r="M248" s="95" t="e">
        <f t="shared" si="5"/>
        <v>#REF!</v>
      </c>
    </row>
    <row r="249" spans="1:13" x14ac:dyDescent="0.2">
      <c r="A249" s="343"/>
      <c r="B249" s="172" t="e">
        <f>Capacidades!#REF!</f>
        <v>#REF!</v>
      </c>
      <c r="C249" s="171"/>
      <c r="D249" s="13"/>
      <c r="E249" s="13"/>
      <c r="F249" s="13"/>
      <c r="G249" s="13"/>
      <c r="H249" s="14"/>
      <c r="I249" s="14"/>
      <c r="J249" s="14"/>
      <c r="K249" s="14"/>
      <c r="L249" s="336"/>
      <c r="M249" s="95" t="e">
        <f t="shared" si="5"/>
        <v>#REF!</v>
      </c>
    </row>
    <row r="250" spans="1:13" x14ac:dyDescent="0.2">
      <c r="A250" s="343"/>
      <c r="B250" s="172" t="e">
        <f>Capacidades!#REF!</f>
        <v>#REF!</v>
      </c>
      <c r="C250" s="171"/>
      <c r="D250" s="13"/>
      <c r="E250" s="13"/>
      <c r="F250" s="13"/>
      <c r="G250" s="13"/>
      <c r="H250" s="14"/>
      <c r="I250" s="14"/>
      <c r="J250" s="14"/>
      <c r="K250" s="14"/>
      <c r="L250" s="336"/>
      <c r="M250" s="95" t="e">
        <f t="shared" si="5"/>
        <v>#REF!</v>
      </c>
    </row>
    <row r="251" spans="1:13" x14ac:dyDescent="0.2">
      <c r="A251" s="344"/>
      <c r="B251" s="172" t="e">
        <f>Capacidades!#REF!</f>
        <v>#REF!</v>
      </c>
      <c r="C251" s="174"/>
      <c r="D251" s="13"/>
      <c r="E251" s="13"/>
      <c r="F251" s="13"/>
      <c r="G251" s="13"/>
      <c r="H251" s="14"/>
      <c r="I251" s="14"/>
      <c r="J251" s="14"/>
      <c r="K251" s="14"/>
      <c r="L251" s="336"/>
      <c r="M251" s="95" t="e">
        <f t="shared" si="5"/>
        <v>#REF!</v>
      </c>
    </row>
    <row r="252" spans="1:13" x14ac:dyDescent="0.2">
      <c r="A252" s="342" t="e">
        <f>Capacidades!#REF!</f>
        <v>#REF!</v>
      </c>
      <c r="B252" s="172" t="e">
        <f>Capacidades!#REF!</f>
        <v>#REF!</v>
      </c>
      <c r="C252" s="171"/>
      <c r="D252" s="11">
        <f>Organización_Modular!F157</f>
        <v>0</v>
      </c>
      <c r="E252" s="11">
        <f>Organización_Modular!G157</f>
        <v>0</v>
      </c>
      <c r="F252" s="11">
        <f>Organización_Modular!H157</f>
        <v>0</v>
      </c>
      <c r="G252" s="11">
        <f>Organización_Modular!I157</f>
        <v>0</v>
      </c>
      <c r="H252" s="12">
        <f>SUM(F252:G252)</f>
        <v>0</v>
      </c>
      <c r="I252" s="12">
        <f>F252*16</f>
        <v>0</v>
      </c>
      <c r="J252" s="12">
        <f>G252*32</f>
        <v>0</v>
      </c>
      <c r="K252" s="12">
        <f>SUM(I252:J252)</f>
        <v>0</v>
      </c>
      <c r="L252" s="335"/>
      <c r="M252" s="95" t="e">
        <f t="shared" si="5"/>
        <v>#REF!</v>
      </c>
    </row>
    <row r="253" spans="1:13" x14ac:dyDescent="0.2">
      <c r="A253" s="343"/>
      <c r="B253" s="172" t="e">
        <f>Capacidades!#REF!</f>
        <v>#REF!</v>
      </c>
      <c r="C253" s="171"/>
      <c r="D253" s="13"/>
      <c r="E253" s="13"/>
      <c r="F253" s="13"/>
      <c r="G253" s="13"/>
      <c r="H253" s="14"/>
      <c r="I253" s="14"/>
      <c r="J253" s="14"/>
      <c r="K253" s="14"/>
      <c r="L253" s="336"/>
      <c r="M253" s="95" t="e">
        <f t="shared" si="5"/>
        <v>#REF!</v>
      </c>
    </row>
    <row r="254" spans="1:13" x14ac:dyDescent="0.2">
      <c r="A254" s="343"/>
      <c r="B254" s="172" t="e">
        <f>Capacidades!#REF!</f>
        <v>#REF!</v>
      </c>
      <c r="C254" s="171"/>
      <c r="D254" s="13"/>
      <c r="E254" s="13"/>
      <c r="F254" s="13"/>
      <c r="G254" s="13"/>
      <c r="H254" s="14"/>
      <c r="I254" s="14"/>
      <c r="J254" s="14"/>
      <c r="K254" s="14"/>
      <c r="L254" s="336"/>
      <c r="M254" s="95" t="e">
        <f t="shared" si="5"/>
        <v>#REF!</v>
      </c>
    </row>
    <row r="255" spans="1:13" x14ac:dyDescent="0.2">
      <c r="A255" s="343"/>
      <c r="B255" s="172" t="e">
        <f>Capacidades!#REF!</f>
        <v>#REF!</v>
      </c>
      <c r="C255" s="171"/>
      <c r="D255" s="13"/>
      <c r="E255" s="13"/>
      <c r="F255" s="13"/>
      <c r="G255" s="13"/>
      <c r="H255" s="14"/>
      <c r="I255" s="14"/>
      <c r="J255" s="14"/>
      <c r="K255" s="14"/>
      <c r="L255" s="336"/>
      <c r="M255" s="95" t="e">
        <f t="shared" si="5"/>
        <v>#REF!</v>
      </c>
    </row>
    <row r="256" spans="1:13" x14ac:dyDescent="0.2">
      <c r="A256" s="343"/>
      <c r="B256" s="172" t="e">
        <f>Capacidades!#REF!</f>
        <v>#REF!</v>
      </c>
      <c r="C256" s="171"/>
      <c r="D256" s="13"/>
      <c r="E256" s="13"/>
      <c r="F256" s="13"/>
      <c r="G256" s="13"/>
      <c r="H256" s="14"/>
      <c r="I256" s="14"/>
      <c r="J256" s="14"/>
      <c r="K256" s="14"/>
      <c r="L256" s="336"/>
      <c r="M256" s="95" t="e">
        <f t="shared" si="5"/>
        <v>#REF!</v>
      </c>
    </row>
    <row r="257" spans="1:13" x14ac:dyDescent="0.2">
      <c r="A257" s="343"/>
      <c r="B257" s="172" t="e">
        <f>Capacidades!#REF!</f>
        <v>#REF!</v>
      </c>
      <c r="C257" s="171"/>
      <c r="D257" s="13"/>
      <c r="E257" s="13"/>
      <c r="F257" s="13"/>
      <c r="G257" s="13"/>
      <c r="H257" s="14"/>
      <c r="I257" s="14"/>
      <c r="J257" s="14"/>
      <c r="K257" s="14"/>
      <c r="L257" s="336"/>
      <c r="M257" s="95" t="e">
        <f t="shared" si="5"/>
        <v>#REF!</v>
      </c>
    </row>
    <row r="258" spans="1:13" x14ac:dyDescent="0.2">
      <c r="A258" s="343"/>
      <c r="B258" s="172" t="e">
        <f>Capacidades!#REF!</f>
        <v>#REF!</v>
      </c>
      <c r="C258" s="171"/>
      <c r="D258" s="13"/>
      <c r="E258" s="13"/>
      <c r="F258" s="13"/>
      <c r="G258" s="13"/>
      <c r="H258" s="14"/>
      <c r="I258" s="14"/>
      <c r="J258" s="14"/>
      <c r="K258" s="14"/>
      <c r="L258" s="336"/>
      <c r="M258" s="95" t="e">
        <f t="shared" si="5"/>
        <v>#REF!</v>
      </c>
    </row>
    <row r="259" spans="1:13" x14ac:dyDescent="0.2">
      <c r="A259" s="343"/>
      <c r="B259" s="172" t="e">
        <f>Capacidades!#REF!</f>
        <v>#REF!</v>
      </c>
      <c r="C259" s="171"/>
      <c r="D259" s="13"/>
      <c r="E259" s="13"/>
      <c r="F259" s="13"/>
      <c r="G259" s="13"/>
      <c r="H259" s="14"/>
      <c r="I259" s="14"/>
      <c r="J259" s="14"/>
      <c r="K259" s="14"/>
      <c r="L259" s="336"/>
      <c r="M259" s="95" t="e">
        <f t="shared" si="5"/>
        <v>#REF!</v>
      </c>
    </row>
    <row r="260" spans="1:13" x14ac:dyDescent="0.2">
      <c r="A260" s="343"/>
      <c r="B260" s="172" t="e">
        <f>Capacidades!#REF!</f>
        <v>#REF!</v>
      </c>
      <c r="C260" s="171"/>
      <c r="D260" s="13"/>
      <c r="E260" s="13"/>
      <c r="F260" s="13"/>
      <c r="G260" s="13"/>
      <c r="H260" s="14"/>
      <c r="I260" s="14"/>
      <c r="J260" s="14"/>
      <c r="K260" s="14"/>
      <c r="L260" s="336"/>
      <c r="M260" s="95" t="e">
        <f t="shared" si="5"/>
        <v>#REF!</v>
      </c>
    </row>
    <row r="261" spans="1:13" x14ac:dyDescent="0.2">
      <c r="A261" s="344"/>
      <c r="B261" s="172" t="e">
        <f>Capacidades!#REF!</f>
        <v>#REF!</v>
      </c>
      <c r="C261" s="174"/>
      <c r="D261" s="13"/>
      <c r="E261" s="13"/>
      <c r="F261" s="13"/>
      <c r="G261" s="13"/>
      <c r="H261" s="14"/>
      <c r="I261" s="14"/>
      <c r="J261" s="14"/>
      <c r="K261" s="14"/>
      <c r="L261" s="336"/>
      <c r="M261" s="95" t="e">
        <f t="shared" si="5"/>
        <v>#REF!</v>
      </c>
    </row>
    <row r="262" spans="1:13" x14ac:dyDescent="0.2">
      <c r="A262" s="342" t="e">
        <f>Capacidades!#REF!</f>
        <v>#REF!</v>
      </c>
      <c r="B262" s="172" t="e">
        <f>Capacidades!#REF!</f>
        <v>#REF!</v>
      </c>
      <c r="C262" s="171"/>
      <c r="D262" s="11">
        <f>Organización_Modular!F158</f>
        <v>0</v>
      </c>
      <c r="E262" s="11">
        <f>Organización_Modular!G158</f>
        <v>0</v>
      </c>
      <c r="F262" s="11">
        <f>Organización_Modular!H158</f>
        <v>0</v>
      </c>
      <c r="G262" s="11">
        <f>Organización_Modular!I158</f>
        <v>0</v>
      </c>
      <c r="H262" s="12">
        <f>SUM(F262:G262)</f>
        <v>0</v>
      </c>
      <c r="I262" s="12">
        <f>F262*16</f>
        <v>0</v>
      </c>
      <c r="J262" s="12">
        <f>G262*32</f>
        <v>0</v>
      </c>
      <c r="K262" s="12">
        <f>SUM(I262:J262)</f>
        <v>0</v>
      </c>
      <c r="L262" s="335"/>
      <c r="M262" s="95" t="e">
        <f t="shared" si="5"/>
        <v>#REF!</v>
      </c>
    </row>
    <row r="263" spans="1:13" x14ac:dyDescent="0.2">
      <c r="A263" s="343"/>
      <c r="B263" s="172" t="e">
        <f>Capacidades!#REF!</f>
        <v>#REF!</v>
      </c>
      <c r="C263" s="171"/>
      <c r="D263" s="13"/>
      <c r="E263" s="13"/>
      <c r="F263" s="13"/>
      <c r="G263" s="13"/>
      <c r="H263" s="14"/>
      <c r="I263" s="14"/>
      <c r="J263" s="14"/>
      <c r="K263" s="14"/>
      <c r="L263" s="336"/>
      <c r="M263" s="95" t="e">
        <f t="shared" si="5"/>
        <v>#REF!</v>
      </c>
    </row>
    <row r="264" spans="1:13" x14ac:dyDescent="0.2">
      <c r="A264" s="343"/>
      <c r="B264" s="172" t="e">
        <f>Capacidades!#REF!</f>
        <v>#REF!</v>
      </c>
      <c r="C264" s="171"/>
      <c r="D264" s="13"/>
      <c r="E264" s="13"/>
      <c r="F264" s="13"/>
      <c r="G264" s="13"/>
      <c r="H264" s="14"/>
      <c r="I264" s="14"/>
      <c r="J264" s="14"/>
      <c r="K264" s="14"/>
      <c r="L264" s="336"/>
      <c r="M264" s="95" t="e">
        <f t="shared" si="5"/>
        <v>#REF!</v>
      </c>
    </row>
    <row r="265" spans="1:13" x14ac:dyDescent="0.2">
      <c r="A265" s="343"/>
      <c r="B265" s="172" t="e">
        <f>Capacidades!#REF!</f>
        <v>#REF!</v>
      </c>
      <c r="C265" s="171"/>
      <c r="D265" s="13"/>
      <c r="E265" s="13"/>
      <c r="F265" s="13"/>
      <c r="G265" s="13"/>
      <c r="H265" s="14"/>
      <c r="I265" s="14"/>
      <c r="J265" s="14"/>
      <c r="K265" s="14"/>
      <c r="L265" s="336"/>
      <c r="M265" s="95" t="e">
        <f t="shared" si="5"/>
        <v>#REF!</v>
      </c>
    </row>
    <row r="266" spans="1:13" x14ac:dyDescent="0.2">
      <c r="A266" s="343"/>
      <c r="B266" s="172" t="e">
        <f>Capacidades!#REF!</f>
        <v>#REF!</v>
      </c>
      <c r="C266" s="171"/>
      <c r="D266" s="13"/>
      <c r="E266" s="13"/>
      <c r="F266" s="13"/>
      <c r="G266" s="13"/>
      <c r="H266" s="14"/>
      <c r="I266" s="14"/>
      <c r="J266" s="14"/>
      <c r="K266" s="14"/>
      <c r="L266" s="336"/>
      <c r="M266" s="95" t="e">
        <f t="shared" si="5"/>
        <v>#REF!</v>
      </c>
    </row>
    <row r="267" spans="1:13" x14ac:dyDescent="0.2">
      <c r="A267" s="343"/>
      <c r="B267" s="172" t="e">
        <f>Capacidades!#REF!</f>
        <v>#REF!</v>
      </c>
      <c r="C267" s="171"/>
      <c r="D267" s="13"/>
      <c r="E267" s="13"/>
      <c r="F267" s="13"/>
      <c r="G267" s="13"/>
      <c r="H267" s="14"/>
      <c r="I267" s="14"/>
      <c r="J267" s="14"/>
      <c r="K267" s="14"/>
      <c r="L267" s="336"/>
      <c r="M267" s="95" t="e">
        <f t="shared" si="5"/>
        <v>#REF!</v>
      </c>
    </row>
    <row r="268" spans="1:13" x14ac:dyDescent="0.2">
      <c r="A268" s="343"/>
      <c r="B268" s="172" t="e">
        <f>Capacidades!#REF!</f>
        <v>#REF!</v>
      </c>
      <c r="C268" s="171"/>
      <c r="D268" s="13"/>
      <c r="E268" s="13"/>
      <c r="F268" s="13"/>
      <c r="G268" s="13"/>
      <c r="H268" s="14"/>
      <c r="I268" s="14"/>
      <c r="J268" s="14"/>
      <c r="K268" s="14"/>
      <c r="L268" s="336"/>
      <c r="M268" s="95" t="e">
        <f t="shared" si="5"/>
        <v>#REF!</v>
      </c>
    </row>
    <row r="269" spans="1:13" x14ac:dyDescent="0.2">
      <c r="A269" s="343"/>
      <c r="B269" s="172" t="e">
        <f>Capacidades!#REF!</f>
        <v>#REF!</v>
      </c>
      <c r="C269" s="171"/>
      <c r="D269" s="13"/>
      <c r="E269" s="13"/>
      <c r="F269" s="13"/>
      <c r="G269" s="13"/>
      <c r="H269" s="14"/>
      <c r="I269" s="14"/>
      <c r="J269" s="14"/>
      <c r="K269" s="14"/>
      <c r="L269" s="336"/>
      <c r="M269" s="95" t="e">
        <f t="shared" si="5"/>
        <v>#REF!</v>
      </c>
    </row>
    <row r="270" spans="1:13" x14ac:dyDescent="0.2">
      <c r="A270" s="343"/>
      <c r="B270" s="172" t="e">
        <f>Capacidades!#REF!</f>
        <v>#REF!</v>
      </c>
      <c r="C270" s="171"/>
      <c r="D270" s="13"/>
      <c r="E270" s="13"/>
      <c r="F270" s="13"/>
      <c r="G270" s="13"/>
      <c r="H270" s="14"/>
      <c r="I270" s="14"/>
      <c r="J270" s="14"/>
      <c r="K270" s="14"/>
      <c r="L270" s="336"/>
      <c r="M270" s="95" t="e">
        <f t="shared" si="5"/>
        <v>#REF!</v>
      </c>
    </row>
    <row r="271" spans="1:13" x14ac:dyDescent="0.2">
      <c r="A271" s="344"/>
      <c r="B271" s="172" t="e">
        <f>Capacidades!#REF!</f>
        <v>#REF!</v>
      </c>
      <c r="C271" s="174"/>
      <c r="D271" s="13"/>
      <c r="E271" s="13"/>
      <c r="F271" s="13"/>
      <c r="G271" s="13"/>
      <c r="H271" s="14"/>
      <c r="I271" s="14"/>
      <c r="J271" s="14"/>
      <c r="K271" s="14"/>
      <c r="L271" s="336"/>
      <c r="M271" s="95" t="e">
        <f t="shared" si="5"/>
        <v>#REF!</v>
      </c>
    </row>
    <row r="272" spans="1:13" x14ac:dyDescent="0.2">
      <c r="A272" s="342" t="e">
        <f>Capacidades!#REF!</f>
        <v>#REF!</v>
      </c>
      <c r="B272" s="172" t="e">
        <f>Capacidades!#REF!</f>
        <v>#REF!</v>
      </c>
      <c r="C272" s="171"/>
      <c r="D272" s="11">
        <f>Organización_Modular!F159</f>
        <v>0</v>
      </c>
      <c r="E272" s="11">
        <f>Organización_Modular!G159</f>
        <v>0</v>
      </c>
      <c r="F272" s="11">
        <f>Organización_Modular!H159</f>
        <v>0</v>
      </c>
      <c r="G272" s="11">
        <f>Organización_Modular!I159</f>
        <v>0</v>
      </c>
      <c r="H272" s="12">
        <f>SUM(F272:G272)</f>
        <v>0</v>
      </c>
      <c r="I272" s="12">
        <f>F272*16</f>
        <v>0</v>
      </c>
      <c r="J272" s="12">
        <f>G272*32</f>
        <v>0</v>
      </c>
      <c r="K272" s="12">
        <f>SUM(I272:J272)</f>
        <v>0</v>
      </c>
      <c r="L272" s="335"/>
      <c r="M272" s="95" t="e">
        <f t="shared" si="5"/>
        <v>#REF!</v>
      </c>
    </row>
    <row r="273" spans="1:13" x14ac:dyDescent="0.2">
      <c r="A273" s="343"/>
      <c r="B273" s="172" t="e">
        <f>Capacidades!#REF!</f>
        <v>#REF!</v>
      </c>
      <c r="C273" s="171"/>
      <c r="D273" s="13"/>
      <c r="E273" s="13"/>
      <c r="F273" s="13"/>
      <c r="G273" s="13"/>
      <c r="H273" s="14"/>
      <c r="I273" s="14"/>
      <c r="J273" s="14"/>
      <c r="K273" s="14"/>
      <c r="L273" s="336"/>
      <c r="M273" s="95" t="e">
        <f t="shared" si="5"/>
        <v>#REF!</v>
      </c>
    </row>
    <row r="274" spans="1:13" x14ac:dyDescent="0.2">
      <c r="A274" s="343"/>
      <c r="B274" s="172" t="e">
        <f>Capacidades!#REF!</f>
        <v>#REF!</v>
      </c>
      <c r="C274" s="171"/>
      <c r="D274" s="13"/>
      <c r="E274" s="13"/>
      <c r="F274" s="13"/>
      <c r="G274" s="13"/>
      <c r="H274" s="14"/>
      <c r="I274" s="14"/>
      <c r="J274" s="14"/>
      <c r="K274" s="14"/>
      <c r="L274" s="336"/>
      <c r="M274" s="95" t="e">
        <f t="shared" si="5"/>
        <v>#REF!</v>
      </c>
    </row>
    <row r="275" spans="1:13" x14ac:dyDescent="0.2">
      <c r="A275" s="343"/>
      <c r="B275" s="172" t="e">
        <f>Capacidades!#REF!</f>
        <v>#REF!</v>
      </c>
      <c r="C275" s="171"/>
      <c r="D275" s="13"/>
      <c r="E275" s="13"/>
      <c r="F275" s="13"/>
      <c r="G275" s="13"/>
      <c r="H275" s="14"/>
      <c r="I275" s="14"/>
      <c r="J275" s="14"/>
      <c r="K275" s="14"/>
      <c r="L275" s="336"/>
      <c r="M275" s="95" t="e">
        <f t="shared" si="5"/>
        <v>#REF!</v>
      </c>
    </row>
    <row r="276" spans="1:13" x14ac:dyDescent="0.2">
      <c r="A276" s="343"/>
      <c r="B276" s="172" t="e">
        <f>Capacidades!#REF!</f>
        <v>#REF!</v>
      </c>
      <c r="C276" s="171"/>
      <c r="D276" s="13"/>
      <c r="E276" s="13"/>
      <c r="F276" s="13"/>
      <c r="G276" s="13"/>
      <c r="H276" s="14"/>
      <c r="I276" s="14"/>
      <c r="J276" s="14"/>
      <c r="K276" s="14"/>
      <c r="L276" s="336"/>
      <c r="M276" s="95" t="e">
        <f t="shared" si="5"/>
        <v>#REF!</v>
      </c>
    </row>
    <row r="277" spans="1:13" x14ac:dyDescent="0.2">
      <c r="A277" s="343"/>
      <c r="B277" s="172" t="e">
        <f>Capacidades!#REF!</f>
        <v>#REF!</v>
      </c>
      <c r="C277" s="171"/>
      <c r="D277" s="13"/>
      <c r="E277" s="13"/>
      <c r="F277" s="13"/>
      <c r="G277" s="13"/>
      <c r="H277" s="14"/>
      <c r="I277" s="14"/>
      <c r="J277" s="14"/>
      <c r="K277" s="14"/>
      <c r="L277" s="336"/>
      <c r="M277" s="95" t="e">
        <f t="shared" si="5"/>
        <v>#REF!</v>
      </c>
    </row>
    <row r="278" spans="1:13" x14ac:dyDescent="0.2">
      <c r="A278" s="343"/>
      <c r="B278" s="172" t="e">
        <f>Capacidades!#REF!</f>
        <v>#REF!</v>
      </c>
      <c r="C278" s="171"/>
      <c r="D278" s="13"/>
      <c r="E278" s="13"/>
      <c r="F278" s="13"/>
      <c r="G278" s="13"/>
      <c r="H278" s="14"/>
      <c r="I278" s="14"/>
      <c r="J278" s="14"/>
      <c r="K278" s="14"/>
      <c r="L278" s="336"/>
      <c r="M278" s="95" t="e">
        <f t="shared" si="5"/>
        <v>#REF!</v>
      </c>
    </row>
    <row r="279" spans="1:13" x14ac:dyDescent="0.2">
      <c r="A279" s="343"/>
      <c r="B279" s="172" t="e">
        <f>Capacidades!#REF!</f>
        <v>#REF!</v>
      </c>
      <c r="C279" s="171"/>
      <c r="D279" s="13"/>
      <c r="E279" s="13"/>
      <c r="F279" s="13"/>
      <c r="G279" s="13"/>
      <c r="H279" s="14"/>
      <c r="I279" s="14"/>
      <c r="J279" s="14"/>
      <c r="K279" s="14"/>
      <c r="L279" s="336"/>
      <c r="M279" s="95" t="e">
        <f t="shared" si="5"/>
        <v>#REF!</v>
      </c>
    </row>
    <row r="280" spans="1:13" x14ac:dyDescent="0.2">
      <c r="A280" s="343"/>
      <c r="B280" s="172" t="e">
        <f>Capacidades!#REF!</f>
        <v>#REF!</v>
      </c>
      <c r="C280" s="171"/>
      <c r="D280" s="13"/>
      <c r="E280" s="13"/>
      <c r="F280" s="13"/>
      <c r="G280" s="13"/>
      <c r="H280" s="14"/>
      <c r="I280" s="14"/>
      <c r="J280" s="14"/>
      <c r="K280" s="14"/>
      <c r="L280" s="336"/>
      <c r="M280" s="95" t="e">
        <f t="shared" si="5"/>
        <v>#REF!</v>
      </c>
    </row>
    <row r="281" spans="1:13" x14ac:dyDescent="0.2">
      <c r="A281" s="344"/>
      <c r="B281" s="172" t="e">
        <f>Capacidades!#REF!</f>
        <v>#REF!</v>
      </c>
      <c r="C281" s="174"/>
      <c r="D281" s="13"/>
      <c r="E281" s="13"/>
      <c r="F281" s="13"/>
      <c r="G281" s="13"/>
      <c r="H281" s="14"/>
      <c r="I281" s="14"/>
      <c r="J281" s="14"/>
      <c r="K281" s="14"/>
      <c r="L281" s="336"/>
      <c r="M281" s="95" t="e">
        <f t="shared" si="5"/>
        <v>#REF!</v>
      </c>
    </row>
    <row r="282" spans="1:13" x14ac:dyDescent="0.2">
      <c r="A282" s="342" t="e">
        <f>Capacidades!#REF!</f>
        <v>#REF!</v>
      </c>
      <c r="B282" s="172" t="e">
        <f>Capacidades!#REF!</f>
        <v>#REF!</v>
      </c>
      <c r="C282" s="171"/>
      <c r="D282" s="11">
        <f>Organización_Modular!F160</f>
        <v>0</v>
      </c>
      <c r="E282" s="11">
        <f>Organización_Modular!G160</f>
        <v>0</v>
      </c>
      <c r="F282" s="11">
        <f>Organización_Modular!H160</f>
        <v>0</v>
      </c>
      <c r="G282" s="11">
        <f>Organización_Modular!I160</f>
        <v>0</v>
      </c>
      <c r="H282" s="12">
        <f>SUM(F282:G282)</f>
        <v>0</v>
      </c>
      <c r="I282" s="12">
        <f>F282*16</f>
        <v>0</v>
      </c>
      <c r="J282" s="12">
        <f>G282*32</f>
        <v>0</v>
      </c>
      <c r="K282" s="12">
        <f>SUM(I282:J282)</f>
        <v>0</v>
      </c>
      <c r="L282" s="335"/>
      <c r="M282" s="95" t="e">
        <f t="shared" si="5"/>
        <v>#REF!</v>
      </c>
    </row>
    <row r="283" spans="1:13" x14ac:dyDescent="0.2">
      <c r="A283" s="343"/>
      <c r="B283" s="172" t="e">
        <f>Capacidades!#REF!</f>
        <v>#REF!</v>
      </c>
      <c r="C283" s="171"/>
      <c r="D283" s="13"/>
      <c r="E283" s="13"/>
      <c r="F283" s="13"/>
      <c r="G283" s="13"/>
      <c r="H283" s="14"/>
      <c r="I283" s="14"/>
      <c r="J283" s="14"/>
      <c r="K283" s="14"/>
      <c r="L283" s="336"/>
      <c r="M283" s="95" t="e">
        <f t="shared" si="5"/>
        <v>#REF!</v>
      </c>
    </row>
    <row r="284" spans="1:13" x14ac:dyDescent="0.2">
      <c r="A284" s="343"/>
      <c r="B284" s="172" t="e">
        <f>Capacidades!#REF!</f>
        <v>#REF!</v>
      </c>
      <c r="C284" s="171"/>
      <c r="D284" s="13"/>
      <c r="E284" s="13"/>
      <c r="F284" s="13"/>
      <c r="G284" s="13"/>
      <c r="H284" s="14"/>
      <c r="I284" s="14"/>
      <c r="J284" s="14"/>
      <c r="K284" s="14"/>
      <c r="L284" s="336"/>
      <c r="M284" s="95" t="e">
        <f t="shared" si="5"/>
        <v>#REF!</v>
      </c>
    </row>
    <row r="285" spans="1:13" x14ac:dyDescent="0.2">
      <c r="A285" s="343"/>
      <c r="B285" s="172" t="e">
        <f>Capacidades!#REF!</f>
        <v>#REF!</v>
      </c>
      <c r="C285" s="171"/>
      <c r="D285" s="13"/>
      <c r="E285" s="13"/>
      <c r="F285" s="13"/>
      <c r="G285" s="13"/>
      <c r="H285" s="14"/>
      <c r="I285" s="14"/>
      <c r="J285" s="14"/>
      <c r="K285" s="14"/>
      <c r="L285" s="336"/>
      <c r="M285" s="95" t="e">
        <f t="shared" si="5"/>
        <v>#REF!</v>
      </c>
    </row>
    <row r="286" spans="1:13" x14ac:dyDescent="0.2">
      <c r="A286" s="343"/>
      <c r="B286" s="172" t="e">
        <f>Capacidades!#REF!</f>
        <v>#REF!</v>
      </c>
      <c r="C286" s="171"/>
      <c r="D286" s="13"/>
      <c r="E286" s="13"/>
      <c r="F286" s="13"/>
      <c r="G286" s="13"/>
      <c r="H286" s="14"/>
      <c r="I286" s="14"/>
      <c r="J286" s="14"/>
      <c r="K286" s="14"/>
      <c r="L286" s="336"/>
      <c r="M286" s="95" t="e">
        <f t="shared" si="5"/>
        <v>#REF!</v>
      </c>
    </row>
    <row r="287" spans="1:13" x14ac:dyDescent="0.2">
      <c r="A287" s="343"/>
      <c r="B287" s="172" t="e">
        <f>Capacidades!#REF!</f>
        <v>#REF!</v>
      </c>
      <c r="C287" s="171"/>
      <c r="D287" s="13"/>
      <c r="E287" s="13"/>
      <c r="F287" s="13"/>
      <c r="G287" s="13"/>
      <c r="H287" s="14"/>
      <c r="I287" s="14"/>
      <c r="J287" s="14"/>
      <c r="K287" s="14"/>
      <c r="L287" s="336"/>
      <c r="M287" s="95" t="e">
        <f t="shared" ref="M287:M321" si="6">B287</f>
        <v>#REF!</v>
      </c>
    </row>
    <row r="288" spans="1:13" x14ac:dyDescent="0.2">
      <c r="A288" s="343"/>
      <c r="B288" s="172" t="e">
        <f>Capacidades!#REF!</f>
        <v>#REF!</v>
      </c>
      <c r="C288" s="171"/>
      <c r="D288" s="13"/>
      <c r="E288" s="13"/>
      <c r="F288" s="13"/>
      <c r="G288" s="13"/>
      <c r="H288" s="14"/>
      <c r="I288" s="14"/>
      <c r="J288" s="14"/>
      <c r="K288" s="14"/>
      <c r="L288" s="336"/>
      <c r="M288" s="95" t="e">
        <f t="shared" si="6"/>
        <v>#REF!</v>
      </c>
    </row>
    <row r="289" spans="1:13" x14ac:dyDescent="0.2">
      <c r="A289" s="343"/>
      <c r="B289" s="172" t="e">
        <f>Capacidades!#REF!</f>
        <v>#REF!</v>
      </c>
      <c r="C289" s="171"/>
      <c r="D289" s="13"/>
      <c r="E289" s="13"/>
      <c r="F289" s="13"/>
      <c r="G289" s="13"/>
      <c r="H289" s="14"/>
      <c r="I289" s="14"/>
      <c r="J289" s="14"/>
      <c r="K289" s="14"/>
      <c r="L289" s="336"/>
      <c r="M289" s="95" t="e">
        <f t="shared" si="6"/>
        <v>#REF!</v>
      </c>
    </row>
    <row r="290" spans="1:13" x14ac:dyDescent="0.2">
      <c r="A290" s="343"/>
      <c r="B290" s="172" t="e">
        <f>Capacidades!#REF!</f>
        <v>#REF!</v>
      </c>
      <c r="C290" s="171"/>
      <c r="D290" s="13"/>
      <c r="E290" s="13"/>
      <c r="F290" s="13"/>
      <c r="G290" s="13"/>
      <c r="H290" s="14"/>
      <c r="I290" s="14"/>
      <c r="J290" s="14"/>
      <c r="K290" s="14"/>
      <c r="L290" s="336"/>
      <c r="M290" s="95" t="e">
        <f t="shared" si="6"/>
        <v>#REF!</v>
      </c>
    </row>
    <row r="291" spans="1:13" x14ac:dyDescent="0.2">
      <c r="A291" s="344"/>
      <c r="B291" s="172" t="e">
        <f>Capacidades!#REF!</f>
        <v>#REF!</v>
      </c>
      <c r="C291" s="174"/>
      <c r="D291" s="13"/>
      <c r="E291" s="13"/>
      <c r="F291" s="13"/>
      <c r="G291" s="13"/>
      <c r="H291" s="14"/>
      <c r="I291" s="14"/>
      <c r="J291" s="14"/>
      <c r="K291" s="14"/>
      <c r="L291" s="336"/>
      <c r="M291" s="95" t="e">
        <f t="shared" si="6"/>
        <v>#REF!</v>
      </c>
    </row>
    <row r="292" spans="1:13" x14ac:dyDescent="0.2">
      <c r="A292" s="342" t="e">
        <f>Capacidades!#REF!</f>
        <v>#REF!</v>
      </c>
      <c r="B292" s="172" t="e">
        <f>Capacidades!#REF!</f>
        <v>#REF!</v>
      </c>
      <c r="C292" s="171"/>
      <c r="D292" s="11">
        <f>Organización_Modular!F161</f>
        <v>0</v>
      </c>
      <c r="E292" s="11">
        <f>Organización_Modular!G161</f>
        <v>0</v>
      </c>
      <c r="F292" s="11">
        <f>Organización_Modular!H161</f>
        <v>0</v>
      </c>
      <c r="G292" s="11">
        <f>Organización_Modular!I161</f>
        <v>0</v>
      </c>
      <c r="H292" s="12">
        <f>SUM(F292:G292)</f>
        <v>0</v>
      </c>
      <c r="I292" s="12">
        <f>F292*16</f>
        <v>0</v>
      </c>
      <c r="J292" s="12">
        <f>G292*32</f>
        <v>0</v>
      </c>
      <c r="K292" s="12">
        <f>SUM(I292:J292)</f>
        <v>0</v>
      </c>
      <c r="L292" s="335"/>
      <c r="M292" s="95" t="e">
        <f t="shared" si="6"/>
        <v>#REF!</v>
      </c>
    </row>
    <row r="293" spans="1:13" x14ac:dyDescent="0.2">
      <c r="A293" s="343"/>
      <c r="B293" s="172" t="e">
        <f>Capacidades!#REF!</f>
        <v>#REF!</v>
      </c>
      <c r="C293" s="171"/>
      <c r="D293" s="13"/>
      <c r="E293" s="13"/>
      <c r="F293" s="13"/>
      <c r="G293" s="13"/>
      <c r="H293" s="14"/>
      <c r="I293" s="14"/>
      <c r="J293" s="14"/>
      <c r="K293" s="14"/>
      <c r="L293" s="336"/>
      <c r="M293" s="95" t="e">
        <f t="shared" si="6"/>
        <v>#REF!</v>
      </c>
    </row>
    <row r="294" spans="1:13" x14ac:dyDescent="0.2">
      <c r="A294" s="343"/>
      <c r="B294" s="172" t="e">
        <f>Capacidades!#REF!</f>
        <v>#REF!</v>
      </c>
      <c r="C294" s="171"/>
      <c r="D294" s="13"/>
      <c r="E294" s="13"/>
      <c r="F294" s="13"/>
      <c r="G294" s="13"/>
      <c r="H294" s="14"/>
      <c r="I294" s="14"/>
      <c r="J294" s="14"/>
      <c r="K294" s="14"/>
      <c r="L294" s="336"/>
      <c r="M294" s="95" t="e">
        <f t="shared" si="6"/>
        <v>#REF!</v>
      </c>
    </row>
    <row r="295" spans="1:13" x14ac:dyDescent="0.2">
      <c r="A295" s="343"/>
      <c r="B295" s="172" t="e">
        <f>Capacidades!#REF!</f>
        <v>#REF!</v>
      </c>
      <c r="C295" s="171"/>
      <c r="D295" s="13"/>
      <c r="E295" s="13"/>
      <c r="F295" s="13"/>
      <c r="G295" s="13"/>
      <c r="H295" s="14"/>
      <c r="I295" s="14"/>
      <c r="J295" s="14"/>
      <c r="K295" s="14"/>
      <c r="L295" s="336"/>
      <c r="M295" s="95" t="e">
        <f t="shared" si="6"/>
        <v>#REF!</v>
      </c>
    </row>
    <row r="296" spans="1:13" x14ac:dyDescent="0.2">
      <c r="A296" s="343"/>
      <c r="B296" s="172" t="e">
        <f>Capacidades!#REF!</f>
        <v>#REF!</v>
      </c>
      <c r="C296" s="171"/>
      <c r="D296" s="13"/>
      <c r="E296" s="13"/>
      <c r="F296" s="13"/>
      <c r="G296" s="13"/>
      <c r="H296" s="14"/>
      <c r="I296" s="14"/>
      <c r="J296" s="14"/>
      <c r="K296" s="14"/>
      <c r="L296" s="336"/>
      <c r="M296" s="95" t="e">
        <f t="shared" si="6"/>
        <v>#REF!</v>
      </c>
    </row>
    <row r="297" spans="1:13" x14ac:dyDescent="0.2">
      <c r="A297" s="343"/>
      <c r="B297" s="172" t="e">
        <f>Capacidades!#REF!</f>
        <v>#REF!</v>
      </c>
      <c r="C297" s="171"/>
      <c r="D297" s="13"/>
      <c r="E297" s="13"/>
      <c r="F297" s="13"/>
      <c r="G297" s="13"/>
      <c r="H297" s="14"/>
      <c r="I297" s="14"/>
      <c r="J297" s="14"/>
      <c r="K297" s="14"/>
      <c r="L297" s="336"/>
      <c r="M297" s="95" t="e">
        <f t="shared" si="6"/>
        <v>#REF!</v>
      </c>
    </row>
    <row r="298" spans="1:13" x14ac:dyDescent="0.2">
      <c r="A298" s="343"/>
      <c r="B298" s="172" t="e">
        <f>Capacidades!#REF!</f>
        <v>#REF!</v>
      </c>
      <c r="C298" s="171"/>
      <c r="D298" s="13"/>
      <c r="E298" s="13"/>
      <c r="F298" s="13"/>
      <c r="G298" s="13"/>
      <c r="H298" s="14"/>
      <c r="I298" s="14"/>
      <c r="J298" s="14"/>
      <c r="K298" s="14"/>
      <c r="L298" s="336"/>
      <c r="M298" s="95" t="e">
        <f t="shared" si="6"/>
        <v>#REF!</v>
      </c>
    </row>
    <row r="299" spans="1:13" x14ac:dyDescent="0.2">
      <c r="A299" s="343"/>
      <c r="B299" s="172" t="e">
        <f>Capacidades!#REF!</f>
        <v>#REF!</v>
      </c>
      <c r="C299" s="171"/>
      <c r="D299" s="13"/>
      <c r="E299" s="13"/>
      <c r="F299" s="13"/>
      <c r="G299" s="13"/>
      <c r="H299" s="14"/>
      <c r="I299" s="14"/>
      <c r="J299" s="14"/>
      <c r="K299" s="14"/>
      <c r="L299" s="336"/>
      <c r="M299" s="95" t="e">
        <f t="shared" si="6"/>
        <v>#REF!</v>
      </c>
    </row>
    <row r="300" spans="1:13" x14ac:dyDescent="0.2">
      <c r="A300" s="343"/>
      <c r="B300" s="172" t="e">
        <f>Capacidades!#REF!</f>
        <v>#REF!</v>
      </c>
      <c r="C300" s="171"/>
      <c r="D300" s="13"/>
      <c r="E300" s="13"/>
      <c r="F300" s="13"/>
      <c r="G300" s="13"/>
      <c r="H300" s="14"/>
      <c r="I300" s="14"/>
      <c r="J300" s="14"/>
      <c r="K300" s="14"/>
      <c r="L300" s="336"/>
      <c r="M300" s="95" t="e">
        <f t="shared" si="6"/>
        <v>#REF!</v>
      </c>
    </row>
    <row r="301" spans="1:13" x14ac:dyDescent="0.2">
      <c r="A301" s="344"/>
      <c r="B301" s="172" t="e">
        <f>Capacidades!#REF!</f>
        <v>#REF!</v>
      </c>
      <c r="C301" s="174"/>
      <c r="D301" s="13"/>
      <c r="E301" s="13"/>
      <c r="F301" s="13"/>
      <c r="G301" s="13"/>
      <c r="H301" s="14"/>
      <c r="I301" s="14"/>
      <c r="J301" s="14"/>
      <c r="K301" s="14"/>
      <c r="L301" s="336"/>
      <c r="M301" s="95" t="e">
        <f t="shared" si="6"/>
        <v>#REF!</v>
      </c>
    </row>
    <row r="302" spans="1:13" x14ac:dyDescent="0.2">
      <c r="A302" s="342" t="e">
        <f>Capacidades!#REF!</f>
        <v>#REF!</v>
      </c>
      <c r="B302" s="172" t="e">
        <f>Capacidades!#REF!</f>
        <v>#REF!</v>
      </c>
      <c r="C302" s="171"/>
      <c r="D302" s="11">
        <f>Organización_Modular!F162</f>
        <v>0</v>
      </c>
      <c r="E302" s="11">
        <f>Organización_Modular!G162</f>
        <v>0</v>
      </c>
      <c r="F302" s="11">
        <f>Organización_Modular!H162</f>
        <v>0</v>
      </c>
      <c r="G302" s="11">
        <f>Organización_Modular!I162</f>
        <v>0</v>
      </c>
      <c r="H302" s="12">
        <f>SUM(F302:G302)</f>
        <v>0</v>
      </c>
      <c r="I302" s="12">
        <f>F302*16</f>
        <v>0</v>
      </c>
      <c r="J302" s="12">
        <f>G302*32</f>
        <v>0</v>
      </c>
      <c r="K302" s="12">
        <f>SUM(I302:J302)</f>
        <v>0</v>
      </c>
      <c r="L302" s="335"/>
      <c r="M302" s="95" t="e">
        <f t="shared" si="6"/>
        <v>#REF!</v>
      </c>
    </row>
    <row r="303" spans="1:13" x14ac:dyDescent="0.2">
      <c r="A303" s="343"/>
      <c r="B303" s="172" t="e">
        <f>Capacidades!#REF!</f>
        <v>#REF!</v>
      </c>
      <c r="C303" s="171"/>
      <c r="D303" s="13"/>
      <c r="E303" s="13"/>
      <c r="F303" s="13"/>
      <c r="G303" s="13"/>
      <c r="H303" s="14"/>
      <c r="I303" s="14"/>
      <c r="J303" s="14"/>
      <c r="K303" s="14"/>
      <c r="L303" s="336"/>
      <c r="M303" s="95" t="e">
        <f t="shared" si="6"/>
        <v>#REF!</v>
      </c>
    </row>
    <row r="304" spans="1:13" x14ac:dyDescent="0.2">
      <c r="A304" s="343"/>
      <c r="B304" s="172" t="e">
        <f>Capacidades!#REF!</f>
        <v>#REF!</v>
      </c>
      <c r="C304" s="171"/>
      <c r="D304" s="13"/>
      <c r="E304" s="13"/>
      <c r="F304" s="13"/>
      <c r="G304" s="13"/>
      <c r="H304" s="14"/>
      <c r="I304" s="14"/>
      <c r="J304" s="14"/>
      <c r="K304" s="14"/>
      <c r="L304" s="336"/>
      <c r="M304" s="95" t="e">
        <f t="shared" si="6"/>
        <v>#REF!</v>
      </c>
    </row>
    <row r="305" spans="1:13" x14ac:dyDescent="0.2">
      <c r="A305" s="343"/>
      <c r="B305" s="172" t="e">
        <f>Capacidades!#REF!</f>
        <v>#REF!</v>
      </c>
      <c r="C305" s="171"/>
      <c r="D305" s="13"/>
      <c r="E305" s="13"/>
      <c r="F305" s="13"/>
      <c r="G305" s="13"/>
      <c r="H305" s="14"/>
      <c r="I305" s="14"/>
      <c r="J305" s="14"/>
      <c r="K305" s="14"/>
      <c r="L305" s="336"/>
      <c r="M305" s="95" t="e">
        <f t="shared" si="6"/>
        <v>#REF!</v>
      </c>
    </row>
    <row r="306" spans="1:13" x14ac:dyDescent="0.2">
      <c r="A306" s="343"/>
      <c r="B306" s="172" t="e">
        <f>Capacidades!#REF!</f>
        <v>#REF!</v>
      </c>
      <c r="C306" s="171"/>
      <c r="D306" s="13"/>
      <c r="E306" s="13"/>
      <c r="F306" s="13"/>
      <c r="G306" s="13"/>
      <c r="H306" s="14"/>
      <c r="I306" s="14"/>
      <c r="J306" s="14"/>
      <c r="K306" s="14"/>
      <c r="L306" s="336"/>
      <c r="M306" s="95" t="e">
        <f t="shared" si="6"/>
        <v>#REF!</v>
      </c>
    </row>
    <row r="307" spans="1:13" x14ac:dyDescent="0.2">
      <c r="A307" s="343"/>
      <c r="B307" s="172" t="e">
        <f>Capacidades!#REF!</f>
        <v>#REF!</v>
      </c>
      <c r="C307" s="171"/>
      <c r="D307" s="13"/>
      <c r="E307" s="13"/>
      <c r="F307" s="13"/>
      <c r="G307" s="13"/>
      <c r="H307" s="14"/>
      <c r="I307" s="14"/>
      <c r="J307" s="14"/>
      <c r="K307" s="14"/>
      <c r="L307" s="336"/>
      <c r="M307" s="95" t="e">
        <f t="shared" si="6"/>
        <v>#REF!</v>
      </c>
    </row>
    <row r="308" spans="1:13" x14ac:dyDescent="0.2">
      <c r="A308" s="343"/>
      <c r="B308" s="172" t="e">
        <f>Capacidades!#REF!</f>
        <v>#REF!</v>
      </c>
      <c r="C308" s="171"/>
      <c r="D308" s="13"/>
      <c r="E308" s="13"/>
      <c r="F308" s="13"/>
      <c r="G308" s="13"/>
      <c r="H308" s="14"/>
      <c r="I308" s="14"/>
      <c r="J308" s="14"/>
      <c r="K308" s="14"/>
      <c r="L308" s="336"/>
      <c r="M308" s="95" t="e">
        <f t="shared" si="6"/>
        <v>#REF!</v>
      </c>
    </row>
    <row r="309" spans="1:13" x14ac:dyDescent="0.2">
      <c r="A309" s="343"/>
      <c r="B309" s="172" t="e">
        <f>Capacidades!#REF!</f>
        <v>#REF!</v>
      </c>
      <c r="C309" s="171"/>
      <c r="D309" s="13"/>
      <c r="E309" s="13"/>
      <c r="F309" s="13"/>
      <c r="G309" s="13"/>
      <c r="H309" s="14"/>
      <c r="I309" s="14"/>
      <c r="J309" s="14"/>
      <c r="K309" s="14"/>
      <c r="L309" s="336"/>
      <c r="M309" s="95" t="e">
        <f t="shared" si="6"/>
        <v>#REF!</v>
      </c>
    </row>
    <row r="310" spans="1:13" x14ac:dyDescent="0.2">
      <c r="A310" s="343"/>
      <c r="B310" s="172" t="e">
        <f>Capacidades!#REF!</f>
        <v>#REF!</v>
      </c>
      <c r="C310" s="171"/>
      <c r="D310" s="13"/>
      <c r="E310" s="13"/>
      <c r="F310" s="13"/>
      <c r="G310" s="13"/>
      <c r="H310" s="14"/>
      <c r="I310" s="14"/>
      <c r="J310" s="14"/>
      <c r="K310" s="14"/>
      <c r="L310" s="336"/>
      <c r="M310" s="95" t="e">
        <f t="shared" si="6"/>
        <v>#REF!</v>
      </c>
    </row>
    <row r="311" spans="1:13" x14ac:dyDescent="0.2">
      <c r="A311" s="344"/>
      <c r="B311" s="172" t="e">
        <f>Capacidades!#REF!</f>
        <v>#REF!</v>
      </c>
      <c r="C311" s="174"/>
      <c r="D311" s="13"/>
      <c r="E311" s="13"/>
      <c r="F311" s="13"/>
      <c r="G311" s="13"/>
      <c r="H311" s="14"/>
      <c r="I311" s="14"/>
      <c r="J311" s="14"/>
      <c r="K311" s="14"/>
      <c r="L311" s="336"/>
      <c r="M311" s="95" t="e">
        <f t="shared" si="6"/>
        <v>#REF!</v>
      </c>
    </row>
    <row r="312" spans="1:13" x14ac:dyDescent="0.2">
      <c r="A312" s="342" t="e">
        <f>Capacidades!#REF!</f>
        <v>#REF!</v>
      </c>
      <c r="B312" s="172" t="e">
        <f>Capacidades!#REF!</f>
        <v>#REF!</v>
      </c>
      <c r="C312" s="171"/>
      <c r="D312" s="11">
        <f>Organización_Modular!F163</f>
        <v>0</v>
      </c>
      <c r="E312" s="11">
        <f>Organización_Modular!G163</f>
        <v>0</v>
      </c>
      <c r="F312" s="11">
        <f>Organización_Modular!H163</f>
        <v>0</v>
      </c>
      <c r="G312" s="11">
        <f>Organización_Modular!I163</f>
        <v>0</v>
      </c>
      <c r="H312" s="12">
        <f>SUM(F312:G312)</f>
        <v>0</v>
      </c>
      <c r="I312" s="12">
        <f>F312*16</f>
        <v>0</v>
      </c>
      <c r="J312" s="12">
        <f>G312*32</f>
        <v>0</v>
      </c>
      <c r="K312" s="12">
        <f>SUM(I312:J312)</f>
        <v>0</v>
      </c>
      <c r="L312" s="335"/>
      <c r="M312" s="95" t="e">
        <f t="shared" si="6"/>
        <v>#REF!</v>
      </c>
    </row>
    <row r="313" spans="1:13" x14ac:dyDescent="0.2">
      <c r="A313" s="343"/>
      <c r="B313" s="172" t="e">
        <f>Capacidades!#REF!</f>
        <v>#REF!</v>
      </c>
      <c r="C313" s="171"/>
      <c r="D313" s="13"/>
      <c r="E313" s="13"/>
      <c r="F313" s="14"/>
      <c r="G313" s="14"/>
      <c r="H313" s="14"/>
      <c r="I313" s="14"/>
      <c r="J313" s="14"/>
      <c r="K313" s="14"/>
      <c r="L313" s="336"/>
      <c r="M313" s="95" t="e">
        <f t="shared" si="6"/>
        <v>#REF!</v>
      </c>
    </row>
    <row r="314" spans="1:13" x14ac:dyDescent="0.2">
      <c r="A314" s="343"/>
      <c r="B314" s="172" t="e">
        <f>Capacidades!#REF!</f>
        <v>#REF!</v>
      </c>
      <c r="C314" s="171"/>
      <c r="D314" s="13"/>
      <c r="E314" s="13"/>
      <c r="F314" s="14"/>
      <c r="G314" s="14"/>
      <c r="H314" s="14"/>
      <c r="I314" s="14"/>
      <c r="J314" s="14"/>
      <c r="K314" s="14"/>
      <c r="L314" s="336"/>
      <c r="M314" s="95" t="e">
        <f t="shared" si="6"/>
        <v>#REF!</v>
      </c>
    </row>
    <row r="315" spans="1:13" x14ac:dyDescent="0.2">
      <c r="A315" s="343"/>
      <c r="B315" s="172" t="e">
        <f>Capacidades!#REF!</f>
        <v>#REF!</v>
      </c>
      <c r="C315" s="171"/>
      <c r="D315" s="13"/>
      <c r="E315" s="13"/>
      <c r="F315" s="14"/>
      <c r="G315" s="14"/>
      <c r="H315" s="14"/>
      <c r="I315" s="14"/>
      <c r="J315" s="14"/>
      <c r="K315" s="14"/>
      <c r="L315" s="336"/>
      <c r="M315" s="95" t="e">
        <f t="shared" si="6"/>
        <v>#REF!</v>
      </c>
    </row>
    <row r="316" spans="1:13" x14ac:dyDescent="0.2">
      <c r="A316" s="343"/>
      <c r="B316" s="172" t="e">
        <f>Capacidades!#REF!</f>
        <v>#REF!</v>
      </c>
      <c r="C316" s="171"/>
      <c r="D316" s="13"/>
      <c r="E316" s="13"/>
      <c r="F316" s="13"/>
      <c r="G316" s="13"/>
      <c r="H316" s="14"/>
      <c r="I316" s="14"/>
      <c r="J316" s="14"/>
      <c r="K316" s="14"/>
      <c r="L316" s="336"/>
      <c r="M316" s="95" t="e">
        <f t="shared" si="6"/>
        <v>#REF!</v>
      </c>
    </row>
    <row r="317" spans="1:13" x14ac:dyDescent="0.2">
      <c r="A317" s="343"/>
      <c r="B317" s="172" t="e">
        <f>Capacidades!#REF!</f>
        <v>#REF!</v>
      </c>
      <c r="C317" s="171"/>
      <c r="D317" s="13"/>
      <c r="E317" s="13"/>
      <c r="F317" s="13"/>
      <c r="G317" s="13"/>
      <c r="H317" s="14"/>
      <c r="I317" s="14"/>
      <c r="J317" s="14"/>
      <c r="K317" s="14"/>
      <c r="L317" s="336"/>
      <c r="M317" s="95" t="e">
        <f t="shared" si="6"/>
        <v>#REF!</v>
      </c>
    </row>
    <row r="318" spans="1:13" x14ac:dyDescent="0.2">
      <c r="A318" s="343"/>
      <c r="B318" s="172" t="e">
        <f>Capacidades!#REF!</f>
        <v>#REF!</v>
      </c>
      <c r="C318" s="171"/>
      <c r="D318" s="13"/>
      <c r="E318" s="13"/>
      <c r="F318" s="13"/>
      <c r="G318" s="13"/>
      <c r="H318" s="14"/>
      <c r="I318" s="14"/>
      <c r="J318" s="14"/>
      <c r="K318" s="14"/>
      <c r="L318" s="336"/>
      <c r="M318" s="95" t="e">
        <f t="shared" si="6"/>
        <v>#REF!</v>
      </c>
    </row>
    <row r="319" spans="1:13" x14ac:dyDescent="0.2">
      <c r="A319" s="343"/>
      <c r="B319" s="172" t="e">
        <f>Capacidades!#REF!</f>
        <v>#REF!</v>
      </c>
      <c r="C319" s="171"/>
      <c r="D319" s="13"/>
      <c r="E319" s="13"/>
      <c r="F319" s="13"/>
      <c r="G319" s="13"/>
      <c r="H319" s="14"/>
      <c r="I319" s="14"/>
      <c r="J319" s="14"/>
      <c r="K319" s="14"/>
      <c r="L319" s="336"/>
      <c r="M319" s="95" t="e">
        <f t="shared" si="6"/>
        <v>#REF!</v>
      </c>
    </row>
    <row r="320" spans="1:13" x14ac:dyDescent="0.2">
      <c r="A320" s="343"/>
      <c r="B320" s="172" t="e">
        <f>Capacidades!#REF!</f>
        <v>#REF!</v>
      </c>
      <c r="C320" s="171"/>
      <c r="D320" s="13"/>
      <c r="E320" s="13"/>
      <c r="F320" s="14"/>
      <c r="G320" s="14"/>
      <c r="H320" s="14"/>
      <c r="I320" s="14"/>
      <c r="J320" s="14"/>
      <c r="K320" s="14"/>
      <c r="L320" s="336"/>
      <c r="M320" s="95" t="e">
        <f t="shared" si="6"/>
        <v>#REF!</v>
      </c>
    </row>
    <row r="321" spans="1:13" x14ac:dyDescent="0.2">
      <c r="A321" s="344"/>
      <c r="B321" s="172" t="e">
        <f>Capacidades!#REF!</f>
        <v>#REF!</v>
      </c>
      <c r="C321" s="174"/>
      <c r="D321" s="13"/>
      <c r="E321" s="13"/>
      <c r="F321" s="14"/>
      <c r="G321" s="14"/>
      <c r="H321" s="14"/>
      <c r="I321" s="14"/>
      <c r="J321" s="14"/>
      <c r="K321" s="14"/>
      <c r="L321" s="336"/>
      <c r="M321" s="95" t="e">
        <f t="shared" si="6"/>
        <v>#REF!</v>
      </c>
    </row>
    <row r="322" spans="1:13" ht="15.75" x14ac:dyDescent="0.2">
      <c r="A322" s="380" t="s">
        <v>106</v>
      </c>
      <c r="B322" s="380"/>
      <c r="C322" s="380"/>
      <c r="D322" s="380"/>
      <c r="E322" s="380"/>
      <c r="F322" s="380"/>
      <c r="G322" s="380"/>
      <c r="H322" s="380"/>
      <c r="I322" s="380"/>
      <c r="J322" s="380"/>
      <c r="K322" s="380"/>
      <c r="L322" s="380"/>
      <c r="M322" s="95" t="str">
        <f>A322</f>
        <v xml:space="preserve">COMPETENCIAS PARA LA EMPLEABILIDAD INCORPORADAS COMO CONTENIDO  TRANSVERSAL </v>
      </c>
    </row>
    <row r="323" spans="1:13" ht="24" customHeight="1" x14ac:dyDescent="0.2">
      <c r="A323" s="353" t="str">
        <f>'M4'!A323:L323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24" customHeight="1" x14ac:dyDescent="0.2">
      <c r="A324" s="353" t="str">
        <f>'M4'!A324:L324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18.75" customHeight="1" x14ac:dyDescent="0.2">
      <c r="A325" s="353">
        <f>'M4'!A325:L325</f>
        <v>0</v>
      </c>
      <c r="B325" s="353"/>
      <c r="C325" s="353"/>
      <c r="D325" s="353"/>
      <c r="E325" s="353"/>
      <c r="F325" s="353"/>
      <c r="G325" s="353"/>
      <c r="H325" s="353"/>
      <c r="I325" s="353"/>
      <c r="J325" s="353"/>
      <c r="K325" s="353"/>
      <c r="L325" s="353"/>
      <c r="M325" s="95">
        <f t="shared" si="7"/>
        <v>0</v>
      </c>
    </row>
    <row r="326" spans="1:13" ht="25.5" customHeight="1" x14ac:dyDescent="0.2">
      <c r="A326" s="349" t="s">
        <v>92</v>
      </c>
      <c r="B326" s="349"/>
      <c r="C326" s="349" t="s">
        <v>91</v>
      </c>
      <c r="D326" s="349"/>
      <c r="E326" s="349"/>
      <c r="F326" s="349"/>
      <c r="G326" s="349"/>
      <c r="H326" s="349"/>
      <c r="I326" s="349"/>
      <c r="J326" s="349"/>
      <c r="K326" s="349"/>
      <c r="L326" s="349"/>
      <c r="M326" s="95" t="str">
        <f t="shared" si="7"/>
        <v>CAPACIDADES A FORTALECER</v>
      </c>
    </row>
    <row r="327" spans="1:13" x14ac:dyDescent="0.2">
      <c r="A327" s="353" t="e">
        <f ca="1">OFFSET($A$9,(ROW()-326)*10-1,0)</f>
        <v>#REF!</v>
      </c>
      <c r="B327" s="353"/>
      <c r="C327" s="365" t="str">
        <f>'M4'!C327:L356</f>
        <v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v>
      </c>
      <c r="D327" s="366"/>
      <c r="E327" s="366"/>
      <c r="F327" s="366"/>
      <c r="G327" s="366"/>
      <c r="H327" s="366"/>
      <c r="I327" s="366"/>
      <c r="J327" s="366"/>
      <c r="K327" s="366"/>
      <c r="L327" s="367"/>
      <c r="M327" s="95" t="e">
        <f t="shared" ca="1" si="7"/>
        <v>#REF!</v>
      </c>
    </row>
    <row r="328" spans="1:13" x14ac:dyDescent="0.2">
      <c r="A328" s="353" t="e">
        <f t="shared" ref="A328:A346" ca="1" si="8">OFFSET($A$9,(ROW()-326)*10-1,0)</f>
        <v>#REF!</v>
      </c>
      <c r="B328" s="353"/>
      <c r="C328" s="368"/>
      <c r="D328" s="369"/>
      <c r="E328" s="369"/>
      <c r="F328" s="369"/>
      <c r="G328" s="369"/>
      <c r="H328" s="369"/>
      <c r="I328" s="369"/>
      <c r="J328" s="369"/>
      <c r="K328" s="369"/>
      <c r="L328" s="370"/>
      <c r="M328" s="95" t="e">
        <f t="shared" ca="1" si="7"/>
        <v>#REF!</v>
      </c>
    </row>
    <row r="329" spans="1:13" x14ac:dyDescent="0.2">
      <c r="A329" s="353" t="e">
        <f t="shared" ca="1" si="8"/>
        <v>#REF!</v>
      </c>
      <c r="B329" s="353"/>
      <c r="C329" s="368"/>
      <c r="D329" s="369"/>
      <c r="E329" s="369"/>
      <c r="F329" s="369"/>
      <c r="G329" s="369"/>
      <c r="H329" s="369"/>
      <c r="I329" s="369"/>
      <c r="J329" s="369"/>
      <c r="K329" s="369"/>
      <c r="L329" s="370"/>
      <c r="M329" s="95" t="e">
        <f t="shared" ca="1" si="7"/>
        <v>#REF!</v>
      </c>
    </row>
    <row r="330" spans="1:13" x14ac:dyDescent="0.2">
      <c r="A330" s="353" t="e">
        <f t="shared" ca="1" si="8"/>
        <v>#REF!</v>
      </c>
      <c r="B330" s="353"/>
      <c r="C330" s="368"/>
      <c r="D330" s="369"/>
      <c r="E330" s="369"/>
      <c r="F330" s="369"/>
      <c r="G330" s="369"/>
      <c r="H330" s="369"/>
      <c r="I330" s="369"/>
      <c r="J330" s="369"/>
      <c r="K330" s="369"/>
      <c r="L330" s="370"/>
      <c r="M330" s="95" t="e">
        <f t="shared" ca="1" si="7"/>
        <v>#REF!</v>
      </c>
    </row>
    <row r="331" spans="1:13" x14ac:dyDescent="0.2">
      <c r="A331" s="353" t="e">
        <f t="shared" ca="1" si="8"/>
        <v>#REF!</v>
      </c>
      <c r="B331" s="353"/>
      <c r="C331" s="368"/>
      <c r="D331" s="369"/>
      <c r="E331" s="369"/>
      <c r="F331" s="369"/>
      <c r="G331" s="369"/>
      <c r="H331" s="369"/>
      <c r="I331" s="369"/>
      <c r="J331" s="369"/>
      <c r="K331" s="369"/>
      <c r="L331" s="370"/>
      <c r="M331" s="95" t="e">
        <f t="shared" ca="1" si="7"/>
        <v>#REF!</v>
      </c>
    </row>
    <row r="332" spans="1:13" x14ac:dyDescent="0.2">
      <c r="A332" s="353" t="e">
        <f t="shared" ca="1" si="8"/>
        <v>#REF!</v>
      </c>
      <c r="B332" s="353"/>
      <c r="C332" s="368"/>
      <c r="D332" s="369"/>
      <c r="E332" s="369"/>
      <c r="F332" s="369"/>
      <c r="G332" s="369"/>
      <c r="H332" s="369"/>
      <c r="I332" s="369"/>
      <c r="J332" s="369"/>
      <c r="K332" s="369"/>
      <c r="L332" s="370"/>
      <c r="M332" s="95" t="e">
        <f t="shared" ca="1" si="7"/>
        <v>#REF!</v>
      </c>
    </row>
    <row r="333" spans="1:13" x14ac:dyDescent="0.2">
      <c r="A333" s="353" t="e">
        <f t="shared" ca="1" si="8"/>
        <v>#REF!</v>
      </c>
      <c r="B333" s="353"/>
      <c r="C333" s="368"/>
      <c r="D333" s="369"/>
      <c r="E333" s="369"/>
      <c r="F333" s="369"/>
      <c r="G333" s="369"/>
      <c r="H333" s="369"/>
      <c r="I333" s="369"/>
      <c r="J333" s="369"/>
      <c r="K333" s="369"/>
      <c r="L333" s="370"/>
      <c r="M333" s="95" t="e">
        <f t="shared" ca="1" si="7"/>
        <v>#REF!</v>
      </c>
    </row>
    <row r="334" spans="1:13" x14ac:dyDescent="0.2">
      <c r="A334" s="353" t="e">
        <f t="shared" ca="1" si="8"/>
        <v>#REF!</v>
      </c>
      <c r="B334" s="353"/>
      <c r="C334" s="368"/>
      <c r="D334" s="369"/>
      <c r="E334" s="369"/>
      <c r="F334" s="369"/>
      <c r="G334" s="369"/>
      <c r="H334" s="369"/>
      <c r="I334" s="369"/>
      <c r="J334" s="369"/>
      <c r="K334" s="369"/>
      <c r="L334" s="370"/>
      <c r="M334" s="95" t="e">
        <f t="shared" ca="1" si="7"/>
        <v>#REF!</v>
      </c>
    </row>
    <row r="335" spans="1:13" x14ac:dyDescent="0.2">
      <c r="A335" s="353" t="e">
        <f t="shared" ca="1" si="8"/>
        <v>#REF!</v>
      </c>
      <c r="B335" s="353"/>
      <c r="C335" s="368"/>
      <c r="D335" s="369"/>
      <c r="E335" s="369"/>
      <c r="F335" s="369"/>
      <c r="G335" s="369"/>
      <c r="H335" s="369"/>
      <c r="I335" s="369"/>
      <c r="J335" s="369"/>
      <c r="K335" s="369"/>
      <c r="L335" s="370"/>
      <c r="M335" s="95" t="e">
        <f t="shared" ca="1" si="7"/>
        <v>#REF!</v>
      </c>
    </row>
    <row r="336" spans="1:13" x14ac:dyDescent="0.2">
      <c r="A336" s="353" t="e">
        <f t="shared" ca="1" si="8"/>
        <v>#REF!</v>
      </c>
      <c r="B336" s="353"/>
      <c r="C336" s="368"/>
      <c r="D336" s="369"/>
      <c r="E336" s="369"/>
      <c r="F336" s="369"/>
      <c r="G336" s="369"/>
      <c r="H336" s="369"/>
      <c r="I336" s="369"/>
      <c r="J336" s="369"/>
      <c r="K336" s="369"/>
      <c r="L336" s="370"/>
      <c r="M336" s="95" t="e">
        <f t="shared" ca="1" si="7"/>
        <v>#REF!</v>
      </c>
    </row>
    <row r="337" spans="1:13" x14ac:dyDescent="0.2">
      <c r="A337" s="353" t="e">
        <f t="shared" ca="1" si="8"/>
        <v>#REF!</v>
      </c>
      <c r="B337" s="353"/>
      <c r="C337" s="368"/>
      <c r="D337" s="369"/>
      <c r="E337" s="369"/>
      <c r="F337" s="369"/>
      <c r="G337" s="369"/>
      <c r="H337" s="369"/>
      <c r="I337" s="369"/>
      <c r="J337" s="369"/>
      <c r="K337" s="369"/>
      <c r="L337" s="370"/>
      <c r="M337" s="95" t="e">
        <f t="shared" ca="1" si="7"/>
        <v>#REF!</v>
      </c>
    </row>
    <row r="338" spans="1:13" x14ac:dyDescent="0.2">
      <c r="A338" s="353" t="e">
        <f t="shared" ca="1" si="8"/>
        <v>#REF!</v>
      </c>
      <c r="B338" s="353"/>
      <c r="C338" s="368"/>
      <c r="D338" s="369"/>
      <c r="E338" s="369"/>
      <c r="F338" s="369"/>
      <c r="G338" s="369"/>
      <c r="H338" s="369"/>
      <c r="I338" s="369"/>
      <c r="J338" s="369"/>
      <c r="K338" s="369"/>
      <c r="L338" s="370"/>
      <c r="M338" s="95" t="e">
        <f t="shared" ca="1" si="7"/>
        <v>#REF!</v>
      </c>
    </row>
    <row r="339" spans="1:13" x14ac:dyDescent="0.2">
      <c r="A339" s="353" t="e">
        <f t="shared" ca="1" si="8"/>
        <v>#REF!</v>
      </c>
      <c r="B339" s="353"/>
      <c r="C339" s="368"/>
      <c r="D339" s="369"/>
      <c r="E339" s="369"/>
      <c r="F339" s="369"/>
      <c r="G339" s="369"/>
      <c r="H339" s="369"/>
      <c r="I339" s="369"/>
      <c r="J339" s="369"/>
      <c r="K339" s="369"/>
      <c r="L339" s="370"/>
      <c r="M339" s="95" t="e">
        <f t="shared" ca="1" si="7"/>
        <v>#REF!</v>
      </c>
    </row>
    <row r="340" spans="1:13" x14ac:dyDescent="0.2">
      <c r="A340" s="353" t="e">
        <f t="shared" ca="1" si="8"/>
        <v>#REF!</v>
      </c>
      <c r="B340" s="353"/>
      <c r="C340" s="368"/>
      <c r="D340" s="369"/>
      <c r="E340" s="369"/>
      <c r="F340" s="369"/>
      <c r="G340" s="369"/>
      <c r="H340" s="369"/>
      <c r="I340" s="369"/>
      <c r="J340" s="369"/>
      <c r="K340" s="369"/>
      <c r="L340" s="370"/>
      <c r="M340" s="95" t="e">
        <f t="shared" ca="1" si="7"/>
        <v>#REF!</v>
      </c>
    </row>
    <row r="341" spans="1:13" x14ac:dyDescent="0.2">
      <c r="A341" s="353" t="e">
        <f t="shared" ca="1" si="8"/>
        <v>#REF!</v>
      </c>
      <c r="B341" s="353"/>
      <c r="C341" s="368"/>
      <c r="D341" s="369"/>
      <c r="E341" s="369"/>
      <c r="F341" s="369"/>
      <c r="G341" s="369"/>
      <c r="H341" s="369"/>
      <c r="I341" s="369"/>
      <c r="J341" s="369"/>
      <c r="K341" s="369"/>
      <c r="L341" s="370"/>
      <c r="M341" s="95" t="e">
        <f t="shared" ca="1" si="7"/>
        <v>#REF!</v>
      </c>
    </row>
    <row r="342" spans="1:13" x14ac:dyDescent="0.2">
      <c r="A342" s="353" t="e">
        <f t="shared" ca="1" si="8"/>
        <v>#REF!</v>
      </c>
      <c r="B342" s="353"/>
      <c r="C342" s="368"/>
      <c r="D342" s="369"/>
      <c r="E342" s="369"/>
      <c r="F342" s="369"/>
      <c r="G342" s="369"/>
      <c r="H342" s="369"/>
      <c r="I342" s="369"/>
      <c r="J342" s="369"/>
      <c r="K342" s="369"/>
      <c r="L342" s="370"/>
      <c r="M342" s="95" t="e">
        <f t="shared" ca="1" si="7"/>
        <v>#REF!</v>
      </c>
    </row>
    <row r="343" spans="1:13" x14ac:dyDescent="0.2">
      <c r="A343" s="353" t="e">
        <f t="shared" ca="1" si="8"/>
        <v>#REF!</v>
      </c>
      <c r="B343" s="353"/>
      <c r="C343" s="368"/>
      <c r="D343" s="369"/>
      <c r="E343" s="369"/>
      <c r="F343" s="369"/>
      <c r="G343" s="369"/>
      <c r="H343" s="369"/>
      <c r="I343" s="369"/>
      <c r="J343" s="369"/>
      <c r="K343" s="369"/>
      <c r="L343" s="370"/>
      <c r="M343" s="95" t="e">
        <f t="shared" ca="1" si="7"/>
        <v>#REF!</v>
      </c>
    </row>
    <row r="344" spans="1:13" x14ac:dyDescent="0.2">
      <c r="A344" s="353" t="e">
        <f t="shared" ca="1" si="8"/>
        <v>#REF!</v>
      </c>
      <c r="B344" s="353"/>
      <c r="C344" s="368"/>
      <c r="D344" s="369"/>
      <c r="E344" s="369"/>
      <c r="F344" s="369"/>
      <c r="G344" s="369"/>
      <c r="H344" s="369"/>
      <c r="I344" s="369"/>
      <c r="J344" s="369"/>
      <c r="K344" s="369"/>
      <c r="L344" s="370"/>
      <c r="M344" s="95" t="e">
        <f t="shared" ca="1" si="7"/>
        <v>#REF!</v>
      </c>
    </row>
    <row r="345" spans="1:13" x14ac:dyDescent="0.2">
      <c r="A345" s="353" t="e">
        <f ca="1">OFFSET($A$9,(ROW()-326)*10-1,0)</f>
        <v>#REF!</v>
      </c>
      <c r="B345" s="353"/>
      <c r="C345" s="368"/>
      <c r="D345" s="369"/>
      <c r="E345" s="369"/>
      <c r="F345" s="369"/>
      <c r="G345" s="369"/>
      <c r="H345" s="369"/>
      <c r="I345" s="369"/>
      <c r="J345" s="369"/>
      <c r="K345" s="369"/>
      <c r="L345" s="370"/>
      <c r="M345" s="95" t="e">
        <f t="shared" ca="1" si="7"/>
        <v>#REF!</v>
      </c>
    </row>
    <row r="346" spans="1:13" x14ac:dyDescent="0.2">
      <c r="A346" s="353" t="e">
        <f t="shared" ca="1" si="8"/>
        <v>#REF!</v>
      </c>
      <c r="B346" s="353"/>
      <c r="C346" s="368"/>
      <c r="D346" s="369"/>
      <c r="E346" s="369"/>
      <c r="F346" s="369"/>
      <c r="G346" s="369"/>
      <c r="H346" s="369"/>
      <c r="I346" s="369"/>
      <c r="J346" s="369"/>
      <c r="K346" s="369"/>
      <c r="L346" s="370"/>
      <c r="M346" s="95" t="e">
        <f t="shared" ca="1" si="7"/>
        <v>#REF!</v>
      </c>
    </row>
    <row r="347" spans="1:13" x14ac:dyDescent="0.2">
      <c r="A347" s="353" t="e">
        <f ca="1">OFFSET($A$213,(ROW()-346)*10-1,0)</f>
        <v>#REF!</v>
      </c>
      <c r="B347" s="353"/>
      <c r="C347" s="368"/>
      <c r="D347" s="369"/>
      <c r="E347" s="369"/>
      <c r="F347" s="369"/>
      <c r="G347" s="369"/>
      <c r="H347" s="369"/>
      <c r="I347" s="369"/>
      <c r="J347" s="369"/>
      <c r="K347" s="369"/>
      <c r="L347" s="370"/>
      <c r="M347" s="95" t="e">
        <f t="shared" ca="1" si="7"/>
        <v>#REF!</v>
      </c>
    </row>
    <row r="348" spans="1:13" x14ac:dyDescent="0.2">
      <c r="A348" s="353" t="e">
        <f t="shared" ref="A348:A356" ca="1" si="9">OFFSET($A$213,(ROW()-346)*10-1,0)</f>
        <v>#REF!</v>
      </c>
      <c r="B348" s="353"/>
      <c r="C348" s="368"/>
      <c r="D348" s="369"/>
      <c r="E348" s="369"/>
      <c r="F348" s="369"/>
      <c r="G348" s="369"/>
      <c r="H348" s="369"/>
      <c r="I348" s="369"/>
      <c r="J348" s="369"/>
      <c r="K348" s="369"/>
      <c r="L348" s="370"/>
      <c r="M348" s="95" t="e">
        <f t="shared" ca="1" si="7"/>
        <v>#REF!</v>
      </c>
    </row>
    <row r="349" spans="1:13" x14ac:dyDescent="0.2">
      <c r="A349" s="353" t="e">
        <f t="shared" ca="1" si="9"/>
        <v>#REF!</v>
      </c>
      <c r="B349" s="353"/>
      <c r="C349" s="368"/>
      <c r="D349" s="369"/>
      <c r="E349" s="369"/>
      <c r="F349" s="369"/>
      <c r="G349" s="369"/>
      <c r="H349" s="369"/>
      <c r="I349" s="369"/>
      <c r="J349" s="369"/>
      <c r="K349" s="369"/>
      <c r="L349" s="370"/>
      <c r="M349" s="95" t="e">
        <f t="shared" ca="1" si="7"/>
        <v>#REF!</v>
      </c>
    </row>
    <row r="350" spans="1:13" x14ac:dyDescent="0.2">
      <c r="A350" s="353" t="e">
        <f t="shared" ca="1" si="9"/>
        <v>#REF!</v>
      </c>
      <c r="B350" s="353"/>
      <c r="C350" s="368"/>
      <c r="D350" s="369"/>
      <c r="E350" s="369"/>
      <c r="F350" s="369"/>
      <c r="G350" s="369"/>
      <c r="H350" s="369"/>
      <c r="I350" s="369"/>
      <c r="J350" s="369"/>
      <c r="K350" s="369"/>
      <c r="L350" s="370"/>
      <c r="M350" s="95" t="e">
        <f t="shared" ca="1" si="7"/>
        <v>#REF!</v>
      </c>
    </row>
    <row r="351" spans="1:13" x14ac:dyDescent="0.2">
      <c r="A351" s="353" t="e">
        <f t="shared" ca="1" si="9"/>
        <v>#REF!</v>
      </c>
      <c r="B351" s="353"/>
      <c r="C351" s="368"/>
      <c r="D351" s="369"/>
      <c r="E351" s="369"/>
      <c r="F351" s="369"/>
      <c r="G351" s="369"/>
      <c r="H351" s="369"/>
      <c r="I351" s="369"/>
      <c r="J351" s="369"/>
      <c r="K351" s="369"/>
      <c r="L351" s="370"/>
      <c r="M351" s="95" t="e">
        <f t="shared" ca="1" si="7"/>
        <v>#REF!</v>
      </c>
    </row>
    <row r="352" spans="1:13" x14ac:dyDescent="0.2">
      <c r="A352" s="353" t="e">
        <f t="shared" ca="1" si="9"/>
        <v>#REF!</v>
      </c>
      <c r="B352" s="353"/>
      <c r="C352" s="368"/>
      <c r="D352" s="369"/>
      <c r="E352" s="369"/>
      <c r="F352" s="369"/>
      <c r="G352" s="369"/>
      <c r="H352" s="369"/>
      <c r="I352" s="369"/>
      <c r="J352" s="369"/>
      <c r="K352" s="369"/>
      <c r="L352" s="370"/>
      <c r="M352" s="95" t="e">
        <f t="shared" ca="1" si="7"/>
        <v>#REF!</v>
      </c>
    </row>
    <row r="353" spans="1:13" x14ac:dyDescent="0.2">
      <c r="A353" s="353" t="e">
        <f t="shared" ca="1" si="9"/>
        <v>#REF!</v>
      </c>
      <c r="B353" s="353"/>
      <c r="C353" s="368"/>
      <c r="D353" s="369"/>
      <c r="E353" s="369"/>
      <c r="F353" s="369"/>
      <c r="G353" s="369"/>
      <c r="H353" s="369"/>
      <c r="I353" s="369"/>
      <c r="J353" s="369"/>
      <c r="K353" s="369"/>
      <c r="L353" s="370"/>
      <c r="M353" s="95" t="e">
        <f t="shared" ca="1" si="7"/>
        <v>#REF!</v>
      </c>
    </row>
    <row r="354" spans="1:13" x14ac:dyDescent="0.2">
      <c r="A354" s="353" t="e">
        <f t="shared" ca="1" si="9"/>
        <v>#REF!</v>
      </c>
      <c r="B354" s="353"/>
      <c r="C354" s="368"/>
      <c r="D354" s="369"/>
      <c r="E354" s="369"/>
      <c r="F354" s="369"/>
      <c r="G354" s="369"/>
      <c r="H354" s="369"/>
      <c r="I354" s="369"/>
      <c r="J354" s="369"/>
      <c r="K354" s="369"/>
      <c r="L354" s="370"/>
      <c r="M354" s="95" t="e">
        <f t="shared" ca="1" si="7"/>
        <v>#REF!</v>
      </c>
    </row>
    <row r="355" spans="1:13" x14ac:dyDescent="0.2">
      <c r="A355" s="353" t="e">
        <f t="shared" ca="1" si="9"/>
        <v>#REF!</v>
      </c>
      <c r="B355" s="353"/>
      <c r="C355" s="368"/>
      <c r="D355" s="369"/>
      <c r="E355" s="369"/>
      <c r="F355" s="369"/>
      <c r="G355" s="369"/>
      <c r="H355" s="369"/>
      <c r="I355" s="369"/>
      <c r="J355" s="369"/>
      <c r="K355" s="369"/>
      <c r="L355" s="370"/>
      <c r="M355" s="95" t="e">
        <f t="shared" ca="1" si="7"/>
        <v>#REF!</v>
      </c>
    </row>
    <row r="356" spans="1:13" x14ac:dyDescent="0.2">
      <c r="A356" s="353" t="e">
        <f t="shared" ca="1" si="9"/>
        <v>#REF!</v>
      </c>
      <c r="B356" s="353"/>
      <c r="C356" s="371"/>
      <c r="D356" s="372"/>
      <c r="E356" s="372"/>
      <c r="F356" s="372"/>
      <c r="G356" s="372"/>
      <c r="H356" s="372"/>
      <c r="I356" s="372"/>
      <c r="J356" s="372"/>
      <c r="K356" s="372"/>
      <c r="L356" s="373"/>
      <c r="M356" s="95" t="e">
        <f t="shared" ca="1" si="7"/>
        <v>#REF!</v>
      </c>
    </row>
    <row r="357" spans="1:13" s="57" customFormat="1" ht="18" customHeight="1" x14ac:dyDescent="0.2">
      <c r="A357" s="341" t="str">
        <f>'M1'!A350:L350</f>
        <v>EXPERIENCIAS FORMATIVAS EN SITUACIONES REALES DE TRABAJO (EFSRT)</v>
      </c>
      <c r="B357" s="341"/>
      <c r="C357" s="341"/>
      <c r="D357" s="341"/>
      <c r="E357" s="341"/>
      <c r="F357" s="341"/>
      <c r="G357" s="341"/>
      <c r="H357" s="341"/>
      <c r="I357" s="341"/>
      <c r="J357" s="341"/>
      <c r="K357" s="341"/>
      <c r="L357" s="341"/>
      <c r="M357" s="95" t="str">
        <f t="shared" si="7"/>
        <v>EXPERIENCIAS FORMATIVAS EN SITUACIONES REALES DE TRABAJO (EFSRT)</v>
      </c>
    </row>
    <row r="358" spans="1:13" s="57" customFormat="1" ht="18.75" customHeight="1" x14ac:dyDescent="0.2">
      <c r="A358" s="164" t="str">
        <f>'M1'!A351</f>
        <v>LUGAR PARA EL DESARROLLO DE LA EFSRT</v>
      </c>
      <c r="B358" s="164" t="str">
        <f>'M1'!B351</f>
        <v>AMBIENTES/ÁREAS (1)</v>
      </c>
      <c r="C358" s="389" t="str">
        <f>'M1'!C351:J351</f>
        <v>DESCRIPCIÓN DE LA ESTRATEGIA PARA LA IMPLEMENTACIÓN DE LA EFSRT (2)</v>
      </c>
      <c r="D358" s="389"/>
      <c r="E358" s="389"/>
      <c r="F358" s="389"/>
      <c r="G358" s="389"/>
      <c r="H358" s="389"/>
      <c r="I358" s="389"/>
      <c r="J358" s="389"/>
      <c r="K358" s="164" t="str">
        <f>'M1'!K351</f>
        <v>CRÉDITOS</v>
      </c>
      <c r="L358" s="164" t="str">
        <f>'M1'!L351</f>
        <v>HORAS (P)</v>
      </c>
      <c r="M358" s="95" t="str">
        <f t="shared" si="7"/>
        <v>LUGAR PARA EL DESARROLLO DE LA EFSRT</v>
      </c>
    </row>
    <row r="359" spans="1:13" s="57" customFormat="1" ht="12.75" customHeight="1" x14ac:dyDescent="0.2">
      <c r="A359" s="169"/>
      <c r="B359" s="169"/>
      <c r="C359" s="377"/>
      <c r="D359" s="378"/>
      <c r="E359" s="378"/>
      <c r="F359" s="378"/>
      <c r="G359" s="378"/>
      <c r="H359" s="378"/>
      <c r="I359" s="378"/>
      <c r="J359" s="379"/>
      <c r="K359" s="17">
        <f>Organización_Modular!I164</f>
        <v>0</v>
      </c>
      <c r="L359" s="18">
        <f>K359*32</f>
        <v>0</v>
      </c>
      <c r="M359" s="95">
        <f>C359</f>
        <v>0</v>
      </c>
    </row>
    <row r="360" spans="1:13" s="57" customFormat="1" x14ac:dyDescent="0.2">
      <c r="A360" s="169"/>
      <c r="B360" s="169"/>
      <c r="C360" s="377"/>
      <c r="D360" s="378"/>
      <c r="E360" s="378"/>
      <c r="F360" s="378"/>
      <c r="G360" s="378"/>
      <c r="H360" s="378"/>
      <c r="I360" s="378"/>
      <c r="J360" s="379"/>
      <c r="K360" s="92"/>
      <c r="L360" s="93"/>
      <c r="M360" s="95">
        <f>C360</f>
        <v>0</v>
      </c>
    </row>
    <row r="361" spans="1:13" ht="27.75" customHeight="1" x14ac:dyDescent="0.2">
      <c r="A361" s="323" t="str">
        <f>'M1'!A354</f>
        <v>(1) Colocar el nombre del espacio, área u otros, donde se desarrolla las EFSRT
(2) Realizar una breve descripción respecto al desarrollo de las EFSRT, según el lugar de realización.</v>
      </c>
      <c r="B361" s="324"/>
      <c r="M361" s="95" t="str">
        <f>A361</f>
        <v>(1) Colocar el nombre del espacio, área u otros, donde se desarrolla las EFSRT
(2) Realizar una breve descripción respecto al desarrollo de las EFSRT, según el lugar de realización.</v>
      </c>
    </row>
    <row r="362" spans="1:13" x14ac:dyDescent="0.2">
      <c r="A362" s="138" t="s">
        <v>144</v>
      </c>
      <c r="B362" s="139" t="s">
        <v>148</v>
      </c>
    </row>
    <row r="363" spans="1:13" x14ac:dyDescent="0.2">
      <c r="A363" s="138" t="s">
        <v>145</v>
      </c>
      <c r="B363" s="139" t="s">
        <v>149</v>
      </c>
    </row>
    <row r="364" spans="1:13" x14ac:dyDescent="0.2">
      <c r="A364" s="138"/>
      <c r="B364" s="139" t="s">
        <v>152</v>
      </c>
    </row>
    <row r="365" spans="1:13" x14ac:dyDescent="0.2">
      <c r="A365" s="138"/>
      <c r="B365" s="139" t="s">
        <v>150</v>
      </c>
    </row>
    <row r="366" spans="1:13" x14ac:dyDescent="0.2">
      <c r="A366" s="138"/>
      <c r="B366" s="139" t="s">
        <v>151</v>
      </c>
    </row>
    <row r="367" spans="1:13" x14ac:dyDescent="0.2">
      <c r="A367" s="134"/>
      <c r="B367" s="139" t="s">
        <v>153</v>
      </c>
    </row>
  </sheetData>
  <autoFilter ref="A16:M361" xr:uid="{00000000-0009-0000-0000-000008000000}">
    <filterColumn colId="5" showButton="0"/>
    <filterColumn colId="8" showButton="0"/>
  </autoFilter>
  <mergeCells count="141">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 ref="A18:A27"/>
    <mergeCell ref="A28:A37"/>
    <mergeCell ref="A38:A47"/>
    <mergeCell ref="A48:A57"/>
    <mergeCell ref="A58:A67"/>
    <mergeCell ref="A68:A77"/>
    <mergeCell ref="A78:A87"/>
    <mergeCell ref="A88:A97"/>
    <mergeCell ref="A98:A107"/>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168:A177"/>
    <mergeCell ref="A178:A187"/>
    <mergeCell ref="A188:A197"/>
    <mergeCell ref="A198:A207"/>
    <mergeCell ref="A208:A217"/>
    <mergeCell ref="L232:L241"/>
    <mergeCell ref="L242:L251"/>
    <mergeCell ref="L252:L261"/>
    <mergeCell ref="L262:L271"/>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L1"/>
    <mergeCell ref="B3:C3"/>
    <mergeCell ref="F3:H3"/>
    <mergeCell ref="I3:L3"/>
    <mergeCell ref="F5:H5"/>
    <mergeCell ref="I5:L5"/>
    <mergeCell ref="A13:L13"/>
    <mergeCell ref="A14:L14"/>
    <mergeCell ref="B15:L15"/>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18:C217 L18:L217 C222:C321 L222:L321 C327:L356 A359:J360">
    <cfRule type="containsBlanks" dxfId="52"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002060"/>
  </sheetPr>
  <dimension ref="A1:M367"/>
  <sheetViews>
    <sheetView showGridLines="0"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45" t="str">
        <f>'M5'!A1:L1</f>
        <v>ORGANIZACIÓN DE LOS ELEMENTOS DEL MÓDULO</v>
      </c>
      <c r="B1" s="345"/>
      <c r="C1" s="345"/>
      <c r="D1" s="345"/>
      <c r="E1" s="345"/>
      <c r="F1" s="345"/>
      <c r="G1" s="345"/>
      <c r="H1" s="345"/>
      <c r="I1" s="345"/>
      <c r="J1" s="345"/>
      <c r="K1" s="345"/>
      <c r="L1" s="345"/>
      <c r="M1" s="97"/>
    </row>
    <row r="2" spans="1:13" s="57" customFormat="1" ht="15.75" x14ac:dyDescent="0.2">
      <c r="A2" s="91"/>
      <c r="B2" s="91"/>
      <c r="C2" s="91"/>
      <c r="D2" s="91"/>
      <c r="E2" s="91"/>
      <c r="F2" s="91"/>
      <c r="G2" s="91"/>
      <c r="H2" s="91"/>
      <c r="I2" s="91"/>
      <c r="J2" s="91"/>
      <c r="K2" s="91"/>
      <c r="L2" s="91"/>
      <c r="M2" s="97"/>
    </row>
    <row r="3" spans="1:13" ht="25.5" customHeight="1" x14ac:dyDescent="0.2">
      <c r="A3" s="19" t="s">
        <v>38</v>
      </c>
      <c r="B3" s="292" t="str">
        <f>Perfil_Egreso!B3</f>
        <v>CETPRO JUANJUI</v>
      </c>
      <c r="C3" s="292"/>
      <c r="D3" s="9"/>
      <c r="E3" s="9"/>
      <c r="F3" s="327" t="s">
        <v>62</v>
      </c>
      <c r="G3" s="327"/>
      <c r="H3" s="328"/>
      <c r="I3" s="325" t="str">
        <f>Perfil_Egreso!E3</f>
        <v>0533836</v>
      </c>
      <c r="J3" s="326"/>
      <c r="K3" s="326"/>
      <c r="L3" s="310"/>
    </row>
    <row r="4" spans="1:13" ht="15" customHeight="1" x14ac:dyDescent="0.2">
      <c r="A4" s="35"/>
      <c r="B4" s="35"/>
      <c r="C4" s="20"/>
      <c r="D4" s="20"/>
      <c r="E4" s="20"/>
      <c r="F4" s="9"/>
      <c r="G4" s="9"/>
      <c r="H4" s="9"/>
      <c r="I4" s="9"/>
      <c r="J4" s="9"/>
      <c r="K4" s="9"/>
      <c r="L4" s="9"/>
    </row>
    <row r="5" spans="1:13" ht="26.25" customHeight="1" x14ac:dyDescent="0.2">
      <c r="A5" s="19" t="s">
        <v>42</v>
      </c>
      <c r="B5" s="81" t="str">
        <f>Perfil_Egreso!B5</f>
        <v>INFORMACIÓN Y COMUNICACIONES</v>
      </c>
      <c r="C5" s="21" t="s">
        <v>43</v>
      </c>
      <c r="D5" s="5" t="str">
        <f>Perfil_Egreso!D5</f>
        <v>TECNOLOGÍAS DE LA INFORMACIÓN Y COMUNICACIONES - TICS</v>
      </c>
      <c r="E5" s="22"/>
      <c r="F5" s="329" t="s">
        <v>44</v>
      </c>
      <c r="G5" s="329"/>
      <c r="H5" s="330"/>
      <c r="I5" s="309" t="str">
        <f>Perfil_Egreso!B7</f>
        <v>PROGRAMACIÓN INFORMÁTICA, CONSULTORÍA DE INFORMÁTICA Y ACTIVIDADES CONEXAS</v>
      </c>
      <c r="J5" s="326"/>
      <c r="K5" s="326"/>
      <c r="L5" s="310"/>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REDES Y COMUNICACIONES</v>
      </c>
      <c r="C7" s="24" t="s">
        <v>46</v>
      </c>
      <c r="D7" s="6" t="str">
        <f>Perfil_Egreso!E11</f>
        <v>J2662-2-001</v>
      </c>
      <c r="E7" s="25"/>
      <c r="F7" s="327" t="str">
        <f>Perfil_Egreso!A9</f>
        <v>DENOMINACIÓN VARIANTE</v>
      </c>
      <c r="G7" s="327"/>
      <c r="H7" s="328"/>
      <c r="I7" s="309">
        <f>Perfil_Egreso!B9</f>
        <v>0</v>
      </c>
      <c r="J7" s="326"/>
      <c r="K7" s="326"/>
      <c r="L7" s="310"/>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31" t="s">
        <v>35</v>
      </c>
      <c r="G9" s="331"/>
      <c r="H9" s="332"/>
      <c r="I9" s="309">
        <f>Itinerario!T17</f>
        <v>80</v>
      </c>
      <c r="J9" s="326"/>
      <c r="K9" s="326"/>
      <c r="L9" s="310"/>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1" t="str">
        <f>Perfil_Egreso!D13</f>
        <v>PRESENCIAL</v>
      </c>
      <c r="C11" s="352"/>
      <c r="D11" s="9"/>
      <c r="E11" s="9"/>
      <c r="F11" s="333" t="str">
        <f>Perfil_Egreso!A15</f>
        <v>NIVEL FORMATIVO</v>
      </c>
      <c r="G11" s="333"/>
      <c r="H11" s="334"/>
      <c r="I11" s="309" t="str">
        <f>Perfil_Egreso!B15</f>
        <v>TÉCNICO</v>
      </c>
      <c r="J11" s="326"/>
      <c r="K11" s="326"/>
      <c r="L11" s="310"/>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46" t="s">
        <v>104</v>
      </c>
      <c r="B13" s="346"/>
      <c r="C13" s="346"/>
      <c r="D13" s="346"/>
      <c r="E13" s="346"/>
      <c r="F13" s="346"/>
      <c r="G13" s="346"/>
      <c r="H13" s="346"/>
      <c r="I13" s="346"/>
      <c r="J13" s="346"/>
      <c r="K13" s="346"/>
      <c r="L13" s="346"/>
    </row>
    <row r="14" spans="1:13" ht="78.75" customHeight="1" x14ac:dyDescent="0.2">
      <c r="A14" s="347">
        <f>Organización_Modular!C134</f>
        <v>0</v>
      </c>
      <c r="B14" s="347"/>
      <c r="C14" s="347"/>
      <c r="D14" s="347"/>
      <c r="E14" s="347"/>
      <c r="F14" s="347"/>
      <c r="G14" s="347"/>
      <c r="H14" s="347"/>
      <c r="I14" s="347"/>
      <c r="J14" s="347"/>
      <c r="K14" s="347"/>
      <c r="L14" s="347"/>
    </row>
    <row r="15" spans="1:13" ht="21" x14ac:dyDescent="0.2">
      <c r="A15" s="159" t="s">
        <v>103</v>
      </c>
      <c r="B15" s="348">
        <f>Organización_Modular!A165</f>
        <v>0</v>
      </c>
      <c r="C15" s="348"/>
      <c r="D15" s="348"/>
      <c r="E15" s="348"/>
      <c r="F15" s="348"/>
      <c r="G15" s="348"/>
      <c r="H15" s="348"/>
      <c r="I15" s="348"/>
      <c r="J15" s="348"/>
      <c r="K15" s="348"/>
      <c r="L15" s="348"/>
    </row>
    <row r="16" spans="1:13" ht="18" customHeight="1" x14ac:dyDescent="0.2">
      <c r="A16" s="349" t="s">
        <v>102</v>
      </c>
      <c r="B16" s="350" t="s">
        <v>101</v>
      </c>
      <c r="C16" s="349" t="s">
        <v>97</v>
      </c>
      <c r="D16" s="349" t="s">
        <v>0</v>
      </c>
      <c r="E16" s="349" t="s">
        <v>61</v>
      </c>
      <c r="F16" s="349" t="s">
        <v>90</v>
      </c>
      <c r="G16" s="349"/>
      <c r="H16" s="349" t="s">
        <v>90</v>
      </c>
      <c r="I16" s="349" t="s">
        <v>96</v>
      </c>
      <c r="J16" s="349"/>
      <c r="K16" s="349" t="s">
        <v>96</v>
      </c>
      <c r="L16" s="349" t="s">
        <v>100</v>
      </c>
      <c r="M16" s="363" t="s">
        <v>118</v>
      </c>
    </row>
    <row r="17" spans="1:13" ht="15.75" customHeight="1" x14ac:dyDescent="0.2">
      <c r="A17" s="349"/>
      <c r="B17" s="350"/>
      <c r="C17" s="349"/>
      <c r="D17" s="349"/>
      <c r="E17" s="349"/>
      <c r="F17" s="162" t="s">
        <v>94</v>
      </c>
      <c r="G17" s="162" t="s">
        <v>93</v>
      </c>
      <c r="H17" s="349"/>
      <c r="I17" s="162" t="s">
        <v>94</v>
      </c>
      <c r="J17" s="162" t="s">
        <v>93</v>
      </c>
      <c r="K17" s="349"/>
      <c r="L17" s="349"/>
      <c r="M17" s="363"/>
    </row>
    <row r="18" spans="1:13" x14ac:dyDescent="0.2">
      <c r="A18" s="342" t="e">
        <f>Capacidades!#REF!</f>
        <v>#REF!</v>
      </c>
      <c r="B18" s="170" t="e">
        <f>Capacidades!#REF!</f>
        <v>#REF!</v>
      </c>
      <c r="C18" s="171"/>
      <c r="D18" s="11">
        <f>Organización_Modular!F165</f>
        <v>0</v>
      </c>
      <c r="E18" s="11">
        <f>Organización_Modular!G165</f>
        <v>0</v>
      </c>
      <c r="F18" s="11">
        <f>Organización_Modular!H165</f>
        <v>0</v>
      </c>
      <c r="G18" s="11">
        <f>Organización_Modular!I165</f>
        <v>0</v>
      </c>
      <c r="H18" s="12">
        <f>SUM(F18:G18)</f>
        <v>0</v>
      </c>
      <c r="I18" s="12">
        <f>F18*16</f>
        <v>0</v>
      </c>
      <c r="J18" s="12">
        <f>G18*32</f>
        <v>0</v>
      </c>
      <c r="K18" s="12">
        <f>SUM(I18:J18)</f>
        <v>0</v>
      </c>
      <c r="L18" s="335"/>
      <c r="M18" s="95" t="e">
        <f>B18</f>
        <v>#REF!</v>
      </c>
    </row>
    <row r="19" spans="1:13" x14ac:dyDescent="0.2">
      <c r="A19" s="343"/>
      <c r="B19" s="170" t="e">
        <f>Capacidades!#REF!</f>
        <v>#REF!</v>
      </c>
      <c r="C19" s="171"/>
      <c r="D19" s="13"/>
      <c r="E19" s="13"/>
      <c r="F19" s="13"/>
      <c r="G19" s="13"/>
      <c r="H19" s="14"/>
      <c r="I19" s="14"/>
      <c r="J19" s="14"/>
      <c r="K19" s="14"/>
      <c r="L19" s="336"/>
      <c r="M19" s="95" t="e">
        <f t="shared" ref="M19:M82" si="0">B19</f>
        <v>#REF!</v>
      </c>
    </row>
    <row r="20" spans="1:13" x14ac:dyDescent="0.2">
      <c r="A20" s="343"/>
      <c r="B20" s="170" t="e">
        <f>Capacidades!#REF!</f>
        <v>#REF!</v>
      </c>
      <c r="C20" s="171"/>
      <c r="D20" s="13"/>
      <c r="E20" s="13"/>
      <c r="F20" s="13"/>
      <c r="G20" s="13"/>
      <c r="H20" s="14"/>
      <c r="I20" s="14"/>
      <c r="J20" s="14"/>
      <c r="K20" s="14"/>
      <c r="L20" s="336"/>
      <c r="M20" s="95" t="e">
        <f t="shared" si="0"/>
        <v>#REF!</v>
      </c>
    </row>
    <row r="21" spans="1:13" x14ac:dyDescent="0.2">
      <c r="A21" s="343"/>
      <c r="B21" s="170" t="e">
        <f>Capacidades!#REF!</f>
        <v>#REF!</v>
      </c>
      <c r="C21" s="171"/>
      <c r="D21" s="13"/>
      <c r="E21" s="13"/>
      <c r="F21" s="13"/>
      <c r="G21" s="13"/>
      <c r="H21" s="14"/>
      <c r="I21" s="14"/>
      <c r="J21" s="14"/>
      <c r="K21" s="14"/>
      <c r="L21" s="336"/>
      <c r="M21" s="95" t="e">
        <f t="shared" si="0"/>
        <v>#REF!</v>
      </c>
    </row>
    <row r="22" spans="1:13" x14ac:dyDescent="0.2">
      <c r="A22" s="343"/>
      <c r="B22" s="170" t="e">
        <f>Capacidades!#REF!</f>
        <v>#REF!</v>
      </c>
      <c r="C22" s="171"/>
      <c r="D22" s="13"/>
      <c r="E22" s="13"/>
      <c r="F22" s="13"/>
      <c r="G22" s="13"/>
      <c r="H22" s="14"/>
      <c r="I22" s="14"/>
      <c r="J22" s="14"/>
      <c r="K22" s="14"/>
      <c r="L22" s="336"/>
      <c r="M22" s="95" t="e">
        <f t="shared" si="0"/>
        <v>#REF!</v>
      </c>
    </row>
    <row r="23" spans="1:13" x14ac:dyDescent="0.2">
      <c r="A23" s="343"/>
      <c r="B23" s="170" t="e">
        <f>Capacidades!#REF!</f>
        <v>#REF!</v>
      </c>
      <c r="C23" s="171"/>
      <c r="D23" s="13"/>
      <c r="E23" s="13"/>
      <c r="F23" s="13"/>
      <c r="G23" s="13"/>
      <c r="H23" s="14"/>
      <c r="I23" s="14"/>
      <c r="J23" s="14"/>
      <c r="K23" s="14"/>
      <c r="L23" s="336"/>
      <c r="M23" s="95" t="e">
        <f t="shared" si="0"/>
        <v>#REF!</v>
      </c>
    </row>
    <row r="24" spans="1:13" x14ac:dyDescent="0.2">
      <c r="A24" s="343"/>
      <c r="B24" s="170" t="e">
        <f>Capacidades!#REF!</f>
        <v>#REF!</v>
      </c>
      <c r="C24" s="171"/>
      <c r="D24" s="13"/>
      <c r="E24" s="13"/>
      <c r="F24" s="13"/>
      <c r="G24" s="13"/>
      <c r="H24" s="14"/>
      <c r="I24" s="14"/>
      <c r="J24" s="14"/>
      <c r="K24" s="14"/>
      <c r="L24" s="336"/>
      <c r="M24" s="95" t="e">
        <f t="shared" si="0"/>
        <v>#REF!</v>
      </c>
    </row>
    <row r="25" spans="1:13" x14ac:dyDescent="0.2">
      <c r="A25" s="343"/>
      <c r="B25" s="170" t="e">
        <f>Capacidades!#REF!</f>
        <v>#REF!</v>
      </c>
      <c r="C25" s="171"/>
      <c r="D25" s="13"/>
      <c r="E25" s="13"/>
      <c r="F25" s="13"/>
      <c r="G25" s="13"/>
      <c r="H25" s="14"/>
      <c r="I25" s="14"/>
      <c r="J25" s="14"/>
      <c r="K25" s="14"/>
      <c r="L25" s="336"/>
      <c r="M25" s="95" t="e">
        <f t="shared" si="0"/>
        <v>#REF!</v>
      </c>
    </row>
    <row r="26" spans="1:13" x14ac:dyDescent="0.2">
      <c r="A26" s="343"/>
      <c r="B26" s="170" t="e">
        <f>Capacidades!#REF!</f>
        <v>#REF!</v>
      </c>
      <c r="C26" s="171"/>
      <c r="D26" s="13"/>
      <c r="E26" s="13"/>
      <c r="F26" s="13"/>
      <c r="G26" s="13"/>
      <c r="H26" s="14"/>
      <c r="I26" s="14"/>
      <c r="J26" s="14"/>
      <c r="K26" s="14"/>
      <c r="L26" s="336"/>
      <c r="M26" s="95" t="e">
        <f t="shared" si="0"/>
        <v>#REF!</v>
      </c>
    </row>
    <row r="27" spans="1:13" x14ac:dyDescent="0.2">
      <c r="A27" s="344"/>
      <c r="B27" s="170" t="e">
        <f>Capacidades!#REF!</f>
        <v>#REF!</v>
      </c>
      <c r="C27" s="171"/>
      <c r="D27" s="15"/>
      <c r="E27" s="15"/>
      <c r="F27" s="15"/>
      <c r="G27" s="15"/>
      <c r="H27" s="16"/>
      <c r="I27" s="16"/>
      <c r="J27" s="16"/>
      <c r="K27" s="16"/>
      <c r="L27" s="337"/>
      <c r="M27" s="95" t="e">
        <f t="shared" si="0"/>
        <v>#REF!</v>
      </c>
    </row>
    <row r="28" spans="1:13" x14ac:dyDescent="0.2">
      <c r="A28" s="342" t="e">
        <f>Capacidades!#REF!</f>
        <v>#REF!</v>
      </c>
      <c r="B28" s="170" t="e">
        <f>Capacidades!#REF!</f>
        <v>#REF!</v>
      </c>
      <c r="C28" s="171"/>
      <c r="D28" s="11">
        <f>Organización_Modular!F166</f>
        <v>0</v>
      </c>
      <c r="E28" s="11">
        <f>Organización_Modular!G166</f>
        <v>0</v>
      </c>
      <c r="F28" s="11">
        <f>Organización_Modular!H166</f>
        <v>0</v>
      </c>
      <c r="G28" s="11">
        <f>Organización_Modular!I166</f>
        <v>0</v>
      </c>
      <c r="H28" s="12">
        <f>SUM(F28:G28)</f>
        <v>0</v>
      </c>
      <c r="I28" s="12">
        <f>F28*16</f>
        <v>0</v>
      </c>
      <c r="J28" s="12">
        <f>G28*32</f>
        <v>0</v>
      </c>
      <c r="K28" s="12">
        <f>SUM(I28:J28)</f>
        <v>0</v>
      </c>
      <c r="L28" s="335"/>
      <c r="M28" s="95" t="e">
        <f t="shared" si="0"/>
        <v>#REF!</v>
      </c>
    </row>
    <row r="29" spans="1:13" x14ac:dyDescent="0.2">
      <c r="A29" s="343"/>
      <c r="B29" s="170" t="e">
        <f>Capacidades!#REF!</f>
        <v>#REF!</v>
      </c>
      <c r="C29" s="171"/>
      <c r="D29" s="13"/>
      <c r="E29" s="13"/>
      <c r="F29" s="13"/>
      <c r="G29" s="13"/>
      <c r="H29" s="14"/>
      <c r="I29" s="14"/>
      <c r="J29" s="14"/>
      <c r="K29" s="14"/>
      <c r="L29" s="336"/>
      <c r="M29" s="95" t="e">
        <f t="shared" si="0"/>
        <v>#REF!</v>
      </c>
    </row>
    <row r="30" spans="1:13" x14ac:dyDescent="0.2">
      <c r="A30" s="343"/>
      <c r="B30" s="170" t="e">
        <f>Capacidades!#REF!</f>
        <v>#REF!</v>
      </c>
      <c r="C30" s="171"/>
      <c r="D30" s="13"/>
      <c r="E30" s="13"/>
      <c r="F30" s="13"/>
      <c r="G30" s="13"/>
      <c r="H30" s="14"/>
      <c r="I30" s="14"/>
      <c r="J30" s="14"/>
      <c r="K30" s="14"/>
      <c r="L30" s="336"/>
      <c r="M30" s="95" t="e">
        <f t="shared" si="0"/>
        <v>#REF!</v>
      </c>
    </row>
    <row r="31" spans="1:13" x14ac:dyDescent="0.2">
      <c r="A31" s="343"/>
      <c r="B31" s="170" t="e">
        <f>Capacidades!#REF!</f>
        <v>#REF!</v>
      </c>
      <c r="C31" s="171"/>
      <c r="D31" s="13"/>
      <c r="E31" s="13"/>
      <c r="F31" s="13"/>
      <c r="G31" s="13"/>
      <c r="H31" s="14"/>
      <c r="I31" s="14"/>
      <c r="J31" s="14"/>
      <c r="K31" s="14"/>
      <c r="L31" s="336"/>
      <c r="M31" s="95" t="e">
        <f t="shared" si="0"/>
        <v>#REF!</v>
      </c>
    </row>
    <row r="32" spans="1:13" x14ac:dyDescent="0.2">
      <c r="A32" s="343"/>
      <c r="B32" s="170" t="e">
        <f>Capacidades!#REF!</f>
        <v>#REF!</v>
      </c>
      <c r="C32" s="171"/>
      <c r="D32" s="13"/>
      <c r="E32" s="13"/>
      <c r="F32" s="13"/>
      <c r="G32" s="13"/>
      <c r="H32" s="14"/>
      <c r="I32" s="14"/>
      <c r="J32" s="14"/>
      <c r="K32" s="14"/>
      <c r="L32" s="336"/>
      <c r="M32" s="95" t="e">
        <f t="shared" si="0"/>
        <v>#REF!</v>
      </c>
    </row>
    <row r="33" spans="1:13" x14ac:dyDescent="0.2">
      <c r="A33" s="343"/>
      <c r="B33" s="170" t="e">
        <f>Capacidades!#REF!</f>
        <v>#REF!</v>
      </c>
      <c r="C33" s="171"/>
      <c r="D33" s="13"/>
      <c r="E33" s="13"/>
      <c r="F33" s="13"/>
      <c r="G33" s="13"/>
      <c r="H33" s="14"/>
      <c r="I33" s="14"/>
      <c r="J33" s="14"/>
      <c r="K33" s="14"/>
      <c r="L33" s="336"/>
      <c r="M33" s="95" t="e">
        <f t="shared" si="0"/>
        <v>#REF!</v>
      </c>
    </row>
    <row r="34" spans="1:13" x14ac:dyDescent="0.2">
      <c r="A34" s="343"/>
      <c r="B34" s="170" t="e">
        <f>Capacidades!#REF!</f>
        <v>#REF!</v>
      </c>
      <c r="C34" s="171"/>
      <c r="D34" s="13"/>
      <c r="E34" s="13"/>
      <c r="F34" s="13"/>
      <c r="G34" s="13"/>
      <c r="H34" s="14"/>
      <c r="I34" s="14"/>
      <c r="J34" s="14"/>
      <c r="K34" s="14"/>
      <c r="L34" s="336"/>
      <c r="M34" s="95" t="e">
        <f t="shared" si="0"/>
        <v>#REF!</v>
      </c>
    </row>
    <row r="35" spans="1:13" x14ac:dyDescent="0.2">
      <c r="A35" s="343"/>
      <c r="B35" s="170" t="e">
        <f>Capacidades!#REF!</f>
        <v>#REF!</v>
      </c>
      <c r="C35" s="171"/>
      <c r="D35" s="13"/>
      <c r="E35" s="13"/>
      <c r="F35" s="13"/>
      <c r="G35" s="13"/>
      <c r="H35" s="14"/>
      <c r="I35" s="14"/>
      <c r="J35" s="14"/>
      <c r="K35" s="14"/>
      <c r="L35" s="336"/>
      <c r="M35" s="95" t="e">
        <f t="shared" si="0"/>
        <v>#REF!</v>
      </c>
    </row>
    <row r="36" spans="1:13" x14ac:dyDescent="0.2">
      <c r="A36" s="343"/>
      <c r="B36" s="170" t="e">
        <f>Capacidades!#REF!</f>
        <v>#REF!</v>
      </c>
      <c r="C36" s="171"/>
      <c r="D36" s="13"/>
      <c r="E36" s="13"/>
      <c r="F36" s="13"/>
      <c r="G36" s="13"/>
      <c r="H36" s="14"/>
      <c r="I36" s="14"/>
      <c r="J36" s="14"/>
      <c r="K36" s="14"/>
      <c r="L36" s="336"/>
      <c r="M36" s="95" t="e">
        <f t="shared" si="0"/>
        <v>#REF!</v>
      </c>
    </row>
    <row r="37" spans="1:13" x14ac:dyDescent="0.2">
      <c r="A37" s="344"/>
      <c r="B37" s="170" t="e">
        <f>Capacidades!#REF!</f>
        <v>#REF!</v>
      </c>
      <c r="C37" s="171"/>
      <c r="D37" s="15"/>
      <c r="E37" s="15"/>
      <c r="F37" s="15"/>
      <c r="G37" s="15"/>
      <c r="H37" s="16"/>
      <c r="I37" s="16"/>
      <c r="J37" s="16"/>
      <c r="K37" s="16"/>
      <c r="L37" s="337"/>
      <c r="M37" s="95" t="e">
        <f t="shared" si="0"/>
        <v>#REF!</v>
      </c>
    </row>
    <row r="38" spans="1:13" x14ac:dyDescent="0.2">
      <c r="A38" s="342" t="e">
        <f>Capacidades!#REF!</f>
        <v>#REF!</v>
      </c>
      <c r="B38" s="170" t="e">
        <f>Capacidades!#REF!</f>
        <v>#REF!</v>
      </c>
      <c r="C38" s="171"/>
      <c r="D38" s="11">
        <f>Organización_Modular!F167</f>
        <v>0</v>
      </c>
      <c r="E38" s="11">
        <f>Organización_Modular!G167</f>
        <v>0</v>
      </c>
      <c r="F38" s="11">
        <f>Organización_Modular!H167</f>
        <v>0</v>
      </c>
      <c r="G38" s="11">
        <f>Organización_Modular!I167</f>
        <v>0</v>
      </c>
      <c r="H38" s="12">
        <f>SUM(F38:G38)</f>
        <v>0</v>
      </c>
      <c r="I38" s="12">
        <f>F38*16</f>
        <v>0</v>
      </c>
      <c r="J38" s="12">
        <f>G38*32</f>
        <v>0</v>
      </c>
      <c r="K38" s="12">
        <f>SUM(I38:J38)</f>
        <v>0</v>
      </c>
      <c r="L38" s="335"/>
      <c r="M38" s="95" t="e">
        <f t="shared" si="0"/>
        <v>#REF!</v>
      </c>
    </row>
    <row r="39" spans="1:13" x14ac:dyDescent="0.2">
      <c r="A39" s="343"/>
      <c r="B39" s="170" t="e">
        <f>Capacidades!#REF!</f>
        <v>#REF!</v>
      </c>
      <c r="C39" s="171"/>
      <c r="D39" s="13"/>
      <c r="E39" s="13"/>
      <c r="F39" s="13"/>
      <c r="G39" s="13"/>
      <c r="H39" s="14"/>
      <c r="I39" s="14"/>
      <c r="J39" s="14"/>
      <c r="K39" s="14"/>
      <c r="L39" s="336"/>
      <c r="M39" s="95" t="e">
        <f t="shared" si="0"/>
        <v>#REF!</v>
      </c>
    </row>
    <row r="40" spans="1:13" x14ac:dyDescent="0.2">
      <c r="A40" s="343"/>
      <c r="B40" s="170" t="e">
        <f>Capacidades!#REF!</f>
        <v>#REF!</v>
      </c>
      <c r="C40" s="171"/>
      <c r="D40" s="13"/>
      <c r="E40" s="13"/>
      <c r="F40" s="13"/>
      <c r="G40" s="13"/>
      <c r="H40" s="14"/>
      <c r="I40" s="14"/>
      <c r="J40" s="14"/>
      <c r="K40" s="14"/>
      <c r="L40" s="336"/>
      <c r="M40" s="95" t="e">
        <f t="shared" si="0"/>
        <v>#REF!</v>
      </c>
    </row>
    <row r="41" spans="1:13" x14ac:dyDescent="0.2">
      <c r="A41" s="343"/>
      <c r="B41" s="170" t="e">
        <f>Capacidades!#REF!</f>
        <v>#REF!</v>
      </c>
      <c r="C41" s="171"/>
      <c r="D41" s="13"/>
      <c r="E41" s="13"/>
      <c r="F41" s="13"/>
      <c r="G41" s="13"/>
      <c r="H41" s="14"/>
      <c r="I41" s="14"/>
      <c r="J41" s="14"/>
      <c r="K41" s="14"/>
      <c r="L41" s="336"/>
      <c r="M41" s="95" t="e">
        <f t="shared" si="0"/>
        <v>#REF!</v>
      </c>
    </row>
    <row r="42" spans="1:13" x14ac:dyDescent="0.2">
      <c r="A42" s="343"/>
      <c r="B42" s="170" t="e">
        <f>Capacidades!#REF!</f>
        <v>#REF!</v>
      </c>
      <c r="C42" s="171"/>
      <c r="D42" s="13"/>
      <c r="E42" s="13"/>
      <c r="F42" s="13"/>
      <c r="G42" s="13"/>
      <c r="H42" s="14"/>
      <c r="I42" s="14"/>
      <c r="J42" s="14"/>
      <c r="K42" s="14"/>
      <c r="L42" s="336"/>
      <c r="M42" s="95" t="e">
        <f t="shared" si="0"/>
        <v>#REF!</v>
      </c>
    </row>
    <row r="43" spans="1:13" x14ac:dyDescent="0.2">
      <c r="A43" s="343"/>
      <c r="B43" s="170" t="e">
        <f>Capacidades!#REF!</f>
        <v>#REF!</v>
      </c>
      <c r="C43" s="171"/>
      <c r="D43" s="13"/>
      <c r="E43" s="13"/>
      <c r="F43" s="13"/>
      <c r="G43" s="13"/>
      <c r="H43" s="14"/>
      <c r="I43" s="14"/>
      <c r="J43" s="14"/>
      <c r="K43" s="14"/>
      <c r="L43" s="336"/>
      <c r="M43" s="95" t="e">
        <f t="shared" si="0"/>
        <v>#REF!</v>
      </c>
    </row>
    <row r="44" spans="1:13" x14ac:dyDescent="0.2">
      <c r="A44" s="343"/>
      <c r="B44" s="170" t="e">
        <f>Capacidades!#REF!</f>
        <v>#REF!</v>
      </c>
      <c r="C44" s="171"/>
      <c r="D44" s="13"/>
      <c r="E44" s="13"/>
      <c r="F44" s="13"/>
      <c r="G44" s="13"/>
      <c r="H44" s="14"/>
      <c r="I44" s="14"/>
      <c r="J44" s="14"/>
      <c r="K44" s="14"/>
      <c r="L44" s="336"/>
      <c r="M44" s="95" t="e">
        <f t="shared" si="0"/>
        <v>#REF!</v>
      </c>
    </row>
    <row r="45" spans="1:13" x14ac:dyDescent="0.2">
      <c r="A45" s="343"/>
      <c r="B45" s="170" t="e">
        <f>Capacidades!#REF!</f>
        <v>#REF!</v>
      </c>
      <c r="C45" s="171"/>
      <c r="D45" s="13"/>
      <c r="E45" s="13"/>
      <c r="F45" s="13"/>
      <c r="G45" s="13"/>
      <c r="H45" s="14"/>
      <c r="I45" s="14"/>
      <c r="J45" s="14"/>
      <c r="K45" s="14"/>
      <c r="L45" s="336"/>
      <c r="M45" s="95" t="e">
        <f t="shared" si="0"/>
        <v>#REF!</v>
      </c>
    </row>
    <row r="46" spans="1:13" x14ac:dyDescent="0.2">
      <c r="A46" s="343"/>
      <c r="B46" s="170" t="e">
        <f>Capacidades!#REF!</f>
        <v>#REF!</v>
      </c>
      <c r="C46" s="171"/>
      <c r="D46" s="13"/>
      <c r="E46" s="13"/>
      <c r="F46" s="13"/>
      <c r="G46" s="13"/>
      <c r="H46" s="14"/>
      <c r="I46" s="14"/>
      <c r="J46" s="14"/>
      <c r="K46" s="14"/>
      <c r="L46" s="336"/>
      <c r="M46" s="95" t="e">
        <f t="shared" si="0"/>
        <v>#REF!</v>
      </c>
    </row>
    <row r="47" spans="1:13" x14ac:dyDescent="0.2">
      <c r="A47" s="344"/>
      <c r="B47" s="170" t="e">
        <f>Capacidades!#REF!</f>
        <v>#REF!</v>
      </c>
      <c r="C47" s="171"/>
      <c r="D47" s="15"/>
      <c r="E47" s="15"/>
      <c r="F47" s="15"/>
      <c r="G47" s="15"/>
      <c r="H47" s="16"/>
      <c r="I47" s="16"/>
      <c r="J47" s="16"/>
      <c r="K47" s="16"/>
      <c r="L47" s="337"/>
      <c r="M47" s="95" t="e">
        <f t="shared" si="0"/>
        <v>#REF!</v>
      </c>
    </row>
    <row r="48" spans="1:13" x14ac:dyDescent="0.2">
      <c r="A48" s="342" t="e">
        <f>Capacidades!#REF!</f>
        <v>#REF!</v>
      </c>
      <c r="B48" s="170" t="e">
        <f>Capacidades!#REF!</f>
        <v>#REF!</v>
      </c>
      <c r="C48" s="171"/>
      <c r="D48" s="11">
        <f>Organización_Modular!F168</f>
        <v>0</v>
      </c>
      <c r="E48" s="11">
        <f>Organización_Modular!G168</f>
        <v>0</v>
      </c>
      <c r="F48" s="11">
        <f>Organización_Modular!H168</f>
        <v>0</v>
      </c>
      <c r="G48" s="11">
        <f>Organización_Modular!I168</f>
        <v>0</v>
      </c>
      <c r="H48" s="12">
        <f>SUM(F48:G48)</f>
        <v>0</v>
      </c>
      <c r="I48" s="12">
        <f>F48*16</f>
        <v>0</v>
      </c>
      <c r="J48" s="12">
        <f>G48*32</f>
        <v>0</v>
      </c>
      <c r="K48" s="12">
        <f>SUM(I48:J48)</f>
        <v>0</v>
      </c>
      <c r="L48" s="335"/>
      <c r="M48" s="95" t="e">
        <f t="shared" si="0"/>
        <v>#REF!</v>
      </c>
    </row>
    <row r="49" spans="1:13" x14ac:dyDescent="0.2">
      <c r="A49" s="343"/>
      <c r="B49" s="170" t="e">
        <f>Capacidades!#REF!</f>
        <v>#REF!</v>
      </c>
      <c r="C49" s="171"/>
      <c r="D49" s="13"/>
      <c r="E49" s="13"/>
      <c r="F49" s="13"/>
      <c r="G49" s="13"/>
      <c r="H49" s="14"/>
      <c r="I49" s="14"/>
      <c r="J49" s="14"/>
      <c r="K49" s="14"/>
      <c r="L49" s="336"/>
      <c r="M49" s="95" t="e">
        <f t="shared" si="0"/>
        <v>#REF!</v>
      </c>
    </row>
    <row r="50" spans="1:13" x14ac:dyDescent="0.2">
      <c r="A50" s="343"/>
      <c r="B50" s="170" t="e">
        <f>Capacidades!#REF!</f>
        <v>#REF!</v>
      </c>
      <c r="C50" s="171"/>
      <c r="D50" s="13"/>
      <c r="E50" s="13"/>
      <c r="F50" s="13"/>
      <c r="G50" s="13"/>
      <c r="H50" s="14"/>
      <c r="I50" s="14"/>
      <c r="J50" s="14"/>
      <c r="K50" s="14"/>
      <c r="L50" s="336"/>
      <c r="M50" s="95" t="e">
        <f t="shared" si="0"/>
        <v>#REF!</v>
      </c>
    </row>
    <row r="51" spans="1:13" x14ac:dyDescent="0.2">
      <c r="A51" s="343"/>
      <c r="B51" s="170" t="e">
        <f>Capacidades!#REF!</f>
        <v>#REF!</v>
      </c>
      <c r="C51" s="171"/>
      <c r="D51" s="13"/>
      <c r="E51" s="13"/>
      <c r="F51" s="13"/>
      <c r="G51" s="13"/>
      <c r="H51" s="14"/>
      <c r="I51" s="14"/>
      <c r="J51" s="14"/>
      <c r="K51" s="14"/>
      <c r="L51" s="336"/>
      <c r="M51" s="95" t="e">
        <f t="shared" si="0"/>
        <v>#REF!</v>
      </c>
    </row>
    <row r="52" spans="1:13" x14ac:dyDescent="0.2">
      <c r="A52" s="343"/>
      <c r="B52" s="170" t="e">
        <f>Capacidades!#REF!</f>
        <v>#REF!</v>
      </c>
      <c r="C52" s="171"/>
      <c r="D52" s="13"/>
      <c r="E52" s="13"/>
      <c r="F52" s="13"/>
      <c r="G52" s="13"/>
      <c r="H52" s="14"/>
      <c r="I52" s="14"/>
      <c r="J52" s="14"/>
      <c r="K52" s="14"/>
      <c r="L52" s="336"/>
      <c r="M52" s="95" t="e">
        <f t="shared" si="0"/>
        <v>#REF!</v>
      </c>
    </row>
    <row r="53" spans="1:13" x14ac:dyDescent="0.2">
      <c r="A53" s="343"/>
      <c r="B53" s="170" t="e">
        <f>Capacidades!#REF!</f>
        <v>#REF!</v>
      </c>
      <c r="C53" s="171"/>
      <c r="D53" s="13"/>
      <c r="E53" s="13"/>
      <c r="F53" s="13"/>
      <c r="G53" s="13"/>
      <c r="H53" s="14"/>
      <c r="I53" s="14"/>
      <c r="J53" s="14"/>
      <c r="K53" s="14"/>
      <c r="L53" s="336"/>
      <c r="M53" s="95" t="e">
        <f t="shared" si="0"/>
        <v>#REF!</v>
      </c>
    </row>
    <row r="54" spans="1:13" x14ac:dyDescent="0.2">
      <c r="A54" s="343"/>
      <c r="B54" s="170" t="e">
        <f>Capacidades!#REF!</f>
        <v>#REF!</v>
      </c>
      <c r="C54" s="171"/>
      <c r="D54" s="13"/>
      <c r="E54" s="13"/>
      <c r="F54" s="13"/>
      <c r="G54" s="13"/>
      <c r="H54" s="14"/>
      <c r="I54" s="14"/>
      <c r="J54" s="14"/>
      <c r="K54" s="14"/>
      <c r="L54" s="336"/>
      <c r="M54" s="95" t="e">
        <f t="shared" si="0"/>
        <v>#REF!</v>
      </c>
    </row>
    <row r="55" spans="1:13" x14ac:dyDescent="0.2">
      <c r="A55" s="343"/>
      <c r="B55" s="170" t="e">
        <f>Capacidades!#REF!</f>
        <v>#REF!</v>
      </c>
      <c r="C55" s="171"/>
      <c r="D55" s="13"/>
      <c r="E55" s="13"/>
      <c r="F55" s="13"/>
      <c r="G55" s="13"/>
      <c r="H55" s="14"/>
      <c r="I55" s="14"/>
      <c r="J55" s="14"/>
      <c r="K55" s="14"/>
      <c r="L55" s="336"/>
      <c r="M55" s="95" t="e">
        <f t="shared" si="0"/>
        <v>#REF!</v>
      </c>
    </row>
    <row r="56" spans="1:13" x14ac:dyDescent="0.2">
      <c r="A56" s="343"/>
      <c r="B56" s="170" t="e">
        <f>Capacidades!#REF!</f>
        <v>#REF!</v>
      </c>
      <c r="C56" s="171"/>
      <c r="D56" s="13"/>
      <c r="E56" s="13"/>
      <c r="F56" s="13"/>
      <c r="G56" s="13"/>
      <c r="H56" s="14"/>
      <c r="I56" s="14"/>
      <c r="J56" s="14"/>
      <c r="K56" s="14"/>
      <c r="L56" s="336"/>
      <c r="M56" s="95" t="e">
        <f t="shared" si="0"/>
        <v>#REF!</v>
      </c>
    </row>
    <row r="57" spans="1:13" x14ac:dyDescent="0.2">
      <c r="A57" s="344"/>
      <c r="B57" s="170" t="e">
        <f>Capacidades!#REF!</f>
        <v>#REF!</v>
      </c>
      <c r="C57" s="171"/>
      <c r="D57" s="15"/>
      <c r="E57" s="15"/>
      <c r="F57" s="15"/>
      <c r="G57" s="15"/>
      <c r="H57" s="16"/>
      <c r="I57" s="16"/>
      <c r="J57" s="16"/>
      <c r="K57" s="16"/>
      <c r="L57" s="337"/>
      <c r="M57" s="95" t="e">
        <f t="shared" si="0"/>
        <v>#REF!</v>
      </c>
    </row>
    <row r="58" spans="1:13" x14ac:dyDescent="0.2">
      <c r="A58" s="342" t="e">
        <f>Capacidades!#REF!</f>
        <v>#REF!</v>
      </c>
      <c r="B58" s="170" t="e">
        <f>Capacidades!#REF!</f>
        <v>#REF!</v>
      </c>
      <c r="C58" s="171"/>
      <c r="D58" s="11">
        <f>Organización_Modular!F169</f>
        <v>0</v>
      </c>
      <c r="E58" s="11">
        <f>Organización_Modular!G169</f>
        <v>0</v>
      </c>
      <c r="F58" s="11">
        <f>Organización_Modular!H169</f>
        <v>0</v>
      </c>
      <c r="G58" s="11">
        <f>Organización_Modular!I169</f>
        <v>0</v>
      </c>
      <c r="H58" s="12">
        <f>SUM(F58:G58)</f>
        <v>0</v>
      </c>
      <c r="I58" s="12">
        <f>F58*16</f>
        <v>0</v>
      </c>
      <c r="J58" s="12">
        <f>G58*32</f>
        <v>0</v>
      </c>
      <c r="K58" s="12">
        <f>SUM(I58:J58)</f>
        <v>0</v>
      </c>
      <c r="L58" s="335"/>
      <c r="M58" s="95" t="e">
        <f t="shared" si="0"/>
        <v>#REF!</v>
      </c>
    </row>
    <row r="59" spans="1:13" x14ac:dyDescent="0.2">
      <c r="A59" s="343"/>
      <c r="B59" s="170" t="e">
        <f>Capacidades!#REF!</f>
        <v>#REF!</v>
      </c>
      <c r="C59" s="171"/>
      <c r="D59" s="13"/>
      <c r="E59" s="13"/>
      <c r="F59" s="13"/>
      <c r="G59" s="13"/>
      <c r="H59" s="14"/>
      <c r="I59" s="14"/>
      <c r="J59" s="14"/>
      <c r="K59" s="14"/>
      <c r="L59" s="336"/>
      <c r="M59" s="95" t="e">
        <f t="shared" si="0"/>
        <v>#REF!</v>
      </c>
    </row>
    <row r="60" spans="1:13" x14ac:dyDescent="0.2">
      <c r="A60" s="343"/>
      <c r="B60" s="170" t="e">
        <f>Capacidades!#REF!</f>
        <v>#REF!</v>
      </c>
      <c r="C60" s="171"/>
      <c r="D60" s="13"/>
      <c r="E60" s="13"/>
      <c r="F60" s="13"/>
      <c r="G60" s="13"/>
      <c r="H60" s="14"/>
      <c r="I60" s="14"/>
      <c r="J60" s="14"/>
      <c r="K60" s="14"/>
      <c r="L60" s="336"/>
      <c r="M60" s="95" t="e">
        <f t="shared" si="0"/>
        <v>#REF!</v>
      </c>
    </row>
    <row r="61" spans="1:13" x14ac:dyDescent="0.2">
      <c r="A61" s="343"/>
      <c r="B61" s="170" t="e">
        <f>Capacidades!#REF!</f>
        <v>#REF!</v>
      </c>
      <c r="C61" s="171"/>
      <c r="D61" s="13"/>
      <c r="E61" s="13"/>
      <c r="F61" s="13"/>
      <c r="G61" s="13"/>
      <c r="H61" s="14"/>
      <c r="I61" s="14"/>
      <c r="J61" s="14"/>
      <c r="K61" s="14"/>
      <c r="L61" s="336"/>
      <c r="M61" s="95" t="e">
        <f t="shared" si="0"/>
        <v>#REF!</v>
      </c>
    </row>
    <row r="62" spans="1:13" x14ac:dyDescent="0.2">
      <c r="A62" s="343"/>
      <c r="B62" s="170" t="e">
        <f>Capacidades!#REF!</f>
        <v>#REF!</v>
      </c>
      <c r="C62" s="171"/>
      <c r="D62" s="13"/>
      <c r="E62" s="13"/>
      <c r="F62" s="13"/>
      <c r="G62" s="13"/>
      <c r="H62" s="14"/>
      <c r="I62" s="14"/>
      <c r="J62" s="14"/>
      <c r="K62" s="14"/>
      <c r="L62" s="336"/>
      <c r="M62" s="95" t="e">
        <f t="shared" si="0"/>
        <v>#REF!</v>
      </c>
    </row>
    <row r="63" spans="1:13" x14ac:dyDescent="0.2">
      <c r="A63" s="343"/>
      <c r="B63" s="170" t="e">
        <f>Capacidades!#REF!</f>
        <v>#REF!</v>
      </c>
      <c r="C63" s="171"/>
      <c r="D63" s="13"/>
      <c r="E63" s="13"/>
      <c r="F63" s="13"/>
      <c r="G63" s="13"/>
      <c r="H63" s="14"/>
      <c r="I63" s="14"/>
      <c r="J63" s="14"/>
      <c r="K63" s="14"/>
      <c r="L63" s="336"/>
      <c r="M63" s="95" t="e">
        <f t="shared" si="0"/>
        <v>#REF!</v>
      </c>
    </row>
    <row r="64" spans="1:13" x14ac:dyDescent="0.2">
      <c r="A64" s="343"/>
      <c r="B64" s="170" t="e">
        <f>Capacidades!#REF!</f>
        <v>#REF!</v>
      </c>
      <c r="C64" s="171"/>
      <c r="D64" s="13"/>
      <c r="E64" s="13"/>
      <c r="F64" s="13"/>
      <c r="G64" s="13"/>
      <c r="H64" s="14"/>
      <c r="I64" s="14"/>
      <c r="J64" s="14"/>
      <c r="K64" s="14"/>
      <c r="L64" s="336"/>
      <c r="M64" s="95" t="e">
        <f t="shared" si="0"/>
        <v>#REF!</v>
      </c>
    </row>
    <row r="65" spans="1:13" x14ac:dyDescent="0.2">
      <c r="A65" s="343"/>
      <c r="B65" s="170" t="e">
        <f>Capacidades!#REF!</f>
        <v>#REF!</v>
      </c>
      <c r="C65" s="171"/>
      <c r="D65" s="13"/>
      <c r="E65" s="13"/>
      <c r="F65" s="13"/>
      <c r="G65" s="13"/>
      <c r="H65" s="14"/>
      <c r="I65" s="14"/>
      <c r="J65" s="14"/>
      <c r="K65" s="14"/>
      <c r="L65" s="336"/>
      <c r="M65" s="95" t="e">
        <f t="shared" si="0"/>
        <v>#REF!</v>
      </c>
    </row>
    <row r="66" spans="1:13" x14ac:dyDescent="0.2">
      <c r="A66" s="343"/>
      <c r="B66" s="170" t="e">
        <f>Capacidades!#REF!</f>
        <v>#REF!</v>
      </c>
      <c r="C66" s="171"/>
      <c r="D66" s="13"/>
      <c r="E66" s="13"/>
      <c r="F66" s="13"/>
      <c r="G66" s="13"/>
      <c r="H66" s="14"/>
      <c r="I66" s="14"/>
      <c r="J66" s="14"/>
      <c r="K66" s="14"/>
      <c r="L66" s="336"/>
      <c r="M66" s="95" t="e">
        <f t="shared" si="0"/>
        <v>#REF!</v>
      </c>
    </row>
    <row r="67" spans="1:13" x14ac:dyDescent="0.2">
      <c r="A67" s="344"/>
      <c r="B67" s="170" t="e">
        <f>Capacidades!#REF!</f>
        <v>#REF!</v>
      </c>
      <c r="C67" s="171"/>
      <c r="D67" s="15"/>
      <c r="E67" s="15"/>
      <c r="F67" s="15"/>
      <c r="G67" s="15"/>
      <c r="H67" s="16"/>
      <c r="I67" s="16"/>
      <c r="J67" s="16"/>
      <c r="K67" s="16"/>
      <c r="L67" s="337"/>
      <c r="M67" s="95" t="e">
        <f t="shared" si="0"/>
        <v>#REF!</v>
      </c>
    </row>
    <row r="68" spans="1:13" x14ac:dyDescent="0.2">
      <c r="A68" s="342" t="e">
        <f>Capacidades!#REF!</f>
        <v>#REF!</v>
      </c>
      <c r="B68" s="170" t="e">
        <f>Capacidades!#REF!</f>
        <v>#REF!</v>
      </c>
      <c r="C68" s="171"/>
      <c r="D68" s="11">
        <f>Organización_Modular!F170</f>
        <v>0</v>
      </c>
      <c r="E68" s="11">
        <f>Organización_Modular!G170</f>
        <v>0</v>
      </c>
      <c r="F68" s="11">
        <f>Organización_Modular!H170</f>
        <v>0</v>
      </c>
      <c r="G68" s="11">
        <f>Organización_Modular!I170</f>
        <v>0</v>
      </c>
      <c r="H68" s="12">
        <f>SUM(F68:G68)</f>
        <v>0</v>
      </c>
      <c r="I68" s="12">
        <f>F68*16</f>
        <v>0</v>
      </c>
      <c r="J68" s="12">
        <f>G68*32</f>
        <v>0</v>
      </c>
      <c r="K68" s="12">
        <f>SUM(I68:J68)</f>
        <v>0</v>
      </c>
      <c r="L68" s="335"/>
      <c r="M68" s="95" t="e">
        <f t="shared" si="0"/>
        <v>#REF!</v>
      </c>
    </row>
    <row r="69" spans="1:13" x14ac:dyDescent="0.2">
      <c r="A69" s="343"/>
      <c r="B69" s="170" t="e">
        <f>Capacidades!#REF!</f>
        <v>#REF!</v>
      </c>
      <c r="C69" s="171"/>
      <c r="D69" s="13"/>
      <c r="E69" s="13"/>
      <c r="F69" s="13"/>
      <c r="G69" s="13"/>
      <c r="H69" s="14"/>
      <c r="I69" s="14"/>
      <c r="J69" s="14"/>
      <c r="K69" s="14"/>
      <c r="L69" s="336"/>
      <c r="M69" s="95" t="e">
        <f t="shared" si="0"/>
        <v>#REF!</v>
      </c>
    </row>
    <row r="70" spans="1:13" x14ac:dyDescent="0.2">
      <c r="A70" s="343"/>
      <c r="B70" s="170" t="e">
        <f>Capacidades!#REF!</f>
        <v>#REF!</v>
      </c>
      <c r="C70" s="171"/>
      <c r="D70" s="13"/>
      <c r="E70" s="13"/>
      <c r="F70" s="13"/>
      <c r="G70" s="13"/>
      <c r="H70" s="14"/>
      <c r="I70" s="14"/>
      <c r="J70" s="14"/>
      <c r="K70" s="14"/>
      <c r="L70" s="336"/>
      <c r="M70" s="95" t="e">
        <f t="shared" si="0"/>
        <v>#REF!</v>
      </c>
    </row>
    <row r="71" spans="1:13" x14ac:dyDescent="0.2">
      <c r="A71" s="343"/>
      <c r="B71" s="170" t="e">
        <f>Capacidades!#REF!</f>
        <v>#REF!</v>
      </c>
      <c r="C71" s="171"/>
      <c r="D71" s="13"/>
      <c r="E71" s="13"/>
      <c r="F71" s="13"/>
      <c r="G71" s="13"/>
      <c r="H71" s="14"/>
      <c r="I71" s="14"/>
      <c r="J71" s="14"/>
      <c r="K71" s="14"/>
      <c r="L71" s="336"/>
      <c r="M71" s="95" t="e">
        <f t="shared" si="0"/>
        <v>#REF!</v>
      </c>
    </row>
    <row r="72" spans="1:13" x14ac:dyDescent="0.2">
      <c r="A72" s="343"/>
      <c r="B72" s="170" t="e">
        <f>Capacidades!#REF!</f>
        <v>#REF!</v>
      </c>
      <c r="C72" s="171"/>
      <c r="D72" s="13"/>
      <c r="E72" s="13"/>
      <c r="F72" s="13"/>
      <c r="G72" s="13"/>
      <c r="H72" s="14"/>
      <c r="I72" s="14"/>
      <c r="J72" s="14"/>
      <c r="K72" s="14"/>
      <c r="L72" s="336"/>
      <c r="M72" s="95" t="e">
        <f t="shared" si="0"/>
        <v>#REF!</v>
      </c>
    </row>
    <row r="73" spans="1:13" x14ac:dyDescent="0.2">
      <c r="A73" s="343"/>
      <c r="B73" s="170" t="e">
        <f>Capacidades!#REF!</f>
        <v>#REF!</v>
      </c>
      <c r="C73" s="171"/>
      <c r="D73" s="13"/>
      <c r="E73" s="13"/>
      <c r="F73" s="13"/>
      <c r="G73" s="13"/>
      <c r="H73" s="14"/>
      <c r="I73" s="14"/>
      <c r="J73" s="14"/>
      <c r="K73" s="14"/>
      <c r="L73" s="336"/>
      <c r="M73" s="95" t="e">
        <f t="shared" si="0"/>
        <v>#REF!</v>
      </c>
    </row>
    <row r="74" spans="1:13" x14ac:dyDescent="0.2">
      <c r="A74" s="343"/>
      <c r="B74" s="170" t="e">
        <f>Capacidades!#REF!</f>
        <v>#REF!</v>
      </c>
      <c r="C74" s="171"/>
      <c r="D74" s="13"/>
      <c r="E74" s="13"/>
      <c r="F74" s="13"/>
      <c r="G74" s="13"/>
      <c r="H74" s="14"/>
      <c r="I74" s="14"/>
      <c r="J74" s="14"/>
      <c r="K74" s="14"/>
      <c r="L74" s="336"/>
      <c r="M74" s="95" t="e">
        <f t="shared" si="0"/>
        <v>#REF!</v>
      </c>
    </row>
    <row r="75" spans="1:13" x14ac:dyDescent="0.2">
      <c r="A75" s="343"/>
      <c r="B75" s="170" t="e">
        <f>Capacidades!#REF!</f>
        <v>#REF!</v>
      </c>
      <c r="C75" s="171"/>
      <c r="D75" s="13"/>
      <c r="E75" s="13"/>
      <c r="F75" s="13"/>
      <c r="G75" s="13"/>
      <c r="H75" s="14"/>
      <c r="I75" s="14"/>
      <c r="J75" s="14"/>
      <c r="K75" s="14"/>
      <c r="L75" s="336"/>
      <c r="M75" s="95" t="e">
        <f t="shared" si="0"/>
        <v>#REF!</v>
      </c>
    </row>
    <row r="76" spans="1:13" x14ac:dyDescent="0.2">
      <c r="A76" s="343"/>
      <c r="B76" s="170" t="e">
        <f>Capacidades!#REF!</f>
        <v>#REF!</v>
      </c>
      <c r="C76" s="171"/>
      <c r="D76" s="13"/>
      <c r="E76" s="13"/>
      <c r="F76" s="13"/>
      <c r="G76" s="13"/>
      <c r="H76" s="14"/>
      <c r="I76" s="14"/>
      <c r="J76" s="14"/>
      <c r="K76" s="14"/>
      <c r="L76" s="336"/>
      <c r="M76" s="95" t="e">
        <f t="shared" si="0"/>
        <v>#REF!</v>
      </c>
    </row>
    <row r="77" spans="1:13" x14ac:dyDescent="0.2">
      <c r="A77" s="344"/>
      <c r="B77" s="170" t="e">
        <f>Capacidades!#REF!</f>
        <v>#REF!</v>
      </c>
      <c r="C77" s="171"/>
      <c r="D77" s="15"/>
      <c r="E77" s="15"/>
      <c r="F77" s="15"/>
      <c r="G77" s="15"/>
      <c r="H77" s="16"/>
      <c r="I77" s="16"/>
      <c r="J77" s="16"/>
      <c r="K77" s="16"/>
      <c r="L77" s="337"/>
      <c r="M77" s="95" t="e">
        <f t="shared" si="0"/>
        <v>#REF!</v>
      </c>
    </row>
    <row r="78" spans="1:13" x14ac:dyDescent="0.2">
      <c r="A78" s="342" t="e">
        <f>Capacidades!#REF!</f>
        <v>#REF!</v>
      </c>
      <c r="B78" s="170" t="e">
        <f>Capacidades!#REF!</f>
        <v>#REF!</v>
      </c>
      <c r="C78" s="171"/>
      <c r="D78" s="11">
        <f>Organización_Modular!F171</f>
        <v>0</v>
      </c>
      <c r="E78" s="11">
        <f>Organización_Modular!G171</f>
        <v>0</v>
      </c>
      <c r="F78" s="11">
        <f>Organización_Modular!H171</f>
        <v>0</v>
      </c>
      <c r="G78" s="11">
        <f>Organización_Modular!I171</f>
        <v>0</v>
      </c>
      <c r="H78" s="12">
        <f>SUM(F78:G78)</f>
        <v>0</v>
      </c>
      <c r="I78" s="12">
        <f>F78*16</f>
        <v>0</v>
      </c>
      <c r="J78" s="12">
        <f>G78*32</f>
        <v>0</v>
      </c>
      <c r="K78" s="12">
        <f>SUM(I78:J78)</f>
        <v>0</v>
      </c>
      <c r="L78" s="335"/>
      <c r="M78" s="95" t="e">
        <f t="shared" si="0"/>
        <v>#REF!</v>
      </c>
    </row>
    <row r="79" spans="1:13" x14ac:dyDescent="0.2">
      <c r="A79" s="343"/>
      <c r="B79" s="170" t="e">
        <f>Capacidades!#REF!</f>
        <v>#REF!</v>
      </c>
      <c r="C79" s="171"/>
      <c r="D79" s="13"/>
      <c r="E79" s="13"/>
      <c r="F79" s="13"/>
      <c r="G79" s="13"/>
      <c r="H79" s="14"/>
      <c r="I79" s="14"/>
      <c r="J79" s="14"/>
      <c r="K79" s="14"/>
      <c r="L79" s="336"/>
      <c r="M79" s="95" t="e">
        <f t="shared" si="0"/>
        <v>#REF!</v>
      </c>
    </row>
    <row r="80" spans="1:13" x14ac:dyDescent="0.2">
      <c r="A80" s="343"/>
      <c r="B80" s="170" t="e">
        <f>Capacidades!#REF!</f>
        <v>#REF!</v>
      </c>
      <c r="C80" s="171"/>
      <c r="D80" s="13"/>
      <c r="E80" s="13"/>
      <c r="F80" s="13"/>
      <c r="G80" s="13"/>
      <c r="H80" s="14"/>
      <c r="I80" s="14"/>
      <c r="J80" s="14"/>
      <c r="K80" s="14"/>
      <c r="L80" s="336"/>
      <c r="M80" s="95" t="e">
        <f t="shared" si="0"/>
        <v>#REF!</v>
      </c>
    </row>
    <row r="81" spans="1:13" x14ac:dyDescent="0.2">
      <c r="A81" s="343"/>
      <c r="B81" s="170" t="e">
        <f>Capacidades!#REF!</f>
        <v>#REF!</v>
      </c>
      <c r="C81" s="171"/>
      <c r="D81" s="13"/>
      <c r="E81" s="13"/>
      <c r="F81" s="13"/>
      <c r="G81" s="13"/>
      <c r="H81" s="14"/>
      <c r="I81" s="14"/>
      <c r="J81" s="14"/>
      <c r="K81" s="14"/>
      <c r="L81" s="336"/>
      <c r="M81" s="95" t="e">
        <f t="shared" si="0"/>
        <v>#REF!</v>
      </c>
    </row>
    <row r="82" spans="1:13" x14ac:dyDescent="0.2">
      <c r="A82" s="343"/>
      <c r="B82" s="170" t="e">
        <f>Capacidades!#REF!</f>
        <v>#REF!</v>
      </c>
      <c r="C82" s="171"/>
      <c r="D82" s="13"/>
      <c r="E82" s="13"/>
      <c r="F82" s="13"/>
      <c r="G82" s="13"/>
      <c r="H82" s="14"/>
      <c r="I82" s="14"/>
      <c r="J82" s="14"/>
      <c r="K82" s="14"/>
      <c r="L82" s="336"/>
      <c r="M82" s="95" t="e">
        <f t="shared" si="0"/>
        <v>#REF!</v>
      </c>
    </row>
    <row r="83" spans="1:13" x14ac:dyDescent="0.2">
      <c r="A83" s="343"/>
      <c r="B83" s="170" t="e">
        <f>Capacidades!#REF!</f>
        <v>#REF!</v>
      </c>
      <c r="C83" s="171"/>
      <c r="D83" s="13"/>
      <c r="E83" s="13"/>
      <c r="F83" s="13"/>
      <c r="G83" s="13"/>
      <c r="H83" s="14"/>
      <c r="I83" s="14"/>
      <c r="J83" s="14"/>
      <c r="K83" s="14"/>
      <c r="L83" s="336"/>
      <c r="M83" s="95" t="e">
        <f t="shared" ref="M83:M146" si="1">B83</f>
        <v>#REF!</v>
      </c>
    </row>
    <row r="84" spans="1:13" x14ac:dyDescent="0.2">
      <c r="A84" s="343"/>
      <c r="B84" s="170" t="e">
        <f>Capacidades!#REF!</f>
        <v>#REF!</v>
      </c>
      <c r="C84" s="171"/>
      <c r="D84" s="13"/>
      <c r="E84" s="13"/>
      <c r="F84" s="13"/>
      <c r="G84" s="13"/>
      <c r="H84" s="14"/>
      <c r="I84" s="14"/>
      <c r="J84" s="14"/>
      <c r="K84" s="14"/>
      <c r="L84" s="336"/>
      <c r="M84" s="95" t="e">
        <f t="shared" si="1"/>
        <v>#REF!</v>
      </c>
    </row>
    <row r="85" spans="1:13" x14ac:dyDescent="0.2">
      <c r="A85" s="343"/>
      <c r="B85" s="170" t="e">
        <f>Capacidades!#REF!</f>
        <v>#REF!</v>
      </c>
      <c r="C85" s="171"/>
      <c r="D85" s="13"/>
      <c r="E85" s="13"/>
      <c r="F85" s="13"/>
      <c r="G85" s="13"/>
      <c r="H85" s="14"/>
      <c r="I85" s="14"/>
      <c r="J85" s="14"/>
      <c r="K85" s="14"/>
      <c r="L85" s="336"/>
      <c r="M85" s="95" t="e">
        <f t="shared" si="1"/>
        <v>#REF!</v>
      </c>
    </row>
    <row r="86" spans="1:13" x14ac:dyDescent="0.2">
      <c r="A86" s="343"/>
      <c r="B86" s="170" t="e">
        <f>Capacidades!#REF!</f>
        <v>#REF!</v>
      </c>
      <c r="C86" s="171"/>
      <c r="D86" s="13"/>
      <c r="E86" s="13"/>
      <c r="F86" s="13"/>
      <c r="G86" s="13"/>
      <c r="H86" s="14"/>
      <c r="I86" s="14"/>
      <c r="J86" s="14"/>
      <c r="K86" s="14"/>
      <c r="L86" s="336"/>
      <c r="M86" s="95" t="e">
        <f t="shared" si="1"/>
        <v>#REF!</v>
      </c>
    </row>
    <row r="87" spans="1:13" x14ac:dyDescent="0.2">
      <c r="A87" s="344"/>
      <c r="B87" s="170" t="e">
        <f>Capacidades!#REF!</f>
        <v>#REF!</v>
      </c>
      <c r="C87" s="171"/>
      <c r="D87" s="15"/>
      <c r="E87" s="15"/>
      <c r="F87" s="15"/>
      <c r="G87" s="15"/>
      <c r="H87" s="16"/>
      <c r="I87" s="16"/>
      <c r="J87" s="16"/>
      <c r="K87" s="16"/>
      <c r="L87" s="337"/>
      <c r="M87" s="95" t="e">
        <f t="shared" si="1"/>
        <v>#REF!</v>
      </c>
    </row>
    <row r="88" spans="1:13" x14ac:dyDescent="0.2">
      <c r="A88" s="342" t="e">
        <f>Capacidades!#REF!</f>
        <v>#REF!</v>
      </c>
      <c r="B88" s="170" t="e">
        <f>Capacidades!#REF!</f>
        <v>#REF!</v>
      </c>
      <c r="C88" s="171"/>
      <c r="D88" s="11">
        <f>Organización_Modular!F172</f>
        <v>0</v>
      </c>
      <c r="E88" s="11">
        <f>Organización_Modular!G172</f>
        <v>0</v>
      </c>
      <c r="F88" s="11">
        <f>Organización_Modular!H172</f>
        <v>0</v>
      </c>
      <c r="G88" s="11">
        <f>Organización_Modular!I172</f>
        <v>0</v>
      </c>
      <c r="H88" s="12">
        <f>SUM(F88:G88)</f>
        <v>0</v>
      </c>
      <c r="I88" s="12">
        <f>F88*16</f>
        <v>0</v>
      </c>
      <c r="J88" s="12">
        <f>G88*32</f>
        <v>0</v>
      </c>
      <c r="K88" s="12">
        <f>SUM(I88:J88)</f>
        <v>0</v>
      </c>
      <c r="L88" s="335"/>
      <c r="M88" s="95" t="e">
        <f t="shared" si="1"/>
        <v>#REF!</v>
      </c>
    </row>
    <row r="89" spans="1:13" x14ac:dyDescent="0.2">
      <c r="A89" s="343"/>
      <c r="B89" s="170" t="e">
        <f>Capacidades!#REF!</f>
        <v>#REF!</v>
      </c>
      <c r="C89" s="171"/>
      <c r="D89" s="13"/>
      <c r="E89" s="13"/>
      <c r="F89" s="13"/>
      <c r="G89" s="13"/>
      <c r="H89" s="14"/>
      <c r="I89" s="14"/>
      <c r="J89" s="14"/>
      <c r="K89" s="14"/>
      <c r="L89" s="336"/>
      <c r="M89" s="95" t="e">
        <f t="shared" si="1"/>
        <v>#REF!</v>
      </c>
    </row>
    <row r="90" spans="1:13" x14ac:dyDescent="0.2">
      <c r="A90" s="343"/>
      <c r="B90" s="170" t="e">
        <f>Capacidades!#REF!</f>
        <v>#REF!</v>
      </c>
      <c r="C90" s="171"/>
      <c r="D90" s="13"/>
      <c r="E90" s="13"/>
      <c r="F90" s="13"/>
      <c r="G90" s="13"/>
      <c r="H90" s="14"/>
      <c r="I90" s="14"/>
      <c r="J90" s="14"/>
      <c r="K90" s="14"/>
      <c r="L90" s="336"/>
      <c r="M90" s="95" t="e">
        <f t="shared" si="1"/>
        <v>#REF!</v>
      </c>
    </row>
    <row r="91" spans="1:13" x14ac:dyDescent="0.2">
      <c r="A91" s="343"/>
      <c r="B91" s="170" t="e">
        <f>Capacidades!#REF!</f>
        <v>#REF!</v>
      </c>
      <c r="C91" s="171"/>
      <c r="D91" s="13"/>
      <c r="E91" s="13"/>
      <c r="F91" s="13"/>
      <c r="G91" s="13"/>
      <c r="H91" s="14"/>
      <c r="I91" s="14"/>
      <c r="J91" s="14"/>
      <c r="K91" s="14"/>
      <c r="L91" s="336"/>
      <c r="M91" s="95" t="e">
        <f t="shared" si="1"/>
        <v>#REF!</v>
      </c>
    </row>
    <row r="92" spans="1:13" x14ac:dyDescent="0.2">
      <c r="A92" s="343"/>
      <c r="B92" s="170" t="e">
        <f>Capacidades!#REF!</f>
        <v>#REF!</v>
      </c>
      <c r="C92" s="171"/>
      <c r="D92" s="13"/>
      <c r="E92" s="13"/>
      <c r="F92" s="13"/>
      <c r="G92" s="13"/>
      <c r="H92" s="14"/>
      <c r="I92" s="14"/>
      <c r="J92" s="14"/>
      <c r="K92" s="14"/>
      <c r="L92" s="336"/>
      <c r="M92" s="95" t="e">
        <f t="shared" si="1"/>
        <v>#REF!</v>
      </c>
    </row>
    <row r="93" spans="1:13" x14ac:dyDescent="0.2">
      <c r="A93" s="343"/>
      <c r="B93" s="170" t="e">
        <f>Capacidades!#REF!</f>
        <v>#REF!</v>
      </c>
      <c r="C93" s="171"/>
      <c r="D93" s="13"/>
      <c r="E93" s="13"/>
      <c r="F93" s="13"/>
      <c r="G93" s="13"/>
      <c r="H93" s="14"/>
      <c r="I93" s="14"/>
      <c r="J93" s="14"/>
      <c r="K93" s="14"/>
      <c r="L93" s="336"/>
      <c r="M93" s="95" t="e">
        <f t="shared" si="1"/>
        <v>#REF!</v>
      </c>
    </row>
    <row r="94" spans="1:13" x14ac:dyDescent="0.2">
      <c r="A94" s="343"/>
      <c r="B94" s="170" t="e">
        <f>Capacidades!#REF!</f>
        <v>#REF!</v>
      </c>
      <c r="C94" s="171"/>
      <c r="D94" s="13"/>
      <c r="E94" s="13"/>
      <c r="F94" s="13"/>
      <c r="G94" s="13"/>
      <c r="H94" s="14"/>
      <c r="I94" s="14"/>
      <c r="J94" s="14"/>
      <c r="K94" s="14"/>
      <c r="L94" s="336"/>
      <c r="M94" s="95" t="e">
        <f t="shared" si="1"/>
        <v>#REF!</v>
      </c>
    </row>
    <row r="95" spans="1:13" x14ac:dyDescent="0.2">
      <c r="A95" s="343"/>
      <c r="B95" s="170" t="e">
        <f>Capacidades!#REF!</f>
        <v>#REF!</v>
      </c>
      <c r="C95" s="171"/>
      <c r="D95" s="13"/>
      <c r="E95" s="13"/>
      <c r="F95" s="13"/>
      <c r="G95" s="13"/>
      <c r="H95" s="14"/>
      <c r="I95" s="14"/>
      <c r="J95" s="14"/>
      <c r="K95" s="14"/>
      <c r="L95" s="336"/>
      <c r="M95" s="95" t="e">
        <f t="shared" si="1"/>
        <v>#REF!</v>
      </c>
    </row>
    <row r="96" spans="1:13" x14ac:dyDescent="0.2">
      <c r="A96" s="343"/>
      <c r="B96" s="170" t="e">
        <f>Capacidades!#REF!</f>
        <v>#REF!</v>
      </c>
      <c r="C96" s="171"/>
      <c r="D96" s="13"/>
      <c r="E96" s="13"/>
      <c r="F96" s="13"/>
      <c r="G96" s="13"/>
      <c r="H96" s="14"/>
      <c r="I96" s="14"/>
      <c r="J96" s="14"/>
      <c r="K96" s="14"/>
      <c r="L96" s="336"/>
      <c r="M96" s="95" t="e">
        <f t="shared" si="1"/>
        <v>#REF!</v>
      </c>
    </row>
    <row r="97" spans="1:13" x14ac:dyDescent="0.2">
      <c r="A97" s="344"/>
      <c r="B97" s="170" t="e">
        <f>Capacidades!#REF!</f>
        <v>#REF!</v>
      </c>
      <c r="C97" s="171"/>
      <c r="D97" s="15"/>
      <c r="E97" s="15"/>
      <c r="F97" s="15"/>
      <c r="G97" s="15"/>
      <c r="H97" s="16"/>
      <c r="I97" s="16"/>
      <c r="J97" s="16"/>
      <c r="K97" s="16"/>
      <c r="L97" s="337"/>
      <c r="M97" s="95" t="e">
        <f t="shared" si="1"/>
        <v>#REF!</v>
      </c>
    </row>
    <row r="98" spans="1:13" x14ac:dyDescent="0.2">
      <c r="A98" s="342" t="e">
        <f>Capacidades!#REF!</f>
        <v>#REF!</v>
      </c>
      <c r="B98" s="170" t="e">
        <f>Capacidades!#REF!</f>
        <v>#REF!</v>
      </c>
      <c r="C98" s="171"/>
      <c r="D98" s="11">
        <f>Organización_Modular!F173</f>
        <v>0</v>
      </c>
      <c r="E98" s="11">
        <f>Organización_Modular!G173</f>
        <v>0</v>
      </c>
      <c r="F98" s="11">
        <f>Organización_Modular!H173</f>
        <v>0</v>
      </c>
      <c r="G98" s="11">
        <f>Organización_Modular!I173</f>
        <v>0</v>
      </c>
      <c r="H98" s="12">
        <f>SUM(F98:G98)</f>
        <v>0</v>
      </c>
      <c r="I98" s="12">
        <f>F98*16</f>
        <v>0</v>
      </c>
      <c r="J98" s="12">
        <f>G98*32</f>
        <v>0</v>
      </c>
      <c r="K98" s="12">
        <f>SUM(I98:J98)</f>
        <v>0</v>
      </c>
      <c r="L98" s="335"/>
      <c r="M98" s="95" t="e">
        <f t="shared" si="1"/>
        <v>#REF!</v>
      </c>
    </row>
    <row r="99" spans="1:13" x14ac:dyDescent="0.2">
      <c r="A99" s="343"/>
      <c r="B99" s="170" t="e">
        <f>Capacidades!#REF!</f>
        <v>#REF!</v>
      </c>
      <c r="C99" s="171"/>
      <c r="D99" s="13"/>
      <c r="E99" s="13"/>
      <c r="F99" s="13"/>
      <c r="G99" s="13"/>
      <c r="H99" s="14"/>
      <c r="I99" s="14"/>
      <c r="J99" s="14"/>
      <c r="K99" s="14"/>
      <c r="L99" s="336"/>
      <c r="M99" s="95" t="e">
        <f t="shared" si="1"/>
        <v>#REF!</v>
      </c>
    </row>
    <row r="100" spans="1:13" x14ac:dyDescent="0.2">
      <c r="A100" s="343"/>
      <c r="B100" s="170" t="e">
        <f>Capacidades!#REF!</f>
        <v>#REF!</v>
      </c>
      <c r="C100" s="171"/>
      <c r="D100" s="13"/>
      <c r="E100" s="13"/>
      <c r="F100" s="13"/>
      <c r="G100" s="13"/>
      <c r="H100" s="14"/>
      <c r="I100" s="14"/>
      <c r="J100" s="14"/>
      <c r="K100" s="14"/>
      <c r="L100" s="336"/>
      <c r="M100" s="95" t="e">
        <f t="shared" si="1"/>
        <v>#REF!</v>
      </c>
    </row>
    <row r="101" spans="1:13" x14ac:dyDescent="0.2">
      <c r="A101" s="343"/>
      <c r="B101" s="170" t="e">
        <f>Capacidades!#REF!</f>
        <v>#REF!</v>
      </c>
      <c r="C101" s="171"/>
      <c r="D101" s="13"/>
      <c r="E101" s="13"/>
      <c r="F101" s="13"/>
      <c r="G101" s="13"/>
      <c r="H101" s="14"/>
      <c r="I101" s="14"/>
      <c r="J101" s="14"/>
      <c r="K101" s="14"/>
      <c r="L101" s="336"/>
      <c r="M101" s="95" t="e">
        <f t="shared" si="1"/>
        <v>#REF!</v>
      </c>
    </row>
    <row r="102" spans="1:13" x14ac:dyDescent="0.2">
      <c r="A102" s="343"/>
      <c r="B102" s="170" t="e">
        <f>Capacidades!#REF!</f>
        <v>#REF!</v>
      </c>
      <c r="C102" s="171"/>
      <c r="D102" s="13"/>
      <c r="E102" s="13"/>
      <c r="F102" s="13"/>
      <c r="G102" s="13"/>
      <c r="H102" s="14"/>
      <c r="I102" s="14"/>
      <c r="J102" s="14"/>
      <c r="K102" s="14"/>
      <c r="L102" s="336"/>
      <c r="M102" s="95" t="e">
        <f t="shared" si="1"/>
        <v>#REF!</v>
      </c>
    </row>
    <row r="103" spans="1:13" x14ac:dyDescent="0.2">
      <c r="A103" s="343"/>
      <c r="B103" s="170" t="e">
        <f>Capacidades!#REF!</f>
        <v>#REF!</v>
      </c>
      <c r="C103" s="171"/>
      <c r="D103" s="13"/>
      <c r="E103" s="13"/>
      <c r="F103" s="13"/>
      <c r="G103" s="13"/>
      <c r="H103" s="14"/>
      <c r="I103" s="14"/>
      <c r="J103" s="14"/>
      <c r="K103" s="14"/>
      <c r="L103" s="336"/>
      <c r="M103" s="95" t="e">
        <f t="shared" si="1"/>
        <v>#REF!</v>
      </c>
    </row>
    <row r="104" spans="1:13" x14ac:dyDescent="0.2">
      <c r="A104" s="343"/>
      <c r="B104" s="170" t="e">
        <f>Capacidades!#REF!</f>
        <v>#REF!</v>
      </c>
      <c r="C104" s="171"/>
      <c r="D104" s="13"/>
      <c r="E104" s="13"/>
      <c r="F104" s="13"/>
      <c r="G104" s="13"/>
      <c r="H104" s="14"/>
      <c r="I104" s="14"/>
      <c r="J104" s="14"/>
      <c r="K104" s="14"/>
      <c r="L104" s="336"/>
      <c r="M104" s="95" t="e">
        <f t="shared" si="1"/>
        <v>#REF!</v>
      </c>
    </row>
    <row r="105" spans="1:13" x14ac:dyDescent="0.2">
      <c r="A105" s="343"/>
      <c r="B105" s="170" t="e">
        <f>Capacidades!#REF!</f>
        <v>#REF!</v>
      </c>
      <c r="C105" s="171"/>
      <c r="D105" s="13"/>
      <c r="E105" s="13"/>
      <c r="F105" s="13"/>
      <c r="G105" s="13"/>
      <c r="H105" s="14"/>
      <c r="I105" s="14"/>
      <c r="J105" s="14"/>
      <c r="K105" s="14"/>
      <c r="L105" s="336"/>
      <c r="M105" s="95" t="e">
        <f t="shared" si="1"/>
        <v>#REF!</v>
      </c>
    </row>
    <row r="106" spans="1:13" x14ac:dyDescent="0.2">
      <c r="A106" s="343"/>
      <c r="B106" s="170" t="e">
        <f>Capacidades!#REF!</f>
        <v>#REF!</v>
      </c>
      <c r="C106" s="171"/>
      <c r="D106" s="13"/>
      <c r="E106" s="13"/>
      <c r="F106" s="13"/>
      <c r="G106" s="13"/>
      <c r="H106" s="14"/>
      <c r="I106" s="14"/>
      <c r="J106" s="14"/>
      <c r="K106" s="14"/>
      <c r="L106" s="336"/>
      <c r="M106" s="95" t="e">
        <f t="shared" si="1"/>
        <v>#REF!</v>
      </c>
    </row>
    <row r="107" spans="1:13" x14ac:dyDescent="0.2">
      <c r="A107" s="344"/>
      <c r="B107" s="170" t="e">
        <f>Capacidades!#REF!</f>
        <v>#REF!</v>
      </c>
      <c r="C107" s="171"/>
      <c r="D107" s="15"/>
      <c r="E107" s="15"/>
      <c r="F107" s="15"/>
      <c r="G107" s="15"/>
      <c r="H107" s="16"/>
      <c r="I107" s="16"/>
      <c r="J107" s="16"/>
      <c r="K107" s="16"/>
      <c r="L107" s="337"/>
      <c r="M107" s="95" t="e">
        <f t="shared" si="1"/>
        <v>#REF!</v>
      </c>
    </row>
    <row r="108" spans="1:13" x14ac:dyDescent="0.2">
      <c r="A108" s="342" t="e">
        <f>Capacidades!#REF!</f>
        <v>#REF!</v>
      </c>
      <c r="B108" s="170" t="e">
        <f>Capacidades!#REF!</f>
        <v>#REF!</v>
      </c>
      <c r="C108" s="171"/>
      <c r="D108" s="11">
        <f>Organización_Modular!F174</f>
        <v>0</v>
      </c>
      <c r="E108" s="11">
        <f>Organización_Modular!G174</f>
        <v>0</v>
      </c>
      <c r="F108" s="11">
        <f>Organización_Modular!H174</f>
        <v>0</v>
      </c>
      <c r="G108" s="11">
        <f>Organización_Modular!I174</f>
        <v>0</v>
      </c>
      <c r="H108" s="12">
        <f>SUM(F108:G108)</f>
        <v>0</v>
      </c>
      <c r="I108" s="12">
        <f>F108*16</f>
        <v>0</v>
      </c>
      <c r="J108" s="12">
        <f>G108*32</f>
        <v>0</v>
      </c>
      <c r="K108" s="12">
        <f>SUM(I108:J108)</f>
        <v>0</v>
      </c>
      <c r="L108" s="335"/>
      <c r="M108" s="95" t="e">
        <f t="shared" si="1"/>
        <v>#REF!</v>
      </c>
    </row>
    <row r="109" spans="1:13" x14ac:dyDescent="0.2">
      <c r="A109" s="343"/>
      <c r="B109" s="170" t="e">
        <f>Capacidades!#REF!</f>
        <v>#REF!</v>
      </c>
      <c r="C109" s="171"/>
      <c r="D109" s="13"/>
      <c r="E109" s="13"/>
      <c r="F109" s="13"/>
      <c r="G109" s="13"/>
      <c r="H109" s="14"/>
      <c r="I109" s="14"/>
      <c r="J109" s="14"/>
      <c r="K109" s="14"/>
      <c r="L109" s="336"/>
      <c r="M109" s="95" t="e">
        <f t="shared" si="1"/>
        <v>#REF!</v>
      </c>
    </row>
    <row r="110" spans="1:13" x14ac:dyDescent="0.2">
      <c r="A110" s="343"/>
      <c r="B110" s="170" t="e">
        <f>Capacidades!#REF!</f>
        <v>#REF!</v>
      </c>
      <c r="C110" s="171"/>
      <c r="D110" s="13"/>
      <c r="E110" s="13"/>
      <c r="F110" s="13"/>
      <c r="G110" s="13"/>
      <c r="H110" s="14"/>
      <c r="I110" s="14"/>
      <c r="J110" s="14"/>
      <c r="K110" s="14"/>
      <c r="L110" s="336"/>
      <c r="M110" s="95" t="e">
        <f t="shared" si="1"/>
        <v>#REF!</v>
      </c>
    </row>
    <row r="111" spans="1:13" x14ac:dyDescent="0.2">
      <c r="A111" s="343"/>
      <c r="B111" s="170" t="e">
        <f>Capacidades!#REF!</f>
        <v>#REF!</v>
      </c>
      <c r="C111" s="171"/>
      <c r="D111" s="13"/>
      <c r="E111" s="13"/>
      <c r="F111" s="13"/>
      <c r="G111" s="13"/>
      <c r="H111" s="14"/>
      <c r="I111" s="14"/>
      <c r="J111" s="14"/>
      <c r="K111" s="14"/>
      <c r="L111" s="336"/>
      <c r="M111" s="95" t="e">
        <f t="shared" si="1"/>
        <v>#REF!</v>
      </c>
    </row>
    <row r="112" spans="1:13" x14ac:dyDescent="0.2">
      <c r="A112" s="343"/>
      <c r="B112" s="170" t="e">
        <f>Capacidades!#REF!</f>
        <v>#REF!</v>
      </c>
      <c r="C112" s="171"/>
      <c r="D112" s="13"/>
      <c r="E112" s="13"/>
      <c r="F112" s="13"/>
      <c r="G112" s="13"/>
      <c r="H112" s="14"/>
      <c r="I112" s="14"/>
      <c r="J112" s="14"/>
      <c r="K112" s="14"/>
      <c r="L112" s="336"/>
      <c r="M112" s="95" t="e">
        <f t="shared" si="1"/>
        <v>#REF!</v>
      </c>
    </row>
    <row r="113" spans="1:13" x14ac:dyDescent="0.2">
      <c r="A113" s="343"/>
      <c r="B113" s="170" t="e">
        <f>Capacidades!#REF!</f>
        <v>#REF!</v>
      </c>
      <c r="C113" s="171"/>
      <c r="D113" s="13"/>
      <c r="E113" s="13"/>
      <c r="F113" s="13"/>
      <c r="G113" s="13"/>
      <c r="H113" s="14"/>
      <c r="I113" s="14"/>
      <c r="J113" s="14"/>
      <c r="K113" s="14"/>
      <c r="L113" s="336"/>
      <c r="M113" s="95" t="e">
        <f t="shared" si="1"/>
        <v>#REF!</v>
      </c>
    </row>
    <row r="114" spans="1:13" x14ac:dyDescent="0.2">
      <c r="A114" s="343"/>
      <c r="B114" s="170" t="e">
        <f>Capacidades!#REF!</f>
        <v>#REF!</v>
      </c>
      <c r="C114" s="171"/>
      <c r="D114" s="13"/>
      <c r="E114" s="13"/>
      <c r="F114" s="13"/>
      <c r="G114" s="13"/>
      <c r="H114" s="14"/>
      <c r="I114" s="14"/>
      <c r="J114" s="14"/>
      <c r="K114" s="14"/>
      <c r="L114" s="336"/>
      <c r="M114" s="95" t="e">
        <f t="shared" si="1"/>
        <v>#REF!</v>
      </c>
    </row>
    <row r="115" spans="1:13" x14ac:dyDescent="0.2">
      <c r="A115" s="343"/>
      <c r="B115" s="170" t="e">
        <f>Capacidades!#REF!</f>
        <v>#REF!</v>
      </c>
      <c r="C115" s="171"/>
      <c r="D115" s="13"/>
      <c r="E115" s="13"/>
      <c r="F115" s="13"/>
      <c r="G115" s="13"/>
      <c r="H115" s="14"/>
      <c r="I115" s="14"/>
      <c r="J115" s="14"/>
      <c r="K115" s="14"/>
      <c r="L115" s="336"/>
      <c r="M115" s="95" t="e">
        <f t="shared" si="1"/>
        <v>#REF!</v>
      </c>
    </row>
    <row r="116" spans="1:13" x14ac:dyDescent="0.2">
      <c r="A116" s="343"/>
      <c r="B116" s="170" t="e">
        <f>Capacidades!#REF!</f>
        <v>#REF!</v>
      </c>
      <c r="C116" s="171"/>
      <c r="D116" s="13"/>
      <c r="E116" s="13"/>
      <c r="F116" s="13"/>
      <c r="G116" s="13"/>
      <c r="H116" s="14"/>
      <c r="I116" s="14"/>
      <c r="J116" s="14"/>
      <c r="K116" s="14"/>
      <c r="L116" s="336"/>
      <c r="M116" s="95" t="e">
        <f t="shared" si="1"/>
        <v>#REF!</v>
      </c>
    </row>
    <row r="117" spans="1:13" x14ac:dyDescent="0.2">
      <c r="A117" s="344"/>
      <c r="B117" s="170" t="e">
        <f>Capacidades!#REF!</f>
        <v>#REF!</v>
      </c>
      <c r="C117" s="171"/>
      <c r="D117" s="15"/>
      <c r="E117" s="15"/>
      <c r="F117" s="15"/>
      <c r="G117" s="15"/>
      <c r="H117" s="16"/>
      <c r="I117" s="16"/>
      <c r="J117" s="16"/>
      <c r="K117" s="16"/>
      <c r="L117" s="337"/>
      <c r="M117" s="95" t="e">
        <f t="shared" si="1"/>
        <v>#REF!</v>
      </c>
    </row>
    <row r="118" spans="1:13" x14ac:dyDescent="0.2">
      <c r="A118" s="342" t="e">
        <f>Capacidades!#REF!</f>
        <v>#REF!</v>
      </c>
      <c r="B118" s="170" t="e">
        <f>Capacidades!#REF!</f>
        <v>#REF!</v>
      </c>
      <c r="C118" s="171"/>
      <c r="D118" s="11">
        <f>Organización_Modular!F175</f>
        <v>0</v>
      </c>
      <c r="E118" s="11">
        <f>Organización_Modular!G175</f>
        <v>0</v>
      </c>
      <c r="F118" s="11">
        <f>Organización_Modular!H175</f>
        <v>0</v>
      </c>
      <c r="G118" s="11">
        <f>Organización_Modular!I175</f>
        <v>0</v>
      </c>
      <c r="H118" s="12">
        <f>SUM(F118:G118)</f>
        <v>0</v>
      </c>
      <c r="I118" s="12">
        <f>F118*16</f>
        <v>0</v>
      </c>
      <c r="J118" s="12">
        <f>G118*32</f>
        <v>0</v>
      </c>
      <c r="K118" s="12">
        <f>SUM(I118:J118)</f>
        <v>0</v>
      </c>
      <c r="L118" s="335"/>
      <c r="M118" s="95" t="e">
        <f t="shared" si="1"/>
        <v>#REF!</v>
      </c>
    </row>
    <row r="119" spans="1:13" x14ac:dyDescent="0.2">
      <c r="A119" s="343"/>
      <c r="B119" s="170" t="e">
        <f>Capacidades!#REF!</f>
        <v>#REF!</v>
      </c>
      <c r="C119" s="171"/>
      <c r="D119" s="13"/>
      <c r="E119" s="13"/>
      <c r="F119" s="13"/>
      <c r="G119" s="13"/>
      <c r="H119" s="14"/>
      <c r="I119" s="14"/>
      <c r="J119" s="14"/>
      <c r="K119" s="14"/>
      <c r="L119" s="336"/>
      <c r="M119" s="95" t="e">
        <f t="shared" si="1"/>
        <v>#REF!</v>
      </c>
    </row>
    <row r="120" spans="1:13" x14ac:dyDescent="0.2">
      <c r="A120" s="343"/>
      <c r="B120" s="170" t="e">
        <f>Capacidades!#REF!</f>
        <v>#REF!</v>
      </c>
      <c r="C120" s="171"/>
      <c r="D120" s="13"/>
      <c r="E120" s="13"/>
      <c r="F120" s="13"/>
      <c r="G120" s="13"/>
      <c r="H120" s="14"/>
      <c r="I120" s="14"/>
      <c r="J120" s="14"/>
      <c r="K120" s="14"/>
      <c r="L120" s="336"/>
      <c r="M120" s="95" t="e">
        <f t="shared" si="1"/>
        <v>#REF!</v>
      </c>
    </row>
    <row r="121" spans="1:13" x14ac:dyDescent="0.2">
      <c r="A121" s="343"/>
      <c r="B121" s="170" t="e">
        <f>Capacidades!#REF!</f>
        <v>#REF!</v>
      </c>
      <c r="C121" s="171"/>
      <c r="D121" s="13"/>
      <c r="E121" s="13"/>
      <c r="F121" s="13"/>
      <c r="G121" s="13"/>
      <c r="H121" s="14"/>
      <c r="I121" s="14"/>
      <c r="J121" s="14"/>
      <c r="K121" s="14"/>
      <c r="L121" s="336"/>
      <c r="M121" s="95" t="e">
        <f t="shared" si="1"/>
        <v>#REF!</v>
      </c>
    </row>
    <row r="122" spans="1:13" x14ac:dyDescent="0.2">
      <c r="A122" s="343"/>
      <c r="B122" s="170" t="e">
        <f>Capacidades!#REF!</f>
        <v>#REF!</v>
      </c>
      <c r="C122" s="171"/>
      <c r="D122" s="13"/>
      <c r="E122" s="13"/>
      <c r="F122" s="13"/>
      <c r="G122" s="13"/>
      <c r="H122" s="14"/>
      <c r="I122" s="14"/>
      <c r="J122" s="14"/>
      <c r="K122" s="14"/>
      <c r="L122" s="336"/>
      <c r="M122" s="95" t="e">
        <f t="shared" si="1"/>
        <v>#REF!</v>
      </c>
    </row>
    <row r="123" spans="1:13" x14ac:dyDescent="0.2">
      <c r="A123" s="343"/>
      <c r="B123" s="170" t="e">
        <f>Capacidades!#REF!</f>
        <v>#REF!</v>
      </c>
      <c r="C123" s="171"/>
      <c r="D123" s="13"/>
      <c r="E123" s="13"/>
      <c r="F123" s="13"/>
      <c r="G123" s="13"/>
      <c r="H123" s="14"/>
      <c r="I123" s="14"/>
      <c r="J123" s="14"/>
      <c r="K123" s="14"/>
      <c r="L123" s="336"/>
      <c r="M123" s="95" t="e">
        <f t="shared" si="1"/>
        <v>#REF!</v>
      </c>
    </row>
    <row r="124" spans="1:13" x14ac:dyDescent="0.2">
      <c r="A124" s="343"/>
      <c r="B124" s="170" t="e">
        <f>Capacidades!#REF!</f>
        <v>#REF!</v>
      </c>
      <c r="C124" s="171"/>
      <c r="D124" s="13"/>
      <c r="E124" s="13"/>
      <c r="F124" s="13"/>
      <c r="G124" s="13"/>
      <c r="H124" s="14"/>
      <c r="I124" s="14"/>
      <c r="J124" s="14"/>
      <c r="K124" s="14"/>
      <c r="L124" s="336"/>
      <c r="M124" s="95" t="e">
        <f t="shared" si="1"/>
        <v>#REF!</v>
      </c>
    </row>
    <row r="125" spans="1:13" x14ac:dyDescent="0.2">
      <c r="A125" s="343"/>
      <c r="B125" s="170" t="e">
        <f>Capacidades!#REF!</f>
        <v>#REF!</v>
      </c>
      <c r="C125" s="171"/>
      <c r="D125" s="13"/>
      <c r="E125" s="13"/>
      <c r="F125" s="13"/>
      <c r="G125" s="13"/>
      <c r="H125" s="14"/>
      <c r="I125" s="14"/>
      <c r="J125" s="14"/>
      <c r="K125" s="14"/>
      <c r="L125" s="336"/>
      <c r="M125" s="95" t="e">
        <f t="shared" si="1"/>
        <v>#REF!</v>
      </c>
    </row>
    <row r="126" spans="1:13" x14ac:dyDescent="0.2">
      <c r="A126" s="343"/>
      <c r="B126" s="170" t="e">
        <f>Capacidades!#REF!</f>
        <v>#REF!</v>
      </c>
      <c r="C126" s="171"/>
      <c r="D126" s="13"/>
      <c r="E126" s="13"/>
      <c r="F126" s="13"/>
      <c r="G126" s="13"/>
      <c r="H126" s="14"/>
      <c r="I126" s="14"/>
      <c r="J126" s="14"/>
      <c r="K126" s="14"/>
      <c r="L126" s="336"/>
      <c r="M126" s="95" t="e">
        <f t="shared" si="1"/>
        <v>#REF!</v>
      </c>
    </row>
    <row r="127" spans="1:13" x14ac:dyDescent="0.2">
      <c r="A127" s="344"/>
      <c r="B127" s="170" t="e">
        <f>Capacidades!#REF!</f>
        <v>#REF!</v>
      </c>
      <c r="C127" s="171"/>
      <c r="D127" s="15"/>
      <c r="E127" s="15"/>
      <c r="F127" s="15"/>
      <c r="G127" s="15"/>
      <c r="H127" s="16"/>
      <c r="I127" s="16"/>
      <c r="J127" s="16"/>
      <c r="K127" s="16"/>
      <c r="L127" s="337"/>
      <c r="M127" s="95" t="e">
        <f t="shared" si="1"/>
        <v>#REF!</v>
      </c>
    </row>
    <row r="128" spans="1:13" x14ac:dyDescent="0.2">
      <c r="A128" s="342" t="e">
        <f>Capacidades!#REF!</f>
        <v>#REF!</v>
      </c>
      <c r="B128" s="170" t="e">
        <f>Capacidades!#REF!</f>
        <v>#REF!</v>
      </c>
      <c r="C128" s="171"/>
      <c r="D128" s="11">
        <f>Organización_Modular!F176</f>
        <v>0</v>
      </c>
      <c r="E128" s="11">
        <f>Organización_Modular!G176</f>
        <v>0</v>
      </c>
      <c r="F128" s="11">
        <f>Organización_Modular!H176</f>
        <v>0</v>
      </c>
      <c r="G128" s="11">
        <f>Organización_Modular!I176</f>
        <v>0</v>
      </c>
      <c r="H128" s="12">
        <f>SUM(F128:G128)</f>
        <v>0</v>
      </c>
      <c r="I128" s="12">
        <f>F128*16</f>
        <v>0</v>
      </c>
      <c r="J128" s="12">
        <f>G128*32</f>
        <v>0</v>
      </c>
      <c r="K128" s="12">
        <f>SUM(I128:J128)</f>
        <v>0</v>
      </c>
      <c r="L128" s="335"/>
      <c r="M128" s="95" t="e">
        <f t="shared" si="1"/>
        <v>#REF!</v>
      </c>
    </row>
    <row r="129" spans="1:13" x14ac:dyDescent="0.2">
      <c r="A129" s="343"/>
      <c r="B129" s="170" t="e">
        <f>Capacidades!#REF!</f>
        <v>#REF!</v>
      </c>
      <c r="C129" s="171"/>
      <c r="D129" s="13"/>
      <c r="E129" s="13"/>
      <c r="F129" s="13"/>
      <c r="G129" s="13"/>
      <c r="H129" s="14"/>
      <c r="I129" s="14"/>
      <c r="J129" s="14"/>
      <c r="K129" s="14"/>
      <c r="L129" s="336"/>
      <c r="M129" s="95" t="e">
        <f t="shared" si="1"/>
        <v>#REF!</v>
      </c>
    </row>
    <row r="130" spans="1:13" x14ac:dyDescent="0.2">
      <c r="A130" s="343"/>
      <c r="B130" s="170" t="e">
        <f>Capacidades!#REF!</f>
        <v>#REF!</v>
      </c>
      <c r="C130" s="171"/>
      <c r="D130" s="13"/>
      <c r="E130" s="13"/>
      <c r="F130" s="13"/>
      <c r="G130" s="13"/>
      <c r="H130" s="14"/>
      <c r="I130" s="14"/>
      <c r="J130" s="14"/>
      <c r="K130" s="14"/>
      <c r="L130" s="336"/>
      <c r="M130" s="95" t="e">
        <f t="shared" si="1"/>
        <v>#REF!</v>
      </c>
    </row>
    <row r="131" spans="1:13" x14ac:dyDescent="0.2">
      <c r="A131" s="343"/>
      <c r="B131" s="170" t="e">
        <f>Capacidades!#REF!</f>
        <v>#REF!</v>
      </c>
      <c r="C131" s="171"/>
      <c r="D131" s="13"/>
      <c r="E131" s="13"/>
      <c r="F131" s="13"/>
      <c r="G131" s="13"/>
      <c r="H131" s="14"/>
      <c r="I131" s="14"/>
      <c r="J131" s="14"/>
      <c r="K131" s="14"/>
      <c r="L131" s="336"/>
      <c r="M131" s="95" t="e">
        <f t="shared" si="1"/>
        <v>#REF!</v>
      </c>
    </row>
    <row r="132" spans="1:13" x14ac:dyDescent="0.2">
      <c r="A132" s="343"/>
      <c r="B132" s="170" t="e">
        <f>Capacidades!#REF!</f>
        <v>#REF!</v>
      </c>
      <c r="C132" s="171"/>
      <c r="D132" s="13"/>
      <c r="E132" s="13"/>
      <c r="F132" s="13"/>
      <c r="G132" s="13"/>
      <c r="H132" s="14"/>
      <c r="I132" s="14"/>
      <c r="J132" s="14"/>
      <c r="K132" s="14"/>
      <c r="L132" s="336"/>
      <c r="M132" s="95" t="e">
        <f t="shared" si="1"/>
        <v>#REF!</v>
      </c>
    </row>
    <row r="133" spans="1:13" x14ac:dyDescent="0.2">
      <c r="A133" s="343"/>
      <c r="B133" s="170" t="e">
        <f>Capacidades!#REF!</f>
        <v>#REF!</v>
      </c>
      <c r="C133" s="171"/>
      <c r="D133" s="13"/>
      <c r="E133" s="13"/>
      <c r="F133" s="13"/>
      <c r="G133" s="13"/>
      <c r="H133" s="14"/>
      <c r="I133" s="14"/>
      <c r="J133" s="14"/>
      <c r="K133" s="14"/>
      <c r="L133" s="336"/>
      <c r="M133" s="95" t="e">
        <f t="shared" si="1"/>
        <v>#REF!</v>
      </c>
    </row>
    <row r="134" spans="1:13" x14ac:dyDescent="0.2">
      <c r="A134" s="343"/>
      <c r="B134" s="170" t="e">
        <f>Capacidades!#REF!</f>
        <v>#REF!</v>
      </c>
      <c r="C134" s="171"/>
      <c r="D134" s="13"/>
      <c r="E134" s="13"/>
      <c r="F134" s="13"/>
      <c r="G134" s="13"/>
      <c r="H134" s="14"/>
      <c r="I134" s="14"/>
      <c r="J134" s="14"/>
      <c r="K134" s="14"/>
      <c r="L134" s="336"/>
      <c r="M134" s="95" t="e">
        <f t="shared" si="1"/>
        <v>#REF!</v>
      </c>
    </row>
    <row r="135" spans="1:13" x14ac:dyDescent="0.2">
      <c r="A135" s="343"/>
      <c r="B135" s="170" t="e">
        <f>Capacidades!#REF!</f>
        <v>#REF!</v>
      </c>
      <c r="C135" s="171"/>
      <c r="D135" s="13"/>
      <c r="E135" s="13"/>
      <c r="F135" s="13"/>
      <c r="G135" s="13"/>
      <c r="H135" s="14"/>
      <c r="I135" s="14"/>
      <c r="J135" s="14"/>
      <c r="K135" s="14"/>
      <c r="L135" s="336"/>
      <c r="M135" s="95" t="e">
        <f t="shared" si="1"/>
        <v>#REF!</v>
      </c>
    </row>
    <row r="136" spans="1:13" x14ac:dyDescent="0.2">
      <c r="A136" s="343"/>
      <c r="B136" s="170" t="e">
        <f>Capacidades!#REF!</f>
        <v>#REF!</v>
      </c>
      <c r="C136" s="171"/>
      <c r="D136" s="13"/>
      <c r="E136" s="13"/>
      <c r="F136" s="13"/>
      <c r="G136" s="13"/>
      <c r="H136" s="14"/>
      <c r="I136" s="14"/>
      <c r="J136" s="14"/>
      <c r="K136" s="14"/>
      <c r="L136" s="336"/>
      <c r="M136" s="95" t="e">
        <f t="shared" si="1"/>
        <v>#REF!</v>
      </c>
    </row>
    <row r="137" spans="1:13" x14ac:dyDescent="0.2">
      <c r="A137" s="344"/>
      <c r="B137" s="170" t="e">
        <f>Capacidades!#REF!</f>
        <v>#REF!</v>
      </c>
      <c r="C137" s="171"/>
      <c r="D137" s="15"/>
      <c r="E137" s="15"/>
      <c r="F137" s="15"/>
      <c r="G137" s="15"/>
      <c r="H137" s="16"/>
      <c r="I137" s="16"/>
      <c r="J137" s="16"/>
      <c r="K137" s="16"/>
      <c r="L137" s="337"/>
      <c r="M137" s="95" t="e">
        <f t="shared" si="1"/>
        <v>#REF!</v>
      </c>
    </row>
    <row r="138" spans="1:13" x14ac:dyDescent="0.2">
      <c r="A138" s="342" t="e">
        <f>Capacidades!#REF!</f>
        <v>#REF!</v>
      </c>
      <c r="B138" s="170" t="e">
        <f>Capacidades!#REF!</f>
        <v>#REF!</v>
      </c>
      <c r="C138" s="171"/>
      <c r="D138" s="11">
        <f>Organización_Modular!F177</f>
        <v>0</v>
      </c>
      <c r="E138" s="11">
        <f>Organización_Modular!G177</f>
        <v>0</v>
      </c>
      <c r="F138" s="11">
        <f>Organización_Modular!H177</f>
        <v>0</v>
      </c>
      <c r="G138" s="11">
        <f>Organización_Modular!I177</f>
        <v>0</v>
      </c>
      <c r="H138" s="12">
        <f>SUM(F138:G138)</f>
        <v>0</v>
      </c>
      <c r="I138" s="12">
        <f>F138*16</f>
        <v>0</v>
      </c>
      <c r="J138" s="12">
        <f>G138*32</f>
        <v>0</v>
      </c>
      <c r="K138" s="12">
        <f>SUM(I138:J138)</f>
        <v>0</v>
      </c>
      <c r="L138" s="335"/>
      <c r="M138" s="95" t="e">
        <f t="shared" si="1"/>
        <v>#REF!</v>
      </c>
    </row>
    <row r="139" spans="1:13" x14ac:dyDescent="0.2">
      <c r="A139" s="343"/>
      <c r="B139" s="170" t="e">
        <f>Capacidades!#REF!</f>
        <v>#REF!</v>
      </c>
      <c r="C139" s="171"/>
      <c r="D139" s="13"/>
      <c r="E139" s="13"/>
      <c r="F139" s="13"/>
      <c r="G139" s="13"/>
      <c r="H139" s="14"/>
      <c r="I139" s="14"/>
      <c r="J139" s="14"/>
      <c r="K139" s="14"/>
      <c r="L139" s="336"/>
      <c r="M139" s="95" t="e">
        <f t="shared" si="1"/>
        <v>#REF!</v>
      </c>
    </row>
    <row r="140" spans="1:13" x14ac:dyDescent="0.2">
      <c r="A140" s="343"/>
      <c r="B140" s="170" t="e">
        <f>Capacidades!#REF!</f>
        <v>#REF!</v>
      </c>
      <c r="C140" s="171"/>
      <c r="D140" s="13"/>
      <c r="E140" s="13"/>
      <c r="F140" s="13"/>
      <c r="G140" s="13"/>
      <c r="H140" s="14"/>
      <c r="I140" s="14"/>
      <c r="J140" s="14"/>
      <c r="K140" s="14"/>
      <c r="L140" s="336"/>
      <c r="M140" s="95" t="e">
        <f t="shared" si="1"/>
        <v>#REF!</v>
      </c>
    </row>
    <row r="141" spans="1:13" x14ac:dyDescent="0.2">
      <c r="A141" s="343"/>
      <c r="B141" s="170" t="e">
        <f>Capacidades!#REF!</f>
        <v>#REF!</v>
      </c>
      <c r="C141" s="171"/>
      <c r="D141" s="13"/>
      <c r="E141" s="13"/>
      <c r="F141" s="13"/>
      <c r="G141" s="13"/>
      <c r="H141" s="14"/>
      <c r="I141" s="14"/>
      <c r="J141" s="14"/>
      <c r="K141" s="14"/>
      <c r="L141" s="336"/>
      <c r="M141" s="95" t="e">
        <f t="shared" si="1"/>
        <v>#REF!</v>
      </c>
    </row>
    <row r="142" spans="1:13" x14ac:dyDescent="0.2">
      <c r="A142" s="343"/>
      <c r="B142" s="170" t="e">
        <f>Capacidades!#REF!</f>
        <v>#REF!</v>
      </c>
      <c r="C142" s="171"/>
      <c r="D142" s="13"/>
      <c r="E142" s="13"/>
      <c r="F142" s="13"/>
      <c r="G142" s="13"/>
      <c r="H142" s="14"/>
      <c r="I142" s="14"/>
      <c r="J142" s="14"/>
      <c r="K142" s="14"/>
      <c r="L142" s="336"/>
      <c r="M142" s="95" t="e">
        <f t="shared" si="1"/>
        <v>#REF!</v>
      </c>
    </row>
    <row r="143" spans="1:13" x14ac:dyDescent="0.2">
      <c r="A143" s="343"/>
      <c r="B143" s="170" t="e">
        <f>Capacidades!#REF!</f>
        <v>#REF!</v>
      </c>
      <c r="C143" s="171"/>
      <c r="D143" s="13"/>
      <c r="E143" s="13"/>
      <c r="F143" s="13"/>
      <c r="G143" s="13"/>
      <c r="H143" s="14"/>
      <c r="I143" s="14"/>
      <c r="J143" s="14"/>
      <c r="K143" s="14"/>
      <c r="L143" s="336"/>
      <c r="M143" s="95" t="e">
        <f t="shared" si="1"/>
        <v>#REF!</v>
      </c>
    </row>
    <row r="144" spans="1:13" x14ac:dyDescent="0.2">
      <c r="A144" s="343"/>
      <c r="B144" s="170" t="e">
        <f>Capacidades!#REF!</f>
        <v>#REF!</v>
      </c>
      <c r="C144" s="171"/>
      <c r="D144" s="13"/>
      <c r="E144" s="13"/>
      <c r="F144" s="13"/>
      <c r="G144" s="13"/>
      <c r="H144" s="14"/>
      <c r="I144" s="14"/>
      <c r="J144" s="14"/>
      <c r="K144" s="14"/>
      <c r="L144" s="336"/>
      <c r="M144" s="95" t="e">
        <f t="shared" si="1"/>
        <v>#REF!</v>
      </c>
    </row>
    <row r="145" spans="1:13" x14ac:dyDescent="0.2">
      <c r="A145" s="343"/>
      <c r="B145" s="170" t="e">
        <f>Capacidades!#REF!</f>
        <v>#REF!</v>
      </c>
      <c r="C145" s="171"/>
      <c r="D145" s="13"/>
      <c r="E145" s="13"/>
      <c r="F145" s="13"/>
      <c r="G145" s="13"/>
      <c r="H145" s="14"/>
      <c r="I145" s="14"/>
      <c r="J145" s="14"/>
      <c r="K145" s="14"/>
      <c r="L145" s="336"/>
      <c r="M145" s="95" t="e">
        <f t="shared" si="1"/>
        <v>#REF!</v>
      </c>
    </row>
    <row r="146" spans="1:13" x14ac:dyDescent="0.2">
      <c r="A146" s="343"/>
      <c r="B146" s="170" t="e">
        <f>Capacidades!#REF!</f>
        <v>#REF!</v>
      </c>
      <c r="C146" s="171"/>
      <c r="D146" s="13"/>
      <c r="E146" s="13"/>
      <c r="F146" s="13"/>
      <c r="G146" s="13"/>
      <c r="H146" s="14"/>
      <c r="I146" s="14"/>
      <c r="J146" s="14"/>
      <c r="K146" s="14"/>
      <c r="L146" s="336"/>
      <c r="M146" s="95" t="e">
        <f t="shared" si="1"/>
        <v>#REF!</v>
      </c>
    </row>
    <row r="147" spans="1:13" x14ac:dyDescent="0.2">
      <c r="A147" s="344"/>
      <c r="B147" s="170" t="e">
        <f>Capacidades!#REF!</f>
        <v>#REF!</v>
      </c>
      <c r="C147" s="171"/>
      <c r="D147" s="15"/>
      <c r="E147" s="15"/>
      <c r="F147" s="15"/>
      <c r="G147" s="15"/>
      <c r="H147" s="16"/>
      <c r="I147" s="16"/>
      <c r="J147" s="16"/>
      <c r="K147" s="16"/>
      <c r="L147" s="337"/>
      <c r="M147" s="95" t="e">
        <f t="shared" ref="M147:M210" si="2">B147</f>
        <v>#REF!</v>
      </c>
    </row>
    <row r="148" spans="1:13" x14ac:dyDescent="0.2">
      <c r="A148" s="342" t="e">
        <f>Capacidades!#REF!</f>
        <v>#REF!</v>
      </c>
      <c r="B148" s="170" t="e">
        <f>Capacidades!#REF!</f>
        <v>#REF!</v>
      </c>
      <c r="C148" s="171"/>
      <c r="D148" s="11">
        <f>Organización_Modular!F178</f>
        <v>0</v>
      </c>
      <c r="E148" s="11">
        <f>Organización_Modular!G178</f>
        <v>0</v>
      </c>
      <c r="F148" s="11">
        <f>Organización_Modular!H178</f>
        <v>0</v>
      </c>
      <c r="G148" s="11">
        <f>Organización_Modular!I178</f>
        <v>0</v>
      </c>
      <c r="H148" s="12">
        <f>SUM(F148:G148)</f>
        <v>0</v>
      </c>
      <c r="I148" s="12">
        <f>F148*16</f>
        <v>0</v>
      </c>
      <c r="J148" s="12">
        <f>G148*32</f>
        <v>0</v>
      </c>
      <c r="K148" s="12">
        <f>SUM(I148:J148)</f>
        <v>0</v>
      </c>
      <c r="L148" s="335"/>
      <c r="M148" s="95" t="e">
        <f t="shared" si="2"/>
        <v>#REF!</v>
      </c>
    </row>
    <row r="149" spans="1:13" x14ac:dyDescent="0.2">
      <c r="A149" s="343"/>
      <c r="B149" s="170" t="e">
        <f>Capacidades!#REF!</f>
        <v>#REF!</v>
      </c>
      <c r="C149" s="171"/>
      <c r="D149" s="13"/>
      <c r="E149" s="13"/>
      <c r="F149" s="13"/>
      <c r="G149" s="13"/>
      <c r="H149" s="14"/>
      <c r="I149" s="14"/>
      <c r="J149" s="14"/>
      <c r="K149" s="14"/>
      <c r="L149" s="336"/>
      <c r="M149" s="95" t="e">
        <f t="shared" si="2"/>
        <v>#REF!</v>
      </c>
    </row>
    <row r="150" spans="1:13" x14ac:dyDescent="0.2">
      <c r="A150" s="343"/>
      <c r="B150" s="170" t="e">
        <f>Capacidades!#REF!</f>
        <v>#REF!</v>
      </c>
      <c r="C150" s="171"/>
      <c r="D150" s="13"/>
      <c r="E150" s="13"/>
      <c r="F150" s="13"/>
      <c r="G150" s="13"/>
      <c r="H150" s="14"/>
      <c r="I150" s="14"/>
      <c r="J150" s="14"/>
      <c r="K150" s="14"/>
      <c r="L150" s="336"/>
      <c r="M150" s="95" t="e">
        <f t="shared" si="2"/>
        <v>#REF!</v>
      </c>
    </row>
    <row r="151" spans="1:13" x14ac:dyDescent="0.2">
      <c r="A151" s="343"/>
      <c r="B151" s="170" t="e">
        <f>Capacidades!#REF!</f>
        <v>#REF!</v>
      </c>
      <c r="C151" s="171"/>
      <c r="D151" s="13"/>
      <c r="E151" s="13"/>
      <c r="F151" s="13"/>
      <c r="G151" s="13"/>
      <c r="H151" s="14"/>
      <c r="I151" s="14"/>
      <c r="J151" s="14"/>
      <c r="K151" s="14"/>
      <c r="L151" s="336"/>
      <c r="M151" s="95" t="e">
        <f t="shared" si="2"/>
        <v>#REF!</v>
      </c>
    </row>
    <row r="152" spans="1:13" x14ac:dyDescent="0.2">
      <c r="A152" s="343"/>
      <c r="B152" s="170" t="e">
        <f>Capacidades!#REF!</f>
        <v>#REF!</v>
      </c>
      <c r="C152" s="171"/>
      <c r="D152" s="13"/>
      <c r="E152" s="13"/>
      <c r="F152" s="13"/>
      <c r="G152" s="13"/>
      <c r="H152" s="14"/>
      <c r="I152" s="14"/>
      <c r="J152" s="14"/>
      <c r="K152" s="14"/>
      <c r="L152" s="336"/>
      <c r="M152" s="95" t="e">
        <f t="shared" si="2"/>
        <v>#REF!</v>
      </c>
    </row>
    <row r="153" spans="1:13" x14ac:dyDescent="0.2">
      <c r="A153" s="343"/>
      <c r="B153" s="170" t="e">
        <f>Capacidades!#REF!</f>
        <v>#REF!</v>
      </c>
      <c r="C153" s="171"/>
      <c r="D153" s="13"/>
      <c r="E153" s="13"/>
      <c r="F153" s="13"/>
      <c r="G153" s="13"/>
      <c r="H153" s="14"/>
      <c r="I153" s="14"/>
      <c r="J153" s="14"/>
      <c r="K153" s="14"/>
      <c r="L153" s="336"/>
      <c r="M153" s="95" t="e">
        <f t="shared" si="2"/>
        <v>#REF!</v>
      </c>
    </row>
    <row r="154" spans="1:13" x14ac:dyDescent="0.2">
      <c r="A154" s="343"/>
      <c r="B154" s="170" t="e">
        <f>Capacidades!#REF!</f>
        <v>#REF!</v>
      </c>
      <c r="C154" s="171"/>
      <c r="D154" s="13"/>
      <c r="E154" s="13"/>
      <c r="F154" s="13"/>
      <c r="G154" s="13"/>
      <c r="H154" s="14"/>
      <c r="I154" s="14"/>
      <c r="J154" s="14"/>
      <c r="K154" s="14"/>
      <c r="L154" s="336"/>
      <c r="M154" s="95" t="e">
        <f t="shared" si="2"/>
        <v>#REF!</v>
      </c>
    </row>
    <row r="155" spans="1:13" x14ac:dyDescent="0.2">
      <c r="A155" s="343"/>
      <c r="B155" s="170" t="e">
        <f>Capacidades!#REF!</f>
        <v>#REF!</v>
      </c>
      <c r="C155" s="171"/>
      <c r="D155" s="13"/>
      <c r="E155" s="13"/>
      <c r="F155" s="13"/>
      <c r="G155" s="13"/>
      <c r="H155" s="14"/>
      <c r="I155" s="14"/>
      <c r="J155" s="14"/>
      <c r="K155" s="14"/>
      <c r="L155" s="336"/>
      <c r="M155" s="95" t="e">
        <f t="shared" si="2"/>
        <v>#REF!</v>
      </c>
    </row>
    <row r="156" spans="1:13" x14ac:dyDescent="0.2">
      <c r="A156" s="343"/>
      <c r="B156" s="170" t="e">
        <f>Capacidades!#REF!</f>
        <v>#REF!</v>
      </c>
      <c r="C156" s="171"/>
      <c r="D156" s="13"/>
      <c r="E156" s="13"/>
      <c r="F156" s="13"/>
      <c r="G156" s="13"/>
      <c r="H156" s="14"/>
      <c r="I156" s="14"/>
      <c r="J156" s="14"/>
      <c r="K156" s="14"/>
      <c r="L156" s="336"/>
      <c r="M156" s="95" t="e">
        <f t="shared" si="2"/>
        <v>#REF!</v>
      </c>
    </row>
    <row r="157" spans="1:13" x14ac:dyDescent="0.2">
      <c r="A157" s="344"/>
      <c r="B157" s="170" t="e">
        <f>Capacidades!#REF!</f>
        <v>#REF!</v>
      </c>
      <c r="C157" s="171"/>
      <c r="D157" s="15"/>
      <c r="E157" s="15"/>
      <c r="F157" s="15"/>
      <c r="G157" s="15"/>
      <c r="H157" s="16"/>
      <c r="I157" s="16"/>
      <c r="J157" s="16"/>
      <c r="K157" s="16"/>
      <c r="L157" s="337"/>
      <c r="M157" s="95" t="e">
        <f t="shared" si="2"/>
        <v>#REF!</v>
      </c>
    </row>
    <row r="158" spans="1:13" x14ac:dyDescent="0.2">
      <c r="A158" s="342" t="e">
        <f>Capacidades!#REF!</f>
        <v>#REF!</v>
      </c>
      <c r="B158" s="170" t="e">
        <f>Capacidades!#REF!</f>
        <v>#REF!</v>
      </c>
      <c r="C158" s="171"/>
      <c r="D158" s="11">
        <f>Organización_Modular!F179</f>
        <v>0</v>
      </c>
      <c r="E158" s="11">
        <f>Organización_Modular!G179</f>
        <v>0</v>
      </c>
      <c r="F158" s="11">
        <f>Organización_Modular!H179</f>
        <v>0</v>
      </c>
      <c r="G158" s="11">
        <f>Organización_Modular!I179</f>
        <v>0</v>
      </c>
      <c r="H158" s="12">
        <f>SUM(F158:G158)</f>
        <v>0</v>
      </c>
      <c r="I158" s="12">
        <f>F158*16</f>
        <v>0</v>
      </c>
      <c r="J158" s="12">
        <f>G158*32</f>
        <v>0</v>
      </c>
      <c r="K158" s="12">
        <f>SUM(I158:J158)</f>
        <v>0</v>
      </c>
      <c r="L158" s="335"/>
      <c r="M158" s="95" t="e">
        <f t="shared" si="2"/>
        <v>#REF!</v>
      </c>
    </row>
    <row r="159" spans="1:13" x14ac:dyDescent="0.2">
      <c r="A159" s="343"/>
      <c r="B159" s="170" t="e">
        <f>Capacidades!#REF!</f>
        <v>#REF!</v>
      </c>
      <c r="C159" s="171"/>
      <c r="D159" s="13"/>
      <c r="E159" s="13"/>
      <c r="F159" s="13"/>
      <c r="G159" s="13"/>
      <c r="H159" s="14"/>
      <c r="I159" s="14"/>
      <c r="J159" s="14"/>
      <c r="K159" s="14"/>
      <c r="L159" s="336"/>
      <c r="M159" s="95" t="e">
        <f t="shared" si="2"/>
        <v>#REF!</v>
      </c>
    </row>
    <row r="160" spans="1:13" x14ac:dyDescent="0.2">
      <c r="A160" s="343"/>
      <c r="B160" s="170" t="e">
        <f>Capacidades!#REF!</f>
        <v>#REF!</v>
      </c>
      <c r="C160" s="171"/>
      <c r="D160" s="13"/>
      <c r="E160" s="13"/>
      <c r="F160" s="13"/>
      <c r="G160" s="13"/>
      <c r="H160" s="14"/>
      <c r="I160" s="14"/>
      <c r="J160" s="14"/>
      <c r="K160" s="14"/>
      <c r="L160" s="336"/>
      <c r="M160" s="95" t="e">
        <f t="shared" si="2"/>
        <v>#REF!</v>
      </c>
    </row>
    <row r="161" spans="1:13" x14ac:dyDescent="0.2">
      <c r="A161" s="343"/>
      <c r="B161" s="170" t="e">
        <f>Capacidades!#REF!</f>
        <v>#REF!</v>
      </c>
      <c r="C161" s="171"/>
      <c r="D161" s="13"/>
      <c r="E161" s="13"/>
      <c r="F161" s="13"/>
      <c r="G161" s="13"/>
      <c r="H161" s="14"/>
      <c r="I161" s="14"/>
      <c r="J161" s="14"/>
      <c r="K161" s="14"/>
      <c r="L161" s="336"/>
      <c r="M161" s="95" t="e">
        <f t="shared" si="2"/>
        <v>#REF!</v>
      </c>
    </row>
    <row r="162" spans="1:13" x14ac:dyDescent="0.2">
      <c r="A162" s="343"/>
      <c r="B162" s="170" t="e">
        <f>Capacidades!#REF!</f>
        <v>#REF!</v>
      </c>
      <c r="C162" s="171"/>
      <c r="D162" s="13"/>
      <c r="E162" s="13"/>
      <c r="F162" s="13"/>
      <c r="G162" s="13"/>
      <c r="H162" s="14"/>
      <c r="I162" s="14"/>
      <c r="J162" s="14"/>
      <c r="K162" s="14"/>
      <c r="L162" s="336"/>
      <c r="M162" s="95" t="e">
        <f t="shared" si="2"/>
        <v>#REF!</v>
      </c>
    </row>
    <row r="163" spans="1:13" x14ac:dyDescent="0.2">
      <c r="A163" s="343"/>
      <c r="B163" s="170" t="e">
        <f>Capacidades!#REF!</f>
        <v>#REF!</v>
      </c>
      <c r="C163" s="171"/>
      <c r="D163" s="13"/>
      <c r="E163" s="13"/>
      <c r="F163" s="13"/>
      <c r="G163" s="13"/>
      <c r="H163" s="14"/>
      <c r="I163" s="14"/>
      <c r="J163" s="14"/>
      <c r="K163" s="14"/>
      <c r="L163" s="336"/>
      <c r="M163" s="95" t="e">
        <f t="shared" si="2"/>
        <v>#REF!</v>
      </c>
    </row>
    <row r="164" spans="1:13" x14ac:dyDescent="0.2">
      <c r="A164" s="343"/>
      <c r="B164" s="170" t="e">
        <f>Capacidades!#REF!</f>
        <v>#REF!</v>
      </c>
      <c r="C164" s="171"/>
      <c r="D164" s="13"/>
      <c r="E164" s="13"/>
      <c r="F164" s="13"/>
      <c r="G164" s="13"/>
      <c r="H164" s="14"/>
      <c r="I164" s="14"/>
      <c r="J164" s="14"/>
      <c r="K164" s="14"/>
      <c r="L164" s="336"/>
      <c r="M164" s="95" t="e">
        <f t="shared" si="2"/>
        <v>#REF!</v>
      </c>
    </row>
    <row r="165" spans="1:13" x14ac:dyDescent="0.2">
      <c r="A165" s="343"/>
      <c r="B165" s="170" t="e">
        <f>Capacidades!#REF!</f>
        <v>#REF!</v>
      </c>
      <c r="C165" s="171"/>
      <c r="D165" s="13"/>
      <c r="E165" s="13"/>
      <c r="F165" s="13"/>
      <c r="G165" s="13"/>
      <c r="H165" s="14"/>
      <c r="I165" s="14"/>
      <c r="J165" s="14"/>
      <c r="K165" s="14"/>
      <c r="L165" s="336"/>
      <c r="M165" s="95" t="e">
        <f t="shared" si="2"/>
        <v>#REF!</v>
      </c>
    </row>
    <row r="166" spans="1:13" x14ac:dyDescent="0.2">
      <c r="A166" s="343"/>
      <c r="B166" s="170" t="e">
        <f>Capacidades!#REF!</f>
        <v>#REF!</v>
      </c>
      <c r="C166" s="171"/>
      <c r="D166" s="13"/>
      <c r="E166" s="13"/>
      <c r="F166" s="13"/>
      <c r="G166" s="13"/>
      <c r="H166" s="14"/>
      <c r="I166" s="14"/>
      <c r="J166" s="14"/>
      <c r="K166" s="14"/>
      <c r="L166" s="336"/>
      <c r="M166" s="95" t="e">
        <f t="shared" si="2"/>
        <v>#REF!</v>
      </c>
    </row>
    <row r="167" spans="1:13" x14ac:dyDescent="0.2">
      <c r="A167" s="344"/>
      <c r="B167" s="170" t="e">
        <f>Capacidades!#REF!</f>
        <v>#REF!</v>
      </c>
      <c r="C167" s="171"/>
      <c r="D167" s="15"/>
      <c r="E167" s="15"/>
      <c r="F167" s="15"/>
      <c r="G167" s="15"/>
      <c r="H167" s="16"/>
      <c r="I167" s="16"/>
      <c r="J167" s="16"/>
      <c r="K167" s="16"/>
      <c r="L167" s="337"/>
      <c r="M167" s="95" t="e">
        <f t="shared" si="2"/>
        <v>#REF!</v>
      </c>
    </row>
    <row r="168" spans="1:13" x14ac:dyDescent="0.2">
      <c r="A168" s="342" t="e">
        <f>Capacidades!#REF!</f>
        <v>#REF!</v>
      </c>
      <c r="B168" s="170" t="e">
        <f>Capacidades!#REF!</f>
        <v>#REF!</v>
      </c>
      <c r="C168" s="171"/>
      <c r="D168" s="11">
        <f>Organización_Modular!F180</f>
        <v>0</v>
      </c>
      <c r="E168" s="11">
        <f>Organización_Modular!G180</f>
        <v>0</v>
      </c>
      <c r="F168" s="11">
        <f>Organización_Modular!H180</f>
        <v>0</v>
      </c>
      <c r="G168" s="11">
        <f>Organización_Modular!I180</f>
        <v>0</v>
      </c>
      <c r="H168" s="12">
        <f>SUM(F168:G168)</f>
        <v>0</v>
      </c>
      <c r="I168" s="12">
        <f>F168*16</f>
        <v>0</v>
      </c>
      <c r="J168" s="12">
        <f>G168*32</f>
        <v>0</v>
      </c>
      <c r="K168" s="12">
        <f>SUM(I168:J168)</f>
        <v>0</v>
      </c>
      <c r="L168" s="335"/>
      <c r="M168" s="95" t="e">
        <f t="shared" si="2"/>
        <v>#REF!</v>
      </c>
    </row>
    <row r="169" spans="1:13" x14ac:dyDescent="0.2">
      <c r="A169" s="343"/>
      <c r="B169" s="170" t="e">
        <f>Capacidades!#REF!</f>
        <v>#REF!</v>
      </c>
      <c r="C169" s="171"/>
      <c r="D169" s="13"/>
      <c r="E169" s="13"/>
      <c r="F169" s="13"/>
      <c r="G169" s="13"/>
      <c r="H169" s="14"/>
      <c r="I169" s="14"/>
      <c r="J169" s="14"/>
      <c r="K169" s="14"/>
      <c r="L169" s="336"/>
      <c r="M169" s="95" t="e">
        <f t="shared" si="2"/>
        <v>#REF!</v>
      </c>
    </row>
    <row r="170" spans="1:13" x14ac:dyDescent="0.2">
      <c r="A170" s="343"/>
      <c r="B170" s="170" t="e">
        <f>Capacidades!#REF!</f>
        <v>#REF!</v>
      </c>
      <c r="C170" s="171"/>
      <c r="D170" s="13"/>
      <c r="E170" s="13"/>
      <c r="F170" s="13"/>
      <c r="G170" s="13"/>
      <c r="H170" s="14"/>
      <c r="I170" s="14"/>
      <c r="J170" s="14"/>
      <c r="K170" s="14"/>
      <c r="L170" s="336"/>
      <c r="M170" s="95" t="e">
        <f t="shared" si="2"/>
        <v>#REF!</v>
      </c>
    </row>
    <row r="171" spans="1:13" x14ac:dyDescent="0.2">
      <c r="A171" s="343"/>
      <c r="B171" s="170" t="e">
        <f>Capacidades!#REF!</f>
        <v>#REF!</v>
      </c>
      <c r="C171" s="171"/>
      <c r="D171" s="13"/>
      <c r="E171" s="13"/>
      <c r="F171" s="13"/>
      <c r="G171" s="13"/>
      <c r="H171" s="14"/>
      <c r="I171" s="14"/>
      <c r="J171" s="14"/>
      <c r="K171" s="14"/>
      <c r="L171" s="336"/>
      <c r="M171" s="95" t="e">
        <f t="shared" si="2"/>
        <v>#REF!</v>
      </c>
    </row>
    <row r="172" spans="1:13" x14ac:dyDescent="0.2">
      <c r="A172" s="343"/>
      <c r="B172" s="170" t="e">
        <f>Capacidades!#REF!</f>
        <v>#REF!</v>
      </c>
      <c r="C172" s="171"/>
      <c r="D172" s="13"/>
      <c r="E172" s="13"/>
      <c r="F172" s="13"/>
      <c r="G172" s="13"/>
      <c r="H172" s="14"/>
      <c r="I172" s="14"/>
      <c r="J172" s="14"/>
      <c r="K172" s="14"/>
      <c r="L172" s="336"/>
      <c r="M172" s="95" t="e">
        <f t="shared" si="2"/>
        <v>#REF!</v>
      </c>
    </row>
    <row r="173" spans="1:13" x14ac:dyDescent="0.2">
      <c r="A173" s="343"/>
      <c r="B173" s="170" t="e">
        <f>Capacidades!#REF!</f>
        <v>#REF!</v>
      </c>
      <c r="C173" s="171"/>
      <c r="D173" s="13"/>
      <c r="E173" s="13"/>
      <c r="F173" s="13"/>
      <c r="G173" s="13"/>
      <c r="H173" s="14"/>
      <c r="I173" s="14"/>
      <c r="J173" s="14"/>
      <c r="K173" s="14"/>
      <c r="L173" s="336"/>
      <c r="M173" s="95" t="e">
        <f t="shared" si="2"/>
        <v>#REF!</v>
      </c>
    </row>
    <row r="174" spans="1:13" x14ac:dyDescent="0.2">
      <c r="A174" s="343"/>
      <c r="B174" s="170" t="e">
        <f>Capacidades!#REF!</f>
        <v>#REF!</v>
      </c>
      <c r="C174" s="171"/>
      <c r="D174" s="13"/>
      <c r="E174" s="13"/>
      <c r="F174" s="13"/>
      <c r="G174" s="13"/>
      <c r="H174" s="14"/>
      <c r="I174" s="14"/>
      <c r="J174" s="14"/>
      <c r="K174" s="14"/>
      <c r="L174" s="336"/>
      <c r="M174" s="95" t="e">
        <f t="shared" si="2"/>
        <v>#REF!</v>
      </c>
    </row>
    <row r="175" spans="1:13" x14ac:dyDescent="0.2">
      <c r="A175" s="343"/>
      <c r="B175" s="170" t="e">
        <f>Capacidades!#REF!</f>
        <v>#REF!</v>
      </c>
      <c r="C175" s="171"/>
      <c r="D175" s="13"/>
      <c r="E175" s="13"/>
      <c r="F175" s="13"/>
      <c r="G175" s="13"/>
      <c r="H175" s="14"/>
      <c r="I175" s="14"/>
      <c r="J175" s="14"/>
      <c r="K175" s="14"/>
      <c r="L175" s="336"/>
      <c r="M175" s="95" t="e">
        <f t="shared" si="2"/>
        <v>#REF!</v>
      </c>
    </row>
    <row r="176" spans="1:13" x14ac:dyDescent="0.2">
      <c r="A176" s="343"/>
      <c r="B176" s="170" t="e">
        <f>Capacidades!#REF!</f>
        <v>#REF!</v>
      </c>
      <c r="C176" s="171"/>
      <c r="D176" s="13"/>
      <c r="E176" s="13"/>
      <c r="F176" s="13"/>
      <c r="G176" s="13"/>
      <c r="H176" s="14"/>
      <c r="I176" s="14"/>
      <c r="J176" s="14"/>
      <c r="K176" s="14"/>
      <c r="L176" s="336"/>
      <c r="M176" s="95" t="e">
        <f t="shared" si="2"/>
        <v>#REF!</v>
      </c>
    </row>
    <row r="177" spans="1:13" x14ac:dyDescent="0.2">
      <c r="A177" s="344"/>
      <c r="B177" s="170" t="e">
        <f>Capacidades!#REF!</f>
        <v>#REF!</v>
      </c>
      <c r="C177" s="171"/>
      <c r="D177" s="15"/>
      <c r="E177" s="15"/>
      <c r="F177" s="15"/>
      <c r="G177" s="15"/>
      <c r="H177" s="16"/>
      <c r="I177" s="16"/>
      <c r="J177" s="16"/>
      <c r="K177" s="16"/>
      <c r="L177" s="337"/>
      <c r="M177" s="95" t="e">
        <f t="shared" si="2"/>
        <v>#REF!</v>
      </c>
    </row>
    <row r="178" spans="1:13" x14ac:dyDescent="0.2">
      <c r="A178" s="342" t="e">
        <f>Capacidades!#REF!</f>
        <v>#REF!</v>
      </c>
      <c r="B178" s="170" t="e">
        <f>Capacidades!#REF!</f>
        <v>#REF!</v>
      </c>
      <c r="C178" s="171"/>
      <c r="D178" s="11">
        <f>Organización_Modular!F181</f>
        <v>0</v>
      </c>
      <c r="E178" s="11">
        <f>Organización_Modular!G181</f>
        <v>0</v>
      </c>
      <c r="F178" s="11">
        <f>Organización_Modular!H181</f>
        <v>0</v>
      </c>
      <c r="G178" s="11">
        <f>Organización_Modular!I181</f>
        <v>0</v>
      </c>
      <c r="H178" s="12">
        <f>SUM(F178:G178)</f>
        <v>0</v>
      </c>
      <c r="I178" s="12">
        <f>F178*16</f>
        <v>0</v>
      </c>
      <c r="J178" s="12">
        <f>G178*32</f>
        <v>0</v>
      </c>
      <c r="K178" s="12">
        <f>SUM(I178:J178)</f>
        <v>0</v>
      </c>
      <c r="L178" s="335"/>
      <c r="M178" s="95" t="e">
        <f t="shared" si="2"/>
        <v>#REF!</v>
      </c>
    </row>
    <row r="179" spans="1:13" x14ac:dyDescent="0.2">
      <c r="A179" s="343"/>
      <c r="B179" s="170" t="e">
        <f>Capacidades!#REF!</f>
        <v>#REF!</v>
      </c>
      <c r="C179" s="171"/>
      <c r="D179" s="13"/>
      <c r="E179" s="13"/>
      <c r="F179" s="13"/>
      <c r="G179" s="13"/>
      <c r="H179" s="14"/>
      <c r="I179" s="14"/>
      <c r="J179" s="14"/>
      <c r="K179" s="14"/>
      <c r="L179" s="336"/>
      <c r="M179" s="95" t="e">
        <f t="shared" si="2"/>
        <v>#REF!</v>
      </c>
    </row>
    <row r="180" spans="1:13" x14ac:dyDescent="0.2">
      <c r="A180" s="343"/>
      <c r="B180" s="170" t="e">
        <f>Capacidades!#REF!</f>
        <v>#REF!</v>
      </c>
      <c r="C180" s="171"/>
      <c r="D180" s="13"/>
      <c r="E180" s="13"/>
      <c r="F180" s="13"/>
      <c r="G180" s="13"/>
      <c r="H180" s="14"/>
      <c r="I180" s="14"/>
      <c r="J180" s="14"/>
      <c r="K180" s="14"/>
      <c r="L180" s="336"/>
      <c r="M180" s="95" t="e">
        <f t="shared" si="2"/>
        <v>#REF!</v>
      </c>
    </row>
    <row r="181" spans="1:13" x14ac:dyDescent="0.2">
      <c r="A181" s="343"/>
      <c r="B181" s="170" t="e">
        <f>Capacidades!#REF!</f>
        <v>#REF!</v>
      </c>
      <c r="C181" s="171"/>
      <c r="D181" s="13"/>
      <c r="E181" s="13"/>
      <c r="F181" s="13"/>
      <c r="G181" s="13"/>
      <c r="H181" s="14"/>
      <c r="I181" s="14"/>
      <c r="J181" s="14"/>
      <c r="K181" s="14"/>
      <c r="L181" s="336"/>
      <c r="M181" s="95" t="e">
        <f t="shared" si="2"/>
        <v>#REF!</v>
      </c>
    </row>
    <row r="182" spans="1:13" x14ac:dyDescent="0.2">
      <c r="A182" s="343"/>
      <c r="B182" s="170" t="e">
        <f>Capacidades!#REF!</f>
        <v>#REF!</v>
      </c>
      <c r="C182" s="171"/>
      <c r="D182" s="13"/>
      <c r="E182" s="13"/>
      <c r="F182" s="13"/>
      <c r="G182" s="13"/>
      <c r="H182" s="14"/>
      <c r="I182" s="14"/>
      <c r="J182" s="14"/>
      <c r="K182" s="14"/>
      <c r="L182" s="336"/>
      <c r="M182" s="95" t="e">
        <f t="shared" si="2"/>
        <v>#REF!</v>
      </c>
    </row>
    <row r="183" spans="1:13" x14ac:dyDescent="0.2">
      <c r="A183" s="343"/>
      <c r="B183" s="170" t="e">
        <f>Capacidades!#REF!</f>
        <v>#REF!</v>
      </c>
      <c r="C183" s="171"/>
      <c r="D183" s="13"/>
      <c r="E183" s="13"/>
      <c r="F183" s="13"/>
      <c r="G183" s="13"/>
      <c r="H183" s="14"/>
      <c r="I183" s="14"/>
      <c r="J183" s="14"/>
      <c r="K183" s="14"/>
      <c r="L183" s="336"/>
      <c r="M183" s="95" t="e">
        <f t="shared" si="2"/>
        <v>#REF!</v>
      </c>
    </row>
    <row r="184" spans="1:13" x14ac:dyDescent="0.2">
      <c r="A184" s="343"/>
      <c r="B184" s="170" t="e">
        <f>Capacidades!#REF!</f>
        <v>#REF!</v>
      </c>
      <c r="C184" s="171"/>
      <c r="D184" s="13"/>
      <c r="E184" s="13"/>
      <c r="F184" s="13"/>
      <c r="G184" s="13"/>
      <c r="H184" s="14"/>
      <c r="I184" s="14"/>
      <c r="J184" s="14"/>
      <c r="K184" s="14"/>
      <c r="L184" s="336"/>
      <c r="M184" s="95" t="e">
        <f t="shared" si="2"/>
        <v>#REF!</v>
      </c>
    </row>
    <row r="185" spans="1:13" x14ac:dyDescent="0.2">
      <c r="A185" s="343"/>
      <c r="B185" s="170" t="e">
        <f>Capacidades!#REF!</f>
        <v>#REF!</v>
      </c>
      <c r="C185" s="171"/>
      <c r="D185" s="13"/>
      <c r="E185" s="13"/>
      <c r="F185" s="13"/>
      <c r="G185" s="13"/>
      <c r="H185" s="14"/>
      <c r="I185" s="14"/>
      <c r="J185" s="14"/>
      <c r="K185" s="14"/>
      <c r="L185" s="336"/>
      <c r="M185" s="95" t="e">
        <f t="shared" si="2"/>
        <v>#REF!</v>
      </c>
    </row>
    <row r="186" spans="1:13" x14ac:dyDescent="0.2">
      <c r="A186" s="343"/>
      <c r="B186" s="170" t="e">
        <f>Capacidades!#REF!</f>
        <v>#REF!</v>
      </c>
      <c r="C186" s="171"/>
      <c r="D186" s="13"/>
      <c r="E186" s="13"/>
      <c r="F186" s="13"/>
      <c r="G186" s="13"/>
      <c r="H186" s="14"/>
      <c r="I186" s="14"/>
      <c r="J186" s="14"/>
      <c r="K186" s="14"/>
      <c r="L186" s="336"/>
      <c r="M186" s="95" t="e">
        <f t="shared" si="2"/>
        <v>#REF!</v>
      </c>
    </row>
    <row r="187" spans="1:13" x14ac:dyDescent="0.2">
      <c r="A187" s="344"/>
      <c r="B187" s="170" t="e">
        <f>Capacidades!#REF!</f>
        <v>#REF!</v>
      </c>
      <c r="C187" s="171"/>
      <c r="D187" s="15"/>
      <c r="E187" s="15"/>
      <c r="F187" s="15"/>
      <c r="G187" s="15"/>
      <c r="H187" s="16"/>
      <c r="I187" s="16"/>
      <c r="J187" s="16"/>
      <c r="K187" s="16"/>
      <c r="L187" s="337"/>
      <c r="M187" s="95" t="e">
        <f t="shared" si="2"/>
        <v>#REF!</v>
      </c>
    </row>
    <row r="188" spans="1:13" x14ac:dyDescent="0.2">
      <c r="A188" s="342" t="e">
        <f>Capacidades!#REF!</f>
        <v>#REF!</v>
      </c>
      <c r="B188" s="170" t="e">
        <f>Capacidades!#REF!</f>
        <v>#REF!</v>
      </c>
      <c r="C188" s="171"/>
      <c r="D188" s="11">
        <f>Organización_Modular!F182</f>
        <v>0</v>
      </c>
      <c r="E188" s="11">
        <f>Organización_Modular!G182</f>
        <v>0</v>
      </c>
      <c r="F188" s="11">
        <f>Organización_Modular!H182</f>
        <v>0</v>
      </c>
      <c r="G188" s="11">
        <f>Organización_Modular!I182</f>
        <v>0</v>
      </c>
      <c r="H188" s="12">
        <f>SUM(F188:G188)</f>
        <v>0</v>
      </c>
      <c r="I188" s="12">
        <f>F188*16</f>
        <v>0</v>
      </c>
      <c r="J188" s="12">
        <f>G188*32</f>
        <v>0</v>
      </c>
      <c r="K188" s="12">
        <f>SUM(I188:J188)</f>
        <v>0</v>
      </c>
      <c r="L188" s="335"/>
      <c r="M188" s="95" t="e">
        <f t="shared" si="2"/>
        <v>#REF!</v>
      </c>
    </row>
    <row r="189" spans="1:13" x14ac:dyDescent="0.2">
      <c r="A189" s="343"/>
      <c r="B189" s="170" t="e">
        <f>Capacidades!#REF!</f>
        <v>#REF!</v>
      </c>
      <c r="C189" s="171"/>
      <c r="D189" s="13"/>
      <c r="E189" s="13"/>
      <c r="F189" s="13"/>
      <c r="G189" s="13"/>
      <c r="H189" s="14"/>
      <c r="I189" s="14"/>
      <c r="J189" s="14"/>
      <c r="K189" s="14"/>
      <c r="L189" s="336"/>
      <c r="M189" s="95" t="e">
        <f t="shared" si="2"/>
        <v>#REF!</v>
      </c>
    </row>
    <row r="190" spans="1:13" x14ac:dyDescent="0.2">
      <c r="A190" s="343"/>
      <c r="B190" s="170" t="e">
        <f>Capacidades!#REF!</f>
        <v>#REF!</v>
      </c>
      <c r="C190" s="171"/>
      <c r="D190" s="13"/>
      <c r="E190" s="13"/>
      <c r="F190" s="13"/>
      <c r="G190" s="13"/>
      <c r="H190" s="14"/>
      <c r="I190" s="14"/>
      <c r="J190" s="14"/>
      <c r="K190" s="14"/>
      <c r="L190" s="336"/>
      <c r="M190" s="95" t="e">
        <f t="shared" si="2"/>
        <v>#REF!</v>
      </c>
    </row>
    <row r="191" spans="1:13" x14ac:dyDescent="0.2">
      <c r="A191" s="343"/>
      <c r="B191" s="170" t="e">
        <f>Capacidades!#REF!</f>
        <v>#REF!</v>
      </c>
      <c r="C191" s="171"/>
      <c r="D191" s="13"/>
      <c r="E191" s="13"/>
      <c r="F191" s="13"/>
      <c r="G191" s="13"/>
      <c r="H191" s="14"/>
      <c r="I191" s="14"/>
      <c r="J191" s="14"/>
      <c r="K191" s="14"/>
      <c r="L191" s="336"/>
      <c r="M191" s="95" t="e">
        <f t="shared" si="2"/>
        <v>#REF!</v>
      </c>
    </row>
    <row r="192" spans="1:13" x14ac:dyDescent="0.2">
      <c r="A192" s="343"/>
      <c r="B192" s="170" t="e">
        <f>Capacidades!#REF!</f>
        <v>#REF!</v>
      </c>
      <c r="C192" s="171"/>
      <c r="D192" s="13"/>
      <c r="E192" s="13"/>
      <c r="F192" s="13"/>
      <c r="G192" s="13"/>
      <c r="H192" s="14"/>
      <c r="I192" s="14"/>
      <c r="J192" s="14"/>
      <c r="K192" s="14"/>
      <c r="L192" s="336"/>
      <c r="M192" s="95" t="e">
        <f t="shared" si="2"/>
        <v>#REF!</v>
      </c>
    </row>
    <row r="193" spans="1:13" x14ac:dyDescent="0.2">
      <c r="A193" s="343"/>
      <c r="B193" s="170" t="e">
        <f>Capacidades!#REF!</f>
        <v>#REF!</v>
      </c>
      <c r="C193" s="171"/>
      <c r="D193" s="13"/>
      <c r="E193" s="13"/>
      <c r="F193" s="13"/>
      <c r="G193" s="13"/>
      <c r="H193" s="14"/>
      <c r="I193" s="14"/>
      <c r="J193" s="14"/>
      <c r="K193" s="14"/>
      <c r="L193" s="336"/>
      <c r="M193" s="95" t="e">
        <f t="shared" si="2"/>
        <v>#REF!</v>
      </c>
    </row>
    <row r="194" spans="1:13" x14ac:dyDescent="0.2">
      <c r="A194" s="343"/>
      <c r="B194" s="170" t="e">
        <f>Capacidades!#REF!</f>
        <v>#REF!</v>
      </c>
      <c r="C194" s="171"/>
      <c r="D194" s="13"/>
      <c r="E194" s="13"/>
      <c r="F194" s="13"/>
      <c r="G194" s="13"/>
      <c r="H194" s="14"/>
      <c r="I194" s="14"/>
      <c r="J194" s="14"/>
      <c r="K194" s="14"/>
      <c r="L194" s="336"/>
      <c r="M194" s="95" t="e">
        <f t="shared" si="2"/>
        <v>#REF!</v>
      </c>
    </row>
    <row r="195" spans="1:13" x14ac:dyDescent="0.2">
      <c r="A195" s="343"/>
      <c r="B195" s="170" t="e">
        <f>Capacidades!#REF!</f>
        <v>#REF!</v>
      </c>
      <c r="C195" s="171"/>
      <c r="D195" s="13"/>
      <c r="E195" s="13"/>
      <c r="F195" s="13"/>
      <c r="G195" s="13"/>
      <c r="H195" s="14"/>
      <c r="I195" s="14"/>
      <c r="J195" s="14"/>
      <c r="K195" s="14"/>
      <c r="L195" s="336"/>
      <c r="M195" s="95" t="e">
        <f t="shared" si="2"/>
        <v>#REF!</v>
      </c>
    </row>
    <row r="196" spans="1:13" x14ac:dyDescent="0.2">
      <c r="A196" s="343"/>
      <c r="B196" s="170" t="e">
        <f>Capacidades!#REF!</f>
        <v>#REF!</v>
      </c>
      <c r="C196" s="171"/>
      <c r="D196" s="13"/>
      <c r="E196" s="13"/>
      <c r="F196" s="13"/>
      <c r="G196" s="13"/>
      <c r="H196" s="14"/>
      <c r="I196" s="14"/>
      <c r="J196" s="14"/>
      <c r="K196" s="14"/>
      <c r="L196" s="336"/>
      <c r="M196" s="95" t="e">
        <f t="shared" si="2"/>
        <v>#REF!</v>
      </c>
    </row>
    <row r="197" spans="1:13" x14ac:dyDescent="0.2">
      <c r="A197" s="344"/>
      <c r="B197" s="170" t="e">
        <f>Capacidades!#REF!</f>
        <v>#REF!</v>
      </c>
      <c r="C197" s="171"/>
      <c r="D197" s="15"/>
      <c r="E197" s="15"/>
      <c r="F197" s="15"/>
      <c r="G197" s="15"/>
      <c r="H197" s="16"/>
      <c r="I197" s="16"/>
      <c r="J197" s="16"/>
      <c r="K197" s="16"/>
      <c r="L197" s="337"/>
      <c r="M197" s="95" t="e">
        <f t="shared" si="2"/>
        <v>#REF!</v>
      </c>
    </row>
    <row r="198" spans="1:13" x14ac:dyDescent="0.2">
      <c r="A198" s="342" t="e">
        <f>Capacidades!#REF!</f>
        <v>#REF!</v>
      </c>
      <c r="B198" s="170" t="e">
        <f>Capacidades!#REF!</f>
        <v>#REF!</v>
      </c>
      <c r="C198" s="171"/>
      <c r="D198" s="11">
        <f>Organización_Modular!F183</f>
        <v>0</v>
      </c>
      <c r="E198" s="11">
        <f>Organización_Modular!G183</f>
        <v>0</v>
      </c>
      <c r="F198" s="11">
        <f>Organización_Modular!H183</f>
        <v>0</v>
      </c>
      <c r="G198" s="11">
        <f>Organización_Modular!I183</f>
        <v>0</v>
      </c>
      <c r="H198" s="12">
        <f>SUM(F198:G198)</f>
        <v>0</v>
      </c>
      <c r="I198" s="12">
        <f>F198*16</f>
        <v>0</v>
      </c>
      <c r="J198" s="12">
        <f>G198*32</f>
        <v>0</v>
      </c>
      <c r="K198" s="12">
        <f>SUM(I198:J198)</f>
        <v>0</v>
      </c>
      <c r="L198" s="335"/>
      <c r="M198" s="95" t="e">
        <f t="shared" si="2"/>
        <v>#REF!</v>
      </c>
    </row>
    <row r="199" spans="1:13" x14ac:dyDescent="0.2">
      <c r="A199" s="343"/>
      <c r="B199" s="170" t="e">
        <f>Capacidades!#REF!</f>
        <v>#REF!</v>
      </c>
      <c r="C199" s="171"/>
      <c r="D199" s="13"/>
      <c r="E199" s="13"/>
      <c r="F199" s="13"/>
      <c r="G199" s="13"/>
      <c r="H199" s="14"/>
      <c r="I199" s="14"/>
      <c r="J199" s="14"/>
      <c r="K199" s="14"/>
      <c r="L199" s="336"/>
      <c r="M199" s="95" t="e">
        <f t="shared" si="2"/>
        <v>#REF!</v>
      </c>
    </row>
    <row r="200" spans="1:13" x14ac:dyDescent="0.2">
      <c r="A200" s="343"/>
      <c r="B200" s="170" t="e">
        <f>Capacidades!#REF!</f>
        <v>#REF!</v>
      </c>
      <c r="C200" s="171"/>
      <c r="D200" s="13"/>
      <c r="E200" s="13"/>
      <c r="F200" s="13"/>
      <c r="G200" s="13"/>
      <c r="H200" s="14"/>
      <c r="I200" s="14"/>
      <c r="J200" s="14"/>
      <c r="K200" s="14"/>
      <c r="L200" s="336"/>
      <c r="M200" s="95" t="e">
        <f t="shared" si="2"/>
        <v>#REF!</v>
      </c>
    </row>
    <row r="201" spans="1:13" x14ac:dyDescent="0.2">
      <c r="A201" s="343"/>
      <c r="B201" s="170" t="e">
        <f>Capacidades!#REF!</f>
        <v>#REF!</v>
      </c>
      <c r="C201" s="171"/>
      <c r="D201" s="13"/>
      <c r="E201" s="13"/>
      <c r="F201" s="13"/>
      <c r="G201" s="13"/>
      <c r="H201" s="14"/>
      <c r="I201" s="14"/>
      <c r="J201" s="14"/>
      <c r="K201" s="14"/>
      <c r="L201" s="336"/>
      <c r="M201" s="95" t="e">
        <f t="shared" si="2"/>
        <v>#REF!</v>
      </c>
    </row>
    <row r="202" spans="1:13" x14ac:dyDescent="0.2">
      <c r="A202" s="343"/>
      <c r="B202" s="170" t="e">
        <f>Capacidades!#REF!</f>
        <v>#REF!</v>
      </c>
      <c r="C202" s="171"/>
      <c r="D202" s="13"/>
      <c r="E202" s="13"/>
      <c r="F202" s="13"/>
      <c r="G202" s="13"/>
      <c r="H202" s="14"/>
      <c r="I202" s="14"/>
      <c r="J202" s="14"/>
      <c r="K202" s="14"/>
      <c r="L202" s="336"/>
      <c r="M202" s="95" t="e">
        <f t="shared" si="2"/>
        <v>#REF!</v>
      </c>
    </row>
    <row r="203" spans="1:13" x14ac:dyDescent="0.2">
      <c r="A203" s="343"/>
      <c r="B203" s="170" t="e">
        <f>Capacidades!#REF!</f>
        <v>#REF!</v>
      </c>
      <c r="C203" s="171"/>
      <c r="D203" s="13"/>
      <c r="E203" s="13"/>
      <c r="F203" s="13"/>
      <c r="G203" s="13"/>
      <c r="H203" s="14"/>
      <c r="I203" s="14"/>
      <c r="J203" s="14"/>
      <c r="K203" s="14"/>
      <c r="L203" s="336"/>
      <c r="M203" s="95" t="e">
        <f t="shared" si="2"/>
        <v>#REF!</v>
      </c>
    </row>
    <row r="204" spans="1:13" x14ac:dyDescent="0.2">
      <c r="A204" s="343"/>
      <c r="B204" s="170" t="e">
        <f>Capacidades!#REF!</f>
        <v>#REF!</v>
      </c>
      <c r="C204" s="171"/>
      <c r="D204" s="13"/>
      <c r="E204" s="13"/>
      <c r="F204" s="13"/>
      <c r="G204" s="13"/>
      <c r="H204" s="14"/>
      <c r="I204" s="14"/>
      <c r="J204" s="14"/>
      <c r="K204" s="14"/>
      <c r="L204" s="336"/>
      <c r="M204" s="95" t="e">
        <f t="shared" si="2"/>
        <v>#REF!</v>
      </c>
    </row>
    <row r="205" spans="1:13" x14ac:dyDescent="0.2">
      <c r="A205" s="343"/>
      <c r="B205" s="170" t="e">
        <f>Capacidades!#REF!</f>
        <v>#REF!</v>
      </c>
      <c r="C205" s="171"/>
      <c r="D205" s="13"/>
      <c r="E205" s="13"/>
      <c r="F205" s="13"/>
      <c r="G205" s="13"/>
      <c r="H205" s="14"/>
      <c r="I205" s="14"/>
      <c r="J205" s="14"/>
      <c r="K205" s="14"/>
      <c r="L205" s="336"/>
      <c r="M205" s="95" t="e">
        <f t="shared" si="2"/>
        <v>#REF!</v>
      </c>
    </row>
    <row r="206" spans="1:13" x14ac:dyDescent="0.2">
      <c r="A206" s="343"/>
      <c r="B206" s="170" t="e">
        <f>Capacidades!#REF!</f>
        <v>#REF!</v>
      </c>
      <c r="C206" s="171"/>
      <c r="D206" s="13"/>
      <c r="E206" s="13"/>
      <c r="F206" s="13"/>
      <c r="G206" s="13"/>
      <c r="H206" s="14"/>
      <c r="I206" s="14"/>
      <c r="J206" s="14"/>
      <c r="K206" s="14"/>
      <c r="L206" s="336"/>
      <c r="M206" s="95" t="e">
        <f t="shared" si="2"/>
        <v>#REF!</v>
      </c>
    </row>
    <row r="207" spans="1:13" x14ac:dyDescent="0.2">
      <c r="A207" s="344"/>
      <c r="B207" s="170" t="e">
        <f>Capacidades!#REF!</f>
        <v>#REF!</v>
      </c>
      <c r="C207" s="171"/>
      <c r="D207" s="15"/>
      <c r="E207" s="15"/>
      <c r="F207" s="15"/>
      <c r="G207" s="15"/>
      <c r="H207" s="16"/>
      <c r="I207" s="16"/>
      <c r="J207" s="16"/>
      <c r="K207" s="16"/>
      <c r="L207" s="337"/>
      <c r="M207" s="95" t="e">
        <f t="shared" si="2"/>
        <v>#REF!</v>
      </c>
    </row>
    <row r="208" spans="1:13" x14ac:dyDescent="0.2">
      <c r="A208" s="342" t="e">
        <f>Capacidades!#REF!</f>
        <v>#REF!</v>
      </c>
      <c r="B208" s="170" t="e">
        <f>Capacidades!#REF!</f>
        <v>#REF!</v>
      </c>
      <c r="C208" s="171"/>
      <c r="D208" s="11">
        <f>Organización_Modular!F184</f>
        <v>0</v>
      </c>
      <c r="E208" s="11">
        <f>Organización_Modular!G184</f>
        <v>0</v>
      </c>
      <c r="F208" s="11">
        <f>Organización_Modular!H184</f>
        <v>0</v>
      </c>
      <c r="G208" s="11">
        <f>Organización_Modular!I184</f>
        <v>0</v>
      </c>
      <c r="H208" s="12">
        <f>SUM(F208:G208)</f>
        <v>0</v>
      </c>
      <c r="I208" s="12">
        <f>F208*16</f>
        <v>0</v>
      </c>
      <c r="J208" s="12">
        <f>G208*32</f>
        <v>0</v>
      </c>
      <c r="K208" s="12">
        <f>SUM(I208:J208)</f>
        <v>0</v>
      </c>
      <c r="L208" s="335"/>
      <c r="M208" s="95" t="e">
        <f t="shared" si="2"/>
        <v>#REF!</v>
      </c>
    </row>
    <row r="209" spans="1:13" x14ac:dyDescent="0.2">
      <c r="A209" s="343"/>
      <c r="B209" s="170" t="e">
        <f>Capacidades!#REF!</f>
        <v>#REF!</v>
      </c>
      <c r="C209" s="171"/>
      <c r="D209" s="13"/>
      <c r="E209" s="13"/>
      <c r="F209" s="14"/>
      <c r="G209" s="14"/>
      <c r="H209" s="14"/>
      <c r="I209" s="14"/>
      <c r="J209" s="14"/>
      <c r="K209" s="14"/>
      <c r="L209" s="336"/>
      <c r="M209" s="95" t="e">
        <f t="shared" si="2"/>
        <v>#REF!</v>
      </c>
    </row>
    <row r="210" spans="1:13" x14ac:dyDescent="0.2">
      <c r="A210" s="343"/>
      <c r="B210" s="170" t="e">
        <f>Capacidades!#REF!</f>
        <v>#REF!</v>
      </c>
      <c r="C210" s="171"/>
      <c r="D210" s="13"/>
      <c r="E210" s="13"/>
      <c r="F210" s="14"/>
      <c r="G210" s="14"/>
      <c r="H210" s="14"/>
      <c r="I210" s="14"/>
      <c r="J210" s="14"/>
      <c r="K210" s="14"/>
      <c r="L210" s="336"/>
      <c r="M210" s="95" t="e">
        <f t="shared" si="2"/>
        <v>#REF!</v>
      </c>
    </row>
    <row r="211" spans="1:13" x14ac:dyDescent="0.2">
      <c r="A211" s="343"/>
      <c r="B211" s="170" t="e">
        <f>Capacidades!#REF!</f>
        <v>#REF!</v>
      </c>
      <c r="C211" s="171"/>
      <c r="D211" s="13"/>
      <c r="E211" s="13"/>
      <c r="F211" s="13"/>
      <c r="G211" s="13"/>
      <c r="H211" s="14"/>
      <c r="I211" s="14"/>
      <c r="J211" s="14"/>
      <c r="K211" s="14"/>
      <c r="L211" s="336"/>
      <c r="M211" s="95" t="e">
        <f t="shared" ref="M211:M217" si="3">B211</f>
        <v>#REF!</v>
      </c>
    </row>
    <row r="212" spans="1:13" x14ac:dyDescent="0.2">
      <c r="A212" s="343"/>
      <c r="B212" s="170" t="e">
        <f>Capacidades!#REF!</f>
        <v>#REF!</v>
      </c>
      <c r="C212" s="171"/>
      <c r="D212" s="13"/>
      <c r="E212" s="13"/>
      <c r="F212" s="13"/>
      <c r="G212" s="13"/>
      <c r="H212" s="14"/>
      <c r="I212" s="14"/>
      <c r="J212" s="14"/>
      <c r="K212" s="14"/>
      <c r="L212" s="336"/>
      <c r="M212" s="95" t="e">
        <f t="shared" si="3"/>
        <v>#REF!</v>
      </c>
    </row>
    <row r="213" spans="1:13" x14ac:dyDescent="0.2">
      <c r="A213" s="343"/>
      <c r="B213" s="170" t="e">
        <f>Capacidades!#REF!</f>
        <v>#REF!</v>
      </c>
      <c r="C213" s="171"/>
      <c r="D213" s="13"/>
      <c r="E213" s="13"/>
      <c r="F213" s="13"/>
      <c r="G213" s="13"/>
      <c r="H213" s="14"/>
      <c r="I213" s="14"/>
      <c r="J213" s="14"/>
      <c r="K213" s="14"/>
      <c r="L213" s="336"/>
      <c r="M213" s="95" t="e">
        <f t="shared" si="3"/>
        <v>#REF!</v>
      </c>
    </row>
    <row r="214" spans="1:13" x14ac:dyDescent="0.2">
      <c r="A214" s="343"/>
      <c r="B214" s="170" t="e">
        <f>Capacidades!#REF!</f>
        <v>#REF!</v>
      </c>
      <c r="C214" s="171"/>
      <c r="D214" s="13"/>
      <c r="E214" s="13"/>
      <c r="F214" s="13"/>
      <c r="G214" s="13"/>
      <c r="H214" s="14"/>
      <c r="I214" s="14"/>
      <c r="J214" s="14"/>
      <c r="K214" s="14"/>
      <c r="L214" s="336"/>
      <c r="M214" s="95" t="e">
        <f t="shared" si="3"/>
        <v>#REF!</v>
      </c>
    </row>
    <row r="215" spans="1:13" x14ac:dyDescent="0.2">
      <c r="A215" s="343"/>
      <c r="B215" s="170" t="e">
        <f>Capacidades!#REF!</f>
        <v>#REF!</v>
      </c>
      <c r="C215" s="171"/>
      <c r="D215" s="13"/>
      <c r="E215" s="13"/>
      <c r="F215" s="14"/>
      <c r="G215" s="14"/>
      <c r="H215" s="14"/>
      <c r="I215" s="14"/>
      <c r="J215" s="14"/>
      <c r="K215" s="14"/>
      <c r="L215" s="336"/>
      <c r="M215" s="95" t="e">
        <f t="shared" si="3"/>
        <v>#REF!</v>
      </c>
    </row>
    <row r="216" spans="1:13" x14ac:dyDescent="0.2">
      <c r="A216" s="343"/>
      <c r="B216" s="170" t="e">
        <f>Capacidades!#REF!</f>
        <v>#REF!</v>
      </c>
      <c r="C216" s="171"/>
      <c r="D216" s="13"/>
      <c r="E216" s="13"/>
      <c r="F216" s="14"/>
      <c r="G216" s="14"/>
      <c r="H216" s="14"/>
      <c r="I216" s="14"/>
      <c r="J216" s="14"/>
      <c r="K216" s="14"/>
      <c r="L216" s="336"/>
      <c r="M216" s="95" t="e">
        <f t="shared" si="3"/>
        <v>#REF!</v>
      </c>
    </row>
    <row r="217" spans="1:13" x14ac:dyDescent="0.2">
      <c r="A217" s="344"/>
      <c r="B217" s="170" t="e">
        <f>Capacidades!#REF!</f>
        <v>#REF!</v>
      </c>
      <c r="C217" s="171"/>
      <c r="D217" s="15"/>
      <c r="E217" s="15"/>
      <c r="F217" s="16"/>
      <c r="G217" s="16"/>
      <c r="H217" s="16"/>
      <c r="I217" s="16"/>
      <c r="J217" s="16"/>
      <c r="K217" s="16"/>
      <c r="L217" s="337"/>
      <c r="M217" s="95" t="e">
        <f t="shared" si="3"/>
        <v>#REF!</v>
      </c>
    </row>
    <row r="218" spans="1:13" ht="23.25" customHeight="1" x14ac:dyDescent="0.2">
      <c r="A218" s="354" t="s">
        <v>105</v>
      </c>
      <c r="B218" s="354"/>
      <c r="C218" s="354"/>
      <c r="D218" s="354"/>
      <c r="E218" s="354"/>
      <c r="F218" s="354"/>
      <c r="G218" s="354"/>
      <c r="H218" s="354"/>
      <c r="I218" s="354"/>
      <c r="J218" s="354"/>
      <c r="K218" s="354"/>
      <c r="L218" s="354"/>
      <c r="M218" s="95" t="str">
        <f>A218</f>
        <v>COMPETENCIAS PARA LA EMPLEABILIDAD INCORPORADAS MEDIANTE UNIDAD DIDÁCTICA</v>
      </c>
    </row>
    <row r="219" spans="1:13" ht="79.5" customHeight="1" x14ac:dyDescent="0.2">
      <c r="A219" s="355">
        <f>Organización_Modular!C185</f>
        <v>0</v>
      </c>
      <c r="B219" s="355"/>
      <c r="C219" s="355"/>
      <c r="D219" s="355"/>
      <c r="E219" s="355"/>
      <c r="F219" s="355"/>
      <c r="G219" s="355"/>
      <c r="H219" s="355"/>
      <c r="I219" s="355"/>
      <c r="J219" s="355"/>
      <c r="K219" s="355"/>
      <c r="L219" s="355"/>
      <c r="M219" s="95">
        <f>A219</f>
        <v>0</v>
      </c>
    </row>
    <row r="220" spans="1:13" ht="12.75" customHeight="1" x14ac:dyDescent="0.2">
      <c r="A220" s="359" t="s">
        <v>99</v>
      </c>
      <c r="B220" s="360" t="s">
        <v>98</v>
      </c>
      <c r="C220" s="359" t="s">
        <v>97</v>
      </c>
      <c r="D220" s="359" t="s">
        <v>0</v>
      </c>
      <c r="E220" s="349" t="s">
        <v>61</v>
      </c>
      <c r="F220" s="359" t="s">
        <v>90</v>
      </c>
      <c r="G220" s="359"/>
      <c r="H220" s="359" t="s">
        <v>90</v>
      </c>
      <c r="I220" s="359" t="s">
        <v>96</v>
      </c>
      <c r="J220" s="359"/>
      <c r="K220" s="359" t="s">
        <v>96</v>
      </c>
      <c r="L220" s="359" t="s">
        <v>95</v>
      </c>
      <c r="M220" s="95" t="str">
        <f t="shared" ref="M220" si="4">A220</f>
        <v>CAPACIDADES DE EMPLEABILIDAD</v>
      </c>
    </row>
    <row r="221" spans="1:13" x14ac:dyDescent="0.2">
      <c r="A221" s="359"/>
      <c r="B221" s="360"/>
      <c r="C221" s="359"/>
      <c r="D221" s="359"/>
      <c r="E221" s="349"/>
      <c r="F221" s="160" t="s">
        <v>94</v>
      </c>
      <c r="G221" s="160" t="s">
        <v>93</v>
      </c>
      <c r="H221" s="359"/>
      <c r="I221" s="160" t="s">
        <v>94</v>
      </c>
      <c r="J221" s="160" t="s">
        <v>93</v>
      </c>
      <c r="K221" s="359"/>
      <c r="L221" s="359"/>
      <c r="M221" s="95" t="str">
        <f>A220</f>
        <v>CAPACIDADES DE EMPLEABILIDAD</v>
      </c>
    </row>
    <row r="222" spans="1:13" x14ac:dyDescent="0.2">
      <c r="A222" s="342" t="e">
        <f>Capacidades!#REF!</f>
        <v>#REF!</v>
      </c>
      <c r="B222" s="172" t="e">
        <f>Capacidades!#REF!</f>
        <v>#REF!</v>
      </c>
      <c r="C222" s="173"/>
      <c r="D222" s="13">
        <f>Organización_Modular!F185</f>
        <v>0</v>
      </c>
      <c r="E222" s="13">
        <f>Organización_Modular!G185</f>
        <v>0</v>
      </c>
      <c r="F222" s="13">
        <f>Organización_Modular!H185</f>
        <v>0</v>
      </c>
      <c r="G222" s="13">
        <f>Organización_Modular!I185</f>
        <v>0</v>
      </c>
      <c r="H222" s="14">
        <f>SUM(F222:G222)</f>
        <v>0</v>
      </c>
      <c r="I222" s="14">
        <f>F222*16</f>
        <v>0</v>
      </c>
      <c r="J222" s="14">
        <f>G222*32</f>
        <v>0</v>
      </c>
      <c r="K222" s="14">
        <f>SUM(I222:J222)</f>
        <v>0</v>
      </c>
      <c r="L222" s="336"/>
      <c r="M222" s="95" t="e">
        <f>B222</f>
        <v>#REF!</v>
      </c>
    </row>
    <row r="223" spans="1:13" x14ac:dyDescent="0.2">
      <c r="A223" s="343"/>
      <c r="B223" s="172" t="e">
        <f>Capacidades!#REF!</f>
        <v>#REF!</v>
      </c>
      <c r="C223" s="171"/>
      <c r="D223" s="13"/>
      <c r="E223" s="13"/>
      <c r="F223" s="13"/>
      <c r="G223" s="13"/>
      <c r="H223" s="14"/>
      <c r="I223" s="14"/>
      <c r="J223" s="14"/>
      <c r="K223" s="14"/>
      <c r="L223" s="336"/>
      <c r="M223" s="95" t="e">
        <f t="shared" ref="M223:M286" si="5">B223</f>
        <v>#REF!</v>
      </c>
    </row>
    <row r="224" spans="1:13" x14ac:dyDescent="0.2">
      <c r="A224" s="343"/>
      <c r="B224" s="172" t="e">
        <f>Capacidades!#REF!</f>
        <v>#REF!</v>
      </c>
      <c r="C224" s="171"/>
      <c r="D224" s="13"/>
      <c r="E224" s="13"/>
      <c r="F224" s="13"/>
      <c r="G224" s="13"/>
      <c r="H224" s="14"/>
      <c r="I224" s="14"/>
      <c r="J224" s="14"/>
      <c r="K224" s="14"/>
      <c r="L224" s="336"/>
      <c r="M224" s="95" t="e">
        <f t="shared" si="5"/>
        <v>#REF!</v>
      </c>
    </row>
    <row r="225" spans="1:13" x14ac:dyDescent="0.2">
      <c r="A225" s="343"/>
      <c r="B225" s="172" t="e">
        <f>Capacidades!#REF!</f>
        <v>#REF!</v>
      </c>
      <c r="C225" s="171"/>
      <c r="D225" s="13"/>
      <c r="E225" s="13"/>
      <c r="F225" s="13"/>
      <c r="G225" s="13"/>
      <c r="H225" s="14"/>
      <c r="I225" s="14"/>
      <c r="J225" s="14"/>
      <c r="K225" s="14"/>
      <c r="L225" s="336"/>
      <c r="M225" s="95" t="e">
        <f t="shared" si="5"/>
        <v>#REF!</v>
      </c>
    </row>
    <row r="226" spans="1:13" x14ac:dyDescent="0.2">
      <c r="A226" s="343"/>
      <c r="B226" s="172" t="e">
        <f>Capacidades!#REF!</f>
        <v>#REF!</v>
      </c>
      <c r="C226" s="171"/>
      <c r="D226" s="13"/>
      <c r="E226" s="13"/>
      <c r="F226" s="13"/>
      <c r="G226" s="13"/>
      <c r="H226" s="14"/>
      <c r="I226" s="14"/>
      <c r="J226" s="14"/>
      <c r="K226" s="14"/>
      <c r="L226" s="336"/>
      <c r="M226" s="95" t="e">
        <f t="shared" si="5"/>
        <v>#REF!</v>
      </c>
    </row>
    <row r="227" spans="1:13" x14ac:dyDescent="0.2">
      <c r="A227" s="343"/>
      <c r="B227" s="172" t="e">
        <f>Capacidades!#REF!</f>
        <v>#REF!</v>
      </c>
      <c r="C227" s="171"/>
      <c r="D227" s="13"/>
      <c r="E227" s="13"/>
      <c r="F227" s="13"/>
      <c r="G227" s="13"/>
      <c r="H227" s="14"/>
      <c r="I227" s="14"/>
      <c r="J227" s="14"/>
      <c r="K227" s="14"/>
      <c r="L227" s="336"/>
      <c r="M227" s="95" t="e">
        <f t="shared" si="5"/>
        <v>#REF!</v>
      </c>
    </row>
    <row r="228" spans="1:13" x14ac:dyDescent="0.2">
      <c r="A228" s="343"/>
      <c r="B228" s="172" t="e">
        <f>Capacidades!#REF!</f>
        <v>#REF!</v>
      </c>
      <c r="C228" s="171"/>
      <c r="D228" s="13"/>
      <c r="E228" s="13"/>
      <c r="F228" s="13"/>
      <c r="G228" s="13"/>
      <c r="H228" s="14"/>
      <c r="I228" s="14"/>
      <c r="J228" s="14"/>
      <c r="K228" s="14"/>
      <c r="L228" s="336"/>
      <c r="M228" s="95" t="e">
        <f t="shared" si="5"/>
        <v>#REF!</v>
      </c>
    </row>
    <row r="229" spans="1:13" x14ac:dyDescent="0.2">
      <c r="A229" s="343"/>
      <c r="B229" s="172" t="e">
        <f>Capacidades!#REF!</f>
        <v>#REF!</v>
      </c>
      <c r="C229" s="171"/>
      <c r="D229" s="13"/>
      <c r="E229" s="13"/>
      <c r="F229" s="13"/>
      <c r="G229" s="13"/>
      <c r="H229" s="14"/>
      <c r="I229" s="14"/>
      <c r="J229" s="14"/>
      <c r="K229" s="14"/>
      <c r="L229" s="336"/>
      <c r="M229" s="95" t="e">
        <f t="shared" si="5"/>
        <v>#REF!</v>
      </c>
    </row>
    <row r="230" spans="1:13" x14ac:dyDescent="0.2">
      <c r="A230" s="343"/>
      <c r="B230" s="172" t="e">
        <f>Capacidades!#REF!</f>
        <v>#REF!</v>
      </c>
      <c r="C230" s="171"/>
      <c r="D230" s="13"/>
      <c r="E230" s="13"/>
      <c r="F230" s="13"/>
      <c r="G230" s="13"/>
      <c r="H230" s="14"/>
      <c r="I230" s="14"/>
      <c r="J230" s="14"/>
      <c r="K230" s="14"/>
      <c r="L230" s="336"/>
      <c r="M230" s="95" t="e">
        <f t="shared" si="5"/>
        <v>#REF!</v>
      </c>
    </row>
    <row r="231" spans="1:13" x14ac:dyDescent="0.2">
      <c r="A231" s="344"/>
      <c r="B231" s="172" t="e">
        <f>Capacidades!#REF!</f>
        <v>#REF!</v>
      </c>
      <c r="C231" s="171"/>
      <c r="D231" s="15"/>
      <c r="E231" s="15"/>
      <c r="F231" s="15"/>
      <c r="G231" s="15"/>
      <c r="H231" s="16"/>
      <c r="I231" s="16"/>
      <c r="J231" s="16"/>
      <c r="K231" s="16"/>
      <c r="L231" s="337"/>
      <c r="M231" s="95" t="e">
        <f t="shared" si="5"/>
        <v>#REF!</v>
      </c>
    </row>
    <row r="232" spans="1:13" x14ac:dyDescent="0.2">
      <c r="A232" s="342" t="e">
        <f>Capacidades!#REF!</f>
        <v>#REF!</v>
      </c>
      <c r="B232" s="172" t="e">
        <f>Capacidades!#REF!</f>
        <v>#REF!</v>
      </c>
      <c r="C232" s="171"/>
      <c r="D232" s="11">
        <f>Organización_Modular!F186</f>
        <v>0</v>
      </c>
      <c r="E232" s="11">
        <f>Organización_Modular!G186</f>
        <v>0</v>
      </c>
      <c r="F232" s="11">
        <f>Organización_Modular!H186</f>
        <v>0</v>
      </c>
      <c r="G232" s="11">
        <f>Organización_Modular!I186</f>
        <v>0</v>
      </c>
      <c r="H232" s="12">
        <f>SUM(F232:G232)</f>
        <v>0</v>
      </c>
      <c r="I232" s="12">
        <f>F232*16</f>
        <v>0</v>
      </c>
      <c r="J232" s="12">
        <f>G232*32</f>
        <v>0</v>
      </c>
      <c r="K232" s="12">
        <f>SUM(I232:J232)</f>
        <v>0</v>
      </c>
      <c r="L232" s="335"/>
      <c r="M232" s="95" t="e">
        <f t="shared" si="5"/>
        <v>#REF!</v>
      </c>
    </row>
    <row r="233" spans="1:13" x14ac:dyDescent="0.2">
      <c r="A233" s="343"/>
      <c r="B233" s="172" t="e">
        <f>Capacidades!#REF!</f>
        <v>#REF!</v>
      </c>
      <c r="C233" s="171"/>
      <c r="D233" s="13"/>
      <c r="E233" s="13"/>
      <c r="F233" s="13"/>
      <c r="G233" s="13"/>
      <c r="H233" s="14"/>
      <c r="I233" s="14"/>
      <c r="J233" s="14"/>
      <c r="K233" s="14"/>
      <c r="L233" s="336"/>
      <c r="M233" s="95" t="e">
        <f t="shared" si="5"/>
        <v>#REF!</v>
      </c>
    </row>
    <row r="234" spans="1:13" x14ac:dyDescent="0.2">
      <c r="A234" s="343"/>
      <c r="B234" s="172" t="e">
        <f>Capacidades!#REF!</f>
        <v>#REF!</v>
      </c>
      <c r="C234" s="171"/>
      <c r="D234" s="13"/>
      <c r="E234" s="13"/>
      <c r="F234" s="13"/>
      <c r="G234" s="13"/>
      <c r="H234" s="14"/>
      <c r="I234" s="14"/>
      <c r="J234" s="14"/>
      <c r="K234" s="14"/>
      <c r="L234" s="336"/>
      <c r="M234" s="95" t="e">
        <f t="shared" si="5"/>
        <v>#REF!</v>
      </c>
    </row>
    <row r="235" spans="1:13" x14ac:dyDescent="0.2">
      <c r="A235" s="343"/>
      <c r="B235" s="172" t="e">
        <f>Capacidades!#REF!</f>
        <v>#REF!</v>
      </c>
      <c r="C235" s="171"/>
      <c r="D235" s="13"/>
      <c r="E235" s="13"/>
      <c r="F235" s="13"/>
      <c r="G235" s="13"/>
      <c r="H235" s="14"/>
      <c r="I235" s="14"/>
      <c r="J235" s="14"/>
      <c r="K235" s="14"/>
      <c r="L235" s="336"/>
      <c r="M235" s="95" t="e">
        <f t="shared" si="5"/>
        <v>#REF!</v>
      </c>
    </row>
    <row r="236" spans="1:13" x14ac:dyDescent="0.2">
      <c r="A236" s="343"/>
      <c r="B236" s="172" t="e">
        <f>Capacidades!#REF!</f>
        <v>#REF!</v>
      </c>
      <c r="C236" s="171"/>
      <c r="D236" s="13"/>
      <c r="E236" s="13"/>
      <c r="F236" s="13"/>
      <c r="G236" s="13"/>
      <c r="H236" s="14"/>
      <c r="I236" s="14"/>
      <c r="J236" s="14"/>
      <c r="K236" s="14"/>
      <c r="L236" s="336"/>
      <c r="M236" s="95" t="e">
        <f t="shared" si="5"/>
        <v>#REF!</v>
      </c>
    </row>
    <row r="237" spans="1:13" x14ac:dyDescent="0.2">
      <c r="A237" s="343"/>
      <c r="B237" s="172" t="e">
        <f>Capacidades!#REF!</f>
        <v>#REF!</v>
      </c>
      <c r="C237" s="171"/>
      <c r="D237" s="13"/>
      <c r="E237" s="13"/>
      <c r="F237" s="13"/>
      <c r="G237" s="13"/>
      <c r="H237" s="14"/>
      <c r="I237" s="14"/>
      <c r="J237" s="14"/>
      <c r="K237" s="14"/>
      <c r="L237" s="336"/>
      <c r="M237" s="95" t="e">
        <f t="shared" si="5"/>
        <v>#REF!</v>
      </c>
    </row>
    <row r="238" spans="1:13" x14ac:dyDescent="0.2">
      <c r="A238" s="343"/>
      <c r="B238" s="172" t="e">
        <f>Capacidades!#REF!</f>
        <v>#REF!</v>
      </c>
      <c r="C238" s="171"/>
      <c r="D238" s="13"/>
      <c r="E238" s="13"/>
      <c r="F238" s="13"/>
      <c r="G238" s="13"/>
      <c r="H238" s="14"/>
      <c r="I238" s="14"/>
      <c r="J238" s="14"/>
      <c r="K238" s="14"/>
      <c r="L238" s="336"/>
      <c r="M238" s="95" t="e">
        <f t="shared" si="5"/>
        <v>#REF!</v>
      </c>
    </row>
    <row r="239" spans="1:13" x14ac:dyDescent="0.2">
      <c r="A239" s="343"/>
      <c r="B239" s="172" t="e">
        <f>Capacidades!#REF!</f>
        <v>#REF!</v>
      </c>
      <c r="C239" s="171"/>
      <c r="D239" s="13"/>
      <c r="E239" s="13"/>
      <c r="F239" s="13"/>
      <c r="G239" s="13"/>
      <c r="H239" s="14"/>
      <c r="I239" s="14"/>
      <c r="J239" s="14"/>
      <c r="K239" s="14"/>
      <c r="L239" s="336"/>
      <c r="M239" s="95" t="e">
        <f t="shared" si="5"/>
        <v>#REF!</v>
      </c>
    </row>
    <row r="240" spans="1:13" x14ac:dyDescent="0.2">
      <c r="A240" s="343"/>
      <c r="B240" s="172" t="e">
        <f>Capacidades!#REF!</f>
        <v>#REF!</v>
      </c>
      <c r="C240" s="171"/>
      <c r="D240" s="13"/>
      <c r="E240" s="13"/>
      <c r="F240" s="13"/>
      <c r="G240" s="13"/>
      <c r="H240" s="14"/>
      <c r="I240" s="14"/>
      <c r="J240" s="14"/>
      <c r="K240" s="14"/>
      <c r="L240" s="336"/>
      <c r="M240" s="95" t="e">
        <f t="shared" si="5"/>
        <v>#REF!</v>
      </c>
    </row>
    <row r="241" spans="1:13" x14ac:dyDescent="0.2">
      <c r="A241" s="344"/>
      <c r="B241" s="172" t="e">
        <f>Capacidades!#REF!</f>
        <v>#REF!</v>
      </c>
      <c r="C241" s="174"/>
      <c r="D241" s="13"/>
      <c r="E241" s="13"/>
      <c r="F241" s="13"/>
      <c r="G241" s="13"/>
      <c r="H241" s="14"/>
      <c r="I241" s="14"/>
      <c r="J241" s="14"/>
      <c r="K241" s="14"/>
      <c r="L241" s="336"/>
      <c r="M241" s="95" t="e">
        <f t="shared" si="5"/>
        <v>#REF!</v>
      </c>
    </row>
    <row r="242" spans="1:13" x14ac:dyDescent="0.2">
      <c r="A242" s="342" t="e">
        <f>Capacidades!#REF!</f>
        <v>#REF!</v>
      </c>
      <c r="B242" s="172" t="e">
        <f>Capacidades!#REF!</f>
        <v>#REF!</v>
      </c>
      <c r="C242" s="171"/>
      <c r="D242" s="11">
        <f>Organización_Modular!F187</f>
        <v>0</v>
      </c>
      <c r="E242" s="11">
        <f>Organización_Modular!G187</f>
        <v>0</v>
      </c>
      <c r="F242" s="11">
        <f>Organización_Modular!H187</f>
        <v>0</v>
      </c>
      <c r="G242" s="11">
        <f>Organización_Modular!I187</f>
        <v>0</v>
      </c>
      <c r="H242" s="12">
        <f>SUM(F242:G242)</f>
        <v>0</v>
      </c>
      <c r="I242" s="12">
        <f>F242*16</f>
        <v>0</v>
      </c>
      <c r="J242" s="12">
        <f>G242*32</f>
        <v>0</v>
      </c>
      <c r="K242" s="12">
        <f>SUM(I242:J242)</f>
        <v>0</v>
      </c>
      <c r="L242" s="335"/>
      <c r="M242" s="95" t="e">
        <f t="shared" si="5"/>
        <v>#REF!</v>
      </c>
    </row>
    <row r="243" spans="1:13" x14ac:dyDescent="0.2">
      <c r="A243" s="343"/>
      <c r="B243" s="172" t="e">
        <f>Capacidades!#REF!</f>
        <v>#REF!</v>
      </c>
      <c r="C243" s="171"/>
      <c r="D243" s="13"/>
      <c r="E243" s="13"/>
      <c r="F243" s="13"/>
      <c r="G243" s="13"/>
      <c r="H243" s="14"/>
      <c r="I243" s="14"/>
      <c r="J243" s="14"/>
      <c r="K243" s="14"/>
      <c r="L243" s="336"/>
      <c r="M243" s="95" t="e">
        <f t="shared" si="5"/>
        <v>#REF!</v>
      </c>
    </row>
    <row r="244" spans="1:13" x14ac:dyDescent="0.2">
      <c r="A244" s="343"/>
      <c r="B244" s="172" t="e">
        <f>Capacidades!#REF!</f>
        <v>#REF!</v>
      </c>
      <c r="C244" s="171"/>
      <c r="D244" s="13"/>
      <c r="E244" s="13"/>
      <c r="F244" s="13"/>
      <c r="G244" s="13"/>
      <c r="H244" s="14"/>
      <c r="I244" s="14"/>
      <c r="J244" s="14"/>
      <c r="K244" s="14"/>
      <c r="L244" s="336"/>
      <c r="M244" s="95" t="e">
        <f t="shared" si="5"/>
        <v>#REF!</v>
      </c>
    </row>
    <row r="245" spans="1:13" x14ac:dyDescent="0.2">
      <c r="A245" s="343"/>
      <c r="B245" s="172" t="e">
        <f>Capacidades!#REF!</f>
        <v>#REF!</v>
      </c>
      <c r="C245" s="171"/>
      <c r="D245" s="13"/>
      <c r="E245" s="13"/>
      <c r="F245" s="13"/>
      <c r="G245" s="13"/>
      <c r="H245" s="14"/>
      <c r="I245" s="14"/>
      <c r="J245" s="14"/>
      <c r="K245" s="14"/>
      <c r="L245" s="336"/>
      <c r="M245" s="95" t="e">
        <f t="shared" si="5"/>
        <v>#REF!</v>
      </c>
    </row>
    <row r="246" spans="1:13" x14ac:dyDescent="0.2">
      <c r="A246" s="343"/>
      <c r="B246" s="172" t="e">
        <f>Capacidades!#REF!</f>
        <v>#REF!</v>
      </c>
      <c r="C246" s="171"/>
      <c r="D246" s="13"/>
      <c r="E246" s="13"/>
      <c r="F246" s="13"/>
      <c r="G246" s="13"/>
      <c r="H246" s="14"/>
      <c r="I246" s="14"/>
      <c r="J246" s="14"/>
      <c r="K246" s="14"/>
      <c r="L246" s="336"/>
      <c r="M246" s="95" t="e">
        <f t="shared" si="5"/>
        <v>#REF!</v>
      </c>
    </row>
    <row r="247" spans="1:13" x14ac:dyDescent="0.2">
      <c r="A247" s="343"/>
      <c r="B247" s="172" t="e">
        <f>Capacidades!#REF!</f>
        <v>#REF!</v>
      </c>
      <c r="C247" s="171"/>
      <c r="D247" s="13"/>
      <c r="E247" s="13"/>
      <c r="F247" s="13"/>
      <c r="G247" s="13"/>
      <c r="H247" s="14"/>
      <c r="I247" s="14"/>
      <c r="J247" s="14"/>
      <c r="K247" s="14"/>
      <c r="L247" s="336"/>
      <c r="M247" s="95" t="e">
        <f t="shared" si="5"/>
        <v>#REF!</v>
      </c>
    </row>
    <row r="248" spans="1:13" x14ac:dyDescent="0.2">
      <c r="A248" s="343"/>
      <c r="B248" s="172" t="e">
        <f>Capacidades!#REF!</f>
        <v>#REF!</v>
      </c>
      <c r="C248" s="171"/>
      <c r="D248" s="13"/>
      <c r="E248" s="13"/>
      <c r="F248" s="13"/>
      <c r="G248" s="13"/>
      <c r="H248" s="14"/>
      <c r="I248" s="14"/>
      <c r="J248" s="14"/>
      <c r="K248" s="14"/>
      <c r="L248" s="336"/>
      <c r="M248" s="95" t="e">
        <f t="shared" si="5"/>
        <v>#REF!</v>
      </c>
    </row>
    <row r="249" spans="1:13" x14ac:dyDescent="0.2">
      <c r="A249" s="343"/>
      <c r="B249" s="172" t="e">
        <f>Capacidades!#REF!</f>
        <v>#REF!</v>
      </c>
      <c r="C249" s="171"/>
      <c r="D249" s="13"/>
      <c r="E249" s="13"/>
      <c r="F249" s="13"/>
      <c r="G249" s="13"/>
      <c r="H249" s="14"/>
      <c r="I249" s="14"/>
      <c r="J249" s="14"/>
      <c r="K249" s="14"/>
      <c r="L249" s="336"/>
      <c r="M249" s="95" t="e">
        <f t="shared" si="5"/>
        <v>#REF!</v>
      </c>
    </row>
    <row r="250" spans="1:13" x14ac:dyDescent="0.2">
      <c r="A250" s="343"/>
      <c r="B250" s="172" t="e">
        <f>Capacidades!#REF!</f>
        <v>#REF!</v>
      </c>
      <c r="C250" s="171"/>
      <c r="D250" s="13"/>
      <c r="E250" s="13"/>
      <c r="F250" s="13"/>
      <c r="G250" s="13"/>
      <c r="H250" s="14"/>
      <c r="I250" s="14"/>
      <c r="J250" s="14"/>
      <c r="K250" s="14"/>
      <c r="L250" s="336"/>
      <c r="M250" s="95" t="e">
        <f t="shared" si="5"/>
        <v>#REF!</v>
      </c>
    </row>
    <row r="251" spans="1:13" x14ac:dyDescent="0.2">
      <c r="A251" s="344"/>
      <c r="B251" s="172" t="e">
        <f>Capacidades!#REF!</f>
        <v>#REF!</v>
      </c>
      <c r="C251" s="174"/>
      <c r="D251" s="13"/>
      <c r="E251" s="13"/>
      <c r="F251" s="13"/>
      <c r="G251" s="13"/>
      <c r="H251" s="14"/>
      <c r="I251" s="14"/>
      <c r="J251" s="14"/>
      <c r="K251" s="14"/>
      <c r="L251" s="336"/>
      <c r="M251" s="95" t="e">
        <f t="shared" si="5"/>
        <v>#REF!</v>
      </c>
    </row>
    <row r="252" spans="1:13" x14ac:dyDescent="0.2">
      <c r="A252" s="342" t="e">
        <f>Capacidades!#REF!</f>
        <v>#REF!</v>
      </c>
      <c r="B252" s="172" t="e">
        <f>Capacidades!#REF!</f>
        <v>#REF!</v>
      </c>
      <c r="C252" s="171"/>
      <c r="D252" s="11">
        <f>Organización_Modular!F188</f>
        <v>0</v>
      </c>
      <c r="E252" s="11">
        <f>Organización_Modular!G188</f>
        <v>0</v>
      </c>
      <c r="F252" s="11">
        <f>Organización_Modular!H188</f>
        <v>0</v>
      </c>
      <c r="G252" s="11">
        <f>Organización_Modular!I188</f>
        <v>0</v>
      </c>
      <c r="H252" s="12">
        <f>SUM(F252:G252)</f>
        <v>0</v>
      </c>
      <c r="I252" s="12">
        <f>F252*16</f>
        <v>0</v>
      </c>
      <c r="J252" s="12">
        <f>G252*32</f>
        <v>0</v>
      </c>
      <c r="K252" s="12">
        <f>SUM(I252:J252)</f>
        <v>0</v>
      </c>
      <c r="L252" s="335"/>
      <c r="M252" s="95" t="e">
        <f t="shared" si="5"/>
        <v>#REF!</v>
      </c>
    </row>
    <row r="253" spans="1:13" x14ac:dyDescent="0.2">
      <c r="A253" s="343"/>
      <c r="B253" s="172" t="e">
        <f>Capacidades!#REF!</f>
        <v>#REF!</v>
      </c>
      <c r="C253" s="171"/>
      <c r="D253" s="13"/>
      <c r="E253" s="13"/>
      <c r="F253" s="13"/>
      <c r="G253" s="13"/>
      <c r="H253" s="14"/>
      <c r="I253" s="14"/>
      <c r="J253" s="14"/>
      <c r="K253" s="14"/>
      <c r="L253" s="336"/>
      <c r="M253" s="95" t="e">
        <f t="shared" si="5"/>
        <v>#REF!</v>
      </c>
    </row>
    <row r="254" spans="1:13" x14ac:dyDescent="0.2">
      <c r="A254" s="343"/>
      <c r="B254" s="172" t="e">
        <f>Capacidades!#REF!</f>
        <v>#REF!</v>
      </c>
      <c r="C254" s="171"/>
      <c r="D254" s="13"/>
      <c r="E254" s="13"/>
      <c r="F254" s="13"/>
      <c r="G254" s="13"/>
      <c r="H254" s="14"/>
      <c r="I254" s="14"/>
      <c r="J254" s="14"/>
      <c r="K254" s="14"/>
      <c r="L254" s="336"/>
      <c r="M254" s="95" t="e">
        <f t="shared" si="5"/>
        <v>#REF!</v>
      </c>
    </row>
    <row r="255" spans="1:13" x14ac:dyDescent="0.2">
      <c r="A255" s="343"/>
      <c r="B255" s="172" t="e">
        <f>Capacidades!#REF!</f>
        <v>#REF!</v>
      </c>
      <c r="C255" s="171"/>
      <c r="D255" s="13"/>
      <c r="E255" s="13"/>
      <c r="F255" s="13"/>
      <c r="G255" s="13"/>
      <c r="H255" s="14"/>
      <c r="I255" s="14"/>
      <c r="J255" s="14"/>
      <c r="K255" s="14"/>
      <c r="L255" s="336"/>
      <c r="M255" s="95" t="e">
        <f t="shared" si="5"/>
        <v>#REF!</v>
      </c>
    </row>
    <row r="256" spans="1:13" x14ac:dyDescent="0.2">
      <c r="A256" s="343"/>
      <c r="B256" s="172" t="e">
        <f>Capacidades!#REF!</f>
        <v>#REF!</v>
      </c>
      <c r="C256" s="171"/>
      <c r="D256" s="13"/>
      <c r="E256" s="13"/>
      <c r="F256" s="13"/>
      <c r="G256" s="13"/>
      <c r="H256" s="14"/>
      <c r="I256" s="14"/>
      <c r="J256" s="14"/>
      <c r="K256" s="14"/>
      <c r="L256" s="336"/>
      <c r="M256" s="95" t="e">
        <f t="shared" si="5"/>
        <v>#REF!</v>
      </c>
    </row>
    <row r="257" spans="1:13" x14ac:dyDescent="0.2">
      <c r="A257" s="343"/>
      <c r="B257" s="172" t="e">
        <f>Capacidades!#REF!</f>
        <v>#REF!</v>
      </c>
      <c r="C257" s="171"/>
      <c r="D257" s="13"/>
      <c r="E257" s="13"/>
      <c r="F257" s="13"/>
      <c r="G257" s="13"/>
      <c r="H257" s="14"/>
      <c r="I257" s="14"/>
      <c r="J257" s="14"/>
      <c r="K257" s="14"/>
      <c r="L257" s="336"/>
      <c r="M257" s="95" t="e">
        <f t="shared" si="5"/>
        <v>#REF!</v>
      </c>
    </row>
    <row r="258" spans="1:13" x14ac:dyDescent="0.2">
      <c r="A258" s="343"/>
      <c r="B258" s="172" t="e">
        <f>Capacidades!#REF!</f>
        <v>#REF!</v>
      </c>
      <c r="C258" s="171"/>
      <c r="D258" s="13"/>
      <c r="E258" s="13"/>
      <c r="F258" s="13"/>
      <c r="G258" s="13"/>
      <c r="H258" s="14"/>
      <c r="I258" s="14"/>
      <c r="J258" s="14"/>
      <c r="K258" s="14"/>
      <c r="L258" s="336"/>
      <c r="M258" s="95" t="e">
        <f t="shared" si="5"/>
        <v>#REF!</v>
      </c>
    </row>
    <row r="259" spans="1:13" x14ac:dyDescent="0.2">
      <c r="A259" s="343"/>
      <c r="B259" s="172" t="e">
        <f>Capacidades!#REF!</f>
        <v>#REF!</v>
      </c>
      <c r="C259" s="171"/>
      <c r="D259" s="13"/>
      <c r="E259" s="13"/>
      <c r="F259" s="13"/>
      <c r="G259" s="13"/>
      <c r="H259" s="14"/>
      <c r="I259" s="14"/>
      <c r="J259" s="14"/>
      <c r="K259" s="14"/>
      <c r="L259" s="336"/>
      <c r="M259" s="95" t="e">
        <f t="shared" si="5"/>
        <v>#REF!</v>
      </c>
    </row>
    <row r="260" spans="1:13" x14ac:dyDescent="0.2">
      <c r="A260" s="343"/>
      <c r="B260" s="172" t="e">
        <f>Capacidades!#REF!</f>
        <v>#REF!</v>
      </c>
      <c r="C260" s="171"/>
      <c r="D260" s="13"/>
      <c r="E260" s="13"/>
      <c r="F260" s="13"/>
      <c r="G260" s="13"/>
      <c r="H260" s="14"/>
      <c r="I260" s="14"/>
      <c r="J260" s="14"/>
      <c r="K260" s="14"/>
      <c r="L260" s="336"/>
      <c r="M260" s="95" t="e">
        <f t="shared" si="5"/>
        <v>#REF!</v>
      </c>
    </row>
    <row r="261" spans="1:13" x14ac:dyDescent="0.2">
      <c r="A261" s="344"/>
      <c r="B261" s="172" t="e">
        <f>Capacidades!#REF!</f>
        <v>#REF!</v>
      </c>
      <c r="C261" s="174"/>
      <c r="D261" s="13"/>
      <c r="E261" s="13"/>
      <c r="F261" s="13"/>
      <c r="G261" s="13"/>
      <c r="H261" s="14"/>
      <c r="I261" s="14"/>
      <c r="J261" s="14"/>
      <c r="K261" s="14"/>
      <c r="L261" s="336"/>
      <c r="M261" s="95" t="e">
        <f t="shared" si="5"/>
        <v>#REF!</v>
      </c>
    </row>
    <row r="262" spans="1:13" x14ac:dyDescent="0.2">
      <c r="A262" s="342" t="e">
        <f>Capacidades!#REF!</f>
        <v>#REF!</v>
      </c>
      <c r="B262" s="172" t="e">
        <f>Capacidades!#REF!</f>
        <v>#REF!</v>
      </c>
      <c r="C262" s="171"/>
      <c r="D262" s="11">
        <f>Organización_Modular!F189</f>
        <v>0</v>
      </c>
      <c r="E262" s="11">
        <f>Organización_Modular!G189</f>
        <v>0</v>
      </c>
      <c r="F262" s="11">
        <f>Organización_Modular!H189</f>
        <v>0</v>
      </c>
      <c r="G262" s="11">
        <f>Organización_Modular!I189</f>
        <v>0</v>
      </c>
      <c r="H262" s="12">
        <f>SUM(F262:G262)</f>
        <v>0</v>
      </c>
      <c r="I262" s="12">
        <f>F262*16</f>
        <v>0</v>
      </c>
      <c r="J262" s="12">
        <f>G262*32</f>
        <v>0</v>
      </c>
      <c r="K262" s="12">
        <f>SUM(I262:J262)</f>
        <v>0</v>
      </c>
      <c r="L262" s="335"/>
      <c r="M262" s="95" t="e">
        <f t="shared" si="5"/>
        <v>#REF!</v>
      </c>
    </row>
    <row r="263" spans="1:13" x14ac:dyDescent="0.2">
      <c r="A263" s="343"/>
      <c r="B263" s="172" t="e">
        <f>Capacidades!#REF!</f>
        <v>#REF!</v>
      </c>
      <c r="C263" s="171"/>
      <c r="D263" s="13"/>
      <c r="E263" s="13"/>
      <c r="F263" s="13"/>
      <c r="G263" s="13"/>
      <c r="H263" s="14"/>
      <c r="I263" s="14"/>
      <c r="J263" s="14"/>
      <c r="K263" s="14"/>
      <c r="L263" s="336"/>
      <c r="M263" s="95" t="e">
        <f t="shared" si="5"/>
        <v>#REF!</v>
      </c>
    </row>
    <row r="264" spans="1:13" x14ac:dyDescent="0.2">
      <c r="A264" s="343"/>
      <c r="B264" s="172" t="e">
        <f>Capacidades!#REF!</f>
        <v>#REF!</v>
      </c>
      <c r="C264" s="171"/>
      <c r="D264" s="13"/>
      <c r="E264" s="13"/>
      <c r="F264" s="13"/>
      <c r="G264" s="13"/>
      <c r="H264" s="14"/>
      <c r="I264" s="14"/>
      <c r="J264" s="14"/>
      <c r="K264" s="14"/>
      <c r="L264" s="336"/>
      <c r="M264" s="95" t="e">
        <f t="shared" si="5"/>
        <v>#REF!</v>
      </c>
    </row>
    <row r="265" spans="1:13" x14ac:dyDescent="0.2">
      <c r="A265" s="343"/>
      <c r="B265" s="172" t="e">
        <f>Capacidades!#REF!</f>
        <v>#REF!</v>
      </c>
      <c r="C265" s="171"/>
      <c r="D265" s="13"/>
      <c r="E265" s="13"/>
      <c r="F265" s="13"/>
      <c r="G265" s="13"/>
      <c r="H265" s="14"/>
      <c r="I265" s="14"/>
      <c r="J265" s="14"/>
      <c r="K265" s="14"/>
      <c r="L265" s="336"/>
      <c r="M265" s="95" t="e">
        <f t="shared" si="5"/>
        <v>#REF!</v>
      </c>
    </row>
    <row r="266" spans="1:13" x14ac:dyDescent="0.2">
      <c r="A266" s="343"/>
      <c r="B266" s="172" t="e">
        <f>Capacidades!#REF!</f>
        <v>#REF!</v>
      </c>
      <c r="C266" s="171"/>
      <c r="D266" s="13"/>
      <c r="E266" s="13"/>
      <c r="F266" s="13"/>
      <c r="G266" s="13"/>
      <c r="H266" s="14"/>
      <c r="I266" s="14"/>
      <c r="J266" s="14"/>
      <c r="K266" s="14"/>
      <c r="L266" s="336"/>
      <c r="M266" s="95" t="e">
        <f t="shared" si="5"/>
        <v>#REF!</v>
      </c>
    </row>
    <row r="267" spans="1:13" x14ac:dyDescent="0.2">
      <c r="A267" s="343"/>
      <c r="B267" s="172" t="e">
        <f>Capacidades!#REF!</f>
        <v>#REF!</v>
      </c>
      <c r="C267" s="171"/>
      <c r="D267" s="13"/>
      <c r="E267" s="13"/>
      <c r="F267" s="13"/>
      <c r="G267" s="13"/>
      <c r="H267" s="14"/>
      <c r="I267" s="14"/>
      <c r="J267" s="14"/>
      <c r="K267" s="14"/>
      <c r="L267" s="336"/>
      <c r="M267" s="95" t="e">
        <f t="shared" si="5"/>
        <v>#REF!</v>
      </c>
    </row>
    <row r="268" spans="1:13" x14ac:dyDescent="0.2">
      <c r="A268" s="343"/>
      <c r="B268" s="172" t="e">
        <f>Capacidades!#REF!</f>
        <v>#REF!</v>
      </c>
      <c r="C268" s="171"/>
      <c r="D268" s="13"/>
      <c r="E268" s="13"/>
      <c r="F268" s="13"/>
      <c r="G268" s="13"/>
      <c r="H268" s="14"/>
      <c r="I268" s="14"/>
      <c r="J268" s="14"/>
      <c r="K268" s="14"/>
      <c r="L268" s="336"/>
      <c r="M268" s="95" t="e">
        <f t="shared" si="5"/>
        <v>#REF!</v>
      </c>
    </row>
    <row r="269" spans="1:13" x14ac:dyDescent="0.2">
      <c r="A269" s="343"/>
      <c r="B269" s="172" t="e">
        <f>Capacidades!#REF!</f>
        <v>#REF!</v>
      </c>
      <c r="C269" s="171"/>
      <c r="D269" s="13"/>
      <c r="E269" s="13"/>
      <c r="F269" s="13"/>
      <c r="G269" s="13"/>
      <c r="H269" s="14"/>
      <c r="I269" s="14"/>
      <c r="J269" s="14"/>
      <c r="K269" s="14"/>
      <c r="L269" s="336"/>
      <c r="M269" s="95" t="e">
        <f t="shared" si="5"/>
        <v>#REF!</v>
      </c>
    </row>
    <row r="270" spans="1:13" x14ac:dyDescent="0.2">
      <c r="A270" s="343"/>
      <c r="B270" s="172" t="e">
        <f>Capacidades!#REF!</f>
        <v>#REF!</v>
      </c>
      <c r="C270" s="171"/>
      <c r="D270" s="13"/>
      <c r="E270" s="13"/>
      <c r="F270" s="13"/>
      <c r="G270" s="13"/>
      <c r="H270" s="14"/>
      <c r="I270" s="14"/>
      <c r="J270" s="14"/>
      <c r="K270" s="14"/>
      <c r="L270" s="336"/>
      <c r="M270" s="95" t="e">
        <f t="shared" si="5"/>
        <v>#REF!</v>
      </c>
    </row>
    <row r="271" spans="1:13" x14ac:dyDescent="0.2">
      <c r="A271" s="344"/>
      <c r="B271" s="172" t="e">
        <f>Capacidades!#REF!</f>
        <v>#REF!</v>
      </c>
      <c r="C271" s="174"/>
      <c r="D271" s="13"/>
      <c r="E271" s="13"/>
      <c r="F271" s="13"/>
      <c r="G271" s="13"/>
      <c r="H271" s="14"/>
      <c r="I271" s="14"/>
      <c r="J271" s="14"/>
      <c r="K271" s="14"/>
      <c r="L271" s="336"/>
      <c r="M271" s="95" t="e">
        <f t="shared" si="5"/>
        <v>#REF!</v>
      </c>
    </row>
    <row r="272" spans="1:13" x14ac:dyDescent="0.2">
      <c r="A272" s="342" t="e">
        <f>Capacidades!#REF!</f>
        <v>#REF!</v>
      </c>
      <c r="B272" s="172" t="e">
        <f>Capacidades!#REF!</f>
        <v>#REF!</v>
      </c>
      <c r="C272" s="171"/>
      <c r="D272" s="11">
        <f>Organización_Modular!F190</f>
        <v>0</v>
      </c>
      <c r="E272" s="11">
        <f>Organización_Modular!G190</f>
        <v>0</v>
      </c>
      <c r="F272" s="11">
        <f>Organización_Modular!H190</f>
        <v>0</v>
      </c>
      <c r="G272" s="11">
        <f>Organización_Modular!I190</f>
        <v>0</v>
      </c>
      <c r="H272" s="12">
        <f>SUM(F272:G272)</f>
        <v>0</v>
      </c>
      <c r="I272" s="12">
        <f>F272*16</f>
        <v>0</v>
      </c>
      <c r="J272" s="12">
        <f>G272*32</f>
        <v>0</v>
      </c>
      <c r="K272" s="12">
        <f>SUM(I272:J272)</f>
        <v>0</v>
      </c>
      <c r="L272" s="335"/>
      <c r="M272" s="95" t="e">
        <f t="shared" si="5"/>
        <v>#REF!</v>
      </c>
    </row>
    <row r="273" spans="1:13" x14ac:dyDescent="0.2">
      <c r="A273" s="343"/>
      <c r="B273" s="172" t="e">
        <f>Capacidades!#REF!</f>
        <v>#REF!</v>
      </c>
      <c r="C273" s="171"/>
      <c r="D273" s="13"/>
      <c r="E273" s="13"/>
      <c r="F273" s="13"/>
      <c r="G273" s="13"/>
      <c r="H273" s="14"/>
      <c r="I273" s="14"/>
      <c r="J273" s="14"/>
      <c r="K273" s="14"/>
      <c r="L273" s="336"/>
      <c r="M273" s="95" t="e">
        <f t="shared" si="5"/>
        <v>#REF!</v>
      </c>
    </row>
    <row r="274" spans="1:13" x14ac:dyDescent="0.2">
      <c r="A274" s="343"/>
      <c r="B274" s="172" t="e">
        <f>Capacidades!#REF!</f>
        <v>#REF!</v>
      </c>
      <c r="C274" s="171"/>
      <c r="D274" s="13"/>
      <c r="E274" s="13"/>
      <c r="F274" s="13"/>
      <c r="G274" s="13"/>
      <c r="H274" s="14"/>
      <c r="I274" s="14"/>
      <c r="J274" s="14"/>
      <c r="K274" s="14"/>
      <c r="L274" s="336"/>
      <c r="M274" s="95" t="e">
        <f t="shared" si="5"/>
        <v>#REF!</v>
      </c>
    </row>
    <row r="275" spans="1:13" x14ac:dyDescent="0.2">
      <c r="A275" s="343"/>
      <c r="B275" s="172" t="e">
        <f>Capacidades!#REF!</f>
        <v>#REF!</v>
      </c>
      <c r="C275" s="171"/>
      <c r="D275" s="13"/>
      <c r="E275" s="13"/>
      <c r="F275" s="13"/>
      <c r="G275" s="13"/>
      <c r="H275" s="14"/>
      <c r="I275" s="14"/>
      <c r="J275" s="14"/>
      <c r="K275" s="14"/>
      <c r="L275" s="336"/>
      <c r="M275" s="95" t="e">
        <f t="shared" si="5"/>
        <v>#REF!</v>
      </c>
    </row>
    <row r="276" spans="1:13" x14ac:dyDescent="0.2">
      <c r="A276" s="343"/>
      <c r="B276" s="172" t="e">
        <f>Capacidades!#REF!</f>
        <v>#REF!</v>
      </c>
      <c r="C276" s="171"/>
      <c r="D276" s="13"/>
      <c r="E276" s="13"/>
      <c r="F276" s="13"/>
      <c r="G276" s="13"/>
      <c r="H276" s="14"/>
      <c r="I276" s="14"/>
      <c r="J276" s="14"/>
      <c r="K276" s="14"/>
      <c r="L276" s="336"/>
      <c r="M276" s="95" t="e">
        <f t="shared" si="5"/>
        <v>#REF!</v>
      </c>
    </row>
    <row r="277" spans="1:13" x14ac:dyDescent="0.2">
      <c r="A277" s="343"/>
      <c r="B277" s="172" t="e">
        <f>Capacidades!#REF!</f>
        <v>#REF!</v>
      </c>
      <c r="C277" s="171"/>
      <c r="D277" s="13"/>
      <c r="E277" s="13"/>
      <c r="F277" s="13"/>
      <c r="G277" s="13"/>
      <c r="H277" s="14"/>
      <c r="I277" s="14"/>
      <c r="J277" s="14"/>
      <c r="K277" s="14"/>
      <c r="L277" s="336"/>
      <c r="M277" s="95" t="e">
        <f t="shared" si="5"/>
        <v>#REF!</v>
      </c>
    </row>
    <row r="278" spans="1:13" x14ac:dyDescent="0.2">
      <c r="A278" s="343"/>
      <c r="B278" s="172" t="e">
        <f>Capacidades!#REF!</f>
        <v>#REF!</v>
      </c>
      <c r="C278" s="171"/>
      <c r="D278" s="13"/>
      <c r="E278" s="13"/>
      <c r="F278" s="13"/>
      <c r="G278" s="13"/>
      <c r="H278" s="14"/>
      <c r="I278" s="14"/>
      <c r="J278" s="14"/>
      <c r="K278" s="14"/>
      <c r="L278" s="336"/>
      <c r="M278" s="95" t="e">
        <f t="shared" si="5"/>
        <v>#REF!</v>
      </c>
    </row>
    <row r="279" spans="1:13" x14ac:dyDescent="0.2">
      <c r="A279" s="343"/>
      <c r="B279" s="172" t="e">
        <f>Capacidades!#REF!</f>
        <v>#REF!</v>
      </c>
      <c r="C279" s="171"/>
      <c r="D279" s="13"/>
      <c r="E279" s="13"/>
      <c r="F279" s="13"/>
      <c r="G279" s="13"/>
      <c r="H279" s="14"/>
      <c r="I279" s="14"/>
      <c r="J279" s="14"/>
      <c r="K279" s="14"/>
      <c r="L279" s="336"/>
      <c r="M279" s="95" t="e">
        <f t="shared" si="5"/>
        <v>#REF!</v>
      </c>
    </row>
    <row r="280" spans="1:13" x14ac:dyDescent="0.2">
      <c r="A280" s="343"/>
      <c r="B280" s="172" t="e">
        <f>Capacidades!#REF!</f>
        <v>#REF!</v>
      </c>
      <c r="C280" s="171"/>
      <c r="D280" s="13"/>
      <c r="E280" s="13"/>
      <c r="F280" s="13"/>
      <c r="G280" s="13"/>
      <c r="H280" s="14"/>
      <c r="I280" s="14"/>
      <c r="J280" s="14"/>
      <c r="K280" s="14"/>
      <c r="L280" s="336"/>
      <c r="M280" s="95" t="e">
        <f t="shared" si="5"/>
        <v>#REF!</v>
      </c>
    </row>
    <row r="281" spans="1:13" x14ac:dyDescent="0.2">
      <c r="A281" s="344"/>
      <c r="B281" s="172" t="e">
        <f>Capacidades!#REF!</f>
        <v>#REF!</v>
      </c>
      <c r="C281" s="174"/>
      <c r="D281" s="13"/>
      <c r="E281" s="13"/>
      <c r="F281" s="13"/>
      <c r="G281" s="13"/>
      <c r="H281" s="14"/>
      <c r="I281" s="14"/>
      <c r="J281" s="14"/>
      <c r="K281" s="14"/>
      <c r="L281" s="336"/>
      <c r="M281" s="95" t="e">
        <f t="shared" si="5"/>
        <v>#REF!</v>
      </c>
    </row>
    <row r="282" spans="1:13" x14ac:dyDescent="0.2">
      <c r="A282" s="342" t="e">
        <f>Capacidades!#REF!</f>
        <v>#REF!</v>
      </c>
      <c r="B282" s="172" t="e">
        <f>Capacidades!#REF!</f>
        <v>#REF!</v>
      </c>
      <c r="C282" s="171"/>
      <c r="D282" s="11">
        <f>Organización_Modular!F191</f>
        <v>0</v>
      </c>
      <c r="E282" s="11">
        <f>Organización_Modular!G191</f>
        <v>0</v>
      </c>
      <c r="F282" s="11">
        <f>Organización_Modular!H191</f>
        <v>0</v>
      </c>
      <c r="G282" s="11">
        <f>Organización_Modular!I191</f>
        <v>0</v>
      </c>
      <c r="H282" s="12">
        <f>SUM(F282:G282)</f>
        <v>0</v>
      </c>
      <c r="I282" s="12">
        <f>F282*16</f>
        <v>0</v>
      </c>
      <c r="J282" s="12">
        <f>G282*32</f>
        <v>0</v>
      </c>
      <c r="K282" s="12">
        <f>SUM(I282:J282)</f>
        <v>0</v>
      </c>
      <c r="L282" s="335"/>
      <c r="M282" s="95" t="e">
        <f t="shared" si="5"/>
        <v>#REF!</v>
      </c>
    </row>
    <row r="283" spans="1:13" x14ac:dyDescent="0.2">
      <c r="A283" s="343"/>
      <c r="B283" s="172" t="e">
        <f>Capacidades!#REF!</f>
        <v>#REF!</v>
      </c>
      <c r="C283" s="171"/>
      <c r="D283" s="13"/>
      <c r="E283" s="13"/>
      <c r="F283" s="13"/>
      <c r="G283" s="13"/>
      <c r="H283" s="14"/>
      <c r="I283" s="14"/>
      <c r="J283" s="14"/>
      <c r="K283" s="14"/>
      <c r="L283" s="336"/>
      <c r="M283" s="95" t="e">
        <f t="shared" si="5"/>
        <v>#REF!</v>
      </c>
    </row>
    <row r="284" spans="1:13" x14ac:dyDescent="0.2">
      <c r="A284" s="343"/>
      <c r="B284" s="172" t="e">
        <f>Capacidades!#REF!</f>
        <v>#REF!</v>
      </c>
      <c r="C284" s="171"/>
      <c r="D284" s="13"/>
      <c r="E284" s="13"/>
      <c r="F284" s="13"/>
      <c r="G284" s="13"/>
      <c r="H284" s="14"/>
      <c r="I284" s="14"/>
      <c r="J284" s="14"/>
      <c r="K284" s="14"/>
      <c r="L284" s="336"/>
      <c r="M284" s="95" t="e">
        <f t="shared" si="5"/>
        <v>#REF!</v>
      </c>
    </row>
    <row r="285" spans="1:13" x14ac:dyDescent="0.2">
      <c r="A285" s="343"/>
      <c r="B285" s="172" t="e">
        <f>Capacidades!#REF!</f>
        <v>#REF!</v>
      </c>
      <c r="C285" s="171"/>
      <c r="D285" s="13"/>
      <c r="E285" s="13"/>
      <c r="F285" s="13"/>
      <c r="G285" s="13"/>
      <c r="H285" s="14"/>
      <c r="I285" s="14"/>
      <c r="J285" s="14"/>
      <c r="K285" s="14"/>
      <c r="L285" s="336"/>
      <c r="M285" s="95" t="e">
        <f t="shared" si="5"/>
        <v>#REF!</v>
      </c>
    </row>
    <row r="286" spans="1:13" x14ac:dyDescent="0.2">
      <c r="A286" s="343"/>
      <c r="B286" s="172" t="e">
        <f>Capacidades!#REF!</f>
        <v>#REF!</v>
      </c>
      <c r="C286" s="171"/>
      <c r="D286" s="13"/>
      <c r="E286" s="13"/>
      <c r="F286" s="13"/>
      <c r="G286" s="13"/>
      <c r="H286" s="14"/>
      <c r="I286" s="14"/>
      <c r="J286" s="14"/>
      <c r="K286" s="14"/>
      <c r="L286" s="336"/>
      <c r="M286" s="95" t="e">
        <f t="shared" si="5"/>
        <v>#REF!</v>
      </c>
    </row>
    <row r="287" spans="1:13" x14ac:dyDescent="0.2">
      <c r="A287" s="343"/>
      <c r="B287" s="172" t="e">
        <f>Capacidades!#REF!</f>
        <v>#REF!</v>
      </c>
      <c r="C287" s="171"/>
      <c r="D287" s="13"/>
      <c r="E287" s="13"/>
      <c r="F287" s="13"/>
      <c r="G287" s="13"/>
      <c r="H287" s="14"/>
      <c r="I287" s="14"/>
      <c r="J287" s="14"/>
      <c r="K287" s="14"/>
      <c r="L287" s="336"/>
      <c r="M287" s="95" t="e">
        <f t="shared" ref="M287:M321" si="6">B287</f>
        <v>#REF!</v>
      </c>
    </row>
    <row r="288" spans="1:13" x14ac:dyDescent="0.2">
      <c r="A288" s="343"/>
      <c r="B288" s="172" t="e">
        <f>Capacidades!#REF!</f>
        <v>#REF!</v>
      </c>
      <c r="C288" s="171"/>
      <c r="D288" s="13"/>
      <c r="E288" s="13"/>
      <c r="F288" s="13"/>
      <c r="G288" s="13"/>
      <c r="H288" s="14"/>
      <c r="I288" s="14"/>
      <c r="J288" s="14"/>
      <c r="K288" s="14"/>
      <c r="L288" s="336"/>
      <c r="M288" s="95" t="e">
        <f t="shared" si="6"/>
        <v>#REF!</v>
      </c>
    </row>
    <row r="289" spans="1:13" x14ac:dyDescent="0.2">
      <c r="A289" s="343"/>
      <c r="B289" s="172" t="e">
        <f>Capacidades!#REF!</f>
        <v>#REF!</v>
      </c>
      <c r="C289" s="171"/>
      <c r="D289" s="13"/>
      <c r="E289" s="13"/>
      <c r="F289" s="13"/>
      <c r="G289" s="13"/>
      <c r="H289" s="14"/>
      <c r="I289" s="14"/>
      <c r="J289" s="14"/>
      <c r="K289" s="14"/>
      <c r="L289" s="336"/>
      <c r="M289" s="95" t="e">
        <f t="shared" si="6"/>
        <v>#REF!</v>
      </c>
    </row>
    <row r="290" spans="1:13" x14ac:dyDescent="0.2">
      <c r="A290" s="343"/>
      <c r="B290" s="172" t="e">
        <f>Capacidades!#REF!</f>
        <v>#REF!</v>
      </c>
      <c r="C290" s="171"/>
      <c r="D290" s="13"/>
      <c r="E290" s="13"/>
      <c r="F290" s="13"/>
      <c r="G290" s="13"/>
      <c r="H290" s="14"/>
      <c r="I290" s="14"/>
      <c r="J290" s="14"/>
      <c r="K290" s="14"/>
      <c r="L290" s="336"/>
      <c r="M290" s="95" t="e">
        <f t="shared" si="6"/>
        <v>#REF!</v>
      </c>
    </row>
    <row r="291" spans="1:13" x14ac:dyDescent="0.2">
      <c r="A291" s="344"/>
      <c r="B291" s="172" t="e">
        <f>Capacidades!#REF!</f>
        <v>#REF!</v>
      </c>
      <c r="C291" s="174"/>
      <c r="D291" s="13"/>
      <c r="E291" s="13"/>
      <c r="F291" s="13"/>
      <c r="G291" s="13"/>
      <c r="H291" s="14"/>
      <c r="I291" s="14"/>
      <c r="J291" s="14"/>
      <c r="K291" s="14"/>
      <c r="L291" s="336"/>
      <c r="M291" s="95" t="e">
        <f t="shared" si="6"/>
        <v>#REF!</v>
      </c>
    </row>
    <row r="292" spans="1:13" x14ac:dyDescent="0.2">
      <c r="A292" s="342" t="e">
        <f>Capacidades!#REF!</f>
        <v>#REF!</v>
      </c>
      <c r="B292" s="172" t="e">
        <f>Capacidades!#REF!</f>
        <v>#REF!</v>
      </c>
      <c r="C292" s="171"/>
      <c r="D292" s="11">
        <f>Organización_Modular!F192</f>
        <v>0</v>
      </c>
      <c r="E292" s="11">
        <f>Organización_Modular!G192</f>
        <v>0</v>
      </c>
      <c r="F292" s="11">
        <f>Organización_Modular!H192</f>
        <v>0</v>
      </c>
      <c r="G292" s="11">
        <f>Organización_Modular!I192</f>
        <v>0</v>
      </c>
      <c r="H292" s="12">
        <f>SUM(F292:G292)</f>
        <v>0</v>
      </c>
      <c r="I292" s="12">
        <f>F292*16</f>
        <v>0</v>
      </c>
      <c r="J292" s="12">
        <f>G292*32</f>
        <v>0</v>
      </c>
      <c r="K292" s="12">
        <f>SUM(I292:J292)</f>
        <v>0</v>
      </c>
      <c r="L292" s="335"/>
      <c r="M292" s="95" t="e">
        <f t="shared" si="6"/>
        <v>#REF!</v>
      </c>
    </row>
    <row r="293" spans="1:13" x14ac:dyDescent="0.2">
      <c r="A293" s="343"/>
      <c r="B293" s="172" t="e">
        <f>Capacidades!#REF!</f>
        <v>#REF!</v>
      </c>
      <c r="C293" s="171"/>
      <c r="D293" s="13"/>
      <c r="E293" s="13"/>
      <c r="F293" s="13"/>
      <c r="G293" s="13"/>
      <c r="H293" s="14"/>
      <c r="I293" s="14"/>
      <c r="J293" s="14"/>
      <c r="K293" s="14"/>
      <c r="L293" s="336"/>
      <c r="M293" s="95" t="e">
        <f t="shared" si="6"/>
        <v>#REF!</v>
      </c>
    </row>
    <row r="294" spans="1:13" x14ac:dyDescent="0.2">
      <c r="A294" s="343"/>
      <c r="B294" s="172" t="e">
        <f>Capacidades!#REF!</f>
        <v>#REF!</v>
      </c>
      <c r="C294" s="171"/>
      <c r="D294" s="13"/>
      <c r="E294" s="13"/>
      <c r="F294" s="13"/>
      <c r="G294" s="13"/>
      <c r="H294" s="14"/>
      <c r="I294" s="14"/>
      <c r="J294" s="14"/>
      <c r="K294" s="14"/>
      <c r="L294" s="336"/>
      <c r="M294" s="95" t="e">
        <f t="shared" si="6"/>
        <v>#REF!</v>
      </c>
    </row>
    <row r="295" spans="1:13" x14ac:dyDescent="0.2">
      <c r="A295" s="343"/>
      <c r="B295" s="172" t="e">
        <f>Capacidades!#REF!</f>
        <v>#REF!</v>
      </c>
      <c r="C295" s="171"/>
      <c r="D295" s="13"/>
      <c r="E295" s="13"/>
      <c r="F295" s="13"/>
      <c r="G295" s="13"/>
      <c r="H295" s="14"/>
      <c r="I295" s="14"/>
      <c r="J295" s="14"/>
      <c r="K295" s="14"/>
      <c r="L295" s="336"/>
      <c r="M295" s="95" t="e">
        <f t="shared" si="6"/>
        <v>#REF!</v>
      </c>
    </row>
    <row r="296" spans="1:13" x14ac:dyDescent="0.2">
      <c r="A296" s="343"/>
      <c r="B296" s="172" t="e">
        <f>Capacidades!#REF!</f>
        <v>#REF!</v>
      </c>
      <c r="C296" s="171"/>
      <c r="D296" s="13"/>
      <c r="E296" s="13"/>
      <c r="F296" s="13"/>
      <c r="G296" s="13"/>
      <c r="H296" s="14"/>
      <c r="I296" s="14"/>
      <c r="J296" s="14"/>
      <c r="K296" s="14"/>
      <c r="L296" s="336"/>
      <c r="M296" s="95" t="e">
        <f t="shared" si="6"/>
        <v>#REF!</v>
      </c>
    </row>
    <row r="297" spans="1:13" x14ac:dyDescent="0.2">
      <c r="A297" s="343"/>
      <c r="B297" s="172" t="e">
        <f>Capacidades!#REF!</f>
        <v>#REF!</v>
      </c>
      <c r="C297" s="171"/>
      <c r="D297" s="13"/>
      <c r="E297" s="13"/>
      <c r="F297" s="13"/>
      <c r="G297" s="13"/>
      <c r="H297" s="14"/>
      <c r="I297" s="14"/>
      <c r="J297" s="14"/>
      <c r="K297" s="14"/>
      <c r="L297" s="336"/>
      <c r="M297" s="95" t="e">
        <f t="shared" si="6"/>
        <v>#REF!</v>
      </c>
    </row>
    <row r="298" spans="1:13" x14ac:dyDescent="0.2">
      <c r="A298" s="343"/>
      <c r="B298" s="172" t="e">
        <f>Capacidades!#REF!</f>
        <v>#REF!</v>
      </c>
      <c r="C298" s="171"/>
      <c r="D298" s="13"/>
      <c r="E298" s="13"/>
      <c r="F298" s="13"/>
      <c r="G298" s="13"/>
      <c r="H298" s="14"/>
      <c r="I298" s="14"/>
      <c r="J298" s="14"/>
      <c r="K298" s="14"/>
      <c r="L298" s="336"/>
      <c r="M298" s="95" t="e">
        <f t="shared" si="6"/>
        <v>#REF!</v>
      </c>
    </row>
    <row r="299" spans="1:13" x14ac:dyDescent="0.2">
      <c r="A299" s="343"/>
      <c r="B299" s="172" t="e">
        <f>Capacidades!#REF!</f>
        <v>#REF!</v>
      </c>
      <c r="C299" s="171"/>
      <c r="D299" s="13"/>
      <c r="E299" s="13"/>
      <c r="F299" s="13"/>
      <c r="G299" s="13"/>
      <c r="H299" s="14"/>
      <c r="I299" s="14"/>
      <c r="J299" s="14"/>
      <c r="K299" s="14"/>
      <c r="L299" s="336"/>
      <c r="M299" s="95" t="e">
        <f t="shared" si="6"/>
        <v>#REF!</v>
      </c>
    </row>
    <row r="300" spans="1:13" x14ac:dyDescent="0.2">
      <c r="A300" s="343"/>
      <c r="B300" s="172" t="e">
        <f>Capacidades!#REF!</f>
        <v>#REF!</v>
      </c>
      <c r="C300" s="171"/>
      <c r="D300" s="13"/>
      <c r="E300" s="13"/>
      <c r="F300" s="13"/>
      <c r="G300" s="13"/>
      <c r="H300" s="14"/>
      <c r="I300" s="14"/>
      <c r="J300" s="14"/>
      <c r="K300" s="14"/>
      <c r="L300" s="336"/>
      <c r="M300" s="95" t="e">
        <f t="shared" si="6"/>
        <v>#REF!</v>
      </c>
    </row>
    <row r="301" spans="1:13" x14ac:dyDescent="0.2">
      <c r="A301" s="344"/>
      <c r="B301" s="172" t="e">
        <f>Capacidades!#REF!</f>
        <v>#REF!</v>
      </c>
      <c r="C301" s="174"/>
      <c r="D301" s="13"/>
      <c r="E301" s="13"/>
      <c r="F301" s="13"/>
      <c r="G301" s="13"/>
      <c r="H301" s="14"/>
      <c r="I301" s="14"/>
      <c r="J301" s="14"/>
      <c r="K301" s="14"/>
      <c r="L301" s="336"/>
      <c r="M301" s="95" t="e">
        <f t="shared" si="6"/>
        <v>#REF!</v>
      </c>
    </row>
    <row r="302" spans="1:13" x14ac:dyDescent="0.2">
      <c r="A302" s="342" t="e">
        <f>Capacidades!#REF!</f>
        <v>#REF!</v>
      </c>
      <c r="B302" s="172" t="e">
        <f>Capacidades!#REF!</f>
        <v>#REF!</v>
      </c>
      <c r="C302" s="171"/>
      <c r="D302" s="11">
        <f>Organización_Modular!F193</f>
        <v>0</v>
      </c>
      <c r="E302" s="11">
        <f>Organización_Modular!G193</f>
        <v>0</v>
      </c>
      <c r="F302" s="11">
        <f>Organización_Modular!H193</f>
        <v>0</v>
      </c>
      <c r="G302" s="11">
        <f>Organización_Modular!I193</f>
        <v>0</v>
      </c>
      <c r="H302" s="12">
        <f>SUM(F302:G302)</f>
        <v>0</v>
      </c>
      <c r="I302" s="12">
        <f>F302*16</f>
        <v>0</v>
      </c>
      <c r="J302" s="12">
        <f>G302*32</f>
        <v>0</v>
      </c>
      <c r="K302" s="12">
        <f>SUM(I302:J302)</f>
        <v>0</v>
      </c>
      <c r="L302" s="335"/>
      <c r="M302" s="95" t="e">
        <f t="shared" si="6"/>
        <v>#REF!</v>
      </c>
    </row>
    <row r="303" spans="1:13" x14ac:dyDescent="0.2">
      <c r="A303" s="343"/>
      <c r="B303" s="172" t="e">
        <f>Capacidades!#REF!</f>
        <v>#REF!</v>
      </c>
      <c r="C303" s="171"/>
      <c r="D303" s="13"/>
      <c r="E303" s="13"/>
      <c r="F303" s="13"/>
      <c r="G303" s="13"/>
      <c r="H303" s="14"/>
      <c r="I303" s="14"/>
      <c r="J303" s="14"/>
      <c r="K303" s="14"/>
      <c r="L303" s="336"/>
      <c r="M303" s="95" t="e">
        <f t="shared" si="6"/>
        <v>#REF!</v>
      </c>
    </row>
    <row r="304" spans="1:13" x14ac:dyDescent="0.2">
      <c r="A304" s="343"/>
      <c r="B304" s="172" t="e">
        <f>Capacidades!#REF!</f>
        <v>#REF!</v>
      </c>
      <c r="C304" s="171"/>
      <c r="D304" s="13"/>
      <c r="E304" s="13"/>
      <c r="F304" s="13"/>
      <c r="G304" s="13"/>
      <c r="H304" s="14"/>
      <c r="I304" s="14"/>
      <c r="J304" s="14"/>
      <c r="K304" s="14"/>
      <c r="L304" s="336"/>
      <c r="M304" s="95" t="e">
        <f t="shared" si="6"/>
        <v>#REF!</v>
      </c>
    </row>
    <row r="305" spans="1:13" x14ac:dyDescent="0.2">
      <c r="A305" s="343"/>
      <c r="B305" s="172" t="e">
        <f>Capacidades!#REF!</f>
        <v>#REF!</v>
      </c>
      <c r="C305" s="171"/>
      <c r="D305" s="13"/>
      <c r="E305" s="13"/>
      <c r="F305" s="13"/>
      <c r="G305" s="13"/>
      <c r="H305" s="14"/>
      <c r="I305" s="14"/>
      <c r="J305" s="14"/>
      <c r="K305" s="14"/>
      <c r="L305" s="336"/>
      <c r="M305" s="95" t="e">
        <f t="shared" si="6"/>
        <v>#REF!</v>
      </c>
    </row>
    <row r="306" spans="1:13" x14ac:dyDescent="0.2">
      <c r="A306" s="343"/>
      <c r="B306" s="172" t="e">
        <f>Capacidades!#REF!</f>
        <v>#REF!</v>
      </c>
      <c r="C306" s="171"/>
      <c r="D306" s="13"/>
      <c r="E306" s="13"/>
      <c r="F306" s="13"/>
      <c r="G306" s="13"/>
      <c r="H306" s="14"/>
      <c r="I306" s="14"/>
      <c r="J306" s="14"/>
      <c r="K306" s="14"/>
      <c r="L306" s="336"/>
      <c r="M306" s="95" t="e">
        <f t="shared" si="6"/>
        <v>#REF!</v>
      </c>
    </row>
    <row r="307" spans="1:13" x14ac:dyDescent="0.2">
      <c r="A307" s="343"/>
      <c r="B307" s="172" t="e">
        <f>Capacidades!#REF!</f>
        <v>#REF!</v>
      </c>
      <c r="C307" s="171"/>
      <c r="D307" s="13"/>
      <c r="E307" s="13"/>
      <c r="F307" s="13"/>
      <c r="G307" s="13"/>
      <c r="H307" s="14"/>
      <c r="I307" s="14"/>
      <c r="J307" s="14"/>
      <c r="K307" s="14"/>
      <c r="L307" s="336"/>
      <c r="M307" s="95" t="e">
        <f t="shared" si="6"/>
        <v>#REF!</v>
      </c>
    </row>
    <row r="308" spans="1:13" x14ac:dyDescent="0.2">
      <c r="A308" s="343"/>
      <c r="B308" s="172" t="e">
        <f>Capacidades!#REF!</f>
        <v>#REF!</v>
      </c>
      <c r="C308" s="171"/>
      <c r="D308" s="13"/>
      <c r="E308" s="13"/>
      <c r="F308" s="13"/>
      <c r="G308" s="13"/>
      <c r="H308" s="14"/>
      <c r="I308" s="14"/>
      <c r="J308" s="14"/>
      <c r="K308" s="14"/>
      <c r="L308" s="336"/>
      <c r="M308" s="95" t="e">
        <f t="shared" si="6"/>
        <v>#REF!</v>
      </c>
    </row>
    <row r="309" spans="1:13" x14ac:dyDescent="0.2">
      <c r="A309" s="343"/>
      <c r="B309" s="172" t="e">
        <f>Capacidades!#REF!</f>
        <v>#REF!</v>
      </c>
      <c r="C309" s="171"/>
      <c r="D309" s="13"/>
      <c r="E309" s="13"/>
      <c r="F309" s="13"/>
      <c r="G309" s="13"/>
      <c r="H309" s="14"/>
      <c r="I309" s="14"/>
      <c r="J309" s="14"/>
      <c r="K309" s="14"/>
      <c r="L309" s="336"/>
      <c r="M309" s="95" t="e">
        <f t="shared" si="6"/>
        <v>#REF!</v>
      </c>
    </row>
    <row r="310" spans="1:13" x14ac:dyDescent="0.2">
      <c r="A310" s="343"/>
      <c r="B310" s="172" t="e">
        <f>Capacidades!#REF!</f>
        <v>#REF!</v>
      </c>
      <c r="C310" s="171"/>
      <c r="D310" s="13"/>
      <c r="E310" s="13"/>
      <c r="F310" s="13"/>
      <c r="G310" s="13"/>
      <c r="H310" s="14"/>
      <c r="I310" s="14"/>
      <c r="J310" s="14"/>
      <c r="K310" s="14"/>
      <c r="L310" s="336"/>
      <c r="M310" s="95" t="e">
        <f t="shared" si="6"/>
        <v>#REF!</v>
      </c>
    </row>
    <row r="311" spans="1:13" x14ac:dyDescent="0.2">
      <c r="A311" s="344"/>
      <c r="B311" s="172" t="e">
        <f>Capacidades!#REF!</f>
        <v>#REF!</v>
      </c>
      <c r="C311" s="174"/>
      <c r="D311" s="13"/>
      <c r="E311" s="13"/>
      <c r="F311" s="13"/>
      <c r="G311" s="13"/>
      <c r="H311" s="14"/>
      <c r="I311" s="14"/>
      <c r="J311" s="14"/>
      <c r="K311" s="14"/>
      <c r="L311" s="336"/>
      <c r="M311" s="95" t="e">
        <f t="shared" si="6"/>
        <v>#REF!</v>
      </c>
    </row>
    <row r="312" spans="1:13" x14ac:dyDescent="0.2">
      <c r="A312" s="342" t="e">
        <f>Capacidades!#REF!</f>
        <v>#REF!</v>
      </c>
      <c r="B312" s="172" t="e">
        <f>Capacidades!#REF!</f>
        <v>#REF!</v>
      </c>
      <c r="C312" s="171"/>
      <c r="D312" s="11">
        <f>Organización_Modular!F194</f>
        <v>0</v>
      </c>
      <c r="E312" s="11">
        <f>Organización_Modular!G194</f>
        <v>0</v>
      </c>
      <c r="F312" s="11">
        <f>Organización_Modular!H194</f>
        <v>0</v>
      </c>
      <c r="G312" s="11">
        <f>Organización_Modular!I194</f>
        <v>0</v>
      </c>
      <c r="H312" s="12">
        <f>SUM(F312:G312)</f>
        <v>0</v>
      </c>
      <c r="I312" s="12">
        <f>F312*16</f>
        <v>0</v>
      </c>
      <c r="J312" s="12">
        <f>G312*32</f>
        <v>0</v>
      </c>
      <c r="K312" s="12">
        <f>SUM(I312:J312)</f>
        <v>0</v>
      </c>
      <c r="L312" s="335"/>
      <c r="M312" s="95" t="e">
        <f t="shared" si="6"/>
        <v>#REF!</v>
      </c>
    </row>
    <row r="313" spans="1:13" x14ac:dyDescent="0.2">
      <c r="A313" s="343"/>
      <c r="B313" s="172" t="e">
        <f>Capacidades!#REF!</f>
        <v>#REF!</v>
      </c>
      <c r="C313" s="171"/>
      <c r="D313" s="13"/>
      <c r="E313" s="13"/>
      <c r="F313" s="14"/>
      <c r="G313" s="14"/>
      <c r="H313" s="14"/>
      <c r="I313" s="14"/>
      <c r="J313" s="14"/>
      <c r="K313" s="14"/>
      <c r="L313" s="336"/>
      <c r="M313" s="95" t="e">
        <f t="shared" si="6"/>
        <v>#REF!</v>
      </c>
    </row>
    <row r="314" spans="1:13" x14ac:dyDescent="0.2">
      <c r="A314" s="343"/>
      <c r="B314" s="172" t="e">
        <f>Capacidades!#REF!</f>
        <v>#REF!</v>
      </c>
      <c r="C314" s="171"/>
      <c r="D314" s="13"/>
      <c r="E314" s="13"/>
      <c r="F314" s="14"/>
      <c r="G314" s="14"/>
      <c r="H314" s="14"/>
      <c r="I314" s="14"/>
      <c r="J314" s="14"/>
      <c r="K314" s="14"/>
      <c r="L314" s="336"/>
      <c r="M314" s="95" t="e">
        <f t="shared" si="6"/>
        <v>#REF!</v>
      </c>
    </row>
    <row r="315" spans="1:13" x14ac:dyDescent="0.2">
      <c r="A315" s="343"/>
      <c r="B315" s="172" t="e">
        <f>Capacidades!#REF!</f>
        <v>#REF!</v>
      </c>
      <c r="C315" s="171"/>
      <c r="D315" s="13"/>
      <c r="E315" s="13"/>
      <c r="F315" s="14"/>
      <c r="G315" s="14"/>
      <c r="H315" s="14"/>
      <c r="I315" s="14"/>
      <c r="J315" s="14"/>
      <c r="K315" s="14"/>
      <c r="L315" s="336"/>
      <c r="M315" s="95" t="e">
        <f t="shared" si="6"/>
        <v>#REF!</v>
      </c>
    </row>
    <row r="316" spans="1:13" x14ac:dyDescent="0.2">
      <c r="A316" s="343"/>
      <c r="B316" s="172" t="e">
        <f>Capacidades!#REF!</f>
        <v>#REF!</v>
      </c>
      <c r="C316" s="171"/>
      <c r="D316" s="13"/>
      <c r="E316" s="13"/>
      <c r="F316" s="13"/>
      <c r="G316" s="13"/>
      <c r="H316" s="14"/>
      <c r="I316" s="14"/>
      <c r="J316" s="14"/>
      <c r="K316" s="14"/>
      <c r="L316" s="336"/>
      <c r="M316" s="95" t="e">
        <f t="shared" si="6"/>
        <v>#REF!</v>
      </c>
    </row>
    <row r="317" spans="1:13" x14ac:dyDescent="0.2">
      <c r="A317" s="343"/>
      <c r="B317" s="172" t="e">
        <f>Capacidades!#REF!</f>
        <v>#REF!</v>
      </c>
      <c r="C317" s="171"/>
      <c r="D317" s="13"/>
      <c r="E317" s="13"/>
      <c r="F317" s="13"/>
      <c r="G317" s="13"/>
      <c r="H317" s="14"/>
      <c r="I317" s="14"/>
      <c r="J317" s="14"/>
      <c r="K317" s="14"/>
      <c r="L317" s="336"/>
      <c r="M317" s="95" t="e">
        <f t="shared" si="6"/>
        <v>#REF!</v>
      </c>
    </row>
    <row r="318" spans="1:13" x14ac:dyDescent="0.2">
      <c r="A318" s="343"/>
      <c r="B318" s="172" t="e">
        <f>Capacidades!#REF!</f>
        <v>#REF!</v>
      </c>
      <c r="C318" s="171"/>
      <c r="D318" s="13"/>
      <c r="E318" s="13"/>
      <c r="F318" s="13"/>
      <c r="G318" s="13"/>
      <c r="H318" s="14"/>
      <c r="I318" s="14"/>
      <c r="J318" s="14"/>
      <c r="K318" s="14"/>
      <c r="L318" s="336"/>
      <c r="M318" s="95" t="e">
        <f t="shared" si="6"/>
        <v>#REF!</v>
      </c>
    </row>
    <row r="319" spans="1:13" x14ac:dyDescent="0.2">
      <c r="A319" s="343"/>
      <c r="B319" s="172" t="e">
        <f>Capacidades!#REF!</f>
        <v>#REF!</v>
      </c>
      <c r="C319" s="171"/>
      <c r="D319" s="13"/>
      <c r="E319" s="13"/>
      <c r="F319" s="13"/>
      <c r="G319" s="13"/>
      <c r="H319" s="14"/>
      <c r="I319" s="14"/>
      <c r="J319" s="14"/>
      <c r="K319" s="14"/>
      <c r="L319" s="336"/>
      <c r="M319" s="95" t="e">
        <f t="shared" si="6"/>
        <v>#REF!</v>
      </c>
    </row>
    <row r="320" spans="1:13" x14ac:dyDescent="0.2">
      <c r="A320" s="343"/>
      <c r="B320" s="172" t="e">
        <f>Capacidades!#REF!</f>
        <v>#REF!</v>
      </c>
      <c r="C320" s="171"/>
      <c r="D320" s="13"/>
      <c r="E320" s="13"/>
      <c r="F320" s="14"/>
      <c r="G320" s="14"/>
      <c r="H320" s="14"/>
      <c r="I320" s="14"/>
      <c r="J320" s="14"/>
      <c r="K320" s="14"/>
      <c r="L320" s="336"/>
      <c r="M320" s="95" t="e">
        <f t="shared" si="6"/>
        <v>#REF!</v>
      </c>
    </row>
    <row r="321" spans="1:13" x14ac:dyDescent="0.2">
      <c r="A321" s="344"/>
      <c r="B321" s="172" t="e">
        <f>Capacidades!#REF!</f>
        <v>#REF!</v>
      </c>
      <c r="C321" s="174"/>
      <c r="D321" s="13"/>
      <c r="E321" s="13"/>
      <c r="F321" s="14"/>
      <c r="G321" s="14"/>
      <c r="H321" s="14"/>
      <c r="I321" s="14"/>
      <c r="J321" s="14"/>
      <c r="K321" s="14"/>
      <c r="L321" s="336"/>
      <c r="M321" s="95" t="e">
        <f t="shared" si="6"/>
        <v>#REF!</v>
      </c>
    </row>
    <row r="322" spans="1:13" ht="15.75" x14ac:dyDescent="0.2">
      <c r="A322" s="380" t="s">
        <v>106</v>
      </c>
      <c r="B322" s="380"/>
      <c r="C322" s="380"/>
      <c r="D322" s="380"/>
      <c r="E322" s="380"/>
      <c r="F322" s="380"/>
      <c r="G322" s="380"/>
      <c r="H322" s="380"/>
      <c r="I322" s="380"/>
      <c r="J322" s="380"/>
      <c r="K322" s="380"/>
      <c r="L322" s="380"/>
      <c r="M322" s="95" t="str">
        <f>A322</f>
        <v xml:space="preserve">COMPETENCIAS PARA LA EMPLEABILIDAD INCORPORADAS COMO CONTENIDO  TRANSVERSAL </v>
      </c>
    </row>
    <row r="323" spans="1:13" ht="24" customHeight="1" x14ac:dyDescent="0.2">
      <c r="A323" s="353" t="str">
        <f>'M5'!A323:L323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24" customHeight="1" x14ac:dyDescent="0.2">
      <c r="A324" s="353" t="str">
        <f>'M5'!A324:L324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18.75" customHeight="1" x14ac:dyDescent="0.2">
      <c r="A325" s="353">
        <f>'M5'!A325:L325</f>
        <v>0</v>
      </c>
      <c r="B325" s="353"/>
      <c r="C325" s="353"/>
      <c r="D325" s="353"/>
      <c r="E325" s="353"/>
      <c r="F325" s="353"/>
      <c r="G325" s="353"/>
      <c r="H325" s="353"/>
      <c r="I325" s="353"/>
      <c r="J325" s="353"/>
      <c r="K325" s="353"/>
      <c r="L325" s="353"/>
      <c r="M325" s="95">
        <f t="shared" si="7"/>
        <v>0</v>
      </c>
    </row>
    <row r="326" spans="1:13" ht="25.5" customHeight="1" x14ac:dyDescent="0.2">
      <c r="A326" s="349" t="s">
        <v>92</v>
      </c>
      <c r="B326" s="349"/>
      <c r="C326" s="349" t="s">
        <v>91</v>
      </c>
      <c r="D326" s="349"/>
      <c r="E326" s="349"/>
      <c r="F326" s="349"/>
      <c r="G326" s="349"/>
      <c r="H326" s="349"/>
      <c r="I326" s="349"/>
      <c r="J326" s="349"/>
      <c r="K326" s="349"/>
      <c r="L326" s="349"/>
      <c r="M326" s="95" t="str">
        <f t="shared" si="7"/>
        <v>CAPACIDADES A FORTALECER</v>
      </c>
    </row>
    <row r="327" spans="1:13" x14ac:dyDescent="0.2">
      <c r="A327" s="353" t="e">
        <f ca="1">OFFSET($A$9,(ROW()-326)*10-1,0)</f>
        <v>#REF!</v>
      </c>
      <c r="B327" s="353"/>
      <c r="C327" s="365" t="str">
        <f>'M5'!C327:L356</f>
        <v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v>
      </c>
      <c r="D327" s="366"/>
      <c r="E327" s="366"/>
      <c r="F327" s="366"/>
      <c r="G327" s="366"/>
      <c r="H327" s="366"/>
      <c r="I327" s="366"/>
      <c r="J327" s="366"/>
      <c r="K327" s="366"/>
      <c r="L327" s="367"/>
      <c r="M327" s="95" t="e">
        <f t="shared" ca="1" si="7"/>
        <v>#REF!</v>
      </c>
    </row>
    <row r="328" spans="1:13" x14ac:dyDescent="0.2">
      <c r="A328" s="353" t="e">
        <f t="shared" ref="A328:A346" ca="1" si="8">OFFSET($A$9,(ROW()-326)*10-1,0)</f>
        <v>#REF!</v>
      </c>
      <c r="B328" s="353"/>
      <c r="C328" s="368"/>
      <c r="D328" s="369"/>
      <c r="E328" s="369"/>
      <c r="F328" s="369"/>
      <c r="G328" s="369"/>
      <c r="H328" s="369"/>
      <c r="I328" s="369"/>
      <c r="J328" s="369"/>
      <c r="K328" s="369"/>
      <c r="L328" s="370"/>
      <c r="M328" s="95" t="e">
        <f t="shared" ca="1" si="7"/>
        <v>#REF!</v>
      </c>
    </row>
    <row r="329" spans="1:13" x14ac:dyDescent="0.2">
      <c r="A329" s="353" t="e">
        <f t="shared" ca="1" si="8"/>
        <v>#REF!</v>
      </c>
      <c r="B329" s="353"/>
      <c r="C329" s="368"/>
      <c r="D329" s="369"/>
      <c r="E329" s="369"/>
      <c r="F329" s="369"/>
      <c r="G329" s="369"/>
      <c r="H329" s="369"/>
      <c r="I329" s="369"/>
      <c r="J329" s="369"/>
      <c r="K329" s="369"/>
      <c r="L329" s="370"/>
      <c r="M329" s="95" t="e">
        <f t="shared" ca="1" si="7"/>
        <v>#REF!</v>
      </c>
    </row>
    <row r="330" spans="1:13" x14ac:dyDescent="0.2">
      <c r="A330" s="353" t="e">
        <f t="shared" ca="1" si="8"/>
        <v>#REF!</v>
      </c>
      <c r="B330" s="353"/>
      <c r="C330" s="368"/>
      <c r="D330" s="369"/>
      <c r="E330" s="369"/>
      <c r="F330" s="369"/>
      <c r="G330" s="369"/>
      <c r="H330" s="369"/>
      <c r="I330" s="369"/>
      <c r="J330" s="369"/>
      <c r="K330" s="369"/>
      <c r="L330" s="370"/>
      <c r="M330" s="95" t="e">
        <f t="shared" ca="1" si="7"/>
        <v>#REF!</v>
      </c>
    </row>
    <row r="331" spans="1:13" x14ac:dyDescent="0.2">
      <c r="A331" s="353" t="e">
        <f t="shared" ca="1" si="8"/>
        <v>#REF!</v>
      </c>
      <c r="B331" s="353"/>
      <c r="C331" s="368"/>
      <c r="D331" s="369"/>
      <c r="E331" s="369"/>
      <c r="F331" s="369"/>
      <c r="G331" s="369"/>
      <c r="H331" s="369"/>
      <c r="I331" s="369"/>
      <c r="J331" s="369"/>
      <c r="K331" s="369"/>
      <c r="L331" s="370"/>
      <c r="M331" s="95" t="e">
        <f t="shared" ca="1" si="7"/>
        <v>#REF!</v>
      </c>
    </row>
    <row r="332" spans="1:13" x14ac:dyDescent="0.2">
      <c r="A332" s="353" t="e">
        <f t="shared" ca="1" si="8"/>
        <v>#REF!</v>
      </c>
      <c r="B332" s="353"/>
      <c r="C332" s="368"/>
      <c r="D332" s="369"/>
      <c r="E332" s="369"/>
      <c r="F332" s="369"/>
      <c r="G332" s="369"/>
      <c r="H332" s="369"/>
      <c r="I332" s="369"/>
      <c r="J332" s="369"/>
      <c r="K332" s="369"/>
      <c r="L332" s="370"/>
      <c r="M332" s="95" t="e">
        <f t="shared" ca="1" si="7"/>
        <v>#REF!</v>
      </c>
    </row>
    <row r="333" spans="1:13" x14ac:dyDescent="0.2">
      <c r="A333" s="353" t="e">
        <f t="shared" ca="1" si="8"/>
        <v>#REF!</v>
      </c>
      <c r="B333" s="353"/>
      <c r="C333" s="368"/>
      <c r="D333" s="369"/>
      <c r="E333" s="369"/>
      <c r="F333" s="369"/>
      <c r="G333" s="369"/>
      <c r="H333" s="369"/>
      <c r="I333" s="369"/>
      <c r="J333" s="369"/>
      <c r="K333" s="369"/>
      <c r="L333" s="370"/>
      <c r="M333" s="95" t="e">
        <f t="shared" ca="1" si="7"/>
        <v>#REF!</v>
      </c>
    </row>
    <row r="334" spans="1:13" x14ac:dyDescent="0.2">
      <c r="A334" s="353" t="e">
        <f t="shared" ca="1" si="8"/>
        <v>#REF!</v>
      </c>
      <c r="B334" s="353"/>
      <c r="C334" s="368"/>
      <c r="D334" s="369"/>
      <c r="E334" s="369"/>
      <c r="F334" s="369"/>
      <c r="G334" s="369"/>
      <c r="H334" s="369"/>
      <c r="I334" s="369"/>
      <c r="J334" s="369"/>
      <c r="K334" s="369"/>
      <c r="L334" s="370"/>
      <c r="M334" s="95" t="e">
        <f t="shared" ca="1" si="7"/>
        <v>#REF!</v>
      </c>
    </row>
    <row r="335" spans="1:13" x14ac:dyDescent="0.2">
      <c r="A335" s="353" t="e">
        <f t="shared" ca="1" si="8"/>
        <v>#REF!</v>
      </c>
      <c r="B335" s="353"/>
      <c r="C335" s="368"/>
      <c r="D335" s="369"/>
      <c r="E335" s="369"/>
      <c r="F335" s="369"/>
      <c r="G335" s="369"/>
      <c r="H335" s="369"/>
      <c r="I335" s="369"/>
      <c r="J335" s="369"/>
      <c r="K335" s="369"/>
      <c r="L335" s="370"/>
      <c r="M335" s="95" t="e">
        <f t="shared" ca="1" si="7"/>
        <v>#REF!</v>
      </c>
    </row>
    <row r="336" spans="1:13" x14ac:dyDescent="0.2">
      <c r="A336" s="353" t="e">
        <f t="shared" ca="1" si="8"/>
        <v>#REF!</v>
      </c>
      <c r="B336" s="353"/>
      <c r="C336" s="368"/>
      <c r="D336" s="369"/>
      <c r="E336" s="369"/>
      <c r="F336" s="369"/>
      <c r="G336" s="369"/>
      <c r="H336" s="369"/>
      <c r="I336" s="369"/>
      <c r="J336" s="369"/>
      <c r="K336" s="369"/>
      <c r="L336" s="370"/>
      <c r="M336" s="95" t="e">
        <f t="shared" ca="1" si="7"/>
        <v>#REF!</v>
      </c>
    </row>
    <row r="337" spans="1:13" x14ac:dyDescent="0.2">
      <c r="A337" s="353" t="e">
        <f t="shared" ca="1" si="8"/>
        <v>#REF!</v>
      </c>
      <c r="B337" s="353"/>
      <c r="C337" s="368"/>
      <c r="D337" s="369"/>
      <c r="E337" s="369"/>
      <c r="F337" s="369"/>
      <c r="G337" s="369"/>
      <c r="H337" s="369"/>
      <c r="I337" s="369"/>
      <c r="J337" s="369"/>
      <c r="K337" s="369"/>
      <c r="L337" s="370"/>
      <c r="M337" s="95" t="e">
        <f t="shared" ca="1" si="7"/>
        <v>#REF!</v>
      </c>
    </row>
    <row r="338" spans="1:13" x14ac:dyDescent="0.2">
      <c r="A338" s="353" t="e">
        <f t="shared" ca="1" si="8"/>
        <v>#REF!</v>
      </c>
      <c r="B338" s="353"/>
      <c r="C338" s="368"/>
      <c r="D338" s="369"/>
      <c r="E338" s="369"/>
      <c r="F338" s="369"/>
      <c r="G338" s="369"/>
      <c r="H338" s="369"/>
      <c r="I338" s="369"/>
      <c r="J338" s="369"/>
      <c r="K338" s="369"/>
      <c r="L338" s="370"/>
      <c r="M338" s="95" t="e">
        <f t="shared" ca="1" si="7"/>
        <v>#REF!</v>
      </c>
    </row>
    <row r="339" spans="1:13" x14ac:dyDescent="0.2">
      <c r="A339" s="353" t="e">
        <f t="shared" ca="1" si="8"/>
        <v>#REF!</v>
      </c>
      <c r="B339" s="353"/>
      <c r="C339" s="368"/>
      <c r="D339" s="369"/>
      <c r="E339" s="369"/>
      <c r="F339" s="369"/>
      <c r="G339" s="369"/>
      <c r="H339" s="369"/>
      <c r="I339" s="369"/>
      <c r="J339" s="369"/>
      <c r="K339" s="369"/>
      <c r="L339" s="370"/>
      <c r="M339" s="95" t="e">
        <f t="shared" ca="1" si="7"/>
        <v>#REF!</v>
      </c>
    </row>
    <row r="340" spans="1:13" x14ac:dyDescent="0.2">
      <c r="A340" s="353" t="e">
        <f t="shared" ca="1" si="8"/>
        <v>#REF!</v>
      </c>
      <c r="B340" s="353"/>
      <c r="C340" s="368"/>
      <c r="D340" s="369"/>
      <c r="E340" s="369"/>
      <c r="F340" s="369"/>
      <c r="G340" s="369"/>
      <c r="H340" s="369"/>
      <c r="I340" s="369"/>
      <c r="J340" s="369"/>
      <c r="K340" s="369"/>
      <c r="L340" s="370"/>
      <c r="M340" s="95" t="e">
        <f t="shared" ca="1" si="7"/>
        <v>#REF!</v>
      </c>
    </row>
    <row r="341" spans="1:13" x14ac:dyDescent="0.2">
      <c r="A341" s="353" t="e">
        <f t="shared" ca="1" si="8"/>
        <v>#REF!</v>
      </c>
      <c r="B341" s="353"/>
      <c r="C341" s="368"/>
      <c r="D341" s="369"/>
      <c r="E341" s="369"/>
      <c r="F341" s="369"/>
      <c r="G341" s="369"/>
      <c r="H341" s="369"/>
      <c r="I341" s="369"/>
      <c r="J341" s="369"/>
      <c r="K341" s="369"/>
      <c r="L341" s="370"/>
      <c r="M341" s="95" t="e">
        <f t="shared" ca="1" si="7"/>
        <v>#REF!</v>
      </c>
    </row>
    <row r="342" spans="1:13" x14ac:dyDescent="0.2">
      <c r="A342" s="353" t="e">
        <f t="shared" ca="1" si="8"/>
        <v>#REF!</v>
      </c>
      <c r="B342" s="353"/>
      <c r="C342" s="368"/>
      <c r="D342" s="369"/>
      <c r="E342" s="369"/>
      <c r="F342" s="369"/>
      <c r="G342" s="369"/>
      <c r="H342" s="369"/>
      <c r="I342" s="369"/>
      <c r="J342" s="369"/>
      <c r="K342" s="369"/>
      <c r="L342" s="370"/>
      <c r="M342" s="95" t="e">
        <f t="shared" ca="1" si="7"/>
        <v>#REF!</v>
      </c>
    </row>
    <row r="343" spans="1:13" x14ac:dyDescent="0.2">
      <c r="A343" s="353" t="e">
        <f t="shared" ca="1" si="8"/>
        <v>#REF!</v>
      </c>
      <c r="B343" s="353"/>
      <c r="C343" s="368"/>
      <c r="D343" s="369"/>
      <c r="E343" s="369"/>
      <c r="F343" s="369"/>
      <c r="G343" s="369"/>
      <c r="H343" s="369"/>
      <c r="I343" s="369"/>
      <c r="J343" s="369"/>
      <c r="K343" s="369"/>
      <c r="L343" s="370"/>
      <c r="M343" s="95" t="e">
        <f t="shared" ca="1" si="7"/>
        <v>#REF!</v>
      </c>
    </row>
    <row r="344" spans="1:13" x14ac:dyDescent="0.2">
      <c r="A344" s="353" t="e">
        <f t="shared" ca="1" si="8"/>
        <v>#REF!</v>
      </c>
      <c r="B344" s="353"/>
      <c r="C344" s="368"/>
      <c r="D344" s="369"/>
      <c r="E344" s="369"/>
      <c r="F344" s="369"/>
      <c r="G344" s="369"/>
      <c r="H344" s="369"/>
      <c r="I344" s="369"/>
      <c r="J344" s="369"/>
      <c r="K344" s="369"/>
      <c r="L344" s="370"/>
      <c r="M344" s="95" t="e">
        <f t="shared" ca="1" si="7"/>
        <v>#REF!</v>
      </c>
    </row>
    <row r="345" spans="1:13" x14ac:dyDescent="0.2">
      <c r="A345" s="353" t="e">
        <f ca="1">OFFSET($A$9,(ROW()-326)*10-1,0)</f>
        <v>#REF!</v>
      </c>
      <c r="B345" s="353"/>
      <c r="C345" s="368"/>
      <c r="D345" s="369"/>
      <c r="E345" s="369"/>
      <c r="F345" s="369"/>
      <c r="G345" s="369"/>
      <c r="H345" s="369"/>
      <c r="I345" s="369"/>
      <c r="J345" s="369"/>
      <c r="K345" s="369"/>
      <c r="L345" s="370"/>
      <c r="M345" s="95" t="e">
        <f t="shared" ca="1" si="7"/>
        <v>#REF!</v>
      </c>
    </row>
    <row r="346" spans="1:13" x14ac:dyDescent="0.2">
      <c r="A346" s="353" t="e">
        <f t="shared" ca="1" si="8"/>
        <v>#REF!</v>
      </c>
      <c r="B346" s="353"/>
      <c r="C346" s="368"/>
      <c r="D346" s="369"/>
      <c r="E346" s="369"/>
      <c r="F346" s="369"/>
      <c r="G346" s="369"/>
      <c r="H346" s="369"/>
      <c r="I346" s="369"/>
      <c r="J346" s="369"/>
      <c r="K346" s="369"/>
      <c r="L346" s="370"/>
      <c r="M346" s="95" t="e">
        <f t="shared" ca="1" si="7"/>
        <v>#REF!</v>
      </c>
    </row>
    <row r="347" spans="1:13" x14ac:dyDescent="0.2">
      <c r="A347" s="353" t="e">
        <f ca="1">OFFSET($A$213,(ROW()-346)*10-1,0)</f>
        <v>#REF!</v>
      </c>
      <c r="B347" s="353"/>
      <c r="C347" s="368"/>
      <c r="D347" s="369"/>
      <c r="E347" s="369"/>
      <c r="F347" s="369"/>
      <c r="G347" s="369"/>
      <c r="H347" s="369"/>
      <c r="I347" s="369"/>
      <c r="J347" s="369"/>
      <c r="K347" s="369"/>
      <c r="L347" s="370"/>
      <c r="M347" s="95" t="e">
        <f t="shared" ca="1" si="7"/>
        <v>#REF!</v>
      </c>
    </row>
    <row r="348" spans="1:13" x14ac:dyDescent="0.2">
      <c r="A348" s="353" t="e">
        <f t="shared" ref="A348:A356" ca="1" si="9">OFFSET($A$213,(ROW()-346)*10-1,0)</f>
        <v>#REF!</v>
      </c>
      <c r="B348" s="353"/>
      <c r="C348" s="368"/>
      <c r="D348" s="369"/>
      <c r="E348" s="369"/>
      <c r="F348" s="369"/>
      <c r="G348" s="369"/>
      <c r="H348" s="369"/>
      <c r="I348" s="369"/>
      <c r="J348" s="369"/>
      <c r="K348" s="369"/>
      <c r="L348" s="370"/>
      <c r="M348" s="95" t="e">
        <f t="shared" ca="1" si="7"/>
        <v>#REF!</v>
      </c>
    </row>
    <row r="349" spans="1:13" x14ac:dyDescent="0.2">
      <c r="A349" s="353" t="e">
        <f t="shared" ca="1" si="9"/>
        <v>#REF!</v>
      </c>
      <c r="B349" s="353"/>
      <c r="C349" s="368"/>
      <c r="D349" s="369"/>
      <c r="E349" s="369"/>
      <c r="F349" s="369"/>
      <c r="G349" s="369"/>
      <c r="H349" s="369"/>
      <c r="I349" s="369"/>
      <c r="J349" s="369"/>
      <c r="K349" s="369"/>
      <c r="L349" s="370"/>
      <c r="M349" s="95" t="e">
        <f t="shared" ca="1" si="7"/>
        <v>#REF!</v>
      </c>
    </row>
    <row r="350" spans="1:13" x14ac:dyDescent="0.2">
      <c r="A350" s="353" t="e">
        <f t="shared" ca="1" si="9"/>
        <v>#REF!</v>
      </c>
      <c r="B350" s="353"/>
      <c r="C350" s="368"/>
      <c r="D350" s="369"/>
      <c r="E350" s="369"/>
      <c r="F350" s="369"/>
      <c r="G350" s="369"/>
      <c r="H350" s="369"/>
      <c r="I350" s="369"/>
      <c r="J350" s="369"/>
      <c r="K350" s="369"/>
      <c r="L350" s="370"/>
      <c r="M350" s="95" t="e">
        <f t="shared" ca="1" si="7"/>
        <v>#REF!</v>
      </c>
    </row>
    <row r="351" spans="1:13" x14ac:dyDescent="0.2">
      <c r="A351" s="353" t="e">
        <f t="shared" ca="1" si="9"/>
        <v>#REF!</v>
      </c>
      <c r="B351" s="353"/>
      <c r="C351" s="368"/>
      <c r="D351" s="369"/>
      <c r="E351" s="369"/>
      <c r="F351" s="369"/>
      <c r="G351" s="369"/>
      <c r="H351" s="369"/>
      <c r="I351" s="369"/>
      <c r="J351" s="369"/>
      <c r="K351" s="369"/>
      <c r="L351" s="370"/>
      <c r="M351" s="95" t="e">
        <f t="shared" ca="1" si="7"/>
        <v>#REF!</v>
      </c>
    </row>
    <row r="352" spans="1:13" x14ac:dyDescent="0.2">
      <c r="A352" s="353" t="e">
        <f t="shared" ca="1" si="9"/>
        <v>#REF!</v>
      </c>
      <c r="B352" s="353"/>
      <c r="C352" s="368"/>
      <c r="D352" s="369"/>
      <c r="E352" s="369"/>
      <c r="F352" s="369"/>
      <c r="G352" s="369"/>
      <c r="H352" s="369"/>
      <c r="I352" s="369"/>
      <c r="J352" s="369"/>
      <c r="K352" s="369"/>
      <c r="L352" s="370"/>
      <c r="M352" s="95" t="e">
        <f t="shared" ca="1" si="7"/>
        <v>#REF!</v>
      </c>
    </row>
    <row r="353" spans="1:13" x14ac:dyDescent="0.2">
      <c r="A353" s="353" t="e">
        <f t="shared" ca="1" si="9"/>
        <v>#REF!</v>
      </c>
      <c r="B353" s="353"/>
      <c r="C353" s="368"/>
      <c r="D353" s="369"/>
      <c r="E353" s="369"/>
      <c r="F353" s="369"/>
      <c r="G353" s="369"/>
      <c r="H353" s="369"/>
      <c r="I353" s="369"/>
      <c r="J353" s="369"/>
      <c r="K353" s="369"/>
      <c r="L353" s="370"/>
      <c r="M353" s="95" t="e">
        <f t="shared" ca="1" si="7"/>
        <v>#REF!</v>
      </c>
    </row>
    <row r="354" spans="1:13" x14ac:dyDescent="0.2">
      <c r="A354" s="353" t="e">
        <f t="shared" ca="1" si="9"/>
        <v>#REF!</v>
      </c>
      <c r="B354" s="353"/>
      <c r="C354" s="368"/>
      <c r="D354" s="369"/>
      <c r="E354" s="369"/>
      <c r="F354" s="369"/>
      <c r="G354" s="369"/>
      <c r="H354" s="369"/>
      <c r="I354" s="369"/>
      <c r="J354" s="369"/>
      <c r="K354" s="369"/>
      <c r="L354" s="370"/>
      <c r="M354" s="95" t="e">
        <f t="shared" ca="1" si="7"/>
        <v>#REF!</v>
      </c>
    </row>
    <row r="355" spans="1:13" x14ac:dyDescent="0.2">
      <c r="A355" s="353" t="e">
        <f t="shared" ca="1" si="9"/>
        <v>#REF!</v>
      </c>
      <c r="B355" s="353"/>
      <c r="C355" s="368"/>
      <c r="D355" s="369"/>
      <c r="E355" s="369"/>
      <c r="F355" s="369"/>
      <c r="G355" s="369"/>
      <c r="H355" s="369"/>
      <c r="I355" s="369"/>
      <c r="J355" s="369"/>
      <c r="K355" s="369"/>
      <c r="L355" s="370"/>
      <c r="M355" s="95" t="e">
        <f t="shared" ca="1" si="7"/>
        <v>#REF!</v>
      </c>
    </row>
    <row r="356" spans="1:13" x14ac:dyDescent="0.2">
      <c r="A356" s="353" t="e">
        <f t="shared" ca="1" si="9"/>
        <v>#REF!</v>
      </c>
      <c r="B356" s="353"/>
      <c r="C356" s="371"/>
      <c r="D356" s="372"/>
      <c r="E356" s="372"/>
      <c r="F356" s="372"/>
      <c r="G356" s="372"/>
      <c r="H356" s="372"/>
      <c r="I356" s="372"/>
      <c r="J356" s="372"/>
      <c r="K356" s="372"/>
      <c r="L356" s="373"/>
      <c r="M356" s="95" t="e">
        <f t="shared" ca="1" si="7"/>
        <v>#REF!</v>
      </c>
    </row>
    <row r="357" spans="1:13" s="57" customFormat="1" ht="18" customHeight="1" x14ac:dyDescent="0.2">
      <c r="A357" s="380" t="str">
        <f>'M1'!A350:L350</f>
        <v>EXPERIENCIAS FORMATIVAS EN SITUACIONES REALES DE TRABAJO (EFSRT)</v>
      </c>
      <c r="B357" s="380"/>
      <c r="C357" s="380"/>
      <c r="D357" s="380"/>
      <c r="E357" s="380"/>
      <c r="F357" s="380"/>
      <c r="G357" s="380"/>
      <c r="H357" s="380"/>
      <c r="I357" s="380"/>
      <c r="J357" s="380"/>
      <c r="K357" s="380"/>
      <c r="L357" s="380"/>
      <c r="M357" s="95" t="str">
        <f t="shared" si="7"/>
        <v>EXPERIENCIAS FORMATIVAS EN SITUACIONES REALES DE TRABAJO (EFSRT)</v>
      </c>
    </row>
    <row r="358" spans="1:13" s="57" customFormat="1" ht="18.75" customHeight="1" x14ac:dyDescent="0.2">
      <c r="A358" s="161" t="str">
        <f>'M1'!A351</f>
        <v>LUGAR PARA EL DESARROLLO DE LA EFSRT</v>
      </c>
      <c r="B358" s="161" t="str">
        <f>'M1'!B351</f>
        <v>AMBIENTES/ÁREAS (1)</v>
      </c>
      <c r="C358" s="381" t="str">
        <f>'M1'!C351:J351</f>
        <v>DESCRIPCIÓN DE LA ESTRATEGIA PARA LA IMPLEMENTACIÓN DE LA EFSRT (2)</v>
      </c>
      <c r="D358" s="381"/>
      <c r="E358" s="381"/>
      <c r="F358" s="381"/>
      <c r="G358" s="381"/>
      <c r="H358" s="381"/>
      <c r="I358" s="381"/>
      <c r="J358" s="381"/>
      <c r="K358" s="161" t="str">
        <f>'M1'!K351</f>
        <v>CRÉDITOS</v>
      </c>
      <c r="L358" s="161" t="str">
        <f>'M1'!L351</f>
        <v>HORAS (P)</v>
      </c>
      <c r="M358" s="95" t="str">
        <f t="shared" si="7"/>
        <v>LUGAR PARA EL DESARROLLO DE LA EFSRT</v>
      </c>
    </row>
    <row r="359" spans="1:13" s="57" customFormat="1" ht="12.75" customHeight="1" x14ac:dyDescent="0.2">
      <c r="A359" s="169"/>
      <c r="B359" s="169"/>
      <c r="C359" s="377"/>
      <c r="D359" s="378"/>
      <c r="E359" s="378"/>
      <c r="F359" s="378"/>
      <c r="G359" s="378"/>
      <c r="H359" s="378"/>
      <c r="I359" s="378"/>
      <c r="J359" s="379"/>
      <c r="K359" s="17">
        <f>Organización_Modular!I164</f>
        <v>0</v>
      </c>
      <c r="L359" s="18">
        <f>K359*32</f>
        <v>0</v>
      </c>
      <c r="M359" s="95">
        <f>C359</f>
        <v>0</v>
      </c>
    </row>
    <row r="360" spans="1:13" s="57" customFormat="1" x14ac:dyDescent="0.2">
      <c r="A360" s="169"/>
      <c r="B360" s="169"/>
      <c r="C360" s="377"/>
      <c r="D360" s="378"/>
      <c r="E360" s="378"/>
      <c r="F360" s="378"/>
      <c r="G360" s="378"/>
      <c r="H360" s="378"/>
      <c r="I360" s="378"/>
      <c r="J360" s="379"/>
      <c r="K360" s="92"/>
      <c r="L360" s="93"/>
      <c r="M360" s="95">
        <f>C360</f>
        <v>0</v>
      </c>
    </row>
    <row r="361" spans="1:13" ht="30" customHeight="1" x14ac:dyDescent="0.2">
      <c r="A361" s="323" t="str">
        <f>'M1'!A354</f>
        <v>(1) Colocar el nombre del espacio, área u otros, donde se desarrolla las EFSRT
(2) Realizar una breve descripción respecto al desarrollo de las EFSRT, según el lugar de realización.</v>
      </c>
      <c r="B361" s="324"/>
      <c r="M361" s="95" t="str">
        <f>A361</f>
        <v>(1) Colocar el nombre del espacio, área u otros, donde se desarrolla las EFSRT
(2) Realizar una breve descripción respecto al desarrollo de las EFSRT, según el lugar de realización.</v>
      </c>
    </row>
    <row r="362" spans="1:13" x14ac:dyDescent="0.2">
      <c r="A362" s="138" t="s">
        <v>144</v>
      </c>
      <c r="B362" s="139" t="s">
        <v>148</v>
      </c>
    </row>
    <row r="363" spans="1:13" x14ac:dyDescent="0.2">
      <c r="A363" s="138" t="s">
        <v>145</v>
      </c>
      <c r="B363" s="139" t="s">
        <v>149</v>
      </c>
    </row>
    <row r="364" spans="1:13" x14ac:dyDescent="0.2">
      <c r="A364" s="138"/>
      <c r="B364" s="139" t="s">
        <v>152</v>
      </c>
    </row>
    <row r="365" spans="1:13" x14ac:dyDescent="0.2">
      <c r="A365" s="138"/>
      <c r="B365" s="139" t="s">
        <v>150</v>
      </c>
    </row>
    <row r="366" spans="1:13" x14ac:dyDescent="0.2">
      <c r="A366" s="138"/>
      <c r="B366" s="139" t="s">
        <v>151</v>
      </c>
    </row>
    <row r="367" spans="1:13" x14ac:dyDescent="0.2">
      <c r="A367" s="134"/>
      <c r="B367" s="139" t="s">
        <v>153</v>
      </c>
    </row>
  </sheetData>
  <autoFilter ref="A16:M367" xr:uid="{00000000-0009-0000-0000-000009000000}">
    <filterColumn colId="5" showButton="0"/>
    <filterColumn colId="8" showButton="0"/>
  </autoFilter>
  <mergeCells count="141">
    <mergeCell ref="A128:A137"/>
    <mergeCell ref="A138:A147"/>
    <mergeCell ref="A148:A157"/>
    <mergeCell ref="A158:A167"/>
    <mergeCell ref="A168:A177"/>
    <mergeCell ref="A178:A187"/>
    <mergeCell ref="A188:A197"/>
    <mergeCell ref="A198:A207"/>
    <mergeCell ref="A208:A217"/>
    <mergeCell ref="A38:A47"/>
    <mergeCell ref="A48:A57"/>
    <mergeCell ref="A58:A67"/>
    <mergeCell ref="A68:A77"/>
    <mergeCell ref="A78:A87"/>
    <mergeCell ref="A88:A97"/>
    <mergeCell ref="A98:A107"/>
    <mergeCell ref="A108:A117"/>
    <mergeCell ref="A118:A127"/>
    <mergeCell ref="F7:H7"/>
    <mergeCell ref="I7:L7"/>
    <mergeCell ref="F9:H9"/>
    <mergeCell ref="I9:L9"/>
    <mergeCell ref="B11:C11"/>
    <mergeCell ref="F11:H11"/>
    <mergeCell ref="I11:L11"/>
    <mergeCell ref="A1:L1"/>
    <mergeCell ref="B3:C3"/>
    <mergeCell ref="F3:H3"/>
    <mergeCell ref="I3:L3"/>
    <mergeCell ref="F5:H5"/>
    <mergeCell ref="I5:L5"/>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L38:L47"/>
    <mergeCell ref="L48:L57"/>
    <mergeCell ref="L58:L67"/>
    <mergeCell ref="L68:L77"/>
    <mergeCell ref="L78:L87"/>
    <mergeCell ref="L88:L97"/>
    <mergeCell ref="I16:J16"/>
    <mergeCell ref="K16:K17"/>
    <mergeCell ref="L16:L17"/>
    <mergeCell ref="L158:L167"/>
    <mergeCell ref="L168:L177"/>
    <mergeCell ref="L178:L187"/>
    <mergeCell ref="L188:L197"/>
    <mergeCell ref="L198:L207"/>
    <mergeCell ref="L208:L217"/>
    <mergeCell ref="L98:L107"/>
    <mergeCell ref="L108:L117"/>
    <mergeCell ref="L118:L127"/>
    <mergeCell ref="L128:L137"/>
    <mergeCell ref="L138:L147"/>
    <mergeCell ref="L148:L157"/>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44:B344"/>
    <mergeCell ref="A345:B345"/>
    <mergeCell ref="A346:B346"/>
    <mergeCell ref="A347:B347"/>
    <mergeCell ref="A361:B361"/>
    <mergeCell ref="C359:J359"/>
    <mergeCell ref="C360:J360"/>
    <mergeCell ref="A354:B354"/>
    <mergeCell ref="A355:B355"/>
    <mergeCell ref="A356:B356"/>
    <mergeCell ref="A357:L357"/>
    <mergeCell ref="C358:J358"/>
  </mergeCells>
  <conditionalFormatting sqref="C18:C217 L18:L217 C222:C321 L222:L321 C327:L356 A359:J360">
    <cfRule type="containsBlanks" dxfId="51"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filterMode="1">
    <tabColor theme="9" tint="-0.249977111117893"/>
  </sheetPr>
  <dimension ref="A1:AJ214"/>
  <sheetViews>
    <sheetView showGridLines="0" tabSelected="1" view="pageBreakPreview" topLeftCell="A85" zoomScale="90" zoomScaleNormal="90" zoomScaleSheetLayoutView="90" workbookViewId="0">
      <selection activeCell="D119" sqref="D119:E119"/>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17.140625" style="2" customWidth="1"/>
    <col min="6" max="6" width="6.5703125" style="2" customWidth="1"/>
    <col min="7" max="7" width="6.28515625" style="2" customWidth="1"/>
    <col min="8" max="17" width="4.28515625" style="2" customWidth="1"/>
    <col min="18" max="19" width="10.7109375" style="2" customWidth="1"/>
    <col min="20" max="20" width="12.7109375" style="64" customWidth="1"/>
    <col min="21" max="22" width="10.7109375" style="64" customWidth="1"/>
    <col min="23" max="23" width="12.7109375" style="64" customWidth="1"/>
    <col min="24" max="24" width="4.85546875" style="2" customWidth="1"/>
    <col min="25" max="25" width="4.140625" style="2" customWidth="1"/>
    <col min="26" max="26" width="4.42578125" style="2" customWidth="1"/>
    <col min="27" max="32" width="4.140625" style="2" customWidth="1"/>
    <col min="33" max="36" width="4.140625" style="2" hidden="1" customWidth="1"/>
    <col min="37" max="16384" width="11.42578125" style="2"/>
  </cols>
  <sheetData>
    <row r="1" spans="1:36" ht="68.45" customHeight="1" x14ac:dyDescent="0.2">
      <c r="A1" s="431" t="s">
        <v>179</v>
      </c>
      <c r="B1" s="432"/>
      <c r="C1" s="432"/>
      <c r="D1" s="432"/>
      <c r="E1" s="432"/>
      <c r="F1" s="432"/>
      <c r="G1" s="432"/>
      <c r="H1" s="432"/>
      <c r="I1" s="432"/>
      <c r="J1" s="432"/>
      <c r="K1" s="432"/>
      <c r="L1" s="432"/>
      <c r="M1" s="432"/>
      <c r="N1" s="432"/>
      <c r="O1" s="432"/>
      <c r="P1" s="432"/>
      <c r="Q1" s="432"/>
      <c r="R1" s="432"/>
      <c r="S1" s="432"/>
      <c r="T1" s="432"/>
      <c r="U1" s="432"/>
      <c r="V1" s="432"/>
      <c r="W1" s="432"/>
      <c r="X1" s="9"/>
    </row>
    <row r="2" spans="1:36" ht="27" customHeight="1" x14ac:dyDescent="0.2">
      <c r="A2" s="37"/>
      <c r="B2" s="37"/>
      <c r="C2" s="37"/>
      <c r="D2" s="37"/>
      <c r="E2" s="37"/>
      <c r="F2" s="37"/>
      <c r="G2" s="37"/>
      <c r="H2" s="37"/>
      <c r="I2" s="37"/>
      <c r="J2" s="37"/>
      <c r="K2" s="37"/>
      <c r="L2" s="37"/>
      <c r="M2" s="37"/>
      <c r="N2" s="37"/>
      <c r="O2" s="37"/>
      <c r="P2" s="37"/>
      <c r="Q2" s="37"/>
      <c r="R2" s="37"/>
      <c r="S2" s="37"/>
      <c r="T2" s="37"/>
      <c r="U2" s="37"/>
      <c r="V2" s="37"/>
      <c r="W2" s="37"/>
      <c r="X2" s="9"/>
    </row>
    <row r="3" spans="1:36" ht="32.25" customHeight="1" x14ac:dyDescent="0.2">
      <c r="A3" s="417" t="s">
        <v>122</v>
      </c>
      <c r="B3" s="417"/>
      <c r="C3" s="418" t="str">
        <f>Perfil_Egreso!B3</f>
        <v>CETPRO JUANJUI</v>
      </c>
      <c r="D3" s="418"/>
      <c r="E3" s="418"/>
      <c r="F3" s="418"/>
      <c r="G3" s="418"/>
      <c r="H3" s="418"/>
      <c r="I3" s="418"/>
      <c r="J3" s="418"/>
      <c r="K3" s="418"/>
      <c r="L3" s="412" t="s">
        <v>123</v>
      </c>
      <c r="M3" s="412"/>
      <c r="N3" s="412"/>
      <c r="O3" s="412"/>
      <c r="P3" s="412"/>
      <c r="Q3" s="412"/>
      <c r="R3" s="412"/>
      <c r="S3" s="418" t="str">
        <f>Perfil_Egreso!E3</f>
        <v>0533836</v>
      </c>
      <c r="T3" s="418"/>
      <c r="U3" s="418"/>
      <c r="V3" s="418"/>
      <c r="W3" s="418"/>
      <c r="X3" s="9"/>
    </row>
    <row r="4" spans="1:36" ht="21" customHeight="1" x14ac:dyDescent="0.2">
      <c r="A4" s="76"/>
      <c r="B4" s="76"/>
      <c r="C4" s="38"/>
      <c r="D4" s="38"/>
      <c r="E4" s="38"/>
      <c r="F4" s="38"/>
      <c r="G4" s="38"/>
      <c r="H4" s="110"/>
      <c r="I4" s="110"/>
      <c r="J4" s="110"/>
      <c r="K4" s="110"/>
      <c r="L4" s="110"/>
      <c r="M4" s="110"/>
      <c r="N4" s="110"/>
      <c r="O4" s="110"/>
      <c r="P4" s="110"/>
      <c r="Q4" s="111"/>
      <c r="R4" s="111"/>
      <c r="S4" s="111"/>
      <c r="T4" s="110"/>
      <c r="U4" s="110"/>
      <c r="V4" s="110"/>
      <c r="W4" s="110"/>
      <c r="X4" s="9"/>
    </row>
    <row r="5" spans="1:36" ht="27" customHeight="1" x14ac:dyDescent="0.2">
      <c r="A5" s="417" t="s">
        <v>42</v>
      </c>
      <c r="B5" s="417"/>
      <c r="C5" s="418" t="str">
        <f>Perfil_Egreso!B5</f>
        <v>INFORMACIÓN Y COMUNICACIONES</v>
      </c>
      <c r="D5" s="418"/>
      <c r="E5" s="433" t="s">
        <v>43</v>
      </c>
      <c r="F5" s="434"/>
      <c r="G5" s="418" t="str">
        <f>Perfil_Egreso!D5</f>
        <v>TECNOLOGÍAS DE LA INFORMACIÓN Y COMUNICACIONES - TICS</v>
      </c>
      <c r="H5" s="418"/>
      <c r="I5" s="418"/>
      <c r="J5" s="418"/>
      <c r="K5" s="418"/>
      <c r="L5" s="418"/>
      <c r="M5" s="418"/>
      <c r="N5" s="418"/>
      <c r="O5" s="418"/>
      <c r="P5" s="424" t="s">
        <v>44</v>
      </c>
      <c r="Q5" s="424"/>
      <c r="R5" s="424"/>
      <c r="S5" s="424"/>
      <c r="T5" s="418" t="str">
        <f>Perfil_Egreso!B7</f>
        <v>PROGRAMACIÓN INFORMÁTICA, CONSULTORÍA DE INFORMÁTICA Y ACTIVIDADES CONEXAS</v>
      </c>
      <c r="U5" s="418"/>
      <c r="V5" s="418"/>
      <c r="W5" s="418"/>
      <c r="X5" s="9"/>
    </row>
    <row r="6" spans="1:36" ht="19.5" customHeight="1" x14ac:dyDescent="0.2">
      <c r="A6" s="108"/>
      <c r="B6" s="108"/>
      <c r="C6" s="39"/>
      <c r="D6" s="39"/>
      <c r="E6" s="39"/>
      <c r="F6" s="39"/>
      <c r="G6" s="39"/>
      <c r="H6" s="110"/>
      <c r="I6" s="110"/>
      <c r="J6" s="110"/>
      <c r="K6" s="110"/>
      <c r="L6" s="110"/>
      <c r="M6" s="110"/>
      <c r="N6" s="110"/>
      <c r="O6" s="110"/>
      <c r="P6" s="110"/>
      <c r="Q6" s="111"/>
      <c r="R6" s="111"/>
      <c r="S6" s="111"/>
      <c r="T6" s="110"/>
      <c r="U6" s="110"/>
      <c r="V6" s="110"/>
      <c r="W6" s="110"/>
      <c r="X6" s="9"/>
    </row>
    <row r="7" spans="1:36" ht="51" customHeight="1" x14ac:dyDescent="0.2">
      <c r="A7" s="425" t="s">
        <v>154</v>
      </c>
      <c r="B7" s="425"/>
      <c r="C7" s="396">
        <f>Perfil_Egreso!B9</f>
        <v>0</v>
      </c>
      <c r="D7" s="397"/>
      <c r="E7" s="397"/>
      <c r="F7" s="397"/>
      <c r="G7" s="397"/>
      <c r="H7" s="397"/>
      <c r="I7" s="397"/>
      <c r="J7" s="397"/>
      <c r="K7" s="398"/>
      <c r="L7" s="399" t="s">
        <v>155</v>
      </c>
      <c r="M7" s="400"/>
      <c r="N7" s="400"/>
      <c r="O7" s="400"/>
      <c r="P7" s="400"/>
      <c r="Q7" s="400"/>
      <c r="R7" s="400"/>
      <c r="S7" s="396" t="str">
        <f>Perfil_Egreso!B11</f>
        <v>REDES Y COMUNICACIONES</v>
      </c>
      <c r="T7" s="397"/>
      <c r="U7" s="397"/>
      <c r="V7" s="397"/>
      <c r="W7" s="398"/>
      <c r="X7" s="9"/>
    </row>
    <row r="8" spans="1:36" ht="19.5" customHeight="1" x14ac:dyDescent="0.2">
      <c r="A8" s="9"/>
      <c r="B8" s="9"/>
      <c r="C8" s="38"/>
      <c r="D8" s="38"/>
      <c r="E8" s="38"/>
      <c r="F8" s="38"/>
      <c r="G8" s="38"/>
      <c r="H8" s="110"/>
      <c r="I8" s="110"/>
      <c r="J8" s="110"/>
      <c r="K8" s="110"/>
      <c r="L8" s="110"/>
      <c r="M8" s="110"/>
      <c r="N8" s="110"/>
      <c r="O8" s="110"/>
      <c r="P8" s="110"/>
      <c r="Q8" s="111"/>
      <c r="R8" s="111"/>
      <c r="S8" s="111"/>
      <c r="T8" s="110"/>
      <c r="U8" s="110"/>
      <c r="V8" s="110"/>
      <c r="W8" s="110"/>
      <c r="X8" s="9"/>
    </row>
    <row r="9" spans="1:36" ht="27" customHeight="1" x14ac:dyDescent="0.2">
      <c r="A9" s="419" t="s">
        <v>124</v>
      </c>
      <c r="B9" s="419"/>
      <c r="C9" s="420" t="str">
        <f>Perfil_Egreso!E11</f>
        <v>J2662-2-001</v>
      </c>
      <c r="D9" s="398"/>
      <c r="E9" s="401" t="s">
        <v>41</v>
      </c>
      <c r="F9" s="406"/>
      <c r="G9" s="396" t="str">
        <f>Perfil_Egreso!B15</f>
        <v>TÉCNICO</v>
      </c>
      <c r="H9" s="397"/>
      <c r="I9" s="397"/>
      <c r="J9" s="397"/>
      <c r="K9" s="397"/>
      <c r="L9" s="398"/>
      <c r="M9" s="401" t="s">
        <v>160</v>
      </c>
      <c r="N9" s="402"/>
      <c r="O9" s="402"/>
      <c r="P9" s="403">
        <f>W17</f>
        <v>2112</v>
      </c>
      <c r="Q9" s="404"/>
      <c r="R9" s="405"/>
      <c r="S9" s="401" t="s">
        <v>35</v>
      </c>
      <c r="T9" s="406"/>
      <c r="U9" s="396">
        <f>T17</f>
        <v>80</v>
      </c>
      <c r="V9" s="397"/>
      <c r="W9" s="398"/>
      <c r="X9" s="9"/>
    </row>
    <row r="10" spans="1:36" ht="15.75" customHeight="1" x14ac:dyDescent="0.2">
      <c r="A10" s="152"/>
      <c r="B10" s="152"/>
      <c r="C10" s="41"/>
      <c r="D10" s="41"/>
      <c r="E10" s="41"/>
      <c r="F10" s="76"/>
      <c r="G10" s="41"/>
      <c r="H10" s="41"/>
      <c r="I10" s="41"/>
      <c r="J10" s="41"/>
      <c r="K10" s="41"/>
      <c r="L10" s="41"/>
      <c r="M10" s="41"/>
      <c r="N10" s="41"/>
      <c r="O10" s="41"/>
      <c r="P10" s="76"/>
      <c r="Q10" s="76"/>
      <c r="R10" s="76"/>
      <c r="S10" s="76"/>
      <c r="T10" s="37"/>
      <c r="U10" s="37"/>
      <c r="V10" s="37"/>
      <c r="W10" s="37"/>
      <c r="X10" s="9"/>
    </row>
    <row r="11" spans="1:36" ht="36" customHeight="1" x14ac:dyDescent="0.2">
      <c r="A11" s="425" t="s">
        <v>45</v>
      </c>
      <c r="B11" s="425"/>
      <c r="C11" s="426" t="str">
        <f>Perfil_Egreso!D13</f>
        <v>PRESENCIAL</v>
      </c>
      <c r="D11" s="427"/>
      <c r="E11" s="427"/>
      <c r="F11" s="427"/>
      <c r="G11" s="427"/>
      <c r="H11" s="427"/>
      <c r="I11" s="427"/>
      <c r="J11" s="427"/>
      <c r="K11" s="427"/>
      <c r="L11" s="427"/>
      <c r="M11" s="427"/>
      <c r="N11" s="427"/>
      <c r="O11" s="428"/>
      <c r="P11" s="76"/>
      <c r="Q11" s="76"/>
      <c r="R11" s="76"/>
      <c r="S11" s="76"/>
      <c r="T11" s="37"/>
      <c r="U11" s="37"/>
      <c r="V11" s="37"/>
      <c r="W11" s="37"/>
      <c r="X11" s="9"/>
    </row>
    <row r="12" spans="1:36" ht="15.75" customHeight="1" x14ac:dyDescent="0.2">
      <c r="A12" s="152"/>
      <c r="B12" s="152"/>
      <c r="C12" s="41"/>
      <c r="D12" s="41"/>
      <c r="E12" s="41"/>
      <c r="F12" s="76"/>
      <c r="G12" s="41"/>
      <c r="H12" s="41"/>
      <c r="I12" s="41"/>
      <c r="J12" s="41"/>
      <c r="K12" s="41"/>
      <c r="L12" s="41"/>
      <c r="M12" s="41"/>
      <c r="N12" s="41"/>
      <c r="O12" s="41"/>
      <c r="P12" s="76"/>
      <c r="Q12" s="76"/>
      <c r="R12" s="76"/>
      <c r="S12" s="76"/>
      <c r="T12" s="37"/>
      <c r="U12" s="37"/>
      <c r="V12" s="37"/>
      <c r="W12" s="37"/>
      <c r="X12" s="9"/>
    </row>
    <row r="13" spans="1:36" ht="45.6" customHeight="1" x14ac:dyDescent="0.2">
      <c r="A13" s="425" t="s">
        <v>161</v>
      </c>
      <c r="B13" s="425"/>
      <c r="C13" s="396"/>
      <c r="D13" s="397"/>
      <c r="E13" s="398"/>
      <c r="F13" s="42"/>
      <c r="G13" s="413" t="s">
        <v>47</v>
      </c>
      <c r="H13" s="413"/>
      <c r="I13" s="413"/>
      <c r="J13" s="413"/>
      <c r="K13" s="413"/>
      <c r="L13" s="413"/>
      <c r="M13" s="413"/>
      <c r="N13" s="413"/>
      <c r="O13" s="413"/>
      <c r="P13" s="413"/>
      <c r="Q13" s="413"/>
      <c r="R13" s="148" t="s">
        <v>13</v>
      </c>
      <c r="S13" s="148" t="s">
        <v>14</v>
      </c>
      <c r="T13" s="148" t="s">
        <v>15</v>
      </c>
      <c r="U13" s="149" t="s">
        <v>16</v>
      </c>
      <c r="V13" s="148" t="s">
        <v>17</v>
      </c>
      <c r="W13" s="148" t="s">
        <v>18</v>
      </c>
      <c r="X13" s="9"/>
      <c r="Y13" s="390" t="s">
        <v>173</v>
      </c>
      <c r="Z13" s="391"/>
      <c r="AA13" s="391"/>
      <c r="AB13" s="391"/>
      <c r="AC13" s="391"/>
      <c r="AD13" s="391"/>
      <c r="AE13" s="391"/>
      <c r="AF13" s="391"/>
      <c r="AG13" s="391"/>
      <c r="AH13" s="391"/>
      <c r="AI13" s="391"/>
      <c r="AJ13" s="392"/>
    </row>
    <row r="14" spans="1:36" ht="37.5" customHeight="1" x14ac:dyDescent="0.2">
      <c r="A14" s="153"/>
      <c r="B14" s="153"/>
      <c r="C14" s="109"/>
      <c r="D14" s="109"/>
      <c r="E14" s="109"/>
      <c r="F14" s="42"/>
      <c r="G14" s="422" t="s">
        <v>11</v>
      </c>
      <c r="H14" s="422"/>
      <c r="I14" s="422"/>
      <c r="J14" s="422"/>
      <c r="K14" s="422"/>
      <c r="L14" s="422"/>
      <c r="M14" s="422"/>
      <c r="N14" s="422"/>
      <c r="O14" s="422"/>
      <c r="P14" s="422"/>
      <c r="Q14" s="422"/>
      <c r="R14" s="87">
        <f>SUM(R24:R43,R55:R74,R86:R105,R117:R136)</f>
        <v>25</v>
      </c>
      <c r="S14" s="87">
        <f>SUM(S24:S43,S55:S74,S86:S105,S117:S136)</f>
        <v>28</v>
      </c>
      <c r="T14" s="175">
        <f>SUM(R14:S14)</f>
        <v>53</v>
      </c>
      <c r="U14" s="87">
        <f>R14*$S$19</f>
        <v>400</v>
      </c>
      <c r="V14" s="87">
        <f>S14*$U$19</f>
        <v>896</v>
      </c>
      <c r="W14" s="175">
        <f>SUM(U14:V14)</f>
        <v>1296</v>
      </c>
      <c r="X14" s="9"/>
      <c r="Y14" s="393" t="s">
        <v>172</v>
      </c>
      <c r="Z14" s="394"/>
      <c r="AA14" s="394"/>
      <c r="AB14" s="394"/>
      <c r="AC14" s="395"/>
      <c r="AD14" s="393">
        <f>SUM(W14:W15)</f>
        <v>1664</v>
      </c>
      <c r="AE14" s="394"/>
      <c r="AF14" s="394"/>
      <c r="AG14" s="393"/>
      <c r="AH14" s="394"/>
      <c r="AI14" s="394"/>
      <c r="AJ14" s="185"/>
    </row>
    <row r="15" spans="1:36" ht="37.5" customHeight="1" x14ac:dyDescent="0.2">
      <c r="A15" s="425" t="s">
        <v>162</v>
      </c>
      <c r="B15" s="425"/>
      <c r="C15" s="396"/>
      <c r="D15" s="397"/>
      <c r="E15" s="398"/>
      <c r="F15" s="42"/>
      <c r="G15" s="422" t="s">
        <v>12</v>
      </c>
      <c r="H15" s="422"/>
      <c r="I15" s="422"/>
      <c r="J15" s="422"/>
      <c r="K15" s="422"/>
      <c r="L15" s="422"/>
      <c r="M15" s="422"/>
      <c r="N15" s="422"/>
      <c r="O15" s="422"/>
      <c r="P15" s="422"/>
      <c r="Q15" s="422"/>
      <c r="R15" s="87">
        <f>SUM(R44:R53,R75:R84,R106:R115,R137:R146,R168:R177,R199:R208)</f>
        <v>3</v>
      </c>
      <c r="S15" s="87">
        <f>SUM(S44:S53,S75:S84,S106:S115,S137:S146,S168:S177,S199:S208)</f>
        <v>10</v>
      </c>
      <c r="T15" s="175">
        <f>SUM(R15:S15)</f>
        <v>13</v>
      </c>
      <c r="U15" s="87">
        <f>R15*$S$19</f>
        <v>48</v>
      </c>
      <c r="V15" s="87">
        <f>S15*$U$19</f>
        <v>320</v>
      </c>
      <c r="W15" s="175">
        <f>SUM(U15:V15)</f>
        <v>368</v>
      </c>
      <c r="X15" s="9"/>
      <c r="Y15" s="182" t="s">
        <v>142</v>
      </c>
      <c r="Z15" s="182" t="s">
        <v>143</v>
      </c>
      <c r="AA15" s="182" t="s">
        <v>142</v>
      </c>
      <c r="AB15" s="182" t="s">
        <v>143</v>
      </c>
      <c r="AC15" s="182" t="s">
        <v>142</v>
      </c>
      <c r="AD15" s="182" t="s">
        <v>143</v>
      </c>
      <c r="AE15" s="182" t="s">
        <v>142</v>
      </c>
      <c r="AF15" s="182" t="s">
        <v>143</v>
      </c>
      <c r="AG15" s="182" t="s">
        <v>142</v>
      </c>
      <c r="AH15" s="182" t="s">
        <v>143</v>
      </c>
      <c r="AI15" s="182" t="s">
        <v>142</v>
      </c>
      <c r="AJ15" s="182" t="s">
        <v>143</v>
      </c>
    </row>
    <row r="16" spans="1:36" ht="37.5" customHeight="1" x14ac:dyDescent="0.2">
      <c r="A16" s="154"/>
      <c r="B16" s="9"/>
      <c r="C16" s="43"/>
      <c r="D16" s="37"/>
      <c r="E16" s="37"/>
      <c r="F16" s="42"/>
      <c r="G16" s="422" t="s">
        <v>20</v>
      </c>
      <c r="H16" s="422"/>
      <c r="I16" s="422"/>
      <c r="J16" s="422"/>
      <c r="K16" s="422"/>
      <c r="L16" s="422"/>
      <c r="M16" s="422"/>
      <c r="N16" s="422"/>
      <c r="O16" s="422"/>
      <c r="P16" s="422"/>
      <c r="Q16" s="422"/>
      <c r="R16" s="88"/>
      <c r="S16" s="87">
        <f>SUM(S54,S85,S116,S147)</f>
        <v>14</v>
      </c>
      <c r="T16" s="175">
        <f>SUM(R16:S16)</f>
        <v>14</v>
      </c>
      <c r="U16" s="88"/>
      <c r="V16" s="87">
        <f>S16*$U$19</f>
        <v>448</v>
      </c>
      <c r="W16" s="175">
        <f>SUM(U16:V16)</f>
        <v>448</v>
      </c>
      <c r="X16" s="9"/>
      <c r="Y16" s="182" t="s">
        <v>134</v>
      </c>
      <c r="Z16" s="182" t="s">
        <v>134</v>
      </c>
      <c r="AA16" s="182" t="s">
        <v>135</v>
      </c>
      <c r="AB16" s="182" t="s">
        <v>135</v>
      </c>
      <c r="AC16" s="182" t="s">
        <v>136</v>
      </c>
      <c r="AD16" s="182" t="s">
        <v>136</v>
      </c>
      <c r="AE16" s="182" t="s">
        <v>137</v>
      </c>
      <c r="AF16" s="182" t="s">
        <v>137</v>
      </c>
      <c r="AG16" s="182" t="s">
        <v>138</v>
      </c>
      <c r="AH16" s="182" t="s">
        <v>138</v>
      </c>
      <c r="AI16" s="182" t="s">
        <v>139</v>
      </c>
      <c r="AJ16" s="182" t="s">
        <v>139</v>
      </c>
    </row>
    <row r="17" spans="1:36" ht="37.5" customHeight="1" x14ac:dyDescent="0.2">
      <c r="A17" s="425" t="s">
        <v>21</v>
      </c>
      <c r="B17" s="425"/>
      <c r="C17" s="414">
        <f>$S$17/$T$17</f>
        <v>0.65</v>
      </c>
      <c r="D17" s="415"/>
      <c r="E17" s="416"/>
      <c r="F17" s="40"/>
      <c r="G17" s="423" t="s">
        <v>49</v>
      </c>
      <c r="H17" s="423"/>
      <c r="I17" s="423"/>
      <c r="J17" s="423"/>
      <c r="K17" s="423"/>
      <c r="L17" s="423"/>
      <c r="M17" s="423"/>
      <c r="N17" s="423"/>
      <c r="O17" s="423"/>
      <c r="P17" s="423"/>
      <c r="Q17" s="423"/>
      <c r="R17" s="46">
        <f>SUM(R14:R16)</f>
        <v>28</v>
      </c>
      <c r="S17" s="46">
        <f>SUM(S14:S16)</f>
        <v>52</v>
      </c>
      <c r="T17" s="175">
        <f>SUM(T14:T16)</f>
        <v>80</v>
      </c>
      <c r="U17" s="87">
        <f>SUM(U14:U16)</f>
        <v>448</v>
      </c>
      <c r="V17" s="87">
        <f>SUM(V14:V16)</f>
        <v>1664</v>
      </c>
      <c r="W17" s="175">
        <f>SUM(U17:V17)</f>
        <v>2112</v>
      </c>
      <c r="X17" s="9"/>
      <c r="Y17" s="106">
        <f>SUM(F24:F53,F55:F84,F86:F115,F117:F146,F148:F177,F179:F208,S54)</f>
        <v>20</v>
      </c>
      <c r="Z17" s="106">
        <f>SUM(G24:G53,G55:G84,G86:G115,G117:G146,G148:G177,G179:G208,V54)</f>
        <v>528</v>
      </c>
      <c r="AA17" s="106">
        <f>SUM(H24:H53,H55:H84,H86:H115,H117:H146,H148:H177,H179:H208,T85)</f>
        <v>20</v>
      </c>
      <c r="AB17" s="106">
        <f>SUM(I24:I53,I55:I84,I86:I115,I117:I146,I148:I177,I179:I208,V85)</f>
        <v>528</v>
      </c>
      <c r="AC17" s="106">
        <f>SUM(J24:J53,J55:J84,J86:J115,J117:J146,J148:J177,J179:J208,S116)</f>
        <v>20</v>
      </c>
      <c r="AD17" s="106">
        <f>SUM(K24:K53,K55:K84,K86:K115,K117:K146,K148:K177,K179:K208,V116)</f>
        <v>528</v>
      </c>
      <c r="AE17" s="106">
        <f>SUM(L24:L53,L55:L84,L86:L115,L117:L146,L148:L177,L179:L208,S147)</f>
        <v>20</v>
      </c>
      <c r="AF17" s="106">
        <f>SUM(M24:M53,M55:M84,M86:M115,M117:M146,M148:M177,M179:M208,V147)</f>
        <v>528</v>
      </c>
      <c r="AG17" s="106">
        <f t="shared" ref="AG17:AJ17" si="0">SUM(N24:N53,N55:N84,N86:N115,N117:N146,N148:N177,N179:N208)</f>
        <v>0</v>
      </c>
      <c r="AH17" s="106">
        <f t="shared" si="0"/>
        <v>0</v>
      </c>
      <c r="AI17" s="106">
        <f t="shared" si="0"/>
        <v>0</v>
      </c>
      <c r="AJ17" s="106">
        <f t="shared" si="0"/>
        <v>0</v>
      </c>
    </row>
    <row r="18" spans="1:36" ht="7.5" customHeight="1" x14ac:dyDescent="0.2">
      <c r="A18" s="108"/>
      <c r="B18" s="108"/>
      <c r="C18" s="76"/>
      <c r="D18" s="76"/>
      <c r="E18" s="76"/>
      <c r="F18" s="40"/>
      <c r="G18" s="76"/>
      <c r="H18" s="76"/>
      <c r="I18" s="76"/>
      <c r="J18" s="76"/>
      <c r="K18" s="76"/>
      <c r="L18" s="76"/>
      <c r="M18" s="76"/>
      <c r="N18" s="76"/>
      <c r="O18" s="76"/>
      <c r="P18" s="76"/>
      <c r="Q18" s="76"/>
      <c r="R18" s="40"/>
      <c r="S18" s="40"/>
      <c r="T18" s="44"/>
      <c r="U18" s="41"/>
      <c r="V18" s="41"/>
      <c r="W18" s="44"/>
      <c r="X18" s="9"/>
    </row>
    <row r="19" spans="1:36" ht="21" customHeight="1" x14ac:dyDescent="0.2">
      <c r="A19" s="417"/>
      <c r="B19" s="417"/>
      <c r="C19" s="147"/>
      <c r="D19" s="146"/>
      <c r="E19" s="9"/>
      <c r="F19" s="9"/>
      <c r="G19" s="421" t="s">
        <v>67</v>
      </c>
      <c r="H19" s="421"/>
      <c r="I19" s="421"/>
      <c r="J19" s="421"/>
      <c r="K19" s="421"/>
      <c r="L19" s="421"/>
      <c r="M19" s="421"/>
      <c r="N19" s="421"/>
      <c r="O19" s="421"/>
      <c r="P19" s="421"/>
      <c r="Q19" s="421"/>
      <c r="R19" s="89" t="s">
        <v>16</v>
      </c>
      <c r="S19" s="90">
        <v>16</v>
      </c>
      <c r="T19" s="89" t="s">
        <v>17</v>
      </c>
      <c r="U19" s="90">
        <v>32</v>
      </c>
      <c r="V19" s="45"/>
      <c r="W19" s="44"/>
      <c r="X19" s="9"/>
    </row>
    <row r="20" spans="1:36" ht="12.6" customHeight="1" x14ac:dyDescent="0.2">
      <c r="A20" s="108"/>
      <c r="B20" s="108"/>
      <c r="C20" s="76"/>
      <c r="D20" s="76"/>
      <c r="E20" s="104"/>
      <c r="F20" s="105"/>
      <c r="G20" s="105"/>
      <c r="H20" s="105"/>
      <c r="I20" s="105"/>
      <c r="J20" s="105"/>
      <c r="K20" s="105"/>
      <c r="L20" s="105"/>
      <c r="M20" s="105"/>
      <c r="N20" s="105"/>
      <c r="O20" s="105"/>
      <c r="P20" s="105"/>
      <c r="Q20" s="105"/>
      <c r="R20" s="9"/>
      <c r="S20" s="40"/>
      <c r="T20" s="41"/>
      <c r="U20" s="41"/>
      <c r="V20" s="41"/>
      <c r="W20" s="41"/>
      <c r="X20" s="9"/>
      <c r="AB20" s="2" t="s">
        <v>180</v>
      </c>
    </row>
    <row r="21" spans="1:36" ht="18.75" customHeight="1" x14ac:dyDescent="0.2">
      <c r="A21" s="413" t="s">
        <v>2</v>
      </c>
      <c r="B21" s="413" t="s">
        <v>40</v>
      </c>
      <c r="C21" s="413"/>
      <c r="D21" s="413" t="s">
        <v>0</v>
      </c>
      <c r="E21" s="413"/>
      <c r="F21" s="413" t="s">
        <v>22</v>
      </c>
      <c r="G21" s="413"/>
      <c r="H21" s="413"/>
      <c r="I21" s="413"/>
      <c r="J21" s="413"/>
      <c r="K21" s="413"/>
      <c r="L21" s="413"/>
      <c r="M21" s="413"/>
      <c r="N21" s="413"/>
      <c r="O21" s="413"/>
      <c r="P21" s="413"/>
      <c r="Q21" s="413"/>
      <c r="R21" s="413" t="s">
        <v>128</v>
      </c>
      <c r="S21" s="413"/>
      <c r="T21" s="413"/>
      <c r="U21" s="413" t="s">
        <v>1</v>
      </c>
      <c r="V21" s="413"/>
      <c r="W21" s="413"/>
      <c r="X21" s="128" t="s">
        <v>117</v>
      </c>
      <c r="AA21" s="186"/>
      <c r="AB21" s="187" t="s">
        <v>181</v>
      </c>
    </row>
    <row r="22" spans="1:36" ht="21.75" customHeight="1" x14ac:dyDescent="0.2">
      <c r="A22" s="413"/>
      <c r="B22" s="413"/>
      <c r="C22" s="413"/>
      <c r="D22" s="413"/>
      <c r="E22" s="413"/>
      <c r="F22" s="150" t="s">
        <v>140</v>
      </c>
      <c r="G22" s="150" t="s">
        <v>141</v>
      </c>
      <c r="H22" s="150" t="s">
        <v>23</v>
      </c>
      <c r="I22" s="150" t="s">
        <v>24</v>
      </c>
      <c r="J22" s="150" t="s">
        <v>125</v>
      </c>
      <c r="K22" s="150" t="s">
        <v>25</v>
      </c>
      <c r="L22" s="150" t="s">
        <v>26</v>
      </c>
      <c r="M22" s="150" t="s">
        <v>27</v>
      </c>
      <c r="N22" s="150" t="s">
        <v>28</v>
      </c>
      <c r="O22" s="150" t="s">
        <v>29</v>
      </c>
      <c r="P22" s="150" t="s">
        <v>50</v>
      </c>
      <c r="Q22" s="150" t="s">
        <v>51</v>
      </c>
      <c r="R22" s="148" t="s">
        <v>30</v>
      </c>
      <c r="S22" s="148" t="s">
        <v>31</v>
      </c>
      <c r="T22" s="148" t="s">
        <v>32</v>
      </c>
      <c r="U22" s="148" t="s">
        <v>33</v>
      </c>
      <c r="V22" s="148" t="s">
        <v>34</v>
      </c>
      <c r="W22" s="148" t="s">
        <v>32</v>
      </c>
      <c r="X22" s="95" t="str">
        <f t="shared" ref="X22:X23" si="1">W22</f>
        <v>Total</v>
      </c>
      <c r="AA22" s="188"/>
      <c r="AB22" s="187" t="s">
        <v>182</v>
      </c>
    </row>
    <row r="23" spans="1:36" ht="0.75" hidden="1" customHeight="1" x14ac:dyDescent="0.2">
      <c r="A23" s="126"/>
      <c r="B23" s="126"/>
      <c r="C23" s="126"/>
      <c r="D23" s="126"/>
      <c r="E23" s="126"/>
      <c r="F23" s="127" t="s">
        <v>134</v>
      </c>
      <c r="G23" s="127" t="s">
        <v>134</v>
      </c>
      <c r="H23" s="127" t="s">
        <v>135</v>
      </c>
      <c r="I23" s="127" t="s">
        <v>135</v>
      </c>
      <c r="J23" s="127" t="s">
        <v>136</v>
      </c>
      <c r="K23" s="127" t="s">
        <v>136</v>
      </c>
      <c r="L23" s="127" t="s">
        <v>137</v>
      </c>
      <c r="M23" s="127" t="s">
        <v>137</v>
      </c>
      <c r="N23" s="127" t="s">
        <v>138</v>
      </c>
      <c r="O23" s="127" t="s">
        <v>138</v>
      </c>
      <c r="P23" s="127" t="s">
        <v>139</v>
      </c>
      <c r="Q23" s="127" t="s">
        <v>139</v>
      </c>
      <c r="R23" s="126"/>
      <c r="S23" s="126"/>
      <c r="T23" s="126"/>
      <c r="U23" s="126"/>
      <c r="V23" s="126"/>
      <c r="W23" s="126">
        <v>0</v>
      </c>
      <c r="X23" s="95">
        <f t="shared" si="1"/>
        <v>0</v>
      </c>
    </row>
    <row r="24" spans="1:36" ht="24" customHeight="1" x14ac:dyDescent="0.2">
      <c r="A24" s="407" t="str">
        <f>Organización_Modular!A10</f>
        <v>MÓDULO 1: GESTION DE SERVICIOS TECNOLOGICOS</v>
      </c>
      <c r="B24" s="313" t="str">
        <f>Organización_Modular!B10</f>
        <v>Competencias técnicas (Unidad de competencia)</v>
      </c>
      <c r="C24" s="410"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D24" s="411" t="str">
        <f>Organización_Modular!F10</f>
        <v>Análisis de requerimientos de Tecnología de la Información.</v>
      </c>
      <c r="E24" s="411"/>
      <c r="F24" s="46">
        <f>_xlfn.IFNA(IF(VLOOKUP($D24,Organización_Modular!$F$10:$G$195,2,FALSE)=F$23,Itinerario!T24," ")," ")</f>
        <v>5</v>
      </c>
      <c r="G24" s="46">
        <f>_xlfn.IFNA(IF(VLOOKUP($D24,Organización_Modular!$F$10:$G$195,2,FALSE)=G$23,Itinerario!W24," ")," ")</f>
        <v>128</v>
      </c>
      <c r="H24" s="46" t="str">
        <f>_xlfn.IFNA(IF(VLOOKUP($D24,Organización_Modular!$F$10:$G$195,2,FALSE)=H$23,Itinerario!T24," ")," ")</f>
        <v xml:space="preserve"> </v>
      </c>
      <c r="I24" s="46" t="str">
        <f>_xlfn.IFNA(IF(VLOOKUP($D24,Organización_Modular!$F$10:$G$195,2,FALSE)=I$23,Itinerario!W24," ")," ")</f>
        <v xml:space="preserve"> </v>
      </c>
      <c r="J24" s="46" t="str">
        <f>_xlfn.IFNA(IF(VLOOKUP($D24,Organización_Modular!$F$10:$G$195,2,FALSE)=J$23,Itinerario!T24," ")," ")</f>
        <v xml:space="preserve"> </v>
      </c>
      <c r="K24" s="46" t="str">
        <f>_xlfn.IFNA(IF(VLOOKUP($D24,Organización_Modular!$F$10:$G$195,2,FALSE)=K$23,Itinerario!W24," ")," ")</f>
        <v xml:space="preserve"> </v>
      </c>
      <c r="L24" s="46" t="str">
        <f>_xlfn.IFNA(IF(VLOOKUP($D24,Organización_Modular!$F$10:$G$195,2,FALSE)=L$23,Itinerario!T24," ")," ")</f>
        <v xml:space="preserve"> </v>
      </c>
      <c r="M24" s="46" t="str">
        <f>_xlfn.IFNA(IF(VLOOKUP($D24,Organización_Modular!$F$10:$G$195,2,FALSE)=M$23,Itinerario!W24," ")," ")</f>
        <v xml:space="preserve"> </v>
      </c>
      <c r="N24" s="46" t="str">
        <f>_xlfn.IFNA(IF(VLOOKUP($D24,Organización_Modular!$F$10:$G$195,2,FALSE)=N$23,Itinerario!T24," ")," ")</f>
        <v xml:space="preserve"> </v>
      </c>
      <c r="O24" s="46" t="str">
        <f>_xlfn.IFNA(IF(VLOOKUP($D24,Organización_Modular!$F$10:$G$195,2,FALSE)=O$23,Itinerario!W24," ")," ")</f>
        <v xml:space="preserve"> </v>
      </c>
      <c r="P24" s="46" t="str">
        <f>_xlfn.IFNA(IF(VLOOKUP($D24,Organización_Modular!$F$10:$G$195,2,FALSE)=P$23,Itinerario!T24," ")," ")</f>
        <v xml:space="preserve"> </v>
      </c>
      <c r="Q24" s="46" t="str">
        <f>_xlfn.IFNA(IF(VLOOKUP($D24,Organización_Modular!$F$10:$G$195,2,FALSE)=Q$23,Itinerario!W24," ")," ")</f>
        <v xml:space="preserve"> </v>
      </c>
      <c r="R24" s="46">
        <f>Organización_Modular!H10</f>
        <v>2</v>
      </c>
      <c r="S24" s="46">
        <f>Organización_Modular!I10</f>
        <v>3</v>
      </c>
      <c r="T24" s="90">
        <f>SUM(R24:S24)</f>
        <v>5</v>
      </c>
      <c r="U24" s="46">
        <f>+R24*$S$19</f>
        <v>32</v>
      </c>
      <c r="V24" s="46">
        <f>+S24*$U$19</f>
        <v>96</v>
      </c>
      <c r="W24" s="90">
        <f>SUM(U24:V24)</f>
        <v>128</v>
      </c>
      <c r="X24" s="95">
        <f>W24</f>
        <v>128</v>
      </c>
      <c r="AA24" s="189"/>
      <c r="AB24" s="187" t="s">
        <v>183</v>
      </c>
    </row>
    <row r="25" spans="1:36" ht="66" customHeight="1" x14ac:dyDescent="0.2">
      <c r="A25" s="407"/>
      <c r="B25" s="313"/>
      <c r="C25" s="410"/>
      <c r="D25" s="411" t="str">
        <f>Organización_Modular!F11</f>
        <v xml:space="preserve">Atención de incidencias del sistema de infomación </v>
      </c>
      <c r="E25" s="411"/>
      <c r="F25" s="46">
        <f>_xlfn.IFNA(IF(VLOOKUP($D25,Organización_Modular!$F$10:$G$195,2,FALSE)=F$23,Itinerario!T25," ")," ")</f>
        <v>5</v>
      </c>
      <c r="G25" s="46">
        <f>_xlfn.IFNA(IF(VLOOKUP($D25,Organización_Modular!$F$10:$G$195,2,FALSE)=G$23,Itinerario!W25," ")," ")</f>
        <v>128</v>
      </c>
      <c r="H25" s="46" t="str">
        <f>_xlfn.IFNA(IF(VLOOKUP($D25,Organización_Modular!$F$10:$G$195,2,FALSE)=H$23,Itinerario!T25," ")," ")</f>
        <v xml:space="preserve"> </v>
      </c>
      <c r="I25" s="46" t="str">
        <f>_xlfn.IFNA(IF(VLOOKUP($D25,Organización_Modular!$F$10:$G$195,2,FALSE)=I$23,Itinerario!W25," ")," ")</f>
        <v xml:space="preserve"> </v>
      </c>
      <c r="J25" s="46" t="str">
        <f>_xlfn.IFNA(IF(VLOOKUP($D25,Organización_Modular!$F$10:$G$195,2,FALSE)=J$23,Itinerario!T25," ")," ")</f>
        <v xml:space="preserve"> </v>
      </c>
      <c r="K25" s="46" t="str">
        <f>_xlfn.IFNA(IF(VLOOKUP($D25,Organización_Modular!$F$10:$G$195,2,FALSE)=K$23,Itinerario!W25," ")," ")</f>
        <v xml:space="preserve"> </v>
      </c>
      <c r="L25" s="46" t="str">
        <f>_xlfn.IFNA(IF(VLOOKUP($D25,Organización_Modular!$F$10:$G$195,2,FALSE)=L$23,Itinerario!T25," ")," ")</f>
        <v xml:space="preserve"> </v>
      </c>
      <c r="M25" s="46" t="str">
        <f>_xlfn.IFNA(IF(VLOOKUP($D25,Organización_Modular!$F$10:$G$195,2,FALSE)=M$23,Itinerario!W25," ")," ")</f>
        <v xml:space="preserve"> </v>
      </c>
      <c r="N25" s="46" t="str">
        <f>_xlfn.IFNA(IF(VLOOKUP($D25,Organización_Modular!$F$10:$G$195,2,FALSE)=N$23,Itinerario!T25," ")," ")</f>
        <v xml:space="preserve"> </v>
      </c>
      <c r="O25" s="46" t="str">
        <f>_xlfn.IFNA(IF(VLOOKUP($D25,Organización_Modular!$F$10:$G$195,2,FALSE)=O$23,Itinerario!W25," ")," ")</f>
        <v xml:space="preserve"> </v>
      </c>
      <c r="P25" s="46" t="str">
        <f>_xlfn.IFNA(IF(VLOOKUP($D25,Organización_Modular!$F$10:$G$195,2,FALSE)=P$23,Itinerario!T25," ")," ")</f>
        <v xml:space="preserve"> </v>
      </c>
      <c r="Q25" s="46" t="str">
        <f>_xlfn.IFNA(IF(VLOOKUP($D25,Organización_Modular!$F$10:$G$195,2,FALSE)=Q$23,Itinerario!W25," ")," ")</f>
        <v xml:space="preserve"> </v>
      </c>
      <c r="R25" s="46">
        <f>Organización_Modular!H11</f>
        <v>2</v>
      </c>
      <c r="S25" s="46">
        <f>Organización_Modular!I11</f>
        <v>3</v>
      </c>
      <c r="T25" s="90">
        <f t="shared" ref="T25:T53" si="2">SUM(R25:S25)</f>
        <v>5</v>
      </c>
      <c r="U25" s="46">
        <f t="shared" ref="U25:U88" si="3">+R25*$S$19</f>
        <v>32</v>
      </c>
      <c r="V25" s="46">
        <f t="shared" ref="V25:V88" si="4">+S25*$U$19</f>
        <v>96</v>
      </c>
      <c r="W25" s="90">
        <f t="shared" ref="W25:W88" si="5">SUM(U25:V25)</f>
        <v>128</v>
      </c>
      <c r="X25" s="95">
        <f t="shared" ref="X25:X88" si="6">W25</f>
        <v>128</v>
      </c>
    </row>
    <row r="26" spans="1:36" ht="66" customHeight="1" x14ac:dyDescent="0.2">
      <c r="A26" s="407"/>
      <c r="B26" s="313"/>
      <c r="C26" s="410"/>
      <c r="D26" s="411" t="str">
        <f>Organización_Modular!F12</f>
        <v>Reporte de incidencia del sistema de información</v>
      </c>
      <c r="E26" s="411"/>
      <c r="F26" s="46">
        <f>_xlfn.IFNA(IF(VLOOKUP($D26,Organización_Modular!$F$10:$G$195,2,FALSE)=F$23,Itinerario!T26," ")," ")</f>
        <v>4</v>
      </c>
      <c r="G26" s="46">
        <f>_xlfn.IFNA(IF(VLOOKUP($D26,Organización_Modular!$F$10:$G$195,2,FALSE)=G$23,Itinerario!W26," ")," ")</f>
        <v>96</v>
      </c>
      <c r="H26" s="46" t="str">
        <f>_xlfn.IFNA(IF(VLOOKUP($D26,Organización_Modular!$F$10:$G$195,2,FALSE)=H$23,Itinerario!T26," ")," ")</f>
        <v xml:space="preserve"> </v>
      </c>
      <c r="I26" s="46" t="str">
        <f>_xlfn.IFNA(IF(VLOOKUP($D26,Organización_Modular!$F$10:$G$195,2,FALSE)=I$23,Itinerario!W26," ")," ")</f>
        <v xml:space="preserve"> </v>
      </c>
      <c r="J26" s="46" t="str">
        <f>_xlfn.IFNA(IF(VLOOKUP($D26,Organización_Modular!$F$10:$G$195,2,FALSE)=J$23,Itinerario!T26," ")," ")</f>
        <v xml:space="preserve"> </v>
      </c>
      <c r="K26" s="46" t="str">
        <f>_xlfn.IFNA(IF(VLOOKUP($D26,Organización_Modular!$F$10:$G$195,2,FALSE)=K$23,Itinerario!W26," ")," ")</f>
        <v xml:space="preserve"> </v>
      </c>
      <c r="L26" s="46" t="str">
        <f>_xlfn.IFNA(IF(VLOOKUP($D26,Organización_Modular!$F$10:$G$195,2,FALSE)=L$23,Itinerario!T26," ")," ")</f>
        <v xml:space="preserve"> </v>
      </c>
      <c r="M26" s="46" t="str">
        <f>_xlfn.IFNA(IF(VLOOKUP($D26,Organización_Modular!$F$10:$G$195,2,FALSE)=M$23,Itinerario!W26," ")," ")</f>
        <v xml:space="preserve"> </v>
      </c>
      <c r="N26" s="46" t="str">
        <f>_xlfn.IFNA(IF(VLOOKUP($D26,Organización_Modular!$F$10:$G$195,2,FALSE)=N$23,Itinerario!T26," ")," ")</f>
        <v xml:space="preserve"> </v>
      </c>
      <c r="O26" s="46" t="str">
        <f>_xlfn.IFNA(IF(VLOOKUP($D26,Organización_Modular!$F$10:$G$195,2,FALSE)=O$23,Itinerario!W26," ")," ")</f>
        <v xml:space="preserve"> </v>
      </c>
      <c r="P26" s="46" t="str">
        <f>_xlfn.IFNA(IF(VLOOKUP($D26,Organización_Modular!$F$10:$G$195,2,FALSE)=P$23,Itinerario!T26," ")," ")</f>
        <v xml:space="preserve"> </v>
      </c>
      <c r="Q26" s="46" t="str">
        <f>_xlfn.IFNA(IF(VLOOKUP($D26,Organización_Modular!$F$10:$G$195,2,FALSE)=Q$23,Itinerario!W26," ")," ")</f>
        <v xml:space="preserve"> </v>
      </c>
      <c r="R26" s="46">
        <f>Organización_Modular!H12</f>
        <v>2</v>
      </c>
      <c r="S26" s="46">
        <f>Organización_Modular!I12</f>
        <v>2</v>
      </c>
      <c r="T26" s="90">
        <f t="shared" si="2"/>
        <v>4</v>
      </c>
      <c r="U26" s="46">
        <f t="shared" si="3"/>
        <v>32</v>
      </c>
      <c r="V26" s="46">
        <f t="shared" si="4"/>
        <v>64</v>
      </c>
      <c r="W26" s="90">
        <f t="shared" si="5"/>
        <v>96</v>
      </c>
      <c r="X26" s="95">
        <f t="shared" si="6"/>
        <v>96</v>
      </c>
    </row>
    <row r="27" spans="1:36" ht="18" hidden="1" customHeight="1" x14ac:dyDescent="0.2">
      <c r="A27" s="407"/>
      <c r="B27" s="313"/>
      <c r="C27" s="410"/>
      <c r="D27" s="409">
        <f>Organización_Modular!F13</f>
        <v>0</v>
      </c>
      <c r="E27" s="409"/>
      <c r="F27" s="46" t="str">
        <f>_xlfn.IFNA(IF(VLOOKUP($D27,Organización_Modular!$F$10:$G$195,2,FALSE)=F$23,Itinerario!T27," ")," ")</f>
        <v xml:space="preserve"> </v>
      </c>
      <c r="G27" s="46" t="str">
        <f>_xlfn.IFNA(IF(VLOOKUP($D27,Organización_Modular!$F$10:$G$195,2,FALSE)=G$23,Itinerario!W27," ")," ")</f>
        <v xml:space="preserve"> </v>
      </c>
      <c r="H27" s="46" t="str">
        <f>_xlfn.IFNA(IF(VLOOKUP($D27,Organización_Modular!$F$10:$G$195,2,FALSE)=H$23,Itinerario!T27," ")," ")</f>
        <v xml:space="preserve"> </v>
      </c>
      <c r="I27" s="46" t="str">
        <f>_xlfn.IFNA(IF(VLOOKUP($D27,Organización_Modular!$F$10:$G$195,2,FALSE)=I$23,Itinerario!W27," ")," ")</f>
        <v xml:space="preserve"> </v>
      </c>
      <c r="J27" s="46" t="str">
        <f>_xlfn.IFNA(IF(VLOOKUP($D27,Organización_Modular!$F$10:$G$195,2,FALSE)=J$23,Itinerario!T27," ")," ")</f>
        <v xml:space="preserve"> </v>
      </c>
      <c r="K27" s="46" t="str">
        <f>_xlfn.IFNA(IF(VLOOKUP($D27,Organización_Modular!$F$10:$G$195,2,FALSE)=K$23,Itinerario!W27," ")," ")</f>
        <v xml:space="preserve"> </v>
      </c>
      <c r="L27" s="46" t="str">
        <f>_xlfn.IFNA(IF(VLOOKUP($D27,Organización_Modular!$F$10:$G$195,2,FALSE)=L$23,Itinerario!T27," ")," ")</f>
        <v xml:space="preserve"> </v>
      </c>
      <c r="M27" s="46" t="str">
        <f>_xlfn.IFNA(IF(VLOOKUP($D27,Organización_Modular!$F$10:$G$195,2,FALSE)=M$23,Itinerario!W27," ")," ")</f>
        <v xml:space="preserve"> </v>
      </c>
      <c r="N27" s="46" t="str">
        <f>_xlfn.IFNA(IF(VLOOKUP($D27,Organización_Modular!$F$10:$G$195,2,FALSE)=N$23,Itinerario!T27," ")," ")</f>
        <v xml:space="preserve"> </v>
      </c>
      <c r="O27" s="46" t="str">
        <f>_xlfn.IFNA(IF(VLOOKUP($D27,Organización_Modular!$F$10:$G$195,2,FALSE)=O$23,Itinerario!W27," ")," ")</f>
        <v xml:space="preserve"> </v>
      </c>
      <c r="P27" s="46" t="str">
        <f>_xlfn.IFNA(IF(VLOOKUP($D27,Organización_Modular!$F$10:$G$195,2,FALSE)=P$23,Itinerario!T27," ")," ")</f>
        <v xml:space="preserve"> </v>
      </c>
      <c r="Q27" s="46" t="str">
        <f>_xlfn.IFNA(IF(VLOOKUP($D27,Organización_Modular!$F$10:$G$195,2,FALSE)=Q$23,Itinerario!W27," ")," ")</f>
        <v xml:space="preserve"> </v>
      </c>
      <c r="R27" s="46">
        <f>Organización_Modular!H13</f>
        <v>0</v>
      </c>
      <c r="S27" s="46">
        <f>Organización_Modular!I13</f>
        <v>0</v>
      </c>
      <c r="T27" s="90">
        <f t="shared" si="2"/>
        <v>0</v>
      </c>
      <c r="U27" s="46">
        <f t="shared" si="3"/>
        <v>0</v>
      </c>
      <c r="V27" s="46">
        <f t="shared" si="4"/>
        <v>0</v>
      </c>
      <c r="W27" s="90">
        <f t="shared" si="5"/>
        <v>0</v>
      </c>
      <c r="X27" s="95">
        <f t="shared" si="6"/>
        <v>0</v>
      </c>
    </row>
    <row r="28" spans="1:36" ht="18" hidden="1" customHeight="1" x14ac:dyDescent="0.2">
      <c r="A28" s="407"/>
      <c r="B28" s="313"/>
      <c r="C28" s="410"/>
      <c r="D28" s="409">
        <f>Organización_Modular!F14</f>
        <v>0</v>
      </c>
      <c r="E28" s="409"/>
      <c r="F28" s="46" t="str">
        <f>_xlfn.IFNA(IF(VLOOKUP($D28,Organización_Modular!$F$10:$G$195,2,FALSE)=F$23,Itinerario!T28," ")," ")</f>
        <v xml:space="preserve"> </v>
      </c>
      <c r="G28" s="46" t="str">
        <f>_xlfn.IFNA(IF(VLOOKUP($D28,Organización_Modular!$F$10:$G$195,2,FALSE)=G$23,Itinerario!W28," ")," ")</f>
        <v xml:space="preserve"> </v>
      </c>
      <c r="H28" s="46" t="str">
        <f>_xlfn.IFNA(IF(VLOOKUP($D28,Organización_Modular!$F$10:$G$195,2,FALSE)=H$23,Itinerario!T28," ")," ")</f>
        <v xml:space="preserve"> </v>
      </c>
      <c r="I28" s="46" t="str">
        <f>_xlfn.IFNA(IF(VLOOKUP($D28,Organización_Modular!$F$10:$G$195,2,FALSE)=I$23,Itinerario!W28," ")," ")</f>
        <v xml:space="preserve"> </v>
      </c>
      <c r="J28" s="46" t="str">
        <f>_xlfn.IFNA(IF(VLOOKUP($D28,Organización_Modular!$F$10:$G$195,2,FALSE)=J$23,Itinerario!T28," ")," ")</f>
        <v xml:space="preserve"> </v>
      </c>
      <c r="K28" s="46" t="str">
        <f>_xlfn.IFNA(IF(VLOOKUP($D28,Organización_Modular!$F$10:$G$195,2,FALSE)=K$23,Itinerario!W28," ")," ")</f>
        <v xml:space="preserve"> </v>
      </c>
      <c r="L28" s="46" t="str">
        <f>_xlfn.IFNA(IF(VLOOKUP($D28,Organización_Modular!$F$10:$G$195,2,FALSE)=L$23,Itinerario!T28," ")," ")</f>
        <v xml:space="preserve"> </v>
      </c>
      <c r="M28" s="46" t="str">
        <f>_xlfn.IFNA(IF(VLOOKUP($D28,Organización_Modular!$F$10:$G$195,2,FALSE)=M$23,Itinerario!W28," ")," ")</f>
        <v xml:space="preserve"> </v>
      </c>
      <c r="N28" s="46" t="str">
        <f>_xlfn.IFNA(IF(VLOOKUP($D28,Organización_Modular!$F$10:$G$195,2,FALSE)=N$23,Itinerario!T28," ")," ")</f>
        <v xml:space="preserve"> </v>
      </c>
      <c r="O28" s="46" t="str">
        <f>_xlfn.IFNA(IF(VLOOKUP($D28,Organización_Modular!$F$10:$G$195,2,FALSE)=O$23,Itinerario!W28," ")," ")</f>
        <v xml:space="preserve"> </v>
      </c>
      <c r="P28" s="46" t="str">
        <f>_xlfn.IFNA(IF(VLOOKUP($D28,Organización_Modular!$F$10:$G$195,2,FALSE)=P$23,Itinerario!T28," ")," ")</f>
        <v xml:space="preserve"> </v>
      </c>
      <c r="Q28" s="46" t="str">
        <f>_xlfn.IFNA(IF(VLOOKUP($D28,Organización_Modular!$F$10:$G$195,2,FALSE)=Q$23,Itinerario!W28," ")," ")</f>
        <v xml:space="preserve"> </v>
      </c>
      <c r="R28" s="46">
        <f>Organización_Modular!H14</f>
        <v>0</v>
      </c>
      <c r="S28" s="46">
        <f>Organización_Modular!I14</f>
        <v>0</v>
      </c>
      <c r="T28" s="90">
        <f t="shared" si="2"/>
        <v>0</v>
      </c>
      <c r="U28" s="46">
        <f t="shared" si="3"/>
        <v>0</v>
      </c>
      <c r="V28" s="46">
        <f t="shared" si="4"/>
        <v>0</v>
      </c>
      <c r="W28" s="90">
        <f t="shared" si="5"/>
        <v>0</v>
      </c>
      <c r="X28" s="95">
        <f t="shared" si="6"/>
        <v>0</v>
      </c>
    </row>
    <row r="29" spans="1:36" ht="18" hidden="1" customHeight="1" x14ac:dyDescent="0.2">
      <c r="A29" s="407"/>
      <c r="B29" s="313"/>
      <c r="C29" s="410"/>
      <c r="D29" s="409">
        <f>Organización_Modular!F15</f>
        <v>0</v>
      </c>
      <c r="E29" s="409"/>
      <c r="F29" s="46" t="str">
        <f>_xlfn.IFNA(IF(VLOOKUP($D29,Organización_Modular!$F$10:$G$195,2,FALSE)=F$23,Itinerario!T29," ")," ")</f>
        <v xml:space="preserve"> </v>
      </c>
      <c r="G29" s="46" t="str">
        <f>_xlfn.IFNA(IF(VLOOKUP($D29,Organización_Modular!$F$10:$G$195,2,FALSE)=G$23,Itinerario!W29," ")," ")</f>
        <v xml:space="preserve"> </v>
      </c>
      <c r="H29" s="46" t="str">
        <f>_xlfn.IFNA(IF(VLOOKUP($D29,Organización_Modular!$F$10:$G$195,2,FALSE)=H$23,Itinerario!T29," ")," ")</f>
        <v xml:space="preserve"> </v>
      </c>
      <c r="I29" s="46" t="str">
        <f>_xlfn.IFNA(IF(VLOOKUP($D29,Organización_Modular!$F$10:$G$195,2,FALSE)=I$23,Itinerario!W29," ")," ")</f>
        <v xml:space="preserve"> </v>
      </c>
      <c r="J29" s="46" t="str">
        <f>_xlfn.IFNA(IF(VLOOKUP($D29,Organización_Modular!$F$10:$G$195,2,FALSE)=J$23,Itinerario!T29," ")," ")</f>
        <v xml:space="preserve"> </v>
      </c>
      <c r="K29" s="46" t="str">
        <f>_xlfn.IFNA(IF(VLOOKUP($D29,Organización_Modular!$F$10:$G$195,2,FALSE)=K$23,Itinerario!W29," ")," ")</f>
        <v xml:space="preserve"> </v>
      </c>
      <c r="L29" s="46" t="str">
        <f>_xlfn.IFNA(IF(VLOOKUP($D29,Organización_Modular!$F$10:$G$195,2,FALSE)=L$23,Itinerario!T29," ")," ")</f>
        <v xml:space="preserve"> </v>
      </c>
      <c r="M29" s="46" t="str">
        <f>_xlfn.IFNA(IF(VLOOKUP($D29,Organización_Modular!$F$10:$G$195,2,FALSE)=M$23,Itinerario!W29," ")," ")</f>
        <v xml:space="preserve"> </v>
      </c>
      <c r="N29" s="46" t="str">
        <f>_xlfn.IFNA(IF(VLOOKUP($D29,Organización_Modular!$F$10:$G$195,2,FALSE)=N$23,Itinerario!T29," ")," ")</f>
        <v xml:space="preserve"> </v>
      </c>
      <c r="O29" s="46" t="str">
        <f>_xlfn.IFNA(IF(VLOOKUP($D29,Organización_Modular!$F$10:$G$195,2,FALSE)=O$23,Itinerario!W29," ")," ")</f>
        <v xml:space="preserve"> </v>
      </c>
      <c r="P29" s="46" t="str">
        <f>_xlfn.IFNA(IF(VLOOKUP($D29,Organización_Modular!$F$10:$G$195,2,FALSE)=P$23,Itinerario!T29," ")," ")</f>
        <v xml:space="preserve"> </v>
      </c>
      <c r="Q29" s="46" t="str">
        <f>_xlfn.IFNA(IF(VLOOKUP($D29,Organización_Modular!$F$10:$G$195,2,FALSE)=Q$23,Itinerario!W29," ")," ")</f>
        <v xml:space="preserve"> </v>
      </c>
      <c r="R29" s="46">
        <f>Organización_Modular!H15</f>
        <v>0</v>
      </c>
      <c r="S29" s="46">
        <f>Organización_Modular!I15</f>
        <v>0</v>
      </c>
      <c r="T29" s="90">
        <f t="shared" si="2"/>
        <v>0</v>
      </c>
      <c r="U29" s="46">
        <f t="shared" si="3"/>
        <v>0</v>
      </c>
      <c r="V29" s="46">
        <f t="shared" si="4"/>
        <v>0</v>
      </c>
      <c r="W29" s="90">
        <f t="shared" si="5"/>
        <v>0</v>
      </c>
      <c r="X29" s="95">
        <f t="shared" si="6"/>
        <v>0</v>
      </c>
    </row>
    <row r="30" spans="1:36" ht="18" hidden="1" customHeight="1" x14ac:dyDescent="0.2">
      <c r="A30" s="407"/>
      <c r="B30" s="313"/>
      <c r="C30" s="410"/>
      <c r="D30" s="409">
        <f>Organización_Modular!F16</f>
        <v>0</v>
      </c>
      <c r="E30" s="409"/>
      <c r="F30" s="46" t="str">
        <f>_xlfn.IFNA(IF(VLOOKUP($D30,Organización_Modular!$F$10:$G$195,2,FALSE)=F$23,Itinerario!T30," ")," ")</f>
        <v xml:space="preserve"> </v>
      </c>
      <c r="G30" s="46" t="str">
        <f>_xlfn.IFNA(IF(VLOOKUP($D30,Organización_Modular!$F$10:$G$195,2,FALSE)=G$23,Itinerario!W30," ")," ")</f>
        <v xml:space="preserve"> </v>
      </c>
      <c r="H30" s="46" t="str">
        <f>_xlfn.IFNA(IF(VLOOKUP($D30,Organización_Modular!$F$10:$G$195,2,FALSE)=H$23,Itinerario!T30," ")," ")</f>
        <v xml:space="preserve"> </v>
      </c>
      <c r="I30" s="46" t="str">
        <f>_xlfn.IFNA(IF(VLOOKUP($D30,Organización_Modular!$F$10:$G$195,2,FALSE)=I$23,Itinerario!W30," ")," ")</f>
        <v xml:space="preserve"> </v>
      </c>
      <c r="J30" s="46" t="str">
        <f>_xlfn.IFNA(IF(VLOOKUP($D30,Organización_Modular!$F$10:$G$195,2,FALSE)=J$23,Itinerario!T30," ")," ")</f>
        <v xml:space="preserve"> </v>
      </c>
      <c r="K30" s="46" t="str">
        <f>_xlfn.IFNA(IF(VLOOKUP($D30,Organización_Modular!$F$10:$G$195,2,FALSE)=K$23,Itinerario!W30," ")," ")</f>
        <v xml:space="preserve"> </v>
      </c>
      <c r="L30" s="46" t="str">
        <f>_xlfn.IFNA(IF(VLOOKUP($D30,Organización_Modular!$F$10:$G$195,2,FALSE)=L$23,Itinerario!T30," ")," ")</f>
        <v xml:space="preserve"> </v>
      </c>
      <c r="M30" s="46" t="str">
        <f>_xlfn.IFNA(IF(VLOOKUP($D30,Organización_Modular!$F$10:$G$195,2,FALSE)=M$23,Itinerario!W30," ")," ")</f>
        <v xml:space="preserve"> </v>
      </c>
      <c r="N30" s="46" t="str">
        <f>_xlfn.IFNA(IF(VLOOKUP($D30,Organización_Modular!$F$10:$G$195,2,FALSE)=N$23,Itinerario!T30," ")," ")</f>
        <v xml:space="preserve"> </v>
      </c>
      <c r="O30" s="46" t="str">
        <f>_xlfn.IFNA(IF(VLOOKUP($D30,Organización_Modular!$F$10:$G$195,2,FALSE)=O$23,Itinerario!W30," ")," ")</f>
        <v xml:space="preserve"> </v>
      </c>
      <c r="P30" s="46" t="str">
        <f>_xlfn.IFNA(IF(VLOOKUP($D30,Organización_Modular!$F$10:$G$195,2,FALSE)=P$23,Itinerario!T30," ")," ")</f>
        <v xml:space="preserve"> </v>
      </c>
      <c r="Q30" s="46" t="str">
        <f>_xlfn.IFNA(IF(VLOOKUP($D30,Organización_Modular!$F$10:$G$195,2,FALSE)=Q$23,Itinerario!W30," ")," ")</f>
        <v xml:space="preserve"> </v>
      </c>
      <c r="R30" s="46">
        <f>Organización_Modular!H16</f>
        <v>0</v>
      </c>
      <c r="S30" s="46">
        <f>Organización_Modular!I16</f>
        <v>0</v>
      </c>
      <c r="T30" s="90">
        <f t="shared" si="2"/>
        <v>0</v>
      </c>
      <c r="U30" s="46">
        <f t="shared" si="3"/>
        <v>0</v>
      </c>
      <c r="V30" s="46">
        <f t="shared" si="4"/>
        <v>0</v>
      </c>
      <c r="W30" s="90">
        <f t="shared" si="5"/>
        <v>0</v>
      </c>
      <c r="X30" s="95">
        <f t="shared" si="6"/>
        <v>0</v>
      </c>
    </row>
    <row r="31" spans="1:36" ht="18" hidden="1" customHeight="1" x14ac:dyDescent="0.2">
      <c r="A31" s="407"/>
      <c r="B31" s="313"/>
      <c r="C31" s="410"/>
      <c r="D31" s="409">
        <f>Organización_Modular!F17</f>
        <v>0</v>
      </c>
      <c r="E31" s="409"/>
      <c r="F31" s="46" t="str">
        <f>_xlfn.IFNA(IF(VLOOKUP($D31,Organización_Modular!$F$10:$G$195,2,FALSE)=F$23,Itinerario!T31," ")," ")</f>
        <v xml:space="preserve"> </v>
      </c>
      <c r="G31" s="46" t="str">
        <f>_xlfn.IFNA(IF(VLOOKUP($D31,Organización_Modular!$F$10:$G$195,2,FALSE)=G$23,Itinerario!W31," ")," ")</f>
        <v xml:space="preserve"> </v>
      </c>
      <c r="H31" s="46" t="str">
        <f>_xlfn.IFNA(IF(VLOOKUP($D31,Organización_Modular!$F$10:$G$195,2,FALSE)=H$23,Itinerario!T31," ")," ")</f>
        <v xml:space="preserve"> </v>
      </c>
      <c r="I31" s="46" t="str">
        <f>_xlfn.IFNA(IF(VLOOKUP($D31,Organización_Modular!$F$10:$G$195,2,FALSE)=I$23,Itinerario!W31," ")," ")</f>
        <v xml:space="preserve"> </v>
      </c>
      <c r="J31" s="46" t="str">
        <f>_xlfn.IFNA(IF(VLOOKUP($D31,Organización_Modular!$F$10:$G$195,2,FALSE)=J$23,Itinerario!T31," ")," ")</f>
        <v xml:space="preserve"> </v>
      </c>
      <c r="K31" s="46" t="str">
        <f>_xlfn.IFNA(IF(VLOOKUP($D31,Organización_Modular!$F$10:$G$195,2,FALSE)=K$23,Itinerario!W31," ")," ")</f>
        <v xml:space="preserve"> </v>
      </c>
      <c r="L31" s="46" t="str">
        <f>_xlfn.IFNA(IF(VLOOKUP($D31,Organización_Modular!$F$10:$G$195,2,FALSE)=L$23,Itinerario!T31," ")," ")</f>
        <v xml:space="preserve"> </v>
      </c>
      <c r="M31" s="46" t="str">
        <f>_xlfn.IFNA(IF(VLOOKUP($D31,Organización_Modular!$F$10:$G$195,2,FALSE)=M$23,Itinerario!W31," ")," ")</f>
        <v xml:space="preserve"> </v>
      </c>
      <c r="N31" s="46" t="str">
        <f>_xlfn.IFNA(IF(VLOOKUP($D31,Organización_Modular!$F$10:$G$195,2,FALSE)=N$23,Itinerario!T31," ")," ")</f>
        <v xml:space="preserve"> </v>
      </c>
      <c r="O31" s="46" t="str">
        <f>_xlfn.IFNA(IF(VLOOKUP($D31,Organización_Modular!$F$10:$G$195,2,FALSE)=O$23,Itinerario!W31," ")," ")</f>
        <v xml:space="preserve"> </v>
      </c>
      <c r="P31" s="46" t="str">
        <f>_xlfn.IFNA(IF(VLOOKUP($D31,Organización_Modular!$F$10:$G$195,2,FALSE)=P$23,Itinerario!T31," ")," ")</f>
        <v xml:space="preserve"> </v>
      </c>
      <c r="Q31" s="46" t="str">
        <f>_xlfn.IFNA(IF(VLOOKUP($D31,Organización_Modular!$F$10:$G$195,2,FALSE)=Q$23,Itinerario!W31," ")," ")</f>
        <v xml:space="preserve"> </v>
      </c>
      <c r="R31" s="46">
        <f>Organización_Modular!H17</f>
        <v>0</v>
      </c>
      <c r="S31" s="46">
        <f>Organización_Modular!I17</f>
        <v>0</v>
      </c>
      <c r="T31" s="90">
        <f t="shared" si="2"/>
        <v>0</v>
      </c>
      <c r="U31" s="46">
        <f t="shared" si="3"/>
        <v>0</v>
      </c>
      <c r="V31" s="46">
        <f t="shared" si="4"/>
        <v>0</v>
      </c>
      <c r="W31" s="90">
        <f t="shared" si="5"/>
        <v>0</v>
      </c>
      <c r="X31" s="95">
        <f t="shared" si="6"/>
        <v>0</v>
      </c>
    </row>
    <row r="32" spans="1:36" ht="18" hidden="1" customHeight="1" x14ac:dyDescent="0.2">
      <c r="A32" s="407"/>
      <c r="B32" s="313"/>
      <c r="C32" s="410"/>
      <c r="D32" s="409">
        <f>Organización_Modular!F18</f>
        <v>0</v>
      </c>
      <c r="E32" s="409"/>
      <c r="F32" s="46" t="str">
        <f>_xlfn.IFNA(IF(VLOOKUP($D32,Organización_Modular!$F$10:$G$195,2,FALSE)=F$23,Itinerario!T32," ")," ")</f>
        <v xml:space="preserve"> </v>
      </c>
      <c r="G32" s="46" t="str">
        <f>_xlfn.IFNA(IF(VLOOKUP($D32,Organización_Modular!$F$10:$G$195,2,FALSE)=G$23,Itinerario!W32," ")," ")</f>
        <v xml:space="preserve"> </v>
      </c>
      <c r="H32" s="46" t="str">
        <f>_xlfn.IFNA(IF(VLOOKUP($D32,Organización_Modular!$F$10:$G$195,2,FALSE)=H$23,Itinerario!T32," ")," ")</f>
        <v xml:space="preserve"> </v>
      </c>
      <c r="I32" s="46" t="str">
        <f>_xlfn.IFNA(IF(VLOOKUP($D32,Organización_Modular!$F$10:$G$195,2,FALSE)=I$23,Itinerario!W32," ")," ")</f>
        <v xml:space="preserve"> </v>
      </c>
      <c r="J32" s="46" t="str">
        <f>_xlfn.IFNA(IF(VLOOKUP($D32,Organización_Modular!$F$10:$G$195,2,FALSE)=J$23,Itinerario!T32," ")," ")</f>
        <v xml:space="preserve"> </v>
      </c>
      <c r="K32" s="46" t="str">
        <f>_xlfn.IFNA(IF(VLOOKUP($D32,Organización_Modular!$F$10:$G$195,2,FALSE)=K$23,Itinerario!W32," ")," ")</f>
        <v xml:space="preserve"> </v>
      </c>
      <c r="L32" s="46" t="str">
        <f>_xlfn.IFNA(IF(VLOOKUP($D32,Organización_Modular!$F$10:$G$195,2,FALSE)=L$23,Itinerario!T32," ")," ")</f>
        <v xml:space="preserve"> </v>
      </c>
      <c r="M32" s="46" t="str">
        <f>_xlfn.IFNA(IF(VLOOKUP($D32,Organización_Modular!$F$10:$G$195,2,FALSE)=M$23,Itinerario!W32," ")," ")</f>
        <v xml:space="preserve"> </v>
      </c>
      <c r="N32" s="46" t="str">
        <f>_xlfn.IFNA(IF(VLOOKUP($D32,Organización_Modular!$F$10:$G$195,2,FALSE)=N$23,Itinerario!T32," ")," ")</f>
        <v xml:space="preserve"> </v>
      </c>
      <c r="O32" s="46" t="str">
        <f>_xlfn.IFNA(IF(VLOOKUP($D32,Organización_Modular!$F$10:$G$195,2,FALSE)=O$23,Itinerario!W32," ")," ")</f>
        <v xml:space="preserve"> </v>
      </c>
      <c r="P32" s="46" t="str">
        <f>_xlfn.IFNA(IF(VLOOKUP($D32,Organización_Modular!$F$10:$G$195,2,FALSE)=P$23,Itinerario!T32," ")," ")</f>
        <v xml:space="preserve"> </v>
      </c>
      <c r="Q32" s="46" t="str">
        <f>_xlfn.IFNA(IF(VLOOKUP($D32,Organización_Modular!$F$10:$G$195,2,FALSE)=Q$23,Itinerario!W32," ")," ")</f>
        <v xml:space="preserve"> </v>
      </c>
      <c r="R32" s="46">
        <f>Organización_Modular!H18</f>
        <v>0</v>
      </c>
      <c r="S32" s="46">
        <f>Organización_Modular!I18</f>
        <v>0</v>
      </c>
      <c r="T32" s="90">
        <f t="shared" si="2"/>
        <v>0</v>
      </c>
      <c r="U32" s="46">
        <f t="shared" si="3"/>
        <v>0</v>
      </c>
      <c r="V32" s="46">
        <f t="shared" si="4"/>
        <v>0</v>
      </c>
      <c r="W32" s="90">
        <f t="shared" si="5"/>
        <v>0</v>
      </c>
      <c r="X32" s="95">
        <f t="shared" si="6"/>
        <v>0</v>
      </c>
    </row>
    <row r="33" spans="1:24" ht="18" hidden="1" customHeight="1" x14ac:dyDescent="0.2">
      <c r="A33" s="407"/>
      <c r="B33" s="313"/>
      <c r="C33" s="410"/>
      <c r="D33" s="409">
        <f>Organización_Modular!F19</f>
        <v>0</v>
      </c>
      <c r="E33" s="409"/>
      <c r="F33" s="46" t="str">
        <f>_xlfn.IFNA(IF(VLOOKUP($D33,Organización_Modular!$F$10:$G$195,2,FALSE)=F$23,Itinerario!T33," ")," ")</f>
        <v xml:space="preserve"> </v>
      </c>
      <c r="G33" s="46" t="str">
        <f>_xlfn.IFNA(IF(VLOOKUP($D33,Organización_Modular!$F$10:$G$195,2,FALSE)=G$23,Itinerario!W33," ")," ")</f>
        <v xml:space="preserve"> </v>
      </c>
      <c r="H33" s="46" t="str">
        <f>_xlfn.IFNA(IF(VLOOKUP($D33,Organización_Modular!$F$10:$G$195,2,FALSE)=H$23,Itinerario!T33," ")," ")</f>
        <v xml:space="preserve"> </v>
      </c>
      <c r="I33" s="46" t="str">
        <f>_xlfn.IFNA(IF(VLOOKUP($D33,Organización_Modular!$F$10:$G$195,2,FALSE)=I$23,Itinerario!W33," ")," ")</f>
        <v xml:space="preserve"> </v>
      </c>
      <c r="J33" s="46" t="str">
        <f>_xlfn.IFNA(IF(VLOOKUP($D33,Organización_Modular!$F$10:$G$195,2,FALSE)=J$23,Itinerario!T33," ")," ")</f>
        <v xml:space="preserve"> </v>
      </c>
      <c r="K33" s="46" t="str">
        <f>_xlfn.IFNA(IF(VLOOKUP($D33,Organización_Modular!$F$10:$G$195,2,FALSE)=K$23,Itinerario!W33," ")," ")</f>
        <v xml:space="preserve"> </v>
      </c>
      <c r="L33" s="46" t="str">
        <f>_xlfn.IFNA(IF(VLOOKUP($D33,Organización_Modular!$F$10:$G$195,2,FALSE)=L$23,Itinerario!T33," ")," ")</f>
        <v xml:space="preserve"> </v>
      </c>
      <c r="M33" s="46" t="str">
        <f>_xlfn.IFNA(IF(VLOOKUP($D33,Organización_Modular!$F$10:$G$195,2,FALSE)=M$23,Itinerario!W33," ")," ")</f>
        <v xml:space="preserve"> </v>
      </c>
      <c r="N33" s="46" t="str">
        <f>_xlfn.IFNA(IF(VLOOKUP($D33,Organización_Modular!$F$10:$G$195,2,FALSE)=N$23,Itinerario!T33," ")," ")</f>
        <v xml:space="preserve"> </v>
      </c>
      <c r="O33" s="46" t="str">
        <f>_xlfn.IFNA(IF(VLOOKUP($D33,Organización_Modular!$F$10:$G$195,2,FALSE)=O$23,Itinerario!W33," ")," ")</f>
        <v xml:space="preserve"> </v>
      </c>
      <c r="P33" s="46" t="str">
        <f>_xlfn.IFNA(IF(VLOOKUP($D33,Organización_Modular!$F$10:$G$195,2,FALSE)=P$23,Itinerario!T33," ")," ")</f>
        <v xml:space="preserve"> </v>
      </c>
      <c r="Q33" s="46" t="str">
        <f>_xlfn.IFNA(IF(VLOOKUP($D33,Organización_Modular!$F$10:$G$195,2,FALSE)=Q$23,Itinerario!W33," ")," ")</f>
        <v xml:space="preserve"> </v>
      </c>
      <c r="R33" s="46">
        <f>Organización_Modular!H19</f>
        <v>0</v>
      </c>
      <c r="S33" s="46">
        <f>Organización_Modular!I19</f>
        <v>0</v>
      </c>
      <c r="T33" s="90">
        <f t="shared" si="2"/>
        <v>0</v>
      </c>
      <c r="U33" s="46">
        <f t="shared" si="3"/>
        <v>0</v>
      </c>
      <c r="V33" s="46">
        <f t="shared" si="4"/>
        <v>0</v>
      </c>
      <c r="W33" s="90">
        <f t="shared" si="5"/>
        <v>0</v>
      </c>
      <c r="X33" s="95">
        <f t="shared" si="6"/>
        <v>0</v>
      </c>
    </row>
    <row r="34" spans="1:24" ht="18" hidden="1" customHeight="1" x14ac:dyDescent="0.2">
      <c r="A34" s="407"/>
      <c r="B34" s="313"/>
      <c r="C34" s="410"/>
      <c r="D34" s="409">
        <f>Organización_Modular!F20</f>
        <v>0</v>
      </c>
      <c r="E34" s="409"/>
      <c r="F34" s="46" t="str">
        <f>_xlfn.IFNA(IF(VLOOKUP($D34,Organización_Modular!$F$10:$G$195,2,FALSE)=F$23,Itinerario!T34," ")," ")</f>
        <v xml:space="preserve"> </v>
      </c>
      <c r="G34" s="46" t="str">
        <f>_xlfn.IFNA(IF(VLOOKUP($D34,Organización_Modular!$F$10:$G$195,2,FALSE)=G$23,Itinerario!W34," ")," ")</f>
        <v xml:space="preserve"> </v>
      </c>
      <c r="H34" s="46" t="str">
        <f>_xlfn.IFNA(IF(VLOOKUP($D34,Organización_Modular!$F$10:$G$195,2,FALSE)=H$23,Itinerario!T34," ")," ")</f>
        <v xml:space="preserve"> </v>
      </c>
      <c r="I34" s="46" t="str">
        <f>_xlfn.IFNA(IF(VLOOKUP($D34,Organización_Modular!$F$10:$G$195,2,FALSE)=I$23,Itinerario!W34," ")," ")</f>
        <v xml:space="preserve"> </v>
      </c>
      <c r="J34" s="46" t="str">
        <f>_xlfn.IFNA(IF(VLOOKUP($D34,Organización_Modular!$F$10:$G$195,2,FALSE)=J$23,Itinerario!T34," ")," ")</f>
        <v xml:space="preserve"> </v>
      </c>
      <c r="K34" s="46" t="str">
        <f>_xlfn.IFNA(IF(VLOOKUP($D34,Organización_Modular!$F$10:$G$195,2,FALSE)=K$23,Itinerario!W34," ")," ")</f>
        <v xml:space="preserve"> </v>
      </c>
      <c r="L34" s="46" t="str">
        <f>_xlfn.IFNA(IF(VLOOKUP($D34,Organización_Modular!$F$10:$G$195,2,FALSE)=L$23,Itinerario!T34," ")," ")</f>
        <v xml:space="preserve"> </v>
      </c>
      <c r="M34" s="46" t="str">
        <f>_xlfn.IFNA(IF(VLOOKUP($D34,Organización_Modular!$F$10:$G$195,2,FALSE)=M$23,Itinerario!W34," ")," ")</f>
        <v xml:space="preserve"> </v>
      </c>
      <c r="N34" s="46" t="str">
        <f>_xlfn.IFNA(IF(VLOOKUP($D34,Organización_Modular!$F$10:$G$195,2,FALSE)=N$23,Itinerario!T34," ")," ")</f>
        <v xml:space="preserve"> </v>
      </c>
      <c r="O34" s="46" t="str">
        <f>_xlfn.IFNA(IF(VLOOKUP($D34,Organización_Modular!$F$10:$G$195,2,FALSE)=O$23,Itinerario!W34," ")," ")</f>
        <v xml:space="preserve"> </v>
      </c>
      <c r="P34" s="46" t="str">
        <f>_xlfn.IFNA(IF(VLOOKUP($D34,Organización_Modular!$F$10:$G$195,2,FALSE)=P$23,Itinerario!T34," ")," ")</f>
        <v xml:space="preserve"> </v>
      </c>
      <c r="Q34" s="46" t="str">
        <f>_xlfn.IFNA(IF(VLOOKUP($D34,Organización_Modular!$F$10:$G$195,2,FALSE)=Q$23,Itinerario!W34," ")," ")</f>
        <v xml:space="preserve"> </v>
      </c>
      <c r="R34" s="46">
        <f>Organización_Modular!H20</f>
        <v>0</v>
      </c>
      <c r="S34" s="46">
        <f>Organización_Modular!I20</f>
        <v>0</v>
      </c>
      <c r="T34" s="90">
        <f t="shared" si="2"/>
        <v>0</v>
      </c>
      <c r="U34" s="46">
        <f t="shared" si="3"/>
        <v>0</v>
      </c>
      <c r="V34" s="46">
        <f t="shared" si="4"/>
        <v>0</v>
      </c>
      <c r="W34" s="90">
        <f t="shared" si="5"/>
        <v>0</v>
      </c>
      <c r="X34" s="95">
        <f t="shared" si="6"/>
        <v>0</v>
      </c>
    </row>
    <row r="35" spans="1:24" ht="18" hidden="1" customHeight="1" x14ac:dyDescent="0.2">
      <c r="A35" s="407"/>
      <c r="B35" s="313"/>
      <c r="C35" s="410"/>
      <c r="D35" s="409">
        <f>Organización_Modular!F21</f>
        <v>0</v>
      </c>
      <c r="E35" s="409"/>
      <c r="F35" s="46" t="str">
        <f>_xlfn.IFNA(IF(VLOOKUP($D35,Organización_Modular!$F$10:$G$195,2,FALSE)=F$23,Itinerario!T35," ")," ")</f>
        <v xml:space="preserve"> </v>
      </c>
      <c r="G35" s="46" t="str">
        <f>_xlfn.IFNA(IF(VLOOKUP($D35,Organización_Modular!$F$10:$G$195,2,FALSE)=G$23,Itinerario!W35," ")," ")</f>
        <v xml:space="preserve"> </v>
      </c>
      <c r="H35" s="46" t="str">
        <f>_xlfn.IFNA(IF(VLOOKUP($D35,Organización_Modular!$F$10:$G$195,2,FALSE)=H$23,Itinerario!T35," ")," ")</f>
        <v xml:space="preserve"> </v>
      </c>
      <c r="I35" s="46" t="str">
        <f>_xlfn.IFNA(IF(VLOOKUP($D35,Organización_Modular!$F$10:$G$195,2,FALSE)=I$23,Itinerario!W35," ")," ")</f>
        <v xml:space="preserve"> </v>
      </c>
      <c r="J35" s="46" t="str">
        <f>_xlfn.IFNA(IF(VLOOKUP($D35,Organización_Modular!$F$10:$G$195,2,FALSE)=J$23,Itinerario!T35," ")," ")</f>
        <v xml:space="preserve"> </v>
      </c>
      <c r="K35" s="46" t="str">
        <f>_xlfn.IFNA(IF(VLOOKUP($D35,Organización_Modular!$F$10:$G$195,2,FALSE)=K$23,Itinerario!W35," ")," ")</f>
        <v xml:space="preserve"> </v>
      </c>
      <c r="L35" s="46" t="str">
        <f>_xlfn.IFNA(IF(VLOOKUP($D35,Organización_Modular!$F$10:$G$195,2,FALSE)=L$23,Itinerario!T35," ")," ")</f>
        <v xml:space="preserve"> </v>
      </c>
      <c r="M35" s="46" t="str">
        <f>_xlfn.IFNA(IF(VLOOKUP($D35,Organización_Modular!$F$10:$G$195,2,FALSE)=M$23,Itinerario!W35," ")," ")</f>
        <v xml:space="preserve"> </v>
      </c>
      <c r="N35" s="46" t="str">
        <f>_xlfn.IFNA(IF(VLOOKUP($D35,Organización_Modular!$F$10:$G$195,2,FALSE)=N$23,Itinerario!T35," ")," ")</f>
        <v xml:space="preserve"> </v>
      </c>
      <c r="O35" s="46" t="str">
        <f>_xlfn.IFNA(IF(VLOOKUP($D35,Organización_Modular!$F$10:$G$195,2,FALSE)=O$23,Itinerario!W35," ")," ")</f>
        <v xml:space="preserve"> </v>
      </c>
      <c r="P35" s="46" t="str">
        <f>_xlfn.IFNA(IF(VLOOKUP($D35,Organización_Modular!$F$10:$G$195,2,FALSE)=P$23,Itinerario!T35," ")," ")</f>
        <v xml:space="preserve"> </v>
      </c>
      <c r="Q35" s="46" t="str">
        <f>_xlfn.IFNA(IF(VLOOKUP($D35,Organización_Modular!$F$10:$G$195,2,FALSE)=Q$23,Itinerario!W35," ")," ")</f>
        <v xml:space="preserve"> </v>
      </c>
      <c r="R35" s="46">
        <f>Organización_Modular!H21</f>
        <v>0</v>
      </c>
      <c r="S35" s="46">
        <f>Organización_Modular!I21</f>
        <v>0</v>
      </c>
      <c r="T35" s="90">
        <f t="shared" si="2"/>
        <v>0</v>
      </c>
      <c r="U35" s="46">
        <f t="shared" si="3"/>
        <v>0</v>
      </c>
      <c r="V35" s="46">
        <f t="shared" si="4"/>
        <v>0</v>
      </c>
      <c r="W35" s="90">
        <f t="shared" si="5"/>
        <v>0</v>
      </c>
      <c r="X35" s="95">
        <f t="shared" si="6"/>
        <v>0</v>
      </c>
    </row>
    <row r="36" spans="1:24" ht="18" hidden="1" customHeight="1" x14ac:dyDescent="0.2">
      <c r="A36" s="407"/>
      <c r="B36" s="313"/>
      <c r="C36" s="410"/>
      <c r="D36" s="409">
        <f>Organización_Modular!F22</f>
        <v>0</v>
      </c>
      <c r="E36" s="409"/>
      <c r="F36" s="46" t="str">
        <f>_xlfn.IFNA(IF(VLOOKUP($D36,Organización_Modular!$F$10:$G$195,2,FALSE)=F$23,Itinerario!T36," ")," ")</f>
        <v xml:space="preserve"> </v>
      </c>
      <c r="G36" s="46" t="str">
        <f>_xlfn.IFNA(IF(VLOOKUP($D36,Organización_Modular!$F$10:$G$195,2,FALSE)=G$23,Itinerario!W36," ")," ")</f>
        <v xml:space="preserve"> </v>
      </c>
      <c r="H36" s="46" t="str">
        <f>_xlfn.IFNA(IF(VLOOKUP($D36,Organización_Modular!$F$10:$G$195,2,FALSE)=H$23,Itinerario!T36," ")," ")</f>
        <v xml:space="preserve"> </v>
      </c>
      <c r="I36" s="46" t="str">
        <f>_xlfn.IFNA(IF(VLOOKUP($D36,Organización_Modular!$F$10:$G$195,2,FALSE)=I$23,Itinerario!W36," ")," ")</f>
        <v xml:space="preserve"> </v>
      </c>
      <c r="J36" s="46" t="str">
        <f>_xlfn.IFNA(IF(VLOOKUP($D36,Organización_Modular!$F$10:$G$195,2,FALSE)=J$23,Itinerario!T36," ")," ")</f>
        <v xml:space="preserve"> </v>
      </c>
      <c r="K36" s="46" t="str">
        <f>_xlfn.IFNA(IF(VLOOKUP($D36,Organización_Modular!$F$10:$G$195,2,FALSE)=K$23,Itinerario!W36," ")," ")</f>
        <v xml:space="preserve"> </v>
      </c>
      <c r="L36" s="46" t="str">
        <f>_xlfn.IFNA(IF(VLOOKUP($D36,Organización_Modular!$F$10:$G$195,2,FALSE)=L$23,Itinerario!T36," ")," ")</f>
        <v xml:space="preserve"> </v>
      </c>
      <c r="M36" s="46" t="str">
        <f>_xlfn.IFNA(IF(VLOOKUP($D36,Organización_Modular!$F$10:$G$195,2,FALSE)=M$23,Itinerario!W36," ")," ")</f>
        <v xml:space="preserve"> </v>
      </c>
      <c r="N36" s="46" t="str">
        <f>_xlfn.IFNA(IF(VLOOKUP($D36,Organización_Modular!$F$10:$G$195,2,FALSE)=N$23,Itinerario!T36," ")," ")</f>
        <v xml:space="preserve"> </v>
      </c>
      <c r="O36" s="46" t="str">
        <f>_xlfn.IFNA(IF(VLOOKUP($D36,Organización_Modular!$F$10:$G$195,2,FALSE)=O$23,Itinerario!W36," ")," ")</f>
        <v xml:space="preserve"> </v>
      </c>
      <c r="P36" s="46" t="str">
        <f>_xlfn.IFNA(IF(VLOOKUP($D36,Organización_Modular!$F$10:$G$195,2,FALSE)=P$23,Itinerario!T36," ")," ")</f>
        <v xml:space="preserve"> </v>
      </c>
      <c r="Q36" s="46" t="str">
        <f>_xlfn.IFNA(IF(VLOOKUP($D36,Organización_Modular!$F$10:$G$195,2,FALSE)=Q$23,Itinerario!W36," ")," ")</f>
        <v xml:space="preserve"> </v>
      </c>
      <c r="R36" s="46">
        <f>Organización_Modular!H22</f>
        <v>0</v>
      </c>
      <c r="S36" s="46">
        <f>Organización_Modular!I22</f>
        <v>0</v>
      </c>
      <c r="T36" s="90">
        <f t="shared" si="2"/>
        <v>0</v>
      </c>
      <c r="U36" s="46">
        <f t="shared" si="3"/>
        <v>0</v>
      </c>
      <c r="V36" s="46">
        <f t="shared" si="4"/>
        <v>0</v>
      </c>
      <c r="W36" s="90">
        <f t="shared" si="5"/>
        <v>0</v>
      </c>
      <c r="X36" s="95">
        <f t="shared" si="6"/>
        <v>0</v>
      </c>
    </row>
    <row r="37" spans="1:24" ht="18" hidden="1" customHeight="1" x14ac:dyDescent="0.2">
      <c r="A37" s="407"/>
      <c r="B37" s="313"/>
      <c r="C37" s="410"/>
      <c r="D37" s="409">
        <f>Organización_Modular!F23</f>
        <v>0</v>
      </c>
      <c r="E37" s="409"/>
      <c r="F37" s="46" t="str">
        <f>_xlfn.IFNA(IF(VLOOKUP($D37,Organización_Modular!$F$10:$G$195,2,FALSE)=F$23,Itinerario!T37," ")," ")</f>
        <v xml:space="preserve"> </v>
      </c>
      <c r="G37" s="46" t="str">
        <f>_xlfn.IFNA(IF(VLOOKUP($D37,Organización_Modular!$F$10:$G$195,2,FALSE)=G$23,Itinerario!W37," ")," ")</f>
        <v xml:space="preserve"> </v>
      </c>
      <c r="H37" s="46" t="str">
        <f>_xlfn.IFNA(IF(VLOOKUP($D37,Organización_Modular!$F$10:$G$195,2,FALSE)=H$23,Itinerario!T37," ")," ")</f>
        <v xml:space="preserve"> </v>
      </c>
      <c r="I37" s="46" t="str">
        <f>_xlfn.IFNA(IF(VLOOKUP($D37,Organización_Modular!$F$10:$G$195,2,FALSE)=I$23,Itinerario!W37," ")," ")</f>
        <v xml:space="preserve"> </v>
      </c>
      <c r="J37" s="46" t="str">
        <f>_xlfn.IFNA(IF(VLOOKUP($D37,Organización_Modular!$F$10:$G$195,2,FALSE)=J$23,Itinerario!T37," ")," ")</f>
        <v xml:space="preserve"> </v>
      </c>
      <c r="K37" s="46" t="str">
        <f>_xlfn.IFNA(IF(VLOOKUP($D37,Organización_Modular!$F$10:$G$195,2,FALSE)=K$23,Itinerario!W37," ")," ")</f>
        <v xml:space="preserve"> </v>
      </c>
      <c r="L37" s="46" t="str">
        <f>_xlfn.IFNA(IF(VLOOKUP($D37,Organización_Modular!$F$10:$G$195,2,FALSE)=L$23,Itinerario!T37," ")," ")</f>
        <v xml:space="preserve"> </v>
      </c>
      <c r="M37" s="46" t="str">
        <f>_xlfn.IFNA(IF(VLOOKUP($D37,Organización_Modular!$F$10:$G$195,2,FALSE)=M$23,Itinerario!W37," ")," ")</f>
        <v xml:space="preserve"> </v>
      </c>
      <c r="N37" s="46" t="str">
        <f>_xlfn.IFNA(IF(VLOOKUP($D37,Organización_Modular!$F$10:$G$195,2,FALSE)=N$23,Itinerario!T37," ")," ")</f>
        <v xml:space="preserve"> </v>
      </c>
      <c r="O37" s="46" t="str">
        <f>_xlfn.IFNA(IF(VLOOKUP($D37,Organización_Modular!$F$10:$G$195,2,FALSE)=O$23,Itinerario!W37," ")," ")</f>
        <v xml:space="preserve"> </v>
      </c>
      <c r="P37" s="46" t="str">
        <f>_xlfn.IFNA(IF(VLOOKUP($D37,Organización_Modular!$F$10:$G$195,2,FALSE)=P$23,Itinerario!T37," ")," ")</f>
        <v xml:space="preserve"> </v>
      </c>
      <c r="Q37" s="46" t="str">
        <f>_xlfn.IFNA(IF(VLOOKUP($D37,Organización_Modular!$F$10:$G$195,2,FALSE)=Q$23,Itinerario!W37," ")," ")</f>
        <v xml:space="preserve"> </v>
      </c>
      <c r="R37" s="46">
        <f>Organización_Modular!H23</f>
        <v>0</v>
      </c>
      <c r="S37" s="46">
        <f>Organización_Modular!I23</f>
        <v>0</v>
      </c>
      <c r="T37" s="90">
        <f t="shared" si="2"/>
        <v>0</v>
      </c>
      <c r="U37" s="46">
        <f t="shared" si="3"/>
        <v>0</v>
      </c>
      <c r="V37" s="46">
        <f t="shared" si="4"/>
        <v>0</v>
      </c>
      <c r="W37" s="90">
        <f t="shared" si="5"/>
        <v>0</v>
      </c>
      <c r="X37" s="95">
        <f t="shared" si="6"/>
        <v>0</v>
      </c>
    </row>
    <row r="38" spans="1:24" ht="18" hidden="1" customHeight="1" x14ac:dyDescent="0.2">
      <c r="A38" s="407"/>
      <c r="B38" s="313"/>
      <c r="C38" s="410"/>
      <c r="D38" s="409">
        <f>Organización_Modular!F24</f>
        <v>0</v>
      </c>
      <c r="E38" s="409"/>
      <c r="F38" s="46" t="str">
        <f>_xlfn.IFNA(IF(VLOOKUP($D38,Organización_Modular!$F$10:$G$195,2,FALSE)=F$23,Itinerario!T38," ")," ")</f>
        <v xml:space="preserve"> </v>
      </c>
      <c r="G38" s="46" t="str">
        <f>_xlfn.IFNA(IF(VLOOKUP($D38,Organización_Modular!$F$10:$G$195,2,FALSE)=G$23,Itinerario!W38," ")," ")</f>
        <v xml:space="preserve"> </v>
      </c>
      <c r="H38" s="46" t="str">
        <f>_xlfn.IFNA(IF(VLOOKUP($D38,Organización_Modular!$F$10:$G$195,2,FALSE)=H$23,Itinerario!T38," ")," ")</f>
        <v xml:space="preserve"> </v>
      </c>
      <c r="I38" s="46" t="str">
        <f>_xlfn.IFNA(IF(VLOOKUP($D38,Organización_Modular!$F$10:$G$195,2,FALSE)=I$23,Itinerario!W38," ")," ")</f>
        <v xml:space="preserve"> </v>
      </c>
      <c r="J38" s="46" t="str">
        <f>_xlfn.IFNA(IF(VLOOKUP($D38,Organización_Modular!$F$10:$G$195,2,FALSE)=J$23,Itinerario!T38," ")," ")</f>
        <v xml:space="preserve"> </v>
      </c>
      <c r="K38" s="46" t="str">
        <f>_xlfn.IFNA(IF(VLOOKUP($D38,Organización_Modular!$F$10:$G$195,2,FALSE)=K$23,Itinerario!W38," ")," ")</f>
        <v xml:space="preserve"> </v>
      </c>
      <c r="L38" s="46" t="str">
        <f>_xlfn.IFNA(IF(VLOOKUP($D38,Organización_Modular!$F$10:$G$195,2,FALSE)=L$23,Itinerario!T38," ")," ")</f>
        <v xml:space="preserve"> </v>
      </c>
      <c r="M38" s="46" t="str">
        <f>_xlfn.IFNA(IF(VLOOKUP($D38,Organización_Modular!$F$10:$G$195,2,FALSE)=M$23,Itinerario!W38," ")," ")</f>
        <v xml:space="preserve"> </v>
      </c>
      <c r="N38" s="46" t="str">
        <f>_xlfn.IFNA(IF(VLOOKUP($D38,Organización_Modular!$F$10:$G$195,2,FALSE)=N$23,Itinerario!T38," ")," ")</f>
        <v xml:space="preserve"> </v>
      </c>
      <c r="O38" s="46" t="str">
        <f>_xlfn.IFNA(IF(VLOOKUP($D38,Organización_Modular!$F$10:$G$195,2,FALSE)=O$23,Itinerario!W38," ")," ")</f>
        <v xml:space="preserve"> </v>
      </c>
      <c r="P38" s="46" t="str">
        <f>_xlfn.IFNA(IF(VLOOKUP($D38,Organización_Modular!$F$10:$G$195,2,FALSE)=P$23,Itinerario!T38," ")," ")</f>
        <v xml:space="preserve"> </v>
      </c>
      <c r="Q38" s="46" t="str">
        <f>_xlfn.IFNA(IF(VLOOKUP($D38,Organización_Modular!$F$10:$G$195,2,FALSE)=Q$23,Itinerario!W38," ")," ")</f>
        <v xml:space="preserve"> </v>
      </c>
      <c r="R38" s="46">
        <f>Organización_Modular!H24</f>
        <v>0</v>
      </c>
      <c r="S38" s="46">
        <f>Organización_Modular!I24</f>
        <v>0</v>
      </c>
      <c r="T38" s="90">
        <f t="shared" si="2"/>
        <v>0</v>
      </c>
      <c r="U38" s="46">
        <f t="shared" si="3"/>
        <v>0</v>
      </c>
      <c r="V38" s="46">
        <f t="shared" si="4"/>
        <v>0</v>
      </c>
      <c r="W38" s="90">
        <f t="shared" si="5"/>
        <v>0</v>
      </c>
      <c r="X38" s="95">
        <f t="shared" si="6"/>
        <v>0</v>
      </c>
    </row>
    <row r="39" spans="1:24" ht="18" hidden="1" customHeight="1" x14ac:dyDescent="0.2">
      <c r="A39" s="407"/>
      <c r="B39" s="313"/>
      <c r="C39" s="410"/>
      <c r="D39" s="409">
        <f>Organización_Modular!F25</f>
        <v>0</v>
      </c>
      <c r="E39" s="409"/>
      <c r="F39" s="46" t="str">
        <f>_xlfn.IFNA(IF(VLOOKUP($D39,Organización_Modular!$F$10:$G$195,2,FALSE)=F$23,Itinerario!T39," ")," ")</f>
        <v xml:space="preserve"> </v>
      </c>
      <c r="G39" s="46" t="str">
        <f>_xlfn.IFNA(IF(VLOOKUP($D39,Organización_Modular!$F$10:$G$195,2,FALSE)=G$23,Itinerario!W39," ")," ")</f>
        <v xml:space="preserve"> </v>
      </c>
      <c r="H39" s="46" t="str">
        <f>_xlfn.IFNA(IF(VLOOKUP($D39,Organización_Modular!$F$10:$G$195,2,FALSE)=H$23,Itinerario!T39," ")," ")</f>
        <v xml:space="preserve"> </v>
      </c>
      <c r="I39" s="46" t="str">
        <f>_xlfn.IFNA(IF(VLOOKUP($D39,Organización_Modular!$F$10:$G$195,2,FALSE)=I$23,Itinerario!W39," ")," ")</f>
        <v xml:space="preserve"> </v>
      </c>
      <c r="J39" s="46" t="str">
        <f>_xlfn.IFNA(IF(VLOOKUP($D39,Organización_Modular!$F$10:$G$195,2,FALSE)=J$23,Itinerario!T39," ")," ")</f>
        <v xml:space="preserve"> </v>
      </c>
      <c r="K39" s="46" t="str">
        <f>_xlfn.IFNA(IF(VLOOKUP($D39,Organización_Modular!$F$10:$G$195,2,FALSE)=K$23,Itinerario!W39," ")," ")</f>
        <v xml:space="preserve"> </v>
      </c>
      <c r="L39" s="46" t="str">
        <f>_xlfn.IFNA(IF(VLOOKUP($D39,Organización_Modular!$F$10:$G$195,2,FALSE)=L$23,Itinerario!T39," ")," ")</f>
        <v xml:space="preserve"> </v>
      </c>
      <c r="M39" s="46" t="str">
        <f>_xlfn.IFNA(IF(VLOOKUP($D39,Organización_Modular!$F$10:$G$195,2,FALSE)=M$23,Itinerario!W39," ")," ")</f>
        <v xml:space="preserve"> </v>
      </c>
      <c r="N39" s="46" t="str">
        <f>_xlfn.IFNA(IF(VLOOKUP($D39,Organización_Modular!$F$10:$G$195,2,FALSE)=N$23,Itinerario!T39," ")," ")</f>
        <v xml:space="preserve"> </v>
      </c>
      <c r="O39" s="46" t="str">
        <f>_xlfn.IFNA(IF(VLOOKUP($D39,Organización_Modular!$F$10:$G$195,2,FALSE)=O$23,Itinerario!W39," ")," ")</f>
        <v xml:space="preserve"> </v>
      </c>
      <c r="P39" s="46" t="str">
        <f>_xlfn.IFNA(IF(VLOOKUP($D39,Organización_Modular!$F$10:$G$195,2,FALSE)=P$23,Itinerario!T39," ")," ")</f>
        <v xml:space="preserve"> </v>
      </c>
      <c r="Q39" s="46" t="str">
        <f>_xlfn.IFNA(IF(VLOOKUP($D39,Organización_Modular!$F$10:$G$195,2,FALSE)=Q$23,Itinerario!W39," ")," ")</f>
        <v xml:space="preserve"> </v>
      </c>
      <c r="R39" s="46">
        <f>Organización_Modular!H25</f>
        <v>0</v>
      </c>
      <c r="S39" s="46">
        <f>Organización_Modular!I25</f>
        <v>0</v>
      </c>
      <c r="T39" s="90">
        <f t="shared" si="2"/>
        <v>0</v>
      </c>
      <c r="U39" s="46">
        <f t="shared" si="3"/>
        <v>0</v>
      </c>
      <c r="V39" s="46">
        <f t="shared" si="4"/>
        <v>0</v>
      </c>
      <c r="W39" s="90">
        <f t="shared" si="5"/>
        <v>0</v>
      </c>
      <c r="X39" s="95">
        <f t="shared" si="6"/>
        <v>0</v>
      </c>
    </row>
    <row r="40" spans="1:24" ht="18" hidden="1" customHeight="1" x14ac:dyDescent="0.2">
      <c r="A40" s="407"/>
      <c r="B40" s="313"/>
      <c r="C40" s="410"/>
      <c r="D40" s="409">
        <f>Organización_Modular!F26</f>
        <v>0</v>
      </c>
      <c r="E40" s="409"/>
      <c r="F40" s="46" t="str">
        <f>_xlfn.IFNA(IF(VLOOKUP($D40,Organización_Modular!$F$10:$G$195,2,FALSE)=F$23,Itinerario!T40," ")," ")</f>
        <v xml:space="preserve"> </v>
      </c>
      <c r="G40" s="46" t="str">
        <f>_xlfn.IFNA(IF(VLOOKUP($D40,Organización_Modular!$F$10:$G$195,2,FALSE)=G$23,Itinerario!W40," ")," ")</f>
        <v xml:space="preserve"> </v>
      </c>
      <c r="H40" s="46" t="str">
        <f>_xlfn.IFNA(IF(VLOOKUP($D40,Organización_Modular!$F$10:$G$195,2,FALSE)=H$23,Itinerario!T40," ")," ")</f>
        <v xml:space="preserve"> </v>
      </c>
      <c r="I40" s="46" t="str">
        <f>_xlfn.IFNA(IF(VLOOKUP($D40,Organización_Modular!$F$10:$G$195,2,FALSE)=I$23,Itinerario!W40," ")," ")</f>
        <v xml:space="preserve"> </v>
      </c>
      <c r="J40" s="46" t="str">
        <f>_xlfn.IFNA(IF(VLOOKUP($D40,Organización_Modular!$F$10:$G$195,2,FALSE)=J$23,Itinerario!T40," ")," ")</f>
        <v xml:space="preserve"> </v>
      </c>
      <c r="K40" s="46" t="str">
        <f>_xlfn.IFNA(IF(VLOOKUP($D40,Organización_Modular!$F$10:$G$195,2,FALSE)=K$23,Itinerario!W40," ")," ")</f>
        <v xml:space="preserve"> </v>
      </c>
      <c r="L40" s="46" t="str">
        <f>_xlfn.IFNA(IF(VLOOKUP($D40,Organización_Modular!$F$10:$G$195,2,FALSE)=L$23,Itinerario!T40," ")," ")</f>
        <v xml:space="preserve"> </v>
      </c>
      <c r="M40" s="46" t="str">
        <f>_xlfn.IFNA(IF(VLOOKUP($D40,Organización_Modular!$F$10:$G$195,2,FALSE)=M$23,Itinerario!W40," ")," ")</f>
        <v xml:space="preserve"> </v>
      </c>
      <c r="N40" s="46" t="str">
        <f>_xlfn.IFNA(IF(VLOOKUP($D40,Organización_Modular!$F$10:$G$195,2,FALSE)=N$23,Itinerario!T40," ")," ")</f>
        <v xml:space="preserve"> </v>
      </c>
      <c r="O40" s="46" t="str">
        <f>_xlfn.IFNA(IF(VLOOKUP($D40,Organización_Modular!$F$10:$G$195,2,FALSE)=O$23,Itinerario!W40," ")," ")</f>
        <v xml:space="preserve"> </v>
      </c>
      <c r="P40" s="46" t="str">
        <f>_xlfn.IFNA(IF(VLOOKUP($D40,Organización_Modular!$F$10:$G$195,2,FALSE)=P$23,Itinerario!T40," ")," ")</f>
        <v xml:space="preserve"> </v>
      </c>
      <c r="Q40" s="46" t="str">
        <f>_xlfn.IFNA(IF(VLOOKUP($D40,Organización_Modular!$F$10:$G$195,2,FALSE)=Q$23,Itinerario!W40," ")," ")</f>
        <v xml:space="preserve"> </v>
      </c>
      <c r="R40" s="46">
        <f>Organización_Modular!H26</f>
        <v>0</v>
      </c>
      <c r="S40" s="46">
        <f>Organización_Modular!I26</f>
        <v>0</v>
      </c>
      <c r="T40" s="90">
        <f t="shared" si="2"/>
        <v>0</v>
      </c>
      <c r="U40" s="46">
        <f t="shared" si="3"/>
        <v>0</v>
      </c>
      <c r="V40" s="46">
        <f t="shared" si="4"/>
        <v>0</v>
      </c>
      <c r="W40" s="90">
        <f t="shared" si="5"/>
        <v>0</v>
      </c>
      <c r="X40" s="95">
        <f t="shared" si="6"/>
        <v>0</v>
      </c>
    </row>
    <row r="41" spans="1:24" ht="18" hidden="1" customHeight="1" x14ac:dyDescent="0.2">
      <c r="A41" s="407"/>
      <c r="B41" s="313"/>
      <c r="C41" s="410"/>
      <c r="D41" s="409">
        <f>Organización_Modular!F27</f>
        <v>0</v>
      </c>
      <c r="E41" s="409"/>
      <c r="F41" s="46" t="str">
        <f>_xlfn.IFNA(IF(VLOOKUP($D41,Organización_Modular!$F$10:$G$195,2,FALSE)=F$23,Itinerario!T41," ")," ")</f>
        <v xml:space="preserve"> </v>
      </c>
      <c r="G41" s="46" t="str">
        <f>_xlfn.IFNA(IF(VLOOKUP($D41,Organización_Modular!$F$10:$G$195,2,FALSE)=G$23,Itinerario!W41," ")," ")</f>
        <v xml:space="preserve"> </v>
      </c>
      <c r="H41" s="46" t="str">
        <f>_xlfn.IFNA(IF(VLOOKUP($D41,Organización_Modular!$F$10:$G$195,2,FALSE)=H$23,Itinerario!T41," ")," ")</f>
        <v xml:space="preserve"> </v>
      </c>
      <c r="I41" s="46" t="str">
        <f>_xlfn.IFNA(IF(VLOOKUP($D41,Organización_Modular!$F$10:$G$195,2,FALSE)=I$23,Itinerario!W41," ")," ")</f>
        <v xml:space="preserve"> </v>
      </c>
      <c r="J41" s="46" t="str">
        <f>_xlfn.IFNA(IF(VLOOKUP($D41,Organización_Modular!$F$10:$G$195,2,FALSE)=J$23,Itinerario!T41," ")," ")</f>
        <v xml:space="preserve"> </v>
      </c>
      <c r="K41" s="46" t="str">
        <f>_xlfn.IFNA(IF(VLOOKUP($D41,Organización_Modular!$F$10:$G$195,2,FALSE)=K$23,Itinerario!W41," ")," ")</f>
        <v xml:space="preserve"> </v>
      </c>
      <c r="L41" s="46" t="str">
        <f>_xlfn.IFNA(IF(VLOOKUP($D41,Organización_Modular!$F$10:$G$195,2,FALSE)=L$23,Itinerario!T41," ")," ")</f>
        <v xml:space="preserve"> </v>
      </c>
      <c r="M41" s="46" t="str">
        <f>_xlfn.IFNA(IF(VLOOKUP($D41,Organización_Modular!$F$10:$G$195,2,FALSE)=M$23,Itinerario!W41," ")," ")</f>
        <v xml:space="preserve"> </v>
      </c>
      <c r="N41" s="46" t="str">
        <f>_xlfn.IFNA(IF(VLOOKUP($D41,Organización_Modular!$F$10:$G$195,2,FALSE)=N$23,Itinerario!T41," ")," ")</f>
        <v xml:space="preserve"> </v>
      </c>
      <c r="O41" s="46" t="str">
        <f>_xlfn.IFNA(IF(VLOOKUP($D41,Organización_Modular!$F$10:$G$195,2,FALSE)=O$23,Itinerario!W41," ")," ")</f>
        <v xml:space="preserve"> </v>
      </c>
      <c r="P41" s="46" t="str">
        <f>_xlfn.IFNA(IF(VLOOKUP($D41,Organización_Modular!$F$10:$G$195,2,FALSE)=P$23,Itinerario!T41," ")," ")</f>
        <v xml:space="preserve"> </v>
      </c>
      <c r="Q41" s="46" t="str">
        <f>_xlfn.IFNA(IF(VLOOKUP($D41,Organización_Modular!$F$10:$G$195,2,FALSE)=Q$23,Itinerario!W41," ")," ")</f>
        <v xml:space="preserve"> </v>
      </c>
      <c r="R41" s="46">
        <f>Organización_Modular!H27</f>
        <v>0</v>
      </c>
      <c r="S41" s="46">
        <f>Organización_Modular!I27</f>
        <v>0</v>
      </c>
      <c r="T41" s="90">
        <f t="shared" si="2"/>
        <v>0</v>
      </c>
      <c r="U41" s="46">
        <f t="shared" si="3"/>
        <v>0</v>
      </c>
      <c r="V41" s="46">
        <f t="shared" si="4"/>
        <v>0</v>
      </c>
      <c r="W41" s="90">
        <f t="shared" si="5"/>
        <v>0</v>
      </c>
      <c r="X41" s="95">
        <f t="shared" si="6"/>
        <v>0</v>
      </c>
    </row>
    <row r="42" spans="1:24" ht="18" hidden="1" customHeight="1" x14ac:dyDescent="0.2">
      <c r="A42" s="407"/>
      <c r="B42" s="313"/>
      <c r="C42" s="410"/>
      <c r="D42" s="409">
        <f>Organización_Modular!F28</f>
        <v>0</v>
      </c>
      <c r="E42" s="409"/>
      <c r="F42" s="46" t="str">
        <f>_xlfn.IFNA(IF(VLOOKUP($D42,Organización_Modular!$F$10:$G$195,2,FALSE)=F$23,Itinerario!T42," ")," ")</f>
        <v xml:space="preserve"> </v>
      </c>
      <c r="G42" s="46" t="str">
        <f>_xlfn.IFNA(IF(VLOOKUP($D42,Organización_Modular!$F$10:$G$195,2,FALSE)=G$23,Itinerario!W42," ")," ")</f>
        <v xml:space="preserve"> </v>
      </c>
      <c r="H42" s="46" t="str">
        <f>_xlfn.IFNA(IF(VLOOKUP($D42,Organización_Modular!$F$10:$G$195,2,FALSE)=H$23,Itinerario!T42," ")," ")</f>
        <v xml:space="preserve"> </v>
      </c>
      <c r="I42" s="46" t="str">
        <f>_xlfn.IFNA(IF(VLOOKUP($D42,Organización_Modular!$F$10:$G$195,2,FALSE)=I$23,Itinerario!W42," ")," ")</f>
        <v xml:space="preserve"> </v>
      </c>
      <c r="J42" s="46" t="str">
        <f>_xlfn.IFNA(IF(VLOOKUP($D42,Organización_Modular!$F$10:$G$195,2,FALSE)=J$23,Itinerario!T42," ")," ")</f>
        <v xml:space="preserve"> </v>
      </c>
      <c r="K42" s="46" t="str">
        <f>_xlfn.IFNA(IF(VLOOKUP($D42,Organización_Modular!$F$10:$G$195,2,FALSE)=K$23,Itinerario!W42," ")," ")</f>
        <v xml:space="preserve"> </v>
      </c>
      <c r="L42" s="46" t="str">
        <f>_xlfn.IFNA(IF(VLOOKUP($D42,Organización_Modular!$F$10:$G$195,2,FALSE)=L$23,Itinerario!T42," ")," ")</f>
        <v xml:space="preserve"> </v>
      </c>
      <c r="M42" s="46" t="str">
        <f>_xlfn.IFNA(IF(VLOOKUP($D42,Organización_Modular!$F$10:$G$195,2,FALSE)=M$23,Itinerario!W42," ")," ")</f>
        <v xml:space="preserve"> </v>
      </c>
      <c r="N42" s="46" t="str">
        <f>_xlfn.IFNA(IF(VLOOKUP($D42,Organización_Modular!$F$10:$G$195,2,FALSE)=N$23,Itinerario!T42," ")," ")</f>
        <v xml:space="preserve"> </v>
      </c>
      <c r="O42" s="46" t="str">
        <f>_xlfn.IFNA(IF(VLOOKUP($D42,Organización_Modular!$F$10:$G$195,2,FALSE)=O$23,Itinerario!W42," ")," ")</f>
        <v xml:space="preserve"> </v>
      </c>
      <c r="P42" s="46" t="str">
        <f>_xlfn.IFNA(IF(VLOOKUP($D42,Organización_Modular!$F$10:$G$195,2,FALSE)=P$23,Itinerario!T42," ")," ")</f>
        <v xml:space="preserve"> </v>
      </c>
      <c r="Q42" s="46" t="str">
        <f>_xlfn.IFNA(IF(VLOOKUP($D42,Organización_Modular!$F$10:$G$195,2,FALSE)=Q$23,Itinerario!W42," ")," ")</f>
        <v xml:space="preserve"> </v>
      </c>
      <c r="R42" s="46">
        <f>Organización_Modular!H28</f>
        <v>0</v>
      </c>
      <c r="S42" s="46">
        <f>Organización_Modular!I28</f>
        <v>0</v>
      </c>
      <c r="T42" s="90">
        <f t="shared" si="2"/>
        <v>0</v>
      </c>
      <c r="U42" s="46">
        <f t="shared" si="3"/>
        <v>0</v>
      </c>
      <c r="V42" s="46">
        <f t="shared" si="4"/>
        <v>0</v>
      </c>
      <c r="W42" s="90">
        <f t="shared" si="5"/>
        <v>0</v>
      </c>
      <c r="X42" s="95">
        <f t="shared" si="6"/>
        <v>0</v>
      </c>
    </row>
    <row r="43" spans="1:24" ht="18" hidden="1" customHeight="1" x14ac:dyDescent="0.2">
      <c r="A43" s="407"/>
      <c r="B43" s="313"/>
      <c r="C43" s="410"/>
      <c r="D43" s="409">
        <f>Organización_Modular!F29</f>
        <v>0</v>
      </c>
      <c r="E43" s="409"/>
      <c r="F43" s="46" t="str">
        <f>_xlfn.IFNA(IF(VLOOKUP($D43,Organización_Modular!$F$10:$G$195,2,FALSE)=F$23,Itinerario!T43," ")," ")</f>
        <v xml:space="preserve"> </v>
      </c>
      <c r="G43" s="46" t="str">
        <f>_xlfn.IFNA(IF(VLOOKUP($D43,Organización_Modular!$F$10:$G$195,2,FALSE)=G$23,Itinerario!W43," ")," ")</f>
        <v xml:space="preserve"> </v>
      </c>
      <c r="H43" s="46" t="str">
        <f>_xlfn.IFNA(IF(VLOOKUP($D43,Organización_Modular!$F$10:$G$195,2,FALSE)=H$23,Itinerario!T43," ")," ")</f>
        <v xml:space="preserve"> </v>
      </c>
      <c r="I43" s="46" t="str">
        <f>_xlfn.IFNA(IF(VLOOKUP($D43,Organización_Modular!$F$10:$G$195,2,FALSE)=I$23,Itinerario!W43," ")," ")</f>
        <v xml:space="preserve"> </v>
      </c>
      <c r="J43" s="46" t="str">
        <f>_xlfn.IFNA(IF(VLOOKUP($D43,Organización_Modular!$F$10:$G$195,2,FALSE)=J$23,Itinerario!T43," ")," ")</f>
        <v xml:space="preserve"> </v>
      </c>
      <c r="K43" s="46" t="str">
        <f>_xlfn.IFNA(IF(VLOOKUP($D43,Organización_Modular!$F$10:$G$195,2,FALSE)=K$23,Itinerario!W43," ")," ")</f>
        <v xml:space="preserve"> </v>
      </c>
      <c r="L43" s="46" t="str">
        <f>_xlfn.IFNA(IF(VLOOKUP($D43,Organización_Modular!$F$10:$G$195,2,FALSE)=L$23,Itinerario!T43," ")," ")</f>
        <v xml:space="preserve"> </v>
      </c>
      <c r="M43" s="46" t="str">
        <f>_xlfn.IFNA(IF(VLOOKUP($D43,Organización_Modular!$F$10:$G$195,2,FALSE)=M$23,Itinerario!W43," ")," ")</f>
        <v xml:space="preserve"> </v>
      </c>
      <c r="N43" s="46" t="str">
        <f>_xlfn.IFNA(IF(VLOOKUP($D43,Organización_Modular!$F$10:$G$195,2,FALSE)=N$23,Itinerario!T43," ")," ")</f>
        <v xml:space="preserve"> </v>
      </c>
      <c r="O43" s="46" t="str">
        <f>_xlfn.IFNA(IF(VLOOKUP($D43,Organización_Modular!$F$10:$G$195,2,FALSE)=O$23,Itinerario!W43," ")," ")</f>
        <v xml:space="preserve"> </v>
      </c>
      <c r="P43" s="46" t="str">
        <f>_xlfn.IFNA(IF(VLOOKUP($D43,Organización_Modular!$F$10:$G$195,2,FALSE)=P$23,Itinerario!T43," ")," ")</f>
        <v xml:space="preserve"> </v>
      </c>
      <c r="Q43" s="46" t="str">
        <f>_xlfn.IFNA(IF(VLOOKUP($D43,Organización_Modular!$F$10:$G$195,2,FALSE)=Q$23,Itinerario!W43," ")," ")</f>
        <v xml:space="preserve"> </v>
      </c>
      <c r="R43" s="46">
        <f>Organización_Modular!H29</f>
        <v>0</v>
      </c>
      <c r="S43" s="46">
        <f>Organización_Modular!I29</f>
        <v>0</v>
      </c>
      <c r="T43" s="90">
        <f t="shared" si="2"/>
        <v>0</v>
      </c>
      <c r="U43" s="46">
        <f t="shared" si="3"/>
        <v>0</v>
      </c>
      <c r="V43" s="46">
        <f t="shared" si="4"/>
        <v>0</v>
      </c>
      <c r="W43" s="90">
        <f t="shared" si="5"/>
        <v>0</v>
      </c>
      <c r="X43" s="95">
        <f t="shared" si="6"/>
        <v>0</v>
      </c>
    </row>
    <row r="44" spans="1:24" ht="89.25" customHeight="1" x14ac:dyDescent="0.2">
      <c r="A44" s="407"/>
      <c r="B44" s="314" t="str">
        <f>Organización_Modular!B30</f>
        <v>Competencias para la empleabilidad</v>
      </c>
      <c r="C44" s="410" t="str">
        <f>Organización_Modular!C30</f>
        <v>CE1 Comunicación efectiva.- Expresar  de manera clara los conceptos, ideas, sentimientos, hechos y opiniones en forma oral y escrita para comunicarse e interactuar con otras personas en contextos sociales y laborales diversos. (UD)</v>
      </c>
      <c r="D44" s="409" t="str">
        <f>Organización_Modular!F30</f>
        <v>Comunicación Oral</v>
      </c>
      <c r="E44" s="409"/>
      <c r="F44" s="46">
        <f>_xlfn.IFNA(IF(VLOOKUP($D44,Organización_Modular!$F$10:$G$195,2,FALSE)=F$23,Itinerario!T44," ")," ")</f>
        <v>2</v>
      </c>
      <c r="G44" s="46">
        <f>_xlfn.IFNA(IF(VLOOKUP($D44,Organización_Modular!$F$10:$G$195,2,FALSE)=G$23,Itinerario!W44," ")," ")</f>
        <v>48</v>
      </c>
      <c r="H44" s="46" t="str">
        <f>_xlfn.IFNA(IF(VLOOKUP($D44,Organización_Modular!$F$10:$G$195,2,FALSE)=H$23,Itinerario!T44," ")," ")</f>
        <v xml:space="preserve"> </v>
      </c>
      <c r="I44" s="46" t="str">
        <f>_xlfn.IFNA(IF(VLOOKUP($D44,Organización_Modular!$F$10:$G$195,2,FALSE)=I$23,Itinerario!W44," ")," ")</f>
        <v xml:space="preserve"> </v>
      </c>
      <c r="J44" s="46" t="str">
        <f>_xlfn.IFNA(IF(VLOOKUP($D44,Organización_Modular!$F$10:$G$195,2,FALSE)=J$23,Itinerario!T44," ")," ")</f>
        <v xml:space="preserve"> </v>
      </c>
      <c r="K44" s="46" t="str">
        <f>_xlfn.IFNA(IF(VLOOKUP($D44,Organización_Modular!$F$10:$G$195,2,FALSE)=K$23,Itinerario!W44," ")," ")</f>
        <v xml:space="preserve"> </v>
      </c>
      <c r="L44" s="46" t="str">
        <f>_xlfn.IFNA(IF(VLOOKUP($D44,Organización_Modular!$F$10:$G$195,2,FALSE)=L$23,Itinerario!T44," ")," ")</f>
        <v xml:space="preserve"> </v>
      </c>
      <c r="M44" s="46" t="str">
        <f>_xlfn.IFNA(IF(VLOOKUP($D44,Organización_Modular!$F$10:$G$195,2,FALSE)=M$23,Itinerario!W44," ")," ")</f>
        <v xml:space="preserve"> </v>
      </c>
      <c r="N44" s="46" t="str">
        <f>_xlfn.IFNA(IF(VLOOKUP($D44,Organización_Modular!$F$10:$G$195,2,FALSE)=N$23,Itinerario!T44," ")," ")</f>
        <v xml:space="preserve"> </v>
      </c>
      <c r="O44" s="46" t="str">
        <f>_xlfn.IFNA(IF(VLOOKUP($D44,Organización_Modular!$F$10:$G$195,2,FALSE)=O$23,Itinerario!W44," ")," ")</f>
        <v xml:space="preserve"> </v>
      </c>
      <c r="P44" s="46" t="str">
        <f>_xlfn.IFNA(IF(VLOOKUP($D44,Organización_Modular!$F$10:$G$195,2,FALSE)=P$23,Itinerario!T44," ")," ")</f>
        <v xml:space="preserve"> </v>
      </c>
      <c r="Q44" s="46" t="str">
        <f>_xlfn.IFNA(IF(VLOOKUP($D44,Organización_Modular!$F$10:$G$195,2,FALSE)=Q$23,Itinerario!W44," ")," ")</f>
        <v xml:space="preserve"> </v>
      </c>
      <c r="R44" s="46">
        <f>Organización_Modular!H30</f>
        <v>1</v>
      </c>
      <c r="S44" s="46">
        <f>Organización_Modular!I30</f>
        <v>1</v>
      </c>
      <c r="T44" s="90">
        <f t="shared" si="2"/>
        <v>2</v>
      </c>
      <c r="U44" s="46">
        <f>+R44*$S$19</f>
        <v>16</v>
      </c>
      <c r="V44" s="46">
        <f t="shared" si="4"/>
        <v>32</v>
      </c>
      <c r="W44" s="90">
        <f t="shared" si="5"/>
        <v>48</v>
      </c>
      <c r="X44" s="95">
        <f t="shared" si="6"/>
        <v>48</v>
      </c>
    </row>
    <row r="45" spans="1:24" ht="102" customHeight="1" x14ac:dyDescent="0.2">
      <c r="A45" s="407"/>
      <c r="B45" s="314"/>
      <c r="C45" s="410"/>
      <c r="D45" s="409" t="str">
        <f>Organización_Modular!F31</f>
        <v>Comunicación Escrita</v>
      </c>
      <c r="E45" s="409"/>
      <c r="F45" s="46">
        <f>_xlfn.IFNA(IF(VLOOKUP($D45,Organización_Modular!$F$10:$G$195,2,FALSE)=F$23,Itinerario!T45," ")," ")</f>
        <v>1</v>
      </c>
      <c r="G45" s="46">
        <f>_xlfn.IFNA(IF(VLOOKUP($D45,Organización_Modular!$F$10:$G$195,2,FALSE)=G$23,Itinerario!W45," ")," ")</f>
        <v>32</v>
      </c>
      <c r="H45" s="46" t="str">
        <f>_xlfn.IFNA(IF(VLOOKUP($D45,Organización_Modular!$F$10:$G$195,2,FALSE)=H$23,Itinerario!T45," ")," ")</f>
        <v xml:space="preserve"> </v>
      </c>
      <c r="I45" s="46" t="str">
        <f>_xlfn.IFNA(IF(VLOOKUP($D45,Organización_Modular!$F$10:$G$195,2,FALSE)=I$23,Itinerario!W45," ")," ")</f>
        <v xml:space="preserve"> </v>
      </c>
      <c r="J45" s="46" t="str">
        <f>_xlfn.IFNA(IF(VLOOKUP($D45,Organización_Modular!$F$10:$G$195,2,FALSE)=J$23,Itinerario!T45," ")," ")</f>
        <v xml:space="preserve"> </v>
      </c>
      <c r="K45" s="46" t="str">
        <f>_xlfn.IFNA(IF(VLOOKUP($D45,Organización_Modular!$F$10:$G$195,2,FALSE)=K$23,Itinerario!W45," ")," ")</f>
        <v xml:space="preserve"> </v>
      </c>
      <c r="L45" s="46" t="str">
        <f>_xlfn.IFNA(IF(VLOOKUP($D45,Organización_Modular!$F$10:$G$195,2,FALSE)=L$23,Itinerario!T45," ")," ")</f>
        <v xml:space="preserve"> </v>
      </c>
      <c r="M45" s="46" t="str">
        <f>_xlfn.IFNA(IF(VLOOKUP($D45,Organización_Modular!$F$10:$G$195,2,FALSE)=M$23,Itinerario!W45," ")," ")</f>
        <v xml:space="preserve"> </v>
      </c>
      <c r="N45" s="46" t="str">
        <f>_xlfn.IFNA(IF(VLOOKUP($D45,Organización_Modular!$F$10:$G$195,2,FALSE)=N$23,Itinerario!T45," ")," ")</f>
        <v xml:space="preserve"> </v>
      </c>
      <c r="O45" s="46" t="str">
        <f>_xlfn.IFNA(IF(VLOOKUP($D45,Organización_Modular!$F$10:$G$195,2,FALSE)=O$23,Itinerario!W45," ")," ")</f>
        <v xml:space="preserve"> </v>
      </c>
      <c r="P45" s="46" t="str">
        <f>_xlfn.IFNA(IF(VLOOKUP($D45,Organización_Modular!$F$10:$G$195,2,FALSE)=P$23,Itinerario!T45," ")," ")</f>
        <v xml:space="preserve"> </v>
      </c>
      <c r="Q45" s="46" t="str">
        <f>_xlfn.IFNA(IF(VLOOKUP($D45,Organización_Modular!$F$10:$G$195,2,FALSE)=Q$23,Itinerario!W45," ")," ")</f>
        <v xml:space="preserve"> </v>
      </c>
      <c r="R45" s="46">
        <f>Organización_Modular!H31</f>
        <v>0</v>
      </c>
      <c r="S45" s="46">
        <f>Organización_Modular!I31</f>
        <v>1</v>
      </c>
      <c r="T45" s="90">
        <f t="shared" si="2"/>
        <v>1</v>
      </c>
      <c r="U45" s="46">
        <f t="shared" si="3"/>
        <v>0</v>
      </c>
      <c r="V45" s="46">
        <f t="shared" si="4"/>
        <v>32</v>
      </c>
      <c r="W45" s="90">
        <f t="shared" si="5"/>
        <v>32</v>
      </c>
      <c r="X45" s="95">
        <f t="shared" si="6"/>
        <v>32</v>
      </c>
    </row>
    <row r="46" spans="1:24" ht="18" hidden="1" customHeight="1" x14ac:dyDescent="0.2">
      <c r="A46" s="407"/>
      <c r="B46" s="314"/>
      <c r="C46" s="410"/>
      <c r="D46" s="409">
        <f>Organización_Modular!F32</f>
        <v>0</v>
      </c>
      <c r="E46" s="409"/>
      <c r="F46" s="46" t="str">
        <f>_xlfn.IFNA(IF(VLOOKUP($D46,Organización_Modular!$F$10:$G$195,2,FALSE)=F$23,Itinerario!T46," ")," ")</f>
        <v xml:space="preserve"> </v>
      </c>
      <c r="G46" s="46" t="str">
        <f>_xlfn.IFNA(IF(VLOOKUP($D46,Organización_Modular!$F$10:$G$195,2,FALSE)=G$23,Itinerario!W46," ")," ")</f>
        <v xml:space="preserve"> </v>
      </c>
      <c r="H46" s="46" t="str">
        <f>_xlfn.IFNA(IF(VLOOKUP($D46,Organización_Modular!$F$10:$G$195,2,FALSE)=H$23,Itinerario!T46," ")," ")</f>
        <v xml:space="preserve"> </v>
      </c>
      <c r="I46" s="46" t="str">
        <f>_xlfn.IFNA(IF(VLOOKUP($D46,Organización_Modular!$F$10:$G$195,2,FALSE)=I$23,Itinerario!W46," ")," ")</f>
        <v xml:space="preserve"> </v>
      </c>
      <c r="J46" s="46" t="str">
        <f>_xlfn.IFNA(IF(VLOOKUP($D46,Organización_Modular!$F$10:$G$195,2,FALSE)=J$23,Itinerario!T46," ")," ")</f>
        <v xml:space="preserve"> </v>
      </c>
      <c r="K46" s="46" t="str">
        <f>_xlfn.IFNA(IF(VLOOKUP($D46,Organización_Modular!$F$10:$G$195,2,FALSE)=K$23,Itinerario!W46," ")," ")</f>
        <v xml:space="preserve"> </v>
      </c>
      <c r="L46" s="46" t="str">
        <f>_xlfn.IFNA(IF(VLOOKUP($D46,Organización_Modular!$F$10:$G$195,2,FALSE)=L$23,Itinerario!T46," ")," ")</f>
        <v xml:space="preserve"> </v>
      </c>
      <c r="M46" s="46" t="str">
        <f>_xlfn.IFNA(IF(VLOOKUP($D46,Organización_Modular!$F$10:$G$195,2,FALSE)=M$23,Itinerario!W46," ")," ")</f>
        <v xml:space="preserve"> </v>
      </c>
      <c r="N46" s="46" t="str">
        <f>_xlfn.IFNA(IF(VLOOKUP($D46,Organización_Modular!$F$10:$G$195,2,FALSE)=N$23,Itinerario!T46," ")," ")</f>
        <v xml:space="preserve"> </v>
      </c>
      <c r="O46" s="46" t="str">
        <f>_xlfn.IFNA(IF(VLOOKUP($D46,Organización_Modular!$F$10:$G$195,2,FALSE)=O$23,Itinerario!W46," ")," ")</f>
        <v xml:space="preserve"> </v>
      </c>
      <c r="P46" s="46" t="str">
        <f>_xlfn.IFNA(IF(VLOOKUP($D46,Organización_Modular!$F$10:$G$195,2,FALSE)=P$23,Itinerario!T46," ")," ")</f>
        <v xml:space="preserve"> </v>
      </c>
      <c r="Q46" s="46" t="str">
        <f>_xlfn.IFNA(IF(VLOOKUP($D46,Organización_Modular!$F$10:$G$195,2,FALSE)=Q$23,Itinerario!W46," ")," ")</f>
        <v xml:space="preserve"> </v>
      </c>
      <c r="R46" s="46">
        <f>Organización_Modular!H32</f>
        <v>0</v>
      </c>
      <c r="S46" s="46">
        <f>Organización_Modular!I32</f>
        <v>0</v>
      </c>
      <c r="T46" s="90">
        <f t="shared" si="2"/>
        <v>0</v>
      </c>
      <c r="U46" s="46">
        <f t="shared" si="3"/>
        <v>0</v>
      </c>
      <c r="V46" s="46">
        <f t="shared" si="4"/>
        <v>0</v>
      </c>
      <c r="W46" s="90">
        <f t="shared" si="5"/>
        <v>0</v>
      </c>
      <c r="X46" s="95">
        <f t="shared" si="6"/>
        <v>0</v>
      </c>
    </row>
    <row r="47" spans="1:24" ht="18" hidden="1" customHeight="1" x14ac:dyDescent="0.2">
      <c r="A47" s="407"/>
      <c r="B47" s="314"/>
      <c r="C47" s="410"/>
      <c r="D47" s="409">
        <f>Organización_Modular!F33</f>
        <v>0</v>
      </c>
      <c r="E47" s="409"/>
      <c r="F47" s="46" t="str">
        <f>_xlfn.IFNA(IF(VLOOKUP($D47,Organización_Modular!$F$10:$G$195,2,FALSE)=F$23,Itinerario!T47," ")," ")</f>
        <v xml:space="preserve"> </v>
      </c>
      <c r="G47" s="46" t="str">
        <f>_xlfn.IFNA(IF(VLOOKUP($D47,Organización_Modular!$F$10:$G$195,2,FALSE)=G$23,Itinerario!W47," ")," ")</f>
        <v xml:space="preserve"> </v>
      </c>
      <c r="H47" s="46" t="str">
        <f>_xlfn.IFNA(IF(VLOOKUP($D47,Organización_Modular!$F$10:$G$195,2,FALSE)=H$23,Itinerario!T47," ")," ")</f>
        <v xml:space="preserve"> </v>
      </c>
      <c r="I47" s="46" t="str">
        <f>_xlfn.IFNA(IF(VLOOKUP($D47,Organización_Modular!$F$10:$G$195,2,FALSE)=I$23,Itinerario!W47," ")," ")</f>
        <v xml:space="preserve"> </v>
      </c>
      <c r="J47" s="46" t="str">
        <f>_xlfn.IFNA(IF(VLOOKUP($D47,Organización_Modular!$F$10:$G$195,2,FALSE)=J$23,Itinerario!T47," ")," ")</f>
        <v xml:space="preserve"> </v>
      </c>
      <c r="K47" s="46" t="str">
        <f>_xlfn.IFNA(IF(VLOOKUP($D47,Organización_Modular!$F$10:$G$195,2,FALSE)=K$23,Itinerario!W47," ")," ")</f>
        <v xml:space="preserve"> </v>
      </c>
      <c r="L47" s="46" t="str">
        <f>_xlfn.IFNA(IF(VLOOKUP($D47,Organización_Modular!$F$10:$G$195,2,FALSE)=L$23,Itinerario!T47," ")," ")</f>
        <v xml:space="preserve"> </v>
      </c>
      <c r="M47" s="46" t="str">
        <f>_xlfn.IFNA(IF(VLOOKUP($D47,Organización_Modular!$F$10:$G$195,2,FALSE)=M$23,Itinerario!W47," ")," ")</f>
        <v xml:space="preserve"> </v>
      </c>
      <c r="N47" s="46" t="str">
        <f>_xlfn.IFNA(IF(VLOOKUP($D47,Organización_Modular!$F$10:$G$195,2,FALSE)=N$23,Itinerario!T47," ")," ")</f>
        <v xml:space="preserve"> </v>
      </c>
      <c r="O47" s="46" t="str">
        <f>_xlfn.IFNA(IF(VLOOKUP($D47,Organización_Modular!$F$10:$G$195,2,FALSE)=O$23,Itinerario!W47," ")," ")</f>
        <v xml:space="preserve"> </v>
      </c>
      <c r="P47" s="46" t="str">
        <f>_xlfn.IFNA(IF(VLOOKUP($D47,Organización_Modular!$F$10:$G$195,2,FALSE)=P$23,Itinerario!T47," ")," ")</f>
        <v xml:space="preserve"> </v>
      </c>
      <c r="Q47" s="46" t="str">
        <f>_xlfn.IFNA(IF(VLOOKUP($D47,Organización_Modular!$F$10:$G$195,2,FALSE)=Q$23,Itinerario!W47," ")," ")</f>
        <v xml:space="preserve"> </v>
      </c>
      <c r="R47" s="46">
        <f>Organización_Modular!H33</f>
        <v>0</v>
      </c>
      <c r="S47" s="46">
        <f>Organización_Modular!I33</f>
        <v>0</v>
      </c>
      <c r="T47" s="90">
        <f t="shared" si="2"/>
        <v>0</v>
      </c>
      <c r="U47" s="46">
        <f t="shared" si="3"/>
        <v>0</v>
      </c>
      <c r="V47" s="46">
        <f t="shared" si="4"/>
        <v>0</v>
      </c>
      <c r="W47" s="90">
        <f t="shared" si="5"/>
        <v>0</v>
      </c>
      <c r="X47" s="95">
        <f t="shared" si="6"/>
        <v>0</v>
      </c>
    </row>
    <row r="48" spans="1:24" ht="18" hidden="1" customHeight="1" x14ac:dyDescent="0.2">
      <c r="A48" s="407"/>
      <c r="B48" s="314"/>
      <c r="C48" s="410"/>
      <c r="D48" s="409">
        <f>Organización_Modular!F34</f>
        <v>0</v>
      </c>
      <c r="E48" s="409"/>
      <c r="F48" s="46" t="str">
        <f>_xlfn.IFNA(IF(VLOOKUP($D48,Organización_Modular!$F$10:$G$195,2,FALSE)=F$23,Itinerario!T48," ")," ")</f>
        <v xml:space="preserve"> </v>
      </c>
      <c r="G48" s="46" t="str">
        <f>_xlfn.IFNA(IF(VLOOKUP($D48,Organización_Modular!$F$10:$G$195,2,FALSE)=G$23,Itinerario!W48," ")," ")</f>
        <v xml:space="preserve"> </v>
      </c>
      <c r="H48" s="46" t="str">
        <f>_xlfn.IFNA(IF(VLOOKUP($D48,Organización_Modular!$F$10:$G$195,2,FALSE)=H$23,Itinerario!T48," ")," ")</f>
        <v xml:space="preserve"> </v>
      </c>
      <c r="I48" s="46" t="str">
        <f>_xlfn.IFNA(IF(VLOOKUP($D48,Organización_Modular!$F$10:$G$195,2,FALSE)=I$23,Itinerario!W48," ")," ")</f>
        <v xml:space="preserve"> </v>
      </c>
      <c r="J48" s="46" t="str">
        <f>_xlfn.IFNA(IF(VLOOKUP($D48,Organización_Modular!$F$10:$G$195,2,FALSE)=J$23,Itinerario!T48," ")," ")</f>
        <v xml:space="preserve"> </v>
      </c>
      <c r="K48" s="46" t="str">
        <f>_xlfn.IFNA(IF(VLOOKUP($D48,Organización_Modular!$F$10:$G$195,2,FALSE)=K$23,Itinerario!W48," ")," ")</f>
        <v xml:space="preserve"> </v>
      </c>
      <c r="L48" s="46" t="str">
        <f>_xlfn.IFNA(IF(VLOOKUP($D48,Organización_Modular!$F$10:$G$195,2,FALSE)=L$23,Itinerario!T48," ")," ")</f>
        <v xml:space="preserve"> </v>
      </c>
      <c r="M48" s="46" t="str">
        <f>_xlfn.IFNA(IF(VLOOKUP($D48,Organización_Modular!$F$10:$G$195,2,FALSE)=M$23,Itinerario!W48," ")," ")</f>
        <v xml:space="preserve"> </v>
      </c>
      <c r="N48" s="46" t="str">
        <f>_xlfn.IFNA(IF(VLOOKUP($D48,Organización_Modular!$F$10:$G$195,2,FALSE)=N$23,Itinerario!T48," ")," ")</f>
        <v xml:space="preserve"> </v>
      </c>
      <c r="O48" s="46" t="str">
        <f>_xlfn.IFNA(IF(VLOOKUP($D48,Organización_Modular!$F$10:$G$195,2,FALSE)=O$23,Itinerario!W48," ")," ")</f>
        <v xml:space="preserve"> </v>
      </c>
      <c r="P48" s="46" t="str">
        <f>_xlfn.IFNA(IF(VLOOKUP($D48,Organización_Modular!$F$10:$G$195,2,FALSE)=P$23,Itinerario!T48," ")," ")</f>
        <v xml:space="preserve"> </v>
      </c>
      <c r="Q48" s="46" t="str">
        <f>_xlfn.IFNA(IF(VLOOKUP($D48,Organización_Modular!$F$10:$G$195,2,FALSE)=Q$23,Itinerario!W48," ")," ")</f>
        <v xml:space="preserve"> </v>
      </c>
      <c r="R48" s="46">
        <f>Organización_Modular!H34</f>
        <v>0</v>
      </c>
      <c r="S48" s="46">
        <f>Organización_Modular!I34</f>
        <v>0</v>
      </c>
      <c r="T48" s="90">
        <f t="shared" si="2"/>
        <v>0</v>
      </c>
      <c r="U48" s="46">
        <f t="shared" si="3"/>
        <v>0</v>
      </c>
      <c r="V48" s="46">
        <f t="shared" si="4"/>
        <v>0</v>
      </c>
      <c r="W48" s="90">
        <f t="shared" si="5"/>
        <v>0</v>
      </c>
      <c r="X48" s="95">
        <f t="shared" si="6"/>
        <v>0</v>
      </c>
    </row>
    <row r="49" spans="1:24" ht="18" hidden="1" customHeight="1" x14ac:dyDescent="0.2">
      <c r="A49" s="407"/>
      <c r="B49" s="314"/>
      <c r="C49" s="410"/>
      <c r="D49" s="409">
        <f>Organización_Modular!F35</f>
        <v>0</v>
      </c>
      <c r="E49" s="409"/>
      <c r="F49" s="46" t="str">
        <f>_xlfn.IFNA(IF(VLOOKUP($D49,Organización_Modular!$F$10:$G$195,2,FALSE)=F$23,Itinerario!T49," ")," ")</f>
        <v xml:space="preserve"> </v>
      </c>
      <c r="G49" s="46" t="str">
        <f>_xlfn.IFNA(IF(VLOOKUP($D49,Organización_Modular!$F$10:$G$195,2,FALSE)=G$23,Itinerario!W49," ")," ")</f>
        <v xml:space="preserve"> </v>
      </c>
      <c r="H49" s="46" t="str">
        <f>_xlfn.IFNA(IF(VLOOKUP($D49,Organización_Modular!$F$10:$G$195,2,FALSE)=H$23,Itinerario!T49," ")," ")</f>
        <v xml:space="preserve"> </v>
      </c>
      <c r="I49" s="46" t="str">
        <f>_xlfn.IFNA(IF(VLOOKUP($D49,Organización_Modular!$F$10:$G$195,2,FALSE)=I$23,Itinerario!W49," ")," ")</f>
        <v xml:space="preserve"> </v>
      </c>
      <c r="J49" s="46" t="str">
        <f>_xlfn.IFNA(IF(VLOOKUP($D49,Organización_Modular!$F$10:$G$195,2,FALSE)=J$23,Itinerario!T49," ")," ")</f>
        <v xml:space="preserve"> </v>
      </c>
      <c r="K49" s="46" t="str">
        <f>_xlfn.IFNA(IF(VLOOKUP($D49,Organización_Modular!$F$10:$G$195,2,FALSE)=K$23,Itinerario!W49," ")," ")</f>
        <v xml:space="preserve"> </v>
      </c>
      <c r="L49" s="46" t="str">
        <f>_xlfn.IFNA(IF(VLOOKUP($D49,Organización_Modular!$F$10:$G$195,2,FALSE)=L$23,Itinerario!T49," ")," ")</f>
        <v xml:space="preserve"> </v>
      </c>
      <c r="M49" s="46" t="str">
        <f>_xlfn.IFNA(IF(VLOOKUP($D49,Organización_Modular!$F$10:$G$195,2,FALSE)=M$23,Itinerario!W49," ")," ")</f>
        <v xml:space="preserve"> </v>
      </c>
      <c r="N49" s="46" t="str">
        <f>_xlfn.IFNA(IF(VLOOKUP($D49,Organización_Modular!$F$10:$G$195,2,FALSE)=N$23,Itinerario!T49," ")," ")</f>
        <v xml:space="preserve"> </v>
      </c>
      <c r="O49" s="46" t="str">
        <f>_xlfn.IFNA(IF(VLOOKUP($D49,Organización_Modular!$F$10:$G$195,2,FALSE)=O$23,Itinerario!W49," ")," ")</f>
        <v xml:space="preserve"> </v>
      </c>
      <c r="P49" s="46" t="str">
        <f>_xlfn.IFNA(IF(VLOOKUP($D49,Organización_Modular!$F$10:$G$195,2,FALSE)=P$23,Itinerario!T49," ")," ")</f>
        <v xml:space="preserve"> </v>
      </c>
      <c r="Q49" s="46" t="str">
        <f>_xlfn.IFNA(IF(VLOOKUP($D49,Organización_Modular!$F$10:$G$195,2,FALSE)=Q$23,Itinerario!W49," ")," ")</f>
        <v xml:space="preserve"> </v>
      </c>
      <c r="R49" s="46">
        <f>Organización_Modular!H35</f>
        <v>0</v>
      </c>
      <c r="S49" s="46">
        <f>Organización_Modular!I35</f>
        <v>0</v>
      </c>
      <c r="T49" s="90">
        <f t="shared" si="2"/>
        <v>0</v>
      </c>
      <c r="U49" s="46">
        <f t="shared" si="3"/>
        <v>0</v>
      </c>
      <c r="V49" s="46">
        <f t="shared" si="4"/>
        <v>0</v>
      </c>
      <c r="W49" s="90">
        <f t="shared" si="5"/>
        <v>0</v>
      </c>
      <c r="X49" s="95">
        <f t="shared" si="6"/>
        <v>0</v>
      </c>
    </row>
    <row r="50" spans="1:24" ht="18" hidden="1" customHeight="1" x14ac:dyDescent="0.2">
      <c r="A50" s="407"/>
      <c r="B50" s="314"/>
      <c r="C50" s="410"/>
      <c r="D50" s="409">
        <f>Organización_Modular!F36</f>
        <v>0</v>
      </c>
      <c r="E50" s="409"/>
      <c r="F50" s="46" t="str">
        <f>_xlfn.IFNA(IF(VLOOKUP($D50,Organización_Modular!$F$10:$G$195,2,FALSE)=F$23,Itinerario!T50," ")," ")</f>
        <v xml:space="preserve"> </v>
      </c>
      <c r="G50" s="46" t="str">
        <f>_xlfn.IFNA(IF(VLOOKUP($D50,Organización_Modular!$F$10:$G$195,2,FALSE)=G$23,Itinerario!W50," ")," ")</f>
        <v xml:space="preserve"> </v>
      </c>
      <c r="H50" s="46" t="str">
        <f>_xlfn.IFNA(IF(VLOOKUP($D50,Organización_Modular!$F$10:$G$195,2,FALSE)=H$23,Itinerario!T50," ")," ")</f>
        <v xml:space="preserve"> </v>
      </c>
      <c r="I50" s="46" t="str">
        <f>_xlfn.IFNA(IF(VLOOKUP($D50,Organización_Modular!$F$10:$G$195,2,FALSE)=I$23,Itinerario!W50," ")," ")</f>
        <v xml:space="preserve"> </v>
      </c>
      <c r="J50" s="46" t="str">
        <f>_xlfn.IFNA(IF(VLOOKUP($D50,Organización_Modular!$F$10:$G$195,2,FALSE)=J$23,Itinerario!T50," ")," ")</f>
        <v xml:space="preserve"> </v>
      </c>
      <c r="K50" s="46" t="str">
        <f>_xlfn.IFNA(IF(VLOOKUP($D50,Organización_Modular!$F$10:$G$195,2,FALSE)=K$23,Itinerario!W50," ")," ")</f>
        <v xml:space="preserve"> </v>
      </c>
      <c r="L50" s="46" t="str">
        <f>_xlfn.IFNA(IF(VLOOKUP($D50,Organización_Modular!$F$10:$G$195,2,FALSE)=L$23,Itinerario!T50," ")," ")</f>
        <v xml:space="preserve"> </v>
      </c>
      <c r="M50" s="46" t="str">
        <f>_xlfn.IFNA(IF(VLOOKUP($D50,Organización_Modular!$F$10:$G$195,2,FALSE)=M$23,Itinerario!W50," ")," ")</f>
        <v xml:space="preserve"> </v>
      </c>
      <c r="N50" s="46" t="str">
        <f>_xlfn.IFNA(IF(VLOOKUP($D50,Organización_Modular!$F$10:$G$195,2,FALSE)=N$23,Itinerario!T50," ")," ")</f>
        <v xml:space="preserve"> </v>
      </c>
      <c r="O50" s="46" t="str">
        <f>_xlfn.IFNA(IF(VLOOKUP($D50,Organización_Modular!$F$10:$G$195,2,FALSE)=O$23,Itinerario!W50," ")," ")</f>
        <v xml:space="preserve"> </v>
      </c>
      <c r="P50" s="46" t="str">
        <f>_xlfn.IFNA(IF(VLOOKUP($D50,Organización_Modular!$F$10:$G$195,2,FALSE)=P$23,Itinerario!T50," ")," ")</f>
        <v xml:space="preserve"> </v>
      </c>
      <c r="Q50" s="46" t="str">
        <f>_xlfn.IFNA(IF(VLOOKUP($D50,Organización_Modular!$F$10:$G$195,2,FALSE)=Q$23,Itinerario!W50," ")," ")</f>
        <v xml:space="preserve"> </v>
      </c>
      <c r="R50" s="46">
        <f>Organización_Modular!H36</f>
        <v>0</v>
      </c>
      <c r="S50" s="46">
        <f>Organización_Modular!I36</f>
        <v>0</v>
      </c>
      <c r="T50" s="90">
        <f t="shared" si="2"/>
        <v>0</v>
      </c>
      <c r="U50" s="46">
        <f t="shared" si="3"/>
        <v>0</v>
      </c>
      <c r="V50" s="46">
        <f t="shared" si="4"/>
        <v>0</v>
      </c>
      <c r="W50" s="90">
        <f t="shared" si="5"/>
        <v>0</v>
      </c>
      <c r="X50" s="95">
        <f t="shared" si="6"/>
        <v>0</v>
      </c>
    </row>
    <row r="51" spans="1:24" ht="18" hidden="1" customHeight="1" x14ac:dyDescent="0.2">
      <c r="A51" s="407"/>
      <c r="B51" s="314"/>
      <c r="C51" s="410"/>
      <c r="D51" s="409">
        <f>Organización_Modular!F37</f>
        <v>0</v>
      </c>
      <c r="E51" s="409"/>
      <c r="F51" s="46" t="str">
        <f>_xlfn.IFNA(IF(VLOOKUP($D51,Organización_Modular!$F$10:$G$195,2,FALSE)=F$23,Itinerario!T51," ")," ")</f>
        <v xml:space="preserve"> </v>
      </c>
      <c r="G51" s="46" t="str">
        <f>_xlfn.IFNA(IF(VLOOKUP($D51,Organización_Modular!$F$10:$G$195,2,FALSE)=G$23,Itinerario!W51," ")," ")</f>
        <v xml:space="preserve"> </v>
      </c>
      <c r="H51" s="46" t="str">
        <f>_xlfn.IFNA(IF(VLOOKUP($D51,Organización_Modular!$F$10:$G$195,2,FALSE)=H$23,Itinerario!T51," ")," ")</f>
        <v xml:space="preserve"> </v>
      </c>
      <c r="I51" s="46" t="str">
        <f>_xlfn.IFNA(IF(VLOOKUP($D51,Organización_Modular!$F$10:$G$195,2,FALSE)=I$23,Itinerario!W51," ")," ")</f>
        <v xml:space="preserve"> </v>
      </c>
      <c r="J51" s="46" t="str">
        <f>_xlfn.IFNA(IF(VLOOKUP($D51,Organización_Modular!$F$10:$G$195,2,FALSE)=J$23,Itinerario!T51," ")," ")</f>
        <v xml:space="preserve"> </v>
      </c>
      <c r="K51" s="46" t="str">
        <f>_xlfn.IFNA(IF(VLOOKUP($D51,Organización_Modular!$F$10:$G$195,2,FALSE)=K$23,Itinerario!W51," ")," ")</f>
        <v xml:space="preserve"> </v>
      </c>
      <c r="L51" s="46" t="str">
        <f>_xlfn.IFNA(IF(VLOOKUP($D51,Organización_Modular!$F$10:$G$195,2,FALSE)=L$23,Itinerario!T51," ")," ")</f>
        <v xml:space="preserve"> </v>
      </c>
      <c r="M51" s="46" t="str">
        <f>_xlfn.IFNA(IF(VLOOKUP($D51,Organización_Modular!$F$10:$G$195,2,FALSE)=M$23,Itinerario!W51," ")," ")</f>
        <v xml:space="preserve"> </v>
      </c>
      <c r="N51" s="46" t="str">
        <f>_xlfn.IFNA(IF(VLOOKUP($D51,Organización_Modular!$F$10:$G$195,2,FALSE)=N$23,Itinerario!T51," ")," ")</f>
        <v xml:space="preserve"> </v>
      </c>
      <c r="O51" s="46" t="str">
        <f>_xlfn.IFNA(IF(VLOOKUP($D51,Organización_Modular!$F$10:$G$195,2,FALSE)=O$23,Itinerario!W51," ")," ")</f>
        <v xml:space="preserve"> </v>
      </c>
      <c r="P51" s="46" t="str">
        <f>_xlfn.IFNA(IF(VLOOKUP($D51,Organización_Modular!$F$10:$G$195,2,FALSE)=P$23,Itinerario!T51," ")," ")</f>
        <v xml:space="preserve"> </v>
      </c>
      <c r="Q51" s="46" t="str">
        <f>_xlfn.IFNA(IF(VLOOKUP($D51,Organización_Modular!$F$10:$G$195,2,FALSE)=Q$23,Itinerario!W51," ")," ")</f>
        <v xml:space="preserve"> </v>
      </c>
      <c r="R51" s="46">
        <f>Organización_Modular!H37</f>
        <v>0</v>
      </c>
      <c r="S51" s="46">
        <f>Organización_Modular!I37</f>
        <v>0</v>
      </c>
      <c r="T51" s="90">
        <f t="shared" si="2"/>
        <v>0</v>
      </c>
      <c r="U51" s="46">
        <f t="shared" si="3"/>
        <v>0</v>
      </c>
      <c r="V51" s="46">
        <f t="shared" si="4"/>
        <v>0</v>
      </c>
      <c r="W51" s="90">
        <f t="shared" si="5"/>
        <v>0</v>
      </c>
      <c r="X51" s="95">
        <f t="shared" si="6"/>
        <v>0</v>
      </c>
    </row>
    <row r="52" spans="1:24" ht="18" hidden="1" customHeight="1" x14ac:dyDescent="0.2">
      <c r="A52" s="407"/>
      <c r="B52" s="314"/>
      <c r="C52" s="410"/>
      <c r="D52" s="409">
        <f>Organización_Modular!F38</f>
        <v>0</v>
      </c>
      <c r="E52" s="409"/>
      <c r="F52" s="46" t="str">
        <f>_xlfn.IFNA(IF(VLOOKUP($D52,Organización_Modular!$F$10:$G$195,2,FALSE)=F$23,Itinerario!T52," ")," ")</f>
        <v xml:space="preserve"> </v>
      </c>
      <c r="G52" s="46" t="str">
        <f>_xlfn.IFNA(IF(VLOOKUP($D52,Organización_Modular!$F$10:$G$195,2,FALSE)=G$23,Itinerario!W52," ")," ")</f>
        <v xml:space="preserve"> </v>
      </c>
      <c r="H52" s="46" t="str">
        <f>_xlfn.IFNA(IF(VLOOKUP($D52,Organización_Modular!$F$10:$G$195,2,FALSE)=H$23,Itinerario!T52," ")," ")</f>
        <v xml:space="preserve"> </v>
      </c>
      <c r="I52" s="46" t="str">
        <f>_xlfn.IFNA(IF(VLOOKUP($D52,Organización_Modular!$F$10:$G$195,2,FALSE)=I$23,Itinerario!W52," ")," ")</f>
        <v xml:space="preserve"> </v>
      </c>
      <c r="J52" s="46" t="str">
        <f>_xlfn.IFNA(IF(VLOOKUP($D52,Organización_Modular!$F$10:$G$195,2,FALSE)=J$23,Itinerario!T52," ")," ")</f>
        <v xml:space="preserve"> </v>
      </c>
      <c r="K52" s="46" t="str">
        <f>_xlfn.IFNA(IF(VLOOKUP($D52,Organización_Modular!$F$10:$G$195,2,FALSE)=K$23,Itinerario!W52," ")," ")</f>
        <v xml:space="preserve"> </v>
      </c>
      <c r="L52" s="46" t="str">
        <f>_xlfn.IFNA(IF(VLOOKUP($D52,Organización_Modular!$F$10:$G$195,2,FALSE)=L$23,Itinerario!T52," ")," ")</f>
        <v xml:space="preserve"> </v>
      </c>
      <c r="M52" s="46" t="str">
        <f>_xlfn.IFNA(IF(VLOOKUP($D52,Organización_Modular!$F$10:$G$195,2,FALSE)=M$23,Itinerario!W52," ")," ")</f>
        <v xml:space="preserve"> </v>
      </c>
      <c r="N52" s="46" t="str">
        <f>_xlfn.IFNA(IF(VLOOKUP($D52,Organización_Modular!$F$10:$G$195,2,FALSE)=N$23,Itinerario!T52," ")," ")</f>
        <v xml:space="preserve"> </v>
      </c>
      <c r="O52" s="46" t="str">
        <f>_xlfn.IFNA(IF(VLOOKUP($D52,Organización_Modular!$F$10:$G$195,2,FALSE)=O$23,Itinerario!W52," ")," ")</f>
        <v xml:space="preserve"> </v>
      </c>
      <c r="P52" s="46" t="str">
        <f>_xlfn.IFNA(IF(VLOOKUP($D52,Organización_Modular!$F$10:$G$195,2,FALSE)=P$23,Itinerario!T52," ")," ")</f>
        <v xml:space="preserve"> </v>
      </c>
      <c r="Q52" s="46" t="str">
        <f>_xlfn.IFNA(IF(VLOOKUP($D52,Organización_Modular!$F$10:$G$195,2,FALSE)=Q$23,Itinerario!W52," ")," ")</f>
        <v xml:space="preserve"> </v>
      </c>
      <c r="R52" s="46">
        <f>Organización_Modular!H38</f>
        <v>0</v>
      </c>
      <c r="S52" s="46">
        <f>Organización_Modular!I38</f>
        <v>0</v>
      </c>
      <c r="T52" s="90">
        <f t="shared" si="2"/>
        <v>0</v>
      </c>
      <c r="U52" s="46">
        <f t="shared" si="3"/>
        <v>0</v>
      </c>
      <c r="V52" s="46">
        <f t="shared" si="4"/>
        <v>0</v>
      </c>
      <c r="W52" s="90">
        <f t="shared" si="5"/>
        <v>0</v>
      </c>
      <c r="X52" s="95">
        <f t="shared" si="6"/>
        <v>0</v>
      </c>
    </row>
    <row r="53" spans="1:24" ht="18" hidden="1" customHeight="1" x14ac:dyDescent="0.2">
      <c r="A53" s="407"/>
      <c r="B53" s="314"/>
      <c r="C53" s="410"/>
      <c r="D53" s="409">
        <f>Organización_Modular!F39</f>
        <v>0</v>
      </c>
      <c r="E53" s="409"/>
      <c r="F53" s="46" t="str">
        <f>_xlfn.IFNA(IF(VLOOKUP($D53,Organización_Modular!$F$10:$G$195,2,FALSE)=F$23,Itinerario!T53," ")," ")</f>
        <v xml:space="preserve"> </v>
      </c>
      <c r="G53" s="46" t="str">
        <f>_xlfn.IFNA(IF(VLOOKUP($D53,Organización_Modular!$F$10:$G$195,2,FALSE)=G$23,Itinerario!W53," ")," ")</f>
        <v xml:space="preserve"> </v>
      </c>
      <c r="H53" s="46" t="str">
        <f>_xlfn.IFNA(IF(VLOOKUP($D53,Organización_Modular!$F$10:$G$195,2,FALSE)=H$23,Itinerario!T53," ")," ")</f>
        <v xml:space="preserve"> </v>
      </c>
      <c r="I53" s="46" t="str">
        <f>_xlfn.IFNA(IF(VLOOKUP($D53,Organización_Modular!$F$10:$G$195,2,FALSE)=I$23,Itinerario!W53," ")," ")</f>
        <v xml:space="preserve"> </v>
      </c>
      <c r="J53" s="46" t="str">
        <f>_xlfn.IFNA(IF(VLOOKUP($D53,Organización_Modular!$F$10:$G$195,2,FALSE)=J$23,Itinerario!T53," ")," ")</f>
        <v xml:space="preserve"> </v>
      </c>
      <c r="K53" s="46" t="str">
        <f>_xlfn.IFNA(IF(VLOOKUP($D53,Organización_Modular!$F$10:$G$195,2,FALSE)=K$23,Itinerario!W53," ")," ")</f>
        <v xml:space="preserve"> </v>
      </c>
      <c r="L53" s="46" t="str">
        <f>_xlfn.IFNA(IF(VLOOKUP($D53,Organización_Modular!$F$10:$G$195,2,FALSE)=L$23,Itinerario!T53," ")," ")</f>
        <v xml:space="preserve"> </v>
      </c>
      <c r="M53" s="46" t="str">
        <f>_xlfn.IFNA(IF(VLOOKUP($D53,Organización_Modular!$F$10:$G$195,2,FALSE)=M$23,Itinerario!W53," ")," ")</f>
        <v xml:space="preserve"> </v>
      </c>
      <c r="N53" s="46" t="str">
        <f>_xlfn.IFNA(IF(VLOOKUP($D53,Organización_Modular!$F$10:$G$195,2,FALSE)=N$23,Itinerario!T53," ")," ")</f>
        <v xml:space="preserve"> </v>
      </c>
      <c r="O53" s="46" t="str">
        <f>_xlfn.IFNA(IF(VLOOKUP($D53,Organización_Modular!$F$10:$G$195,2,FALSE)=O$23,Itinerario!W53," ")," ")</f>
        <v xml:space="preserve"> </v>
      </c>
      <c r="P53" s="46" t="str">
        <f>_xlfn.IFNA(IF(VLOOKUP($D53,Organización_Modular!$F$10:$G$195,2,FALSE)=P$23,Itinerario!T53," ")," ")</f>
        <v xml:space="preserve"> </v>
      </c>
      <c r="Q53" s="46" t="str">
        <f>_xlfn.IFNA(IF(VLOOKUP($D53,Organización_Modular!$F$10:$G$195,2,FALSE)=Q$23,Itinerario!W53," ")," ")</f>
        <v xml:space="preserve"> </v>
      </c>
      <c r="R53" s="46">
        <f>Organización_Modular!H39</f>
        <v>0</v>
      </c>
      <c r="S53" s="46">
        <f>Organización_Modular!I39</f>
        <v>0</v>
      </c>
      <c r="T53" s="90">
        <f t="shared" si="2"/>
        <v>0</v>
      </c>
      <c r="U53" s="46">
        <f t="shared" si="3"/>
        <v>0</v>
      </c>
      <c r="V53" s="46">
        <f t="shared" si="4"/>
        <v>0</v>
      </c>
      <c r="W53" s="90">
        <f t="shared" si="5"/>
        <v>0</v>
      </c>
      <c r="X53" s="95">
        <f t="shared" si="6"/>
        <v>0</v>
      </c>
    </row>
    <row r="54" spans="1:24" ht="58.5" customHeight="1" x14ac:dyDescent="0.2">
      <c r="A54" s="407"/>
      <c r="B54" s="429" t="str">
        <f>Organización_Modular!B40</f>
        <v>Experiencias formativas en situaciones reales de trabajo (ESRT)</v>
      </c>
      <c r="C54" s="430"/>
      <c r="D54" s="430"/>
      <c r="E54" s="430"/>
      <c r="F54" s="176"/>
      <c r="G54" s="176"/>
      <c r="H54" s="176"/>
      <c r="I54" s="176"/>
      <c r="J54" s="176"/>
      <c r="K54" s="176"/>
      <c r="L54" s="176"/>
      <c r="M54" s="176"/>
      <c r="N54" s="176"/>
      <c r="O54" s="176"/>
      <c r="P54" s="176"/>
      <c r="Q54" s="176"/>
      <c r="R54" s="179">
        <f>Organización_Modular!H40</f>
        <v>0</v>
      </c>
      <c r="S54" s="177">
        <f>Organización_Modular!I40</f>
        <v>3</v>
      </c>
      <c r="T54" s="178">
        <f>SUM(R54:S54)</f>
        <v>3</v>
      </c>
      <c r="U54" s="177">
        <f t="shared" si="3"/>
        <v>0</v>
      </c>
      <c r="V54" s="177">
        <f t="shared" si="4"/>
        <v>96</v>
      </c>
      <c r="W54" s="178">
        <f t="shared" si="5"/>
        <v>96</v>
      </c>
      <c r="X54" s="95">
        <f t="shared" si="6"/>
        <v>96</v>
      </c>
    </row>
    <row r="55" spans="1:24" ht="27.75" customHeight="1" x14ac:dyDescent="0.2">
      <c r="A55" s="407" t="str">
        <f>Organización_Modular!A41</f>
        <v xml:space="preserve">MÓDULO 2: INFRAESTRUCTURA TI </v>
      </c>
      <c r="B55" s="313" t="str">
        <f>B24</f>
        <v>Competencias técnicas (Unidad de competencia)</v>
      </c>
      <c r="C55" s="410" t="str">
        <f>Organización_Modular!C41</f>
        <v>UC2: Ejecuta acciones de monitoreo y otras acciones operativas programadas, de acuerdo a las buenas prácticas de aseguramiento de operaciones del CPD (Centro de Procesamiento de Datos) y salvaguarda de la información de negocio</v>
      </c>
      <c r="D55" s="409" t="str">
        <f>Organización_Modular!F41</f>
        <v>Monitoreo de infraestructura de TI</v>
      </c>
      <c r="E55" s="409"/>
      <c r="F55" s="46" t="str">
        <f>_xlfn.IFNA(IF(VLOOKUP($D55,Organización_Modular!$F$10:$G$195,2,FALSE)=F$23,Itinerario!T55," ")," ")</f>
        <v xml:space="preserve"> </v>
      </c>
      <c r="G55" s="46" t="str">
        <f>_xlfn.IFNA(IF(VLOOKUP($D55,Organización_Modular!$F$10:$G$195,2,FALSE)=G$23,Itinerario!W55," ")," ")</f>
        <v xml:space="preserve"> </v>
      </c>
      <c r="H55" s="46">
        <f>_xlfn.IFNA(IF(VLOOKUP($D55,Organización_Modular!$F$10:$G$195,2,FALSE)=H$23,Itinerario!T55," ")," ")</f>
        <v>4</v>
      </c>
      <c r="I55" s="46">
        <f>_xlfn.IFNA(IF(VLOOKUP($D55,Organización_Modular!$F$10:$G$195,2,FALSE)=I$23,Itinerario!W55," ")," ")</f>
        <v>96</v>
      </c>
      <c r="J55" s="46" t="str">
        <f>_xlfn.IFNA(IF(VLOOKUP($D55,Organización_Modular!$F$10:$G$195,2,FALSE)=J$23,Itinerario!T55," ")," ")</f>
        <v xml:space="preserve"> </v>
      </c>
      <c r="K55" s="46" t="str">
        <f>_xlfn.IFNA(IF(VLOOKUP($D55,Organización_Modular!$F$10:$G$195,2,FALSE)=K$23,Itinerario!W55," ")," ")</f>
        <v xml:space="preserve"> </v>
      </c>
      <c r="L55" s="46" t="str">
        <f>_xlfn.IFNA(IF(VLOOKUP($D55,Organización_Modular!$F$10:$G$195,2,FALSE)=L$23,Itinerario!T55," ")," ")</f>
        <v xml:space="preserve"> </v>
      </c>
      <c r="M55" s="46" t="str">
        <f>_xlfn.IFNA(IF(VLOOKUP($D55,Organización_Modular!$F$10:$G$195,2,FALSE)=M$23,Itinerario!W55," ")," ")</f>
        <v xml:space="preserve"> </v>
      </c>
      <c r="N55" s="46" t="str">
        <f>_xlfn.IFNA(IF(VLOOKUP($D55,Organización_Modular!$F$10:$G$195,2,FALSE)=N$23,Itinerario!T55," ")," ")</f>
        <v xml:space="preserve"> </v>
      </c>
      <c r="O55" s="46" t="str">
        <f>_xlfn.IFNA(IF(VLOOKUP($D55,Organización_Modular!$F$10:$G$195,2,FALSE)=O$23,Itinerario!W55," ")," ")</f>
        <v xml:space="preserve"> </v>
      </c>
      <c r="P55" s="46" t="str">
        <f>_xlfn.IFNA(IF(VLOOKUP($D55,Organización_Modular!$F$10:$G$195,2,FALSE)=P$23,Itinerario!T55," ")," ")</f>
        <v xml:space="preserve"> </v>
      </c>
      <c r="Q55" s="46" t="str">
        <f>_xlfn.IFNA(IF(VLOOKUP($D55,Organización_Modular!$F$10:$G$195,2,FALSE)=Q$23,Itinerario!W55," ")," ")</f>
        <v xml:space="preserve"> </v>
      </c>
      <c r="R55" s="46">
        <f>Organización_Modular!H41</f>
        <v>2</v>
      </c>
      <c r="S55" s="46">
        <f>Organización_Modular!I41</f>
        <v>2</v>
      </c>
      <c r="T55" s="90">
        <f>SUM(R55:S55)</f>
        <v>4</v>
      </c>
      <c r="U55" s="46">
        <f t="shared" si="3"/>
        <v>32</v>
      </c>
      <c r="V55" s="46">
        <f t="shared" si="4"/>
        <v>64</v>
      </c>
      <c r="W55" s="90">
        <f t="shared" si="5"/>
        <v>96</v>
      </c>
      <c r="X55" s="95">
        <f t="shared" si="6"/>
        <v>96</v>
      </c>
    </row>
    <row r="56" spans="1:24" ht="39" customHeight="1" x14ac:dyDescent="0.2">
      <c r="A56" s="407"/>
      <c r="B56" s="313"/>
      <c r="C56" s="410"/>
      <c r="D56" s="411" t="str">
        <f>Organización_Modular!F42</f>
        <v>Mantenimiento preventivo de Tecnologías de la Información</v>
      </c>
      <c r="E56" s="411"/>
      <c r="F56" s="46" t="str">
        <f>_xlfn.IFNA(IF(VLOOKUP($D56,Organización_Modular!$F$10:$G$195,2,FALSE)=F$23,Itinerario!T56," ")," ")</f>
        <v xml:space="preserve"> </v>
      </c>
      <c r="G56" s="46" t="str">
        <f>_xlfn.IFNA(IF(VLOOKUP($D56,Organización_Modular!$F$10:$G$195,2,FALSE)=G$23,Itinerario!W56," ")," ")</f>
        <v xml:space="preserve"> </v>
      </c>
      <c r="H56" s="46">
        <f>_xlfn.IFNA(IF(VLOOKUP($D56,Organización_Modular!$F$10:$G$195,2,FALSE)=H$23,Itinerario!T56," ")," ")</f>
        <v>4</v>
      </c>
      <c r="I56" s="46">
        <f>_xlfn.IFNA(IF(VLOOKUP($D56,Organización_Modular!$F$10:$G$195,2,FALSE)=I$23,Itinerario!W56," ")," ")</f>
        <v>96</v>
      </c>
      <c r="J56" s="46" t="str">
        <f>_xlfn.IFNA(IF(VLOOKUP($D56,Organización_Modular!$F$10:$G$195,2,FALSE)=J$23,Itinerario!T56," ")," ")</f>
        <v xml:space="preserve"> </v>
      </c>
      <c r="K56" s="46" t="str">
        <f>_xlfn.IFNA(IF(VLOOKUP($D56,Organización_Modular!$F$10:$G$195,2,FALSE)=K$23,Itinerario!W56," ")," ")</f>
        <v xml:space="preserve"> </v>
      </c>
      <c r="L56" s="46" t="str">
        <f>_xlfn.IFNA(IF(VLOOKUP($D56,Organización_Modular!$F$10:$G$195,2,FALSE)=L$23,Itinerario!T56," ")," ")</f>
        <v xml:space="preserve"> </v>
      </c>
      <c r="M56" s="46" t="str">
        <f>_xlfn.IFNA(IF(VLOOKUP($D56,Organización_Modular!$F$10:$G$195,2,FALSE)=M$23,Itinerario!W56," ")," ")</f>
        <v xml:space="preserve"> </v>
      </c>
      <c r="N56" s="46" t="str">
        <f>_xlfn.IFNA(IF(VLOOKUP($D56,Organización_Modular!$F$10:$G$195,2,FALSE)=N$23,Itinerario!T56," ")," ")</f>
        <v xml:space="preserve"> </v>
      </c>
      <c r="O56" s="46" t="str">
        <f>_xlfn.IFNA(IF(VLOOKUP($D56,Organización_Modular!$F$10:$G$195,2,FALSE)=O$23,Itinerario!W56," ")," ")</f>
        <v xml:space="preserve"> </v>
      </c>
      <c r="P56" s="46" t="str">
        <f>_xlfn.IFNA(IF(VLOOKUP($D56,Organización_Modular!$F$10:$G$195,2,FALSE)=P$23,Itinerario!T56," ")," ")</f>
        <v xml:space="preserve"> </v>
      </c>
      <c r="Q56" s="46" t="str">
        <f>_xlfn.IFNA(IF(VLOOKUP($D56,Organización_Modular!$F$10:$G$195,2,FALSE)=Q$23,Itinerario!W56," ")," ")</f>
        <v xml:space="preserve"> </v>
      </c>
      <c r="R56" s="46">
        <f>Organización_Modular!H42</f>
        <v>2</v>
      </c>
      <c r="S56" s="46">
        <f>Organización_Modular!I42</f>
        <v>2</v>
      </c>
      <c r="T56" s="90">
        <f t="shared" ref="T56:T85" si="7">SUM(R56:S56)</f>
        <v>4</v>
      </c>
      <c r="U56" s="46">
        <f t="shared" si="3"/>
        <v>32</v>
      </c>
      <c r="V56" s="46">
        <f t="shared" si="4"/>
        <v>64</v>
      </c>
      <c r="W56" s="90">
        <f t="shared" si="5"/>
        <v>96</v>
      </c>
      <c r="X56" s="95">
        <f t="shared" si="6"/>
        <v>96</v>
      </c>
    </row>
    <row r="57" spans="1:24" ht="29.25" customHeight="1" x14ac:dyDescent="0.2">
      <c r="A57" s="407"/>
      <c r="B57" s="313"/>
      <c r="C57" s="410"/>
      <c r="D57" s="411" t="str">
        <f>Organización_Modular!F43</f>
        <v>Mantenimiento correctivo de Tecnologías de la Información</v>
      </c>
      <c r="E57" s="411"/>
      <c r="F57" s="46" t="str">
        <f>_xlfn.IFNA(IF(VLOOKUP($D57,Organización_Modular!$F$10:$G$195,2,FALSE)=F$23,Itinerario!T57," ")," ")</f>
        <v xml:space="preserve"> </v>
      </c>
      <c r="G57" s="46" t="str">
        <f>_xlfn.IFNA(IF(VLOOKUP($D57,Organización_Modular!$F$10:$G$195,2,FALSE)=G$23,Itinerario!W57," ")," ")</f>
        <v xml:space="preserve"> </v>
      </c>
      <c r="H57" s="46">
        <f>_xlfn.IFNA(IF(VLOOKUP($D57,Organización_Modular!$F$10:$G$195,2,FALSE)=H$23,Itinerario!T57," ")," ")</f>
        <v>4</v>
      </c>
      <c r="I57" s="46">
        <f>_xlfn.IFNA(IF(VLOOKUP($D57,Organización_Modular!$F$10:$G$195,2,FALSE)=I$23,Itinerario!W57," ")," ")</f>
        <v>96</v>
      </c>
      <c r="J57" s="46" t="str">
        <f>_xlfn.IFNA(IF(VLOOKUP($D57,Organización_Modular!$F$10:$G$195,2,FALSE)=J$23,Itinerario!T57," ")," ")</f>
        <v xml:space="preserve"> </v>
      </c>
      <c r="K57" s="46" t="str">
        <f>_xlfn.IFNA(IF(VLOOKUP($D57,Organización_Modular!$F$10:$G$195,2,FALSE)=K$23,Itinerario!W57," ")," ")</f>
        <v xml:space="preserve"> </v>
      </c>
      <c r="L57" s="46" t="str">
        <f>_xlfn.IFNA(IF(VLOOKUP($D57,Organización_Modular!$F$10:$G$195,2,FALSE)=L$23,Itinerario!T57," ")," ")</f>
        <v xml:space="preserve"> </v>
      </c>
      <c r="M57" s="46" t="str">
        <f>_xlfn.IFNA(IF(VLOOKUP($D57,Organización_Modular!$F$10:$G$195,2,FALSE)=M$23,Itinerario!W57," ")," ")</f>
        <v xml:space="preserve"> </v>
      </c>
      <c r="N57" s="46" t="str">
        <f>_xlfn.IFNA(IF(VLOOKUP($D57,Organización_Modular!$F$10:$G$195,2,FALSE)=N$23,Itinerario!T57," ")," ")</f>
        <v xml:space="preserve"> </v>
      </c>
      <c r="O57" s="46" t="str">
        <f>_xlfn.IFNA(IF(VLOOKUP($D57,Organización_Modular!$F$10:$G$195,2,FALSE)=O$23,Itinerario!W57," ")," ")</f>
        <v xml:space="preserve"> </v>
      </c>
      <c r="P57" s="46" t="str">
        <f>_xlfn.IFNA(IF(VLOOKUP($D57,Organización_Modular!$F$10:$G$195,2,FALSE)=P$23,Itinerario!T57," ")," ")</f>
        <v xml:space="preserve"> </v>
      </c>
      <c r="Q57" s="46" t="str">
        <f>_xlfn.IFNA(IF(VLOOKUP($D57,Organización_Modular!$F$10:$G$195,2,FALSE)=Q$23,Itinerario!W57," ")," ")</f>
        <v xml:space="preserve"> </v>
      </c>
      <c r="R57" s="46">
        <f>Organización_Modular!H43</f>
        <v>2</v>
      </c>
      <c r="S57" s="46">
        <f>Organización_Modular!I43</f>
        <v>2</v>
      </c>
      <c r="T57" s="90">
        <f t="shared" si="7"/>
        <v>4</v>
      </c>
      <c r="U57" s="46">
        <f t="shared" si="3"/>
        <v>32</v>
      </c>
      <c r="V57" s="46">
        <f t="shared" si="4"/>
        <v>64</v>
      </c>
      <c r="W57" s="90">
        <f t="shared" si="5"/>
        <v>96</v>
      </c>
      <c r="X57" s="95">
        <f t="shared" si="6"/>
        <v>96</v>
      </c>
    </row>
    <row r="58" spans="1:24" ht="26.25" customHeight="1" x14ac:dyDescent="0.2">
      <c r="A58" s="407"/>
      <c r="B58" s="313"/>
      <c r="C58" s="410"/>
      <c r="D58" s="411" t="str">
        <f>Organización_Modular!F44</f>
        <v>Reporte de incidencia de Tecnología de la Información</v>
      </c>
      <c r="E58" s="411"/>
      <c r="F58" s="46" t="str">
        <f>_xlfn.IFNA(IF(VLOOKUP($D58,Organización_Modular!$F$10:$G$195,2,FALSE)=F$23,Itinerario!T58," ")," ")</f>
        <v xml:space="preserve"> </v>
      </c>
      <c r="G58" s="46" t="str">
        <f>_xlfn.IFNA(IF(VLOOKUP($D58,Organización_Modular!$F$10:$G$195,2,FALSE)=G$23,Itinerario!W58," ")," ")</f>
        <v xml:space="preserve"> </v>
      </c>
      <c r="H58" s="46">
        <f>_xlfn.IFNA(IF(VLOOKUP($D58,Organización_Modular!$F$10:$G$195,2,FALSE)=H$23,Itinerario!T58," ")," ")</f>
        <v>2</v>
      </c>
      <c r="I58" s="46">
        <f>_xlfn.IFNA(IF(VLOOKUP($D58,Organización_Modular!$F$10:$G$195,2,FALSE)=I$23,Itinerario!W58," ")," ")</f>
        <v>48</v>
      </c>
      <c r="J58" s="46" t="str">
        <f>_xlfn.IFNA(IF(VLOOKUP($D58,Organización_Modular!$F$10:$G$195,2,FALSE)=J$23,Itinerario!T58," ")," ")</f>
        <v xml:space="preserve"> </v>
      </c>
      <c r="K58" s="46" t="str">
        <f>_xlfn.IFNA(IF(VLOOKUP($D58,Organización_Modular!$F$10:$G$195,2,FALSE)=K$23,Itinerario!W58," ")," ")</f>
        <v xml:space="preserve"> </v>
      </c>
      <c r="L58" s="46" t="str">
        <f>_xlfn.IFNA(IF(VLOOKUP($D58,Organización_Modular!$F$10:$G$195,2,FALSE)=L$23,Itinerario!T58," ")," ")</f>
        <v xml:space="preserve"> </v>
      </c>
      <c r="M58" s="46" t="str">
        <f>_xlfn.IFNA(IF(VLOOKUP($D58,Organización_Modular!$F$10:$G$195,2,FALSE)=M$23,Itinerario!W58," ")," ")</f>
        <v xml:space="preserve"> </v>
      </c>
      <c r="N58" s="46" t="str">
        <f>_xlfn.IFNA(IF(VLOOKUP($D58,Organización_Modular!$F$10:$G$195,2,FALSE)=N$23,Itinerario!T58," ")," ")</f>
        <v xml:space="preserve"> </v>
      </c>
      <c r="O58" s="46" t="str">
        <f>_xlfn.IFNA(IF(VLOOKUP($D58,Organización_Modular!$F$10:$G$195,2,FALSE)=O$23,Itinerario!W58," ")," ")</f>
        <v xml:space="preserve"> </v>
      </c>
      <c r="P58" s="46" t="str">
        <f>_xlfn.IFNA(IF(VLOOKUP($D58,Organización_Modular!$F$10:$G$195,2,FALSE)=P$23,Itinerario!T58," ")," ")</f>
        <v xml:space="preserve"> </v>
      </c>
      <c r="Q58" s="46" t="str">
        <f>_xlfn.IFNA(IF(VLOOKUP($D58,Organización_Modular!$F$10:$G$195,2,FALSE)=Q$23,Itinerario!W58," ")," ")</f>
        <v xml:space="preserve"> </v>
      </c>
      <c r="R58" s="46">
        <f>Organización_Modular!H44</f>
        <v>1</v>
      </c>
      <c r="S58" s="46">
        <f>Organización_Modular!I44</f>
        <v>1</v>
      </c>
      <c r="T58" s="90">
        <f t="shared" si="7"/>
        <v>2</v>
      </c>
      <c r="U58" s="46">
        <f t="shared" si="3"/>
        <v>16</v>
      </c>
      <c r="V58" s="46">
        <f t="shared" si="4"/>
        <v>32</v>
      </c>
      <c r="W58" s="90">
        <f t="shared" si="5"/>
        <v>48</v>
      </c>
      <c r="X58" s="95">
        <f t="shared" si="6"/>
        <v>48</v>
      </c>
    </row>
    <row r="59" spans="1:24" hidden="1" x14ac:dyDescent="0.2">
      <c r="A59" s="407"/>
      <c r="B59" s="313"/>
      <c r="C59" s="410"/>
      <c r="D59" s="409">
        <f>Organización_Modular!F45</f>
        <v>0</v>
      </c>
      <c r="E59" s="409"/>
      <c r="F59" s="46" t="str">
        <f>_xlfn.IFNA(IF(VLOOKUP($D59,Organización_Modular!$F$10:$G$195,2,FALSE)=F$23,Itinerario!T59," ")," ")</f>
        <v xml:space="preserve"> </v>
      </c>
      <c r="G59" s="46" t="str">
        <f>_xlfn.IFNA(IF(VLOOKUP($D59,Organización_Modular!$F$10:$G$195,2,FALSE)=G$23,Itinerario!W59," ")," ")</f>
        <v xml:space="preserve"> </v>
      </c>
      <c r="H59" s="46" t="str">
        <f>_xlfn.IFNA(IF(VLOOKUP($D59,Organización_Modular!$F$10:$G$195,2,FALSE)=H$23,Itinerario!T59," ")," ")</f>
        <v xml:space="preserve"> </v>
      </c>
      <c r="I59" s="46" t="str">
        <f>_xlfn.IFNA(IF(VLOOKUP($D59,Organización_Modular!$F$10:$G$195,2,FALSE)=I$23,Itinerario!W59," ")," ")</f>
        <v xml:space="preserve"> </v>
      </c>
      <c r="J59" s="46" t="str">
        <f>_xlfn.IFNA(IF(VLOOKUP($D59,Organización_Modular!$F$10:$G$195,2,FALSE)=J$23,Itinerario!T59," ")," ")</f>
        <v xml:space="preserve"> </v>
      </c>
      <c r="K59" s="46" t="str">
        <f>_xlfn.IFNA(IF(VLOOKUP($D59,Organización_Modular!$F$10:$G$195,2,FALSE)=K$23,Itinerario!W59," ")," ")</f>
        <v xml:space="preserve"> </v>
      </c>
      <c r="L59" s="46" t="str">
        <f>_xlfn.IFNA(IF(VLOOKUP($D59,Organización_Modular!$F$10:$G$195,2,FALSE)=L$23,Itinerario!T59," ")," ")</f>
        <v xml:space="preserve"> </v>
      </c>
      <c r="M59" s="46" t="str">
        <f>_xlfn.IFNA(IF(VLOOKUP($D59,Organización_Modular!$F$10:$G$195,2,FALSE)=M$23,Itinerario!W59," ")," ")</f>
        <v xml:space="preserve"> </v>
      </c>
      <c r="N59" s="46" t="str">
        <f>_xlfn.IFNA(IF(VLOOKUP($D59,Organización_Modular!$F$10:$G$195,2,FALSE)=N$23,Itinerario!T59," ")," ")</f>
        <v xml:space="preserve"> </v>
      </c>
      <c r="O59" s="46" t="str">
        <f>_xlfn.IFNA(IF(VLOOKUP($D59,Organización_Modular!$F$10:$G$195,2,FALSE)=O$23,Itinerario!W59," ")," ")</f>
        <v xml:space="preserve"> </v>
      </c>
      <c r="P59" s="46" t="str">
        <f>_xlfn.IFNA(IF(VLOOKUP($D59,Organización_Modular!$F$10:$G$195,2,FALSE)=P$23,Itinerario!T59," ")," ")</f>
        <v xml:space="preserve"> </v>
      </c>
      <c r="Q59" s="46" t="str">
        <f>_xlfn.IFNA(IF(VLOOKUP($D59,Organización_Modular!$F$10:$G$195,2,FALSE)=Q$23,Itinerario!W59," ")," ")</f>
        <v xml:space="preserve"> </v>
      </c>
      <c r="R59" s="46">
        <f>Organización_Modular!H45</f>
        <v>0</v>
      </c>
      <c r="S59" s="46">
        <f>Organización_Modular!I45</f>
        <v>0</v>
      </c>
      <c r="T59" s="90">
        <f t="shared" si="7"/>
        <v>0</v>
      </c>
      <c r="U59" s="46">
        <f t="shared" si="3"/>
        <v>0</v>
      </c>
      <c r="V59" s="46">
        <f t="shared" si="4"/>
        <v>0</v>
      </c>
      <c r="W59" s="90">
        <f t="shared" si="5"/>
        <v>0</v>
      </c>
      <c r="X59" s="95">
        <f t="shared" si="6"/>
        <v>0</v>
      </c>
    </row>
    <row r="60" spans="1:24" hidden="1" x14ac:dyDescent="0.2">
      <c r="A60" s="407"/>
      <c r="B60" s="313"/>
      <c r="C60" s="410"/>
      <c r="D60" s="409">
        <f>Organización_Modular!F46</f>
        <v>0</v>
      </c>
      <c r="E60" s="409"/>
      <c r="F60" s="46" t="str">
        <f>_xlfn.IFNA(IF(VLOOKUP($D60,Organización_Modular!$F$10:$G$195,2,FALSE)=F$23,Itinerario!T60," ")," ")</f>
        <v xml:space="preserve"> </v>
      </c>
      <c r="G60" s="46" t="str">
        <f>_xlfn.IFNA(IF(VLOOKUP($D60,Organización_Modular!$F$10:$G$195,2,FALSE)=G$23,Itinerario!W60," ")," ")</f>
        <v xml:space="preserve"> </v>
      </c>
      <c r="H60" s="46" t="str">
        <f>_xlfn.IFNA(IF(VLOOKUP($D60,Organización_Modular!$F$10:$G$195,2,FALSE)=H$23,Itinerario!T60," ")," ")</f>
        <v xml:space="preserve"> </v>
      </c>
      <c r="I60" s="46" t="str">
        <f>_xlfn.IFNA(IF(VLOOKUP($D60,Organización_Modular!$F$10:$G$195,2,FALSE)=I$23,Itinerario!W60," ")," ")</f>
        <v xml:space="preserve"> </v>
      </c>
      <c r="J60" s="46" t="str">
        <f>_xlfn.IFNA(IF(VLOOKUP($D60,Organización_Modular!$F$10:$G$195,2,FALSE)=J$23,Itinerario!T60," ")," ")</f>
        <v xml:space="preserve"> </v>
      </c>
      <c r="K60" s="46" t="str">
        <f>_xlfn.IFNA(IF(VLOOKUP($D60,Organización_Modular!$F$10:$G$195,2,FALSE)=K$23,Itinerario!W60," ")," ")</f>
        <v xml:space="preserve"> </v>
      </c>
      <c r="L60" s="46" t="str">
        <f>_xlfn.IFNA(IF(VLOOKUP($D60,Organización_Modular!$F$10:$G$195,2,FALSE)=L$23,Itinerario!T60," ")," ")</f>
        <v xml:space="preserve"> </v>
      </c>
      <c r="M60" s="46" t="str">
        <f>_xlfn.IFNA(IF(VLOOKUP($D60,Organización_Modular!$F$10:$G$195,2,FALSE)=M$23,Itinerario!W60," ")," ")</f>
        <v xml:space="preserve"> </v>
      </c>
      <c r="N60" s="46" t="str">
        <f>_xlfn.IFNA(IF(VLOOKUP($D60,Organización_Modular!$F$10:$G$195,2,FALSE)=N$23,Itinerario!T60," ")," ")</f>
        <v xml:space="preserve"> </v>
      </c>
      <c r="O60" s="46" t="str">
        <f>_xlfn.IFNA(IF(VLOOKUP($D60,Organización_Modular!$F$10:$G$195,2,FALSE)=O$23,Itinerario!W60," ")," ")</f>
        <v xml:space="preserve"> </v>
      </c>
      <c r="P60" s="46" t="str">
        <f>_xlfn.IFNA(IF(VLOOKUP($D60,Organización_Modular!$F$10:$G$195,2,FALSE)=P$23,Itinerario!T60," ")," ")</f>
        <v xml:space="preserve"> </v>
      </c>
      <c r="Q60" s="46" t="str">
        <f>_xlfn.IFNA(IF(VLOOKUP($D60,Organización_Modular!$F$10:$G$195,2,FALSE)=Q$23,Itinerario!W60," ")," ")</f>
        <v xml:space="preserve"> </v>
      </c>
      <c r="R60" s="46">
        <f>Organización_Modular!H46</f>
        <v>0</v>
      </c>
      <c r="S60" s="46">
        <f>Organización_Modular!I46</f>
        <v>0</v>
      </c>
      <c r="T60" s="90">
        <f t="shared" si="7"/>
        <v>0</v>
      </c>
      <c r="U60" s="46">
        <f t="shared" si="3"/>
        <v>0</v>
      </c>
      <c r="V60" s="46">
        <f t="shared" si="4"/>
        <v>0</v>
      </c>
      <c r="W60" s="90">
        <f t="shared" si="5"/>
        <v>0</v>
      </c>
      <c r="X60" s="95">
        <f t="shared" si="6"/>
        <v>0</v>
      </c>
    </row>
    <row r="61" spans="1:24" hidden="1" x14ac:dyDescent="0.2">
      <c r="A61" s="407"/>
      <c r="B61" s="313"/>
      <c r="C61" s="410"/>
      <c r="D61" s="409">
        <f>Organización_Modular!F47</f>
        <v>0</v>
      </c>
      <c r="E61" s="409"/>
      <c r="F61" s="46" t="str">
        <f>_xlfn.IFNA(IF(VLOOKUP($D61,Organización_Modular!$F$10:$G$195,2,FALSE)=F$23,Itinerario!T61," ")," ")</f>
        <v xml:space="preserve"> </v>
      </c>
      <c r="G61" s="46" t="str">
        <f>_xlfn.IFNA(IF(VLOOKUP($D61,Organización_Modular!$F$10:$G$195,2,FALSE)=G$23,Itinerario!W61," ")," ")</f>
        <v xml:space="preserve"> </v>
      </c>
      <c r="H61" s="46" t="str">
        <f>_xlfn.IFNA(IF(VLOOKUP($D61,Organización_Modular!$F$10:$G$195,2,FALSE)=H$23,Itinerario!T61," ")," ")</f>
        <v xml:space="preserve"> </v>
      </c>
      <c r="I61" s="46" t="str">
        <f>_xlfn.IFNA(IF(VLOOKUP($D61,Organización_Modular!$F$10:$G$195,2,FALSE)=I$23,Itinerario!W61," ")," ")</f>
        <v xml:space="preserve"> </v>
      </c>
      <c r="J61" s="46" t="str">
        <f>_xlfn.IFNA(IF(VLOOKUP($D61,Organización_Modular!$F$10:$G$195,2,FALSE)=J$23,Itinerario!T61," ")," ")</f>
        <v xml:space="preserve"> </v>
      </c>
      <c r="K61" s="46" t="str">
        <f>_xlfn.IFNA(IF(VLOOKUP($D61,Organización_Modular!$F$10:$G$195,2,FALSE)=K$23,Itinerario!W61," ")," ")</f>
        <v xml:space="preserve"> </v>
      </c>
      <c r="L61" s="46" t="str">
        <f>_xlfn.IFNA(IF(VLOOKUP($D61,Organización_Modular!$F$10:$G$195,2,FALSE)=L$23,Itinerario!T61," ")," ")</f>
        <v xml:space="preserve"> </v>
      </c>
      <c r="M61" s="46" t="str">
        <f>_xlfn.IFNA(IF(VLOOKUP($D61,Organización_Modular!$F$10:$G$195,2,FALSE)=M$23,Itinerario!W61," ")," ")</f>
        <v xml:space="preserve"> </v>
      </c>
      <c r="N61" s="46" t="str">
        <f>_xlfn.IFNA(IF(VLOOKUP($D61,Organización_Modular!$F$10:$G$195,2,FALSE)=N$23,Itinerario!T61," ")," ")</f>
        <v xml:space="preserve"> </v>
      </c>
      <c r="O61" s="46" t="str">
        <f>_xlfn.IFNA(IF(VLOOKUP($D61,Organización_Modular!$F$10:$G$195,2,FALSE)=O$23,Itinerario!W61," ")," ")</f>
        <v xml:space="preserve"> </v>
      </c>
      <c r="P61" s="46" t="str">
        <f>_xlfn.IFNA(IF(VLOOKUP($D61,Organización_Modular!$F$10:$G$195,2,FALSE)=P$23,Itinerario!T61," ")," ")</f>
        <v xml:space="preserve"> </v>
      </c>
      <c r="Q61" s="46" t="str">
        <f>_xlfn.IFNA(IF(VLOOKUP($D61,Organización_Modular!$F$10:$G$195,2,FALSE)=Q$23,Itinerario!W61," ")," ")</f>
        <v xml:space="preserve"> </v>
      </c>
      <c r="R61" s="46">
        <f>Organización_Modular!H47</f>
        <v>0</v>
      </c>
      <c r="S61" s="46">
        <f>Organización_Modular!I47</f>
        <v>0</v>
      </c>
      <c r="T61" s="90">
        <f t="shared" si="7"/>
        <v>0</v>
      </c>
      <c r="U61" s="46">
        <f t="shared" si="3"/>
        <v>0</v>
      </c>
      <c r="V61" s="46">
        <f t="shared" si="4"/>
        <v>0</v>
      </c>
      <c r="W61" s="90">
        <f t="shared" si="5"/>
        <v>0</v>
      </c>
      <c r="X61" s="95">
        <f t="shared" si="6"/>
        <v>0</v>
      </c>
    </row>
    <row r="62" spans="1:24" hidden="1" x14ac:dyDescent="0.2">
      <c r="A62" s="407"/>
      <c r="B62" s="313"/>
      <c r="C62" s="410"/>
      <c r="D62" s="409">
        <f>Organización_Modular!F48</f>
        <v>0</v>
      </c>
      <c r="E62" s="409"/>
      <c r="F62" s="46" t="str">
        <f>_xlfn.IFNA(IF(VLOOKUP($D62,Organización_Modular!$F$10:$G$195,2,FALSE)=F$23,Itinerario!T62," ")," ")</f>
        <v xml:space="preserve"> </v>
      </c>
      <c r="G62" s="46" t="str">
        <f>_xlfn.IFNA(IF(VLOOKUP($D62,Organización_Modular!$F$10:$G$195,2,FALSE)=G$23,Itinerario!W62," ")," ")</f>
        <v xml:space="preserve"> </v>
      </c>
      <c r="H62" s="46" t="str">
        <f>_xlfn.IFNA(IF(VLOOKUP($D62,Organización_Modular!$F$10:$G$195,2,FALSE)=H$23,Itinerario!T62," ")," ")</f>
        <v xml:space="preserve"> </v>
      </c>
      <c r="I62" s="46" t="str">
        <f>_xlfn.IFNA(IF(VLOOKUP($D62,Organización_Modular!$F$10:$G$195,2,FALSE)=I$23,Itinerario!W62," ")," ")</f>
        <v xml:space="preserve"> </v>
      </c>
      <c r="J62" s="46" t="str">
        <f>_xlfn.IFNA(IF(VLOOKUP($D62,Organización_Modular!$F$10:$G$195,2,FALSE)=J$23,Itinerario!T62," ")," ")</f>
        <v xml:space="preserve"> </v>
      </c>
      <c r="K62" s="46" t="str">
        <f>_xlfn.IFNA(IF(VLOOKUP($D62,Organización_Modular!$F$10:$G$195,2,FALSE)=K$23,Itinerario!W62," ")," ")</f>
        <v xml:space="preserve"> </v>
      </c>
      <c r="L62" s="46" t="str">
        <f>_xlfn.IFNA(IF(VLOOKUP($D62,Organización_Modular!$F$10:$G$195,2,FALSE)=L$23,Itinerario!T62," ")," ")</f>
        <v xml:space="preserve"> </v>
      </c>
      <c r="M62" s="46" t="str">
        <f>_xlfn.IFNA(IF(VLOOKUP($D62,Organización_Modular!$F$10:$G$195,2,FALSE)=M$23,Itinerario!W62," ")," ")</f>
        <v xml:space="preserve"> </v>
      </c>
      <c r="N62" s="46" t="str">
        <f>_xlfn.IFNA(IF(VLOOKUP($D62,Organización_Modular!$F$10:$G$195,2,FALSE)=N$23,Itinerario!T62," ")," ")</f>
        <v xml:space="preserve"> </v>
      </c>
      <c r="O62" s="46" t="str">
        <f>_xlfn.IFNA(IF(VLOOKUP($D62,Organización_Modular!$F$10:$G$195,2,FALSE)=O$23,Itinerario!W62," ")," ")</f>
        <v xml:space="preserve"> </v>
      </c>
      <c r="P62" s="46" t="str">
        <f>_xlfn.IFNA(IF(VLOOKUP($D62,Organización_Modular!$F$10:$G$195,2,FALSE)=P$23,Itinerario!T62," ")," ")</f>
        <v xml:space="preserve"> </v>
      </c>
      <c r="Q62" s="46" t="str">
        <f>_xlfn.IFNA(IF(VLOOKUP($D62,Organización_Modular!$F$10:$G$195,2,FALSE)=Q$23,Itinerario!W62," ")," ")</f>
        <v xml:space="preserve"> </v>
      </c>
      <c r="R62" s="46">
        <f>Organización_Modular!H48</f>
        <v>0</v>
      </c>
      <c r="S62" s="46">
        <f>Organización_Modular!I48</f>
        <v>0</v>
      </c>
      <c r="T62" s="90">
        <f t="shared" si="7"/>
        <v>0</v>
      </c>
      <c r="U62" s="46">
        <f t="shared" si="3"/>
        <v>0</v>
      </c>
      <c r="V62" s="46">
        <f t="shared" si="4"/>
        <v>0</v>
      </c>
      <c r="W62" s="90">
        <f t="shared" si="5"/>
        <v>0</v>
      </c>
      <c r="X62" s="95">
        <f t="shared" si="6"/>
        <v>0</v>
      </c>
    </row>
    <row r="63" spans="1:24" hidden="1" x14ac:dyDescent="0.2">
      <c r="A63" s="407"/>
      <c r="B63" s="313"/>
      <c r="C63" s="410"/>
      <c r="D63" s="409">
        <f>Organización_Modular!F49</f>
        <v>0</v>
      </c>
      <c r="E63" s="409"/>
      <c r="F63" s="46" t="str">
        <f>_xlfn.IFNA(IF(VLOOKUP($D63,Organización_Modular!$F$10:$G$195,2,FALSE)=F$23,Itinerario!T63," ")," ")</f>
        <v xml:space="preserve"> </v>
      </c>
      <c r="G63" s="46" t="str">
        <f>_xlfn.IFNA(IF(VLOOKUP($D63,Organización_Modular!$F$10:$G$195,2,FALSE)=G$23,Itinerario!W63," ")," ")</f>
        <v xml:space="preserve"> </v>
      </c>
      <c r="H63" s="46" t="str">
        <f>_xlfn.IFNA(IF(VLOOKUP($D63,Organización_Modular!$F$10:$G$195,2,FALSE)=H$23,Itinerario!T63," ")," ")</f>
        <v xml:space="preserve"> </v>
      </c>
      <c r="I63" s="46" t="str">
        <f>_xlfn.IFNA(IF(VLOOKUP($D63,Organización_Modular!$F$10:$G$195,2,FALSE)=I$23,Itinerario!W63," ")," ")</f>
        <v xml:space="preserve"> </v>
      </c>
      <c r="J63" s="46" t="str">
        <f>_xlfn.IFNA(IF(VLOOKUP($D63,Organización_Modular!$F$10:$G$195,2,FALSE)=J$23,Itinerario!T63," ")," ")</f>
        <v xml:space="preserve"> </v>
      </c>
      <c r="K63" s="46" t="str">
        <f>_xlfn.IFNA(IF(VLOOKUP($D63,Organización_Modular!$F$10:$G$195,2,FALSE)=K$23,Itinerario!W63," ")," ")</f>
        <v xml:space="preserve"> </v>
      </c>
      <c r="L63" s="46" t="str">
        <f>_xlfn.IFNA(IF(VLOOKUP($D63,Organización_Modular!$F$10:$G$195,2,FALSE)=L$23,Itinerario!T63," ")," ")</f>
        <v xml:space="preserve"> </v>
      </c>
      <c r="M63" s="46" t="str">
        <f>_xlfn.IFNA(IF(VLOOKUP($D63,Organización_Modular!$F$10:$G$195,2,FALSE)=M$23,Itinerario!W63," ")," ")</f>
        <v xml:space="preserve"> </v>
      </c>
      <c r="N63" s="46" t="str">
        <f>_xlfn.IFNA(IF(VLOOKUP($D63,Organización_Modular!$F$10:$G$195,2,FALSE)=N$23,Itinerario!T63," ")," ")</f>
        <v xml:space="preserve"> </v>
      </c>
      <c r="O63" s="46" t="str">
        <f>_xlfn.IFNA(IF(VLOOKUP($D63,Organización_Modular!$F$10:$G$195,2,FALSE)=O$23,Itinerario!W63," ")," ")</f>
        <v xml:space="preserve"> </v>
      </c>
      <c r="P63" s="46" t="str">
        <f>_xlfn.IFNA(IF(VLOOKUP($D63,Organización_Modular!$F$10:$G$195,2,FALSE)=P$23,Itinerario!T63," ")," ")</f>
        <v xml:space="preserve"> </v>
      </c>
      <c r="Q63" s="46" t="str">
        <f>_xlfn.IFNA(IF(VLOOKUP($D63,Organización_Modular!$F$10:$G$195,2,FALSE)=Q$23,Itinerario!W63," ")," ")</f>
        <v xml:space="preserve"> </v>
      </c>
      <c r="R63" s="46">
        <f>Organización_Modular!H49</f>
        <v>0</v>
      </c>
      <c r="S63" s="46">
        <f>Organización_Modular!I49</f>
        <v>0</v>
      </c>
      <c r="T63" s="90">
        <f t="shared" si="7"/>
        <v>0</v>
      </c>
      <c r="U63" s="46">
        <f t="shared" si="3"/>
        <v>0</v>
      </c>
      <c r="V63" s="46">
        <f t="shared" si="4"/>
        <v>0</v>
      </c>
      <c r="W63" s="90">
        <f t="shared" si="5"/>
        <v>0</v>
      </c>
      <c r="X63" s="95">
        <f t="shared" si="6"/>
        <v>0</v>
      </c>
    </row>
    <row r="64" spans="1:24" hidden="1" x14ac:dyDescent="0.2">
      <c r="A64" s="407"/>
      <c r="B64" s="313"/>
      <c r="C64" s="410"/>
      <c r="D64" s="409">
        <f>Organización_Modular!F50</f>
        <v>0</v>
      </c>
      <c r="E64" s="409"/>
      <c r="F64" s="46" t="str">
        <f>_xlfn.IFNA(IF(VLOOKUP($D64,Organización_Modular!$F$10:$G$195,2,FALSE)=F$23,Itinerario!T64," ")," ")</f>
        <v xml:space="preserve"> </v>
      </c>
      <c r="G64" s="46" t="str">
        <f>_xlfn.IFNA(IF(VLOOKUP($D64,Organización_Modular!$F$10:$G$195,2,FALSE)=G$23,Itinerario!W64," ")," ")</f>
        <v xml:space="preserve"> </v>
      </c>
      <c r="H64" s="46" t="str">
        <f>_xlfn.IFNA(IF(VLOOKUP($D64,Organización_Modular!$F$10:$G$195,2,FALSE)=H$23,Itinerario!T64," ")," ")</f>
        <v xml:space="preserve"> </v>
      </c>
      <c r="I64" s="46" t="str">
        <f>_xlfn.IFNA(IF(VLOOKUP($D64,Organización_Modular!$F$10:$G$195,2,FALSE)=I$23,Itinerario!W64," ")," ")</f>
        <v xml:space="preserve"> </v>
      </c>
      <c r="J64" s="46" t="str">
        <f>_xlfn.IFNA(IF(VLOOKUP($D64,Organización_Modular!$F$10:$G$195,2,FALSE)=J$23,Itinerario!T64," ")," ")</f>
        <v xml:space="preserve"> </v>
      </c>
      <c r="K64" s="46" t="str">
        <f>_xlfn.IFNA(IF(VLOOKUP($D64,Organización_Modular!$F$10:$G$195,2,FALSE)=K$23,Itinerario!W64," ")," ")</f>
        <v xml:space="preserve"> </v>
      </c>
      <c r="L64" s="46" t="str">
        <f>_xlfn.IFNA(IF(VLOOKUP($D64,Organización_Modular!$F$10:$G$195,2,FALSE)=L$23,Itinerario!T64," ")," ")</f>
        <v xml:space="preserve"> </v>
      </c>
      <c r="M64" s="46" t="str">
        <f>_xlfn.IFNA(IF(VLOOKUP($D64,Organización_Modular!$F$10:$G$195,2,FALSE)=M$23,Itinerario!W64," ")," ")</f>
        <v xml:space="preserve"> </v>
      </c>
      <c r="N64" s="46" t="str">
        <f>_xlfn.IFNA(IF(VLOOKUP($D64,Organización_Modular!$F$10:$G$195,2,FALSE)=N$23,Itinerario!T64," ")," ")</f>
        <v xml:space="preserve"> </v>
      </c>
      <c r="O64" s="46" t="str">
        <f>_xlfn.IFNA(IF(VLOOKUP($D64,Organización_Modular!$F$10:$G$195,2,FALSE)=O$23,Itinerario!W64," ")," ")</f>
        <v xml:space="preserve"> </v>
      </c>
      <c r="P64" s="46" t="str">
        <f>_xlfn.IFNA(IF(VLOOKUP($D64,Organización_Modular!$F$10:$G$195,2,FALSE)=P$23,Itinerario!T64," ")," ")</f>
        <v xml:space="preserve"> </v>
      </c>
      <c r="Q64" s="46" t="str">
        <f>_xlfn.IFNA(IF(VLOOKUP($D64,Organización_Modular!$F$10:$G$195,2,FALSE)=Q$23,Itinerario!W64," ")," ")</f>
        <v xml:space="preserve"> </v>
      </c>
      <c r="R64" s="46">
        <f>Organización_Modular!H50</f>
        <v>0</v>
      </c>
      <c r="S64" s="46">
        <f>Organización_Modular!I50</f>
        <v>0</v>
      </c>
      <c r="T64" s="90">
        <f t="shared" si="7"/>
        <v>0</v>
      </c>
      <c r="U64" s="46">
        <f t="shared" si="3"/>
        <v>0</v>
      </c>
      <c r="V64" s="46">
        <f t="shared" si="4"/>
        <v>0</v>
      </c>
      <c r="W64" s="90">
        <f t="shared" si="5"/>
        <v>0</v>
      </c>
      <c r="X64" s="95">
        <f t="shared" si="6"/>
        <v>0</v>
      </c>
    </row>
    <row r="65" spans="1:24" hidden="1" x14ac:dyDescent="0.2">
      <c r="A65" s="407"/>
      <c r="B65" s="313"/>
      <c r="C65" s="410"/>
      <c r="D65" s="409">
        <f>Organización_Modular!F51</f>
        <v>0</v>
      </c>
      <c r="E65" s="409"/>
      <c r="F65" s="46" t="str">
        <f>_xlfn.IFNA(IF(VLOOKUP($D65,Organización_Modular!$F$10:$G$195,2,FALSE)=F$23,Itinerario!T65," ")," ")</f>
        <v xml:space="preserve"> </v>
      </c>
      <c r="G65" s="46" t="str">
        <f>_xlfn.IFNA(IF(VLOOKUP($D65,Organización_Modular!$F$10:$G$195,2,FALSE)=G$23,Itinerario!W65," ")," ")</f>
        <v xml:space="preserve"> </v>
      </c>
      <c r="H65" s="46" t="str">
        <f>_xlfn.IFNA(IF(VLOOKUP($D65,Organización_Modular!$F$10:$G$195,2,FALSE)=H$23,Itinerario!T65," ")," ")</f>
        <v xml:space="preserve"> </v>
      </c>
      <c r="I65" s="46" t="str">
        <f>_xlfn.IFNA(IF(VLOOKUP($D65,Organización_Modular!$F$10:$G$195,2,FALSE)=I$23,Itinerario!W65," ")," ")</f>
        <v xml:space="preserve"> </v>
      </c>
      <c r="J65" s="46" t="str">
        <f>_xlfn.IFNA(IF(VLOOKUP($D65,Organización_Modular!$F$10:$G$195,2,FALSE)=J$23,Itinerario!T65," ")," ")</f>
        <v xml:space="preserve"> </v>
      </c>
      <c r="K65" s="46" t="str">
        <f>_xlfn.IFNA(IF(VLOOKUP($D65,Organización_Modular!$F$10:$G$195,2,FALSE)=K$23,Itinerario!W65," ")," ")</f>
        <v xml:space="preserve"> </v>
      </c>
      <c r="L65" s="46" t="str">
        <f>_xlfn.IFNA(IF(VLOOKUP($D65,Organización_Modular!$F$10:$G$195,2,FALSE)=L$23,Itinerario!T65," ")," ")</f>
        <v xml:space="preserve"> </v>
      </c>
      <c r="M65" s="46" t="str">
        <f>_xlfn.IFNA(IF(VLOOKUP($D65,Organización_Modular!$F$10:$G$195,2,FALSE)=M$23,Itinerario!W65," ")," ")</f>
        <v xml:space="preserve"> </v>
      </c>
      <c r="N65" s="46" t="str">
        <f>_xlfn.IFNA(IF(VLOOKUP($D65,Organización_Modular!$F$10:$G$195,2,FALSE)=N$23,Itinerario!T65," ")," ")</f>
        <v xml:space="preserve"> </v>
      </c>
      <c r="O65" s="46" t="str">
        <f>_xlfn.IFNA(IF(VLOOKUP($D65,Organización_Modular!$F$10:$G$195,2,FALSE)=O$23,Itinerario!W65," ")," ")</f>
        <v xml:space="preserve"> </v>
      </c>
      <c r="P65" s="46" t="str">
        <f>_xlfn.IFNA(IF(VLOOKUP($D65,Organización_Modular!$F$10:$G$195,2,FALSE)=P$23,Itinerario!T65," ")," ")</f>
        <v xml:space="preserve"> </v>
      </c>
      <c r="Q65" s="46" t="str">
        <f>_xlfn.IFNA(IF(VLOOKUP($D65,Organización_Modular!$F$10:$G$195,2,FALSE)=Q$23,Itinerario!W65," ")," ")</f>
        <v xml:space="preserve"> </v>
      </c>
      <c r="R65" s="46">
        <f>Organización_Modular!H51</f>
        <v>0</v>
      </c>
      <c r="S65" s="46">
        <f>Organización_Modular!I51</f>
        <v>0</v>
      </c>
      <c r="T65" s="90">
        <f t="shared" si="7"/>
        <v>0</v>
      </c>
      <c r="U65" s="46">
        <f t="shared" si="3"/>
        <v>0</v>
      </c>
      <c r="V65" s="46">
        <f t="shared" si="4"/>
        <v>0</v>
      </c>
      <c r="W65" s="90">
        <f t="shared" si="5"/>
        <v>0</v>
      </c>
      <c r="X65" s="95">
        <f t="shared" si="6"/>
        <v>0</v>
      </c>
    </row>
    <row r="66" spans="1:24" hidden="1" x14ac:dyDescent="0.2">
      <c r="A66" s="407"/>
      <c r="B66" s="313"/>
      <c r="C66" s="410"/>
      <c r="D66" s="409">
        <f>Organización_Modular!F52</f>
        <v>0</v>
      </c>
      <c r="E66" s="409"/>
      <c r="F66" s="46" t="str">
        <f>_xlfn.IFNA(IF(VLOOKUP($D66,Organización_Modular!$F$10:$G$195,2,FALSE)=F$23,Itinerario!T66," ")," ")</f>
        <v xml:space="preserve"> </v>
      </c>
      <c r="G66" s="46" t="str">
        <f>_xlfn.IFNA(IF(VLOOKUP($D66,Organización_Modular!$F$10:$G$195,2,FALSE)=G$23,Itinerario!W66," ")," ")</f>
        <v xml:space="preserve"> </v>
      </c>
      <c r="H66" s="46" t="str">
        <f>_xlfn.IFNA(IF(VLOOKUP($D66,Organización_Modular!$F$10:$G$195,2,FALSE)=H$23,Itinerario!T66," ")," ")</f>
        <v xml:space="preserve"> </v>
      </c>
      <c r="I66" s="46" t="str">
        <f>_xlfn.IFNA(IF(VLOOKUP($D66,Organización_Modular!$F$10:$G$195,2,FALSE)=I$23,Itinerario!W66," ")," ")</f>
        <v xml:space="preserve"> </v>
      </c>
      <c r="J66" s="46" t="str">
        <f>_xlfn.IFNA(IF(VLOOKUP($D66,Organización_Modular!$F$10:$G$195,2,FALSE)=J$23,Itinerario!T66," ")," ")</f>
        <v xml:space="preserve"> </v>
      </c>
      <c r="K66" s="46" t="str">
        <f>_xlfn.IFNA(IF(VLOOKUP($D66,Organización_Modular!$F$10:$G$195,2,FALSE)=K$23,Itinerario!W66," ")," ")</f>
        <v xml:space="preserve"> </v>
      </c>
      <c r="L66" s="46" t="str">
        <f>_xlfn.IFNA(IF(VLOOKUP($D66,Organización_Modular!$F$10:$G$195,2,FALSE)=L$23,Itinerario!T66," ")," ")</f>
        <v xml:space="preserve"> </v>
      </c>
      <c r="M66" s="46" t="str">
        <f>_xlfn.IFNA(IF(VLOOKUP($D66,Organización_Modular!$F$10:$G$195,2,FALSE)=M$23,Itinerario!W66," ")," ")</f>
        <v xml:space="preserve"> </v>
      </c>
      <c r="N66" s="46" t="str">
        <f>_xlfn.IFNA(IF(VLOOKUP($D66,Organización_Modular!$F$10:$G$195,2,FALSE)=N$23,Itinerario!T66," ")," ")</f>
        <v xml:space="preserve"> </v>
      </c>
      <c r="O66" s="46" t="str">
        <f>_xlfn.IFNA(IF(VLOOKUP($D66,Organización_Modular!$F$10:$G$195,2,FALSE)=O$23,Itinerario!W66," ")," ")</f>
        <v xml:space="preserve"> </v>
      </c>
      <c r="P66" s="46" t="str">
        <f>_xlfn.IFNA(IF(VLOOKUP($D66,Organización_Modular!$F$10:$G$195,2,FALSE)=P$23,Itinerario!T66," ")," ")</f>
        <v xml:space="preserve"> </v>
      </c>
      <c r="Q66" s="46" t="str">
        <f>_xlfn.IFNA(IF(VLOOKUP($D66,Organización_Modular!$F$10:$G$195,2,FALSE)=Q$23,Itinerario!W66," ")," ")</f>
        <v xml:space="preserve"> </v>
      </c>
      <c r="R66" s="46">
        <f>Organización_Modular!H52</f>
        <v>0</v>
      </c>
      <c r="S66" s="46">
        <f>Organización_Modular!I52</f>
        <v>0</v>
      </c>
      <c r="T66" s="90">
        <f t="shared" si="7"/>
        <v>0</v>
      </c>
      <c r="U66" s="46">
        <f t="shared" si="3"/>
        <v>0</v>
      </c>
      <c r="V66" s="46">
        <f t="shared" si="4"/>
        <v>0</v>
      </c>
      <c r="W66" s="90">
        <f t="shared" si="5"/>
        <v>0</v>
      </c>
      <c r="X66" s="95">
        <f t="shared" si="6"/>
        <v>0</v>
      </c>
    </row>
    <row r="67" spans="1:24" hidden="1" x14ac:dyDescent="0.2">
      <c r="A67" s="407"/>
      <c r="B67" s="313"/>
      <c r="C67" s="410"/>
      <c r="D67" s="409">
        <f>Organización_Modular!F53</f>
        <v>0</v>
      </c>
      <c r="E67" s="409"/>
      <c r="F67" s="46" t="str">
        <f>_xlfn.IFNA(IF(VLOOKUP($D67,Organización_Modular!$F$10:$G$195,2,FALSE)=F$23,Itinerario!T67," ")," ")</f>
        <v xml:space="preserve"> </v>
      </c>
      <c r="G67" s="46" t="str">
        <f>_xlfn.IFNA(IF(VLOOKUP($D67,Organización_Modular!$F$10:$G$195,2,FALSE)=G$23,Itinerario!W67," ")," ")</f>
        <v xml:space="preserve"> </v>
      </c>
      <c r="H67" s="46" t="str">
        <f>_xlfn.IFNA(IF(VLOOKUP($D67,Organización_Modular!$F$10:$G$195,2,FALSE)=H$23,Itinerario!T67," ")," ")</f>
        <v xml:space="preserve"> </v>
      </c>
      <c r="I67" s="46" t="str">
        <f>_xlfn.IFNA(IF(VLOOKUP($D67,Organización_Modular!$F$10:$G$195,2,FALSE)=I$23,Itinerario!W67," ")," ")</f>
        <v xml:space="preserve"> </v>
      </c>
      <c r="J67" s="46" t="str">
        <f>_xlfn.IFNA(IF(VLOOKUP($D67,Organización_Modular!$F$10:$G$195,2,FALSE)=J$23,Itinerario!T67," ")," ")</f>
        <v xml:space="preserve"> </v>
      </c>
      <c r="K67" s="46" t="str">
        <f>_xlfn.IFNA(IF(VLOOKUP($D67,Organización_Modular!$F$10:$G$195,2,FALSE)=K$23,Itinerario!W67," ")," ")</f>
        <v xml:space="preserve"> </v>
      </c>
      <c r="L67" s="46" t="str">
        <f>_xlfn.IFNA(IF(VLOOKUP($D67,Organización_Modular!$F$10:$G$195,2,FALSE)=L$23,Itinerario!T67," ")," ")</f>
        <v xml:space="preserve"> </v>
      </c>
      <c r="M67" s="46" t="str">
        <f>_xlfn.IFNA(IF(VLOOKUP($D67,Organización_Modular!$F$10:$G$195,2,FALSE)=M$23,Itinerario!W67," ")," ")</f>
        <v xml:space="preserve"> </v>
      </c>
      <c r="N67" s="46" t="str">
        <f>_xlfn.IFNA(IF(VLOOKUP($D67,Organización_Modular!$F$10:$G$195,2,FALSE)=N$23,Itinerario!T67," ")," ")</f>
        <v xml:space="preserve"> </v>
      </c>
      <c r="O67" s="46" t="str">
        <f>_xlfn.IFNA(IF(VLOOKUP($D67,Organización_Modular!$F$10:$G$195,2,FALSE)=O$23,Itinerario!W67," ")," ")</f>
        <v xml:space="preserve"> </v>
      </c>
      <c r="P67" s="46" t="str">
        <f>_xlfn.IFNA(IF(VLOOKUP($D67,Organización_Modular!$F$10:$G$195,2,FALSE)=P$23,Itinerario!T67," ")," ")</f>
        <v xml:space="preserve"> </v>
      </c>
      <c r="Q67" s="46" t="str">
        <f>_xlfn.IFNA(IF(VLOOKUP($D67,Organización_Modular!$F$10:$G$195,2,FALSE)=Q$23,Itinerario!W67," ")," ")</f>
        <v xml:space="preserve"> </v>
      </c>
      <c r="R67" s="46">
        <f>Organización_Modular!H53</f>
        <v>0</v>
      </c>
      <c r="S67" s="46">
        <f>Organización_Modular!I53</f>
        <v>0</v>
      </c>
      <c r="T67" s="90">
        <f t="shared" si="7"/>
        <v>0</v>
      </c>
      <c r="U67" s="46">
        <f t="shared" si="3"/>
        <v>0</v>
      </c>
      <c r="V67" s="46">
        <f t="shared" si="4"/>
        <v>0</v>
      </c>
      <c r="W67" s="90">
        <f t="shared" si="5"/>
        <v>0</v>
      </c>
      <c r="X67" s="95">
        <f t="shared" si="6"/>
        <v>0</v>
      </c>
    </row>
    <row r="68" spans="1:24" hidden="1" x14ac:dyDescent="0.2">
      <c r="A68" s="407"/>
      <c r="B68" s="313"/>
      <c r="C68" s="410"/>
      <c r="D68" s="409">
        <f>Organización_Modular!F54</f>
        <v>0</v>
      </c>
      <c r="E68" s="409"/>
      <c r="F68" s="46" t="str">
        <f>_xlfn.IFNA(IF(VLOOKUP($D68,Organización_Modular!$F$10:$G$195,2,FALSE)=F$23,Itinerario!T68," ")," ")</f>
        <v xml:space="preserve"> </v>
      </c>
      <c r="G68" s="46" t="str">
        <f>_xlfn.IFNA(IF(VLOOKUP($D68,Organización_Modular!$F$10:$G$195,2,FALSE)=G$23,Itinerario!W68," ")," ")</f>
        <v xml:space="preserve"> </v>
      </c>
      <c r="H68" s="46" t="str">
        <f>_xlfn.IFNA(IF(VLOOKUP($D68,Organización_Modular!$F$10:$G$195,2,FALSE)=H$23,Itinerario!T68," ")," ")</f>
        <v xml:space="preserve"> </v>
      </c>
      <c r="I68" s="46" t="str">
        <f>_xlfn.IFNA(IF(VLOOKUP($D68,Organización_Modular!$F$10:$G$195,2,FALSE)=I$23,Itinerario!W68," ")," ")</f>
        <v xml:space="preserve"> </v>
      </c>
      <c r="J68" s="46" t="str">
        <f>_xlfn.IFNA(IF(VLOOKUP($D68,Organización_Modular!$F$10:$G$195,2,FALSE)=J$23,Itinerario!T68," ")," ")</f>
        <v xml:space="preserve"> </v>
      </c>
      <c r="K68" s="46" t="str">
        <f>_xlfn.IFNA(IF(VLOOKUP($D68,Organización_Modular!$F$10:$G$195,2,FALSE)=K$23,Itinerario!W68," ")," ")</f>
        <v xml:space="preserve"> </v>
      </c>
      <c r="L68" s="46" t="str">
        <f>_xlfn.IFNA(IF(VLOOKUP($D68,Organización_Modular!$F$10:$G$195,2,FALSE)=L$23,Itinerario!T68," ")," ")</f>
        <v xml:space="preserve"> </v>
      </c>
      <c r="M68" s="46" t="str">
        <f>_xlfn.IFNA(IF(VLOOKUP($D68,Organización_Modular!$F$10:$G$195,2,FALSE)=M$23,Itinerario!W68," ")," ")</f>
        <v xml:space="preserve"> </v>
      </c>
      <c r="N68" s="46" t="str">
        <f>_xlfn.IFNA(IF(VLOOKUP($D68,Organización_Modular!$F$10:$G$195,2,FALSE)=N$23,Itinerario!T68," ")," ")</f>
        <v xml:space="preserve"> </v>
      </c>
      <c r="O68" s="46" t="str">
        <f>_xlfn.IFNA(IF(VLOOKUP($D68,Organización_Modular!$F$10:$G$195,2,FALSE)=O$23,Itinerario!W68," ")," ")</f>
        <v xml:space="preserve"> </v>
      </c>
      <c r="P68" s="46" t="str">
        <f>_xlfn.IFNA(IF(VLOOKUP($D68,Organización_Modular!$F$10:$G$195,2,FALSE)=P$23,Itinerario!T68," ")," ")</f>
        <v xml:space="preserve"> </v>
      </c>
      <c r="Q68" s="46" t="str">
        <f>_xlfn.IFNA(IF(VLOOKUP($D68,Organización_Modular!$F$10:$G$195,2,FALSE)=Q$23,Itinerario!W68," ")," ")</f>
        <v xml:space="preserve"> </v>
      </c>
      <c r="R68" s="46">
        <f>Organización_Modular!H54</f>
        <v>0</v>
      </c>
      <c r="S68" s="46">
        <f>Organización_Modular!I54</f>
        <v>0</v>
      </c>
      <c r="T68" s="90">
        <f t="shared" si="7"/>
        <v>0</v>
      </c>
      <c r="U68" s="46">
        <f t="shared" si="3"/>
        <v>0</v>
      </c>
      <c r="V68" s="46">
        <f t="shared" si="4"/>
        <v>0</v>
      </c>
      <c r="W68" s="90">
        <f t="shared" si="5"/>
        <v>0</v>
      </c>
      <c r="X68" s="95">
        <f t="shared" si="6"/>
        <v>0</v>
      </c>
    </row>
    <row r="69" spans="1:24" hidden="1" x14ac:dyDescent="0.2">
      <c r="A69" s="407"/>
      <c r="B69" s="313"/>
      <c r="C69" s="410"/>
      <c r="D69" s="409">
        <f>Organización_Modular!F55</f>
        <v>0</v>
      </c>
      <c r="E69" s="409"/>
      <c r="F69" s="46" t="str">
        <f>_xlfn.IFNA(IF(VLOOKUP($D69,Organización_Modular!$F$10:$G$195,2,FALSE)=F$23,Itinerario!T69," ")," ")</f>
        <v xml:space="preserve"> </v>
      </c>
      <c r="G69" s="46" t="str">
        <f>_xlfn.IFNA(IF(VLOOKUP($D69,Organización_Modular!$F$10:$G$195,2,FALSE)=G$23,Itinerario!W69," ")," ")</f>
        <v xml:space="preserve"> </v>
      </c>
      <c r="H69" s="46" t="str">
        <f>_xlfn.IFNA(IF(VLOOKUP($D69,Organización_Modular!$F$10:$G$195,2,FALSE)=H$23,Itinerario!T69," ")," ")</f>
        <v xml:space="preserve"> </v>
      </c>
      <c r="I69" s="46" t="str">
        <f>_xlfn.IFNA(IF(VLOOKUP($D69,Organización_Modular!$F$10:$G$195,2,FALSE)=I$23,Itinerario!W69," ")," ")</f>
        <v xml:space="preserve"> </v>
      </c>
      <c r="J69" s="46" t="str">
        <f>_xlfn.IFNA(IF(VLOOKUP($D69,Organización_Modular!$F$10:$G$195,2,FALSE)=J$23,Itinerario!T69," ")," ")</f>
        <v xml:space="preserve"> </v>
      </c>
      <c r="K69" s="46" t="str">
        <f>_xlfn.IFNA(IF(VLOOKUP($D69,Organización_Modular!$F$10:$G$195,2,FALSE)=K$23,Itinerario!W69," ")," ")</f>
        <v xml:space="preserve"> </v>
      </c>
      <c r="L69" s="46" t="str">
        <f>_xlfn.IFNA(IF(VLOOKUP($D69,Organización_Modular!$F$10:$G$195,2,FALSE)=L$23,Itinerario!T69," ")," ")</f>
        <v xml:space="preserve"> </v>
      </c>
      <c r="M69" s="46" t="str">
        <f>_xlfn.IFNA(IF(VLOOKUP($D69,Organización_Modular!$F$10:$G$195,2,FALSE)=M$23,Itinerario!W69," ")," ")</f>
        <v xml:space="preserve"> </v>
      </c>
      <c r="N69" s="46" t="str">
        <f>_xlfn.IFNA(IF(VLOOKUP($D69,Organización_Modular!$F$10:$G$195,2,FALSE)=N$23,Itinerario!T69," ")," ")</f>
        <v xml:space="preserve"> </v>
      </c>
      <c r="O69" s="46" t="str">
        <f>_xlfn.IFNA(IF(VLOOKUP($D69,Organización_Modular!$F$10:$G$195,2,FALSE)=O$23,Itinerario!W69," ")," ")</f>
        <v xml:space="preserve"> </v>
      </c>
      <c r="P69" s="46" t="str">
        <f>_xlfn.IFNA(IF(VLOOKUP($D69,Organización_Modular!$F$10:$G$195,2,FALSE)=P$23,Itinerario!T69," ")," ")</f>
        <v xml:space="preserve"> </v>
      </c>
      <c r="Q69" s="46" t="str">
        <f>_xlfn.IFNA(IF(VLOOKUP($D69,Organización_Modular!$F$10:$G$195,2,FALSE)=Q$23,Itinerario!W69," ")," ")</f>
        <v xml:space="preserve"> </v>
      </c>
      <c r="R69" s="46">
        <f>Organización_Modular!H55</f>
        <v>0</v>
      </c>
      <c r="S69" s="46">
        <f>Organización_Modular!I55</f>
        <v>0</v>
      </c>
      <c r="T69" s="90">
        <f t="shared" si="7"/>
        <v>0</v>
      </c>
      <c r="U69" s="46">
        <f t="shared" si="3"/>
        <v>0</v>
      </c>
      <c r="V69" s="46">
        <f t="shared" si="4"/>
        <v>0</v>
      </c>
      <c r="W69" s="90">
        <f t="shared" si="5"/>
        <v>0</v>
      </c>
      <c r="X69" s="95">
        <f t="shared" si="6"/>
        <v>0</v>
      </c>
    </row>
    <row r="70" spans="1:24" hidden="1" x14ac:dyDescent="0.2">
      <c r="A70" s="407"/>
      <c r="B70" s="313"/>
      <c r="C70" s="410"/>
      <c r="D70" s="409">
        <f>Organización_Modular!F56</f>
        <v>0</v>
      </c>
      <c r="E70" s="409"/>
      <c r="F70" s="46" t="str">
        <f>_xlfn.IFNA(IF(VLOOKUP($D70,Organización_Modular!$F$10:$G$195,2,FALSE)=F$23,Itinerario!T70," ")," ")</f>
        <v xml:space="preserve"> </v>
      </c>
      <c r="G70" s="46" t="str">
        <f>_xlfn.IFNA(IF(VLOOKUP($D70,Organización_Modular!$F$10:$G$195,2,FALSE)=G$23,Itinerario!W70," ")," ")</f>
        <v xml:space="preserve"> </v>
      </c>
      <c r="H70" s="46" t="str">
        <f>_xlfn.IFNA(IF(VLOOKUP($D70,Organización_Modular!$F$10:$G$195,2,FALSE)=H$23,Itinerario!T70," ")," ")</f>
        <v xml:space="preserve"> </v>
      </c>
      <c r="I70" s="46" t="str">
        <f>_xlfn.IFNA(IF(VLOOKUP($D70,Organización_Modular!$F$10:$G$195,2,FALSE)=I$23,Itinerario!W70," ")," ")</f>
        <v xml:space="preserve"> </v>
      </c>
      <c r="J70" s="46" t="str">
        <f>_xlfn.IFNA(IF(VLOOKUP($D70,Organización_Modular!$F$10:$G$195,2,FALSE)=J$23,Itinerario!T70," ")," ")</f>
        <v xml:space="preserve"> </v>
      </c>
      <c r="K70" s="46" t="str">
        <f>_xlfn.IFNA(IF(VLOOKUP($D70,Organización_Modular!$F$10:$G$195,2,FALSE)=K$23,Itinerario!W70," ")," ")</f>
        <v xml:space="preserve"> </v>
      </c>
      <c r="L70" s="46" t="str">
        <f>_xlfn.IFNA(IF(VLOOKUP($D70,Organización_Modular!$F$10:$G$195,2,FALSE)=L$23,Itinerario!T70," ")," ")</f>
        <v xml:space="preserve"> </v>
      </c>
      <c r="M70" s="46" t="str">
        <f>_xlfn.IFNA(IF(VLOOKUP($D70,Organización_Modular!$F$10:$G$195,2,FALSE)=M$23,Itinerario!W70," ")," ")</f>
        <v xml:space="preserve"> </v>
      </c>
      <c r="N70" s="46" t="str">
        <f>_xlfn.IFNA(IF(VLOOKUP($D70,Organización_Modular!$F$10:$G$195,2,FALSE)=N$23,Itinerario!T70," ")," ")</f>
        <v xml:space="preserve"> </v>
      </c>
      <c r="O70" s="46" t="str">
        <f>_xlfn.IFNA(IF(VLOOKUP($D70,Organización_Modular!$F$10:$G$195,2,FALSE)=O$23,Itinerario!W70," ")," ")</f>
        <v xml:space="preserve"> </v>
      </c>
      <c r="P70" s="46" t="str">
        <f>_xlfn.IFNA(IF(VLOOKUP($D70,Organización_Modular!$F$10:$G$195,2,FALSE)=P$23,Itinerario!T70," ")," ")</f>
        <v xml:space="preserve"> </v>
      </c>
      <c r="Q70" s="46" t="str">
        <f>_xlfn.IFNA(IF(VLOOKUP($D70,Organización_Modular!$F$10:$G$195,2,FALSE)=Q$23,Itinerario!W70," ")," ")</f>
        <v xml:space="preserve"> </v>
      </c>
      <c r="R70" s="46">
        <f>Organización_Modular!H56</f>
        <v>0</v>
      </c>
      <c r="S70" s="46">
        <f>Organización_Modular!I56</f>
        <v>0</v>
      </c>
      <c r="T70" s="90">
        <f t="shared" si="7"/>
        <v>0</v>
      </c>
      <c r="U70" s="46">
        <f t="shared" si="3"/>
        <v>0</v>
      </c>
      <c r="V70" s="46">
        <f t="shared" si="4"/>
        <v>0</v>
      </c>
      <c r="W70" s="90">
        <f t="shared" si="5"/>
        <v>0</v>
      </c>
      <c r="X70" s="95">
        <f t="shared" si="6"/>
        <v>0</v>
      </c>
    </row>
    <row r="71" spans="1:24" hidden="1" x14ac:dyDescent="0.2">
      <c r="A71" s="407"/>
      <c r="B71" s="313"/>
      <c r="C71" s="410"/>
      <c r="D71" s="409">
        <f>Organización_Modular!F57</f>
        <v>0</v>
      </c>
      <c r="E71" s="409"/>
      <c r="F71" s="46" t="str">
        <f>_xlfn.IFNA(IF(VLOOKUP($D71,Organización_Modular!$F$10:$G$195,2,FALSE)=F$23,Itinerario!T71," ")," ")</f>
        <v xml:space="preserve"> </v>
      </c>
      <c r="G71" s="46" t="str">
        <f>_xlfn.IFNA(IF(VLOOKUP($D71,Organización_Modular!$F$10:$G$195,2,FALSE)=G$23,Itinerario!W71," ")," ")</f>
        <v xml:space="preserve"> </v>
      </c>
      <c r="H71" s="46" t="str">
        <f>_xlfn.IFNA(IF(VLOOKUP($D71,Organización_Modular!$F$10:$G$195,2,FALSE)=H$23,Itinerario!T71," ")," ")</f>
        <v xml:space="preserve"> </v>
      </c>
      <c r="I71" s="46" t="str">
        <f>_xlfn.IFNA(IF(VLOOKUP($D71,Organización_Modular!$F$10:$G$195,2,FALSE)=I$23,Itinerario!W71," ")," ")</f>
        <v xml:space="preserve"> </v>
      </c>
      <c r="J71" s="46" t="str">
        <f>_xlfn.IFNA(IF(VLOOKUP($D71,Organización_Modular!$F$10:$G$195,2,FALSE)=J$23,Itinerario!T71," ")," ")</f>
        <v xml:space="preserve"> </v>
      </c>
      <c r="K71" s="46" t="str">
        <f>_xlfn.IFNA(IF(VLOOKUP($D71,Organización_Modular!$F$10:$G$195,2,FALSE)=K$23,Itinerario!W71," ")," ")</f>
        <v xml:space="preserve"> </v>
      </c>
      <c r="L71" s="46" t="str">
        <f>_xlfn.IFNA(IF(VLOOKUP($D71,Organización_Modular!$F$10:$G$195,2,FALSE)=L$23,Itinerario!T71," ")," ")</f>
        <v xml:space="preserve"> </v>
      </c>
      <c r="M71" s="46" t="str">
        <f>_xlfn.IFNA(IF(VLOOKUP($D71,Organización_Modular!$F$10:$G$195,2,FALSE)=M$23,Itinerario!W71," ")," ")</f>
        <v xml:space="preserve"> </v>
      </c>
      <c r="N71" s="46" t="str">
        <f>_xlfn.IFNA(IF(VLOOKUP($D71,Organización_Modular!$F$10:$G$195,2,FALSE)=N$23,Itinerario!T71," ")," ")</f>
        <v xml:space="preserve"> </v>
      </c>
      <c r="O71" s="46" t="str">
        <f>_xlfn.IFNA(IF(VLOOKUP($D71,Organización_Modular!$F$10:$G$195,2,FALSE)=O$23,Itinerario!W71," ")," ")</f>
        <v xml:space="preserve"> </v>
      </c>
      <c r="P71" s="46" t="str">
        <f>_xlfn.IFNA(IF(VLOOKUP($D71,Organización_Modular!$F$10:$G$195,2,FALSE)=P$23,Itinerario!T71," ")," ")</f>
        <v xml:space="preserve"> </v>
      </c>
      <c r="Q71" s="46" t="str">
        <f>_xlfn.IFNA(IF(VLOOKUP($D71,Organización_Modular!$F$10:$G$195,2,FALSE)=Q$23,Itinerario!W71," ")," ")</f>
        <v xml:space="preserve"> </v>
      </c>
      <c r="R71" s="46">
        <f>Organización_Modular!H57</f>
        <v>0</v>
      </c>
      <c r="S71" s="46">
        <f>Organización_Modular!I57</f>
        <v>0</v>
      </c>
      <c r="T71" s="90">
        <f t="shared" si="7"/>
        <v>0</v>
      </c>
      <c r="U71" s="46">
        <f t="shared" si="3"/>
        <v>0</v>
      </c>
      <c r="V71" s="46">
        <f t="shared" si="4"/>
        <v>0</v>
      </c>
      <c r="W71" s="90">
        <f t="shared" si="5"/>
        <v>0</v>
      </c>
      <c r="X71" s="95">
        <f t="shared" si="6"/>
        <v>0</v>
      </c>
    </row>
    <row r="72" spans="1:24" hidden="1" x14ac:dyDescent="0.2">
      <c r="A72" s="407"/>
      <c r="B72" s="313"/>
      <c r="C72" s="410"/>
      <c r="D72" s="409">
        <f>Organización_Modular!F58</f>
        <v>0</v>
      </c>
      <c r="E72" s="409"/>
      <c r="F72" s="46" t="str">
        <f>_xlfn.IFNA(IF(VLOOKUP($D72,Organización_Modular!$F$10:$G$195,2,FALSE)=F$23,Itinerario!T72," ")," ")</f>
        <v xml:space="preserve"> </v>
      </c>
      <c r="G72" s="46" t="str">
        <f>_xlfn.IFNA(IF(VLOOKUP($D72,Organización_Modular!$F$10:$G$195,2,FALSE)=G$23,Itinerario!W72," ")," ")</f>
        <v xml:space="preserve"> </v>
      </c>
      <c r="H72" s="46" t="str">
        <f>_xlfn.IFNA(IF(VLOOKUP($D72,Organización_Modular!$F$10:$G$195,2,FALSE)=H$23,Itinerario!T72," ")," ")</f>
        <v xml:space="preserve"> </v>
      </c>
      <c r="I72" s="46" t="str">
        <f>_xlfn.IFNA(IF(VLOOKUP($D72,Organización_Modular!$F$10:$G$195,2,FALSE)=I$23,Itinerario!W72," ")," ")</f>
        <v xml:space="preserve"> </v>
      </c>
      <c r="J72" s="46" t="str">
        <f>_xlfn.IFNA(IF(VLOOKUP($D72,Organización_Modular!$F$10:$G$195,2,FALSE)=J$23,Itinerario!T72," ")," ")</f>
        <v xml:space="preserve"> </v>
      </c>
      <c r="K72" s="46" t="str">
        <f>_xlfn.IFNA(IF(VLOOKUP($D72,Organización_Modular!$F$10:$G$195,2,FALSE)=K$23,Itinerario!W72," ")," ")</f>
        <v xml:space="preserve"> </v>
      </c>
      <c r="L72" s="46" t="str">
        <f>_xlfn.IFNA(IF(VLOOKUP($D72,Organización_Modular!$F$10:$G$195,2,FALSE)=L$23,Itinerario!T72," ")," ")</f>
        <v xml:space="preserve"> </v>
      </c>
      <c r="M72" s="46" t="str">
        <f>_xlfn.IFNA(IF(VLOOKUP($D72,Organización_Modular!$F$10:$G$195,2,FALSE)=M$23,Itinerario!W72," ")," ")</f>
        <v xml:space="preserve"> </v>
      </c>
      <c r="N72" s="46" t="str">
        <f>_xlfn.IFNA(IF(VLOOKUP($D72,Organización_Modular!$F$10:$G$195,2,FALSE)=N$23,Itinerario!T72," ")," ")</f>
        <v xml:space="preserve"> </v>
      </c>
      <c r="O72" s="46" t="str">
        <f>_xlfn.IFNA(IF(VLOOKUP($D72,Organización_Modular!$F$10:$G$195,2,FALSE)=O$23,Itinerario!W72," ")," ")</f>
        <v xml:space="preserve"> </v>
      </c>
      <c r="P72" s="46" t="str">
        <f>_xlfn.IFNA(IF(VLOOKUP($D72,Organización_Modular!$F$10:$G$195,2,FALSE)=P$23,Itinerario!T72," ")," ")</f>
        <v xml:space="preserve"> </v>
      </c>
      <c r="Q72" s="46" t="str">
        <f>_xlfn.IFNA(IF(VLOOKUP($D72,Organización_Modular!$F$10:$G$195,2,FALSE)=Q$23,Itinerario!W72," ")," ")</f>
        <v xml:space="preserve"> </v>
      </c>
      <c r="R72" s="46">
        <f>Organización_Modular!H58</f>
        <v>0</v>
      </c>
      <c r="S72" s="46">
        <f>Organización_Modular!I58</f>
        <v>0</v>
      </c>
      <c r="T72" s="90">
        <f t="shared" si="7"/>
        <v>0</v>
      </c>
      <c r="U72" s="46">
        <f t="shared" si="3"/>
        <v>0</v>
      </c>
      <c r="V72" s="46">
        <f t="shared" si="4"/>
        <v>0</v>
      </c>
      <c r="W72" s="90">
        <f t="shared" si="5"/>
        <v>0</v>
      </c>
      <c r="X72" s="95">
        <f t="shared" si="6"/>
        <v>0</v>
      </c>
    </row>
    <row r="73" spans="1:24" hidden="1" x14ac:dyDescent="0.2">
      <c r="A73" s="407"/>
      <c r="B73" s="313"/>
      <c r="C73" s="410"/>
      <c r="D73" s="409">
        <f>Organización_Modular!F59</f>
        <v>0</v>
      </c>
      <c r="E73" s="409"/>
      <c r="F73" s="46" t="str">
        <f>_xlfn.IFNA(IF(VLOOKUP($D73,Organización_Modular!$F$10:$G$195,2,FALSE)=F$23,Itinerario!T73," ")," ")</f>
        <v xml:space="preserve"> </v>
      </c>
      <c r="G73" s="46" t="str">
        <f>_xlfn.IFNA(IF(VLOOKUP($D73,Organización_Modular!$F$10:$G$195,2,FALSE)=G$23,Itinerario!W73," ")," ")</f>
        <v xml:space="preserve"> </v>
      </c>
      <c r="H73" s="46" t="str">
        <f>_xlfn.IFNA(IF(VLOOKUP($D73,Organización_Modular!$F$10:$G$195,2,FALSE)=H$23,Itinerario!T73," ")," ")</f>
        <v xml:space="preserve"> </v>
      </c>
      <c r="I73" s="46" t="str">
        <f>_xlfn.IFNA(IF(VLOOKUP($D73,Organización_Modular!$F$10:$G$195,2,FALSE)=I$23,Itinerario!W73," ")," ")</f>
        <v xml:space="preserve"> </v>
      </c>
      <c r="J73" s="46" t="str">
        <f>_xlfn.IFNA(IF(VLOOKUP($D73,Organización_Modular!$F$10:$G$195,2,FALSE)=J$23,Itinerario!T73," ")," ")</f>
        <v xml:space="preserve"> </v>
      </c>
      <c r="K73" s="46" t="str">
        <f>_xlfn.IFNA(IF(VLOOKUP($D73,Organización_Modular!$F$10:$G$195,2,FALSE)=K$23,Itinerario!W73," ")," ")</f>
        <v xml:space="preserve"> </v>
      </c>
      <c r="L73" s="46" t="str">
        <f>_xlfn.IFNA(IF(VLOOKUP($D73,Organización_Modular!$F$10:$G$195,2,FALSE)=L$23,Itinerario!T73," ")," ")</f>
        <v xml:space="preserve"> </v>
      </c>
      <c r="M73" s="46" t="str">
        <f>_xlfn.IFNA(IF(VLOOKUP($D73,Organización_Modular!$F$10:$G$195,2,FALSE)=M$23,Itinerario!W73," ")," ")</f>
        <v xml:space="preserve"> </v>
      </c>
      <c r="N73" s="46" t="str">
        <f>_xlfn.IFNA(IF(VLOOKUP($D73,Organización_Modular!$F$10:$G$195,2,FALSE)=N$23,Itinerario!T73," ")," ")</f>
        <v xml:space="preserve"> </v>
      </c>
      <c r="O73" s="46" t="str">
        <f>_xlfn.IFNA(IF(VLOOKUP($D73,Organización_Modular!$F$10:$G$195,2,FALSE)=O$23,Itinerario!W73," ")," ")</f>
        <v xml:space="preserve"> </v>
      </c>
      <c r="P73" s="46" t="str">
        <f>_xlfn.IFNA(IF(VLOOKUP($D73,Organización_Modular!$F$10:$G$195,2,FALSE)=P$23,Itinerario!T73," ")," ")</f>
        <v xml:space="preserve"> </v>
      </c>
      <c r="Q73" s="46" t="str">
        <f>_xlfn.IFNA(IF(VLOOKUP($D73,Organización_Modular!$F$10:$G$195,2,FALSE)=Q$23,Itinerario!W73," ")," ")</f>
        <v xml:space="preserve"> </v>
      </c>
      <c r="R73" s="46">
        <f>Organización_Modular!H59</f>
        <v>0</v>
      </c>
      <c r="S73" s="46">
        <f>Organización_Modular!I59</f>
        <v>0</v>
      </c>
      <c r="T73" s="90">
        <f t="shared" si="7"/>
        <v>0</v>
      </c>
      <c r="U73" s="46">
        <f t="shared" si="3"/>
        <v>0</v>
      </c>
      <c r="V73" s="46">
        <f t="shared" si="4"/>
        <v>0</v>
      </c>
      <c r="W73" s="90">
        <f t="shared" si="5"/>
        <v>0</v>
      </c>
      <c r="X73" s="95">
        <f t="shared" si="6"/>
        <v>0</v>
      </c>
    </row>
    <row r="74" spans="1:24" hidden="1" x14ac:dyDescent="0.2">
      <c r="A74" s="407"/>
      <c r="B74" s="313"/>
      <c r="C74" s="410"/>
      <c r="D74" s="409">
        <f>Organización_Modular!F60</f>
        <v>0</v>
      </c>
      <c r="E74" s="409"/>
      <c r="F74" s="46" t="str">
        <f>_xlfn.IFNA(IF(VLOOKUP($D74,Organización_Modular!$F$10:$G$195,2,FALSE)=F$23,Itinerario!T74," ")," ")</f>
        <v xml:space="preserve"> </v>
      </c>
      <c r="G74" s="46" t="str">
        <f>_xlfn.IFNA(IF(VLOOKUP($D74,Organización_Modular!$F$10:$G$195,2,FALSE)=G$23,Itinerario!W74," ")," ")</f>
        <v xml:space="preserve"> </v>
      </c>
      <c r="H74" s="46" t="str">
        <f>_xlfn.IFNA(IF(VLOOKUP($D74,Organización_Modular!$F$10:$G$195,2,FALSE)=H$23,Itinerario!T74," ")," ")</f>
        <v xml:space="preserve"> </v>
      </c>
      <c r="I74" s="46" t="str">
        <f>_xlfn.IFNA(IF(VLOOKUP($D74,Organización_Modular!$F$10:$G$195,2,FALSE)=I$23,Itinerario!W74," ")," ")</f>
        <v xml:space="preserve"> </v>
      </c>
      <c r="J74" s="46" t="str">
        <f>_xlfn.IFNA(IF(VLOOKUP($D74,Organización_Modular!$F$10:$G$195,2,FALSE)=J$23,Itinerario!T74," ")," ")</f>
        <v xml:space="preserve"> </v>
      </c>
      <c r="K74" s="46" t="str">
        <f>_xlfn.IFNA(IF(VLOOKUP($D74,Organización_Modular!$F$10:$G$195,2,FALSE)=K$23,Itinerario!W74," ")," ")</f>
        <v xml:space="preserve"> </v>
      </c>
      <c r="L74" s="46" t="str">
        <f>_xlfn.IFNA(IF(VLOOKUP($D74,Organización_Modular!$F$10:$G$195,2,FALSE)=L$23,Itinerario!T74," ")," ")</f>
        <v xml:space="preserve"> </v>
      </c>
      <c r="M74" s="46" t="str">
        <f>_xlfn.IFNA(IF(VLOOKUP($D74,Organización_Modular!$F$10:$G$195,2,FALSE)=M$23,Itinerario!W74," ")," ")</f>
        <v xml:space="preserve"> </v>
      </c>
      <c r="N74" s="46" t="str">
        <f>_xlfn.IFNA(IF(VLOOKUP($D74,Organización_Modular!$F$10:$G$195,2,FALSE)=N$23,Itinerario!T74," ")," ")</f>
        <v xml:space="preserve"> </v>
      </c>
      <c r="O74" s="46" t="str">
        <f>_xlfn.IFNA(IF(VLOOKUP($D74,Organización_Modular!$F$10:$G$195,2,FALSE)=O$23,Itinerario!W74," ")," ")</f>
        <v xml:space="preserve"> </v>
      </c>
      <c r="P74" s="46" t="str">
        <f>_xlfn.IFNA(IF(VLOOKUP($D74,Organización_Modular!$F$10:$G$195,2,FALSE)=P$23,Itinerario!T74," ")," ")</f>
        <v xml:space="preserve"> </v>
      </c>
      <c r="Q74" s="46" t="str">
        <f>_xlfn.IFNA(IF(VLOOKUP($D74,Organización_Modular!$F$10:$G$195,2,FALSE)=Q$23,Itinerario!W74," ")," ")</f>
        <v xml:space="preserve"> </v>
      </c>
      <c r="R74" s="46">
        <f>Organización_Modular!H60</f>
        <v>0</v>
      </c>
      <c r="S74" s="46">
        <f>Organización_Modular!I60</f>
        <v>0</v>
      </c>
      <c r="T74" s="90">
        <f t="shared" si="7"/>
        <v>0</v>
      </c>
      <c r="U74" s="46">
        <f t="shared" si="3"/>
        <v>0</v>
      </c>
      <c r="V74" s="46">
        <f t="shared" si="4"/>
        <v>0</v>
      </c>
      <c r="W74" s="90">
        <f t="shared" si="5"/>
        <v>0</v>
      </c>
      <c r="X74" s="95">
        <f t="shared" si="6"/>
        <v>0</v>
      </c>
    </row>
    <row r="75" spans="1:24" ht="33" customHeight="1" x14ac:dyDescent="0.2">
      <c r="A75" s="407"/>
      <c r="B75" s="314" t="str">
        <f>B44</f>
        <v>Competencias para la empleabilidad</v>
      </c>
      <c r="C75" s="410" t="str">
        <f>Organización_Modular!C61</f>
        <v>CE5 Solución de problemas.-  Identificar situaciones complejas para evaluar posibles soluciones, aplicando un conjunto de herramientas flexibles que conlleven a la atención de una necesidad.(UD)</v>
      </c>
      <c r="D75" s="409" t="str">
        <f>Organización_Modular!F61</f>
        <v>Solucion de Problemas</v>
      </c>
      <c r="E75" s="409"/>
      <c r="F75" s="46" t="str">
        <f>_xlfn.IFNA(IF(VLOOKUP($D75,Organización_Modular!$F$10:$G$195,2,FALSE)=F$23,Itinerario!T75," ")," ")</f>
        <v xml:space="preserve"> </v>
      </c>
      <c r="G75" s="46" t="str">
        <f>_xlfn.IFNA(IF(VLOOKUP($D75,Organización_Modular!$F$10:$G$195,2,FALSE)=G$23,Itinerario!W75," ")," ")</f>
        <v xml:space="preserve"> </v>
      </c>
      <c r="H75" s="46">
        <f>_xlfn.IFNA(IF(VLOOKUP($D75,Organización_Modular!$F$10:$G$195,2,FALSE)=H$23,Itinerario!T75," ")," ")</f>
        <v>1</v>
      </c>
      <c r="I75" s="46">
        <f>_xlfn.IFNA(IF(VLOOKUP($D75,Organización_Modular!$F$10:$G$195,2,FALSE)=I$23,Itinerario!W75," ")," ")</f>
        <v>32</v>
      </c>
      <c r="J75" s="46" t="str">
        <f>_xlfn.IFNA(IF(VLOOKUP($D75,Organización_Modular!$F$10:$G$195,2,FALSE)=J$23,Itinerario!T75," ")," ")</f>
        <v xml:space="preserve"> </v>
      </c>
      <c r="K75" s="46" t="str">
        <f>_xlfn.IFNA(IF(VLOOKUP($D75,Organización_Modular!$F$10:$G$195,2,FALSE)=K$23,Itinerario!W75," ")," ")</f>
        <v xml:space="preserve"> </v>
      </c>
      <c r="L75" s="46" t="str">
        <f>_xlfn.IFNA(IF(VLOOKUP($D75,Organización_Modular!$F$10:$G$195,2,FALSE)=L$23,Itinerario!T75," ")," ")</f>
        <v xml:space="preserve"> </v>
      </c>
      <c r="M75" s="46" t="str">
        <f>_xlfn.IFNA(IF(VLOOKUP($D75,Organización_Modular!$F$10:$G$195,2,FALSE)=M$23,Itinerario!W75," ")," ")</f>
        <v xml:space="preserve"> </v>
      </c>
      <c r="N75" s="46" t="str">
        <f>_xlfn.IFNA(IF(VLOOKUP($D75,Organización_Modular!$F$10:$G$195,2,FALSE)=N$23,Itinerario!T75," ")," ")</f>
        <v xml:space="preserve"> </v>
      </c>
      <c r="O75" s="46" t="str">
        <f>_xlfn.IFNA(IF(VLOOKUP($D75,Organización_Modular!$F$10:$G$195,2,FALSE)=O$23,Itinerario!W75," ")," ")</f>
        <v xml:space="preserve"> </v>
      </c>
      <c r="P75" s="46" t="str">
        <f>_xlfn.IFNA(IF(VLOOKUP($D75,Organización_Modular!$F$10:$G$195,2,FALSE)=P$23,Itinerario!T75," ")," ")</f>
        <v xml:space="preserve"> </v>
      </c>
      <c r="Q75" s="46" t="str">
        <f>_xlfn.IFNA(IF(VLOOKUP($D75,Organización_Modular!$F$10:$G$195,2,FALSE)=Q$23,Itinerario!W75," ")," ")</f>
        <v xml:space="preserve"> </v>
      </c>
      <c r="R75" s="46">
        <f>Organización_Modular!H61</f>
        <v>0</v>
      </c>
      <c r="S75" s="46">
        <f>Organización_Modular!I61</f>
        <v>1</v>
      </c>
      <c r="T75" s="90">
        <f t="shared" si="7"/>
        <v>1</v>
      </c>
      <c r="U75" s="46">
        <f t="shared" si="3"/>
        <v>0</v>
      </c>
      <c r="V75" s="46">
        <f t="shared" si="4"/>
        <v>32</v>
      </c>
      <c r="W75" s="90">
        <f t="shared" si="5"/>
        <v>32</v>
      </c>
      <c r="X75" s="95">
        <f t="shared" si="6"/>
        <v>32</v>
      </c>
    </row>
    <row r="76" spans="1:24" ht="69" customHeight="1" x14ac:dyDescent="0.2">
      <c r="A76" s="407"/>
      <c r="B76" s="314"/>
      <c r="C76" s="410"/>
      <c r="D76" s="409" t="str">
        <f>Organización_Modular!F62</f>
        <v>Alternativas de solución de problemas.</v>
      </c>
      <c r="E76" s="409"/>
      <c r="F76" s="46" t="str">
        <f>_xlfn.IFNA(IF(VLOOKUP($D76,Organización_Modular!$F$10:$G$195,2,FALSE)=F$23,Itinerario!T76," ")," ")</f>
        <v xml:space="preserve"> </v>
      </c>
      <c r="G76" s="46" t="str">
        <f>_xlfn.IFNA(IF(VLOOKUP($D76,Organización_Modular!$F$10:$G$195,2,FALSE)=G$23,Itinerario!W76," ")," ")</f>
        <v xml:space="preserve"> </v>
      </c>
      <c r="H76" s="46">
        <f>_xlfn.IFNA(IF(VLOOKUP($D76,Organización_Modular!$F$10:$G$195,2,FALSE)=H$23,Itinerario!T76," ")," ")</f>
        <v>1</v>
      </c>
      <c r="I76" s="46">
        <f>_xlfn.IFNA(IF(VLOOKUP($D76,Organización_Modular!$F$10:$G$195,2,FALSE)=I$23,Itinerario!W76," ")," ")</f>
        <v>32</v>
      </c>
      <c r="J76" s="46" t="str">
        <f>_xlfn.IFNA(IF(VLOOKUP($D76,Organización_Modular!$F$10:$G$195,2,FALSE)=J$23,Itinerario!T76," ")," ")</f>
        <v xml:space="preserve"> </v>
      </c>
      <c r="K76" s="46" t="str">
        <f>_xlfn.IFNA(IF(VLOOKUP($D76,Organización_Modular!$F$10:$G$195,2,FALSE)=K$23,Itinerario!W76," ")," ")</f>
        <v xml:space="preserve"> </v>
      </c>
      <c r="L76" s="46" t="str">
        <f>_xlfn.IFNA(IF(VLOOKUP($D76,Organización_Modular!$F$10:$G$195,2,FALSE)=L$23,Itinerario!T76," ")," ")</f>
        <v xml:space="preserve"> </v>
      </c>
      <c r="M76" s="46" t="str">
        <f>_xlfn.IFNA(IF(VLOOKUP($D76,Organización_Modular!$F$10:$G$195,2,FALSE)=M$23,Itinerario!W76," ")," ")</f>
        <v xml:space="preserve"> </v>
      </c>
      <c r="N76" s="46" t="str">
        <f>_xlfn.IFNA(IF(VLOOKUP($D76,Organización_Modular!$F$10:$G$195,2,FALSE)=N$23,Itinerario!T76," ")," ")</f>
        <v xml:space="preserve"> </v>
      </c>
      <c r="O76" s="46" t="str">
        <f>_xlfn.IFNA(IF(VLOOKUP($D76,Organización_Modular!$F$10:$G$195,2,FALSE)=O$23,Itinerario!W76," ")," ")</f>
        <v xml:space="preserve"> </v>
      </c>
      <c r="P76" s="46" t="str">
        <f>_xlfn.IFNA(IF(VLOOKUP($D76,Organización_Modular!$F$10:$G$195,2,FALSE)=P$23,Itinerario!T76," ")," ")</f>
        <v xml:space="preserve"> </v>
      </c>
      <c r="Q76" s="46" t="str">
        <f>_xlfn.IFNA(IF(VLOOKUP($D76,Organización_Modular!$F$10:$G$195,2,FALSE)=Q$23,Itinerario!W76," ")," ")</f>
        <v xml:space="preserve"> </v>
      </c>
      <c r="R76" s="46">
        <f>Organización_Modular!H62</f>
        <v>0</v>
      </c>
      <c r="S76" s="46">
        <f>Organización_Modular!I62</f>
        <v>1</v>
      </c>
      <c r="T76" s="90">
        <f t="shared" si="7"/>
        <v>1</v>
      </c>
      <c r="U76" s="46">
        <f t="shared" si="3"/>
        <v>0</v>
      </c>
      <c r="V76" s="46">
        <f t="shared" si="4"/>
        <v>32</v>
      </c>
      <c r="W76" s="90">
        <f t="shared" si="5"/>
        <v>32</v>
      </c>
      <c r="X76" s="95">
        <f t="shared" si="6"/>
        <v>32</v>
      </c>
    </row>
    <row r="77" spans="1:24" ht="18" hidden="1" customHeight="1" x14ac:dyDescent="0.2">
      <c r="A77" s="407"/>
      <c r="B77" s="314"/>
      <c r="C77" s="410"/>
      <c r="D77" s="409">
        <f>Organización_Modular!F63</f>
        <v>0</v>
      </c>
      <c r="E77" s="409"/>
      <c r="F77" s="46" t="str">
        <f>_xlfn.IFNA(IF(VLOOKUP($D77,Organización_Modular!$F$10:$G$195,2,FALSE)=F$23,Itinerario!T77," ")," ")</f>
        <v xml:space="preserve"> </v>
      </c>
      <c r="G77" s="46" t="str">
        <f>_xlfn.IFNA(IF(VLOOKUP($D77,Organización_Modular!$F$10:$G$195,2,FALSE)=G$23,Itinerario!W77," ")," ")</f>
        <v xml:space="preserve"> </v>
      </c>
      <c r="H77" s="46" t="str">
        <f>_xlfn.IFNA(IF(VLOOKUP($D77,Organización_Modular!$F$10:$G$195,2,FALSE)=H$23,Itinerario!T77," ")," ")</f>
        <v xml:space="preserve"> </v>
      </c>
      <c r="I77" s="46" t="str">
        <f>_xlfn.IFNA(IF(VLOOKUP($D77,Organización_Modular!$F$10:$G$195,2,FALSE)=I$23,Itinerario!W77," ")," ")</f>
        <v xml:space="preserve"> </v>
      </c>
      <c r="J77" s="46" t="str">
        <f>_xlfn.IFNA(IF(VLOOKUP($D77,Organización_Modular!$F$10:$G$195,2,FALSE)=J$23,Itinerario!T77," ")," ")</f>
        <v xml:space="preserve"> </v>
      </c>
      <c r="K77" s="46" t="str">
        <f>_xlfn.IFNA(IF(VLOOKUP($D77,Organización_Modular!$F$10:$G$195,2,FALSE)=K$23,Itinerario!W77," ")," ")</f>
        <v xml:space="preserve"> </v>
      </c>
      <c r="L77" s="46" t="str">
        <f>_xlfn.IFNA(IF(VLOOKUP($D77,Organización_Modular!$F$10:$G$195,2,FALSE)=L$23,Itinerario!T77," ")," ")</f>
        <v xml:space="preserve"> </v>
      </c>
      <c r="M77" s="46" t="str">
        <f>_xlfn.IFNA(IF(VLOOKUP($D77,Organización_Modular!$F$10:$G$195,2,FALSE)=M$23,Itinerario!W77," ")," ")</f>
        <v xml:space="preserve"> </v>
      </c>
      <c r="N77" s="46" t="str">
        <f>_xlfn.IFNA(IF(VLOOKUP($D77,Organización_Modular!$F$10:$G$195,2,FALSE)=N$23,Itinerario!T77," ")," ")</f>
        <v xml:space="preserve"> </v>
      </c>
      <c r="O77" s="46" t="str">
        <f>_xlfn.IFNA(IF(VLOOKUP($D77,Organización_Modular!$F$10:$G$195,2,FALSE)=O$23,Itinerario!W77," ")," ")</f>
        <v xml:space="preserve"> </v>
      </c>
      <c r="P77" s="46" t="str">
        <f>_xlfn.IFNA(IF(VLOOKUP($D77,Organización_Modular!$F$10:$G$195,2,FALSE)=P$23,Itinerario!T77," ")," ")</f>
        <v xml:space="preserve"> </v>
      </c>
      <c r="Q77" s="46" t="str">
        <f>_xlfn.IFNA(IF(VLOOKUP($D77,Organización_Modular!$F$10:$G$195,2,FALSE)=Q$23,Itinerario!W77," ")," ")</f>
        <v xml:space="preserve"> </v>
      </c>
      <c r="R77" s="46">
        <f>Organización_Modular!H63</f>
        <v>0</v>
      </c>
      <c r="S77" s="46">
        <f>Organización_Modular!I63</f>
        <v>0</v>
      </c>
      <c r="T77" s="90">
        <f t="shared" si="7"/>
        <v>0</v>
      </c>
      <c r="U77" s="46">
        <f t="shared" si="3"/>
        <v>0</v>
      </c>
      <c r="V77" s="46">
        <f t="shared" si="4"/>
        <v>0</v>
      </c>
      <c r="W77" s="90">
        <f t="shared" si="5"/>
        <v>0</v>
      </c>
      <c r="X77" s="95">
        <f t="shared" si="6"/>
        <v>0</v>
      </c>
    </row>
    <row r="78" spans="1:24" ht="18" hidden="1" customHeight="1" x14ac:dyDescent="0.2">
      <c r="A78" s="407"/>
      <c r="B78" s="314"/>
      <c r="C78" s="410"/>
      <c r="D78" s="409">
        <f>Organización_Modular!F64</f>
        <v>0</v>
      </c>
      <c r="E78" s="409"/>
      <c r="F78" s="46" t="str">
        <f>_xlfn.IFNA(IF(VLOOKUP($D78,Organización_Modular!$F$10:$G$195,2,FALSE)=F$23,Itinerario!T78," ")," ")</f>
        <v xml:space="preserve"> </v>
      </c>
      <c r="G78" s="46" t="str">
        <f>_xlfn.IFNA(IF(VLOOKUP($D78,Organización_Modular!$F$10:$G$195,2,FALSE)=G$23,Itinerario!W78," ")," ")</f>
        <v xml:space="preserve"> </v>
      </c>
      <c r="H78" s="46" t="str">
        <f>_xlfn.IFNA(IF(VLOOKUP($D78,Organización_Modular!$F$10:$G$195,2,FALSE)=H$23,Itinerario!T78," ")," ")</f>
        <v xml:space="preserve"> </v>
      </c>
      <c r="I78" s="46" t="str">
        <f>_xlfn.IFNA(IF(VLOOKUP($D78,Organización_Modular!$F$10:$G$195,2,FALSE)=I$23,Itinerario!W78," ")," ")</f>
        <v xml:space="preserve"> </v>
      </c>
      <c r="J78" s="46" t="str">
        <f>_xlfn.IFNA(IF(VLOOKUP($D78,Organización_Modular!$F$10:$G$195,2,FALSE)=J$23,Itinerario!T78," ")," ")</f>
        <v xml:space="preserve"> </v>
      </c>
      <c r="K78" s="46" t="str">
        <f>_xlfn.IFNA(IF(VLOOKUP($D78,Organización_Modular!$F$10:$G$195,2,FALSE)=K$23,Itinerario!W78," ")," ")</f>
        <v xml:space="preserve"> </v>
      </c>
      <c r="L78" s="46" t="str">
        <f>_xlfn.IFNA(IF(VLOOKUP($D78,Organización_Modular!$F$10:$G$195,2,FALSE)=L$23,Itinerario!T78," ")," ")</f>
        <v xml:space="preserve"> </v>
      </c>
      <c r="M78" s="46" t="str">
        <f>_xlfn.IFNA(IF(VLOOKUP($D78,Organización_Modular!$F$10:$G$195,2,FALSE)=M$23,Itinerario!W78," ")," ")</f>
        <v xml:space="preserve"> </v>
      </c>
      <c r="N78" s="46" t="str">
        <f>_xlfn.IFNA(IF(VLOOKUP($D78,Organización_Modular!$F$10:$G$195,2,FALSE)=N$23,Itinerario!T78," ")," ")</f>
        <v xml:space="preserve"> </v>
      </c>
      <c r="O78" s="46" t="str">
        <f>_xlfn.IFNA(IF(VLOOKUP($D78,Organización_Modular!$F$10:$G$195,2,FALSE)=O$23,Itinerario!W78," ")," ")</f>
        <v xml:space="preserve"> </v>
      </c>
      <c r="P78" s="46" t="str">
        <f>_xlfn.IFNA(IF(VLOOKUP($D78,Organización_Modular!$F$10:$G$195,2,FALSE)=P$23,Itinerario!T78," ")," ")</f>
        <v xml:space="preserve"> </v>
      </c>
      <c r="Q78" s="46" t="str">
        <f>_xlfn.IFNA(IF(VLOOKUP($D78,Organización_Modular!$F$10:$G$195,2,FALSE)=Q$23,Itinerario!W78," ")," ")</f>
        <v xml:space="preserve"> </v>
      </c>
      <c r="R78" s="46">
        <f>Organización_Modular!H64</f>
        <v>0</v>
      </c>
      <c r="S78" s="46">
        <f>Organización_Modular!I64</f>
        <v>0</v>
      </c>
      <c r="T78" s="90">
        <f t="shared" si="7"/>
        <v>0</v>
      </c>
      <c r="U78" s="46">
        <f t="shared" si="3"/>
        <v>0</v>
      </c>
      <c r="V78" s="46">
        <f t="shared" si="4"/>
        <v>0</v>
      </c>
      <c r="W78" s="90">
        <f t="shared" si="5"/>
        <v>0</v>
      </c>
      <c r="X78" s="95">
        <f t="shared" si="6"/>
        <v>0</v>
      </c>
    </row>
    <row r="79" spans="1:24" ht="18" hidden="1" customHeight="1" x14ac:dyDescent="0.2">
      <c r="A79" s="407"/>
      <c r="B79" s="314"/>
      <c r="C79" s="410"/>
      <c r="D79" s="409">
        <f>Organización_Modular!F65</f>
        <v>0</v>
      </c>
      <c r="E79" s="409"/>
      <c r="F79" s="46" t="str">
        <f>_xlfn.IFNA(IF(VLOOKUP($D79,Organización_Modular!$F$10:$G$195,2,FALSE)=F$23,Itinerario!T79," ")," ")</f>
        <v xml:space="preserve"> </v>
      </c>
      <c r="G79" s="46" t="str">
        <f>_xlfn.IFNA(IF(VLOOKUP($D79,Organización_Modular!$F$10:$G$195,2,FALSE)=G$23,Itinerario!W79," ")," ")</f>
        <v xml:space="preserve"> </v>
      </c>
      <c r="H79" s="46" t="str">
        <f>_xlfn.IFNA(IF(VLOOKUP($D79,Organización_Modular!$F$10:$G$195,2,FALSE)=H$23,Itinerario!T79," ")," ")</f>
        <v xml:space="preserve"> </v>
      </c>
      <c r="I79" s="46" t="str">
        <f>_xlfn.IFNA(IF(VLOOKUP($D79,Organización_Modular!$F$10:$G$195,2,FALSE)=I$23,Itinerario!W79," ")," ")</f>
        <v xml:space="preserve"> </v>
      </c>
      <c r="J79" s="46" t="str">
        <f>_xlfn.IFNA(IF(VLOOKUP($D79,Organización_Modular!$F$10:$G$195,2,FALSE)=J$23,Itinerario!T79," ")," ")</f>
        <v xml:space="preserve"> </v>
      </c>
      <c r="K79" s="46" t="str">
        <f>_xlfn.IFNA(IF(VLOOKUP($D79,Organización_Modular!$F$10:$G$195,2,FALSE)=K$23,Itinerario!W79," ")," ")</f>
        <v xml:space="preserve"> </v>
      </c>
      <c r="L79" s="46" t="str">
        <f>_xlfn.IFNA(IF(VLOOKUP($D79,Organización_Modular!$F$10:$G$195,2,FALSE)=L$23,Itinerario!T79," ")," ")</f>
        <v xml:space="preserve"> </v>
      </c>
      <c r="M79" s="46" t="str">
        <f>_xlfn.IFNA(IF(VLOOKUP($D79,Organización_Modular!$F$10:$G$195,2,FALSE)=M$23,Itinerario!W79," ")," ")</f>
        <v xml:space="preserve"> </v>
      </c>
      <c r="N79" s="46" t="str">
        <f>_xlfn.IFNA(IF(VLOOKUP($D79,Organización_Modular!$F$10:$G$195,2,FALSE)=N$23,Itinerario!T79," ")," ")</f>
        <v xml:space="preserve"> </v>
      </c>
      <c r="O79" s="46" t="str">
        <f>_xlfn.IFNA(IF(VLOOKUP($D79,Organización_Modular!$F$10:$G$195,2,FALSE)=O$23,Itinerario!W79," ")," ")</f>
        <v xml:space="preserve"> </v>
      </c>
      <c r="P79" s="46" t="str">
        <f>_xlfn.IFNA(IF(VLOOKUP($D79,Organización_Modular!$F$10:$G$195,2,FALSE)=P$23,Itinerario!T79," ")," ")</f>
        <v xml:space="preserve"> </v>
      </c>
      <c r="Q79" s="46" t="str">
        <f>_xlfn.IFNA(IF(VLOOKUP($D79,Organización_Modular!$F$10:$G$195,2,FALSE)=Q$23,Itinerario!W79," ")," ")</f>
        <v xml:space="preserve"> </v>
      </c>
      <c r="R79" s="46">
        <f>Organización_Modular!H65</f>
        <v>0</v>
      </c>
      <c r="S79" s="46">
        <f>Organización_Modular!I65</f>
        <v>0</v>
      </c>
      <c r="T79" s="90">
        <f t="shared" si="7"/>
        <v>0</v>
      </c>
      <c r="U79" s="46">
        <f t="shared" si="3"/>
        <v>0</v>
      </c>
      <c r="V79" s="46">
        <f t="shared" si="4"/>
        <v>0</v>
      </c>
      <c r="W79" s="90">
        <f t="shared" si="5"/>
        <v>0</v>
      </c>
      <c r="X79" s="95">
        <f t="shared" si="6"/>
        <v>0</v>
      </c>
    </row>
    <row r="80" spans="1:24" ht="18" hidden="1" customHeight="1" x14ac:dyDescent="0.2">
      <c r="A80" s="407"/>
      <c r="B80" s="314"/>
      <c r="C80" s="410"/>
      <c r="D80" s="409">
        <f>Organización_Modular!F66</f>
        <v>0</v>
      </c>
      <c r="E80" s="409"/>
      <c r="F80" s="46" t="str">
        <f>_xlfn.IFNA(IF(VLOOKUP($D80,Organización_Modular!$F$10:$G$195,2,FALSE)=F$23,Itinerario!T80," ")," ")</f>
        <v xml:space="preserve"> </v>
      </c>
      <c r="G80" s="46" t="str">
        <f>_xlfn.IFNA(IF(VLOOKUP($D80,Organización_Modular!$F$10:$G$195,2,FALSE)=G$23,Itinerario!W80," ")," ")</f>
        <v xml:space="preserve"> </v>
      </c>
      <c r="H80" s="46" t="str">
        <f>_xlfn.IFNA(IF(VLOOKUP($D80,Organización_Modular!$F$10:$G$195,2,FALSE)=H$23,Itinerario!T80," ")," ")</f>
        <v xml:space="preserve"> </v>
      </c>
      <c r="I80" s="46" t="str">
        <f>_xlfn.IFNA(IF(VLOOKUP($D80,Organización_Modular!$F$10:$G$195,2,FALSE)=I$23,Itinerario!W80," ")," ")</f>
        <v xml:space="preserve"> </v>
      </c>
      <c r="J80" s="46" t="str">
        <f>_xlfn.IFNA(IF(VLOOKUP($D80,Organización_Modular!$F$10:$G$195,2,FALSE)=J$23,Itinerario!T80," ")," ")</f>
        <v xml:space="preserve"> </v>
      </c>
      <c r="K80" s="46" t="str">
        <f>_xlfn.IFNA(IF(VLOOKUP($D80,Organización_Modular!$F$10:$G$195,2,FALSE)=K$23,Itinerario!W80," ")," ")</f>
        <v xml:space="preserve"> </v>
      </c>
      <c r="L80" s="46" t="str">
        <f>_xlfn.IFNA(IF(VLOOKUP($D80,Organización_Modular!$F$10:$G$195,2,FALSE)=L$23,Itinerario!T80," ")," ")</f>
        <v xml:space="preserve"> </v>
      </c>
      <c r="M80" s="46" t="str">
        <f>_xlfn.IFNA(IF(VLOOKUP($D80,Organización_Modular!$F$10:$G$195,2,FALSE)=M$23,Itinerario!W80," ")," ")</f>
        <v xml:space="preserve"> </v>
      </c>
      <c r="N80" s="46" t="str">
        <f>_xlfn.IFNA(IF(VLOOKUP($D80,Organización_Modular!$F$10:$G$195,2,FALSE)=N$23,Itinerario!T80," ")," ")</f>
        <v xml:space="preserve"> </v>
      </c>
      <c r="O80" s="46" t="str">
        <f>_xlfn.IFNA(IF(VLOOKUP($D80,Organización_Modular!$F$10:$G$195,2,FALSE)=O$23,Itinerario!W80," ")," ")</f>
        <v xml:space="preserve"> </v>
      </c>
      <c r="P80" s="46" t="str">
        <f>_xlfn.IFNA(IF(VLOOKUP($D80,Organización_Modular!$F$10:$G$195,2,FALSE)=P$23,Itinerario!T80," ")," ")</f>
        <v xml:space="preserve"> </v>
      </c>
      <c r="Q80" s="46" t="str">
        <f>_xlfn.IFNA(IF(VLOOKUP($D80,Organización_Modular!$F$10:$G$195,2,FALSE)=Q$23,Itinerario!W80," ")," ")</f>
        <v xml:space="preserve"> </v>
      </c>
      <c r="R80" s="46">
        <f>Organización_Modular!H66</f>
        <v>0</v>
      </c>
      <c r="S80" s="46">
        <f>Organización_Modular!I66</f>
        <v>0</v>
      </c>
      <c r="T80" s="90">
        <f t="shared" si="7"/>
        <v>0</v>
      </c>
      <c r="U80" s="46">
        <f t="shared" si="3"/>
        <v>0</v>
      </c>
      <c r="V80" s="46">
        <f t="shared" si="4"/>
        <v>0</v>
      </c>
      <c r="W80" s="90">
        <f t="shared" si="5"/>
        <v>0</v>
      </c>
      <c r="X80" s="95">
        <f t="shared" si="6"/>
        <v>0</v>
      </c>
    </row>
    <row r="81" spans="1:24" ht="18" hidden="1" customHeight="1" x14ac:dyDescent="0.2">
      <c r="A81" s="407"/>
      <c r="B81" s="314"/>
      <c r="C81" s="410"/>
      <c r="D81" s="409">
        <f>Organización_Modular!F67</f>
        <v>0</v>
      </c>
      <c r="E81" s="409"/>
      <c r="F81" s="46" t="str">
        <f>_xlfn.IFNA(IF(VLOOKUP($D81,Organización_Modular!$F$10:$G$195,2,FALSE)=F$23,Itinerario!T81," ")," ")</f>
        <v xml:space="preserve"> </v>
      </c>
      <c r="G81" s="46" t="str">
        <f>_xlfn.IFNA(IF(VLOOKUP($D81,Organización_Modular!$F$10:$G$195,2,FALSE)=G$23,Itinerario!W81," ")," ")</f>
        <v xml:space="preserve"> </v>
      </c>
      <c r="H81" s="46" t="str">
        <f>_xlfn.IFNA(IF(VLOOKUP($D81,Organización_Modular!$F$10:$G$195,2,FALSE)=H$23,Itinerario!T81," ")," ")</f>
        <v xml:space="preserve"> </v>
      </c>
      <c r="I81" s="46" t="str">
        <f>_xlfn.IFNA(IF(VLOOKUP($D81,Organización_Modular!$F$10:$G$195,2,FALSE)=I$23,Itinerario!W81," ")," ")</f>
        <v xml:space="preserve"> </v>
      </c>
      <c r="J81" s="46" t="str">
        <f>_xlfn.IFNA(IF(VLOOKUP($D81,Organización_Modular!$F$10:$G$195,2,FALSE)=J$23,Itinerario!T81," ")," ")</f>
        <v xml:space="preserve"> </v>
      </c>
      <c r="K81" s="46" t="str">
        <f>_xlfn.IFNA(IF(VLOOKUP($D81,Organización_Modular!$F$10:$G$195,2,FALSE)=K$23,Itinerario!W81," ")," ")</f>
        <v xml:space="preserve"> </v>
      </c>
      <c r="L81" s="46" t="str">
        <f>_xlfn.IFNA(IF(VLOOKUP($D81,Organización_Modular!$F$10:$G$195,2,FALSE)=L$23,Itinerario!T81," ")," ")</f>
        <v xml:space="preserve"> </v>
      </c>
      <c r="M81" s="46" t="str">
        <f>_xlfn.IFNA(IF(VLOOKUP($D81,Organización_Modular!$F$10:$G$195,2,FALSE)=M$23,Itinerario!W81," ")," ")</f>
        <v xml:space="preserve"> </v>
      </c>
      <c r="N81" s="46" t="str">
        <f>_xlfn.IFNA(IF(VLOOKUP($D81,Organización_Modular!$F$10:$G$195,2,FALSE)=N$23,Itinerario!T81," ")," ")</f>
        <v xml:space="preserve"> </v>
      </c>
      <c r="O81" s="46" t="str">
        <f>_xlfn.IFNA(IF(VLOOKUP($D81,Organización_Modular!$F$10:$G$195,2,FALSE)=O$23,Itinerario!W81," ")," ")</f>
        <v xml:space="preserve"> </v>
      </c>
      <c r="P81" s="46" t="str">
        <f>_xlfn.IFNA(IF(VLOOKUP($D81,Organización_Modular!$F$10:$G$195,2,FALSE)=P$23,Itinerario!T81," ")," ")</f>
        <v xml:space="preserve"> </v>
      </c>
      <c r="Q81" s="46" t="str">
        <f>_xlfn.IFNA(IF(VLOOKUP($D81,Organización_Modular!$F$10:$G$195,2,FALSE)=Q$23,Itinerario!W81," ")," ")</f>
        <v xml:space="preserve"> </v>
      </c>
      <c r="R81" s="46">
        <f>Organización_Modular!H67</f>
        <v>0</v>
      </c>
      <c r="S81" s="46">
        <f>Organización_Modular!I67</f>
        <v>0</v>
      </c>
      <c r="T81" s="90">
        <f t="shared" si="7"/>
        <v>0</v>
      </c>
      <c r="U81" s="46">
        <f t="shared" si="3"/>
        <v>0</v>
      </c>
      <c r="V81" s="46">
        <f t="shared" si="4"/>
        <v>0</v>
      </c>
      <c r="W81" s="90">
        <f t="shared" si="5"/>
        <v>0</v>
      </c>
      <c r="X81" s="95">
        <f t="shared" si="6"/>
        <v>0</v>
      </c>
    </row>
    <row r="82" spans="1:24" ht="18" hidden="1" customHeight="1" x14ac:dyDescent="0.2">
      <c r="A82" s="407"/>
      <c r="B82" s="314"/>
      <c r="C82" s="410"/>
      <c r="D82" s="409">
        <f>Organización_Modular!F68</f>
        <v>0</v>
      </c>
      <c r="E82" s="409"/>
      <c r="F82" s="46" t="str">
        <f>_xlfn.IFNA(IF(VLOOKUP($D82,Organización_Modular!$F$10:$G$195,2,FALSE)=F$23,Itinerario!T82," ")," ")</f>
        <v xml:space="preserve"> </v>
      </c>
      <c r="G82" s="46" t="str">
        <f>_xlfn.IFNA(IF(VLOOKUP($D82,Organización_Modular!$F$10:$G$195,2,FALSE)=G$23,Itinerario!W82," ")," ")</f>
        <v xml:space="preserve"> </v>
      </c>
      <c r="H82" s="46" t="str">
        <f>_xlfn.IFNA(IF(VLOOKUP($D82,Organización_Modular!$F$10:$G$195,2,FALSE)=H$23,Itinerario!T82," ")," ")</f>
        <v xml:space="preserve"> </v>
      </c>
      <c r="I82" s="46" t="str">
        <f>_xlfn.IFNA(IF(VLOOKUP($D82,Organización_Modular!$F$10:$G$195,2,FALSE)=I$23,Itinerario!W82," ")," ")</f>
        <v xml:space="preserve"> </v>
      </c>
      <c r="J82" s="46" t="str">
        <f>_xlfn.IFNA(IF(VLOOKUP($D82,Organización_Modular!$F$10:$G$195,2,FALSE)=J$23,Itinerario!T82," ")," ")</f>
        <v xml:space="preserve"> </v>
      </c>
      <c r="K82" s="46" t="str">
        <f>_xlfn.IFNA(IF(VLOOKUP($D82,Organización_Modular!$F$10:$G$195,2,FALSE)=K$23,Itinerario!W82," ")," ")</f>
        <v xml:space="preserve"> </v>
      </c>
      <c r="L82" s="46" t="str">
        <f>_xlfn.IFNA(IF(VLOOKUP($D82,Organización_Modular!$F$10:$G$195,2,FALSE)=L$23,Itinerario!T82," ")," ")</f>
        <v xml:space="preserve"> </v>
      </c>
      <c r="M82" s="46" t="str">
        <f>_xlfn.IFNA(IF(VLOOKUP($D82,Organización_Modular!$F$10:$G$195,2,FALSE)=M$23,Itinerario!W82," ")," ")</f>
        <v xml:space="preserve"> </v>
      </c>
      <c r="N82" s="46" t="str">
        <f>_xlfn.IFNA(IF(VLOOKUP($D82,Organización_Modular!$F$10:$G$195,2,FALSE)=N$23,Itinerario!T82," ")," ")</f>
        <v xml:space="preserve"> </v>
      </c>
      <c r="O82" s="46" t="str">
        <f>_xlfn.IFNA(IF(VLOOKUP($D82,Organización_Modular!$F$10:$G$195,2,FALSE)=O$23,Itinerario!W82," ")," ")</f>
        <v xml:space="preserve"> </v>
      </c>
      <c r="P82" s="46" t="str">
        <f>_xlfn.IFNA(IF(VLOOKUP($D82,Organización_Modular!$F$10:$G$195,2,FALSE)=P$23,Itinerario!T82," ")," ")</f>
        <v xml:space="preserve"> </v>
      </c>
      <c r="Q82" s="46" t="str">
        <f>_xlfn.IFNA(IF(VLOOKUP($D82,Organización_Modular!$F$10:$G$195,2,FALSE)=Q$23,Itinerario!W82," ")," ")</f>
        <v xml:space="preserve"> </v>
      </c>
      <c r="R82" s="46">
        <f>Organización_Modular!H68</f>
        <v>0</v>
      </c>
      <c r="S82" s="46">
        <f>Organización_Modular!I68</f>
        <v>0</v>
      </c>
      <c r="T82" s="90">
        <f t="shared" si="7"/>
        <v>0</v>
      </c>
      <c r="U82" s="46">
        <f t="shared" si="3"/>
        <v>0</v>
      </c>
      <c r="V82" s="46">
        <f t="shared" si="4"/>
        <v>0</v>
      </c>
      <c r="W82" s="90">
        <f t="shared" si="5"/>
        <v>0</v>
      </c>
      <c r="X82" s="95">
        <f t="shared" si="6"/>
        <v>0</v>
      </c>
    </row>
    <row r="83" spans="1:24" ht="18" hidden="1" customHeight="1" x14ac:dyDescent="0.2">
      <c r="A83" s="407"/>
      <c r="B83" s="314"/>
      <c r="C83" s="410"/>
      <c r="D83" s="409">
        <f>Organización_Modular!F69</f>
        <v>0</v>
      </c>
      <c r="E83" s="409"/>
      <c r="F83" s="46" t="str">
        <f>_xlfn.IFNA(IF(VLOOKUP($D83,Organización_Modular!$F$10:$G$195,2,FALSE)=F$23,Itinerario!T83," ")," ")</f>
        <v xml:space="preserve"> </v>
      </c>
      <c r="G83" s="46" t="str">
        <f>_xlfn.IFNA(IF(VLOOKUP($D83,Organización_Modular!$F$10:$G$195,2,FALSE)=G$23,Itinerario!W83," ")," ")</f>
        <v xml:space="preserve"> </v>
      </c>
      <c r="H83" s="46" t="str">
        <f>_xlfn.IFNA(IF(VLOOKUP($D83,Organización_Modular!$F$10:$G$195,2,FALSE)=H$23,Itinerario!T83," ")," ")</f>
        <v xml:space="preserve"> </v>
      </c>
      <c r="I83" s="46" t="str">
        <f>_xlfn.IFNA(IF(VLOOKUP($D83,Organización_Modular!$F$10:$G$195,2,FALSE)=I$23,Itinerario!W83," ")," ")</f>
        <v xml:space="preserve"> </v>
      </c>
      <c r="J83" s="46" t="str">
        <f>_xlfn.IFNA(IF(VLOOKUP($D83,Organización_Modular!$F$10:$G$195,2,FALSE)=J$23,Itinerario!T83," ")," ")</f>
        <v xml:space="preserve"> </v>
      </c>
      <c r="K83" s="46" t="str">
        <f>_xlfn.IFNA(IF(VLOOKUP($D83,Organización_Modular!$F$10:$G$195,2,FALSE)=K$23,Itinerario!W83," ")," ")</f>
        <v xml:space="preserve"> </v>
      </c>
      <c r="L83" s="46" t="str">
        <f>_xlfn.IFNA(IF(VLOOKUP($D83,Organización_Modular!$F$10:$G$195,2,FALSE)=L$23,Itinerario!T83," ")," ")</f>
        <v xml:space="preserve"> </v>
      </c>
      <c r="M83" s="46" t="str">
        <f>_xlfn.IFNA(IF(VLOOKUP($D83,Organización_Modular!$F$10:$G$195,2,FALSE)=M$23,Itinerario!W83," ")," ")</f>
        <v xml:space="preserve"> </v>
      </c>
      <c r="N83" s="46" t="str">
        <f>_xlfn.IFNA(IF(VLOOKUP($D83,Organización_Modular!$F$10:$G$195,2,FALSE)=N$23,Itinerario!T83," ")," ")</f>
        <v xml:space="preserve"> </v>
      </c>
      <c r="O83" s="46" t="str">
        <f>_xlfn.IFNA(IF(VLOOKUP($D83,Organización_Modular!$F$10:$G$195,2,FALSE)=O$23,Itinerario!W83," ")," ")</f>
        <v xml:space="preserve"> </v>
      </c>
      <c r="P83" s="46" t="str">
        <f>_xlfn.IFNA(IF(VLOOKUP($D83,Organización_Modular!$F$10:$G$195,2,FALSE)=P$23,Itinerario!T83," ")," ")</f>
        <v xml:space="preserve"> </v>
      </c>
      <c r="Q83" s="46" t="str">
        <f>_xlfn.IFNA(IF(VLOOKUP($D83,Organización_Modular!$F$10:$G$195,2,FALSE)=Q$23,Itinerario!W83," ")," ")</f>
        <v xml:space="preserve"> </v>
      </c>
      <c r="R83" s="46">
        <f>Organización_Modular!H69</f>
        <v>0</v>
      </c>
      <c r="S83" s="46">
        <f>Organización_Modular!I69</f>
        <v>0</v>
      </c>
      <c r="T83" s="90">
        <f t="shared" si="7"/>
        <v>0</v>
      </c>
      <c r="U83" s="46">
        <f t="shared" si="3"/>
        <v>0</v>
      </c>
      <c r="V83" s="46">
        <f t="shared" si="4"/>
        <v>0</v>
      </c>
      <c r="W83" s="90">
        <f t="shared" si="5"/>
        <v>0</v>
      </c>
      <c r="X83" s="95">
        <f t="shared" si="6"/>
        <v>0</v>
      </c>
    </row>
    <row r="84" spans="1:24" ht="18" hidden="1" customHeight="1" x14ac:dyDescent="0.2">
      <c r="A84" s="407"/>
      <c r="B84" s="314"/>
      <c r="C84" s="410"/>
      <c r="D84" s="409">
        <f>Organización_Modular!F70</f>
        <v>0</v>
      </c>
      <c r="E84" s="409"/>
      <c r="F84" s="46" t="str">
        <f>_xlfn.IFNA(IF(VLOOKUP($D84,Organización_Modular!$F$10:$G$195,2,FALSE)=F$23,Itinerario!T84," ")," ")</f>
        <v xml:space="preserve"> </v>
      </c>
      <c r="G84" s="46" t="str">
        <f>_xlfn.IFNA(IF(VLOOKUP($D84,Organización_Modular!$F$10:$G$195,2,FALSE)=G$23,Itinerario!W84," ")," ")</f>
        <v xml:space="preserve"> </v>
      </c>
      <c r="H84" s="46" t="str">
        <f>_xlfn.IFNA(IF(VLOOKUP($D84,Organización_Modular!$F$10:$G$195,2,FALSE)=H$23,Itinerario!T84," ")," ")</f>
        <v xml:space="preserve"> </v>
      </c>
      <c r="I84" s="46" t="str">
        <f>_xlfn.IFNA(IF(VLOOKUP($D84,Organización_Modular!$F$10:$G$195,2,FALSE)=I$23,Itinerario!W84," ")," ")</f>
        <v xml:space="preserve"> </v>
      </c>
      <c r="J84" s="46" t="str">
        <f>_xlfn.IFNA(IF(VLOOKUP($D84,Organización_Modular!$F$10:$G$195,2,FALSE)=J$23,Itinerario!T84," ")," ")</f>
        <v xml:space="preserve"> </v>
      </c>
      <c r="K84" s="46" t="str">
        <f>_xlfn.IFNA(IF(VLOOKUP($D84,Organización_Modular!$F$10:$G$195,2,FALSE)=K$23,Itinerario!W84," ")," ")</f>
        <v xml:space="preserve"> </v>
      </c>
      <c r="L84" s="46" t="str">
        <f>_xlfn.IFNA(IF(VLOOKUP($D84,Organización_Modular!$F$10:$G$195,2,FALSE)=L$23,Itinerario!T84," ")," ")</f>
        <v xml:space="preserve"> </v>
      </c>
      <c r="M84" s="46" t="str">
        <f>_xlfn.IFNA(IF(VLOOKUP($D84,Organización_Modular!$F$10:$G$195,2,FALSE)=M$23,Itinerario!W84," ")," ")</f>
        <v xml:space="preserve"> </v>
      </c>
      <c r="N84" s="46" t="str">
        <f>_xlfn.IFNA(IF(VLOOKUP($D84,Organización_Modular!$F$10:$G$195,2,FALSE)=N$23,Itinerario!T84," ")," ")</f>
        <v xml:space="preserve"> </v>
      </c>
      <c r="O84" s="46" t="str">
        <f>_xlfn.IFNA(IF(VLOOKUP($D84,Organización_Modular!$F$10:$G$195,2,FALSE)=O$23,Itinerario!W84," ")," ")</f>
        <v xml:space="preserve"> </v>
      </c>
      <c r="P84" s="46" t="str">
        <f>_xlfn.IFNA(IF(VLOOKUP($D84,Organización_Modular!$F$10:$G$195,2,FALSE)=P$23,Itinerario!T84," ")," ")</f>
        <v xml:space="preserve"> </v>
      </c>
      <c r="Q84" s="46" t="str">
        <f>_xlfn.IFNA(IF(VLOOKUP($D84,Organización_Modular!$F$10:$G$195,2,FALSE)=Q$23,Itinerario!W84," ")," ")</f>
        <v xml:space="preserve"> </v>
      </c>
      <c r="R84" s="46">
        <f>Organización_Modular!H70</f>
        <v>0</v>
      </c>
      <c r="S84" s="46">
        <f>Organización_Modular!I70</f>
        <v>0</v>
      </c>
      <c r="T84" s="90">
        <f t="shared" si="7"/>
        <v>0</v>
      </c>
      <c r="U84" s="46">
        <f t="shared" si="3"/>
        <v>0</v>
      </c>
      <c r="V84" s="46">
        <f t="shared" si="4"/>
        <v>0</v>
      </c>
      <c r="W84" s="90">
        <f t="shared" si="5"/>
        <v>0</v>
      </c>
      <c r="X84" s="95">
        <f t="shared" si="6"/>
        <v>0</v>
      </c>
    </row>
    <row r="85" spans="1:24" ht="28.5" customHeight="1" x14ac:dyDescent="0.2">
      <c r="A85" s="407"/>
      <c r="B85" s="429" t="str">
        <f>B54</f>
        <v>Experiencias formativas en situaciones reales de trabajo (ESRT)</v>
      </c>
      <c r="C85" s="430"/>
      <c r="D85" s="430"/>
      <c r="E85" s="430"/>
      <c r="F85" s="176"/>
      <c r="G85" s="176"/>
      <c r="H85" s="176"/>
      <c r="I85" s="176"/>
      <c r="J85" s="176"/>
      <c r="K85" s="176"/>
      <c r="L85" s="176"/>
      <c r="M85" s="176"/>
      <c r="N85" s="176"/>
      <c r="O85" s="176"/>
      <c r="P85" s="176"/>
      <c r="Q85" s="176"/>
      <c r="R85" s="179">
        <f>Organización_Modular!H71</f>
        <v>0</v>
      </c>
      <c r="S85" s="177">
        <f>Organización_Modular!I71</f>
        <v>4</v>
      </c>
      <c r="T85" s="178">
        <f t="shared" si="7"/>
        <v>4</v>
      </c>
      <c r="U85" s="177">
        <f t="shared" si="3"/>
        <v>0</v>
      </c>
      <c r="V85" s="177">
        <f t="shared" si="4"/>
        <v>128</v>
      </c>
      <c r="W85" s="178">
        <f t="shared" si="5"/>
        <v>128</v>
      </c>
      <c r="X85" s="95">
        <f t="shared" si="6"/>
        <v>128</v>
      </c>
    </row>
    <row r="86" spans="1:24" ht="18" customHeight="1" x14ac:dyDescent="0.2">
      <c r="A86" s="407" t="str">
        <f>Organización_Modular!A72</f>
        <v>MÓDULO 3: CONEXIÓN Y DISEÑO DE REDES</v>
      </c>
      <c r="B86" s="313" t="str">
        <f>B24</f>
        <v>Competencias técnicas (Unidad de competencia)</v>
      </c>
      <c r="C86" s="410" t="str">
        <f>Organización_Modular!C72</f>
        <v>UC3: Realizar puesta en producción de sistemas de información o servicios de TI, de acuerdo a la planificación efectuada</v>
      </c>
      <c r="D86" s="409" t="str">
        <f>Organización_Modular!F72</f>
        <v xml:space="preserve">Desarrollo de prubas unitarias </v>
      </c>
      <c r="E86" s="409"/>
      <c r="F86" s="46" t="str">
        <f>_xlfn.IFNA(IF(VLOOKUP($D86,Organización_Modular!$F$10:$G$195,2,FALSE)=F$23,Itinerario!T86," ")," ")</f>
        <v xml:space="preserve"> </v>
      </c>
      <c r="G86" s="46" t="str">
        <f>_xlfn.IFNA(IF(VLOOKUP($D86,Organización_Modular!$F$10:$G$195,2,FALSE)=G$23,Itinerario!W86," ")," ")</f>
        <v xml:space="preserve"> </v>
      </c>
      <c r="H86" s="46" t="str">
        <f>_xlfn.IFNA(IF(VLOOKUP($D86,Organización_Modular!$F$10:$G$195,2,FALSE)=H$23,Itinerario!T86," ")," ")</f>
        <v xml:space="preserve"> </v>
      </c>
      <c r="I86" s="46" t="str">
        <f>_xlfn.IFNA(IF(VLOOKUP($D86,Organización_Modular!$F$10:$G$195,2,FALSE)=I$23,Itinerario!W86," ")," ")</f>
        <v xml:space="preserve"> </v>
      </c>
      <c r="J86" s="46">
        <f>_xlfn.IFNA(IF(VLOOKUP($D86,Organización_Modular!$F$10:$G$195,2,FALSE)=J$23,Itinerario!T86," ")," ")</f>
        <v>5</v>
      </c>
      <c r="K86" s="46">
        <f>_xlfn.IFNA(IF(VLOOKUP($D86,Organización_Modular!$F$10:$G$195,2,FALSE)=K$23,Itinerario!W86," ")," ")</f>
        <v>128</v>
      </c>
      <c r="L86" s="46" t="str">
        <f>_xlfn.IFNA(IF(VLOOKUP($D86,Organización_Modular!$F$10:$G$195,2,FALSE)=L$23,Itinerario!T86," ")," ")</f>
        <v xml:space="preserve"> </v>
      </c>
      <c r="M86" s="46" t="str">
        <f>_xlfn.IFNA(IF(VLOOKUP($D86,Organización_Modular!$F$10:$G$195,2,FALSE)=M$23,Itinerario!W86," ")," ")</f>
        <v xml:space="preserve"> </v>
      </c>
      <c r="N86" s="46" t="str">
        <f>_xlfn.IFNA(IF(VLOOKUP($D86,Organización_Modular!$F$10:$G$195,2,FALSE)=N$23,Itinerario!T86," ")," ")</f>
        <v xml:space="preserve"> </v>
      </c>
      <c r="O86" s="46" t="str">
        <f>_xlfn.IFNA(IF(VLOOKUP($D86,Organización_Modular!$F$10:$G$195,2,FALSE)=O$23,Itinerario!W86," ")," ")</f>
        <v xml:space="preserve"> </v>
      </c>
      <c r="P86" s="46" t="str">
        <f>_xlfn.IFNA(IF(VLOOKUP($D86,Organización_Modular!$F$10:$G$195,2,FALSE)=P$23,Itinerario!T86," ")," ")</f>
        <v xml:space="preserve"> </v>
      </c>
      <c r="Q86" s="46" t="str">
        <f>_xlfn.IFNA(IF(VLOOKUP($D86,Organización_Modular!$F$10:$G$195,2,FALSE)=Q$23,Itinerario!W86," ")," ")</f>
        <v xml:space="preserve"> </v>
      </c>
      <c r="R86" s="46">
        <f>Organización_Modular!H72</f>
        <v>2</v>
      </c>
      <c r="S86" s="46">
        <f>Organización_Modular!I72</f>
        <v>3</v>
      </c>
      <c r="T86" s="90">
        <f>SUM(R86:S86)</f>
        <v>5</v>
      </c>
      <c r="U86" s="46">
        <f t="shared" si="3"/>
        <v>32</v>
      </c>
      <c r="V86" s="46">
        <f t="shared" si="4"/>
        <v>96</v>
      </c>
      <c r="W86" s="90">
        <f t="shared" si="5"/>
        <v>128</v>
      </c>
      <c r="X86" s="95">
        <f t="shared" si="6"/>
        <v>128</v>
      </c>
    </row>
    <row r="87" spans="1:24" ht="30.75" customHeight="1" x14ac:dyDescent="0.2">
      <c r="A87" s="407"/>
      <c r="B87" s="313"/>
      <c r="C87" s="410"/>
      <c r="D87" s="411" t="str">
        <f>Organización_Modular!F73</f>
        <v>Implementación de sistemas de información y servicios de TI</v>
      </c>
      <c r="E87" s="411"/>
      <c r="F87" s="46" t="str">
        <f>_xlfn.IFNA(IF(VLOOKUP($D87,Organización_Modular!$F$10:$G$195,2,FALSE)=F$23,Itinerario!T87," ")," ")</f>
        <v xml:space="preserve"> </v>
      </c>
      <c r="G87" s="46" t="str">
        <f>_xlfn.IFNA(IF(VLOOKUP($D87,Organización_Modular!$F$10:$G$195,2,FALSE)=G$23,Itinerario!W87," ")," ")</f>
        <v xml:space="preserve"> </v>
      </c>
      <c r="H87" s="46" t="str">
        <f>_xlfn.IFNA(IF(VLOOKUP($D87,Organización_Modular!$F$10:$G$195,2,FALSE)=H$23,Itinerario!T87," ")," ")</f>
        <v xml:space="preserve"> </v>
      </c>
      <c r="I87" s="46" t="str">
        <f>_xlfn.IFNA(IF(VLOOKUP($D87,Organización_Modular!$F$10:$G$195,2,FALSE)=I$23,Itinerario!W87," ")," ")</f>
        <v xml:space="preserve"> </v>
      </c>
      <c r="J87" s="46">
        <f>_xlfn.IFNA(IF(VLOOKUP($D87,Organización_Modular!$F$10:$G$195,2,FALSE)=J$23,Itinerario!T87," ")," ")</f>
        <v>4</v>
      </c>
      <c r="K87" s="46">
        <f>_xlfn.IFNA(IF(VLOOKUP($D87,Organización_Modular!$F$10:$G$195,2,FALSE)=K$23,Itinerario!W87," ")," ")</f>
        <v>96</v>
      </c>
      <c r="L87" s="46" t="str">
        <f>_xlfn.IFNA(IF(VLOOKUP($D87,Organización_Modular!$F$10:$G$195,2,FALSE)=L$23,Itinerario!T87," ")," ")</f>
        <v xml:space="preserve"> </v>
      </c>
      <c r="M87" s="46" t="str">
        <f>_xlfn.IFNA(IF(VLOOKUP($D87,Organización_Modular!$F$10:$G$195,2,FALSE)=M$23,Itinerario!W87," ")," ")</f>
        <v xml:space="preserve"> </v>
      </c>
      <c r="N87" s="46" t="str">
        <f>_xlfn.IFNA(IF(VLOOKUP($D87,Organización_Modular!$F$10:$G$195,2,FALSE)=N$23,Itinerario!T87," ")," ")</f>
        <v xml:space="preserve"> </v>
      </c>
      <c r="O87" s="46" t="str">
        <f>_xlfn.IFNA(IF(VLOOKUP($D87,Organización_Modular!$F$10:$G$195,2,FALSE)=O$23,Itinerario!W87," ")," ")</f>
        <v xml:space="preserve"> </v>
      </c>
      <c r="P87" s="46" t="str">
        <f>_xlfn.IFNA(IF(VLOOKUP($D87,Organización_Modular!$F$10:$G$195,2,FALSE)=P$23,Itinerario!T87," ")," ")</f>
        <v xml:space="preserve"> </v>
      </c>
      <c r="Q87" s="46" t="str">
        <f>_xlfn.IFNA(IF(VLOOKUP($D87,Organización_Modular!$F$10:$G$195,2,FALSE)=Q$23,Itinerario!W87," ")," ")</f>
        <v xml:space="preserve"> </v>
      </c>
      <c r="R87" s="46">
        <f>Organización_Modular!H73</f>
        <v>2</v>
      </c>
      <c r="S87" s="46">
        <f>Organización_Modular!I73</f>
        <v>2</v>
      </c>
      <c r="T87" s="90">
        <f t="shared" ref="T87:T116" si="8">SUM(R87:S87)</f>
        <v>4</v>
      </c>
      <c r="U87" s="46">
        <f t="shared" si="3"/>
        <v>32</v>
      </c>
      <c r="V87" s="46">
        <f t="shared" si="4"/>
        <v>64</v>
      </c>
      <c r="W87" s="90">
        <f t="shared" si="5"/>
        <v>96</v>
      </c>
      <c r="X87" s="95">
        <f t="shared" si="6"/>
        <v>96</v>
      </c>
    </row>
    <row r="88" spans="1:24" ht="27.75" customHeight="1" x14ac:dyDescent="0.2">
      <c r="A88" s="407"/>
      <c r="B88" s="313"/>
      <c r="C88" s="410"/>
      <c r="D88" s="411" t="str">
        <f>Organización_Modular!F74</f>
        <v>Acciones correctivas de sistemas de información y servicios de TI</v>
      </c>
      <c r="E88" s="411"/>
      <c r="F88" s="46" t="str">
        <f>_xlfn.IFNA(IF(VLOOKUP($D88,Organización_Modular!$F$10:$G$195,2,FALSE)=F$23,Itinerario!T88," ")," ")</f>
        <v xml:space="preserve"> </v>
      </c>
      <c r="G88" s="46" t="str">
        <f>_xlfn.IFNA(IF(VLOOKUP($D88,Organización_Modular!$F$10:$G$195,2,FALSE)=G$23,Itinerario!W88," ")," ")</f>
        <v xml:space="preserve"> </v>
      </c>
      <c r="H88" s="46" t="str">
        <f>_xlfn.IFNA(IF(VLOOKUP($D88,Organización_Modular!$F$10:$G$195,2,FALSE)=H$23,Itinerario!T88," ")," ")</f>
        <v xml:space="preserve"> </v>
      </c>
      <c r="I88" s="46" t="str">
        <f>_xlfn.IFNA(IF(VLOOKUP($D88,Organización_Modular!$F$10:$G$195,2,FALSE)=I$23,Itinerario!W88," ")," ")</f>
        <v xml:space="preserve"> </v>
      </c>
      <c r="J88" s="46">
        <f>_xlfn.IFNA(IF(VLOOKUP($D88,Organización_Modular!$F$10:$G$195,2,FALSE)=J$23,Itinerario!T88," ")," ")</f>
        <v>5</v>
      </c>
      <c r="K88" s="46">
        <f>_xlfn.IFNA(IF(VLOOKUP($D88,Organización_Modular!$F$10:$G$195,2,FALSE)=K$23,Itinerario!W88," ")," ")</f>
        <v>128</v>
      </c>
      <c r="L88" s="46" t="str">
        <f>_xlfn.IFNA(IF(VLOOKUP($D88,Organización_Modular!$F$10:$G$195,2,FALSE)=L$23,Itinerario!T88," ")," ")</f>
        <v xml:space="preserve"> </v>
      </c>
      <c r="M88" s="46" t="str">
        <f>_xlfn.IFNA(IF(VLOOKUP($D88,Organización_Modular!$F$10:$G$195,2,FALSE)=M$23,Itinerario!W88," ")," ")</f>
        <v xml:space="preserve"> </v>
      </c>
      <c r="N88" s="46" t="str">
        <f>_xlfn.IFNA(IF(VLOOKUP($D88,Organización_Modular!$F$10:$G$195,2,FALSE)=N$23,Itinerario!T88," ")," ")</f>
        <v xml:space="preserve"> </v>
      </c>
      <c r="O88" s="46" t="str">
        <f>_xlfn.IFNA(IF(VLOOKUP($D88,Organización_Modular!$F$10:$G$195,2,FALSE)=O$23,Itinerario!W88," ")," ")</f>
        <v xml:space="preserve"> </v>
      </c>
      <c r="P88" s="46" t="str">
        <f>_xlfn.IFNA(IF(VLOOKUP($D88,Organización_Modular!$F$10:$G$195,2,FALSE)=P$23,Itinerario!T88," ")," ")</f>
        <v xml:space="preserve"> </v>
      </c>
      <c r="Q88" s="46" t="str">
        <f>_xlfn.IFNA(IF(VLOOKUP($D88,Organización_Modular!$F$10:$G$195,2,FALSE)=Q$23,Itinerario!W88," ")," ")</f>
        <v xml:space="preserve"> </v>
      </c>
      <c r="R88" s="46">
        <f>Organización_Modular!H74</f>
        <v>2</v>
      </c>
      <c r="S88" s="46">
        <f>Organización_Modular!I74</f>
        <v>3</v>
      </c>
      <c r="T88" s="90">
        <f t="shared" si="8"/>
        <v>5</v>
      </c>
      <c r="U88" s="46">
        <f t="shared" si="3"/>
        <v>32</v>
      </c>
      <c r="V88" s="46">
        <f t="shared" si="4"/>
        <v>96</v>
      </c>
      <c r="W88" s="90">
        <f t="shared" si="5"/>
        <v>128</v>
      </c>
      <c r="X88" s="95">
        <f t="shared" si="6"/>
        <v>128</v>
      </c>
    </row>
    <row r="89" spans="1:24" ht="18" hidden="1" customHeight="1" x14ac:dyDescent="0.2">
      <c r="A89" s="407"/>
      <c r="B89" s="313"/>
      <c r="C89" s="410"/>
      <c r="D89" s="409">
        <f>Organización_Modular!F75</f>
        <v>0</v>
      </c>
      <c r="E89" s="409"/>
      <c r="F89" s="46" t="str">
        <f>_xlfn.IFNA(IF(VLOOKUP($D89,Organización_Modular!$F$10:$G$195,2,FALSE)=F$23,Itinerario!T89," ")," ")</f>
        <v xml:space="preserve"> </v>
      </c>
      <c r="G89" s="46" t="str">
        <f>_xlfn.IFNA(IF(VLOOKUP($D89,Organización_Modular!$F$10:$G$195,2,FALSE)=G$23,Itinerario!W89," ")," ")</f>
        <v xml:space="preserve"> </v>
      </c>
      <c r="H89" s="46" t="str">
        <f>_xlfn.IFNA(IF(VLOOKUP($D89,Organización_Modular!$F$10:$G$195,2,FALSE)=H$23,Itinerario!T89," ")," ")</f>
        <v xml:space="preserve"> </v>
      </c>
      <c r="I89" s="46" t="str">
        <f>_xlfn.IFNA(IF(VLOOKUP($D89,Organización_Modular!$F$10:$G$195,2,FALSE)=I$23,Itinerario!W89," ")," ")</f>
        <v xml:space="preserve"> </v>
      </c>
      <c r="J89" s="46" t="str">
        <f>_xlfn.IFNA(IF(VLOOKUP($D89,Organización_Modular!$F$10:$G$195,2,FALSE)=J$23,Itinerario!T89," ")," ")</f>
        <v xml:space="preserve"> </v>
      </c>
      <c r="K89" s="46" t="str">
        <f>_xlfn.IFNA(IF(VLOOKUP($D89,Organización_Modular!$F$10:$G$195,2,FALSE)=K$23,Itinerario!W89," ")," ")</f>
        <v xml:space="preserve"> </v>
      </c>
      <c r="L89" s="46" t="str">
        <f>_xlfn.IFNA(IF(VLOOKUP($D89,Organización_Modular!$F$10:$G$195,2,FALSE)=L$23,Itinerario!T89," ")," ")</f>
        <v xml:space="preserve"> </v>
      </c>
      <c r="M89" s="46" t="str">
        <f>_xlfn.IFNA(IF(VLOOKUP($D89,Organización_Modular!$F$10:$G$195,2,FALSE)=M$23,Itinerario!W89," ")," ")</f>
        <v xml:space="preserve"> </v>
      </c>
      <c r="N89" s="46" t="str">
        <f>_xlfn.IFNA(IF(VLOOKUP($D89,Organización_Modular!$F$10:$G$195,2,FALSE)=N$23,Itinerario!T89," ")," ")</f>
        <v xml:space="preserve"> </v>
      </c>
      <c r="O89" s="46" t="str">
        <f>_xlfn.IFNA(IF(VLOOKUP($D89,Organización_Modular!$F$10:$G$195,2,FALSE)=O$23,Itinerario!W89," ")," ")</f>
        <v xml:space="preserve"> </v>
      </c>
      <c r="P89" s="46" t="str">
        <f>_xlfn.IFNA(IF(VLOOKUP($D89,Organización_Modular!$F$10:$G$195,2,FALSE)=P$23,Itinerario!T89," ")," ")</f>
        <v xml:space="preserve"> </v>
      </c>
      <c r="Q89" s="46" t="str">
        <f>_xlfn.IFNA(IF(VLOOKUP($D89,Organización_Modular!$F$10:$G$195,2,FALSE)=Q$23,Itinerario!W89," ")," ")</f>
        <v xml:space="preserve"> </v>
      </c>
      <c r="R89" s="46">
        <f>Organización_Modular!H75</f>
        <v>0</v>
      </c>
      <c r="S89" s="46">
        <f>Organización_Modular!I75</f>
        <v>0</v>
      </c>
      <c r="T89" s="90">
        <f t="shared" si="8"/>
        <v>0</v>
      </c>
      <c r="U89" s="46">
        <f t="shared" ref="U89:U152" si="9">+R89*$S$19</f>
        <v>0</v>
      </c>
      <c r="V89" s="46">
        <f t="shared" ref="V89:V152" si="10">+S89*$U$19</f>
        <v>0</v>
      </c>
      <c r="W89" s="90">
        <f t="shared" ref="W89:W152" si="11">SUM(U89:V89)</f>
        <v>0</v>
      </c>
      <c r="X89" s="95">
        <f t="shared" ref="X89:X152" si="12">W89</f>
        <v>0</v>
      </c>
    </row>
    <row r="90" spans="1:24" ht="18" hidden="1" customHeight="1" x14ac:dyDescent="0.2">
      <c r="A90" s="407"/>
      <c r="B90" s="313"/>
      <c r="C90" s="410"/>
      <c r="D90" s="409">
        <f>Organización_Modular!F76</f>
        <v>0</v>
      </c>
      <c r="E90" s="409"/>
      <c r="F90" s="46" t="str">
        <f>_xlfn.IFNA(IF(VLOOKUP($D90,Organización_Modular!$F$10:$G$195,2,FALSE)=F$23,Itinerario!T90," ")," ")</f>
        <v xml:space="preserve"> </v>
      </c>
      <c r="G90" s="46" t="str">
        <f>_xlfn.IFNA(IF(VLOOKUP($D90,Organización_Modular!$F$10:$G$195,2,FALSE)=G$23,Itinerario!W90," ")," ")</f>
        <v xml:space="preserve"> </v>
      </c>
      <c r="H90" s="46" t="str">
        <f>_xlfn.IFNA(IF(VLOOKUP($D90,Organización_Modular!$F$10:$G$195,2,FALSE)=H$23,Itinerario!T90," ")," ")</f>
        <v xml:space="preserve"> </v>
      </c>
      <c r="I90" s="46" t="str">
        <f>_xlfn.IFNA(IF(VLOOKUP($D90,Organización_Modular!$F$10:$G$195,2,FALSE)=I$23,Itinerario!W90," ")," ")</f>
        <v xml:space="preserve"> </v>
      </c>
      <c r="J90" s="46" t="str">
        <f>_xlfn.IFNA(IF(VLOOKUP($D90,Organización_Modular!$F$10:$G$195,2,FALSE)=J$23,Itinerario!T90," ")," ")</f>
        <v xml:space="preserve"> </v>
      </c>
      <c r="K90" s="46" t="str">
        <f>_xlfn.IFNA(IF(VLOOKUP($D90,Organización_Modular!$F$10:$G$195,2,FALSE)=K$23,Itinerario!W90," ")," ")</f>
        <v xml:space="preserve"> </v>
      </c>
      <c r="L90" s="46" t="str">
        <f>_xlfn.IFNA(IF(VLOOKUP($D90,Organización_Modular!$F$10:$G$195,2,FALSE)=L$23,Itinerario!T90," ")," ")</f>
        <v xml:space="preserve"> </v>
      </c>
      <c r="M90" s="46" t="str">
        <f>_xlfn.IFNA(IF(VLOOKUP($D90,Organización_Modular!$F$10:$G$195,2,FALSE)=M$23,Itinerario!W90," ")," ")</f>
        <v xml:space="preserve"> </v>
      </c>
      <c r="N90" s="46" t="str">
        <f>_xlfn.IFNA(IF(VLOOKUP($D90,Organización_Modular!$F$10:$G$195,2,FALSE)=N$23,Itinerario!T90," ")," ")</f>
        <v xml:space="preserve"> </v>
      </c>
      <c r="O90" s="46" t="str">
        <f>_xlfn.IFNA(IF(VLOOKUP($D90,Organización_Modular!$F$10:$G$195,2,FALSE)=O$23,Itinerario!W90," ")," ")</f>
        <v xml:space="preserve"> </v>
      </c>
      <c r="P90" s="46" t="str">
        <f>_xlfn.IFNA(IF(VLOOKUP($D90,Organización_Modular!$F$10:$G$195,2,FALSE)=P$23,Itinerario!T90," ")," ")</f>
        <v xml:space="preserve"> </v>
      </c>
      <c r="Q90" s="46" t="str">
        <f>_xlfn.IFNA(IF(VLOOKUP($D90,Organización_Modular!$F$10:$G$195,2,FALSE)=Q$23,Itinerario!W90," ")," ")</f>
        <v xml:space="preserve"> </v>
      </c>
      <c r="R90" s="46">
        <f>Organización_Modular!H76</f>
        <v>0</v>
      </c>
      <c r="S90" s="46">
        <f>Organización_Modular!I76</f>
        <v>0</v>
      </c>
      <c r="T90" s="90">
        <f t="shared" si="8"/>
        <v>0</v>
      </c>
      <c r="U90" s="46">
        <f t="shared" si="9"/>
        <v>0</v>
      </c>
      <c r="V90" s="46">
        <f t="shared" si="10"/>
        <v>0</v>
      </c>
      <c r="W90" s="90">
        <f t="shared" si="11"/>
        <v>0</v>
      </c>
      <c r="X90" s="95">
        <f t="shared" si="12"/>
        <v>0</v>
      </c>
    </row>
    <row r="91" spans="1:24" ht="18" hidden="1" customHeight="1" x14ac:dyDescent="0.2">
      <c r="A91" s="407"/>
      <c r="B91" s="313"/>
      <c r="C91" s="410"/>
      <c r="D91" s="409">
        <f>Organización_Modular!F77</f>
        <v>0</v>
      </c>
      <c r="E91" s="409"/>
      <c r="F91" s="46" t="str">
        <f>_xlfn.IFNA(IF(VLOOKUP($D91,Organización_Modular!$F$10:$G$195,2,FALSE)=F$23,Itinerario!T91," ")," ")</f>
        <v xml:space="preserve"> </v>
      </c>
      <c r="G91" s="46" t="str">
        <f>_xlfn.IFNA(IF(VLOOKUP($D91,Organización_Modular!$F$10:$G$195,2,FALSE)=G$23,Itinerario!W91," ")," ")</f>
        <v xml:space="preserve"> </v>
      </c>
      <c r="H91" s="46" t="str">
        <f>_xlfn.IFNA(IF(VLOOKUP($D91,Organización_Modular!$F$10:$G$195,2,FALSE)=H$23,Itinerario!T91," ")," ")</f>
        <v xml:space="preserve"> </v>
      </c>
      <c r="I91" s="46" t="str">
        <f>_xlfn.IFNA(IF(VLOOKUP($D91,Organización_Modular!$F$10:$G$195,2,FALSE)=I$23,Itinerario!W91," ")," ")</f>
        <v xml:space="preserve"> </v>
      </c>
      <c r="J91" s="46" t="str">
        <f>_xlfn.IFNA(IF(VLOOKUP($D91,Organización_Modular!$F$10:$G$195,2,FALSE)=J$23,Itinerario!T91," ")," ")</f>
        <v xml:space="preserve"> </v>
      </c>
      <c r="K91" s="46" t="str">
        <f>_xlfn.IFNA(IF(VLOOKUP($D91,Organización_Modular!$F$10:$G$195,2,FALSE)=K$23,Itinerario!W91," ")," ")</f>
        <v xml:space="preserve"> </v>
      </c>
      <c r="L91" s="46" t="str">
        <f>_xlfn.IFNA(IF(VLOOKUP($D91,Organización_Modular!$F$10:$G$195,2,FALSE)=L$23,Itinerario!T91," ")," ")</f>
        <v xml:space="preserve"> </v>
      </c>
      <c r="M91" s="46" t="str">
        <f>_xlfn.IFNA(IF(VLOOKUP($D91,Organización_Modular!$F$10:$G$195,2,FALSE)=M$23,Itinerario!W91," ")," ")</f>
        <v xml:space="preserve"> </v>
      </c>
      <c r="N91" s="46" t="str">
        <f>_xlfn.IFNA(IF(VLOOKUP($D91,Organización_Modular!$F$10:$G$195,2,FALSE)=N$23,Itinerario!T91," ")," ")</f>
        <v xml:space="preserve"> </v>
      </c>
      <c r="O91" s="46" t="str">
        <f>_xlfn.IFNA(IF(VLOOKUP($D91,Organización_Modular!$F$10:$G$195,2,FALSE)=O$23,Itinerario!W91," ")," ")</f>
        <v xml:space="preserve"> </v>
      </c>
      <c r="P91" s="46" t="str">
        <f>_xlfn.IFNA(IF(VLOOKUP($D91,Organización_Modular!$F$10:$G$195,2,FALSE)=P$23,Itinerario!T91," ")," ")</f>
        <v xml:space="preserve"> </v>
      </c>
      <c r="Q91" s="46" t="str">
        <f>_xlfn.IFNA(IF(VLOOKUP($D91,Organización_Modular!$F$10:$G$195,2,FALSE)=Q$23,Itinerario!W91," ")," ")</f>
        <v xml:space="preserve"> </v>
      </c>
      <c r="R91" s="46">
        <f>Organización_Modular!H77</f>
        <v>0</v>
      </c>
      <c r="S91" s="46">
        <f>Organización_Modular!I77</f>
        <v>0</v>
      </c>
      <c r="T91" s="90">
        <f t="shared" si="8"/>
        <v>0</v>
      </c>
      <c r="U91" s="46">
        <f t="shared" si="9"/>
        <v>0</v>
      </c>
      <c r="V91" s="46">
        <f t="shared" si="10"/>
        <v>0</v>
      </c>
      <c r="W91" s="90">
        <f t="shared" si="11"/>
        <v>0</v>
      </c>
      <c r="X91" s="95">
        <f t="shared" si="12"/>
        <v>0</v>
      </c>
    </row>
    <row r="92" spans="1:24" ht="18" hidden="1" customHeight="1" x14ac:dyDescent="0.2">
      <c r="A92" s="407"/>
      <c r="B92" s="313"/>
      <c r="C92" s="410"/>
      <c r="D92" s="409">
        <f>Organización_Modular!F78</f>
        <v>0</v>
      </c>
      <c r="E92" s="409"/>
      <c r="F92" s="46" t="str">
        <f>_xlfn.IFNA(IF(VLOOKUP($D92,Organización_Modular!$F$10:$G$195,2,FALSE)=F$23,Itinerario!T92," ")," ")</f>
        <v xml:space="preserve"> </v>
      </c>
      <c r="G92" s="46" t="str">
        <f>_xlfn.IFNA(IF(VLOOKUP($D92,Organización_Modular!$F$10:$G$195,2,FALSE)=G$23,Itinerario!W92," ")," ")</f>
        <v xml:space="preserve"> </v>
      </c>
      <c r="H92" s="46" t="str">
        <f>_xlfn.IFNA(IF(VLOOKUP($D92,Organización_Modular!$F$10:$G$195,2,FALSE)=H$23,Itinerario!T92," ")," ")</f>
        <v xml:space="preserve"> </v>
      </c>
      <c r="I92" s="46" t="str">
        <f>_xlfn.IFNA(IF(VLOOKUP($D92,Organización_Modular!$F$10:$G$195,2,FALSE)=I$23,Itinerario!W92," ")," ")</f>
        <v xml:space="preserve"> </v>
      </c>
      <c r="J92" s="46" t="str">
        <f>_xlfn.IFNA(IF(VLOOKUP($D92,Organización_Modular!$F$10:$G$195,2,FALSE)=J$23,Itinerario!T92," ")," ")</f>
        <v xml:space="preserve"> </v>
      </c>
      <c r="K92" s="46" t="str">
        <f>_xlfn.IFNA(IF(VLOOKUP($D92,Organización_Modular!$F$10:$G$195,2,FALSE)=K$23,Itinerario!W92," ")," ")</f>
        <v xml:space="preserve"> </v>
      </c>
      <c r="L92" s="46" t="str">
        <f>_xlfn.IFNA(IF(VLOOKUP($D92,Organización_Modular!$F$10:$G$195,2,FALSE)=L$23,Itinerario!T92," ")," ")</f>
        <v xml:space="preserve"> </v>
      </c>
      <c r="M92" s="46" t="str">
        <f>_xlfn.IFNA(IF(VLOOKUP($D92,Organización_Modular!$F$10:$G$195,2,FALSE)=M$23,Itinerario!W92," ")," ")</f>
        <v xml:space="preserve"> </v>
      </c>
      <c r="N92" s="46" t="str">
        <f>_xlfn.IFNA(IF(VLOOKUP($D92,Organización_Modular!$F$10:$G$195,2,FALSE)=N$23,Itinerario!T92," ")," ")</f>
        <v xml:space="preserve"> </v>
      </c>
      <c r="O92" s="46" t="str">
        <f>_xlfn.IFNA(IF(VLOOKUP($D92,Organización_Modular!$F$10:$G$195,2,FALSE)=O$23,Itinerario!W92," ")," ")</f>
        <v xml:space="preserve"> </v>
      </c>
      <c r="P92" s="46" t="str">
        <f>_xlfn.IFNA(IF(VLOOKUP($D92,Organización_Modular!$F$10:$G$195,2,FALSE)=P$23,Itinerario!T92," ")," ")</f>
        <v xml:space="preserve"> </v>
      </c>
      <c r="Q92" s="46" t="str">
        <f>_xlfn.IFNA(IF(VLOOKUP($D92,Organización_Modular!$F$10:$G$195,2,FALSE)=Q$23,Itinerario!W92," ")," ")</f>
        <v xml:space="preserve"> </v>
      </c>
      <c r="R92" s="46">
        <f>Organización_Modular!H78</f>
        <v>0</v>
      </c>
      <c r="S92" s="46">
        <f>Organización_Modular!I78</f>
        <v>0</v>
      </c>
      <c r="T92" s="90">
        <f t="shared" si="8"/>
        <v>0</v>
      </c>
      <c r="U92" s="46">
        <f t="shared" si="9"/>
        <v>0</v>
      </c>
      <c r="V92" s="46">
        <f t="shared" si="10"/>
        <v>0</v>
      </c>
      <c r="W92" s="90">
        <f t="shared" si="11"/>
        <v>0</v>
      </c>
      <c r="X92" s="95">
        <f t="shared" si="12"/>
        <v>0</v>
      </c>
    </row>
    <row r="93" spans="1:24" ht="18" hidden="1" customHeight="1" x14ac:dyDescent="0.2">
      <c r="A93" s="407"/>
      <c r="B93" s="313"/>
      <c r="C93" s="410"/>
      <c r="D93" s="409">
        <f>Organización_Modular!F79</f>
        <v>0</v>
      </c>
      <c r="E93" s="409"/>
      <c r="F93" s="46" t="str">
        <f>_xlfn.IFNA(IF(VLOOKUP($D93,Organización_Modular!$F$10:$G$195,2,FALSE)=F$23,Itinerario!T93," ")," ")</f>
        <v xml:space="preserve"> </v>
      </c>
      <c r="G93" s="46" t="str">
        <f>_xlfn.IFNA(IF(VLOOKUP($D93,Organización_Modular!$F$10:$G$195,2,FALSE)=G$23,Itinerario!W93," ")," ")</f>
        <v xml:space="preserve"> </v>
      </c>
      <c r="H93" s="46" t="str">
        <f>_xlfn.IFNA(IF(VLOOKUP($D93,Organización_Modular!$F$10:$G$195,2,FALSE)=H$23,Itinerario!T93," ")," ")</f>
        <v xml:space="preserve"> </v>
      </c>
      <c r="I93" s="46" t="str">
        <f>_xlfn.IFNA(IF(VLOOKUP($D93,Organización_Modular!$F$10:$G$195,2,FALSE)=I$23,Itinerario!W93," ")," ")</f>
        <v xml:space="preserve"> </v>
      </c>
      <c r="J93" s="46" t="str">
        <f>_xlfn.IFNA(IF(VLOOKUP($D93,Organización_Modular!$F$10:$G$195,2,FALSE)=J$23,Itinerario!T93," ")," ")</f>
        <v xml:space="preserve"> </v>
      </c>
      <c r="K93" s="46" t="str">
        <f>_xlfn.IFNA(IF(VLOOKUP($D93,Organización_Modular!$F$10:$G$195,2,FALSE)=K$23,Itinerario!W93," ")," ")</f>
        <v xml:space="preserve"> </v>
      </c>
      <c r="L93" s="46" t="str">
        <f>_xlfn.IFNA(IF(VLOOKUP($D93,Organización_Modular!$F$10:$G$195,2,FALSE)=L$23,Itinerario!T93," ")," ")</f>
        <v xml:space="preserve"> </v>
      </c>
      <c r="M93" s="46" t="str">
        <f>_xlfn.IFNA(IF(VLOOKUP($D93,Organización_Modular!$F$10:$G$195,2,FALSE)=M$23,Itinerario!W93," ")," ")</f>
        <v xml:space="preserve"> </v>
      </c>
      <c r="N93" s="46" t="str">
        <f>_xlfn.IFNA(IF(VLOOKUP($D93,Organización_Modular!$F$10:$G$195,2,FALSE)=N$23,Itinerario!T93," ")," ")</f>
        <v xml:space="preserve"> </v>
      </c>
      <c r="O93" s="46" t="str">
        <f>_xlfn.IFNA(IF(VLOOKUP($D93,Organización_Modular!$F$10:$G$195,2,FALSE)=O$23,Itinerario!W93," ")," ")</f>
        <v xml:space="preserve"> </v>
      </c>
      <c r="P93" s="46" t="str">
        <f>_xlfn.IFNA(IF(VLOOKUP($D93,Organización_Modular!$F$10:$G$195,2,FALSE)=P$23,Itinerario!T93," ")," ")</f>
        <v xml:space="preserve"> </v>
      </c>
      <c r="Q93" s="46" t="str">
        <f>_xlfn.IFNA(IF(VLOOKUP($D93,Organización_Modular!$F$10:$G$195,2,FALSE)=Q$23,Itinerario!W93," ")," ")</f>
        <v xml:space="preserve"> </v>
      </c>
      <c r="R93" s="46">
        <f>Organización_Modular!H79</f>
        <v>0</v>
      </c>
      <c r="S93" s="46">
        <f>Organización_Modular!I79</f>
        <v>0</v>
      </c>
      <c r="T93" s="90">
        <f t="shared" si="8"/>
        <v>0</v>
      </c>
      <c r="U93" s="46">
        <f t="shared" si="9"/>
        <v>0</v>
      </c>
      <c r="V93" s="46">
        <f t="shared" si="10"/>
        <v>0</v>
      </c>
      <c r="W93" s="90">
        <f t="shared" si="11"/>
        <v>0</v>
      </c>
      <c r="X93" s="95">
        <f t="shared" si="12"/>
        <v>0</v>
      </c>
    </row>
    <row r="94" spans="1:24" ht="18" hidden="1" customHeight="1" x14ac:dyDescent="0.2">
      <c r="A94" s="407"/>
      <c r="B94" s="313"/>
      <c r="C94" s="410"/>
      <c r="D94" s="409">
        <f>Organización_Modular!F80</f>
        <v>0</v>
      </c>
      <c r="E94" s="409"/>
      <c r="F94" s="46" t="str">
        <f>_xlfn.IFNA(IF(VLOOKUP($D94,Organización_Modular!$F$10:$G$195,2,FALSE)=F$23,Itinerario!T94," ")," ")</f>
        <v xml:space="preserve"> </v>
      </c>
      <c r="G94" s="46" t="str">
        <f>_xlfn.IFNA(IF(VLOOKUP($D94,Organización_Modular!$F$10:$G$195,2,FALSE)=G$23,Itinerario!W94," ")," ")</f>
        <v xml:space="preserve"> </v>
      </c>
      <c r="H94" s="46" t="str">
        <f>_xlfn.IFNA(IF(VLOOKUP($D94,Organización_Modular!$F$10:$G$195,2,FALSE)=H$23,Itinerario!T94," ")," ")</f>
        <v xml:space="preserve"> </v>
      </c>
      <c r="I94" s="46" t="str">
        <f>_xlfn.IFNA(IF(VLOOKUP($D94,Organización_Modular!$F$10:$G$195,2,FALSE)=I$23,Itinerario!W94," ")," ")</f>
        <v xml:space="preserve"> </v>
      </c>
      <c r="J94" s="46" t="str">
        <f>_xlfn.IFNA(IF(VLOOKUP($D94,Organización_Modular!$F$10:$G$195,2,FALSE)=J$23,Itinerario!T94," ")," ")</f>
        <v xml:space="preserve"> </v>
      </c>
      <c r="K94" s="46" t="str">
        <f>_xlfn.IFNA(IF(VLOOKUP($D94,Organización_Modular!$F$10:$G$195,2,FALSE)=K$23,Itinerario!W94," ")," ")</f>
        <v xml:space="preserve"> </v>
      </c>
      <c r="L94" s="46" t="str">
        <f>_xlfn.IFNA(IF(VLOOKUP($D94,Organización_Modular!$F$10:$G$195,2,FALSE)=L$23,Itinerario!T94," ")," ")</f>
        <v xml:space="preserve"> </v>
      </c>
      <c r="M94" s="46" t="str">
        <f>_xlfn.IFNA(IF(VLOOKUP($D94,Organización_Modular!$F$10:$G$195,2,FALSE)=M$23,Itinerario!W94," ")," ")</f>
        <v xml:space="preserve"> </v>
      </c>
      <c r="N94" s="46" t="str">
        <f>_xlfn.IFNA(IF(VLOOKUP($D94,Organización_Modular!$F$10:$G$195,2,FALSE)=N$23,Itinerario!T94," ")," ")</f>
        <v xml:space="preserve"> </v>
      </c>
      <c r="O94" s="46" t="str">
        <f>_xlfn.IFNA(IF(VLOOKUP($D94,Organización_Modular!$F$10:$G$195,2,FALSE)=O$23,Itinerario!W94," ")," ")</f>
        <v xml:space="preserve"> </v>
      </c>
      <c r="P94" s="46" t="str">
        <f>_xlfn.IFNA(IF(VLOOKUP($D94,Organización_Modular!$F$10:$G$195,2,FALSE)=P$23,Itinerario!T94," ")," ")</f>
        <v xml:space="preserve"> </v>
      </c>
      <c r="Q94" s="46" t="str">
        <f>_xlfn.IFNA(IF(VLOOKUP($D94,Organización_Modular!$F$10:$G$195,2,FALSE)=Q$23,Itinerario!W94," ")," ")</f>
        <v xml:space="preserve"> </v>
      </c>
      <c r="R94" s="46">
        <f>Organización_Modular!H80</f>
        <v>0</v>
      </c>
      <c r="S94" s="46">
        <f>Organización_Modular!I80</f>
        <v>0</v>
      </c>
      <c r="T94" s="90">
        <f t="shared" si="8"/>
        <v>0</v>
      </c>
      <c r="U94" s="46">
        <f t="shared" si="9"/>
        <v>0</v>
      </c>
      <c r="V94" s="46">
        <f t="shared" si="10"/>
        <v>0</v>
      </c>
      <c r="W94" s="90">
        <f t="shared" si="11"/>
        <v>0</v>
      </c>
      <c r="X94" s="95">
        <f t="shared" si="12"/>
        <v>0</v>
      </c>
    </row>
    <row r="95" spans="1:24" ht="18" hidden="1" customHeight="1" x14ac:dyDescent="0.2">
      <c r="A95" s="407"/>
      <c r="B95" s="313"/>
      <c r="C95" s="410"/>
      <c r="D95" s="409">
        <f>Organización_Modular!F81</f>
        <v>0</v>
      </c>
      <c r="E95" s="409"/>
      <c r="F95" s="46" t="str">
        <f>_xlfn.IFNA(IF(VLOOKUP($D95,Organización_Modular!$F$10:$G$195,2,FALSE)=F$23,Itinerario!T95," ")," ")</f>
        <v xml:space="preserve"> </v>
      </c>
      <c r="G95" s="46" t="str">
        <f>_xlfn.IFNA(IF(VLOOKUP($D95,Organización_Modular!$F$10:$G$195,2,FALSE)=G$23,Itinerario!W95," ")," ")</f>
        <v xml:space="preserve"> </v>
      </c>
      <c r="H95" s="46" t="str">
        <f>_xlfn.IFNA(IF(VLOOKUP($D95,Organización_Modular!$F$10:$G$195,2,FALSE)=H$23,Itinerario!T95," ")," ")</f>
        <v xml:space="preserve"> </v>
      </c>
      <c r="I95" s="46" t="str">
        <f>_xlfn.IFNA(IF(VLOOKUP($D95,Organización_Modular!$F$10:$G$195,2,FALSE)=I$23,Itinerario!W95," ")," ")</f>
        <v xml:space="preserve"> </v>
      </c>
      <c r="J95" s="46" t="str">
        <f>_xlfn.IFNA(IF(VLOOKUP($D95,Organización_Modular!$F$10:$G$195,2,FALSE)=J$23,Itinerario!T95," ")," ")</f>
        <v xml:space="preserve"> </v>
      </c>
      <c r="K95" s="46" t="str">
        <f>_xlfn.IFNA(IF(VLOOKUP($D95,Organización_Modular!$F$10:$G$195,2,FALSE)=K$23,Itinerario!W95," ")," ")</f>
        <v xml:space="preserve"> </v>
      </c>
      <c r="L95" s="46" t="str">
        <f>_xlfn.IFNA(IF(VLOOKUP($D95,Organización_Modular!$F$10:$G$195,2,FALSE)=L$23,Itinerario!T95," ")," ")</f>
        <v xml:space="preserve"> </v>
      </c>
      <c r="M95" s="46" t="str">
        <f>_xlfn.IFNA(IF(VLOOKUP($D95,Organización_Modular!$F$10:$G$195,2,FALSE)=M$23,Itinerario!W95," ")," ")</f>
        <v xml:space="preserve"> </v>
      </c>
      <c r="N95" s="46" t="str">
        <f>_xlfn.IFNA(IF(VLOOKUP($D95,Organización_Modular!$F$10:$G$195,2,FALSE)=N$23,Itinerario!T95," ")," ")</f>
        <v xml:space="preserve"> </v>
      </c>
      <c r="O95" s="46" t="str">
        <f>_xlfn.IFNA(IF(VLOOKUP($D95,Organización_Modular!$F$10:$G$195,2,FALSE)=O$23,Itinerario!W95," ")," ")</f>
        <v xml:space="preserve"> </v>
      </c>
      <c r="P95" s="46" t="str">
        <f>_xlfn.IFNA(IF(VLOOKUP($D95,Organización_Modular!$F$10:$G$195,2,FALSE)=P$23,Itinerario!T95," ")," ")</f>
        <v xml:space="preserve"> </v>
      </c>
      <c r="Q95" s="46" t="str">
        <f>_xlfn.IFNA(IF(VLOOKUP($D95,Organización_Modular!$F$10:$G$195,2,FALSE)=Q$23,Itinerario!W95," ")," ")</f>
        <v xml:space="preserve"> </v>
      </c>
      <c r="R95" s="46">
        <f>Organización_Modular!H81</f>
        <v>0</v>
      </c>
      <c r="S95" s="46">
        <f>Organización_Modular!I81</f>
        <v>0</v>
      </c>
      <c r="T95" s="90">
        <f t="shared" si="8"/>
        <v>0</v>
      </c>
      <c r="U95" s="46">
        <f t="shared" si="9"/>
        <v>0</v>
      </c>
      <c r="V95" s="46">
        <f t="shared" si="10"/>
        <v>0</v>
      </c>
      <c r="W95" s="90">
        <f t="shared" si="11"/>
        <v>0</v>
      </c>
      <c r="X95" s="95">
        <f t="shared" si="12"/>
        <v>0</v>
      </c>
    </row>
    <row r="96" spans="1:24" ht="18" hidden="1" customHeight="1" x14ac:dyDescent="0.2">
      <c r="A96" s="407"/>
      <c r="B96" s="313"/>
      <c r="C96" s="410"/>
      <c r="D96" s="409">
        <f>Organización_Modular!F82</f>
        <v>0</v>
      </c>
      <c r="E96" s="409"/>
      <c r="F96" s="46" t="str">
        <f>_xlfn.IFNA(IF(VLOOKUP($D96,Organización_Modular!$F$10:$G$195,2,FALSE)=F$23,Itinerario!T96," ")," ")</f>
        <v xml:space="preserve"> </v>
      </c>
      <c r="G96" s="46" t="str">
        <f>_xlfn.IFNA(IF(VLOOKUP($D96,Organización_Modular!$F$10:$G$195,2,FALSE)=G$23,Itinerario!W96," ")," ")</f>
        <v xml:space="preserve"> </v>
      </c>
      <c r="H96" s="46" t="str">
        <f>_xlfn.IFNA(IF(VLOOKUP($D96,Organización_Modular!$F$10:$G$195,2,FALSE)=H$23,Itinerario!T96," ")," ")</f>
        <v xml:space="preserve"> </v>
      </c>
      <c r="I96" s="46" t="str">
        <f>_xlfn.IFNA(IF(VLOOKUP($D96,Organización_Modular!$F$10:$G$195,2,FALSE)=I$23,Itinerario!W96," ")," ")</f>
        <v xml:space="preserve"> </v>
      </c>
      <c r="J96" s="46" t="str">
        <f>_xlfn.IFNA(IF(VLOOKUP($D96,Organización_Modular!$F$10:$G$195,2,FALSE)=J$23,Itinerario!T96," ")," ")</f>
        <v xml:space="preserve"> </v>
      </c>
      <c r="K96" s="46" t="str">
        <f>_xlfn.IFNA(IF(VLOOKUP($D96,Organización_Modular!$F$10:$G$195,2,FALSE)=K$23,Itinerario!W96," ")," ")</f>
        <v xml:space="preserve"> </v>
      </c>
      <c r="L96" s="46" t="str">
        <f>_xlfn.IFNA(IF(VLOOKUP($D96,Organización_Modular!$F$10:$G$195,2,FALSE)=L$23,Itinerario!T96," ")," ")</f>
        <v xml:space="preserve"> </v>
      </c>
      <c r="M96" s="46" t="str">
        <f>_xlfn.IFNA(IF(VLOOKUP($D96,Organización_Modular!$F$10:$G$195,2,FALSE)=M$23,Itinerario!W96," ")," ")</f>
        <v xml:space="preserve"> </v>
      </c>
      <c r="N96" s="46" t="str">
        <f>_xlfn.IFNA(IF(VLOOKUP($D96,Organización_Modular!$F$10:$G$195,2,FALSE)=N$23,Itinerario!T96," ")," ")</f>
        <v xml:space="preserve"> </v>
      </c>
      <c r="O96" s="46" t="str">
        <f>_xlfn.IFNA(IF(VLOOKUP($D96,Organización_Modular!$F$10:$G$195,2,FALSE)=O$23,Itinerario!W96," ")," ")</f>
        <v xml:space="preserve"> </v>
      </c>
      <c r="P96" s="46" t="str">
        <f>_xlfn.IFNA(IF(VLOOKUP($D96,Organización_Modular!$F$10:$G$195,2,FALSE)=P$23,Itinerario!T96," ")," ")</f>
        <v xml:space="preserve"> </v>
      </c>
      <c r="Q96" s="46" t="str">
        <f>_xlfn.IFNA(IF(VLOOKUP($D96,Organización_Modular!$F$10:$G$195,2,FALSE)=Q$23,Itinerario!W96," ")," ")</f>
        <v xml:space="preserve"> </v>
      </c>
      <c r="R96" s="46">
        <f>Organización_Modular!H82</f>
        <v>0</v>
      </c>
      <c r="S96" s="46">
        <f>Organización_Modular!I82</f>
        <v>0</v>
      </c>
      <c r="T96" s="90">
        <f t="shared" si="8"/>
        <v>0</v>
      </c>
      <c r="U96" s="46">
        <f t="shared" si="9"/>
        <v>0</v>
      </c>
      <c r="V96" s="46">
        <f t="shared" si="10"/>
        <v>0</v>
      </c>
      <c r="W96" s="90">
        <f t="shared" si="11"/>
        <v>0</v>
      </c>
      <c r="X96" s="95">
        <f t="shared" si="12"/>
        <v>0</v>
      </c>
    </row>
    <row r="97" spans="1:24" ht="18" hidden="1" customHeight="1" x14ac:dyDescent="0.2">
      <c r="A97" s="407"/>
      <c r="B97" s="313"/>
      <c r="C97" s="410"/>
      <c r="D97" s="409">
        <f>Organización_Modular!F83</f>
        <v>0</v>
      </c>
      <c r="E97" s="409"/>
      <c r="F97" s="46" t="str">
        <f>_xlfn.IFNA(IF(VLOOKUP($D97,Organización_Modular!$F$10:$G$195,2,FALSE)=F$23,Itinerario!T97," ")," ")</f>
        <v xml:space="preserve"> </v>
      </c>
      <c r="G97" s="46" t="str">
        <f>_xlfn.IFNA(IF(VLOOKUP($D97,Organización_Modular!$F$10:$G$195,2,FALSE)=G$23,Itinerario!W97," ")," ")</f>
        <v xml:space="preserve"> </v>
      </c>
      <c r="H97" s="46" t="str">
        <f>_xlfn.IFNA(IF(VLOOKUP($D97,Organización_Modular!$F$10:$G$195,2,FALSE)=H$23,Itinerario!T97," ")," ")</f>
        <v xml:space="preserve"> </v>
      </c>
      <c r="I97" s="46" t="str">
        <f>_xlfn.IFNA(IF(VLOOKUP($D97,Organización_Modular!$F$10:$G$195,2,FALSE)=I$23,Itinerario!W97," ")," ")</f>
        <v xml:space="preserve"> </v>
      </c>
      <c r="J97" s="46" t="str">
        <f>_xlfn.IFNA(IF(VLOOKUP($D97,Organización_Modular!$F$10:$G$195,2,FALSE)=J$23,Itinerario!T97," ")," ")</f>
        <v xml:space="preserve"> </v>
      </c>
      <c r="K97" s="46" t="str">
        <f>_xlfn.IFNA(IF(VLOOKUP($D97,Organización_Modular!$F$10:$G$195,2,FALSE)=K$23,Itinerario!W97," ")," ")</f>
        <v xml:space="preserve"> </v>
      </c>
      <c r="L97" s="46" t="str">
        <f>_xlfn.IFNA(IF(VLOOKUP($D97,Organización_Modular!$F$10:$G$195,2,FALSE)=L$23,Itinerario!T97," ")," ")</f>
        <v xml:space="preserve"> </v>
      </c>
      <c r="M97" s="46" t="str">
        <f>_xlfn.IFNA(IF(VLOOKUP($D97,Organización_Modular!$F$10:$G$195,2,FALSE)=M$23,Itinerario!W97," ")," ")</f>
        <v xml:space="preserve"> </v>
      </c>
      <c r="N97" s="46" t="str">
        <f>_xlfn.IFNA(IF(VLOOKUP($D97,Organización_Modular!$F$10:$G$195,2,FALSE)=N$23,Itinerario!T97," ")," ")</f>
        <v xml:space="preserve"> </v>
      </c>
      <c r="O97" s="46" t="str">
        <f>_xlfn.IFNA(IF(VLOOKUP($D97,Organización_Modular!$F$10:$G$195,2,FALSE)=O$23,Itinerario!W97," ")," ")</f>
        <v xml:space="preserve"> </v>
      </c>
      <c r="P97" s="46" t="str">
        <f>_xlfn.IFNA(IF(VLOOKUP($D97,Organización_Modular!$F$10:$G$195,2,FALSE)=P$23,Itinerario!T97," ")," ")</f>
        <v xml:space="preserve"> </v>
      </c>
      <c r="Q97" s="46" t="str">
        <f>_xlfn.IFNA(IF(VLOOKUP($D97,Organización_Modular!$F$10:$G$195,2,FALSE)=Q$23,Itinerario!W97," ")," ")</f>
        <v xml:space="preserve"> </v>
      </c>
      <c r="R97" s="46">
        <f>Organización_Modular!H83</f>
        <v>0</v>
      </c>
      <c r="S97" s="46">
        <f>Organización_Modular!I83</f>
        <v>0</v>
      </c>
      <c r="T97" s="90">
        <f t="shared" si="8"/>
        <v>0</v>
      </c>
      <c r="U97" s="46">
        <f t="shared" si="9"/>
        <v>0</v>
      </c>
      <c r="V97" s="46">
        <f t="shared" si="10"/>
        <v>0</v>
      </c>
      <c r="W97" s="90">
        <f t="shared" si="11"/>
        <v>0</v>
      </c>
      <c r="X97" s="95">
        <f t="shared" si="12"/>
        <v>0</v>
      </c>
    </row>
    <row r="98" spans="1:24" ht="18" hidden="1" customHeight="1" x14ac:dyDescent="0.2">
      <c r="A98" s="407"/>
      <c r="B98" s="313"/>
      <c r="C98" s="410"/>
      <c r="D98" s="409">
        <f>Organización_Modular!F84</f>
        <v>0</v>
      </c>
      <c r="E98" s="409"/>
      <c r="F98" s="46" t="str">
        <f>_xlfn.IFNA(IF(VLOOKUP($D98,Organización_Modular!$F$10:$G$195,2,FALSE)=F$23,Itinerario!T98," ")," ")</f>
        <v xml:space="preserve"> </v>
      </c>
      <c r="G98" s="46" t="str">
        <f>_xlfn.IFNA(IF(VLOOKUP($D98,Organización_Modular!$F$10:$G$195,2,FALSE)=G$23,Itinerario!W98," ")," ")</f>
        <v xml:space="preserve"> </v>
      </c>
      <c r="H98" s="46" t="str">
        <f>_xlfn.IFNA(IF(VLOOKUP($D98,Organización_Modular!$F$10:$G$195,2,FALSE)=H$23,Itinerario!T98," ")," ")</f>
        <v xml:space="preserve"> </v>
      </c>
      <c r="I98" s="46" t="str">
        <f>_xlfn.IFNA(IF(VLOOKUP($D98,Organización_Modular!$F$10:$G$195,2,FALSE)=I$23,Itinerario!W98," ")," ")</f>
        <v xml:space="preserve"> </v>
      </c>
      <c r="J98" s="46" t="str">
        <f>_xlfn.IFNA(IF(VLOOKUP($D98,Organización_Modular!$F$10:$G$195,2,FALSE)=J$23,Itinerario!T98," ")," ")</f>
        <v xml:space="preserve"> </v>
      </c>
      <c r="K98" s="46" t="str">
        <f>_xlfn.IFNA(IF(VLOOKUP($D98,Organización_Modular!$F$10:$G$195,2,FALSE)=K$23,Itinerario!W98," ")," ")</f>
        <v xml:space="preserve"> </v>
      </c>
      <c r="L98" s="46" t="str">
        <f>_xlfn.IFNA(IF(VLOOKUP($D98,Organización_Modular!$F$10:$G$195,2,FALSE)=L$23,Itinerario!T98," ")," ")</f>
        <v xml:space="preserve"> </v>
      </c>
      <c r="M98" s="46" t="str">
        <f>_xlfn.IFNA(IF(VLOOKUP($D98,Organización_Modular!$F$10:$G$195,2,FALSE)=M$23,Itinerario!W98," ")," ")</f>
        <v xml:space="preserve"> </v>
      </c>
      <c r="N98" s="46" t="str">
        <f>_xlfn.IFNA(IF(VLOOKUP($D98,Organización_Modular!$F$10:$G$195,2,FALSE)=N$23,Itinerario!T98," ")," ")</f>
        <v xml:space="preserve"> </v>
      </c>
      <c r="O98" s="46" t="str">
        <f>_xlfn.IFNA(IF(VLOOKUP($D98,Organización_Modular!$F$10:$G$195,2,FALSE)=O$23,Itinerario!W98," ")," ")</f>
        <v xml:space="preserve"> </v>
      </c>
      <c r="P98" s="46" t="str">
        <f>_xlfn.IFNA(IF(VLOOKUP($D98,Organización_Modular!$F$10:$G$195,2,FALSE)=P$23,Itinerario!T98," ")," ")</f>
        <v xml:space="preserve"> </v>
      </c>
      <c r="Q98" s="46" t="str">
        <f>_xlfn.IFNA(IF(VLOOKUP($D98,Organización_Modular!$F$10:$G$195,2,FALSE)=Q$23,Itinerario!W98," ")," ")</f>
        <v xml:space="preserve"> </v>
      </c>
      <c r="R98" s="46">
        <f>Organización_Modular!H84</f>
        <v>0</v>
      </c>
      <c r="S98" s="46">
        <f>Organización_Modular!I84</f>
        <v>0</v>
      </c>
      <c r="T98" s="90">
        <f t="shared" si="8"/>
        <v>0</v>
      </c>
      <c r="U98" s="46">
        <f t="shared" si="9"/>
        <v>0</v>
      </c>
      <c r="V98" s="46">
        <f t="shared" si="10"/>
        <v>0</v>
      </c>
      <c r="W98" s="90">
        <f t="shared" si="11"/>
        <v>0</v>
      </c>
      <c r="X98" s="95">
        <f t="shared" si="12"/>
        <v>0</v>
      </c>
    </row>
    <row r="99" spans="1:24" ht="18" hidden="1" customHeight="1" x14ac:dyDescent="0.2">
      <c r="A99" s="407"/>
      <c r="B99" s="313"/>
      <c r="C99" s="410"/>
      <c r="D99" s="409">
        <f>Organización_Modular!F85</f>
        <v>0</v>
      </c>
      <c r="E99" s="409"/>
      <c r="F99" s="46" t="str">
        <f>_xlfn.IFNA(IF(VLOOKUP($D99,Organización_Modular!$F$10:$G$195,2,FALSE)=F$23,Itinerario!T99," ")," ")</f>
        <v xml:space="preserve"> </v>
      </c>
      <c r="G99" s="46" t="str">
        <f>_xlfn.IFNA(IF(VLOOKUP($D99,Organización_Modular!$F$10:$G$195,2,FALSE)=G$23,Itinerario!W99," ")," ")</f>
        <v xml:space="preserve"> </v>
      </c>
      <c r="H99" s="46" t="str">
        <f>_xlfn.IFNA(IF(VLOOKUP($D99,Organización_Modular!$F$10:$G$195,2,FALSE)=H$23,Itinerario!T99," ")," ")</f>
        <v xml:space="preserve"> </v>
      </c>
      <c r="I99" s="46" t="str">
        <f>_xlfn.IFNA(IF(VLOOKUP($D99,Organización_Modular!$F$10:$G$195,2,FALSE)=I$23,Itinerario!W99," ")," ")</f>
        <v xml:space="preserve"> </v>
      </c>
      <c r="J99" s="46" t="str">
        <f>_xlfn.IFNA(IF(VLOOKUP($D99,Organización_Modular!$F$10:$G$195,2,FALSE)=J$23,Itinerario!T99," ")," ")</f>
        <v xml:space="preserve"> </v>
      </c>
      <c r="K99" s="46" t="str">
        <f>_xlfn.IFNA(IF(VLOOKUP($D99,Organización_Modular!$F$10:$G$195,2,FALSE)=K$23,Itinerario!W99," ")," ")</f>
        <v xml:space="preserve"> </v>
      </c>
      <c r="L99" s="46" t="str">
        <f>_xlfn.IFNA(IF(VLOOKUP($D99,Organización_Modular!$F$10:$G$195,2,FALSE)=L$23,Itinerario!T99," ")," ")</f>
        <v xml:space="preserve"> </v>
      </c>
      <c r="M99" s="46" t="str">
        <f>_xlfn.IFNA(IF(VLOOKUP($D99,Organización_Modular!$F$10:$G$195,2,FALSE)=M$23,Itinerario!W99," ")," ")</f>
        <v xml:space="preserve"> </v>
      </c>
      <c r="N99" s="46" t="str">
        <f>_xlfn.IFNA(IF(VLOOKUP($D99,Organización_Modular!$F$10:$G$195,2,FALSE)=N$23,Itinerario!T99," ")," ")</f>
        <v xml:space="preserve"> </v>
      </c>
      <c r="O99" s="46" t="str">
        <f>_xlfn.IFNA(IF(VLOOKUP($D99,Organización_Modular!$F$10:$G$195,2,FALSE)=O$23,Itinerario!W99," ")," ")</f>
        <v xml:space="preserve"> </v>
      </c>
      <c r="P99" s="46" t="str">
        <f>_xlfn.IFNA(IF(VLOOKUP($D99,Organización_Modular!$F$10:$G$195,2,FALSE)=P$23,Itinerario!T99," ")," ")</f>
        <v xml:space="preserve"> </v>
      </c>
      <c r="Q99" s="46" t="str">
        <f>_xlfn.IFNA(IF(VLOOKUP($D99,Organización_Modular!$F$10:$G$195,2,FALSE)=Q$23,Itinerario!W99," ")," ")</f>
        <v xml:space="preserve"> </v>
      </c>
      <c r="R99" s="46">
        <f>Organización_Modular!H85</f>
        <v>0</v>
      </c>
      <c r="S99" s="46">
        <f>Organización_Modular!I85</f>
        <v>0</v>
      </c>
      <c r="T99" s="90">
        <f t="shared" si="8"/>
        <v>0</v>
      </c>
      <c r="U99" s="46">
        <f t="shared" si="9"/>
        <v>0</v>
      </c>
      <c r="V99" s="46">
        <f t="shared" si="10"/>
        <v>0</v>
      </c>
      <c r="W99" s="90">
        <f t="shared" si="11"/>
        <v>0</v>
      </c>
      <c r="X99" s="95">
        <f t="shared" si="12"/>
        <v>0</v>
      </c>
    </row>
    <row r="100" spans="1:24" ht="18" hidden="1" customHeight="1" x14ac:dyDescent="0.2">
      <c r="A100" s="407"/>
      <c r="B100" s="313"/>
      <c r="C100" s="410"/>
      <c r="D100" s="409">
        <f>Organización_Modular!F86</f>
        <v>0</v>
      </c>
      <c r="E100" s="409"/>
      <c r="F100" s="46" t="str">
        <f>_xlfn.IFNA(IF(VLOOKUP($D100,Organización_Modular!$F$10:$G$195,2,FALSE)=F$23,Itinerario!T100," ")," ")</f>
        <v xml:space="preserve"> </v>
      </c>
      <c r="G100" s="46" t="str">
        <f>_xlfn.IFNA(IF(VLOOKUP($D100,Organización_Modular!$F$10:$G$195,2,FALSE)=G$23,Itinerario!W100," ")," ")</f>
        <v xml:space="preserve"> </v>
      </c>
      <c r="H100" s="46" t="str">
        <f>_xlfn.IFNA(IF(VLOOKUP($D100,Organización_Modular!$F$10:$G$195,2,FALSE)=H$23,Itinerario!T100," ")," ")</f>
        <v xml:space="preserve"> </v>
      </c>
      <c r="I100" s="46" t="str">
        <f>_xlfn.IFNA(IF(VLOOKUP($D100,Organización_Modular!$F$10:$G$195,2,FALSE)=I$23,Itinerario!W100," ")," ")</f>
        <v xml:space="preserve"> </v>
      </c>
      <c r="J100" s="46" t="str">
        <f>_xlfn.IFNA(IF(VLOOKUP($D100,Organización_Modular!$F$10:$G$195,2,FALSE)=J$23,Itinerario!T100," ")," ")</f>
        <v xml:space="preserve"> </v>
      </c>
      <c r="K100" s="46" t="str">
        <f>_xlfn.IFNA(IF(VLOOKUP($D100,Organización_Modular!$F$10:$G$195,2,FALSE)=K$23,Itinerario!W100," ")," ")</f>
        <v xml:space="preserve"> </v>
      </c>
      <c r="L100" s="46" t="str">
        <f>_xlfn.IFNA(IF(VLOOKUP($D100,Organización_Modular!$F$10:$G$195,2,FALSE)=L$23,Itinerario!T100," ")," ")</f>
        <v xml:space="preserve"> </v>
      </c>
      <c r="M100" s="46" t="str">
        <f>_xlfn.IFNA(IF(VLOOKUP($D100,Organización_Modular!$F$10:$G$195,2,FALSE)=M$23,Itinerario!W100," ")," ")</f>
        <v xml:space="preserve"> </v>
      </c>
      <c r="N100" s="46" t="str">
        <f>_xlfn.IFNA(IF(VLOOKUP($D100,Organización_Modular!$F$10:$G$195,2,FALSE)=N$23,Itinerario!T100," ")," ")</f>
        <v xml:space="preserve"> </v>
      </c>
      <c r="O100" s="46" t="str">
        <f>_xlfn.IFNA(IF(VLOOKUP($D100,Organización_Modular!$F$10:$G$195,2,FALSE)=O$23,Itinerario!W100," ")," ")</f>
        <v xml:space="preserve"> </v>
      </c>
      <c r="P100" s="46" t="str">
        <f>_xlfn.IFNA(IF(VLOOKUP($D100,Organización_Modular!$F$10:$G$195,2,FALSE)=P$23,Itinerario!T100," ")," ")</f>
        <v xml:space="preserve"> </v>
      </c>
      <c r="Q100" s="46" t="str">
        <f>_xlfn.IFNA(IF(VLOOKUP($D100,Organización_Modular!$F$10:$G$195,2,FALSE)=Q$23,Itinerario!W100," ")," ")</f>
        <v xml:space="preserve"> </v>
      </c>
      <c r="R100" s="46">
        <f>Organización_Modular!H86</f>
        <v>0</v>
      </c>
      <c r="S100" s="46">
        <f>Organización_Modular!I86</f>
        <v>0</v>
      </c>
      <c r="T100" s="90">
        <f t="shared" si="8"/>
        <v>0</v>
      </c>
      <c r="U100" s="46">
        <f t="shared" si="9"/>
        <v>0</v>
      </c>
      <c r="V100" s="46">
        <f t="shared" si="10"/>
        <v>0</v>
      </c>
      <c r="W100" s="90">
        <f t="shared" si="11"/>
        <v>0</v>
      </c>
      <c r="X100" s="95">
        <f t="shared" si="12"/>
        <v>0</v>
      </c>
    </row>
    <row r="101" spans="1:24" ht="18" hidden="1" customHeight="1" x14ac:dyDescent="0.2">
      <c r="A101" s="407"/>
      <c r="B101" s="313"/>
      <c r="C101" s="410"/>
      <c r="D101" s="409">
        <f>Organización_Modular!F87</f>
        <v>0</v>
      </c>
      <c r="E101" s="409"/>
      <c r="F101" s="46" t="str">
        <f>_xlfn.IFNA(IF(VLOOKUP($D101,Organización_Modular!$F$10:$G$195,2,FALSE)=F$23,Itinerario!T101," ")," ")</f>
        <v xml:space="preserve"> </v>
      </c>
      <c r="G101" s="46" t="str">
        <f>_xlfn.IFNA(IF(VLOOKUP($D101,Organización_Modular!$F$10:$G$195,2,FALSE)=G$23,Itinerario!W101," ")," ")</f>
        <v xml:space="preserve"> </v>
      </c>
      <c r="H101" s="46" t="str">
        <f>_xlfn.IFNA(IF(VLOOKUP($D101,Organización_Modular!$F$10:$G$195,2,FALSE)=H$23,Itinerario!T101," ")," ")</f>
        <v xml:space="preserve"> </v>
      </c>
      <c r="I101" s="46" t="str">
        <f>_xlfn.IFNA(IF(VLOOKUP($D101,Organización_Modular!$F$10:$G$195,2,FALSE)=I$23,Itinerario!W101," ")," ")</f>
        <v xml:space="preserve"> </v>
      </c>
      <c r="J101" s="46" t="str">
        <f>_xlfn.IFNA(IF(VLOOKUP($D101,Organización_Modular!$F$10:$G$195,2,FALSE)=J$23,Itinerario!T101," ")," ")</f>
        <v xml:space="preserve"> </v>
      </c>
      <c r="K101" s="46" t="str">
        <f>_xlfn.IFNA(IF(VLOOKUP($D101,Organización_Modular!$F$10:$G$195,2,FALSE)=K$23,Itinerario!W101," ")," ")</f>
        <v xml:space="preserve"> </v>
      </c>
      <c r="L101" s="46" t="str">
        <f>_xlfn.IFNA(IF(VLOOKUP($D101,Organización_Modular!$F$10:$G$195,2,FALSE)=L$23,Itinerario!T101," ")," ")</f>
        <v xml:space="preserve"> </v>
      </c>
      <c r="M101" s="46" t="str">
        <f>_xlfn.IFNA(IF(VLOOKUP($D101,Organización_Modular!$F$10:$G$195,2,FALSE)=M$23,Itinerario!W101," ")," ")</f>
        <v xml:space="preserve"> </v>
      </c>
      <c r="N101" s="46" t="str">
        <f>_xlfn.IFNA(IF(VLOOKUP($D101,Organización_Modular!$F$10:$G$195,2,FALSE)=N$23,Itinerario!T101," ")," ")</f>
        <v xml:space="preserve"> </v>
      </c>
      <c r="O101" s="46" t="str">
        <f>_xlfn.IFNA(IF(VLOOKUP($D101,Organización_Modular!$F$10:$G$195,2,FALSE)=O$23,Itinerario!W101," ")," ")</f>
        <v xml:space="preserve"> </v>
      </c>
      <c r="P101" s="46" t="str">
        <f>_xlfn.IFNA(IF(VLOOKUP($D101,Organización_Modular!$F$10:$G$195,2,FALSE)=P$23,Itinerario!T101," ")," ")</f>
        <v xml:space="preserve"> </v>
      </c>
      <c r="Q101" s="46" t="str">
        <f>_xlfn.IFNA(IF(VLOOKUP($D101,Organización_Modular!$F$10:$G$195,2,FALSE)=Q$23,Itinerario!W101," ")," ")</f>
        <v xml:space="preserve"> </v>
      </c>
      <c r="R101" s="46">
        <f>Organización_Modular!H87</f>
        <v>0</v>
      </c>
      <c r="S101" s="46">
        <f>Organización_Modular!I87</f>
        <v>0</v>
      </c>
      <c r="T101" s="90">
        <f t="shared" si="8"/>
        <v>0</v>
      </c>
      <c r="U101" s="46">
        <f t="shared" si="9"/>
        <v>0</v>
      </c>
      <c r="V101" s="46">
        <f t="shared" si="10"/>
        <v>0</v>
      </c>
      <c r="W101" s="90">
        <f t="shared" si="11"/>
        <v>0</v>
      </c>
      <c r="X101" s="95">
        <f t="shared" si="12"/>
        <v>0</v>
      </c>
    </row>
    <row r="102" spans="1:24" ht="18" hidden="1" customHeight="1" x14ac:dyDescent="0.2">
      <c r="A102" s="407"/>
      <c r="B102" s="313"/>
      <c r="C102" s="410"/>
      <c r="D102" s="409">
        <f>Organización_Modular!F88</f>
        <v>0</v>
      </c>
      <c r="E102" s="409"/>
      <c r="F102" s="46" t="str">
        <f>_xlfn.IFNA(IF(VLOOKUP($D102,Organización_Modular!$F$10:$G$195,2,FALSE)=F$23,Itinerario!T102," ")," ")</f>
        <v xml:space="preserve"> </v>
      </c>
      <c r="G102" s="46" t="str">
        <f>_xlfn.IFNA(IF(VLOOKUP($D102,Organización_Modular!$F$10:$G$195,2,FALSE)=G$23,Itinerario!W102," ")," ")</f>
        <v xml:space="preserve"> </v>
      </c>
      <c r="H102" s="46" t="str">
        <f>_xlfn.IFNA(IF(VLOOKUP($D102,Organización_Modular!$F$10:$G$195,2,FALSE)=H$23,Itinerario!T102," ")," ")</f>
        <v xml:space="preserve"> </v>
      </c>
      <c r="I102" s="46" t="str">
        <f>_xlfn.IFNA(IF(VLOOKUP($D102,Organización_Modular!$F$10:$G$195,2,FALSE)=I$23,Itinerario!W102," ")," ")</f>
        <v xml:space="preserve"> </v>
      </c>
      <c r="J102" s="46" t="str">
        <f>_xlfn.IFNA(IF(VLOOKUP($D102,Organización_Modular!$F$10:$G$195,2,FALSE)=J$23,Itinerario!T102," ")," ")</f>
        <v xml:space="preserve"> </v>
      </c>
      <c r="K102" s="46" t="str">
        <f>_xlfn.IFNA(IF(VLOOKUP($D102,Organización_Modular!$F$10:$G$195,2,FALSE)=K$23,Itinerario!W102," ")," ")</f>
        <v xml:space="preserve"> </v>
      </c>
      <c r="L102" s="46" t="str">
        <f>_xlfn.IFNA(IF(VLOOKUP($D102,Organización_Modular!$F$10:$G$195,2,FALSE)=L$23,Itinerario!T102," ")," ")</f>
        <v xml:space="preserve"> </v>
      </c>
      <c r="M102" s="46" t="str">
        <f>_xlfn.IFNA(IF(VLOOKUP($D102,Organización_Modular!$F$10:$G$195,2,FALSE)=M$23,Itinerario!W102," ")," ")</f>
        <v xml:space="preserve"> </v>
      </c>
      <c r="N102" s="46" t="str">
        <f>_xlfn.IFNA(IF(VLOOKUP($D102,Organización_Modular!$F$10:$G$195,2,FALSE)=N$23,Itinerario!T102," ")," ")</f>
        <v xml:space="preserve"> </v>
      </c>
      <c r="O102" s="46" t="str">
        <f>_xlfn.IFNA(IF(VLOOKUP($D102,Organización_Modular!$F$10:$G$195,2,FALSE)=O$23,Itinerario!W102," ")," ")</f>
        <v xml:space="preserve"> </v>
      </c>
      <c r="P102" s="46" t="str">
        <f>_xlfn.IFNA(IF(VLOOKUP($D102,Organización_Modular!$F$10:$G$195,2,FALSE)=P$23,Itinerario!T102," ")," ")</f>
        <v xml:space="preserve"> </v>
      </c>
      <c r="Q102" s="46" t="str">
        <f>_xlfn.IFNA(IF(VLOOKUP($D102,Organización_Modular!$F$10:$G$195,2,FALSE)=Q$23,Itinerario!W102," ")," ")</f>
        <v xml:space="preserve"> </v>
      </c>
      <c r="R102" s="46">
        <f>Organización_Modular!H88</f>
        <v>0</v>
      </c>
      <c r="S102" s="46">
        <f>Organización_Modular!I88</f>
        <v>0</v>
      </c>
      <c r="T102" s="90">
        <f t="shared" si="8"/>
        <v>0</v>
      </c>
      <c r="U102" s="46">
        <f t="shared" si="9"/>
        <v>0</v>
      </c>
      <c r="V102" s="46">
        <f t="shared" si="10"/>
        <v>0</v>
      </c>
      <c r="W102" s="90">
        <f t="shared" si="11"/>
        <v>0</v>
      </c>
      <c r="X102" s="95">
        <f t="shared" si="12"/>
        <v>0</v>
      </c>
    </row>
    <row r="103" spans="1:24" ht="18" hidden="1" customHeight="1" x14ac:dyDescent="0.2">
      <c r="A103" s="407"/>
      <c r="B103" s="313"/>
      <c r="C103" s="410"/>
      <c r="D103" s="409">
        <f>Organización_Modular!F89</f>
        <v>0</v>
      </c>
      <c r="E103" s="409"/>
      <c r="F103" s="46" t="str">
        <f>_xlfn.IFNA(IF(VLOOKUP($D103,Organización_Modular!$F$10:$G$195,2,FALSE)=F$23,Itinerario!T103," ")," ")</f>
        <v xml:space="preserve"> </v>
      </c>
      <c r="G103" s="46" t="str">
        <f>_xlfn.IFNA(IF(VLOOKUP($D103,Organización_Modular!$F$10:$G$195,2,FALSE)=G$23,Itinerario!W103," ")," ")</f>
        <v xml:space="preserve"> </v>
      </c>
      <c r="H103" s="46" t="str">
        <f>_xlfn.IFNA(IF(VLOOKUP($D103,Organización_Modular!$F$10:$G$195,2,FALSE)=H$23,Itinerario!T103," ")," ")</f>
        <v xml:space="preserve"> </v>
      </c>
      <c r="I103" s="46" t="str">
        <f>_xlfn.IFNA(IF(VLOOKUP($D103,Organización_Modular!$F$10:$G$195,2,FALSE)=I$23,Itinerario!W103," ")," ")</f>
        <v xml:space="preserve"> </v>
      </c>
      <c r="J103" s="46" t="str">
        <f>_xlfn.IFNA(IF(VLOOKUP($D103,Organización_Modular!$F$10:$G$195,2,FALSE)=J$23,Itinerario!T103," ")," ")</f>
        <v xml:space="preserve"> </v>
      </c>
      <c r="K103" s="46" t="str">
        <f>_xlfn.IFNA(IF(VLOOKUP($D103,Organización_Modular!$F$10:$G$195,2,FALSE)=K$23,Itinerario!W103," ")," ")</f>
        <v xml:space="preserve"> </v>
      </c>
      <c r="L103" s="46" t="str">
        <f>_xlfn.IFNA(IF(VLOOKUP($D103,Organización_Modular!$F$10:$G$195,2,FALSE)=L$23,Itinerario!T103," ")," ")</f>
        <v xml:space="preserve"> </v>
      </c>
      <c r="M103" s="46" t="str">
        <f>_xlfn.IFNA(IF(VLOOKUP($D103,Organización_Modular!$F$10:$G$195,2,FALSE)=M$23,Itinerario!W103," ")," ")</f>
        <v xml:space="preserve"> </v>
      </c>
      <c r="N103" s="46" t="str">
        <f>_xlfn.IFNA(IF(VLOOKUP($D103,Organización_Modular!$F$10:$G$195,2,FALSE)=N$23,Itinerario!T103," ")," ")</f>
        <v xml:space="preserve"> </v>
      </c>
      <c r="O103" s="46" t="str">
        <f>_xlfn.IFNA(IF(VLOOKUP($D103,Organización_Modular!$F$10:$G$195,2,FALSE)=O$23,Itinerario!W103," ")," ")</f>
        <v xml:space="preserve"> </v>
      </c>
      <c r="P103" s="46" t="str">
        <f>_xlfn.IFNA(IF(VLOOKUP($D103,Organización_Modular!$F$10:$G$195,2,FALSE)=P$23,Itinerario!T103," ")," ")</f>
        <v xml:space="preserve"> </v>
      </c>
      <c r="Q103" s="46" t="str">
        <f>_xlfn.IFNA(IF(VLOOKUP($D103,Organización_Modular!$F$10:$G$195,2,FALSE)=Q$23,Itinerario!W103," ")," ")</f>
        <v xml:space="preserve"> </v>
      </c>
      <c r="R103" s="46">
        <f>Organización_Modular!H89</f>
        <v>0</v>
      </c>
      <c r="S103" s="46">
        <f>Organización_Modular!I89</f>
        <v>0</v>
      </c>
      <c r="T103" s="90">
        <f t="shared" si="8"/>
        <v>0</v>
      </c>
      <c r="U103" s="46">
        <f t="shared" si="9"/>
        <v>0</v>
      </c>
      <c r="V103" s="46">
        <f t="shared" si="10"/>
        <v>0</v>
      </c>
      <c r="W103" s="90">
        <f t="shared" si="11"/>
        <v>0</v>
      </c>
      <c r="X103" s="95">
        <f t="shared" si="12"/>
        <v>0</v>
      </c>
    </row>
    <row r="104" spans="1:24" ht="18" hidden="1" customHeight="1" x14ac:dyDescent="0.2">
      <c r="A104" s="407"/>
      <c r="B104" s="313"/>
      <c r="C104" s="410"/>
      <c r="D104" s="409">
        <f>Organización_Modular!F90</f>
        <v>0</v>
      </c>
      <c r="E104" s="409"/>
      <c r="F104" s="46" t="str">
        <f>_xlfn.IFNA(IF(VLOOKUP($D104,Organización_Modular!$F$10:$G$195,2,FALSE)=F$23,Itinerario!T104," ")," ")</f>
        <v xml:space="preserve"> </v>
      </c>
      <c r="G104" s="46" t="str">
        <f>_xlfn.IFNA(IF(VLOOKUP($D104,Organización_Modular!$F$10:$G$195,2,FALSE)=G$23,Itinerario!W104," ")," ")</f>
        <v xml:space="preserve"> </v>
      </c>
      <c r="H104" s="46" t="str">
        <f>_xlfn.IFNA(IF(VLOOKUP($D104,Organización_Modular!$F$10:$G$195,2,FALSE)=H$23,Itinerario!T104," ")," ")</f>
        <v xml:space="preserve"> </v>
      </c>
      <c r="I104" s="46" t="str">
        <f>_xlfn.IFNA(IF(VLOOKUP($D104,Organización_Modular!$F$10:$G$195,2,FALSE)=I$23,Itinerario!W104," ")," ")</f>
        <v xml:space="preserve"> </v>
      </c>
      <c r="J104" s="46" t="str">
        <f>_xlfn.IFNA(IF(VLOOKUP($D104,Organización_Modular!$F$10:$G$195,2,FALSE)=J$23,Itinerario!T104," ")," ")</f>
        <v xml:space="preserve"> </v>
      </c>
      <c r="K104" s="46" t="str">
        <f>_xlfn.IFNA(IF(VLOOKUP($D104,Organización_Modular!$F$10:$G$195,2,FALSE)=K$23,Itinerario!W104," ")," ")</f>
        <v xml:space="preserve"> </v>
      </c>
      <c r="L104" s="46" t="str">
        <f>_xlfn.IFNA(IF(VLOOKUP($D104,Organización_Modular!$F$10:$G$195,2,FALSE)=L$23,Itinerario!T104," ")," ")</f>
        <v xml:space="preserve"> </v>
      </c>
      <c r="M104" s="46" t="str">
        <f>_xlfn.IFNA(IF(VLOOKUP($D104,Organización_Modular!$F$10:$G$195,2,FALSE)=M$23,Itinerario!W104," ")," ")</f>
        <v xml:space="preserve"> </v>
      </c>
      <c r="N104" s="46" t="str">
        <f>_xlfn.IFNA(IF(VLOOKUP($D104,Organización_Modular!$F$10:$G$195,2,FALSE)=N$23,Itinerario!T104," ")," ")</f>
        <v xml:space="preserve"> </v>
      </c>
      <c r="O104" s="46" t="str">
        <f>_xlfn.IFNA(IF(VLOOKUP($D104,Organización_Modular!$F$10:$G$195,2,FALSE)=O$23,Itinerario!W104," ")," ")</f>
        <v xml:space="preserve"> </v>
      </c>
      <c r="P104" s="46" t="str">
        <f>_xlfn.IFNA(IF(VLOOKUP($D104,Organización_Modular!$F$10:$G$195,2,FALSE)=P$23,Itinerario!T104," ")," ")</f>
        <v xml:space="preserve"> </v>
      </c>
      <c r="Q104" s="46" t="str">
        <f>_xlfn.IFNA(IF(VLOOKUP($D104,Organización_Modular!$F$10:$G$195,2,FALSE)=Q$23,Itinerario!W104," ")," ")</f>
        <v xml:space="preserve"> </v>
      </c>
      <c r="R104" s="46">
        <f>Organización_Modular!H90</f>
        <v>0</v>
      </c>
      <c r="S104" s="46">
        <f>Organización_Modular!I90</f>
        <v>0</v>
      </c>
      <c r="T104" s="90">
        <f t="shared" si="8"/>
        <v>0</v>
      </c>
      <c r="U104" s="46">
        <f t="shared" si="9"/>
        <v>0</v>
      </c>
      <c r="V104" s="46">
        <f t="shared" si="10"/>
        <v>0</v>
      </c>
      <c r="W104" s="90">
        <f t="shared" si="11"/>
        <v>0</v>
      </c>
      <c r="X104" s="95">
        <f t="shared" si="12"/>
        <v>0</v>
      </c>
    </row>
    <row r="105" spans="1:24" ht="18" hidden="1" customHeight="1" x14ac:dyDescent="0.2">
      <c r="A105" s="407"/>
      <c r="B105" s="313"/>
      <c r="C105" s="410"/>
      <c r="D105" s="409">
        <f>Organización_Modular!F91</f>
        <v>0</v>
      </c>
      <c r="E105" s="409"/>
      <c r="F105" s="46" t="str">
        <f>_xlfn.IFNA(IF(VLOOKUP($D105,Organización_Modular!$F$10:$G$195,2,FALSE)=F$23,Itinerario!T105," ")," ")</f>
        <v xml:space="preserve"> </v>
      </c>
      <c r="G105" s="46" t="str">
        <f>_xlfn.IFNA(IF(VLOOKUP($D105,Organización_Modular!$F$10:$G$195,2,FALSE)=G$23,Itinerario!W105," ")," ")</f>
        <v xml:space="preserve"> </v>
      </c>
      <c r="H105" s="46" t="str">
        <f>_xlfn.IFNA(IF(VLOOKUP($D105,Organización_Modular!$F$10:$G$195,2,FALSE)=H$23,Itinerario!T105," ")," ")</f>
        <v xml:space="preserve"> </v>
      </c>
      <c r="I105" s="46" t="str">
        <f>_xlfn.IFNA(IF(VLOOKUP($D105,Organización_Modular!$F$10:$G$195,2,FALSE)=I$23,Itinerario!W105," ")," ")</f>
        <v xml:space="preserve"> </v>
      </c>
      <c r="J105" s="46" t="str">
        <f>_xlfn.IFNA(IF(VLOOKUP($D105,Organización_Modular!$F$10:$G$195,2,FALSE)=J$23,Itinerario!T105," ")," ")</f>
        <v xml:space="preserve"> </v>
      </c>
      <c r="K105" s="46" t="str">
        <f>_xlfn.IFNA(IF(VLOOKUP($D105,Organización_Modular!$F$10:$G$195,2,FALSE)=K$23,Itinerario!W105," ")," ")</f>
        <v xml:space="preserve"> </v>
      </c>
      <c r="L105" s="46" t="str">
        <f>_xlfn.IFNA(IF(VLOOKUP($D105,Organización_Modular!$F$10:$G$195,2,FALSE)=L$23,Itinerario!T105," ")," ")</f>
        <v xml:space="preserve"> </v>
      </c>
      <c r="M105" s="46" t="str">
        <f>_xlfn.IFNA(IF(VLOOKUP($D105,Organización_Modular!$F$10:$G$195,2,FALSE)=M$23,Itinerario!W105," ")," ")</f>
        <v xml:space="preserve"> </v>
      </c>
      <c r="N105" s="46" t="str">
        <f>_xlfn.IFNA(IF(VLOOKUP($D105,Organización_Modular!$F$10:$G$195,2,FALSE)=N$23,Itinerario!T105," ")," ")</f>
        <v xml:space="preserve"> </v>
      </c>
      <c r="O105" s="46" t="str">
        <f>_xlfn.IFNA(IF(VLOOKUP($D105,Organización_Modular!$F$10:$G$195,2,FALSE)=O$23,Itinerario!W105," ")," ")</f>
        <v xml:space="preserve"> </v>
      </c>
      <c r="P105" s="46" t="str">
        <f>_xlfn.IFNA(IF(VLOOKUP($D105,Organización_Modular!$F$10:$G$195,2,FALSE)=P$23,Itinerario!T105," ")," ")</f>
        <v xml:space="preserve"> </v>
      </c>
      <c r="Q105" s="46" t="str">
        <f>_xlfn.IFNA(IF(VLOOKUP($D105,Organización_Modular!$F$10:$G$195,2,FALSE)=Q$23,Itinerario!W105," ")," ")</f>
        <v xml:space="preserve"> </v>
      </c>
      <c r="R105" s="46">
        <f>Organización_Modular!H91</f>
        <v>0</v>
      </c>
      <c r="S105" s="46">
        <f>Organización_Modular!I91</f>
        <v>0</v>
      </c>
      <c r="T105" s="90">
        <f t="shared" si="8"/>
        <v>0</v>
      </c>
      <c r="U105" s="46">
        <f t="shared" si="9"/>
        <v>0</v>
      </c>
      <c r="V105" s="46">
        <f t="shared" si="10"/>
        <v>0</v>
      </c>
      <c r="W105" s="90">
        <f t="shared" si="11"/>
        <v>0</v>
      </c>
      <c r="X105" s="95">
        <f t="shared" si="12"/>
        <v>0</v>
      </c>
    </row>
    <row r="106" spans="1:24" ht="46.5" customHeight="1" x14ac:dyDescent="0.2">
      <c r="A106" s="407"/>
      <c r="B106" s="314" t="str">
        <f>B44</f>
        <v>Competencias para la empleabilidad</v>
      </c>
      <c r="C106" s="410" t="str">
        <f>Organización_Modular!C92</f>
        <v>CE2 Tecnologías de la información.- Manejar herramientas informáticas  de las TIC para buscar y analizar información, comunicarse y realizar procedimientos o tareas vinculadas al área profesional, de acuerdo a los requerimientos de su entorno laboral.(UD)</v>
      </c>
      <c r="D106" s="409" t="str">
        <f>Organización_Modular!F92</f>
        <v>Herramientas virtuales
(Aplicaciones Web)</v>
      </c>
      <c r="E106" s="409"/>
      <c r="F106" s="46" t="str">
        <f>_xlfn.IFNA(IF(VLOOKUP($D106,Organización_Modular!$F$10:$G$195,2,FALSE)=F$23,Itinerario!T106," ")," ")</f>
        <v xml:space="preserve"> </v>
      </c>
      <c r="G106" s="46" t="str">
        <f>_xlfn.IFNA(IF(VLOOKUP($D106,Organización_Modular!$F$10:$G$195,2,FALSE)=G$23,Itinerario!W106," ")," ")</f>
        <v xml:space="preserve"> </v>
      </c>
      <c r="H106" s="46" t="str">
        <f>_xlfn.IFNA(IF(VLOOKUP($D106,Organización_Modular!$F$10:$G$195,2,FALSE)=H$23,Itinerario!T106," ")," ")</f>
        <v xml:space="preserve"> </v>
      </c>
      <c r="I106" s="46" t="str">
        <f>_xlfn.IFNA(IF(VLOOKUP($D106,Organización_Modular!$F$10:$G$195,2,FALSE)=I$23,Itinerario!W106," ")," ")</f>
        <v xml:space="preserve"> </v>
      </c>
      <c r="J106" s="46">
        <f>_xlfn.IFNA(IF(VLOOKUP($D106,Organización_Modular!$F$10:$G$195,2,FALSE)=J$23,Itinerario!T106," ")," ")</f>
        <v>2</v>
      </c>
      <c r="K106" s="46">
        <f>_xlfn.IFNA(IF(VLOOKUP($D106,Organización_Modular!$F$10:$G$195,2,FALSE)=K$23,Itinerario!W106," ")," ")</f>
        <v>48</v>
      </c>
      <c r="L106" s="46" t="str">
        <f>_xlfn.IFNA(IF(VLOOKUP($D106,Organización_Modular!$F$10:$G$195,2,FALSE)=L$23,Itinerario!T106," ")," ")</f>
        <v xml:space="preserve"> </v>
      </c>
      <c r="M106" s="46" t="str">
        <f>_xlfn.IFNA(IF(VLOOKUP($D106,Organización_Modular!$F$10:$G$195,2,FALSE)=M$23,Itinerario!W106," ")," ")</f>
        <v xml:space="preserve"> </v>
      </c>
      <c r="N106" s="46" t="str">
        <f>_xlfn.IFNA(IF(VLOOKUP($D106,Organización_Modular!$F$10:$G$195,2,FALSE)=N$23,Itinerario!T106," ")," ")</f>
        <v xml:space="preserve"> </v>
      </c>
      <c r="O106" s="46" t="str">
        <f>_xlfn.IFNA(IF(VLOOKUP($D106,Organización_Modular!$F$10:$G$195,2,FALSE)=O$23,Itinerario!W106," ")," ")</f>
        <v xml:space="preserve"> </v>
      </c>
      <c r="P106" s="46" t="str">
        <f>_xlfn.IFNA(IF(VLOOKUP($D106,Organización_Modular!$F$10:$G$195,2,FALSE)=P$23,Itinerario!T106," ")," ")</f>
        <v xml:space="preserve"> </v>
      </c>
      <c r="Q106" s="46" t="str">
        <f>_xlfn.IFNA(IF(VLOOKUP($D106,Organización_Modular!$F$10:$G$195,2,FALSE)=Q$23,Itinerario!W106," ")," ")</f>
        <v xml:space="preserve"> </v>
      </c>
      <c r="R106" s="46">
        <f>Organización_Modular!H92</f>
        <v>1</v>
      </c>
      <c r="S106" s="46">
        <f>Organización_Modular!I92</f>
        <v>1</v>
      </c>
      <c r="T106" s="90">
        <f t="shared" si="8"/>
        <v>2</v>
      </c>
      <c r="U106" s="46">
        <f t="shared" si="9"/>
        <v>16</v>
      </c>
      <c r="V106" s="46">
        <f t="shared" si="10"/>
        <v>32</v>
      </c>
      <c r="W106" s="90">
        <f t="shared" si="11"/>
        <v>48</v>
      </c>
      <c r="X106" s="95">
        <f t="shared" si="12"/>
        <v>48</v>
      </c>
    </row>
    <row r="107" spans="1:24" ht="81" customHeight="1" x14ac:dyDescent="0.2">
      <c r="A107" s="407"/>
      <c r="B107" s="314"/>
      <c r="C107" s="410"/>
      <c r="D107" s="409" t="str">
        <f>Organización_Modular!F93</f>
        <v>Aplicaciones web
(Aplicaciones Ofimáticas)</v>
      </c>
      <c r="E107" s="409"/>
      <c r="F107" s="46" t="str">
        <f>_xlfn.IFNA(IF(VLOOKUP($D107,Organización_Modular!$F$10:$G$195,2,FALSE)=F$23,Itinerario!T107," ")," ")</f>
        <v xml:space="preserve"> </v>
      </c>
      <c r="G107" s="46" t="str">
        <f>_xlfn.IFNA(IF(VLOOKUP($D107,Organización_Modular!$F$10:$G$195,2,FALSE)=G$23,Itinerario!W107," ")," ")</f>
        <v xml:space="preserve"> </v>
      </c>
      <c r="H107" s="46" t="str">
        <f>_xlfn.IFNA(IF(VLOOKUP($D107,Organización_Modular!$F$10:$G$195,2,FALSE)=H$23,Itinerario!T107," ")," ")</f>
        <v xml:space="preserve"> </v>
      </c>
      <c r="I107" s="46" t="str">
        <f>_xlfn.IFNA(IF(VLOOKUP($D107,Organización_Modular!$F$10:$G$195,2,FALSE)=I$23,Itinerario!W107," ")," ")</f>
        <v xml:space="preserve"> </v>
      </c>
      <c r="J107" s="46">
        <f>_xlfn.IFNA(IF(VLOOKUP($D107,Organización_Modular!$F$10:$G$195,2,FALSE)=J$23,Itinerario!T107," ")," ")</f>
        <v>1</v>
      </c>
      <c r="K107" s="46">
        <f>_xlfn.IFNA(IF(VLOOKUP($D107,Organización_Modular!$F$10:$G$195,2,FALSE)=K$23,Itinerario!W107," ")," ")</f>
        <v>32</v>
      </c>
      <c r="L107" s="46" t="str">
        <f>_xlfn.IFNA(IF(VLOOKUP($D107,Organización_Modular!$F$10:$G$195,2,FALSE)=L$23,Itinerario!T107," ")," ")</f>
        <v xml:space="preserve"> </v>
      </c>
      <c r="M107" s="46" t="str">
        <f>_xlfn.IFNA(IF(VLOOKUP($D107,Organización_Modular!$F$10:$G$195,2,FALSE)=M$23,Itinerario!W107," ")," ")</f>
        <v xml:space="preserve"> </v>
      </c>
      <c r="N107" s="46" t="str">
        <f>_xlfn.IFNA(IF(VLOOKUP($D107,Organización_Modular!$F$10:$G$195,2,FALSE)=N$23,Itinerario!T107," ")," ")</f>
        <v xml:space="preserve"> </v>
      </c>
      <c r="O107" s="46" t="str">
        <f>_xlfn.IFNA(IF(VLOOKUP($D107,Organización_Modular!$F$10:$G$195,2,FALSE)=O$23,Itinerario!W107," ")," ")</f>
        <v xml:space="preserve"> </v>
      </c>
      <c r="P107" s="46" t="str">
        <f>_xlfn.IFNA(IF(VLOOKUP($D107,Organización_Modular!$F$10:$G$195,2,FALSE)=P$23,Itinerario!T107," ")," ")</f>
        <v xml:space="preserve"> </v>
      </c>
      <c r="Q107" s="46" t="str">
        <f>_xlfn.IFNA(IF(VLOOKUP($D107,Organización_Modular!$F$10:$G$195,2,FALSE)=Q$23,Itinerario!W107," ")," ")</f>
        <v xml:space="preserve"> </v>
      </c>
      <c r="R107" s="46">
        <f>Organización_Modular!H93</f>
        <v>0</v>
      </c>
      <c r="S107" s="46">
        <f>Organización_Modular!I93</f>
        <v>1</v>
      </c>
      <c r="T107" s="90">
        <f t="shared" si="8"/>
        <v>1</v>
      </c>
      <c r="U107" s="46">
        <f t="shared" si="9"/>
        <v>0</v>
      </c>
      <c r="V107" s="46">
        <f t="shared" si="10"/>
        <v>32</v>
      </c>
      <c r="W107" s="90">
        <f t="shared" si="11"/>
        <v>32</v>
      </c>
      <c r="X107" s="95">
        <f t="shared" si="12"/>
        <v>32</v>
      </c>
    </row>
    <row r="108" spans="1:24" ht="18" hidden="1" customHeight="1" x14ac:dyDescent="0.2">
      <c r="A108" s="407"/>
      <c r="B108" s="314"/>
      <c r="C108" s="410"/>
      <c r="D108" s="409">
        <f>Organización_Modular!F94</f>
        <v>0</v>
      </c>
      <c r="E108" s="409"/>
      <c r="F108" s="46" t="str">
        <f>_xlfn.IFNA(IF(VLOOKUP($D108,Organización_Modular!$F$10:$G$195,2,FALSE)=F$23,Itinerario!T108," ")," ")</f>
        <v xml:space="preserve"> </v>
      </c>
      <c r="G108" s="46" t="str">
        <f>_xlfn.IFNA(IF(VLOOKUP($D108,Organización_Modular!$F$10:$G$195,2,FALSE)=G$23,Itinerario!W108," ")," ")</f>
        <v xml:space="preserve"> </v>
      </c>
      <c r="H108" s="46" t="str">
        <f>_xlfn.IFNA(IF(VLOOKUP($D108,Organización_Modular!$F$10:$G$195,2,FALSE)=H$23,Itinerario!T108," ")," ")</f>
        <v xml:space="preserve"> </v>
      </c>
      <c r="I108" s="46" t="str">
        <f>_xlfn.IFNA(IF(VLOOKUP($D108,Organización_Modular!$F$10:$G$195,2,FALSE)=I$23,Itinerario!W108," ")," ")</f>
        <v xml:space="preserve"> </v>
      </c>
      <c r="J108" s="46" t="str">
        <f>_xlfn.IFNA(IF(VLOOKUP($D108,Organización_Modular!$F$10:$G$195,2,FALSE)=J$23,Itinerario!T108," ")," ")</f>
        <v xml:space="preserve"> </v>
      </c>
      <c r="K108" s="46" t="str">
        <f>_xlfn.IFNA(IF(VLOOKUP($D108,Organización_Modular!$F$10:$G$195,2,FALSE)=K$23,Itinerario!W108," ")," ")</f>
        <v xml:space="preserve"> </v>
      </c>
      <c r="L108" s="46" t="str">
        <f>_xlfn.IFNA(IF(VLOOKUP($D108,Organización_Modular!$F$10:$G$195,2,FALSE)=L$23,Itinerario!T108," ")," ")</f>
        <v xml:space="preserve"> </v>
      </c>
      <c r="M108" s="46" t="str">
        <f>_xlfn.IFNA(IF(VLOOKUP($D108,Organización_Modular!$F$10:$G$195,2,FALSE)=M$23,Itinerario!W108," ")," ")</f>
        <v xml:space="preserve"> </v>
      </c>
      <c r="N108" s="46" t="str">
        <f>_xlfn.IFNA(IF(VLOOKUP($D108,Organización_Modular!$F$10:$G$195,2,FALSE)=N$23,Itinerario!T108," ")," ")</f>
        <v xml:space="preserve"> </v>
      </c>
      <c r="O108" s="46" t="str">
        <f>_xlfn.IFNA(IF(VLOOKUP($D108,Organización_Modular!$F$10:$G$195,2,FALSE)=O$23,Itinerario!W108," ")," ")</f>
        <v xml:space="preserve"> </v>
      </c>
      <c r="P108" s="46" t="str">
        <f>_xlfn.IFNA(IF(VLOOKUP($D108,Organización_Modular!$F$10:$G$195,2,FALSE)=P$23,Itinerario!T108," ")," ")</f>
        <v xml:space="preserve"> </v>
      </c>
      <c r="Q108" s="46" t="str">
        <f>_xlfn.IFNA(IF(VLOOKUP($D108,Organización_Modular!$F$10:$G$195,2,FALSE)=Q$23,Itinerario!W108," ")," ")</f>
        <v xml:space="preserve"> </v>
      </c>
      <c r="R108" s="46">
        <f>Organización_Modular!H94</f>
        <v>0</v>
      </c>
      <c r="S108" s="46">
        <f>Organización_Modular!I94</f>
        <v>0</v>
      </c>
      <c r="T108" s="90">
        <f t="shared" si="8"/>
        <v>0</v>
      </c>
      <c r="U108" s="46">
        <f t="shared" si="9"/>
        <v>0</v>
      </c>
      <c r="V108" s="46">
        <f t="shared" si="10"/>
        <v>0</v>
      </c>
      <c r="W108" s="90">
        <f t="shared" si="11"/>
        <v>0</v>
      </c>
      <c r="X108" s="95">
        <f t="shared" si="12"/>
        <v>0</v>
      </c>
    </row>
    <row r="109" spans="1:24" ht="18" hidden="1" customHeight="1" x14ac:dyDescent="0.2">
      <c r="A109" s="407"/>
      <c r="B109" s="314"/>
      <c r="C109" s="410"/>
      <c r="D109" s="409">
        <f>Organización_Modular!F95</f>
        <v>0</v>
      </c>
      <c r="E109" s="409"/>
      <c r="F109" s="46" t="str">
        <f>_xlfn.IFNA(IF(VLOOKUP($D109,Organización_Modular!$F$10:$G$195,2,FALSE)=F$23,Itinerario!T109," ")," ")</f>
        <v xml:space="preserve"> </v>
      </c>
      <c r="G109" s="46" t="str">
        <f>_xlfn.IFNA(IF(VLOOKUP($D109,Organización_Modular!$F$10:$G$195,2,FALSE)=G$23,Itinerario!W109," ")," ")</f>
        <v xml:space="preserve"> </v>
      </c>
      <c r="H109" s="46" t="str">
        <f>_xlfn.IFNA(IF(VLOOKUP($D109,Organización_Modular!$F$10:$G$195,2,FALSE)=H$23,Itinerario!T109," ")," ")</f>
        <v xml:space="preserve"> </v>
      </c>
      <c r="I109" s="46" t="str">
        <f>_xlfn.IFNA(IF(VLOOKUP($D109,Organización_Modular!$F$10:$G$195,2,FALSE)=I$23,Itinerario!W109," ")," ")</f>
        <v xml:space="preserve"> </v>
      </c>
      <c r="J109" s="46" t="str">
        <f>_xlfn.IFNA(IF(VLOOKUP($D109,Organización_Modular!$F$10:$G$195,2,FALSE)=J$23,Itinerario!T109," ")," ")</f>
        <v xml:space="preserve"> </v>
      </c>
      <c r="K109" s="46" t="str">
        <f>_xlfn.IFNA(IF(VLOOKUP($D109,Organización_Modular!$F$10:$G$195,2,FALSE)=K$23,Itinerario!W109," ")," ")</f>
        <v xml:space="preserve"> </v>
      </c>
      <c r="L109" s="46" t="str">
        <f>_xlfn.IFNA(IF(VLOOKUP($D109,Organización_Modular!$F$10:$G$195,2,FALSE)=L$23,Itinerario!T109," ")," ")</f>
        <v xml:space="preserve"> </v>
      </c>
      <c r="M109" s="46" t="str">
        <f>_xlfn.IFNA(IF(VLOOKUP($D109,Organización_Modular!$F$10:$G$195,2,FALSE)=M$23,Itinerario!W109," ")," ")</f>
        <v xml:space="preserve"> </v>
      </c>
      <c r="N109" s="46" t="str">
        <f>_xlfn.IFNA(IF(VLOOKUP($D109,Organización_Modular!$F$10:$G$195,2,FALSE)=N$23,Itinerario!T109," ")," ")</f>
        <v xml:space="preserve"> </v>
      </c>
      <c r="O109" s="46" t="str">
        <f>_xlfn.IFNA(IF(VLOOKUP($D109,Organización_Modular!$F$10:$G$195,2,FALSE)=O$23,Itinerario!W109," ")," ")</f>
        <v xml:space="preserve"> </v>
      </c>
      <c r="P109" s="46" t="str">
        <f>_xlfn.IFNA(IF(VLOOKUP($D109,Organización_Modular!$F$10:$G$195,2,FALSE)=P$23,Itinerario!T109," ")," ")</f>
        <v xml:space="preserve"> </v>
      </c>
      <c r="Q109" s="46" t="str">
        <f>_xlfn.IFNA(IF(VLOOKUP($D109,Organización_Modular!$F$10:$G$195,2,FALSE)=Q$23,Itinerario!W109," ")," ")</f>
        <v xml:space="preserve"> </v>
      </c>
      <c r="R109" s="46">
        <f>Organización_Modular!H95</f>
        <v>0</v>
      </c>
      <c r="S109" s="46">
        <f>Organización_Modular!I95</f>
        <v>0</v>
      </c>
      <c r="T109" s="90">
        <f t="shared" si="8"/>
        <v>0</v>
      </c>
      <c r="U109" s="46">
        <f t="shared" si="9"/>
        <v>0</v>
      </c>
      <c r="V109" s="46">
        <f t="shared" si="10"/>
        <v>0</v>
      </c>
      <c r="W109" s="90">
        <f t="shared" si="11"/>
        <v>0</v>
      </c>
      <c r="X109" s="95">
        <f t="shared" si="12"/>
        <v>0</v>
      </c>
    </row>
    <row r="110" spans="1:24" ht="18" hidden="1" customHeight="1" x14ac:dyDescent="0.2">
      <c r="A110" s="407"/>
      <c r="B110" s="314"/>
      <c r="C110" s="410"/>
      <c r="D110" s="409">
        <f>Organización_Modular!F96</f>
        <v>0</v>
      </c>
      <c r="E110" s="409"/>
      <c r="F110" s="46" t="str">
        <f>_xlfn.IFNA(IF(VLOOKUP($D110,Organización_Modular!$F$10:$G$195,2,FALSE)=F$23,Itinerario!T110," ")," ")</f>
        <v xml:space="preserve"> </v>
      </c>
      <c r="G110" s="46" t="str">
        <f>_xlfn.IFNA(IF(VLOOKUP($D110,Organización_Modular!$F$10:$G$195,2,FALSE)=G$23,Itinerario!W110," ")," ")</f>
        <v xml:space="preserve"> </v>
      </c>
      <c r="H110" s="46" t="str">
        <f>_xlfn.IFNA(IF(VLOOKUP($D110,Organización_Modular!$F$10:$G$195,2,FALSE)=H$23,Itinerario!T110," ")," ")</f>
        <v xml:space="preserve"> </v>
      </c>
      <c r="I110" s="46" t="str">
        <f>_xlfn.IFNA(IF(VLOOKUP($D110,Organización_Modular!$F$10:$G$195,2,FALSE)=I$23,Itinerario!W110," ")," ")</f>
        <v xml:space="preserve"> </v>
      </c>
      <c r="J110" s="46" t="str">
        <f>_xlfn.IFNA(IF(VLOOKUP($D110,Organización_Modular!$F$10:$G$195,2,FALSE)=J$23,Itinerario!T110," ")," ")</f>
        <v xml:space="preserve"> </v>
      </c>
      <c r="K110" s="46" t="str">
        <f>_xlfn.IFNA(IF(VLOOKUP($D110,Organización_Modular!$F$10:$G$195,2,FALSE)=K$23,Itinerario!W110," ")," ")</f>
        <v xml:space="preserve"> </v>
      </c>
      <c r="L110" s="46" t="str">
        <f>_xlfn.IFNA(IF(VLOOKUP($D110,Organización_Modular!$F$10:$G$195,2,FALSE)=L$23,Itinerario!T110," ")," ")</f>
        <v xml:space="preserve"> </v>
      </c>
      <c r="M110" s="46" t="str">
        <f>_xlfn.IFNA(IF(VLOOKUP($D110,Organización_Modular!$F$10:$G$195,2,FALSE)=M$23,Itinerario!W110," ")," ")</f>
        <v xml:space="preserve"> </v>
      </c>
      <c r="N110" s="46" t="str">
        <f>_xlfn.IFNA(IF(VLOOKUP($D110,Organización_Modular!$F$10:$G$195,2,FALSE)=N$23,Itinerario!T110," ")," ")</f>
        <v xml:space="preserve"> </v>
      </c>
      <c r="O110" s="46" t="str">
        <f>_xlfn.IFNA(IF(VLOOKUP($D110,Organización_Modular!$F$10:$G$195,2,FALSE)=O$23,Itinerario!W110," ")," ")</f>
        <v xml:space="preserve"> </v>
      </c>
      <c r="P110" s="46" t="str">
        <f>_xlfn.IFNA(IF(VLOOKUP($D110,Organización_Modular!$F$10:$G$195,2,FALSE)=P$23,Itinerario!T110," ")," ")</f>
        <v xml:space="preserve"> </v>
      </c>
      <c r="Q110" s="46" t="str">
        <f>_xlfn.IFNA(IF(VLOOKUP($D110,Organización_Modular!$F$10:$G$195,2,FALSE)=Q$23,Itinerario!W110," ")," ")</f>
        <v xml:space="preserve"> </v>
      </c>
      <c r="R110" s="46">
        <f>Organización_Modular!H96</f>
        <v>0</v>
      </c>
      <c r="S110" s="46">
        <f>Organización_Modular!I96</f>
        <v>0</v>
      </c>
      <c r="T110" s="90">
        <f t="shared" si="8"/>
        <v>0</v>
      </c>
      <c r="U110" s="46">
        <f t="shared" si="9"/>
        <v>0</v>
      </c>
      <c r="V110" s="46">
        <f t="shared" si="10"/>
        <v>0</v>
      </c>
      <c r="W110" s="90">
        <f t="shared" si="11"/>
        <v>0</v>
      </c>
      <c r="X110" s="95">
        <f t="shared" si="12"/>
        <v>0</v>
      </c>
    </row>
    <row r="111" spans="1:24" ht="18" hidden="1" customHeight="1" x14ac:dyDescent="0.2">
      <c r="A111" s="407"/>
      <c r="B111" s="314"/>
      <c r="C111" s="410"/>
      <c r="D111" s="409">
        <f>Organización_Modular!F97</f>
        <v>0</v>
      </c>
      <c r="E111" s="409"/>
      <c r="F111" s="46" t="str">
        <f>_xlfn.IFNA(IF(VLOOKUP($D111,Organización_Modular!$F$10:$G$195,2,FALSE)=F$23,Itinerario!T111," ")," ")</f>
        <v xml:space="preserve"> </v>
      </c>
      <c r="G111" s="46" t="str">
        <f>_xlfn.IFNA(IF(VLOOKUP($D111,Organización_Modular!$F$10:$G$195,2,FALSE)=G$23,Itinerario!W111," ")," ")</f>
        <v xml:space="preserve"> </v>
      </c>
      <c r="H111" s="46" t="str">
        <f>_xlfn.IFNA(IF(VLOOKUP($D111,Organización_Modular!$F$10:$G$195,2,FALSE)=H$23,Itinerario!T111," ")," ")</f>
        <v xml:space="preserve"> </v>
      </c>
      <c r="I111" s="46" t="str">
        <f>_xlfn.IFNA(IF(VLOOKUP($D111,Organización_Modular!$F$10:$G$195,2,FALSE)=I$23,Itinerario!W111," ")," ")</f>
        <v xml:space="preserve"> </v>
      </c>
      <c r="J111" s="46" t="str">
        <f>_xlfn.IFNA(IF(VLOOKUP($D111,Organización_Modular!$F$10:$G$195,2,FALSE)=J$23,Itinerario!T111," ")," ")</f>
        <v xml:space="preserve"> </v>
      </c>
      <c r="K111" s="46" t="str">
        <f>_xlfn.IFNA(IF(VLOOKUP($D111,Organización_Modular!$F$10:$G$195,2,FALSE)=K$23,Itinerario!W111," ")," ")</f>
        <v xml:space="preserve"> </v>
      </c>
      <c r="L111" s="46" t="str">
        <f>_xlfn.IFNA(IF(VLOOKUP($D111,Organización_Modular!$F$10:$G$195,2,FALSE)=L$23,Itinerario!T111," ")," ")</f>
        <v xml:space="preserve"> </v>
      </c>
      <c r="M111" s="46" t="str">
        <f>_xlfn.IFNA(IF(VLOOKUP($D111,Organización_Modular!$F$10:$G$195,2,FALSE)=M$23,Itinerario!W111," ")," ")</f>
        <v xml:space="preserve"> </v>
      </c>
      <c r="N111" s="46" t="str">
        <f>_xlfn.IFNA(IF(VLOOKUP($D111,Organización_Modular!$F$10:$G$195,2,FALSE)=N$23,Itinerario!T111," ")," ")</f>
        <v xml:space="preserve"> </v>
      </c>
      <c r="O111" s="46" t="str">
        <f>_xlfn.IFNA(IF(VLOOKUP($D111,Organización_Modular!$F$10:$G$195,2,FALSE)=O$23,Itinerario!W111," ")," ")</f>
        <v xml:space="preserve"> </v>
      </c>
      <c r="P111" s="46" t="str">
        <f>_xlfn.IFNA(IF(VLOOKUP($D111,Organización_Modular!$F$10:$G$195,2,FALSE)=P$23,Itinerario!T111," ")," ")</f>
        <v xml:space="preserve"> </v>
      </c>
      <c r="Q111" s="46" t="str">
        <f>_xlfn.IFNA(IF(VLOOKUP($D111,Organización_Modular!$F$10:$G$195,2,FALSE)=Q$23,Itinerario!W111," ")," ")</f>
        <v xml:space="preserve"> </v>
      </c>
      <c r="R111" s="46">
        <f>Organización_Modular!H97</f>
        <v>0</v>
      </c>
      <c r="S111" s="46">
        <f>Organización_Modular!I97</f>
        <v>0</v>
      </c>
      <c r="T111" s="90">
        <f t="shared" si="8"/>
        <v>0</v>
      </c>
      <c r="U111" s="46">
        <f t="shared" si="9"/>
        <v>0</v>
      </c>
      <c r="V111" s="46">
        <f t="shared" si="10"/>
        <v>0</v>
      </c>
      <c r="W111" s="90">
        <f t="shared" si="11"/>
        <v>0</v>
      </c>
      <c r="X111" s="95">
        <f t="shared" si="12"/>
        <v>0</v>
      </c>
    </row>
    <row r="112" spans="1:24" ht="18" hidden="1" customHeight="1" x14ac:dyDescent="0.2">
      <c r="A112" s="407"/>
      <c r="B112" s="314"/>
      <c r="C112" s="410"/>
      <c r="D112" s="409">
        <f>Organización_Modular!F98</f>
        <v>0</v>
      </c>
      <c r="E112" s="409"/>
      <c r="F112" s="46" t="str">
        <f>_xlfn.IFNA(IF(VLOOKUP($D112,Organización_Modular!$F$10:$G$195,2,FALSE)=F$23,Itinerario!T112," ")," ")</f>
        <v xml:space="preserve"> </v>
      </c>
      <c r="G112" s="46" t="str">
        <f>_xlfn.IFNA(IF(VLOOKUP($D112,Organización_Modular!$F$10:$G$195,2,FALSE)=G$23,Itinerario!W112," ")," ")</f>
        <v xml:space="preserve"> </v>
      </c>
      <c r="H112" s="46" t="str">
        <f>_xlfn.IFNA(IF(VLOOKUP($D112,Organización_Modular!$F$10:$G$195,2,FALSE)=H$23,Itinerario!T112," ")," ")</f>
        <v xml:space="preserve"> </v>
      </c>
      <c r="I112" s="46" t="str">
        <f>_xlfn.IFNA(IF(VLOOKUP($D112,Organización_Modular!$F$10:$G$195,2,FALSE)=I$23,Itinerario!W112," ")," ")</f>
        <v xml:space="preserve"> </v>
      </c>
      <c r="J112" s="46" t="str">
        <f>_xlfn.IFNA(IF(VLOOKUP($D112,Organización_Modular!$F$10:$G$195,2,FALSE)=J$23,Itinerario!T112," ")," ")</f>
        <v xml:space="preserve"> </v>
      </c>
      <c r="K112" s="46" t="str">
        <f>_xlfn.IFNA(IF(VLOOKUP($D112,Organización_Modular!$F$10:$G$195,2,FALSE)=K$23,Itinerario!W112," ")," ")</f>
        <v xml:space="preserve"> </v>
      </c>
      <c r="L112" s="46" t="str">
        <f>_xlfn.IFNA(IF(VLOOKUP($D112,Organización_Modular!$F$10:$G$195,2,FALSE)=L$23,Itinerario!T112," ")," ")</f>
        <v xml:space="preserve"> </v>
      </c>
      <c r="M112" s="46" t="str">
        <f>_xlfn.IFNA(IF(VLOOKUP($D112,Organización_Modular!$F$10:$G$195,2,FALSE)=M$23,Itinerario!W112," ")," ")</f>
        <v xml:space="preserve"> </v>
      </c>
      <c r="N112" s="46" t="str">
        <f>_xlfn.IFNA(IF(VLOOKUP($D112,Organización_Modular!$F$10:$G$195,2,FALSE)=N$23,Itinerario!T112," ")," ")</f>
        <v xml:space="preserve"> </v>
      </c>
      <c r="O112" s="46" t="str">
        <f>_xlfn.IFNA(IF(VLOOKUP($D112,Organización_Modular!$F$10:$G$195,2,FALSE)=O$23,Itinerario!W112," ")," ")</f>
        <v xml:space="preserve"> </v>
      </c>
      <c r="P112" s="46" t="str">
        <f>_xlfn.IFNA(IF(VLOOKUP($D112,Organización_Modular!$F$10:$G$195,2,FALSE)=P$23,Itinerario!T112," ")," ")</f>
        <v xml:space="preserve"> </v>
      </c>
      <c r="Q112" s="46" t="str">
        <f>_xlfn.IFNA(IF(VLOOKUP($D112,Organización_Modular!$F$10:$G$195,2,FALSE)=Q$23,Itinerario!W112," ")," ")</f>
        <v xml:space="preserve"> </v>
      </c>
      <c r="R112" s="46">
        <f>Organización_Modular!H98</f>
        <v>0</v>
      </c>
      <c r="S112" s="46">
        <f>Organización_Modular!I98</f>
        <v>0</v>
      </c>
      <c r="T112" s="90">
        <f t="shared" si="8"/>
        <v>0</v>
      </c>
      <c r="U112" s="46">
        <f t="shared" si="9"/>
        <v>0</v>
      </c>
      <c r="V112" s="46">
        <f t="shared" si="10"/>
        <v>0</v>
      </c>
      <c r="W112" s="90">
        <f t="shared" si="11"/>
        <v>0</v>
      </c>
      <c r="X112" s="95">
        <f t="shared" si="12"/>
        <v>0</v>
      </c>
    </row>
    <row r="113" spans="1:24" ht="18" hidden="1" customHeight="1" x14ac:dyDescent="0.2">
      <c r="A113" s="407"/>
      <c r="B113" s="314"/>
      <c r="C113" s="410"/>
      <c r="D113" s="409">
        <f>Organización_Modular!F99</f>
        <v>0</v>
      </c>
      <c r="E113" s="409"/>
      <c r="F113" s="46" t="str">
        <f>_xlfn.IFNA(IF(VLOOKUP($D113,Organización_Modular!$F$10:$G$195,2,FALSE)=F$23,Itinerario!T113," ")," ")</f>
        <v xml:space="preserve"> </v>
      </c>
      <c r="G113" s="46" t="str">
        <f>_xlfn.IFNA(IF(VLOOKUP($D113,Organización_Modular!$F$10:$G$195,2,FALSE)=G$23,Itinerario!W113," ")," ")</f>
        <v xml:space="preserve"> </v>
      </c>
      <c r="H113" s="46" t="str">
        <f>_xlfn.IFNA(IF(VLOOKUP($D113,Organización_Modular!$F$10:$G$195,2,FALSE)=H$23,Itinerario!T113," ")," ")</f>
        <v xml:space="preserve"> </v>
      </c>
      <c r="I113" s="46" t="str">
        <f>_xlfn.IFNA(IF(VLOOKUP($D113,Organización_Modular!$F$10:$G$195,2,FALSE)=I$23,Itinerario!W113," ")," ")</f>
        <v xml:space="preserve"> </v>
      </c>
      <c r="J113" s="46" t="str">
        <f>_xlfn.IFNA(IF(VLOOKUP($D113,Organización_Modular!$F$10:$G$195,2,FALSE)=J$23,Itinerario!T113," ")," ")</f>
        <v xml:space="preserve"> </v>
      </c>
      <c r="K113" s="46" t="str">
        <f>_xlfn.IFNA(IF(VLOOKUP($D113,Organización_Modular!$F$10:$G$195,2,FALSE)=K$23,Itinerario!W113," ")," ")</f>
        <v xml:space="preserve"> </v>
      </c>
      <c r="L113" s="46" t="str">
        <f>_xlfn.IFNA(IF(VLOOKUP($D113,Organización_Modular!$F$10:$G$195,2,FALSE)=L$23,Itinerario!T113," ")," ")</f>
        <v xml:space="preserve"> </v>
      </c>
      <c r="M113" s="46" t="str">
        <f>_xlfn.IFNA(IF(VLOOKUP($D113,Organización_Modular!$F$10:$G$195,2,FALSE)=M$23,Itinerario!W113," ")," ")</f>
        <v xml:space="preserve"> </v>
      </c>
      <c r="N113" s="46" t="str">
        <f>_xlfn.IFNA(IF(VLOOKUP($D113,Organización_Modular!$F$10:$G$195,2,FALSE)=N$23,Itinerario!T113," ")," ")</f>
        <v xml:space="preserve"> </v>
      </c>
      <c r="O113" s="46" t="str">
        <f>_xlfn.IFNA(IF(VLOOKUP($D113,Organización_Modular!$F$10:$G$195,2,FALSE)=O$23,Itinerario!W113," ")," ")</f>
        <v xml:space="preserve"> </v>
      </c>
      <c r="P113" s="46" t="str">
        <f>_xlfn.IFNA(IF(VLOOKUP($D113,Organización_Modular!$F$10:$G$195,2,FALSE)=P$23,Itinerario!T113," ")," ")</f>
        <v xml:space="preserve"> </v>
      </c>
      <c r="Q113" s="46" t="str">
        <f>_xlfn.IFNA(IF(VLOOKUP($D113,Organización_Modular!$F$10:$G$195,2,FALSE)=Q$23,Itinerario!W113," ")," ")</f>
        <v xml:space="preserve"> </v>
      </c>
      <c r="R113" s="46">
        <f>Organización_Modular!H99</f>
        <v>0</v>
      </c>
      <c r="S113" s="46">
        <f>Organización_Modular!I99</f>
        <v>0</v>
      </c>
      <c r="T113" s="90">
        <f t="shared" si="8"/>
        <v>0</v>
      </c>
      <c r="U113" s="46">
        <f t="shared" si="9"/>
        <v>0</v>
      </c>
      <c r="V113" s="46">
        <f t="shared" si="10"/>
        <v>0</v>
      </c>
      <c r="W113" s="90">
        <f t="shared" si="11"/>
        <v>0</v>
      </c>
      <c r="X113" s="95">
        <f t="shared" si="12"/>
        <v>0</v>
      </c>
    </row>
    <row r="114" spans="1:24" ht="18" hidden="1" customHeight="1" x14ac:dyDescent="0.2">
      <c r="A114" s="407"/>
      <c r="B114" s="314"/>
      <c r="C114" s="410"/>
      <c r="D114" s="409">
        <f>Organización_Modular!F100</f>
        <v>0</v>
      </c>
      <c r="E114" s="409"/>
      <c r="F114" s="46" t="str">
        <f>_xlfn.IFNA(IF(VLOOKUP($D114,Organización_Modular!$F$10:$G$195,2,FALSE)=F$23,Itinerario!T114," ")," ")</f>
        <v xml:space="preserve"> </v>
      </c>
      <c r="G114" s="46" t="str">
        <f>_xlfn.IFNA(IF(VLOOKUP($D114,Organización_Modular!$F$10:$G$195,2,FALSE)=G$23,Itinerario!W114," ")," ")</f>
        <v xml:space="preserve"> </v>
      </c>
      <c r="H114" s="46" t="str">
        <f>_xlfn.IFNA(IF(VLOOKUP($D114,Organización_Modular!$F$10:$G$195,2,FALSE)=H$23,Itinerario!T114," ")," ")</f>
        <v xml:space="preserve"> </v>
      </c>
      <c r="I114" s="46" t="str">
        <f>_xlfn.IFNA(IF(VLOOKUP($D114,Organización_Modular!$F$10:$G$195,2,FALSE)=I$23,Itinerario!W114," ")," ")</f>
        <v xml:space="preserve"> </v>
      </c>
      <c r="J114" s="46" t="str">
        <f>_xlfn.IFNA(IF(VLOOKUP($D114,Organización_Modular!$F$10:$G$195,2,FALSE)=J$23,Itinerario!T114," ")," ")</f>
        <v xml:space="preserve"> </v>
      </c>
      <c r="K114" s="46" t="str">
        <f>_xlfn.IFNA(IF(VLOOKUP($D114,Organización_Modular!$F$10:$G$195,2,FALSE)=K$23,Itinerario!W114," ")," ")</f>
        <v xml:space="preserve"> </v>
      </c>
      <c r="L114" s="46" t="str">
        <f>_xlfn.IFNA(IF(VLOOKUP($D114,Organización_Modular!$F$10:$G$195,2,FALSE)=L$23,Itinerario!T114," ")," ")</f>
        <v xml:space="preserve"> </v>
      </c>
      <c r="M114" s="46" t="str">
        <f>_xlfn.IFNA(IF(VLOOKUP($D114,Organización_Modular!$F$10:$G$195,2,FALSE)=M$23,Itinerario!W114," ")," ")</f>
        <v xml:space="preserve"> </v>
      </c>
      <c r="N114" s="46" t="str">
        <f>_xlfn.IFNA(IF(VLOOKUP($D114,Organización_Modular!$F$10:$G$195,2,FALSE)=N$23,Itinerario!T114," ")," ")</f>
        <v xml:space="preserve"> </v>
      </c>
      <c r="O114" s="46" t="str">
        <f>_xlfn.IFNA(IF(VLOOKUP($D114,Organización_Modular!$F$10:$G$195,2,FALSE)=O$23,Itinerario!W114," ")," ")</f>
        <v xml:space="preserve"> </v>
      </c>
      <c r="P114" s="46" t="str">
        <f>_xlfn.IFNA(IF(VLOOKUP($D114,Organización_Modular!$F$10:$G$195,2,FALSE)=P$23,Itinerario!T114," ")," ")</f>
        <v xml:space="preserve"> </v>
      </c>
      <c r="Q114" s="46" t="str">
        <f>_xlfn.IFNA(IF(VLOOKUP($D114,Organización_Modular!$F$10:$G$195,2,FALSE)=Q$23,Itinerario!W114," ")," ")</f>
        <v xml:space="preserve"> </v>
      </c>
      <c r="R114" s="46">
        <f>Organización_Modular!H100</f>
        <v>0</v>
      </c>
      <c r="S114" s="46">
        <f>Organización_Modular!I100</f>
        <v>0</v>
      </c>
      <c r="T114" s="90">
        <f t="shared" si="8"/>
        <v>0</v>
      </c>
      <c r="U114" s="46">
        <f t="shared" si="9"/>
        <v>0</v>
      </c>
      <c r="V114" s="46">
        <f t="shared" si="10"/>
        <v>0</v>
      </c>
      <c r="W114" s="90">
        <f t="shared" si="11"/>
        <v>0</v>
      </c>
      <c r="X114" s="95">
        <f t="shared" si="12"/>
        <v>0</v>
      </c>
    </row>
    <row r="115" spans="1:24" ht="18" hidden="1" customHeight="1" x14ac:dyDescent="0.2">
      <c r="A115" s="407"/>
      <c r="B115" s="314"/>
      <c r="C115" s="410"/>
      <c r="D115" s="409">
        <f>Organización_Modular!F101</f>
        <v>0</v>
      </c>
      <c r="E115" s="409"/>
      <c r="F115" s="46" t="str">
        <f>_xlfn.IFNA(IF(VLOOKUP($D115,Organización_Modular!$F$10:$G$195,2,FALSE)=F$23,Itinerario!T115," ")," ")</f>
        <v xml:space="preserve"> </v>
      </c>
      <c r="G115" s="46" t="str">
        <f>_xlfn.IFNA(IF(VLOOKUP($D115,Organización_Modular!$F$10:$G$195,2,FALSE)=G$23,Itinerario!W115," ")," ")</f>
        <v xml:space="preserve"> </v>
      </c>
      <c r="H115" s="46" t="str">
        <f>_xlfn.IFNA(IF(VLOOKUP($D115,Organización_Modular!$F$10:$G$195,2,FALSE)=H$23,Itinerario!T115," ")," ")</f>
        <v xml:space="preserve"> </v>
      </c>
      <c r="I115" s="46" t="str">
        <f>_xlfn.IFNA(IF(VLOOKUP($D115,Organización_Modular!$F$10:$G$195,2,FALSE)=I$23,Itinerario!W115," ")," ")</f>
        <v xml:space="preserve"> </v>
      </c>
      <c r="J115" s="46" t="str">
        <f>_xlfn.IFNA(IF(VLOOKUP($D115,Organización_Modular!$F$10:$G$195,2,FALSE)=J$23,Itinerario!T115," ")," ")</f>
        <v xml:space="preserve"> </v>
      </c>
      <c r="K115" s="46" t="str">
        <f>_xlfn.IFNA(IF(VLOOKUP($D115,Organización_Modular!$F$10:$G$195,2,FALSE)=K$23,Itinerario!W115," ")," ")</f>
        <v xml:space="preserve"> </v>
      </c>
      <c r="L115" s="46" t="str">
        <f>_xlfn.IFNA(IF(VLOOKUP($D115,Organización_Modular!$F$10:$G$195,2,FALSE)=L$23,Itinerario!T115," ")," ")</f>
        <v xml:space="preserve"> </v>
      </c>
      <c r="M115" s="46" t="str">
        <f>_xlfn.IFNA(IF(VLOOKUP($D115,Organización_Modular!$F$10:$G$195,2,FALSE)=M$23,Itinerario!W115," ")," ")</f>
        <v xml:space="preserve"> </v>
      </c>
      <c r="N115" s="46" t="str">
        <f>_xlfn.IFNA(IF(VLOOKUP($D115,Organización_Modular!$F$10:$G$195,2,FALSE)=N$23,Itinerario!T115," ")," ")</f>
        <v xml:space="preserve"> </v>
      </c>
      <c r="O115" s="46" t="str">
        <f>_xlfn.IFNA(IF(VLOOKUP($D115,Organización_Modular!$F$10:$G$195,2,FALSE)=O$23,Itinerario!W115," ")," ")</f>
        <v xml:space="preserve"> </v>
      </c>
      <c r="P115" s="46" t="str">
        <f>_xlfn.IFNA(IF(VLOOKUP($D115,Organización_Modular!$F$10:$G$195,2,FALSE)=P$23,Itinerario!T115," ")," ")</f>
        <v xml:space="preserve"> </v>
      </c>
      <c r="Q115" s="46" t="str">
        <f>_xlfn.IFNA(IF(VLOOKUP($D115,Organización_Modular!$F$10:$G$195,2,FALSE)=Q$23,Itinerario!W115," ")," ")</f>
        <v xml:space="preserve"> </v>
      </c>
      <c r="R115" s="46">
        <f>Organización_Modular!H101</f>
        <v>0</v>
      </c>
      <c r="S115" s="46">
        <f>Organización_Modular!I101</f>
        <v>0</v>
      </c>
      <c r="T115" s="90">
        <f t="shared" si="8"/>
        <v>0</v>
      </c>
      <c r="U115" s="46">
        <f t="shared" si="9"/>
        <v>0</v>
      </c>
      <c r="V115" s="46">
        <f t="shared" si="10"/>
        <v>0</v>
      </c>
      <c r="W115" s="90">
        <f t="shared" si="11"/>
        <v>0</v>
      </c>
      <c r="X115" s="95">
        <f t="shared" si="12"/>
        <v>0</v>
      </c>
    </row>
    <row r="116" spans="1:24" ht="28.5" customHeight="1" x14ac:dyDescent="0.2">
      <c r="A116" s="407"/>
      <c r="B116" s="429" t="str">
        <f>B54</f>
        <v>Experiencias formativas en situaciones reales de trabajo (ESRT)</v>
      </c>
      <c r="C116" s="430"/>
      <c r="D116" s="430"/>
      <c r="E116" s="430"/>
      <c r="F116" s="176"/>
      <c r="G116" s="176"/>
      <c r="H116" s="176"/>
      <c r="I116" s="176"/>
      <c r="J116" s="176"/>
      <c r="K116" s="176"/>
      <c r="L116" s="176"/>
      <c r="M116" s="176"/>
      <c r="N116" s="176"/>
      <c r="O116" s="176"/>
      <c r="P116" s="176"/>
      <c r="Q116" s="176"/>
      <c r="R116" s="179">
        <f>Organización_Modular!H102</f>
        <v>0</v>
      </c>
      <c r="S116" s="177">
        <f>Organización_Modular!I102</f>
        <v>3</v>
      </c>
      <c r="T116" s="178">
        <f t="shared" si="8"/>
        <v>3</v>
      </c>
      <c r="U116" s="177">
        <f t="shared" si="9"/>
        <v>0</v>
      </c>
      <c r="V116" s="177">
        <f t="shared" si="10"/>
        <v>96</v>
      </c>
      <c r="W116" s="178">
        <f t="shared" si="11"/>
        <v>96</v>
      </c>
      <c r="X116" s="95">
        <f t="shared" si="12"/>
        <v>96</v>
      </c>
    </row>
    <row r="117" spans="1:24" ht="34.5" customHeight="1" x14ac:dyDescent="0.2">
      <c r="A117" s="407" t="str">
        <f>Organización_Modular!A103</f>
        <v>MÓDULO IV:   IMPLEMENTACIÓN Y CONFIGURACIÓN DE REDES DE SISTEMAS DE INFORMACION Y SERVICIOS TI</v>
      </c>
      <c r="B117" s="313" t="str">
        <f>B24</f>
        <v>Competencias técnicas (Unidad de competencia)</v>
      </c>
      <c r="C117" s="410" t="str">
        <f>Organización_Modular!C103</f>
        <v>UC4: Implementar y configurar las redes y servicios de comunicaciones efectuando las pruebas y certificaciones, de 
acuerdo con las necesidades del negocio, estándares internacionales de TI y políticas de seguridad de la organización.</v>
      </c>
      <c r="D117" s="409" t="str">
        <f>Organización_Modular!F103</f>
        <v xml:space="preserve">Instalación de redes y comunicaciones </v>
      </c>
      <c r="E117" s="409"/>
      <c r="F117" s="46" t="str">
        <f>_xlfn.IFNA(IF(VLOOKUP($D117,Organización_Modular!$F$10:$G$195,2,FALSE)=F$23,Itinerario!T117," ")," ")</f>
        <v xml:space="preserve"> </v>
      </c>
      <c r="G117" s="46" t="str">
        <f>_xlfn.IFNA(IF(VLOOKUP($D117,Organización_Modular!$F$10:$G$195,2,FALSE)=G$23,Itinerario!W117," ")," ")</f>
        <v xml:space="preserve"> </v>
      </c>
      <c r="H117" s="46" t="str">
        <f>_xlfn.IFNA(IF(VLOOKUP($D117,Organización_Modular!$F$10:$G$195,2,FALSE)=H$23,Itinerario!T117," ")," ")</f>
        <v xml:space="preserve"> </v>
      </c>
      <c r="I117" s="46" t="str">
        <f>_xlfn.IFNA(IF(VLOOKUP($D117,Organización_Modular!$F$10:$G$195,2,FALSE)=I$23,Itinerario!W117," ")," ")</f>
        <v xml:space="preserve"> </v>
      </c>
      <c r="J117" s="46" t="str">
        <f>_xlfn.IFNA(IF(VLOOKUP($D117,Organización_Modular!$F$10:$G$195,2,FALSE)=J$23,Itinerario!T117," ")," ")</f>
        <v xml:space="preserve"> </v>
      </c>
      <c r="K117" s="46" t="str">
        <f>_xlfn.IFNA(IF(VLOOKUP($D117,Organización_Modular!$F$10:$G$195,2,FALSE)=K$23,Itinerario!W117," ")," ")</f>
        <v xml:space="preserve"> </v>
      </c>
      <c r="L117" s="46">
        <f>_xlfn.IFNA(IF(VLOOKUP($D117,Organización_Modular!$F$10:$G$195,2,FALSE)=L$23,Itinerario!T117," ")," ")</f>
        <v>4</v>
      </c>
      <c r="M117" s="46">
        <f>_xlfn.IFNA(IF(VLOOKUP($D117,Organización_Modular!$F$10:$G$195,2,FALSE)=M$23,Itinerario!W117," ")," ")</f>
        <v>80</v>
      </c>
      <c r="N117" s="46" t="str">
        <f>_xlfn.IFNA(IF(VLOOKUP($D117,Organización_Modular!$F$10:$G$195,2,FALSE)=N$23,Itinerario!T117," ")," ")</f>
        <v xml:space="preserve"> </v>
      </c>
      <c r="O117" s="46" t="str">
        <f>_xlfn.IFNA(IF(VLOOKUP($D117,Organización_Modular!$F$10:$G$195,2,FALSE)=O$23,Itinerario!W117," ")," ")</f>
        <v xml:space="preserve"> </v>
      </c>
      <c r="P117" s="46" t="str">
        <f>_xlfn.IFNA(IF(VLOOKUP($D117,Organización_Modular!$F$10:$G$195,2,FALSE)=P$23,Itinerario!T117," ")," ")</f>
        <v xml:space="preserve"> </v>
      </c>
      <c r="Q117" s="46" t="str">
        <f>_xlfn.IFNA(IF(VLOOKUP($D117,Organización_Modular!$F$10:$G$195,2,FALSE)=Q$23,Itinerario!W117," ")," ")</f>
        <v xml:space="preserve"> </v>
      </c>
      <c r="R117" s="46">
        <f>Organización_Modular!H103</f>
        <v>3</v>
      </c>
      <c r="S117" s="46">
        <f>Organización_Modular!I103</f>
        <v>1</v>
      </c>
      <c r="T117" s="90">
        <f>SUM(R117:S117)</f>
        <v>4</v>
      </c>
      <c r="U117" s="46">
        <f t="shared" si="9"/>
        <v>48</v>
      </c>
      <c r="V117" s="46">
        <f t="shared" si="10"/>
        <v>32</v>
      </c>
      <c r="W117" s="90">
        <f t="shared" si="11"/>
        <v>80</v>
      </c>
      <c r="X117" s="95">
        <f t="shared" si="12"/>
        <v>80</v>
      </c>
    </row>
    <row r="118" spans="1:24" ht="37.5" customHeight="1" x14ac:dyDescent="0.2">
      <c r="A118" s="407"/>
      <c r="B118" s="313"/>
      <c r="C118" s="410"/>
      <c r="D118" s="409" t="str">
        <f>Organización_Modular!F104</f>
        <v>Configuración de redes y telecomunicaciones</v>
      </c>
      <c r="E118" s="409"/>
      <c r="F118" s="46" t="str">
        <f>_xlfn.IFNA(IF(VLOOKUP($D118,Organización_Modular!$F$10:$G$195,2,FALSE)=F$23,Itinerario!T118," ")," ")</f>
        <v xml:space="preserve"> </v>
      </c>
      <c r="G118" s="46" t="str">
        <f>_xlfn.IFNA(IF(VLOOKUP($D118,Organización_Modular!$F$10:$G$195,2,FALSE)=G$23,Itinerario!W118," ")," ")</f>
        <v xml:space="preserve"> </v>
      </c>
      <c r="H118" s="46" t="str">
        <f>_xlfn.IFNA(IF(VLOOKUP($D118,Organización_Modular!$F$10:$G$195,2,FALSE)=H$23,Itinerario!T118," ")," ")</f>
        <v xml:space="preserve"> </v>
      </c>
      <c r="I118" s="46" t="str">
        <f>_xlfn.IFNA(IF(VLOOKUP($D118,Organización_Modular!$F$10:$G$195,2,FALSE)=I$23,Itinerario!W118," ")," ")</f>
        <v xml:space="preserve"> </v>
      </c>
      <c r="J118" s="46" t="str">
        <f>_xlfn.IFNA(IF(VLOOKUP($D118,Organización_Modular!$F$10:$G$195,2,FALSE)=J$23,Itinerario!T118," ")," ")</f>
        <v xml:space="preserve"> </v>
      </c>
      <c r="K118" s="46" t="str">
        <f>_xlfn.IFNA(IF(VLOOKUP($D118,Organización_Modular!$F$10:$G$195,2,FALSE)=K$23,Itinerario!W118," ")," ")</f>
        <v xml:space="preserve"> </v>
      </c>
      <c r="L118" s="46">
        <f>_xlfn.IFNA(IF(VLOOKUP($D118,Organización_Modular!$F$10:$G$195,2,FALSE)=L$23,Itinerario!T118," ")," ")</f>
        <v>3</v>
      </c>
      <c r="M118" s="46">
        <f>_xlfn.IFNA(IF(VLOOKUP($D118,Organización_Modular!$F$10:$G$195,2,FALSE)=M$23,Itinerario!W118," ")," ")</f>
        <v>64</v>
      </c>
      <c r="N118" s="46" t="str">
        <f>_xlfn.IFNA(IF(VLOOKUP($D118,Organización_Modular!$F$10:$G$195,2,FALSE)=N$23,Itinerario!T118," ")," ")</f>
        <v xml:space="preserve"> </v>
      </c>
      <c r="O118" s="46" t="str">
        <f>_xlfn.IFNA(IF(VLOOKUP($D118,Organización_Modular!$F$10:$G$195,2,FALSE)=O$23,Itinerario!W118," ")," ")</f>
        <v xml:space="preserve"> </v>
      </c>
      <c r="P118" s="46" t="str">
        <f>_xlfn.IFNA(IF(VLOOKUP($D118,Organización_Modular!$F$10:$G$195,2,FALSE)=P$23,Itinerario!T118," ")," ")</f>
        <v xml:space="preserve"> </v>
      </c>
      <c r="Q118" s="46" t="str">
        <f>_xlfn.IFNA(IF(VLOOKUP($D118,Organización_Modular!$F$10:$G$195,2,FALSE)=Q$23,Itinerario!W118," ")," ")</f>
        <v xml:space="preserve"> </v>
      </c>
      <c r="R118" s="46">
        <f>Organización_Modular!H104</f>
        <v>2</v>
      </c>
      <c r="S118" s="46">
        <f>Organización_Modular!I104</f>
        <v>1</v>
      </c>
      <c r="T118" s="90">
        <f t="shared" ref="T118:T147" si="13">SUM(R118:S118)</f>
        <v>3</v>
      </c>
      <c r="U118" s="46">
        <f t="shared" si="9"/>
        <v>32</v>
      </c>
      <c r="V118" s="46">
        <f t="shared" si="10"/>
        <v>32</v>
      </c>
      <c r="W118" s="90">
        <f t="shared" si="11"/>
        <v>64</v>
      </c>
      <c r="X118" s="95">
        <f t="shared" si="12"/>
        <v>64</v>
      </c>
    </row>
    <row r="119" spans="1:24" ht="27.75" customHeight="1" x14ac:dyDescent="0.2">
      <c r="A119" s="407"/>
      <c r="B119" s="313"/>
      <c r="C119" s="410"/>
      <c r="D119" s="411" t="str">
        <f>Organización_Modular!F105</f>
        <v>Mantenimiento preventivo y correctivo de redes y  comunicaciones</v>
      </c>
      <c r="E119" s="411"/>
      <c r="F119" s="46" t="str">
        <f>_xlfn.IFNA(IF(VLOOKUP($D119,Organización_Modular!$F$10:$G$195,2,FALSE)=F$23,Itinerario!T119," ")," ")</f>
        <v xml:space="preserve"> </v>
      </c>
      <c r="G119" s="46" t="str">
        <f>_xlfn.IFNA(IF(VLOOKUP($D119,Organización_Modular!$F$10:$G$195,2,FALSE)=G$23,Itinerario!W119," ")," ")</f>
        <v xml:space="preserve"> </v>
      </c>
      <c r="H119" s="46" t="str">
        <f>_xlfn.IFNA(IF(VLOOKUP($D119,Organización_Modular!$F$10:$G$195,2,FALSE)=H$23,Itinerario!T119," ")," ")</f>
        <v xml:space="preserve"> </v>
      </c>
      <c r="I119" s="46" t="str">
        <f>_xlfn.IFNA(IF(VLOOKUP($D119,Organización_Modular!$F$10:$G$195,2,FALSE)=I$23,Itinerario!W119," ")," ")</f>
        <v xml:space="preserve"> </v>
      </c>
      <c r="J119" s="46" t="str">
        <f>_xlfn.IFNA(IF(VLOOKUP($D119,Organización_Modular!$F$10:$G$195,2,FALSE)=J$23,Itinerario!T119," ")," ")</f>
        <v xml:space="preserve"> </v>
      </c>
      <c r="K119" s="46" t="str">
        <f>_xlfn.IFNA(IF(VLOOKUP($D119,Organización_Modular!$F$10:$G$195,2,FALSE)=K$23,Itinerario!W119," ")," ")</f>
        <v xml:space="preserve"> </v>
      </c>
      <c r="L119" s="46">
        <f>_xlfn.IFNA(IF(VLOOKUP($D119,Organización_Modular!$F$10:$G$195,2,FALSE)=L$23,Itinerario!T119," ")," ")</f>
        <v>3</v>
      </c>
      <c r="M119" s="46">
        <f>_xlfn.IFNA(IF(VLOOKUP($D119,Organización_Modular!$F$10:$G$195,2,FALSE)=M$23,Itinerario!W119," ")," ")</f>
        <v>80</v>
      </c>
      <c r="N119" s="46" t="str">
        <f>_xlfn.IFNA(IF(VLOOKUP($D119,Organización_Modular!$F$10:$G$195,2,FALSE)=N$23,Itinerario!T119," ")," ")</f>
        <v xml:space="preserve"> </v>
      </c>
      <c r="O119" s="46" t="str">
        <f>_xlfn.IFNA(IF(VLOOKUP($D119,Organización_Modular!$F$10:$G$195,2,FALSE)=O$23,Itinerario!W119," ")," ")</f>
        <v xml:space="preserve"> </v>
      </c>
      <c r="P119" s="46" t="str">
        <f>_xlfn.IFNA(IF(VLOOKUP($D119,Organización_Modular!$F$10:$G$195,2,FALSE)=P$23,Itinerario!T119," ")," ")</f>
        <v xml:space="preserve"> </v>
      </c>
      <c r="Q119" s="46" t="str">
        <f>_xlfn.IFNA(IF(VLOOKUP($D119,Organización_Modular!$F$10:$G$195,2,FALSE)=Q$23,Itinerario!W119," ")," ")</f>
        <v xml:space="preserve"> </v>
      </c>
      <c r="R119" s="46">
        <f>Organización_Modular!H105</f>
        <v>1</v>
      </c>
      <c r="S119" s="46">
        <f>Organización_Modular!I105</f>
        <v>2</v>
      </c>
      <c r="T119" s="90">
        <f t="shared" si="13"/>
        <v>3</v>
      </c>
      <c r="U119" s="46">
        <f t="shared" si="9"/>
        <v>16</v>
      </c>
      <c r="V119" s="46">
        <f t="shared" si="10"/>
        <v>64</v>
      </c>
      <c r="W119" s="90">
        <f t="shared" si="11"/>
        <v>80</v>
      </c>
      <c r="X119" s="95">
        <f t="shared" si="12"/>
        <v>80</v>
      </c>
    </row>
    <row r="120" spans="1:24" ht="30" customHeight="1" x14ac:dyDescent="0.2">
      <c r="A120" s="407"/>
      <c r="B120" s="313"/>
      <c r="C120" s="410"/>
      <c r="D120" s="409" t="str">
        <f>Organización_Modular!F106</f>
        <v>Seguridad y control de riesgos</v>
      </c>
      <c r="E120" s="409"/>
      <c r="F120" s="46" t="str">
        <f>_xlfn.IFNA(IF(VLOOKUP($D120,Organización_Modular!$F$10:$G$195,2,FALSE)=F$23,Itinerario!T120," ")," ")</f>
        <v xml:space="preserve"> </v>
      </c>
      <c r="G120" s="46" t="str">
        <f>_xlfn.IFNA(IF(VLOOKUP($D120,Organización_Modular!$F$10:$G$195,2,FALSE)=G$23,Itinerario!W120," ")," ")</f>
        <v xml:space="preserve"> </v>
      </c>
      <c r="H120" s="46" t="str">
        <f>_xlfn.IFNA(IF(VLOOKUP($D120,Organización_Modular!$F$10:$G$195,2,FALSE)=H$23,Itinerario!T120," ")," ")</f>
        <v xml:space="preserve"> </v>
      </c>
      <c r="I120" s="46" t="str">
        <f>_xlfn.IFNA(IF(VLOOKUP($D120,Organización_Modular!$F$10:$G$195,2,FALSE)=I$23,Itinerario!W120," ")," ")</f>
        <v xml:space="preserve"> </v>
      </c>
      <c r="J120" s="46" t="str">
        <f>_xlfn.IFNA(IF(VLOOKUP($D120,Organización_Modular!$F$10:$G$195,2,FALSE)=J$23,Itinerario!T120," ")," ")</f>
        <v xml:space="preserve"> </v>
      </c>
      <c r="K120" s="46" t="str">
        <f>_xlfn.IFNA(IF(VLOOKUP($D120,Organización_Modular!$F$10:$G$195,2,FALSE)=K$23,Itinerario!W120," ")," ")</f>
        <v xml:space="preserve"> </v>
      </c>
      <c r="L120" s="46">
        <f>_xlfn.IFNA(IF(VLOOKUP($D120,Organización_Modular!$F$10:$G$195,2,FALSE)=L$23,Itinerario!T120," ")," ")</f>
        <v>1</v>
      </c>
      <c r="M120" s="46">
        <f>_xlfn.IFNA(IF(VLOOKUP($D120,Organización_Modular!$F$10:$G$195,2,FALSE)=M$23,Itinerario!W120," ")," ")</f>
        <v>32</v>
      </c>
      <c r="N120" s="46" t="str">
        <f>_xlfn.IFNA(IF(VLOOKUP($D120,Organización_Modular!$F$10:$G$195,2,FALSE)=N$23,Itinerario!T120," ")," ")</f>
        <v xml:space="preserve"> </v>
      </c>
      <c r="O120" s="46" t="str">
        <f>_xlfn.IFNA(IF(VLOOKUP($D120,Organización_Modular!$F$10:$G$195,2,FALSE)=O$23,Itinerario!W120," ")," ")</f>
        <v xml:space="preserve"> </v>
      </c>
      <c r="P120" s="46" t="str">
        <f>_xlfn.IFNA(IF(VLOOKUP($D120,Organización_Modular!$F$10:$G$195,2,FALSE)=P$23,Itinerario!T120," ")," ")</f>
        <v xml:space="preserve"> </v>
      </c>
      <c r="Q120" s="46" t="str">
        <f>_xlfn.IFNA(IF(VLOOKUP($D120,Organización_Modular!$F$10:$G$195,2,FALSE)=Q$23,Itinerario!W120," ")," ")</f>
        <v xml:space="preserve"> </v>
      </c>
      <c r="R120" s="46">
        <f>Organización_Modular!H106</f>
        <v>0</v>
      </c>
      <c r="S120" s="46">
        <f>Organización_Modular!I106</f>
        <v>1</v>
      </c>
      <c r="T120" s="90">
        <f t="shared" si="13"/>
        <v>1</v>
      </c>
      <c r="U120" s="46">
        <f t="shared" si="9"/>
        <v>0</v>
      </c>
      <c r="V120" s="46">
        <f t="shared" si="10"/>
        <v>32</v>
      </c>
      <c r="W120" s="90">
        <f t="shared" si="11"/>
        <v>32</v>
      </c>
      <c r="X120" s="95">
        <f t="shared" si="12"/>
        <v>32</v>
      </c>
    </row>
    <row r="121" spans="1:24" hidden="1" x14ac:dyDescent="0.2">
      <c r="A121" s="407"/>
      <c r="B121" s="313"/>
      <c r="C121" s="410"/>
      <c r="D121" s="409">
        <f>Organización_Modular!F107</f>
        <v>0</v>
      </c>
      <c r="E121" s="409"/>
      <c r="F121" s="46" t="str">
        <f>_xlfn.IFNA(IF(VLOOKUP($D121,Organización_Modular!$F$10:$G$195,2,FALSE)=F$23,Itinerario!T121," ")," ")</f>
        <v xml:space="preserve"> </v>
      </c>
      <c r="G121" s="46" t="str">
        <f>_xlfn.IFNA(IF(VLOOKUP($D121,Organización_Modular!$F$10:$G$195,2,FALSE)=G$23,Itinerario!W121," ")," ")</f>
        <v xml:space="preserve"> </v>
      </c>
      <c r="H121" s="46" t="str">
        <f>_xlfn.IFNA(IF(VLOOKUP($D121,Organización_Modular!$F$10:$G$195,2,FALSE)=H$23,Itinerario!T121," ")," ")</f>
        <v xml:space="preserve"> </v>
      </c>
      <c r="I121" s="46" t="str">
        <f>_xlfn.IFNA(IF(VLOOKUP($D121,Organización_Modular!$F$10:$G$195,2,FALSE)=I$23,Itinerario!W121," ")," ")</f>
        <v xml:space="preserve"> </v>
      </c>
      <c r="J121" s="46" t="str">
        <f>_xlfn.IFNA(IF(VLOOKUP($D121,Organización_Modular!$F$10:$G$195,2,FALSE)=J$23,Itinerario!T121," ")," ")</f>
        <v xml:space="preserve"> </v>
      </c>
      <c r="K121" s="46" t="str">
        <f>_xlfn.IFNA(IF(VLOOKUP($D121,Organización_Modular!$F$10:$G$195,2,FALSE)=K$23,Itinerario!W121," ")," ")</f>
        <v xml:space="preserve"> </v>
      </c>
      <c r="L121" s="46" t="str">
        <f>_xlfn.IFNA(IF(VLOOKUP($D121,Organización_Modular!$F$10:$G$195,2,FALSE)=L$23,Itinerario!T121," ")," ")</f>
        <v xml:space="preserve"> </v>
      </c>
      <c r="M121" s="46" t="str">
        <f>_xlfn.IFNA(IF(VLOOKUP($D121,Organización_Modular!$F$10:$G$195,2,FALSE)=M$23,Itinerario!W121," ")," ")</f>
        <v xml:space="preserve"> </v>
      </c>
      <c r="N121" s="46" t="str">
        <f>_xlfn.IFNA(IF(VLOOKUP($D121,Organización_Modular!$F$10:$G$195,2,FALSE)=N$23,Itinerario!T121," ")," ")</f>
        <v xml:space="preserve"> </v>
      </c>
      <c r="O121" s="46" t="str">
        <f>_xlfn.IFNA(IF(VLOOKUP($D121,Organización_Modular!$F$10:$G$195,2,FALSE)=O$23,Itinerario!W121," ")," ")</f>
        <v xml:space="preserve"> </v>
      </c>
      <c r="P121" s="46" t="str">
        <f>_xlfn.IFNA(IF(VLOOKUP($D121,Organización_Modular!$F$10:$G$195,2,FALSE)=P$23,Itinerario!T121," ")," ")</f>
        <v xml:space="preserve"> </v>
      </c>
      <c r="Q121" s="46" t="str">
        <f>_xlfn.IFNA(IF(VLOOKUP($D121,Organización_Modular!$F$10:$G$195,2,FALSE)=Q$23,Itinerario!W121," ")," ")</f>
        <v xml:space="preserve"> </v>
      </c>
      <c r="R121" s="46">
        <f>Organización_Modular!H107</f>
        <v>0</v>
      </c>
      <c r="S121" s="46">
        <f>Organización_Modular!I107</f>
        <v>0</v>
      </c>
      <c r="T121" s="90">
        <f t="shared" si="13"/>
        <v>0</v>
      </c>
      <c r="U121" s="46">
        <f t="shared" si="9"/>
        <v>0</v>
      </c>
      <c r="V121" s="46">
        <f t="shared" si="10"/>
        <v>0</v>
      </c>
      <c r="W121" s="90">
        <f t="shared" si="11"/>
        <v>0</v>
      </c>
      <c r="X121" s="95">
        <f t="shared" si="12"/>
        <v>0</v>
      </c>
    </row>
    <row r="122" spans="1:24" hidden="1" x14ac:dyDescent="0.2">
      <c r="A122" s="407"/>
      <c r="B122" s="313"/>
      <c r="C122" s="410"/>
      <c r="D122" s="409">
        <f>Organización_Modular!F108</f>
        <v>0</v>
      </c>
      <c r="E122" s="409"/>
      <c r="F122" s="46" t="str">
        <f>_xlfn.IFNA(IF(VLOOKUP($D122,Organización_Modular!$F$10:$G$195,2,FALSE)=F$23,Itinerario!T122," ")," ")</f>
        <v xml:space="preserve"> </v>
      </c>
      <c r="G122" s="46" t="str">
        <f>_xlfn.IFNA(IF(VLOOKUP($D122,Organización_Modular!$F$10:$G$195,2,FALSE)=G$23,Itinerario!W122," ")," ")</f>
        <v xml:space="preserve"> </v>
      </c>
      <c r="H122" s="46" t="str">
        <f>_xlfn.IFNA(IF(VLOOKUP($D122,Organización_Modular!$F$10:$G$195,2,FALSE)=H$23,Itinerario!T122," ")," ")</f>
        <v xml:space="preserve"> </v>
      </c>
      <c r="I122" s="46" t="str">
        <f>_xlfn.IFNA(IF(VLOOKUP($D122,Organización_Modular!$F$10:$G$195,2,FALSE)=I$23,Itinerario!W122," ")," ")</f>
        <v xml:space="preserve"> </v>
      </c>
      <c r="J122" s="46" t="str">
        <f>_xlfn.IFNA(IF(VLOOKUP($D122,Organización_Modular!$F$10:$G$195,2,FALSE)=J$23,Itinerario!T122," ")," ")</f>
        <v xml:space="preserve"> </v>
      </c>
      <c r="K122" s="46" t="str">
        <f>_xlfn.IFNA(IF(VLOOKUP($D122,Organización_Modular!$F$10:$G$195,2,FALSE)=K$23,Itinerario!W122," ")," ")</f>
        <v xml:space="preserve"> </v>
      </c>
      <c r="L122" s="46" t="str">
        <f>_xlfn.IFNA(IF(VLOOKUP($D122,Organización_Modular!$F$10:$G$195,2,FALSE)=L$23,Itinerario!T122," ")," ")</f>
        <v xml:space="preserve"> </v>
      </c>
      <c r="M122" s="46" t="str">
        <f>_xlfn.IFNA(IF(VLOOKUP($D122,Organización_Modular!$F$10:$G$195,2,FALSE)=M$23,Itinerario!W122," ")," ")</f>
        <v xml:space="preserve"> </v>
      </c>
      <c r="N122" s="46" t="str">
        <f>_xlfn.IFNA(IF(VLOOKUP($D122,Organización_Modular!$F$10:$G$195,2,FALSE)=N$23,Itinerario!T122," ")," ")</f>
        <v xml:space="preserve"> </v>
      </c>
      <c r="O122" s="46" t="str">
        <f>_xlfn.IFNA(IF(VLOOKUP($D122,Organización_Modular!$F$10:$G$195,2,FALSE)=O$23,Itinerario!W122," ")," ")</f>
        <v xml:space="preserve"> </v>
      </c>
      <c r="P122" s="46" t="str">
        <f>_xlfn.IFNA(IF(VLOOKUP($D122,Organización_Modular!$F$10:$G$195,2,FALSE)=P$23,Itinerario!T122," ")," ")</f>
        <v xml:space="preserve"> </v>
      </c>
      <c r="Q122" s="46" t="str">
        <f>_xlfn.IFNA(IF(VLOOKUP($D122,Organización_Modular!$F$10:$G$195,2,FALSE)=Q$23,Itinerario!W122," ")," ")</f>
        <v xml:space="preserve"> </v>
      </c>
      <c r="R122" s="46">
        <f>Organización_Modular!H108</f>
        <v>0</v>
      </c>
      <c r="S122" s="46">
        <f>Organización_Modular!I108</f>
        <v>0</v>
      </c>
      <c r="T122" s="90">
        <f t="shared" si="13"/>
        <v>0</v>
      </c>
      <c r="U122" s="46">
        <f t="shared" si="9"/>
        <v>0</v>
      </c>
      <c r="V122" s="46">
        <f t="shared" si="10"/>
        <v>0</v>
      </c>
      <c r="W122" s="90">
        <f t="shared" si="11"/>
        <v>0</v>
      </c>
      <c r="X122" s="95">
        <f t="shared" si="12"/>
        <v>0</v>
      </c>
    </row>
    <row r="123" spans="1:24" hidden="1" x14ac:dyDescent="0.2">
      <c r="A123" s="407"/>
      <c r="B123" s="313"/>
      <c r="C123" s="410"/>
      <c r="D123" s="409">
        <f>Organización_Modular!F109</f>
        <v>0</v>
      </c>
      <c r="E123" s="409"/>
      <c r="F123" s="46" t="str">
        <f>_xlfn.IFNA(IF(VLOOKUP($D123,Organización_Modular!$F$10:$G$195,2,FALSE)=F$23,Itinerario!T123," ")," ")</f>
        <v xml:space="preserve"> </v>
      </c>
      <c r="G123" s="46" t="str">
        <f>_xlfn.IFNA(IF(VLOOKUP($D123,Organización_Modular!$F$10:$G$195,2,FALSE)=G$23,Itinerario!W123," ")," ")</f>
        <v xml:space="preserve"> </v>
      </c>
      <c r="H123" s="46" t="str">
        <f>_xlfn.IFNA(IF(VLOOKUP($D123,Organización_Modular!$F$10:$G$195,2,FALSE)=H$23,Itinerario!T123," ")," ")</f>
        <v xml:space="preserve"> </v>
      </c>
      <c r="I123" s="46" t="str">
        <f>_xlfn.IFNA(IF(VLOOKUP($D123,Organización_Modular!$F$10:$G$195,2,FALSE)=I$23,Itinerario!W123," ")," ")</f>
        <v xml:space="preserve"> </v>
      </c>
      <c r="J123" s="46" t="str">
        <f>_xlfn.IFNA(IF(VLOOKUP($D123,Organización_Modular!$F$10:$G$195,2,FALSE)=J$23,Itinerario!T123," ")," ")</f>
        <v xml:space="preserve"> </v>
      </c>
      <c r="K123" s="46" t="str">
        <f>_xlfn.IFNA(IF(VLOOKUP($D123,Organización_Modular!$F$10:$G$195,2,FALSE)=K$23,Itinerario!W123," ")," ")</f>
        <v xml:space="preserve"> </v>
      </c>
      <c r="L123" s="46" t="str">
        <f>_xlfn.IFNA(IF(VLOOKUP($D123,Organización_Modular!$F$10:$G$195,2,FALSE)=L$23,Itinerario!T123," ")," ")</f>
        <v xml:space="preserve"> </v>
      </c>
      <c r="M123" s="46" t="str">
        <f>_xlfn.IFNA(IF(VLOOKUP($D123,Organización_Modular!$F$10:$G$195,2,FALSE)=M$23,Itinerario!W123," ")," ")</f>
        <v xml:space="preserve"> </v>
      </c>
      <c r="N123" s="46" t="str">
        <f>_xlfn.IFNA(IF(VLOOKUP($D123,Organización_Modular!$F$10:$G$195,2,FALSE)=N$23,Itinerario!T123," ")," ")</f>
        <v xml:space="preserve"> </v>
      </c>
      <c r="O123" s="46" t="str">
        <f>_xlfn.IFNA(IF(VLOOKUP($D123,Organización_Modular!$F$10:$G$195,2,FALSE)=O$23,Itinerario!W123," ")," ")</f>
        <v xml:space="preserve"> </v>
      </c>
      <c r="P123" s="46" t="str">
        <f>_xlfn.IFNA(IF(VLOOKUP($D123,Organización_Modular!$F$10:$G$195,2,FALSE)=P$23,Itinerario!T123," ")," ")</f>
        <v xml:space="preserve"> </v>
      </c>
      <c r="Q123" s="46" t="str">
        <f>_xlfn.IFNA(IF(VLOOKUP($D123,Organización_Modular!$F$10:$G$195,2,FALSE)=Q$23,Itinerario!W123," ")," ")</f>
        <v xml:space="preserve"> </v>
      </c>
      <c r="R123" s="46">
        <f>Organización_Modular!H109</f>
        <v>0</v>
      </c>
      <c r="S123" s="46">
        <f>Organización_Modular!I109</f>
        <v>0</v>
      </c>
      <c r="T123" s="90">
        <f t="shared" si="13"/>
        <v>0</v>
      </c>
      <c r="U123" s="46">
        <f t="shared" si="9"/>
        <v>0</v>
      </c>
      <c r="V123" s="46">
        <f t="shared" si="10"/>
        <v>0</v>
      </c>
      <c r="W123" s="90">
        <f t="shared" si="11"/>
        <v>0</v>
      </c>
      <c r="X123" s="95">
        <f t="shared" si="12"/>
        <v>0</v>
      </c>
    </row>
    <row r="124" spans="1:24" hidden="1" x14ac:dyDescent="0.2">
      <c r="A124" s="407"/>
      <c r="B124" s="313"/>
      <c r="C124" s="410"/>
      <c r="D124" s="409">
        <f>Organización_Modular!F110</f>
        <v>0</v>
      </c>
      <c r="E124" s="409"/>
      <c r="F124" s="46" t="str">
        <f>_xlfn.IFNA(IF(VLOOKUP($D124,Organización_Modular!$F$10:$G$195,2,FALSE)=F$23,Itinerario!T124," ")," ")</f>
        <v xml:space="preserve"> </v>
      </c>
      <c r="G124" s="46" t="str">
        <f>_xlfn.IFNA(IF(VLOOKUP($D124,Organización_Modular!$F$10:$G$195,2,FALSE)=G$23,Itinerario!W124," ")," ")</f>
        <v xml:space="preserve"> </v>
      </c>
      <c r="H124" s="46" t="str">
        <f>_xlfn.IFNA(IF(VLOOKUP($D124,Organización_Modular!$F$10:$G$195,2,FALSE)=H$23,Itinerario!T124," ")," ")</f>
        <v xml:space="preserve"> </v>
      </c>
      <c r="I124" s="46" t="str">
        <f>_xlfn.IFNA(IF(VLOOKUP($D124,Organización_Modular!$F$10:$G$195,2,FALSE)=I$23,Itinerario!W124," ")," ")</f>
        <v xml:space="preserve"> </v>
      </c>
      <c r="J124" s="46" t="str">
        <f>_xlfn.IFNA(IF(VLOOKUP($D124,Organización_Modular!$F$10:$G$195,2,FALSE)=J$23,Itinerario!T124," ")," ")</f>
        <v xml:space="preserve"> </v>
      </c>
      <c r="K124" s="46" t="str">
        <f>_xlfn.IFNA(IF(VLOOKUP($D124,Organización_Modular!$F$10:$G$195,2,FALSE)=K$23,Itinerario!W124," ")," ")</f>
        <v xml:space="preserve"> </v>
      </c>
      <c r="L124" s="46" t="str">
        <f>_xlfn.IFNA(IF(VLOOKUP($D124,Organización_Modular!$F$10:$G$195,2,FALSE)=L$23,Itinerario!T124," ")," ")</f>
        <v xml:space="preserve"> </v>
      </c>
      <c r="M124" s="46" t="str">
        <f>_xlfn.IFNA(IF(VLOOKUP($D124,Organización_Modular!$F$10:$G$195,2,FALSE)=M$23,Itinerario!W124," ")," ")</f>
        <v xml:space="preserve"> </v>
      </c>
      <c r="N124" s="46" t="str">
        <f>_xlfn.IFNA(IF(VLOOKUP($D124,Organización_Modular!$F$10:$G$195,2,FALSE)=N$23,Itinerario!T124," ")," ")</f>
        <v xml:space="preserve"> </v>
      </c>
      <c r="O124" s="46" t="str">
        <f>_xlfn.IFNA(IF(VLOOKUP($D124,Organización_Modular!$F$10:$G$195,2,FALSE)=O$23,Itinerario!W124," ")," ")</f>
        <v xml:space="preserve"> </v>
      </c>
      <c r="P124" s="46" t="str">
        <f>_xlfn.IFNA(IF(VLOOKUP($D124,Organización_Modular!$F$10:$G$195,2,FALSE)=P$23,Itinerario!T124," ")," ")</f>
        <v xml:space="preserve"> </v>
      </c>
      <c r="Q124" s="46" t="str">
        <f>_xlfn.IFNA(IF(VLOOKUP($D124,Organización_Modular!$F$10:$G$195,2,FALSE)=Q$23,Itinerario!W124," ")," ")</f>
        <v xml:space="preserve"> </v>
      </c>
      <c r="R124" s="46">
        <f>Organización_Modular!H110</f>
        <v>0</v>
      </c>
      <c r="S124" s="46">
        <f>Organización_Modular!I110</f>
        <v>0</v>
      </c>
      <c r="T124" s="90">
        <f t="shared" si="13"/>
        <v>0</v>
      </c>
      <c r="U124" s="46">
        <f t="shared" si="9"/>
        <v>0</v>
      </c>
      <c r="V124" s="46">
        <f t="shared" si="10"/>
        <v>0</v>
      </c>
      <c r="W124" s="90">
        <f t="shared" si="11"/>
        <v>0</v>
      </c>
      <c r="X124" s="95">
        <f t="shared" si="12"/>
        <v>0</v>
      </c>
    </row>
    <row r="125" spans="1:24" hidden="1" x14ac:dyDescent="0.2">
      <c r="A125" s="407"/>
      <c r="B125" s="313"/>
      <c r="C125" s="410"/>
      <c r="D125" s="409">
        <f>Organización_Modular!F111</f>
        <v>0</v>
      </c>
      <c r="E125" s="409"/>
      <c r="F125" s="46" t="str">
        <f>_xlfn.IFNA(IF(VLOOKUP($D125,Organización_Modular!$F$10:$G$195,2,FALSE)=F$23,Itinerario!T125," ")," ")</f>
        <v xml:space="preserve"> </v>
      </c>
      <c r="G125" s="46" t="str">
        <f>_xlfn.IFNA(IF(VLOOKUP($D125,Organización_Modular!$F$10:$G$195,2,FALSE)=G$23,Itinerario!W125," ")," ")</f>
        <v xml:space="preserve"> </v>
      </c>
      <c r="H125" s="46" t="str">
        <f>_xlfn.IFNA(IF(VLOOKUP($D125,Organización_Modular!$F$10:$G$195,2,FALSE)=H$23,Itinerario!T125," ")," ")</f>
        <v xml:space="preserve"> </v>
      </c>
      <c r="I125" s="46" t="str">
        <f>_xlfn.IFNA(IF(VLOOKUP($D125,Organización_Modular!$F$10:$G$195,2,FALSE)=I$23,Itinerario!W125," ")," ")</f>
        <v xml:space="preserve"> </v>
      </c>
      <c r="J125" s="46" t="str">
        <f>_xlfn.IFNA(IF(VLOOKUP($D125,Organización_Modular!$F$10:$G$195,2,FALSE)=J$23,Itinerario!T125," ")," ")</f>
        <v xml:space="preserve"> </v>
      </c>
      <c r="K125" s="46" t="str">
        <f>_xlfn.IFNA(IF(VLOOKUP($D125,Organización_Modular!$F$10:$G$195,2,FALSE)=K$23,Itinerario!W125," ")," ")</f>
        <v xml:space="preserve"> </v>
      </c>
      <c r="L125" s="46" t="str">
        <f>_xlfn.IFNA(IF(VLOOKUP($D125,Organización_Modular!$F$10:$G$195,2,FALSE)=L$23,Itinerario!T125," ")," ")</f>
        <v xml:space="preserve"> </v>
      </c>
      <c r="M125" s="46" t="str">
        <f>_xlfn.IFNA(IF(VLOOKUP($D125,Organización_Modular!$F$10:$G$195,2,FALSE)=M$23,Itinerario!W125," ")," ")</f>
        <v xml:space="preserve"> </v>
      </c>
      <c r="N125" s="46" t="str">
        <f>_xlfn.IFNA(IF(VLOOKUP($D125,Organización_Modular!$F$10:$G$195,2,FALSE)=N$23,Itinerario!T125," ")," ")</f>
        <v xml:space="preserve"> </v>
      </c>
      <c r="O125" s="46" t="str">
        <f>_xlfn.IFNA(IF(VLOOKUP($D125,Organización_Modular!$F$10:$G$195,2,FALSE)=O$23,Itinerario!W125," ")," ")</f>
        <v xml:space="preserve"> </v>
      </c>
      <c r="P125" s="46" t="str">
        <f>_xlfn.IFNA(IF(VLOOKUP($D125,Organización_Modular!$F$10:$G$195,2,FALSE)=P$23,Itinerario!T125," ")," ")</f>
        <v xml:space="preserve"> </v>
      </c>
      <c r="Q125" s="46" t="str">
        <f>_xlfn.IFNA(IF(VLOOKUP($D125,Organización_Modular!$F$10:$G$195,2,FALSE)=Q$23,Itinerario!W125," ")," ")</f>
        <v xml:space="preserve"> </v>
      </c>
      <c r="R125" s="46">
        <f>Organización_Modular!H111</f>
        <v>0</v>
      </c>
      <c r="S125" s="46">
        <f>Organización_Modular!I111</f>
        <v>0</v>
      </c>
      <c r="T125" s="90">
        <f t="shared" si="13"/>
        <v>0</v>
      </c>
      <c r="U125" s="46">
        <f t="shared" si="9"/>
        <v>0</v>
      </c>
      <c r="V125" s="46">
        <f t="shared" si="10"/>
        <v>0</v>
      </c>
      <c r="W125" s="90">
        <f t="shared" si="11"/>
        <v>0</v>
      </c>
      <c r="X125" s="95">
        <f t="shared" si="12"/>
        <v>0</v>
      </c>
    </row>
    <row r="126" spans="1:24" hidden="1" x14ac:dyDescent="0.2">
      <c r="A126" s="407"/>
      <c r="B126" s="313"/>
      <c r="C126" s="410"/>
      <c r="D126" s="409">
        <f>Organización_Modular!F112</f>
        <v>0</v>
      </c>
      <c r="E126" s="409"/>
      <c r="F126" s="46" t="str">
        <f>_xlfn.IFNA(IF(VLOOKUP($D126,Organización_Modular!$F$10:$G$195,2,FALSE)=F$23,Itinerario!T126," ")," ")</f>
        <v xml:space="preserve"> </v>
      </c>
      <c r="G126" s="46" t="str">
        <f>_xlfn.IFNA(IF(VLOOKUP($D126,Organización_Modular!$F$10:$G$195,2,FALSE)=G$23,Itinerario!W126," ")," ")</f>
        <v xml:space="preserve"> </v>
      </c>
      <c r="H126" s="46" t="str">
        <f>_xlfn.IFNA(IF(VLOOKUP($D126,Organización_Modular!$F$10:$G$195,2,FALSE)=H$23,Itinerario!T126," ")," ")</f>
        <v xml:space="preserve"> </v>
      </c>
      <c r="I126" s="46" t="str">
        <f>_xlfn.IFNA(IF(VLOOKUP($D126,Organización_Modular!$F$10:$G$195,2,FALSE)=I$23,Itinerario!W126," ")," ")</f>
        <v xml:space="preserve"> </v>
      </c>
      <c r="J126" s="46" t="str">
        <f>_xlfn.IFNA(IF(VLOOKUP($D126,Organización_Modular!$F$10:$G$195,2,FALSE)=J$23,Itinerario!T126," ")," ")</f>
        <v xml:space="preserve"> </v>
      </c>
      <c r="K126" s="46" t="str">
        <f>_xlfn.IFNA(IF(VLOOKUP($D126,Organización_Modular!$F$10:$G$195,2,FALSE)=K$23,Itinerario!W126," ")," ")</f>
        <v xml:space="preserve"> </v>
      </c>
      <c r="L126" s="46" t="str">
        <f>_xlfn.IFNA(IF(VLOOKUP($D126,Organización_Modular!$F$10:$G$195,2,FALSE)=L$23,Itinerario!T126," ")," ")</f>
        <v xml:space="preserve"> </v>
      </c>
      <c r="M126" s="46" t="str">
        <f>_xlfn.IFNA(IF(VLOOKUP($D126,Organización_Modular!$F$10:$G$195,2,FALSE)=M$23,Itinerario!W126," ")," ")</f>
        <v xml:space="preserve"> </v>
      </c>
      <c r="N126" s="46" t="str">
        <f>_xlfn.IFNA(IF(VLOOKUP($D126,Organización_Modular!$F$10:$G$195,2,FALSE)=N$23,Itinerario!T126," ")," ")</f>
        <v xml:space="preserve"> </v>
      </c>
      <c r="O126" s="46" t="str">
        <f>_xlfn.IFNA(IF(VLOOKUP($D126,Organización_Modular!$F$10:$G$195,2,FALSE)=O$23,Itinerario!W126," ")," ")</f>
        <v xml:space="preserve"> </v>
      </c>
      <c r="P126" s="46" t="str">
        <f>_xlfn.IFNA(IF(VLOOKUP($D126,Organización_Modular!$F$10:$G$195,2,FALSE)=P$23,Itinerario!T126," ")," ")</f>
        <v xml:space="preserve"> </v>
      </c>
      <c r="Q126" s="46" t="str">
        <f>_xlfn.IFNA(IF(VLOOKUP($D126,Organización_Modular!$F$10:$G$195,2,FALSE)=Q$23,Itinerario!W126," ")," ")</f>
        <v xml:space="preserve"> </v>
      </c>
      <c r="R126" s="46">
        <f>Organización_Modular!H112</f>
        <v>0</v>
      </c>
      <c r="S126" s="46">
        <f>Organización_Modular!I112</f>
        <v>0</v>
      </c>
      <c r="T126" s="90">
        <f t="shared" si="13"/>
        <v>0</v>
      </c>
      <c r="U126" s="46">
        <f t="shared" si="9"/>
        <v>0</v>
      </c>
      <c r="V126" s="46">
        <f t="shared" si="10"/>
        <v>0</v>
      </c>
      <c r="W126" s="90">
        <f t="shared" si="11"/>
        <v>0</v>
      </c>
      <c r="X126" s="95">
        <f t="shared" si="12"/>
        <v>0</v>
      </c>
    </row>
    <row r="127" spans="1:24" hidden="1" x14ac:dyDescent="0.2">
      <c r="A127" s="407"/>
      <c r="B127" s="313"/>
      <c r="C127" s="410"/>
      <c r="D127" s="409">
        <f>Organización_Modular!F113</f>
        <v>0</v>
      </c>
      <c r="E127" s="409"/>
      <c r="F127" s="46" t="str">
        <f>_xlfn.IFNA(IF(VLOOKUP($D127,Organización_Modular!$F$10:$G$195,2,FALSE)=F$23,Itinerario!T127," ")," ")</f>
        <v xml:space="preserve"> </v>
      </c>
      <c r="G127" s="46" t="str">
        <f>_xlfn.IFNA(IF(VLOOKUP($D127,Organización_Modular!$F$10:$G$195,2,FALSE)=G$23,Itinerario!W127," ")," ")</f>
        <v xml:space="preserve"> </v>
      </c>
      <c r="H127" s="46" t="str">
        <f>_xlfn.IFNA(IF(VLOOKUP($D127,Organización_Modular!$F$10:$G$195,2,FALSE)=H$23,Itinerario!T127," ")," ")</f>
        <v xml:space="preserve"> </v>
      </c>
      <c r="I127" s="46" t="str">
        <f>_xlfn.IFNA(IF(VLOOKUP($D127,Organización_Modular!$F$10:$G$195,2,FALSE)=I$23,Itinerario!W127," ")," ")</f>
        <v xml:space="preserve"> </v>
      </c>
      <c r="J127" s="46" t="str">
        <f>_xlfn.IFNA(IF(VLOOKUP($D127,Organización_Modular!$F$10:$G$195,2,FALSE)=J$23,Itinerario!T127," ")," ")</f>
        <v xml:space="preserve"> </v>
      </c>
      <c r="K127" s="46" t="str">
        <f>_xlfn.IFNA(IF(VLOOKUP($D127,Organización_Modular!$F$10:$G$195,2,FALSE)=K$23,Itinerario!W127," ")," ")</f>
        <v xml:space="preserve"> </v>
      </c>
      <c r="L127" s="46" t="str">
        <f>_xlfn.IFNA(IF(VLOOKUP($D127,Organización_Modular!$F$10:$G$195,2,FALSE)=L$23,Itinerario!T127," ")," ")</f>
        <v xml:space="preserve"> </v>
      </c>
      <c r="M127" s="46" t="str">
        <f>_xlfn.IFNA(IF(VLOOKUP($D127,Organización_Modular!$F$10:$G$195,2,FALSE)=M$23,Itinerario!W127," ")," ")</f>
        <v xml:space="preserve"> </v>
      </c>
      <c r="N127" s="46" t="str">
        <f>_xlfn.IFNA(IF(VLOOKUP($D127,Organización_Modular!$F$10:$G$195,2,FALSE)=N$23,Itinerario!T127," ")," ")</f>
        <v xml:space="preserve"> </v>
      </c>
      <c r="O127" s="46" t="str">
        <f>_xlfn.IFNA(IF(VLOOKUP($D127,Organización_Modular!$F$10:$G$195,2,FALSE)=O$23,Itinerario!W127," ")," ")</f>
        <v xml:space="preserve"> </v>
      </c>
      <c r="P127" s="46" t="str">
        <f>_xlfn.IFNA(IF(VLOOKUP($D127,Organización_Modular!$F$10:$G$195,2,FALSE)=P$23,Itinerario!T127," ")," ")</f>
        <v xml:space="preserve"> </v>
      </c>
      <c r="Q127" s="46" t="str">
        <f>_xlfn.IFNA(IF(VLOOKUP($D127,Organización_Modular!$F$10:$G$195,2,FALSE)=Q$23,Itinerario!W127," ")," ")</f>
        <v xml:space="preserve"> </v>
      </c>
      <c r="R127" s="46">
        <f>Organización_Modular!H113</f>
        <v>0</v>
      </c>
      <c r="S127" s="46">
        <f>Organización_Modular!I113</f>
        <v>0</v>
      </c>
      <c r="T127" s="90">
        <f t="shared" si="13"/>
        <v>0</v>
      </c>
      <c r="U127" s="46">
        <f t="shared" si="9"/>
        <v>0</v>
      </c>
      <c r="V127" s="46">
        <f t="shared" si="10"/>
        <v>0</v>
      </c>
      <c r="W127" s="90">
        <f t="shared" si="11"/>
        <v>0</v>
      </c>
      <c r="X127" s="95">
        <f t="shared" si="12"/>
        <v>0</v>
      </c>
    </row>
    <row r="128" spans="1:24" hidden="1" x14ac:dyDescent="0.2">
      <c r="A128" s="407"/>
      <c r="B128" s="313"/>
      <c r="C128" s="410"/>
      <c r="D128" s="409">
        <f>Organización_Modular!F114</f>
        <v>0</v>
      </c>
      <c r="E128" s="409"/>
      <c r="F128" s="46" t="str">
        <f>_xlfn.IFNA(IF(VLOOKUP($D128,Organización_Modular!$F$10:$G$195,2,FALSE)=F$23,Itinerario!T128," ")," ")</f>
        <v xml:space="preserve"> </v>
      </c>
      <c r="G128" s="46" t="str">
        <f>_xlfn.IFNA(IF(VLOOKUP($D128,Organización_Modular!$F$10:$G$195,2,FALSE)=G$23,Itinerario!W128," ")," ")</f>
        <v xml:space="preserve"> </v>
      </c>
      <c r="H128" s="46" t="str">
        <f>_xlfn.IFNA(IF(VLOOKUP($D128,Organización_Modular!$F$10:$G$195,2,FALSE)=H$23,Itinerario!T128," ")," ")</f>
        <v xml:space="preserve"> </v>
      </c>
      <c r="I128" s="46" t="str">
        <f>_xlfn.IFNA(IF(VLOOKUP($D128,Organización_Modular!$F$10:$G$195,2,FALSE)=I$23,Itinerario!W128," ")," ")</f>
        <v xml:space="preserve"> </v>
      </c>
      <c r="J128" s="46" t="str">
        <f>_xlfn.IFNA(IF(VLOOKUP($D128,Organización_Modular!$F$10:$G$195,2,FALSE)=J$23,Itinerario!T128," ")," ")</f>
        <v xml:space="preserve"> </v>
      </c>
      <c r="K128" s="46" t="str">
        <f>_xlfn.IFNA(IF(VLOOKUP($D128,Organización_Modular!$F$10:$G$195,2,FALSE)=K$23,Itinerario!W128," ")," ")</f>
        <v xml:space="preserve"> </v>
      </c>
      <c r="L128" s="46" t="str">
        <f>_xlfn.IFNA(IF(VLOOKUP($D128,Organización_Modular!$F$10:$G$195,2,FALSE)=L$23,Itinerario!T128," ")," ")</f>
        <v xml:space="preserve"> </v>
      </c>
      <c r="M128" s="46" t="str">
        <f>_xlfn.IFNA(IF(VLOOKUP($D128,Organización_Modular!$F$10:$G$195,2,FALSE)=M$23,Itinerario!W128," ")," ")</f>
        <v xml:space="preserve"> </v>
      </c>
      <c r="N128" s="46" t="str">
        <f>_xlfn.IFNA(IF(VLOOKUP($D128,Organización_Modular!$F$10:$G$195,2,FALSE)=N$23,Itinerario!T128," ")," ")</f>
        <v xml:space="preserve"> </v>
      </c>
      <c r="O128" s="46" t="str">
        <f>_xlfn.IFNA(IF(VLOOKUP($D128,Organización_Modular!$F$10:$G$195,2,FALSE)=O$23,Itinerario!W128," ")," ")</f>
        <v xml:space="preserve"> </v>
      </c>
      <c r="P128" s="46" t="str">
        <f>_xlfn.IFNA(IF(VLOOKUP($D128,Organización_Modular!$F$10:$G$195,2,FALSE)=P$23,Itinerario!T128," ")," ")</f>
        <v xml:space="preserve"> </v>
      </c>
      <c r="Q128" s="46" t="str">
        <f>_xlfn.IFNA(IF(VLOOKUP($D128,Organización_Modular!$F$10:$G$195,2,FALSE)=Q$23,Itinerario!W128," ")," ")</f>
        <v xml:space="preserve"> </v>
      </c>
      <c r="R128" s="46">
        <f>Organización_Modular!H114</f>
        <v>0</v>
      </c>
      <c r="S128" s="46">
        <f>Organización_Modular!I114</f>
        <v>0</v>
      </c>
      <c r="T128" s="90">
        <f t="shared" si="13"/>
        <v>0</v>
      </c>
      <c r="U128" s="46">
        <f t="shared" si="9"/>
        <v>0</v>
      </c>
      <c r="V128" s="46">
        <f t="shared" si="10"/>
        <v>0</v>
      </c>
      <c r="W128" s="90">
        <f t="shared" si="11"/>
        <v>0</v>
      </c>
      <c r="X128" s="95">
        <f t="shared" si="12"/>
        <v>0</v>
      </c>
    </row>
    <row r="129" spans="1:24" hidden="1" x14ac:dyDescent="0.2">
      <c r="A129" s="407"/>
      <c r="B129" s="313"/>
      <c r="C129" s="410"/>
      <c r="D129" s="409">
        <f>Organización_Modular!F115</f>
        <v>0</v>
      </c>
      <c r="E129" s="409"/>
      <c r="F129" s="46" t="str">
        <f>_xlfn.IFNA(IF(VLOOKUP($D129,Organización_Modular!$F$10:$G$195,2,FALSE)=F$23,Itinerario!T129," ")," ")</f>
        <v xml:space="preserve"> </v>
      </c>
      <c r="G129" s="46" t="str">
        <f>_xlfn.IFNA(IF(VLOOKUP($D129,Organización_Modular!$F$10:$G$195,2,FALSE)=G$23,Itinerario!W129," ")," ")</f>
        <v xml:space="preserve"> </v>
      </c>
      <c r="H129" s="46" t="str">
        <f>_xlfn.IFNA(IF(VLOOKUP($D129,Organización_Modular!$F$10:$G$195,2,FALSE)=H$23,Itinerario!T129," ")," ")</f>
        <v xml:space="preserve"> </v>
      </c>
      <c r="I129" s="46" t="str">
        <f>_xlfn.IFNA(IF(VLOOKUP($D129,Organización_Modular!$F$10:$G$195,2,FALSE)=I$23,Itinerario!W129," ")," ")</f>
        <v xml:space="preserve"> </v>
      </c>
      <c r="J129" s="46" t="str">
        <f>_xlfn.IFNA(IF(VLOOKUP($D129,Organización_Modular!$F$10:$G$195,2,FALSE)=J$23,Itinerario!T129," ")," ")</f>
        <v xml:space="preserve"> </v>
      </c>
      <c r="K129" s="46" t="str">
        <f>_xlfn.IFNA(IF(VLOOKUP($D129,Organización_Modular!$F$10:$G$195,2,FALSE)=K$23,Itinerario!W129," ")," ")</f>
        <v xml:space="preserve"> </v>
      </c>
      <c r="L129" s="46" t="str">
        <f>_xlfn.IFNA(IF(VLOOKUP($D129,Organización_Modular!$F$10:$G$195,2,FALSE)=L$23,Itinerario!T129," ")," ")</f>
        <v xml:space="preserve"> </v>
      </c>
      <c r="M129" s="46" t="str">
        <f>_xlfn.IFNA(IF(VLOOKUP($D129,Organización_Modular!$F$10:$G$195,2,FALSE)=M$23,Itinerario!W129," ")," ")</f>
        <v xml:space="preserve"> </v>
      </c>
      <c r="N129" s="46" t="str">
        <f>_xlfn.IFNA(IF(VLOOKUP($D129,Organización_Modular!$F$10:$G$195,2,FALSE)=N$23,Itinerario!T129," ")," ")</f>
        <v xml:space="preserve"> </v>
      </c>
      <c r="O129" s="46" t="str">
        <f>_xlfn.IFNA(IF(VLOOKUP($D129,Organización_Modular!$F$10:$G$195,2,FALSE)=O$23,Itinerario!W129," ")," ")</f>
        <v xml:space="preserve"> </v>
      </c>
      <c r="P129" s="46" t="str">
        <f>_xlfn.IFNA(IF(VLOOKUP($D129,Organización_Modular!$F$10:$G$195,2,FALSE)=P$23,Itinerario!T129," ")," ")</f>
        <v xml:space="preserve"> </v>
      </c>
      <c r="Q129" s="46" t="str">
        <f>_xlfn.IFNA(IF(VLOOKUP($D129,Organización_Modular!$F$10:$G$195,2,FALSE)=Q$23,Itinerario!W129," ")," ")</f>
        <v xml:space="preserve"> </v>
      </c>
      <c r="R129" s="46">
        <f>Organización_Modular!H115</f>
        <v>0</v>
      </c>
      <c r="S129" s="46">
        <f>Organización_Modular!I115</f>
        <v>0</v>
      </c>
      <c r="T129" s="90">
        <f t="shared" si="13"/>
        <v>0</v>
      </c>
      <c r="U129" s="46">
        <f t="shared" si="9"/>
        <v>0</v>
      </c>
      <c r="V129" s="46">
        <f t="shared" si="10"/>
        <v>0</v>
      </c>
      <c r="W129" s="90">
        <f t="shared" si="11"/>
        <v>0</v>
      </c>
      <c r="X129" s="95">
        <f t="shared" si="12"/>
        <v>0</v>
      </c>
    </row>
    <row r="130" spans="1:24" hidden="1" x14ac:dyDescent="0.2">
      <c r="A130" s="407"/>
      <c r="B130" s="313"/>
      <c r="C130" s="410"/>
      <c r="D130" s="409">
        <f>Organización_Modular!F116</f>
        <v>0</v>
      </c>
      <c r="E130" s="409"/>
      <c r="F130" s="46" t="str">
        <f>_xlfn.IFNA(IF(VLOOKUP($D130,Organización_Modular!$F$10:$G$195,2,FALSE)=F$23,Itinerario!T130," ")," ")</f>
        <v xml:space="preserve"> </v>
      </c>
      <c r="G130" s="46" t="str">
        <f>_xlfn.IFNA(IF(VLOOKUP($D130,Organización_Modular!$F$10:$G$195,2,FALSE)=G$23,Itinerario!W130," ")," ")</f>
        <v xml:space="preserve"> </v>
      </c>
      <c r="H130" s="46" t="str">
        <f>_xlfn.IFNA(IF(VLOOKUP($D130,Organización_Modular!$F$10:$G$195,2,FALSE)=H$23,Itinerario!T130," ")," ")</f>
        <v xml:space="preserve"> </v>
      </c>
      <c r="I130" s="46" t="str">
        <f>_xlfn.IFNA(IF(VLOOKUP($D130,Organización_Modular!$F$10:$G$195,2,FALSE)=I$23,Itinerario!W130," ")," ")</f>
        <v xml:space="preserve"> </v>
      </c>
      <c r="J130" s="46" t="str">
        <f>_xlfn.IFNA(IF(VLOOKUP($D130,Organización_Modular!$F$10:$G$195,2,FALSE)=J$23,Itinerario!T130," ")," ")</f>
        <v xml:space="preserve"> </v>
      </c>
      <c r="K130" s="46" t="str">
        <f>_xlfn.IFNA(IF(VLOOKUP($D130,Organización_Modular!$F$10:$G$195,2,FALSE)=K$23,Itinerario!W130," ")," ")</f>
        <v xml:space="preserve"> </v>
      </c>
      <c r="L130" s="46" t="str">
        <f>_xlfn.IFNA(IF(VLOOKUP($D130,Organización_Modular!$F$10:$G$195,2,FALSE)=L$23,Itinerario!T130," ")," ")</f>
        <v xml:space="preserve"> </v>
      </c>
      <c r="M130" s="46" t="str">
        <f>_xlfn.IFNA(IF(VLOOKUP($D130,Organización_Modular!$F$10:$G$195,2,FALSE)=M$23,Itinerario!W130," ")," ")</f>
        <v xml:space="preserve"> </v>
      </c>
      <c r="N130" s="46" t="str">
        <f>_xlfn.IFNA(IF(VLOOKUP($D130,Organización_Modular!$F$10:$G$195,2,FALSE)=N$23,Itinerario!T130," ")," ")</f>
        <v xml:space="preserve"> </v>
      </c>
      <c r="O130" s="46" t="str">
        <f>_xlfn.IFNA(IF(VLOOKUP($D130,Organización_Modular!$F$10:$G$195,2,FALSE)=O$23,Itinerario!W130," ")," ")</f>
        <v xml:space="preserve"> </v>
      </c>
      <c r="P130" s="46" t="str">
        <f>_xlfn.IFNA(IF(VLOOKUP($D130,Organización_Modular!$F$10:$G$195,2,FALSE)=P$23,Itinerario!T130," ")," ")</f>
        <v xml:space="preserve"> </v>
      </c>
      <c r="Q130" s="46" t="str">
        <f>_xlfn.IFNA(IF(VLOOKUP($D130,Organización_Modular!$F$10:$G$195,2,FALSE)=Q$23,Itinerario!W130," ")," ")</f>
        <v xml:space="preserve"> </v>
      </c>
      <c r="R130" s="46">
        <f>Organización_Modular!H116</f>
        <v>0</v>
      </c>
      <c r="S130" s="46">
        <f>Organización_Modular!I116</f>
        <v>0</v>
      </c>
      <c r="T130" s="90">
        <f t="shared" si="13"/>
        <v>0</v>
      </c>
      <c r="U130" s="46">
        <f t="shared" si="9"/>
        <v>0</v>
      </c>
      <c r="V130" s="46">
        <f t="shared" si="10"/>
        <v>0</v>
      </c>
      <c r="W130" s="90">
        <f t="shared" si="11"/>
        <v>0</v>
      </c>
      <c r="X130" s="95">
        <f t="shared" si="12"/>
        <v>0</v>
      </c>
    </row>
    <row r="131" spans="1:24" hidden="1" x14ac:dyDescent="0.2">
      <c r="A131" s="407"/>
      <c r="B131" s="313"/>
      <c r="C131" s="410"/>
      <c r="D131" s="409">
        <f>Organización_Modular!F117</f>
        <v>0</v>
      </c>
      <c r="E131" s="409"/>
      <c r="F131" s="46" t="str">
        <f>_xlfn.IFNA(IF(VLOOKUP($D131,Organización_Modular!$F$10:$G$195,2,FALSE)=F$23,Itinerario!T131," ")," ")</f>
        <v xml:space="preserve"> </v>
      </c>
      <c r="G131" s="46" t="str">
        <f>_xlfn.IFNA(IF(VLOOKUP($D131,Organización_Modular!$F$10:$G$195,2,FALSE)=G$23,Itinerario!W131," ")," ")</f>
        <v xml:space="preserve"> </v>
      </c>
      <c r="H131" s="46" t="str">
        <f>_xlfn.IFNA(IF(VLOOKUP($D131,Organización_Modular!$F$10:$G$195,2,FALSE)=H$23,Itinerario!T131," ")," ")</f>
        <v xml:space="preserve"> </v>
      </c>
      <c r="I131" s="46" t="str">
        <f>_xlfn.IFNA(IF(VLOOKUP($D131,Organización_Modular!$F$10:$G$195,2,FALSE)=I$23,Itinerario!W131," ")," ")</f>
        <v xml:space="preserve"> </v>
      </c>
      <c r="J131" s="46" t="str">
        <f>_xlfn.IFNA(IF(VLOOKUP($D131,Organización_Modular!$F$10:$G$195,2,FALSE)=J$23,Itinerario!T131," ")," ")</f>
        <v xml:space="preserve"> </v>
      </c>
      <c r="K131" s="46" t="str">
        <f>_xlfn.IFNA(IF(VLOOKUP($D131,Organización_Modular!$F$10:$G$195,2,FALSE)=K$23,Itinerario!W131," ")," ")</f>
        <v xml:space="preserve"> </v>
      </c>
      <c r="L131" s="46" t="str">
        <f>_xlfn.IFNA(IF(VLOOKUP($D131,Organización_Modular!$F$10:$G$195,2,FALSE)=L$23,Itinerario!T131," ")," ")</f>
        <v xml:space="preserve"> </v>
      </c>
      <c r="M131" s="46" t="str">
        <f>_xlfn.IFNA(IF(VLOOKUP($D131,Organización_Modular!$F$10:$G$195,2,FALSE)=M$23,Itinerario!W131," ")," ")</f>
        <v xml:space="preserve"> </v>
      </c>
      <c r="N131" s="46" t="str">
        <f>_xlfn.IFNA(IF(VLOOKUP($D131,Organización_Modular!$F$10:$G$195,2,FALSE)=N$23,Itinerario!T131," ")," ")</f>
        <v xml:space="preserve"> </v>
      </c>
      <c r="O131" s="46" t="str">
        <f>_xlfn.IFNA(IF(VLOOKUP($D131,Organización_Modular!$F$10:$G$195,2,FALSE)=O$23,Itinerario!W131," ")," ")</f>
        <v xml:space="preserve"> </v>
      </c>
      <c r="P131" s="46" t="str">
        <f>_xlfn.IFNA(IF(VLOOKUP($D131,Organización_Modular!$F$10:$G$195,2,FALSE)=P$23,Itinerario!T131," ")," ")</f>
        <v xml:space="preserve"> </v>
      </c>
      <c r="Q131" s="46" t="str">
        <f>_xlfn.IFNA(IF(VLOOKUP($D131,Organización_Modular!$F$10:$G$195,2,FALSE)=Q$23,Itinerario!W131," ")," ")</f>
        <v xml:space="preserve"> </v>
      </c>
      <c r="R131" s="46">
        <f>Organización_Modular!H117</f>
        <v>0</v>
      </c>
      <c r="S131" s="46">
        <f>Organización_Modular!I117</f>
        <v>0</v>
      </c>
      <c r="T131" s="90">
        <f t="shared" si="13"/>
        <v>0</v>
      </c>
      <c r="U131" s="46">
        <f t="shared" si="9"/>
        <v>0</v>
      </c>
      <c r="V131" s="46">
        <f t="shared" si="10"/>
        <v>0</v>
      </c>
      <c r="W131" s="90">
        <f t="shared" si="11"/>
        <v>0</v>
      </c>
      <c r="X131" s="95">
        <f t="shared" si="12"/>
        <v>0</v>
      </c>
    </row>
    <row r="132" spans="1:24" hidden="1" x14ac:dyDescent="0.2">
      <c r="A132" s="407"/>
      <c r="B132" s="313"/>
      <c r="C132" s="410"/>
      <c r="D132" s="409">
        <f>Organización_Modular!F118</f>
        <v>0</v>
      </c>
      <c r="E132" s="409"/>
      <c r="F132" s="46" t="str">
        <f>_xlfn.IFNA(IF(VLOOKUP($D132,Organización_Modular!$F$10:$G$195,2,FALSE)=F$23,Itinerario!T132," ")," ")</f>
        <v xml:space="preserve"> </v>
      </c>
      <c r="G132" s="46" t="str">
        <f>_xlfn.IFNA(IF(VLOOKUP($D132,Organización_Modular!$F$10:$G$195,2,FALSE)=G$23,Itinerario!W132," ")," ")</f>
        <v xml:space="preserve"> </v>
      </c>
      <c r="H132" s="46" t="str">
        <f>_xlfn.IFNA(IF(VLOOKUP($D132,Organización_Modular!$F$10:$G$195,2,FALSE)=H$23,Itinerario!T132," ")," ")</f>
        <v xml:space="preserve"> </v>
      </c>
      <c r="I132" s="46" t="str">
        <f>_xlfn.IFNA(IF(VLOOKUP($D132,Organización_Modular!$F$10:$G$195,2,FALSE)=I$23,Itinerario!W132," ")," ")</f>
        <v xml:space="preserve"> </v>
      </c>
      <c r="J132" s="46" t="str">
        <f>_xlfn.IFNA(IF(VLOOKUP($D132,Organización_Modular!$F$10:$G$195,2,FALSE)=J$23,Itinerario!T132," ")," ")</f>
        <v xml:space="preserve"> </v>
      </c>
      <c r="K132" s="46" t="str">
        <f>_xlfn.IFNA(IF(VLOOKUP($D132,Organización_Modular!$F$10:$G$195,2,FALSE)=K$23,Itinerario!W132," ")," ")</f>
        <v xml:space="preserve"> </v>
      </c>
      <c r="L132" s="46" t="str">
        <f>_xlfn.IFNA(IF(VLOOKUP($D132,Organización_Modular!$F$10:$G$195,2,FALSE)=L$23,Itinerario!T132," ")," ")</f>
        <v xml:space="preserve"> </v>
      </c>
      <c r="M132" s="46" t="str">
        <f>_xlfn.IFNA(IF(VLOOKUP($D132,Organización_Modular!$F$10:$G$195,2,FALSE)=M$23,Itinerario!W132," ")," ")</f>
        <v xml:space="preserve"> </v>
      </c>
      <c r="N132" s="46" t="str">
        <f>_xlfn.IFNA(IF(VLOOKUP($D132,Organización_Modular!$F$10:$G$195,2,FALSE)=N$23,Itinerario!T132," ")," ")</f>
        <v xml:space="preserve"> </v>
      </c>
      <c r="O132" s="46" t="str">
        <f>_xlfn.IFNA(IF(VLOOKUP($D132,Organización_Modular!$F$10:$G$195,2,FALSE)=O$23,Itinerario!W132," ")," ")</f>
        <v xml:space="preserve"> </v>
      </c>
      <c r="P132" s="46" t="str">
        <f>_xlfn.IFNA(IF(VLOOKUP($D132,Organización_Modular!$F$10:$G$195,2,FALSE)=P$23,Itinerario!T132," ")," ")</f>
        <v xml:space="preserve"> </v>
      </c>
      <c r="Q132" s="46" t="str">
        <f>_xlfn.IFNA(IF(VLOOKUP($D132,Organización_Modular!$F$10:$G$195,2,FALSE)=Q$23,Itinerario!W132," ")," ")</f>
        <v xml:space="preserve"> </v>
      </c>
      <c r="R132" s="46">
        <f>Organización_Modular!H118</f>
        <v>0</v>
      </c>
      <c r="S132" s="46">
        <f>Organización_Modular!I118</f>
        <v>0</v>
      </c>
      <c r="T132" s="90">
        <f t="shared" si="13"/>
        <v>0</v>
      </c>
      <c r="U132" s="46">
        <f t="shared" si="9"/>
        <v>0</v>
      </c>
      <c r="V132" s="46">
        <f t="shared" si="10"/>
        <v>0</v>
      </c>
      <c r="W132" s="90">
        <f t="shared" si="11"/>
        <v>0</v>
      </c>
      <c r="X132" s="95">
        <f t="shared" si="12"/>
        <v>0</v>
      </c>
    </row>
    <row r="133" spans="1:24" hidden="1" x14ac:dyDescent="0.2">
      <c r="A133" s="407"/>
      <c r="B133" s="313"/>
      <c r="C133" s="410"/>
      <c r="D133" s="409">
        <f>Organización_Modular!F119</f>
        <v>0</v>
      </c>
      <c r="E133" s="409"/>
      <c r="F133" s="46" t="str">
        <f>_xlfn.IFNA(IF(VLOOKUP($D133,Organización_Modular!$F$10:$G$195,2,FALSE)=F$23,Itinerario!T133," ")," ")</f>
        <v xml:space="preserve"> </v>
      </c>
      <c r="G133" s="46" t="str">
        <f>_xlfn.IFNA(IF(VLOOKUP($D133,Organización_Modular!$F$10:$G$195,2,FALSE)=G$23,Itinerario!W133," ")," ")</f>
        <v xml:space="preserve"> </v>
      </c>
      <c r="H133" s="46" t="str">
        <f>_xlfn.IFNA(IF(VLOOKUP($D133,Organización_Modular!$F$10:$G$195,2,FALSE)=H$23,Itinerario!T133," ")," ")</f>
        <v xml:space="preserve"> </v>
      </c>
      <c r="I133" s="46" t="str">
        <f>_xlfn.IFNA(IF(VLOOKUP($D133,Organización_Modular!$F$10:$G$195,2,FALSE)=I$23,Itinerario!W133," ")," ")</f>
        <v xml:space="preserve"> </v>
      </c>
      <c r="J133" s="46" t="str">
        <f>_xlfn.IFNA(IF(VLOOKUP($D133,Organización_Modular!$F$10:$G$195,2,FALSE)=J$23,Itinerario!T133," ")," ")</f>
        <v xml:space="preserve"> </v>
      </c>
      <c r="K133" s="46" t="str">
        <f>_xlfn.IFNA(IF(VLOOKUP($D133,Organización_Modular!$F$10:$G$195,2,FALSE)=K$23,Itinerario!W133," ")," ")</f>
        <v xml:space="preserve"> </v>
      </c>
      <c r="L133" s="46" t="str">
        <f>_xlfn.IFNA(IF(VLOOKUP($D133,Organización_Modular!$F$10:$G$195,2,FALSE)=L$23,Itinerario!T133," ")," ")</f>
        <v xml:space="preserve"> </v>
      </c>
      <c r="M133" s="46" t="str">
        <f>_xlfn.IFNA(IF(VLOOKUP($D133,Organización_Modular!$F$10:$G$195,2,FALSE)=M$23,Itinerario!W133," ")," ")</f>
        <v xml:space="preserve"> </v>
      </c>
      <c r="N133" s="46" t="str">
        <f>_xlfn.IFNA(IF(VLOOKUP($D133,Organización_Modular!$F$10:$G$195,2,FALSE)=N$23,Itinerario!T133," ")," ")</f>
        <v xml:space="preserve"> </v>
      </c>
      <c r="O133" s="46" t="str">
        <f>_xlfn.IFNA(IF(VLOOKUP($D133,Organización_Modular!$F$10:$G$195,2,FALSE)=O$23,Itinerario!W133," ")," ")</f>
        <v xml:space="preserve"> </v>
      </c>
      <c r="P133" s="46" t="str">
        <f>_xlfn.IFNA(IF(VLOOKUP($D133,Organización_Modular!$F$10:$G$195,2,FALSE)=P$23,Itinerario!T133," ")," ")</f>
        <v xml:space="preserve"> </v>
      </c>
      <c r="Q133" s="46" t="str">
        <f>_xlfn.IFNA(IF(VLOOKUP($D133,Organización_Modular!$F$10:$G$195,2,FALSE)=Q$23,Itinerario!W133," ")," ")</f>
        <v xml:space="preserve"> </v>
      </c>
      <c r="R133" s="46">
        <f>Organización_Modular!H119</f>
        <v>0</v>
      </c>
      <c r="S133" s="46">
        <f>Organización_Modular!I119</f>
        <v>0</v>
      </c>
      <c r="T133" s="90">
        <f t="shared" si="13"/>
        <v>0</v>
      </c>
      <c r="U133" s="46">
        <f t="shared" si="9"/>
        <v>0</v>
      </c>
      <c r="V133" s="46">
        <f t="shared" si="10"/>
        <v>0</v>
      </c>
      <c r="W133" s="90">
        <f t="shared" si="11"/>
        <v>0</v>
      </c>
      <c r="X133" s="95">
        <f t="shared" si="12"/>
        <v>0</v>
      </c>
    </row>
    <row r="134" spans="1:24" hidden="1" x14ac:dyDescent="0.2">
      <c r="A134" s="407"/>
      <c r="B134" s="313"/>
      <c r="C134" s="410"/>
      <c r="D134" s="409">
        <f>Organización_Modular!F120</f>
        <v>0</v>
      </c>
      <c r="E134" s="409"/>
      <c r="F134" s="46" t="str">
        <f>_xlfn.IFNA(IF(VLOOKUP($D134,Organización_Modular!$F$10:$G$195,2,FALSE)=F$23,Itinerario!T134," ")," ")</f>
        <v xml:space="preserve"> </v>
      </c>
      <c r="G134" s="46" t="str">
        <f>_xlfn.IFNA(IF(VLOOKUP($D134,Organización_Modular!$F$10:$G$195,2,FALSE)=G$23,Itinerario!W134," ")," ")</f>
        <v xml:space="preserve"> </v>
      </c>
      <c r="H134" s="46" t="str">
        <f>_xlfn.IFNA(IF(VLOOKUP($D134,Organización_Modular!$F$10:$G$195,2,FALSE)=H$23,Itinerario!T134," ")," ")</f>
        <v xml:space="preserve"> </v>
      </c>
      <c r="I134" s="46" t="str">
        <f>_xlfn.IFNA(IF(VLOOKUP($D134,Organización_Modular!$F$10:$G$195,2,FALSE)=I$23,Itinerario!W134," ")," ")</f>
        <v xml:space="preserve"> </v>
      </c>
      <c r="J134" s="46" t="str">
        <f>_xlfn.IFNA(IF(VLOOKUP($D134,Organización_Modular!$F$10:$G$195,2,FALSE)=J$23,Itinerario!T134," ")," ")</f>
        <v xml:space="preserve"> </v>
      </c>
      <c r="K134" s="46" t="str">
        <f>_xlfn.IFNA(IF(VLOOKUP($D134,Organización_Modular!$F$10:$G$195,2,FALSE)=K$23,Itinerario!W134," ")," ")</f>
        <v xml:space="preserve"> </v>
      </c>
      <c r="L134" s="46" t="str">
        <f>_xlfn.IFNA(IF(VLOOKUP($D134,Organización_Modular!$F$10:$G$195,2,FALSE)=L$23,Itinerario!T134," ")," ")</f>
        <v xml:space="preserve"> </v>
      </c>
      <c r="M134" s="46" t="str">
        <f>_xlfn.IFNA(IF(VLOOKUP($D134,Organización_Modular!$F$10:$G$195,2,FALSE)=M$23,Itinerario!W134," ")," ")</f>
        <v xml:space="preserve"> </v>
      </c>
      <c r="N134" s="46" t="str">
        <f>_xlfn.IFNA(IF(VLOOKUP($D134,Organización_Modular!$F$10:$G$195,2,FALSE)=N$23,Itinerario!T134," ")," ")</f>
        <v xml:space="preserve"> </v>
      </c>
      <c r="O134" s="46" t="str">
        <f>_xlfn.IFNA(IF(VLOOKUP($D134,Organización_Modular!$F$10:$G$195,2,FALSE)=O$23,Itinerario!W134," ")," ")</f>
        <v xml:space="preserve"> </v>
      </c>
      <c r="P134" s="46" t="str">
        <f>_xlfn.IFNA(IF(VLOOKUP($D134,Organización_Modular!$F$10:$G$195,2,FALSE)=P$23,Itinerario!T134," ")," ")</f>
        <v xml:space="preserve"> </v>
      </c>
      <c r="Q134" s="46" t="str">
        <f>_xlfn.IFNA(IF(VLOOKUP($D134,Organización_Modular!$F$10:$G$195,2,FALSE)=Q$23,Itinerario!W134," ")," ")</f>
        <v xml:space="preserve"> </v>
      </c>
      <c r="R134" s="46">
        <f>Organización_Modular!H120</f>
        <v>0</v>
      </c>
      <c r="S134" s="46">
        <f>Organización_Modular!I120</f>
        <v>0</v>
      </c>
      <c r="T134" s="90">
        <f t="shared" si="13"/>
        <v>0</v>
      </c>
      <c r="U134" s="46">
        <f t="shared" si="9"/>
        <v>0</v>
      </c>
      <c r="V134" s="46">
        <f t="shared" si="10"/>
        <v>0</v>
      </c>
      <c r="W134" s="90">
        <f t="shared" si="11"/>
        <v>0</v>
      </c>
      <c r="X134" s="95">
        <f t="shared" si="12"/>
        <v>0</v>
      </c>
    </row>
    <row r="135" spans="1:24" ht="18" hidden="1" customHeight="1" x14ac:dyDescent="0.2">
      <c r="A135" s="407"/>
      <c r="B135" s="313"/>
      <c r="C135" s="410"/>
      <c r="D135" s="409">
        <f>Organización_Modular!F121</f>
        <v>0</v>
      </c>
      <c r="E135" s="409"/>
      <c r="F135" s="46" t="str">
        <f>_xlfn.IFNA(IF(VLOOKUP($D135,Organización_Modular!$F$10:$G$195,2,FALSE)=F$23,Itinerario!T135," ")," ")</f>
        <v xml:space="preserve"> </v>
      </c>
      <c r="G135" s="46" t="str">
        <f>_xlfn.IFNA(IF(VLOOKUP($D135,Organización_Modular!$F$10:$G$195,2,FALSE)=G$23,Itinerario!W135," ")," ")</f>
        <v xml:space="preserve"> </v>
      </c>
      <c r="H135" s="46" t="str">
        <f>_xlfn.IFNA(IF(VLOOKUP($D135,Organización_Modular!$F$10:$G$195,2,FALSE)=H$23,Itinerario!T135," ")," ")</f>
        <v xml:space="preserve"> </v>
      </c>
      <c r="I135" s="46" t="str">
        <f>_xlfn.IFNA(IF(VLOOKUP($D135,Organización_Modular!$F$10:$G$195,2,FALSE)=I$23,Itinerario!W135," ")," ")</f>
        <v xml:space="preserve"> </v>
      </c>
      <c r="J135" s="46" t="str">
        <f>_xlfn.IFNA(IF(VLOOKUP($D135,Organización_Modular!$F$10:$G$195,2,FALSE)=J$23,Itinerario!T135," ")," ")</f>
        <v xml:space="preserve"> </v>
      </c>
      <c r="K135" s="46" t="str">
        <f>_xlfn.IFNA(IF(VLOOKUP($D135,Organización_Modular!$F$10:$G$195,2,FALSE)=K$23,Itinerario!W135," ")," ")</f>
        <v xml:space="preserve"> </v>
      </c>
      <c r="L135" s="46" t="str">
        <f>_xlfn.IFNA(IF(VLOOKUP($D135,Organización_Modular!$F$10:$G$195,2,FALSE)=L$23,Itinerario!T135," ")," ")</f>
        <v xml:space="preserve"> </v>
      </c>
      <c r="M135" s="46" t="str">
        <f>_xlfn.IFNA(IF(VLOOKUP($D135,Organización_Modular!$F$10:$G$195,2,FALSE)=M$23,Itinerario!W135," ")," ")</f>
        <v xml:space="preserve"> </v>
      </c>
      <c r="N135" s="46" t="str">
        <f>_xlfn.IFNA(IF(VLOOKUP($D135,Organización_Modular!$F$10:$G$195,2,FALSE)=N$23,Itinerario!T135," ")," ")</f>
        <v xml:space="preserve"> </v>
      </c>
      <c r="O135" s="46" t="str">
        <f>_xlfn.IFNA(IF(VLOOKUP($D135,Organización_Modular!$F$10:$G$195,2,FALSE)=O$23,Itinerario!W135," ")," ")</f>
        <v xml:space="preserve"> </v>
      </c>
      <c r="P135" s="46" t="str">
        <f>_xlfn.IFNA(IF(VLOOKUP($D135,Organización_Modular!$F$10:$G$195,2,FALSE)=P$23,Itinerario!T135," ")," ")</f>
        <v xml:space="preserve"> </v>
      </c>
      <c r="Q135" s="46" t="str">
        <f>_xlfn.IFNA(IF(VLOOKUP($D135,Organización_Modular!$F$10:$G$195,2,FALSE)=Q$23,Itinerario!W135," ")," ")</f>
        <v xml:space="preserve"> </v>
      </c>
      <c r="R135" s="46">
        <f>Organización_Modular!H121</f>
        <v>0</v>
      </c>
      <c r="S135" s="46">
        <f>Organización_Modular!I121</f>
        <v>0</v>
      </c>
      <c r="T135" s="90">
        <f t="shared" si="13"/>
        <v>0</v>
      </c>
      <c r="U135" s="46">
        <f t="shared" si="9"/>
        <v>0</v>
      </c>
      <c r="V135" s="46">
        <f t="shared" si="10"/>
        <v>0</v>
      </c>
      <c r="W135" s="90">
        <f t="shared" si="11"/>
        <v>0</v>
      </c>
      <c r="X135" s="95">
        <f t="shared" si="12"/>
        <v>0</v>
      </c>
    </row>
    <row r="136" spans="1:24" ht="23.25" hidden="1" customHeight="1" x14ac:dyDescent="0.2">
      <c r="A136" s="407"/>
      <c r="B136" s="313"/>
      <c r="C136" s="410"/>
      <c r="D136" s="409">
        <f>Organización_Modular!F122</f>
        <v>0</v>
      </c>
      <c r="E136" s="409"/>
      <c r="F136" s="46" t="str">
        <f>_xlfn.IFNA(IF(VLOOKUP($D136,Organización_Modular!$F$10:$G$195,2,FALSE)=F$23,Itinerario!T136," ")," ")</f>
        <v xml:space="preserve"> </v>
      </c>
      <c r="G136" s="46" t="str">
        <f>_xlfn.IFNA(IF(VLOOKUP($D136,Organización_Modular!$F$10:$G$195,2,FALSE)=G$23,Itinerario!W136," ")," ")</f>
        <v xml:space="preserve"> </v>
      </c>
      <c r="H136" s="46" t="str">
        <f>_xlfn.IFNA(IF(VLOOKUP($D136,Organización_Modular!$F$10:$G$195,2,FALSE)=H$23,Itinerario!T136," ")," ")</f>
        <v xml:space="preserve"> </v>
      </c>
      <c r="I136" s="46" t="str">
        <f>_xlfn.IFNA(IF(VLOOKUP($D136,Organización_Modular!$F$10:$G$195,2,FALSE)=I$23,Itinerario!W136," ")," ")</f>
        <v xml:space="preserve"> </v>
      </c>
      <c r="J136" s="46" t="str">
        <f>_xlfn.IFNA(IF(VLOOKUP($D136,Organización_Modular!$F$10:$G$195,2,FALSE)=J$23,Itinerario!T136," ")," ")</f>
        <v xml:space="preserve"> </v>
      </c>
      <c r="K136" s="46" t="str">
        <f>_xlfn.IFNA(IF(VLOOKUP($D136,Organización_Modular!$F$10:$G$195,2,FALSE)=K$23,Itinerario!W136," ")," ")</f>
        <v xml:space="preserve"> </v>
      </c>
      <c r="L136" s="46" t="str">
        <f>_xlfn.IFNA(IF(VLOOKUP($D136,Organización_Modular!$F$10:$G$195,2,FALSE)=L$23,Itinerario!T136," ")," ")</f>
        <v xml:space="preserve"> </v>
      </c>
      <c r="M136" s="46" t="str">
        <f>_xlfn.IFNA(IF(VLOOKUP($D136,Organización_Modular!$F$10:$G$195,2,FALSE)=M$23,Itinerario!W136," ")," ")</f>
        <v xml:space="preserve"> </v>
      </c>
      <c r="N136" s="46" t="str">
        <f>_xlfn.IFNA(IF(VLOOKUP($D136,Organización_Modular!$F$10:$G$195,2,FALSE)=N$23,Itinerario!T136," ")," ")</f>
        <v xml:space="preserve"> </v>
      </c>
      <c r="O136" s="46" t="str">
        <f>_xlfn.IFNA(IF(VLOOKUP($D136,Organización_Modular!$F$10:$G$195,2,FALSE)=O$23,Itinerario!W136," ")," ")</f>
        <v xml:space="preserve"> </v>
      </c>
      <c r="P136" s="46" t="str">
        <f>_xlfn.IFNA(IF(VLOOKUP($D136,Organización_Modular!$F$10:$G$195,2,FALSE)=P$23,Itinerario!T136," ")," ")</f>
        <v xml:space="preserve"> </v>
      </c>
      <c r="Q136" s="46" t="str">
        <f>_xlfn.IFNA(IF(VLOOKUP($D136,Organización_Modular!$F$10:$G$195,2,FALSE)=Q$23,Itinerario!W136," ")," ")</f>
        <v xml:space="preserve"> </v>
      </c>
      <c r="R136" s="46">
        <f>Organización_Modular!H122</f>
        <v>0</v>
      </c>
      <c r="S136" s="46">
        <f>Organización_Modular!I122</f>
        <v>0</v>
      </c>
      <c r="T136" s="90">
        <f t="shared" si="13"/>
        <v>0</v>
      </c>
      <c r="U136" s="46">
        <f t="shared" si="9"/>
        <v>0</v>
      </c>
      <c r="V136" s="46">
        <f t="shared" si="10"/>
        <v>0</v>
      </c>
      <c r="W136" s="90">
        <f t="shared" si="11"/>
        <v>0</v>
      </c>
      <c r="X136" s="95">
        <f t="shared" si="12"/>
        <v>0</v>
      </c>
    </row>
    <row r="137" spans="1:24" ht="72.75" customHeight="1" x14ac:dyDescent="0.2">
      <c r="A137" s="407"/>
      <c r="B137" s="314" t="str">
        <f>B44</f>
        <v>Competencias para la empleabilidad</v>
      </c>
      <c r="C137" s="410" t="str">
        <f>Organización_Modular!C123</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D137" s="409" t="str">
        <f>Organización_Modular!F123</f>
        <v>Plan de negocio</v>
      </c>
      <c r="E137" s="409"/>
      <c r="F137" s="46" t="str">
        <f>_xlfn.IFNA(IF(VLOOKUP($D137,Organización_Modular!$F$10:$G$195,2,FALSE)=F$23,Itinerario!T137," ")," ")</f>
        <v xml:space="preserve"> </v>
      </c>
      <c r="G137" s="46" t="str">
        <f>_xlfn.IFNA(IF(VLOOKUP($D137,Organización_Modular!$F$10:$G$195,2,FALSE)=G$23,Itinerario!W137," ")," ")</f>
        <v xml:space="preserve"> </v>
      </c>
      <c r="H137" s="46" t="str">
        <f>_xlfn.IFNA(IF(VLOOKUP($D137,Organización_Modular!$F$10:$G$195,2,FALSE)=H$23,Itinerario!T137," ")," ")</f>
        <v xml:space="preserve"> </v>
      </c>
      <c r="I137" s="46" t="str">
        <f>_xlfn.IFNA(IF(VLOOKUP($D137,Organización_Modular!$F$10:$G$195,2,FALSE)=I$23,Itinerario!W137," ")," ")</f>
        <v xml:space="preserve"> </v>
      </c>
      <c r="J137" s="46" t="str">
        <f>_xlfn.IFNA(IF(VLOOKUP($D137,Organización_Modular!$F$10:$G$195,2,FALSE)=J$23,Itinerario!T137," ")," ")</f>
        <v xml:space="preserve"> </v>
      </c>
      <c r="K137" s="46" t="str">
        <f>_xlfn.IFNA(IF(VLOOKUP($D137,Organización_Modular!$F$10:$G$195,2,FALSE)=K$23,Itinerario!W137," ")," ")</f>
        <v xml:space="preserve"> </v>
      </c>
      <c r="L137" s="46">
        <f>_xlfn.IFNA(IF(VLOOKUP($D137,Organización_Modular!$F$10:$G$195,2,FALSE)=L$23,Itinerario!T137," ")," ")</f>
        <v>2</v>
      </c>
      <c r="M137" s="46">
        <f>_xlfn.IFNA(IF(VLOOKUP($D137,Organización_Modular!$F$10:$G$195,2,FALSE)=M$23,Itinerario!W137," ")," ")</f>
        <v>48</v>
      </c>
      <c r="N137" s="46" t="str">
        <f>_xlfn.IFNA(IF(VLOOKUP($D137,Organización_Modular!$F$10:$G$195,2,FALSE)=N$23,Itinerario!T137," ")," ")</f>
        <v xml:space="preserve"> </v>
      </c>
      <c r="O137" s="46" t="str">
        <f>_xlfn.IFNA(IF(VLOOKUP($D137,Organización_Modular!$F$10:$G$195,2,FALSE)=O$23,Itinerario!W137," ")," ")</f>
        <v xml:space="preserve"> </v>
      </c>
      <c r="P137" s="46" t="str">
        <f>_xlfn.IFNA(IF(VLOOKUP($D137,Organización_Modular!$F$10:$G$195,2,FALSE)=P$23,Itinerario!T137," ")," ")</f>
        <v xml:space="preserve"> </v>
      </c>
      <c r="Q137" s="46" t="str">
        <f>_xlfn.IFNA(IF(VLOOKUP($D137,Organización_Modular!$F$10:$G$195,2,FALSE)=Q$23,Itinerario!W137," ")," ")</f>
        <v xml:space="preserve"> </v>
      </c>
      <c r="R137" s="46">
        <f>Organización_Modular!H123</f>
        <v>1</v>
      </c>
      <c r="S137" s="46">
        <f>Organización_Modular!I123</f>
        <v>1</v>
      </c>
      <c r="T137" s="90">
        <f t="shared" si="13"/>
        <v>2</v>
      </c>
      <c r="U137" s="46">
        <f t="shared" si="9"/>
        <v>16</v>
      </c>
      <c r="V137" s="46">
        <f t="shared" si="10"/>
        <v>32</v>
      </c>
      <c r="W137" s="90">
        <f t="shared" si="11"/>
        <v>48</v>
      </c>
      <c r="X137" s="95">
        <f t="shared" si="12"/>
        <v>48</v>
      </c>
    </row>
    <row r="138" spans="1:24" ht="51" customHeight="1" x14ac:dyDescent="0.2">
      <c r="A138" s="407"/>
      <c r="B138" s="314"/>
      <c r="C138" s="410"/>
      <c r="D138" s="409" t="str">
        <f>Organización_Modular!F124</f>
        <v>Elaboración de planes de negocio</v>
      </c>
      <c r="E138" s="409"/>
      <c r="F138" s="46" t="str">
        <f>_xlfn.IFNA(IF(VLOOKUP($D138,Organización_Modular!$F$10:$G$195,2,FALSE)=F$23,Itinerario!T138," ")," ")</f>
        <v xml:space="preserve"> </v>
      </c>
      <c r="G138" s="46" t="str">
        <f>_xlfn.IFNA(IF(VLOOKUP($D138,Organización_Modular!$F$10:$G$195,2,FALSE)=G$23,Itinerario!W138," ")," ")</f>
        <v xml:space="preserve"> </v>
      </c>
      <c r="H138" s="46" t="str">
        <f>_xlfn.IFNA(IF(VLOOKUP($D138,Organización_Modular!$F$10:$G$195,2,FALSE)=H$23,Itinerario!T138," ")," ")</f>
        <v xml:space="preserve"> </v>
      </c>
      <c r="I138" s="46" t="str">
        <f>_xlfn.IFNA(IF(VLOOKUP($D138,Organización_Modular!$F$10:$G$195,2,FALSE)=I$23,Itinerario!W138," ")," ")</f>
        <v xml:space="preserve"> </v>
      </c>
      <c r="J138" s="46" t="str">
        <f>_xlfn.IFNA(IF(VLOOKUP($D138,Organización_Modular!$F$10:$G$195,2,FALSE)=J$23,Itinerario!T138," ")," ")</f>
        <v xml:space="preserve"> </v>
      </c>
      <c r="K138" s="46" t="str">
        <f>_xlfn.IFNA(IF(VLOOKUP($D138,Organización_Modular!$F$10:$G$195,2,FALSE)=K$23,Itinerario!W138," ")," ")</f>
        <v xml:space="preserve"> </v>
      </c>
      <c r="L138" s="46">
        <f>_xlfn.IFNA(IF(VLOOKUP($D138,Organización_Modular!$F$10:$G$195,2,FALSE)=L$23,Itinerario!T138," ")," ")</f>
        <v>1</v>
      </c>
      <c r="M138" s="46">
        <f>_xlfn.IFNA(IF(VLOOKUP($D138,Organización_Modular!$F$10:$G$195,2,FALSE)=M$23,Itinerario!W138," ")," ")</f>
        <v>32</v>
      </c>
      <c r="N138" s="46" t="str">
        <f>_xlfn.IFNA(IF(VLOOKUP($D138,Organización_Modular!$F$10:$G$195,2,FALSE)=N$23,Itinerario!T138," ")," ")</f>
        <v xml:space="preserve"> </v>
      </c>
      <c r="O138" s="46" t="str">
        <f>_xlfn.IFNA(IF(VLOOKUP($D138,Organización_Modular!$F$10:$G$195,2,FALSE)=O$23,Itinerario!W138," ")," ")</f>
        <v xml:space="preserve"> </v>
      </c>
      <c r="P138" s="46" t="str">
        <f>_xlfn.IFNA(IF(VLOOKUP($D138,Organización_Modular!$F$10:$G$195,2,FALSE)=P$23,Itinerario!T138," ")," ")</f>
        <v xml:space="preserve"> </v>
      </c>
      <c r="Q138" s="46" t="str">
        <f>_xlfn.IFNA(IF(VLOOKUP($D138,Organización_Modular!$F$10:$G$195,2,FALSE)=Q$23,Itinerario!W138," ")," ")</f>
        <v xml:space="preserve"> </v>
      </c>
      <c r="R138" s="46">
        <f>Organización_Modular!H124</f>
        <v>0</v>
      </c>
      <c r="S138" s="46">
        <f>Organización_Modular!I124</f>
        <v>1</v>
      </c>
      <c r="T138" s="90">
        <f t="shared" si="13"/>
        <v>1</v>
      </c>
      <c r="U138" s="46">
        <f t="shared" si="9"/>
        <v>0</v>
      </c>
      <c r="V138" s="46">
        <f t="shared" si="10"/>
        <v>32</v>
      </c>
      <c r="W138" s="90">
        <f t="shared" si="11"/>
        <v>32</v>
      </c>
      <c r="X138" s="95">
        <f t="shared" si="12"/>
        <v>32</v>
      </c>
    </row>
    <row r="139" spans="1:24" ht="30.75" customHeight="1" x14ac:dyDescent="0.2">
      <c r="A139" s="407"/>
      <c r="B139" s="314"/>
      <c r="C139" s="410"/>
      <c r="D139" s="409" t="str">
        <f>Organización_Modular!F125</f>
        <v>Principios y valores éticos.</v>
      </c>
      <c r="E139" s="409"/>
      <c r="F139" s="46" t="str">
        <f>_xlfn.IFNA(IF(VLOOKUP($D139,Organización_Modular!$F$10:$G$195,2,FALSE)=F$23,Itinerario!T139," ")," ")</f>
        <v xml:space="preserve"> </v>
      </c>
      <c r="G139" s="46" t="str">
        <f>_xlfn.IFNA(IF(VLOOKUP($D139,Organización_Modular!$F$10:$G$195,2,FALSE)=G$23,Itinerario!W139," ")," ")</f>
        <v xml:space="preserve"> </v>
      </c>
      <c r="H139" s="46" t="str">
        <f>_xlfn.IFNA(IF(VLOOKUP($D139,Organización_Modular!$F$10:$G$195,2,FALSE)=H$23,Itinerario!T139," ")," ")</f>
        <v xml:space="preserve"> </v>
      </c>
      <c r="I139" s="46" t="str">
        <f>_xlfn.IFNA(IF(VLOOKUP($D139,Organización_Modular!$F$10:$G$195,2,FALSE)=I$23,Itinerario!W139," ")," ")</f>
        <v xml:space="preserve"> </v>
      </c>
      <c r="J139" s="46" t="str">
        <f>_xlfn.IFNA(IF(VLOOKUP($D139,Organización_Modular!$F$10:$G$195,2,FALSE)=J$23,Itinerario!T139," ")," ")</f>
        <v xml:space="preserve"> </v>
      </c>
      <c r="K139" s="46" t="str">
        <f>_xlfn.IFNA(IF(VLOOKUP($D139,Organización_Modular!$F$10:$G$195,2,FALSE)=K$23,Itinerario!W139," ")," ")</f>
        <v xml:space="preserve"> </v>
      </c>
      <c r="L139" s="46">
        <f>_xlfn.IFNA(IF(VLOOKUP($D139,Organización_Modular!$F$10:$G$195,2,FALSE)=L$23,Itinerario!T139," ")," ")</f>
        <v>1</v>
      </c>
      <c r="M139" s="46">
        <f>_xlfn.IFNA(IF(VLOOKUP($D139,Organización_Modular!$F$10:$G$195,2,FALSE)=M$23,Itinerario!W139," ")," ")</f>
        <v>32</v>
      </c>
      <c r="N139" s="46" t="str">
        <f>_xlfn.IFNA(IF(VLOOKUP($D139,Organización_Modular!$F$10:$G$195,2,FALSE)=N$23,Itinerario!T139," ")," ")</f>
        <v xml:space="preserve"> </v>
      </c>
      <c r="O139" s="46" t="str">
        <f>_xlfn.IFNA(IF(VLOOKUP($D139,Organización_Modular!$F$10:$G$195,2,FALSE)=O$23,Itinerario!W139," ")," ")</f>
        <v xml:space="preserve"> </v>
      </c>
      <c r="P139" s="46" t="str">
        <f>_xlfn.IFNA(IF(VLOOKUP($D139,Organización_Modular!$F$10:$G$195,2,FALSE)=P$23,Itinerario!T139," ")," ")</f>
        <v xml:space="preserve"> </v>
      </c>
      <c r="Q139" s="46" t="str">
        <f>_xlfn.IFNA(IF(VLOOKUP($D139,Organización_Modular!$F$10:$G$195,2,FALSE)=Q$23,Itinerario!W139," ")," ")</f>
        <v xml:space="preserve"> </v>
      </c>
      <c r="R139" s="46">
        <f>Organización_Modular!H125</f>
        <v>0</v>
      </c>
      <c r="S139" s="46">
        <f>Organización_Modular!I125</f>
        <v>1</v>
      </c>
      <c r="T139" s="90">
        <f t="shared" si="13"/>
        <v>1</v>
      </c>
      <c r="U139" s="46">
        <f t="shared" si="9"/>
        <v>0</v>
      </c>
      <c r="V139" s="46">
        <f t="shared" si="10"/>
        <v>32</v>
      </c>
      <c r="W139" s="90">
        <f t="shared" si="11"/>
        <v>32</v>
      </c>
      <c r="X139" s="95">
        <f t="shared" si="12"/>
        <v>32</v>
      </c>
    </row>
    <row r="140" spans="1:24" ht="86.25" customHeight="1" x14ac:dyDescent="0.2">
      <c r="A140" s="407"/>
      <c r="B140" s="314"/>
      <c r="C140" s="410"/>
      <c r="D140" s="409" t="str">
        <f>Organización_Modular!F126</f>
        <v xml:space="preserve">Comportamiento Ético </v>
      </c>
      <c r="E140" s="409"/>
      <c r="F140" s="46" t="str">
        <f>_xlfn.IFNA(IF(VLOOKUP($D140,Organización_Modular!$F$10:$G$195,2,FALSE)=F$23,Itinerario!T140," ")," ")</f>
        <v xml:space="preserve"> </v>
      </c>
      <c r="G140" s="46" t="str">
        <f>_xlfn.IFNA(IF(VLOOKUP($D140,Organización_Modular!$F$10:$G$195,2,FALSE)=G$23,Itinerario!W140," ")," ")</f>
        <v xml:space="preserve"> </v>
      </c>
      <c r="H140" s="46" t="str">
        <f>_xlfn.IFNA(IF(VLOOKUP($D140,Organización_Modular!$F$10:$G$195,2,FALSE)=H$23,Itinerario!T140," ")," ")</f>
        <v xml:space="preserve"> </v>
      </c>
      <c r="I140" s="46" t="str">
        <f>_xlfn.IFNA(IF(VLOOKUP($D140,Organización_Modular!$F$10:$G$195,2,FALSE)=I$23,Itinerario!W140," ")," ")</f>
        <v xml:space="preserve"> </v>
      </c>
      <c r="J140" s="46" t="str">
        <f>_xlfn.IFNA(IF(VLOOKUP($D140,Organización_Modular!$F$10:$G$195,2,FALSE)=J$23,Itinerario!T140," ")," ")</f>
        <v xml:space="preserve"> </v>
      </c>
      <c r="K140" s="46" t="str">
        <f>_xlfn.IFNA(IF(VLOOKUP($D140,Organización_Modular!$F$10:$G$195,2,FALSE)=K$23,Itinerario!W140," ")," ")</f>
        <v xml:space="preserve"> </v>
      </c>
      <c r="L140" s="46">
        <f>_xlfn.IFNA(IF(VLOOKUP($D140,Organización_Modular!$F$10:$G$195,2,FALSE)=L$23,Itinerario!T140," ")," ")</f>
        <v>1</v>
      </c>
      <c r="M140" s="46">
        <f>_xlfn.IFNA(IF(VLOOKUP($D140,Organización_Modular!$F$10:$G$195,2,FALSE)=M$23,Itinerario!W140," ")," ")</f>
        <v>32</v>
      </c>
      <c r="N140" s="46" t="str">
        <f>_xlfn.IFNA(IF(VLOOKUP($D140,Organización_Modular!$F$10:$G$195,2,FALSE)=N$23,Itinerario!T140," ")," ")</f>
        <v xml:space="preserve"> </v>
      </c>
      <c r="O140" s="46" t="str">
        <f>_xlfn.IFNA(IF(VLOOKUP($D140,Organización_Modular!$F$10:$G$195,2,FALSE)=O$23,Itinerario!W140," ")," ")</f>
        <v xml:space="preserve"> </v>
      </c>
      <c r="P140" s="46" t="str">
        <f>_xlfn.IFNA(IF(VLOOKUP($D140,Organización_Modular!$F$10:$G$195,2,FALSE)=P$23,Itinerario!T140," ")," ")</f>
        <v xml:space="preserve"> </v>
      </c>
      <c r="Q140" s="46" t="str">
        <f>_xlfn.IFNA(IF(VLOOKUP($D140,Organización_Modular!$F$10:$G$195,2,FALSE)=Q$23,Itinerario!W140," ")," ")</f>
        <v xml:space="preserve"> </v>
      </c>
      <c r="R140" s="46">
        <f>Organización_Modular!H126</f>
        <v>0</v>
      </c>
      <c r="S140" s="46">
        <f>Organización_Modular!I126</f>
        <v>1</v>
      </c>
      <c r="T140" s="90">
        <f t="shared" si="13"/>
        <v>1</v>
      </c>
      <c r="U140" s="46">
        <f t="shared" si="9"/>
        <v>0</v>
      </c>
      <c r="V140" s="46">
        <f t="shared" si="10"/>
        <v>32</v>
      </c>
      <c r="W140" s="90">
        <f t="shared" si="11"/>
        <v>32</v>
      </c>
      <c r="X140" s="95">
        <f t="shared" si="12"/>
        <v>32</v>
      </c>
    </row>
    <row r="141" spans="1:24" ht="18" hidden="1" customHeight="1" x14ac:dyDescent="0.2">
      <c r="A141" s="407"/>
      <c r="B141" s="314"/>
      <c r="C141" s="410"/>
      <c r="D141" s="409">
        <f>Organización_Modular!F127</f>
        <v>0</v>
      </c>
      <c r="E141" s="409"/>
      <c r="F141" s="46" t="str">
        <f>_xlfn.IFNA(IF(VLOOKUP($D141,Organización_Modular!$F$10:$G$195,2,FALSE)=F$23,Itinerario!T141," ")," ")</f>
        <v xml:space="preserve"> </v>
      </c>
      <c r="G141" s="46" t="str">
        <f>_xlfn.IFNA(IF(VLOOKUP($D141,Organización_Modular!$F$10:$G$195,2,FALSE)=G$23,Itinerario!W141," ")," ")</f>
        <v xml:space="preserve"> </v>
      </c>
      <c r="H141" s="46" t="str">
        <f>_xlfn.IFNA(IF(VLOOKUP($D141,Organización_Modular!$F$10:$G$195,2,FALSE)=H$23,Itinerario!T141," ")," ")</f>
        <v xml:space="preserve"> </v>
      </c>
      <c r="I141" s="46" t="str">
        <f>_xlfn.IFNA(IF(VLOOKUP($D141,Organización_Modular!$F$10:$G$195,2,FALSE)=I$23,Itinerario!W141," ")," ")</f>
        <v xml:space="preserve"> </v>
      </c>
      <c r="J141" s="46" t="str">
        <f>_xlfn.IFNA(IF(VLOOKUP($D141,Organización_Modular!$F$10:$G$195,2,FALSE)=J$23,Itinerario!T141," ")," ")</f>
        <v xml:space="preserve"> </v>
      </c>
      <c r="K141" s="46" t="str">
        <f>_xlfn.IFNA(IF(VLOOKUP($D141,Organización_Modular!$F$10:$G$195,2,FALSE)=K$23,Itinerario!W141," ")," ")</f>
        <v xml:space="preserve"> </v>
      </c>
      <c r="L141" s="46" t="str">
        <f>_xlfn.IFNA(IF(VLOOKUP($D141,Organización_Modular!$F$10:$G$195,2,FALSE)=L$23,Itinerario!T141," ")," ")</f>
        <v xml:space="preserve"> </v>
      </c>
      <c r="M141" s="46" t="str">
        <f>_xlfn.IFNA(IF(VLOOKUP($D141,Organización_Modular!$F$10:$G$195,2,FALSE)=M$23,Itinerario!W141," ")," ")</f>
        <v xml:space="preserve"> </v>
      </c>
      <c r="N141" s="46" t="str">
        <f>_xlfn.IFNA(IF(VLOOKUP($D141,Organización_Modular!$F$10:$G$195,2,FALSE)=N$23,Itinerario!T141," ")," ")</f>
        <v xml:space="preserve"> </v>
      </c>
      <c r="O141" s="46" t="str">
        <f>_xlfn.IFNA(IF(VLOOKUP($D141,Organización_Modular!$F$10:$G$195,2,FALSE)=O$23,Itinerario!W141," ")," ")</f>
        <v xml:space="preserve"> </v>
      </c>
      <c r="P141" s="46" t="str">
        <f>_xlfn.IFNA(IF(VLOOKUP($D141,Organización_Modular!$F$10:$G$195,2,FALSE)=P$23,Itinerario!T141," ")," ")</f>
        <v xml:space="preserve"> </v>
      </c>
      <c r="Q141" s="46" t="str">
        <f>_xlfn.IFNA(IF(VLOOKUP($D141,Organización_Modular!$F$10:$G$195,2,FALSE)=Q$23,Itinerario!W141," ")," ")</f>
        <v xml:space="preserve"> </v>
      </c>
      <c r="R141" s="46">
        <f>Organización_Modular!H127</f>
        <v>0</v>
      </c>
      <c r="S141" s="46">
        <f>Organización_Modular!I127</f>
        <v>0</v>
      </c>
      <c r="T141" s="90">
        <f t="shared" si="13"/>
        <v>0</v>
      </c>
      <c r="U141" s="46">
        <f t="shared" si="9"/>
        <v>0</v>
      </c>
      <c r="V141" s="46">
        <f t="shared" si="10"/>
        <v>0</v>
      </c>
      <c r="W141" s="90">
        <f t="shared" si="11"/>
        <v>0</v>
      </c>
      <c r="X141" s="95">
        <f t="shared" si="12"/>
        <v>0</v>
      </c>
    </row>
    <row r="142" spans="1:24" ht="18" hidden="1" customHeight="1" x14ac:dyDescent="0.2">
      <c r="A142" s="407"/>
      <c r="B142" s="314"/>
      <c r="C142" s="410"/>
      <c r="D142" s="409">
        <f>Organización_Modular!F128</f>
        <v>0</v>
      </c>
      <c r="E142" s="409"/>
      <c r="F142" s="46" t="str">
        <f>_xlfn.IFNA(IF(VLOOKUP($D142,Organización_Modular!$F$10:$G$195,2,FALSE)=F$23,Itinerario!T142," ")," ")</f>
        <v xml:space="preserve"> </v>
      </c>
      <c r="G142" s="46" t="str">
        <f>_xlfn.IFNA(IF(VLOOKUP($D142,Organización_Modular!$F$10:$G$195,2,FALSE)=G$23,Itinerario!W142," ")," ")</f>
        <v xml:space="preserve"> </v>
      </c>
      <c r="H142" s="46" t="str">
        <f>_xlfn.IFNA(IF(VLOOKUP($D142,Organización_Modular!$F$10:$G$195,2,FALSE)=H$23,Itinerario!T142," ")," ")</f>
        <v xml:space="preserve"> </v>
      </c>
      <c r="I142" s="46" t="str">
        <f>_xlfn.IFNA(IF(VLOOKUP($D142,Organización_Modular!$F$10:$G$195,2,FALSE)=I$23,Itinerario!W142," ")," ")</f>
        <v xml:space="preserve"> </v>
      </c>
      <c r="J142" s="46" t="str">
        <f>_xlfn.IFNA(IF(VLOOKUP($D142,Organización_Modular!$F$10:$G$195,2,FALSE)=J$23,Itinerario!T142," ")," ")</f>
        <v xml:space="preserve"> </v>
      </c>
      <c r="K142" s="46" t="str">
        <f>_xlfn.IFNA(IF(VLOOKUP($D142,Organización_Modular!$F$10:$G$195,2,FALSE)=K$23,Itinerario!W142," ")," ")</f>
        <v xml:space="preserve"> </v>
      </c>
      <c r="L142" s="46" t="str">
        <f>_xlfn.IFNA(IF(VLOOKUP($D142,Organización_Modular!$F$10:$G$195,2,FALSE)=L$23,Itinerario!T142," ")," ")</f>
        <v xml:space="preserve"> </v>
      </c>
      <c r="M142" s="46" t="str">
        <f>_xlfn.IFNA(IF(VLOOKUP($D142,Organización_Modular!$F$10:$G$195,2,FALSE)=M$23,Itinerario!W142," ")," ")</f>
        <v xml:space="preserve"> </v>
      </c>
      <c r="N142" s="46" t="str">
        <f>_xlfn.IFNA(IF(VLOOKUP($D142,Organización_Modular!$F$10:$G$195,2,FALSE)=N$23,Itinerario!T142," ")," ")</f>
        <v xml:space="preserve"> </v>
      </c>
      <c r="O142" s="46" t="str">
        <f>_xlfn.IFNA(IF(VLOOKUP($D142,Organización_Modular!$F$10:$G$195,2,FALSE)=O$23,Itinerario!W142," ")," ")</f>
        <v xml:space="preserve"> </v>
      </c>
      <c r="P142" s="46" t="str">
        <f>_xlfn.IFNA(IF(VLOOKUP($D142,Organización_Modular!$F$10:$G$195,2,FALSE)=P$23,Itinerario!T142," ")," ")</f>
        <v xml:space="preserve"> </v>
      </c>
      <c r="Q142" s="46" t="str">
        <f>_xlfn.IFNA(IF(VLOOKUP($D142,Organización_Modular!$F$10:$G$195,2,FALSE)=Q$23,Itinerario!W142," ")," ")</f>
        <v xml:space="preserve"> </v>
      </c>
      <c r="R142" s="46">
        <f>Organización_Modular!H128</f>
        <v>0</v>
      </c>
      <c r="S142" s="46">
        <f>Organización_Modular!I128</f>
        <v>0</v>
      </c>
      <c r="T142" s="90">
        <f t="shared" si="13"/>
        <v>0</v>
      </c>
      <c r="U142" s="46">
        <f t="shared" si="9"/>
        <v>0</v>
      </c>
      <c r="V142" s="46">
        <f t="shared" si="10"/>
        <v>0</v>
      </c>
      <c r="W142" s="90">
        <f t="shared" si="11"/>
        <v>0</v>
      </c>
      <c r="X142" s="95">
        <f t="shared" si="12"/>
        <v>0</v>
      </c>
    </row>
    <row r="143" spans="1:24" ht="18" hidden="1" customHeight="1" x14ac:dyDescent="0.2">
      <c r="A143" s="407"/>
      <c r="B143" s="314"/>
      <c r="C143" s="410"/>
      <c r="D143" s="409">
        <f>Organización_Modular!F129</f>
        <v>0</v>
      </c>
      <c r="E143" s="409"/>
      <c r="F143" s="46" t="str">
        <f>_xlfn.IFNA(IF(VLOOKUP($D143,Organización_Modular!$F$10:$G$195,2,FALSE)=F$23,Itinerario!T143," ")," ")</f>
        <v xml:space="preserve"> </v>
      </c>
      <c r="G143" s="46" t="str">
        <f>_xlfn.IFNA(IF(VLOOKUP($D143,Organización_Modular!$F$10:$G$195,2,FALSE)=G$23,Itinerario!W143," ")," ")</f>
        <v xml:space="preserve"> </v>
      </c>
      <c r="H143" s="46" t="str">
        <f>_xlfn.IFNA(IF(VLOOKUP($D143,Organización_Modular!$F$10:$G$195,2,FALSE)=H$23,Itinerario!T143," ")," ")</f>
        <v xml:space="preserve"> </v>
      </c>
      <c r="I143" s="46" t="str">
        <f>_xlfn.IFNA(IF(VLOOKUP($D143,Organización_Modular!$F$10:$G$195,2,FALSE)=I$23,Itinerario!W143," ")," ")</f>
        <v xml:space="preserve"> </v>
      </c>
      <c r="J143" s="46" t="str">
        <f>_xlfn.IFNA(IF(VLOOKUP($D143,Organización_Modular!$F$10:$G$195,2,FALSE)=J$23,Itinerario!T143," ")," ")</f>
        <v xml:space="preserve"> </v>
      </c>
      <c r="K143" s="46" t="str">
        <f>_xlfn.IFNA(IF(VLOOKUP($D143,Organización_Modular!$F$10:$G$195,2,FALSE)=K$23,Itinerario!W143," ")," ")</f>
        <v xml:space="preserve"> </v>
      </c>
      <c r="L143" s="46" t="str">
        <f>_xlfn.IFNA(IF(VLOOKUP($D143,Organización_Modular!$F$10:$G$195,2,FALSE)=L$23,Itinerario!T143," ")," ")</f>
        <v xml:space="preserve"> </v>
      </c>
      <c r="M143" s="46" t="str">
        <f>_xlfn.IFNA(IF(VLOOKUP($D143,Organización_Modular!$F$10:$G$195,2,FALSE)=M$23,Itinerario!W143," ")," ")</f>
        <v xml:space="preserve"> </v>
      </c>
      <c r="N143" s="46" t="str">
        <f>_xlfn.IFNA(IF(VLOOKUP($D143,Organización_Modular!$F$10:$G$195,2,FALSE)=N$23,Itinerario!T143," ")," ")</f>
        <v xml:space="preserve"> </v>
      </c>
      <c r="O143" s="46" t="str">
        <f>_xlfn.IFNA(IF(VLOOKUP($D143,Organización_Modular!$F$10:$G$195,2,FALSE)=O$23,Itinerario!W143," ")," ")</f>
        <v xml:space="preserve"> </v>
      </c>
      <c r="P143" s="46" t="str">
        <f>_xlfn.IFNA(IF(VLOOKUP($D143,Organización_Modular!$F$10:$G$195,2,FALSE)=P$23,Itinerario!T143," ")," ")</f>
        <v xml:space="preserve"> </v>
      </c>
      <c r="Q143" s="46" t="str">
        <f>_xlfn.IFNA(IF(VLOOKUP($D143,Organización_Modular!$F$10:$G$195,2,FALSE)=Q$23,Itinerario!W143," ")," ")</f>
        <v xml:space="preserve"> </v>
      </c>
      <c r="R143" s="46">
        <f>Organización_Modular!H129</f>
        <v>0</v>
      </c>
      <c r="S143" s="46">
        <f>Organización_Modular!I129</f>
        <v>0</v>
      </c>
      <c r="T143" s="90">
        <f t="shared" si="13"/>
        <v>0</v>
      </c>
      <c r="U143" s="46">
        <f t="shared" si="9"/>
        <v>0</v>
      </c>
      <c r="V143" s="46">
        <f t="shared" si="10"/>
        <v>0</v>
      </c>
      <c r="W143" s="90">
        <f t="shared" si="11"/>
        <v>0</v>
      </c>
      <c r="X143" s="95">
        <f t="shared" si="12"/>
        <v>0</v>
      </c>
    </row>
    <row r="144" spans="1:24" ht="18" hidden="1" customHeight="1" x14ac:dyDescent="0.2">
      <c r="A144" s="407"/>
      <c r="B144" s="314"/>
      <c r="C144" s="410"/>
      <c r="D144" s="409">
        <f>Organización_Modular!F130</f>
        <v>0</v>
      </c>
      <c r="E144" s="409"/>
      <c r="F144" s="46" t="str">
        <f>_xlfn.IFNA(IF(VLOOKUP($D144,Organización_Modular!$F$10:$G$195,2,FALSE)=F$23,Itinerario!T144," ")," ")</f>
        <v xml:space="preserve"> </v>
      </c>
      <c r="G144" s="46" t="str">
        <f>_xlfn.IFNA(IF(VLOOKUP($D144,Organización_Modular!$F$10:$G$195,2,FALSE)=G$23,Itinerario!W144," ")," ")</f>
        <v xml:space="preserve"> </v>
      </c>
      <c r="H144" s="46" t="str">
        <f>_xlfn.IFNA(IF(VLOOKUP($D144,Organización_Modular!$F$10:$G$195,2,FALSE)=H$23,Itinerario!T144," ")," ")</f>
        <v xml:space="preserve"> </v>
      </c>
      <c r="I144" s="46" t="str">
        <f>_xlfn.IFNA(IF(VLOOKUP($D144,Organización_Modular!$F$10:$G$195,2,FALSE)=I$23,Itinerario!W144," ")," ")</f>
        <v xml:space="preserve"> </v>
      </c>
      <c r="J144" s="46" t="str">
        <f>_xlfn.IFNA(IF(VLOOKUP($D144,Organización_Modular!$F$10:$G$195,2,FALSE)=J$23,Itinerario!T144," ")," ")</f>
        <v xml:space="preserve"> </v>
      </c>
      <c r="K144" s="46" t="str">
        <f>_xlfn.IFNA(IF(VLOOKUP($D144,Organización_Modular!$F$10:$G$195,2,FALSE)=K$23,Itinerario!W144," ")," ")</f>
        <v xml:space="preserve"> </v>
      </c>
      <c r="L144" s="46" t="str">
        <f>_xlfn.IFNA(IF(VLOOKUP($D144,Organización_Modular!$F$10:$G$195,2,FALSE)=L$23,Itinerario!T144," ")," ")</f>
        <v xml:space="preserve"> </v>
      </c>
      <c r="M144" s="46" t="str">
        <f>_xlfn.IFNA(IF(VLOOKUP($D144,Organización_Modular!$F$10:$G$195,2,FALSE)=M$23,Itinerario!W144," ")," ")</f>
        <v xml:space="preserve"> </v>
      </c>
      <c r="N144" s="46" t="str">
        <f>_xlfn.IFNA(IF(VLOOKUP($D144,Organización_Modular!$F$10:$G$195,2,FALSE)=N$23,Itinerario!T144," ")," ")</f>
        <v xml:space="preserve"> </v>
      </c>
      <c r="O144" s="46" t="str">
        <f>_xlfn.IFNA(IF(VLOOKUP($D144,Organización_Modular!$F$10:$G$195,2,FALSE)=O$23,Itinerario!W144," ")," ")</f>
        <v xml:space="preserve"> </v>
      </c>
      <c r="P144" s="46" t="str">
        <f>_xlfn.IFNA(IF(VLOOKUP($D144,Organización_Modular!$F$10:$G$195,2,FALSE)=P$23,Itinerario!T144," ")," ")</f>
        <v xml:space="preserve"> </v>
      </c>
      <c r="Q144" s="46" t="str">
        <f>_xlfn.IFNA(IF(VLOOKUP($D144,Organización_Modular!$F$10:$G$195,2,FALSE)=Q$23,Itinerario!W144," ")," ")</f>
        <v xml:space="preserve"> </v>
      </c>
      <c r="R144" s="46">
        <f>Organización_Modular!H130</f>
        <v>0</v>
      </c>
      <c r="S144" s="46">
        <f>Organización_Modular!I130</f>
        <v>0</v>
      </c>
      <c r="T144" s="90">
        <f t="shared" si="13"/>
        <v>0</v>
      </c>
      <c r="U144" s="46">
        <f t="shared" si="9"/>
        <v>0</v>
      </c>
      <c r="V144" s="46">
        <f t="shared" si="10"/>
        <v>0</v>
      </c>
      <c r="W144" s="90">
        <f t="shared" si="11"/>
        <v>0</v>
      </c>
      <c r="X144" s="95">
        <f t="shared" si="12"/>
        <v>0</v>
      </c>
    </row>
    <row r="145" spans="1:24" ht="18" hidden="1" customHeight="1" x14ac:dyDescent="0.2">
      <c r="A145" s="407"/>
      <c r="B145" s="314"/>
      <c r="C145" s="410"/>
      <c r="D145" s="409">
        <f>Organización_Modular!F131</f>
        <v>0</v>
      </c>
      <c r="E145" s="409"/>
      <c r="F145" s="46" t="str">
        <f>_xlfn.IFNA(IF(VLOOKUP($D145,Organización_Modular!$F$10:$G$195,2,FALSE)=F$23,Itinerario!T145," ")," ")</f>
        <v xml:space="preserve"> </v>
      </c>
      <c r="G145" s="46" t="str">
        <f>_xlfn.IFNA(IF(VLOOKUP($D145,Organización_Modular!$F$10:$G$195,2,FALSE)=G$23,Itinerario!W145," ")," ")</f>
        <v xml:space="preserve"> </v>
      </c>
      <c r="H145" s="46" t="str">
        <f>_xlfn.IFNA(IF(VLOOKUP($D145,Organización_Modular!$F$10:$G$195,2,FALSE)=H$23,Itinerario!T145," ")," ")</f>
        <v xml:space="preserve"> </v>
      </c>
      <c r="I145" s="46" t="str">
        <f>_xlfn.IFNA(IF(VLOOKUP($D145,Organización_Modular!$F$10:$G$195,2,FALSE)=I$23,Itinerario!W145," ")," ")</f>
        <v xml:space="preserve"> </v>
      </c>
      <c r="J145" s="46" t="str">
        <f>_xlfn.IFNA(IF(VLOOKUP($D145,Organización_Modular!$F$10:$G$195,2,FALSE)=J$23,Itinerario!T145," ")," ")</f>
        <v xml:space="preserve"> </v>
      </c>
      <c r="K145" s="46" t="str">
        <f>_xlfn.IFNA(IF(VLOOKUP($D145,Organización_Modular!$F$10:$G$195,2,FALSE)=K$23,Itinerario!W145," ")," ")</f>
        <v xml:space="preserve"> </v>
      </c>
      <c r="L145" s="46" t="str">
        <f>_xlfn.IFNA(IF(VLOOKUP($D145,Organización_Modular!$F$10:$G$195,2,FALSE)=L$23,Itinerario!T145," ")," ")</f>
        <v xml:space="preserve"> </v>
      </c>
      <c r="M145" s="46" t="str">
        <f>_xlfn.IFNA(IF(VLOOKUP($D145,Organización_Modular!$F$10:$G$195,2,FALSE)=M$23,Itinerario!W145," ")," ")</f>
        <v xml:space="preserve"> </v>
      </c>
      <c r="N145" s="46" t="str">
        <f>_xlfn.IFNA(IF(VLOOKUP($D145,Organización_Modular!$F$10:$G$195,2,FALSE)=N$23,Itinerario!T145," ")," ")</f>
        <v xml:space="preserve"> </v>
      </c>
      <c r="O145" s="46" t="str">
        <f>_xlfn.IFNA(IF(VLOOKUP($D145,Organización_Modular!$F$10:$G$195,2,FALSE)=O$23,Itinerario!W145," ")," ")</f>
        <v xml:space="preserve"> </v>
      </c>
      <c r="P145" s="46" t="str">
        <f>_xlfn.IFNA(IF(VLOOKUP($D145,Organización_Modular!$F$10:$G$195,2,FALSE)=P$23,Itinerario!T145," ")," ")</f>
        <v xml:space="preserve"> </v>
      </c>
      <c r="Q145" s="46" t="str">
        <f>_xlfn.IFNA(IF(VLOOKUP($D145,Organización_Modular!$F$10:$G$195,2,FALSE)=Q$23,Itinerario!W145," ")," ")</f>
        <v xml:space="preserve"> </v>
      </c>
      <c r="R145" s="46">
        <f>Organización_Modular!H131</f>
        <v>0</v>
      </c>
      <c r="S145" s="46">
        <f>Organización_Modular!I131</f>
        <v>0</v>
      </c>
      <c r="T145" s="90">
        <f t="shared" si="13"/>
        <v>0</v>
      </c>
      <c r="U145" s="46">
        <f t="shared" si="9"/>
        <v>0</v>
      </c>
      <c r="V145" s="46">
        <f t="shared" si="10"/>
        <v>0</v>
      </c>
      <c r="W145" s="90">
        <f t="shared" si="11"/>
        <v>0</v>
      </c>
      <c r="X145" s="95">
        <f t="shared" si="12"/>
        <v>0</v>
      </c>
    </row>
    <row r="146" spans="1:24" ht="18" hidden="1" customHeight="1" x14ac:dyDescent="0.2">
      <c r="A146" s="407"/>
      <c r="B146" s="314"/>
      <c r="C146" s="410"/>
      <c r="D146" s="409">
        <f>Organización_Modular!F132</f>
        <v>0</v>
      </c>
      <c r="E146" s="409"/>
      <c r="F146" s="46" t="str">
        <f>_xlfn.IFNA(IF(VLOOKUP($D146,Organización_Modular!$F$10:$G$195,2,FALSE)=F$23,Itinerario!T146," ")," ")</f>
        <v xml:space="preserve"> </v>
      </c>
      <c r="G146" s="46" t="str">
        <f>_xlfn.IFNA(IF(VLOOKUP($D146,Organización_Modular!$F$10:$G$195,2,FALSE)=G$23,Itinerario!W146," ")," ")</f>
        <v xml:space="preserve"> </v>
      </c>
      <c r="H146" s="46" t="str">
        <f>_xlfn.IFNA(IF(VLOOKUP($D146,Organización_Modular!$F$10:$G$195,2,FALSE)=H$23,Itinerario!T146," ")," ")</f>
        <v xml:space="preserve"> </v>
      </c>
      <c r="I146" s="46" t="str">
        <f>_xlfn.IFNA(IF(VLOOKUP($D146,Organización_Modular!$F$10:$G$195,2,FALSE)=I$23,Itinerario!W146," ")," ")</f>
        <v xml:space="preserve"> </v>
      </c>
      <c r="J146" s="46" t="str">
        <f>_xlfn.IFNA(IF(VLOOKUP($D146,Organización_Modular!$F$10:$G$195,2,FALSE)=J$23,Itinerario!T146," ")," ")</f>
        <v xml:space="preserve"> </v>
      </c>
      <c r="K146" s="46" t="str">
        <f>_xlfn.IFNA(IF(VLOOKUP($D146,Organización_Modular!$F$10:$G$195,2,FALSE)=K$23,Itinerario!W146," ")," ")</f>
        <v xml:space="preserve"> </v>
      </c>
      <c r="L146" s="46" t="str">
        <f>_xlfn.IFNA(IF(VLOOKUP($D146,Organización_Modular!$F$10:$G$195,2,FALSE)=L$23,Itinerario!T146," ")," ")</f>
        <v xml:space="preserve"> </v>
      </c>
      <c r="M146" s="46" t="str">
        <f>_xlfn.IFNA(IF(VLOOKUP($D146,Organización_Modular!$F$10:$G$195,2,FALSE)=M$23,Itinerario!W146," ")," ")</f>
        <v xml:space="preserve"> </v>
      </c>
      <c r="N146" s="46" t="str">
        <f>_xlfn.IFNA(IF(VLOOKUP($D146,Organización_Modular!$F$10:$G$195,2,FALSE)=N$23,Itinerario!T146," ")," ")</f>
        <v xml:space="preserve"> </v>
      </c>
      <c r="O146" s="46" t="str">
        <f>_xlfn.IFNA(IF(VLOOKUP($D146,Organización_Modular!$F$10:$G$195,2,FALSE)=O$23,Itinerario!W146," ")," ")</f>
        <v xml:space="preserve"> </v>
      </c>
      <c r="P146" s="46" t="str">
        <f>_xlfn.IFNA(IF(VLOOKUP($D146,Organización_Modular!$F$10:$G$195,2,FALSE)=P$23,Itinerario!T146," ")," ")</f>
        <v xml:space="preserve"> </v>
      </c>
      <c r="Q146" s="46" t="str">
        <f>_xlfn.IFNA(IF(VLOOKUP($D146,Organización_Modular!$F$10:$G$195,2,FALSE)=Q$23,Itinerario!W146," ")," ")</f>
        <v xml:space="preserve"> </v>
      </c>
      <c r="R146" s="46">
        <f>Organización_Modular!H132</f>
        <v>0</v>
      </c>
      <c r="S146" s="46">
        <f>Organización_Modular!I132</f>
        <v>0</v>
      </c>
      <c r="T146" s="90">
        <f t="shared" si="13"/>
        <v>0</v>
      </c>
      <c r="U146" s="46">
        <f t="shared" si="9"/>
        <v>0</v>
      </c>
      <c r="V146" s="46">
        <f t="shared" si="10"/>
        <v>0</v>
      </c>
      <c r="W146" s="90">
        <f t="shared" si="11"/>
        <v>0</v>
      </c>
      <c r="X146" s="95">
        <f t="shared" si="12"/>
        <v>0</v>
      </c>
    </row>
    <row r="147" spans="1:24" ht="28.5" customHeight="1" x14ac:dyDescent="0.2">
      <c r="A147" s="407"/>
      <c r="B147" s="429" t="str">
        <f>B54</f>
        <v>Experiencias formativas en situaciones reales de trabajo (ESRT)</v>
      </c>
      <c r="C147" s="430"/>
      <c r="D147" s="430"/>
      <c r="E147" s="430"/>
      <c r="F147" s="176"/>
      <c r="G147" s="176"/>
      <c r="H147" s="176"/>
      <c r="I147" s="176"/>
      <c r="J147" s="176"/>
      <c r="K147" s="176"/>
      <c r="L147" s="176"/>
      <c r="M147" s="176"/>
      <c r="N147" s="176"/>
      <c r="O147" s="176"/>
      <c r="P147" s="176"/>
      <c r="Q147" s="176"/>
      <c r="R147" s="179">
        <f>Organización_Modular!H133</f>
        <v>0</v>
      </c>
      <c r="S147" s="177">
        <f>Organización_Modular!I133</f>
        <v>4</v>
      </c>
      <c r="T147" s="178">
        <f t="shared" si="13"/>
        <v>4</v>
      </c>
      <c r="U147" s="177">
        <f t="shared" si="9"/>
        <v>0</v>
      </c>
      <c r="V147" s="177">
        <f t="shared" si="10"/>
        <v>128</v>
      </c>
      <c r="W147" s="178">
        <f t="shared" si="11"/>
        <v>128</v>
      </c>
      <c r="X147" s="95">
        <f t="shared" si="12"/>
        <v>128</v>
      </c>
    </row>
    <row r="148" spans="1:24" ht="18" hidden="1" customHeight="1" x14ac:dyDescent="0.2">
      <c r="A148" s="407">
        <f>Organización_Modular!A134</f>
        <v>0</v>
      </c>
      <c r="B148" s="313" t="str">
        <f>B24</f>
        <v>Competencias técnicas (Unidad de competencia)</v>
      </c>
      <c r="C148" s="410">
        <f>Organización_Modular!C134</f>
        <v>0</v>
      </c>
      <c r="D148" s="409">
        <f>Organización_Modular!F134</f>
        <v>0</v>
      </c>
      <c r="E148" s="409"/>
      <c r="F148" s="46" t="str">
        <f>_xlfn.IFNA(IF(VLOOKUP($D148,Organización_Modular!$F$10:$G$195,2,FALSE)=F$23,Itinerario!T148," ")," ")</f>
        <v xml:space="preserve"> </v>
      </c>
      <c r="G148" s="46" t="str">
        <f>_xlfn.IFNA(IF(VLOOKUP($D148,Organización_Modular!$F$10:$G$195,2,FALSE)=G$23,Itinerario!W148," ")," ")</f>
        <v xml:space="preserve"> </v>
      </c>
      <c r="H148" s="46" t="str">
        <f>_xlfn.IFNA(IF(VLOOKUP($D148,Organización_Modular!$F$10:$G$195,2,FALSE)=H$23,Itinerario!T148," ")," ")</f>
        <v xml:space="preserve"> </v>
      </c>
      <c r="I148" s="46" t="str">
        <f>_xlfn.IFNA(IF(VLOOKUP($D148,Organización_Modular!$F$10:$G$195,2,FALSE)=I$23,Itinerario!W148," ")," ")</f>
        <v xml:space="preserve"> </v>
      </c>
      <c r="J148" s="46" t="str">
        <f>_xlfn.IFNA(IF(VLOOKUP($D148,Organización_Modular!$F$10:$G$195,2,FALSE)=J$23,Itinerario!T148," ")," ")</f>
        <v xml:space="preserve"> </v>
      </c>
      <c r="K148" s="46" t="str">
        <f>_xlfn.IFNA(IF(VLOOKUP($D148,Organización_Modular!$F$10:$G$195,2,FALSE)=K$23,Itinerario!W148," ")," ")</f>
        <v xml:space="preserve"> </v>
      </c>
      <c r="L148" s="46" t="str">
        <f>_xlfn.IFNA(IF(VLOOKUP($D148,Organización_Modular!$F$10:$G$195,2,FALSE)=L$23,Itinerario!T148," ")," ")</f>
        <v xml:space="preserve"> </v>
      </c>
      <c r="M148" s="46" t="str">
        <f>_xlfn.IFNA(IF(VLOOKUP($D148,Organización_Modular!$F$10:$G$195,2,FALSE)=M$23,Itinerario!W148," ")," ")</f>
        <v xml:space="preserve"> </v>
      </c>
      <c r="N148" s="46" t="str">
        <f>_xlfn.IFNA(IF(VLOOKUP($D148,Organización_Modular!$F$10:$G$195,2,FALSE)=N$23,Itinerario!T148," ")," ")</f>
        <v xml:space="preserve"> </v>
      </c>
      <c r="O148" s="46" t="str">
        <f>_xlfn.IFNA(IF(VLOOKUP($D148,Organización_Modular!$F$10:$G$195,2,FALSE)=O$23,Itinerario!W148," ")," ")</f>
        <v xml:space="preserve"> </v>
      </c>
      <c r="P148" s="46" t="str">
        <f>_xlfn.IFNA(IF(VLOOKUP($D148,Organización_Modular!$F$10:$G$195,2,FALSE)=P$23,Itinerario!T148," ")," ")</f>
        <v xml:space="preserve"> </v>
      </c>
      <c r="Q148" s="46" t="str">
        <f>_xlfn.IFNA(IF(VLOOKUP($D148,Organización_Modular!$F$10:$G$195,2,FALSE)=Q$23,Itinerario!W148," ")," ")</f>
        <v xml:space="preserve"> </v>
      </c>
      <c r="R148" s="46">
        <f>Organización_Modular!H134</f>
        <v>0</v>
      </c>
      <c r="S148" s="46">
        <f>Organización_Modular!I134</f>
        <v>0</v>
      </c>
      <c r="T148" s="90">
        <f>SUM(R148:S148)</f>
        <v>0</v>
      </c>
      <c r="U148" s="46">
        <f t="shared" si="9"/>
        <v>0</v>
      </c>
      <c r="V148" s="46">
        <f t="shared" si="10"/>
        <v>0</v>
      </c>
      <c r="W148" s="90">
        <f t="shared" si="11"/>
        <v>0</v>
      </c>
      <c r="X148" s="95">
        <f t="shared" si="12"/>
        <v>0</v>
      </c>
    </row>
    <row r="149" spans="1:24" ht="18" hidden="1" customHeight="1" x14ac:dyDescent="0.2">
      <c r="A149" s="407"/>
      <c r="B149" s="313"/>
      <c r="C149" s="410"/>
      <c r="D149" s="409">
        <f>Organización_Modular!F135</f>
        <v>0</v>
      </c>
      <c r="E149" s="409"/>
      <c r="F149" s="46" t="str">
        <f>_xlfn.IFNA(IF(VLOOKUP($D149,Organización_Modular!$F$10:$G$195,2,FALSE)=F$23,Itinerario!T149," ")," ")</f>
        <v xml:space="preserve"> </v>
      </c>
      <c r="G149" s="46" t="str">
        <f>_xlfn.IFNA(IF(VLOOKUP($D149,Organización_Modular!$F$10:$G$195,2,FALSE)=G$23,Itinerario!W149," ")," ")</f>
        <v xml:space="preserve"> </v>
      </c>
      <c r="H149" s="46" t="str">
        <f>_xlfn.IFNA(IF(VLOOKUP($D149,Organización_Modular!$F$10:$G$195,2,FALSE)=H$23,Itinerario!T149," ")," ")</f>
        <v xml:space="preserve"> </v>
      </c>
      <c r="I149" s="46" t="str">
        <f>_xlfn.IFNA(IF(VLOOKUP($D149,Organización_Modular!$F$10:$G$195,2,FALSE)=I$23,Itinerario!W149," ")," ")</f>
        <v xml:space="preserve"> </v>
      </c>
      <c r="J149" s="46" t="str">
        <f>_xlfn.IFNA(IF(VLOOKUP($D149,Organización_Modular!$F$10:$G$195,2,FALSE)=J$23,Itinerario!T149," ")," ")</f>
        <v xml:space="preserve"> </v>
      </c>
      <c r="K149" s="46" t="str">
        <f>_xlfn.IFNA(IF(VLOOKUP($D149,Organización_Modular!$F$10:$G$195,2,FALSE)=K$23,Itinerario!W149," ")," ")</f>
        <v xml:space="preserve"> </v>
      </c>
      <c r="L149" s="46" t="str">
        <f>_xlfn.IFNA(IF(VLOOKUP($D149,Organización_Modular!$F$10:$G$195,2,FALSE)=L$23,Itinerario!T149," ")," ")</f>
        <v xml:space="preserve"> </v>
      </c>
      <c r="M149" s="46" t="str">
        <f>_xlfn.IFNA(IF(VLOOKUP($D149,Organización_Modular!$F$10:$G$195,2,FALSE)=M$23,Itinerario!W149," ")," ")</f>
        <v xml:space="preserve"> </v>
      </c>
      <c r="N149" s="46" t="str">
        <f>_xlfn.IFNA(IF(VLOOKUP($D149,Organización_Modular!$F$10:$G$195,2,FALSE)=N$23,Itinerario!T149," ")," ")</f>
        <v xml:space="preserve"> </v>
      </c>
      <c r="O149" s="46" t="str">
        <f>_xlfn.IFNA(IF(VLOOKUP($D149,Organización_Modular!$F$10:$G$195,2,FALSE)=O$23,Itinerario!W149," ")," ")</f>
        <v xml:space="preserve"> </v>
      </c>
      <c r="P149" s="46" t="str">
        <f>_xlfn.IFNA(IF(VLOOKUP($D149,Organización_Modular!$F$10:$G$195,2,FALSE)=P$23,Itinerario!T149," ")," ")</f>
        <v xml:space="preserve"> </v>
      </c>
      <c r="Q149" s="46" t="str">
        <f>_xlfn.IFNA(IF(VLOOKUP($D149,Organización_Modular!$F$10:$G$195,2,FALSE)=Q$23,Itinerario!W149," ")," ")</f>
        <v xml:space="preserve"> </v>
      </c>
      <c r="R149" s="46">
        <f>Organización_Modular!H135</f>
        <v>0</v>
      </c>
      <c r="S149" s="46">
        <f>Organización_Modular!I135</f>
        <v>0</v>
      </c>
      <c r="T149" s="90">
        <f t="shared" ref="T149:T178" si="14">SUM(R149:S149)</f>
        <v>0</v>
      </c>
      <c r="U149" s="46">
        <f t="shared" si="9"/>
        <v>0</v>
      </c>
      <c r="V149" s="46">
        <f t="shared" si="10"/>
        <v>0</v>
      </c>
      <c r="W149" s="90">
        <f t="shared" si="11"/>
        <v>0</v>
      </c>
      <c r="X149" s="95">
        <f t="shared" si="12"/>
        <v>0</v>
      </c>
    </row>
    <row r="150" spans="1:24" ht="18" hidden="1" customHeight="1" x14ac:dyDescent="0.2">
      <c r="A150" s="407"/>
      <c r="B150" s="313"/>
      <c r="C150" s="410"/>
      <c r="D150" s="409">
        <f>Organización_Modular!F136</f>
        <v>0</v>
      </c>
      <c r="E150" s="409"/>
      <c r="F150" s="46" t="str">
        <f>_xlfn.IFNA(IF(VLOOKUP($D150,Organización_Modular!$F$10:$G$195,2,FALSE)=F$23,Itinerario!T150," ")," ")</f>
        <v xml:space="preserve"> </v>
      </c>
      <c r="G150" s="46" t="str">
        <f>_xlfn.IFNA(IF(VLOOKUP($D150,Organización_Modular!$F$10:$G$195,2,FALSE)=G$23,Itinerario!W150," ")," ")</f>
        <v xml:space="preserve"> </v>
      </c>
      <c r="H150" s="46" t="str">
        <f>_xlfn.IFNA(IF(VLOOKUP($D150,Organización_Modular!$F$10:$G$195,2,FALSE)=H$23,Itinerario!T150," ")," ")</f>
        <v xml:space="preserve"> </v>
      </c>
      <c r="I150" s="46" t="str">
        <f>_xlfn.IFNA(IF(VLOOKUP($D150,Organización_Modular!$F$10:$G$195,2,FALSE)=I$23,Itinerario!W150," ")," ")</f>
        <v xml:space="preserve"> </v>
      </c>
      <c r="J150" s="46" t="str">
        <f>_xlfn.IFNA(IF(VLOOKUP($D150,Organización_Modular!$F$10:$G$195,2,FALSE)=J$23,Itinerario!T150," ")," ")</f>
        <v xml:space="preserve"> </v>
      </c>
      <c r="K150" s="46" t="str">
        <f>_xlfn.IFNA(IF(VLOOKUP($D150,Organización_Modular!$F$10:$G$195,2,FALSE)=K$23,Itinerario!W150," ")," ")</f>
        <v xml:space="preserve"> </v>
      </c>
      <c r="L150" s="46" t="str">
        <f>_xlfn.IFNA(IF(VLOOKUP($D150,Organización_Modular!$F$10:$G$195,2,FALSE)=L$23,Itinerario!T150," ")," ")</f>
        <v xml:space="preserve"> </v>
      </c>
      <c r="M150" s="46" t="str">
        <f>_xlfn.IFNA(IF(VLOOKUP($D150,Organización_Modular!$F$10:$G$195,2,FALSE)=M$23,Itinerario!W150," ")," ")</f>
        <v xml:space="preserve"> </v>
      </c>
      <c r="N150" s="46" t="str">
        <f>_xlfn.IFNA(IF(VLOOKUP($D150,Organización_Modular!$F$10:$G$195,2,FALSE)=N$23,Itinerario!T150," ")," ")</f>
        <v xml:space="preserve"> </v>
      </c>
      <c r="O150" s="46" t="str">
        <f>_xlfn.IFNA(IF(VLOOKUP($D150,Organización_Modular!$F$10:$G$195,2,FALSE)=O$23,Itinerario!W150," ")," ")</f>
        <v xml:space="preserve"> </v>
      </c>
      <c r="P150" s="46" t="str">
        <f>_xlfn.IFNA(IF(VLOOKUP($D150,Organización_Modular!$F$10:$G$195,2,FALSE)=P$23,Itinerario!T150," ")," ")</f>
        <v xml:space="preserve"> </v>
      </c>
      <c r="Q150" s="46" t="str">
        <f>_xlfn.IFNA(IF(VLOOKUP($D150,Organización_Modular!$F$10:$G$195,2,FALSE)=Q$23,Itinerario!W150," ")," ")</f>
        <v xml:space="preserve"> </v>
      </c>
      <c r="R150" s="46">
        <f>Organización_Modular!H136</f>
        <v>0</v>
      </c>
      <c r="S150" s="46">
        <f>Organización_Modular!I136</f>
        <v>0</v>
      </c>
      <c r="T150" s="90">
        <f t="shared" si="14"/>
        <v>0</v>
      </c>
      <c r="U150" s="46">
        <f t="shared" si="9"/>
        <v>0</v>
      </c>
      <c r="V150" s="46">
        <f t="shared" si="10"/>
        <v>0</v>
      </c>
      <c r="W150" s="90">
        <f t="shared" si="11"/>
        <v>0</v>
      </c>
      <c r="X150" s="95">
        <f t="shared" si="12"/>
        <v>0</v>
      </c>
    </row>
    <row r="151" spans="1:24" ht="18" hidden="1" customHeight="1" x14ac:dyDescent="0.2">
      <c r="A151" s="407"/>
      <c r="B151" s="313"/>
      <c r="C151" s="410"/>
      <c r="D151" s="409">
        <f>Organización_Modular!F137</f>
        <v>0</v>
      </c>
      <c r="E151" s="409"/>
      <c r="F151" s="46" t="str">
        <f>_xlfn.IFNA(IF(VLOOKUP($D151,Organización_Modular!$F$10:$G$195,2,FALSE)=F$23,Itinerario!T151," ")," ")</f>
        <v xml:space="preserve"> </v>
      </c>
      <c r="G151" s="46" t="str">
        <f>_xlfn.IFNA(IF(VLOOKUP($D151,Organización_Modular!$F$10:$G$195,2,FALSE)=G$23,Itinerario!W151," ")," ")</f>
        <v xml:space="preserve"> </v>
      </c>
      <c r="H151" s="46" t="str">
        <f>_xlfn.IFNA(IF(VLOOKUP($D151,Organización_Modular!$F$10:$G$195,2,FALSE)=H$23,Itinerario!T151," ")," ")</f>
        <v xml:space="preserve"> </v>
      </c>
      <c r="I151" s="46" t="str">
        <f>_xlfn.IFNA(IF(VLOOKUP($D151,Organización_Modular!$F$10:$G$195,2,FALSE)=I$23,Itinerario!W151," ")," ")</f>
        <v xml:space="preserve"> </v>
      </c>
      <c r="J151" s="46" t="str">
        <f>_xlfn.IFNA(IF(VLOOKUP($D151,Organización_Modular!$F$10:$G$195,2,FALSE)=J$23,Itinerario!T151," ")," ")</f>
        <v xml:space="preserve"> </v>
      </c>
      <c r="K151" s="46" t="str">
        <f>_xlfn.IFNA(IF(VLOOKUP($D151,Organización_Modular!$F$10:$G$195,2,FALSE)=K$23,Itinerario!W151," ")," ")</f>
        <v xml:space="preserve"> </v>
      </c>
      <c r="L151" s="46" t="str">
        <f>_xlfn.IFNA(IF(VLOOKUP($D151,Organización_Modular!$F$10:$G$195,2,FALSE)=L$23,Itinerario!T151," ")," ")</f>
        <v xml:space="preserve"> </v>
      </c>
      <c r="M151" s="46" t="str">
        <f>_xlfn.IFNA(IF(VLOOKUP($D151,Organización_Modular!$F$10:$G$195,2,FALSE)=M$23,Itinerario!W151," ")," ")</f>
        <v xml:space="preserve"> </v>
      </c>
      <c r="N151" s="46" t="str">
        <f>_xlfn.IFNA(IF(VLOOKUP($D151,Organización_Modular!$F$10:$G$195,2,FALSE)=N$23,Itinerario!T151," ")," ")</f>
        <v xml:space="preserve"> </v>
      </c>
      <c r="O151" s="46" t="str">
        <f>_xlfn.IFNA(IF(VLOOKUP($D151,Organización_Modular!$F$10:$G$195,2,FALSE)=O$23,Itinerario!W151," ")," ")</f>
        <v xml:space="preserve"> </v>
      </c>
      <c r="P151" s="46" t="str">
        <f>_xlfn.IFNA(IF(VLOOKUP($D151,Organización_Modular!$F$10:$G$195,2,FALSE)=P$23,Itinerario!T151," ")," ")</f>
        <v xml:space="preserve"> </v>
      </c>
      <c r="Q151" s="46" t="str">
        <f>_xlfn.IFNA(IF(VLOOKUP($D151,Organización_Modular!$F$10:$G$195,2,FALSE)=Q$23,Itinerario!W151," ")," ")</f>
        <v xml:space="preserve"> </v>
      </c>
      <c r="R151" s="46">
        <f>Organización_Modular!H137</f>
        <v>0</v>
      </c>
      <c r="S151" s="46">
        <f>Organización_Modular!I137</f>
        <v>0</v>
      </c>
      <c r="T151" s="90">
        <f t="shared" si="14"/>
        <v>0</v>
      </c>
      <c r="U151" s="46">
        <f t="shared" si="9"/>
        <v>0</v>
      </c>
      <c r="V151" s="46">
        <f t="shared" si="10"/>
        <v>0</v>
      </c>
      <c r="W151" s="90">
        <f t="shared" si="11"/>
        <v>0</v>
      </c>
      <c r="X151" s="95">
        <f t="shared" si="12"/>
        <v>0</v>
      </c>
    </row>
    <row r="152" spans="1:24" ht="18" hidden="1" customHeight="1" x14ac:dyDescent="0.2">
      <c r="A152" s="407"/>
      <c r="B152" s="313"/>
      <c r="C152" s="410"/>
      <c r="D152" s="409">
        <f>Organización_Modular!F138</f>
        <v>0</v>
      </c>
      <c r="E152" s="409"/>
      <c r="F152" s="46" t="str">
        <f>_xlfn.IFNA(IF(VLOOKUP($D152,Organización_Modular!$F$10:$G$195,2,FALSE)=F$23,Itinerario!T152," ")," ")</f>
        <v xml:space="preserve"> </v>
      </c>
      <c r="G152" s="46" t="str">
        <f>_xlfn.IFNA(IF(VLOOKUP($D152,Organización_Modular!$F$10:$G$195,2,FALSE)=G$23,Itinerario!W152," ")," ")</f>
        <v xml:space="preserve"> </v>
      </c>
      <c r="H152" s="46" t="str">
        <f>_xlfn.IFNA(IF(VLOOKUP($D152,Organización_Modular!$F$10:$G$195,2,FALSE)=H$23,Itinerario!T152," ")," ")</f>
        <v xml:space="preserve"> </v>
      </c>
      <c r="I152" s="46" t="str">
        <f>_xlfn.IFNA(IF(VLOOKUP($D152,Organización_Modular!$F$10:$G$195,2,FALSE)=I$23,Itinerario!W152," ")," ")</f>
        <v xml:space="preserve"> </v>
      </c>
      <c r="J152" s="46" t="str">
        <f>_xlfn.IFNA(IF(VLOOKUP($D152,Organización_Modular!$F$10:$G$195,2,FALSE)=J$23,Itinerario!T152," ")," ")</f>
        <v xml:space="preserve"> </v>
      </c>
      <c r="K152" s="46" t="str">
        <f>_xlfn.IFNA(IF(VLOOKUP($D152,Organización_Modular!$F$10:$G$195,2,FALSE)=K$23,Itinerario!W152," ")," ")</f>
        <v xml:space="preserve"> </v>
      </c>
      <c r="L152" s="46" t="str">
        <f>_xlfn.IFNA(IF(VLOOKUP($D152,Organización_Modular!$F$10:$G$195,2,FALSE)=L$23,Itinerario!T152," ")," ")</f>
        <v xml:space="preserve"> </v>
      </c>
      <c r="M152" s="46" t="str">
        <f>_xlfn.IFNA(IF(VLOOKUP($D152,Organización_Modular!$F$10:$G$195,2,FALSE)=M$23,Itinerario!W152," ")," ")</f>
        <v xml:space="preserve"> </v>
      </c>
      <c r="N152" s="46" t="str">
        <f>_xlfn.IFNA(IF(VLOOKUP($D152,Organización_Modular!$F$10:$G$195,2,FALSE)=N$23,Itinerario!T152," ")," ")</f>
        <v xml:space="preserve"> </v>
      </c>
      <c r="O152" s="46" t="str">
        <f>_xlfn.IFNA(IF(VLOOKUP($D152,Organización_Modular!$F$10:$G$195,2,FALSE)=O$23,Itinerario!W152," ")," ")</f>
        <v xml:space="preserve"> </v>
      </c>
      <c r="P152" s="46" t="str">
        <f>_xlfn.IFNA(IF(VLOOKUP($D152,Organización_Modular!$F$10:$G$195,2,FALSE)=P$23,Itinerario!T152," ")," ")</f>
        <v xml:space="preserve"> </v>
      </c>
      <c r="Q152" s="46" t="str">
        <f>_xlfn.IFNA(IF(VLOOKUP($D152,Organización_Modular!$F$10:$G$195,2,FALSE)=Q$23,Itinerario!W152," ")," ")</f>
        <v xml:space="preserve"> </v>
      </c>
      <c r="R152" s="46">
        <f>Organización_Modular!H138</f>
        <v>0</v>
      </c>
      <c r="S152" s="46">
        <f>Organización_Modular!I138</f>
        <v>0</v>
      </c>
      <c r="T152" s="90">
        <f t="shared" si="14"/>
        <v>0</v>
      </c>
      <c r="U152" s="46">
        <f t="shared" si="9"/>
        <v>0</v>
      </c>
      <c r="V152" s="46">
        <f t="shared" si="10"/>
        <v>0</v>
      </c>
      <c r="W152" s="90">
        <f t="shared" si="11"/>
        <v>0</v>
      </c>
      <c r="X152" s="95">
        <f t="shared" si="12"/>
        <v>0</v>
      </c>
    </row>
    <row r="153" spans="1:24" ht="18" hidden="1" customHeight="1" x14ac:dyDescent="0.2">
      <c r="A153" s="407"/>
      <c r="B153" s="313"/>
      <c r="C153" s="410"/>
      <c r="D153" s="409">
        <f>Organización_Modular!F139</f>
        <v>0</v>
      </c>
      <c r="E153" s="409"/>
      <c r="F153" s="46" t="str">
        <f>_xlfn.IFNA(IF(VLOOKUP($D153,Organización_Modular!$F$10:$G$195,2,FALSE)=F$23,Itinerario!T153," ")," ")</f>
        <v xml:space="preserve"> </v>
      </c>
      <c r="G153" s="46" t="str">
        <f>_xlfn.IFNA(IF(VLOOKUP($D153,Organización_Modular!$F$10:$G$195,2,FALSE)=G$23,Itinerario!W153," ")," ")</f>
        <v xml:space="preserve"> </v>
      </c>
      <c r="H153" s="46" t="str">
        <f>_xlfn.IFNA(IF(VLOOKUP($D153,Organización_Modular!$F$10:$G$195,2,FALSE)=H$23,Itinerario!T153," ")," ")</f>
        <v xml:space="preserve"> </v>
      </c>
      <c r="I153" s="46" t="str">
        <f>_xlfn.IFNA(IF(VLOOKUP($D153,Organización_Modular!$F$10:$G$195,2,FALSE)=I$23,Itinerario!W153," ")," ")</f>
        <v xml:space="preserve"> </v>
      </c>
      <c r="J153" s="46" t="str">
        <f>_xlfn.IFNA(IF(VLOOKUP($D153,Organización_Modular!$F$10:$G$195,2,FALSE)=J$23,Itinerario!T153," ")," ")</f>
        <v xml:space="preserve"> </v>
      </c>
      <c r="K153" s="46" t="str">
        <f>_xlfn.IFNA(IF(VLOOKUP($D153,Organización_Modular!$F$10:$G$195,2,FALSE)=K$23,Itinerario!W153," ")," ")</f>
        <v xml:space="preserve"> </v>
      </c>
      <c r="L153" s="46" t="str">
        <f>_xlfn.IFNA(IF(VLOOKUP($D153,Organización_Modular!$F$10:$G$195,2,FALSE)=L$23,Itinerario!T153," ")," ")</f>
        <v xml:space="preserve"> </v>
      </c>
      <c r="M153" s="46" t="str">
        <f>_xlfn.IFNA(IF(VLOOKUP($D153,Organización_Modular!$F$10:$G$195,2,FALSE)=M$23,Itinerario!W153," ")," ")</f>
        <v xml:space="preserve"> </v>
      </c>
      <c r="N153" s="46" t="str">
        <f>_xlfn.IFNA(IF(VLOOKUP($D153,Organización_Modular!$F$10:$G$195,2,FALSE)=N$23,Itinerario!T153," ")," ")</f>
        <v xml:space="preserve"> </v>
      </c>
      <c r="O153" s="46" t="str">
        <f>_xlfn.IFNA(IF(VLOOKUP($D153,Organización_Modular!$F$10:$G$195,2,FALSE)=O$23,Itinerario!W153," ")," ")</f>
        <v xml:space="preserve"> </v>
      </c>
      <c r="P153" s="46" t="str">
        <f>_xlfn.IFNA(IF(VLOOKUP($D153,Organización_Modular!$F$10:$G$195,2,FALSE)=P$23,Itinerario!T153," ")," ")</f>
        <v xml:space="preserve"> </v>
      </c>
      <c r="Q153" s="46" t="str">
        <f>_xlfn.IFNA(IF(VLOOKUP($D153,Organización_Modular!$F$10:$G$195,2,FALSE)=Q$23,Itinerario!W153," ")," ")</f>
        <v xml:space="preserve"> </v>
      </c>
      <c r="R153" s="46">
        <f>Organización_Modular!H139</f>
        <v>0</v>
      </c>
      <c r="S153" s="46">
        <f>Organización_Modular!I139</f>
        <v>0</v>
      </c>
      <c r="T153" s="90">
        <f t="shared" si="14"/>
        <v>0</v>
      </c>
      <c r="U153" s="46">
        <f t="shared" ref="U153:U183" si="15">+R153*$S$19</f>
        <v>0</v>
      </c>
      <c r="V153" s="46">
        <f t="shared" ref="V153:V183" si="16">+S153*$U$19</f>
        <v>0</v>
      </c>
      <c r="W153" s="90">
        <f t="shared" ref="W153:W178" si="17">SUM(U153:V153)</f>
        <v>0</v>
      </c>
      <c r="X153" s="95">
        <f t="shared" ref="X153:X209" si="18">W153</f>
        <v>0</v>
      </c>
    </row>
    <row r="154" spans="1:24" ht="18" hidden="1" customHeight="1" x14ac:dyDescent="0.2">
      <c r="A154" s="407"/>
      <c r="B154" s="313"/>
      <c r="C154" s="410"/>
      <c r="D154" s="409">
        <f>Organización_Modular!F140</f>
        <v>0</v>
      </c>
      <c r="E154" s="409"/>
      <c r="F154" s="46" t="str">
        <f>_xlfn.IFNA(IF(VLOOKUP($D154,Organización_Modular!$F$10:$G$195,2,FALSE)=F$23,Itinerario!T154," ")," ")</f>
        <v xml:space="preserve"> </v>
      </c>
      <c r="G154" s="46" t="str">
        <f>_xlfn.IFNA(IF(VLOOKUP($D154,Organización_Modular!$F$10:$G$195,2,FALSE)=G$23,Itinerario!W154," ")," ")</f>
        <v xml:space="preserve"> </v>
      </c>
      <c r="H154" s="46" t="str">
        <f>_xlfn.IFNA(IF(VLOOKUP($D154,Organización_Modular!$F$10:$G$195,2,FALSE)=H$23,Itinerario!T154," ")," ")</f>
        <v xml:space="preserve"> </v>
      </c>
      <c r="I154" s="46" t="str">
        <f>_xlfn.IFNA(IF(VLOOKUP($D154,Organización_Modular!$F$10:$G$195,2,FALSE)=I$23,Itinerario!W154," ")," ")</f>
        <v xml:space="preserve"> </v>
      </c>
      <c r="J154" s="46" t="str">
        <f>_xlfn.IFNA(IF(VLOOKUP($D154,Organización_Modular!$F$10:$G$195,2,FALSE)=J$23,Itinerario!T154," ")," ")</f>
        <v xml:space="preserve"> </v>
      </c>
      <c r="K154" s="46" t="str">
        <f>_xlfn.IFNA(IF(VLOOKUP($D154,Organización_Modular!$F$10:$G$195,2,FALSE)=K$23,Itinerario!W154," ")," ")</f>
        <v xml:space="preserve"> </v>
      </c>
      <c r="L154" s="46" t="str">
        <f>_xlfn.IFNA(IF(VLOOKUP($D154,Organización_Modular!$F$10:$G$195,2,FALSE)=L$23,Itinerario!T154," ")," ")</f>
        <v xml:space="preserve"> </v>
      </c>
      <c r="M154" s="46" t="str">
        <f>_xlfn.IFNA(IF(VLOOKUP($D154,Organización_Modular!$F$10:$G$195,2,FALSE)=M$23,Itinerario!W154," ")," ")</f>
        <v xml:space="preserve"> </v>
      </c>
      <c r="N154" s="46" t="str">
        <f>_xlfn.IFNA(IF(VLOOKUP($D154,Organización_Modular!$F$10:$G$195,2,FALSE)=N$23,Itinerario!T154," ")," ")</f>
        <v xml:space="preserve"> </v>
      </c>
      <c r="O154" s="46" t="str">
        <f>_xlfn.IFNA(IF(VLOOKUP($D154,Organización_Modular!$F$10:$G$195,2,FALSE)=O$23,Itinerario!W154," ")," ")</f>
        <v xml:space="preserve"> </v>
      </c>
      <c r="P154" s="46" t="str">
        <f>_xlfn.IFNA(IF(VLOOKUP($D154,Organización_Modular!$F$10:$G$195,2,FALSE)=P$23,Itinerario!T154," ")," ")</f>
        <v xml:space="preserve"> </v>
      </c>
      <c r="Q154" s="46" t="str">
        <f>_xlfn.IFNA(IF(VLOOKUP($D154,Organización_Modular!$F$10:$G$195,2,FALSE)=Q$23,Itinerario!W154," ")," ")</f>
        <v xml:space="preserve"> </v>
      </c>
      <c r="R154" s="46">
        <f>Organización_Modular!H140</f>
        <v>0</v>
      </c>
      <c r="S154" s="46">
        <f>Organización_Modular!I140</f>
        <v>0</v>
      </c>
      <c r="T154" s="90">
        <f t="shared" si="14"/>
        <v>0</v>
      </c>
      <c r="U154" s="46">
        <f t="shared" si="15"/>
        <v>0</v>
      </c>
      <c r="V154" s="46">
        <f t="shared" si="16"/>
        <v>0</v>
      </c>
      <c r="W154" s="90">
        <f t="shared" si="17"/>
        <v>0</v>
      </c>
      <c r="X154" s="95">
        <f t="shared" si="18"/>
        <v>0</v>
      </c>
    </row>
    <row r="155" spans="1:24" ht="18" hidden="1" customHeight="1" x14ac:dyDescent="0.2">
      <c r="A155" s="407"/>
      <c r="B155" s="313"/>
      <c r="C155" s="410"/>
      <c r="D155" s="409">
        <f>Organización_Modular!F141</f>
        <v>0</v>
      </c>
      <c r="E155" s="409"/>
      <c r="F155" s="46" t="str">
        <f>_xlfn.IFNA(IF(VLOOKUP($D155,Organización_Modular!$F$10:$G$195,2,FALSE)=F$23,Itinerario!T155," ")," ")</f>
        <v xml:space="preserve"> </v>
      </c>
      <c r="G155" s="46" t="str">
        <f>_xlfn.IFNA(IF(VLOOKUP($D155,Organización_Modular!$F$10:$G$195,2,FALSE)=G$23,Itinerario!W155," ")," ")</f>
        <v xml:space="preserve"> </v>
      </c>
      <c r="H155" s="46" t="str">
        <f>_xlfn.IFNA(IF(VLOOKUP($D155,Organización_Modular!$F$10:$G$195,2,FALSE)=H$23,Itinerario!T155," ")," ")</f>
        <v xml:space="preserve"> </v>
      </c>
      <c r="I155" s="46" t="str">
        <f>_xlfn.IFNA(IF(VLOOKUP($D155,Organización_Modular!$F$10:$G$195,2,FALSE)=I$23,Itinerario!W155," ")," ")</f>
        <v xml:space="preserve"> </v>
      </c>
      <c r="J155" s="46" t="str">
        <f>_xlfn.IFNA(IF(VLOOKUP($D155,Organización_Modular!$F$10:$G$195,2,FALSE)=J$23,Itinerario!T155," ")," ")</f>
        <v xml:space="preserve"> </v>
      </c>
      <c r="K155" s="46" t="str">
        <f>_xlfn.IFNA(IF(VLOOKUP($D155,Organización_Modular!$F$10:$G$195,2,FALSE)=K$23,Itinerario!W155," ")," ")</f>
        <v xml:space="preserve"> </v>
      </c>
      <c r="L155" s="46" t="str">
        <f>_xlfn.IFNA(IF(VLOOKUP($D155,Organización_Modular!$F$10:$G$195,2,FALSE)=L$23,Itinerario!T155," ")," ")</f>
        <v xml:space="preserve"> </v>
      </c>
      <c r="M155" s="46" t="str">
        <f>_xlfn.IFNA(IF(VLOOKUP($D155,Organización_Modular!$F$10:$G$195,2,FALSE)=M$23,Itinerario!W155," ")," ")</f>
        <v xml:space="preserve"> </v>
      </c>
      <c r="N155" s="46" t="str">
        <f>_xlfn.IFNA(IF(VLOOKUP($D155,Organización_Modular!$F$10:$G$195,2,FALSE)=N$23,Itinerario!T155," ")," ")</f>
        <v xml:space="preserve"> </v>
      </c>
      <c r="O155" s="46" t="str">
        <f>_xlfn.IFNA(IF(VLOOKUP($D155,Organización_Modular!$F$10:$G$195,2,FALSE)=O$23,Itinerario!W155," ")," ")</f>
        <v xml:space="preserve"> </v>
      </c>
      <c r="P155" s="46" t="str">
        <f>_xlfn.IFNA(IF(VLOOKUP($D155,Organización_Modular!$F$10:$G$195,2,FALSE)=P$23,Itinerario!T155," ")," ")</f>
        <v xml:space="preserve"> </v>
      </c>
      <c r="Q155" s="46" t="str">
        <f>_xlfn.IFNA(IF(VLOOKUP($D155,Organización_Modular!$F$10:$G$195,2,FALSE)=Q$23,Itinerario!W155," ")," ")</f>
        <v xml:space="preserve"> </v>
      </c>
      <c r="R155" s="46">
        <f>Organización_Modular!H141</f>
        <v>0</v>
      </c>
      <c r="S155" s="46">
        <f>Organización_Modular!I141</f>
        <v>0</v>
      </c>
      <c r="T155" s="90">
        <f t="shared" si="14"/>
        <v>0</v>
      </c>
      <c r="U155" s="46">
        <f t="shared" si="15"/>
        <v>0</v>
      </c>
      <c r="V155" s="46">
        <f t="shared" si="16"/>
        <v>0</v>
      </c>
      <c r="W155" s="90">
        <f t="shared" si="17"/>
        <v>0</v>
      </c>
      <c r="X155" s="95">
        <f t="shared" si="18"/>
        <v>0</v>
      </c>
    </row>
    <row r="156" spans="1:24" ht="18" hidden="1" customHeight="1" x14ac:dyDescent="0.2">
      <c r="A156" s="407"/>
      <c r="B156" s="313"/>
      <c r="C156" s="410"/>
      <c r="D156" s="409">
        <f>Organización_Modular!F142</f>
        <v>0</v>
      </c>
      <c r="E156" s="409"/>
      <c r="F156" s="46" t="str">
        <f>_xlfn.IFNA(IF(VLOOKUP($D156,Organización_Modular!$F$10:$G$195,2,FALSE)=F$23,Itinerario!T156," ")," ")</f>
        <v xml:space="preserve"> </v>
      </c>
      <c r="G156" s="46" t="str">
        <f>_xlfn.IFNA(IF(VLOOKUP($D156,Organización_Modular!$F$10:$G$195,2,FALSE)=G$23,Itinerario!W156," ")," ")</f>
        <v xml:space="preserve"> </v>
      </c>
      <c r="H156" s="46" t="str">
        <f>_xlfn.IFNA(IF(VLOOKUP($D156,Organización_Modular!$F$10:$G$195,2,FALSE)=H$23,Itinerario!T156," ")," ")</f>
        <v xml:space="preserve"> </v>
      </c>
      <c r="I156" s="46" t="str">
        <f>_xlfn.IFNA(IF(VLOOKUP($D156,Organización_Modular!$F$10:$G$195,2,FALSE)=I$23,Itinerario!W156," ")," ")</f>
        <v xml:space="preserve"> </v>
      </c>
      <c r="J156" s="46" t="str">
        <f>_xlfn.IFNA(IF(VLOOKUP($D156,Organización_Modular!$F$10:$G$195,2,FALSE)=J$23,Itinerario!T156," ")," ")</f>
        <v xml:space="preserve"> </v>
      </c>
      <c r="K156" s="46" t="str">
        <f>_xlfn.IFNA(IF(VLOOKUP($D156,Organización_Modular!$F$10:$G$195,2,FALSE)=K$23,Itinerario!W156," ")," ")</f>
        <v xml:space="preserve"> </v>
      </c>
      <c r="L156" s="46" t="str">
        <f>_xlfn.IFNA(IF(VLOOKUP($D156,Organización_Modular!$F$10:$G$195,2,FALSE)=L$23,Itinerario!T156," ")," ")</f>
        <v xml:space="preserve"> </v>
      </c>
      <c r="M156" s="46" t="str">
        <f>_xlfn.IFNA(IF(VLOOKUP($D156,Organización_Modular!$F$10:$G$195,2,FALSE)=M$23,Itinerario!W156," ")," ")</f>
        <v xml:space="preserve"> </v>
      </c>
      <c r="N156" s="46" t="str">
        <f>_xlfn.IFNA(IF(VLOOKUP($D156,Organización_Modular!$F$10:$G$195,2,FALSE)=N$23,Itinerario!T156," ")," ")</f>
        <v xml:space="preserve"> </v>
      </c>
      <c r="O156" s="46" t="str">
        <f>_xlfn.IFNA(IF(VLOOKUP($D156,Organización_Modular!$F$10:$G$195,2,FALSE)=O$23,Itinerario!W156," ")," ")</f>
        <v xml:space="preserve"> </v>
      </c>
      <c r="P156" s="46" t="str">
        <f>_xlfn.IFNA(IF(VLOOKUP($D156,Organización_Modular!$F$10:$G$195,2,FALSE)=P$23,Itinerario!T156," ")," ")</f>
        <v xml:space="preserve"> </v>
      </c>
      <c r="Q156" s="46" t="str">
        <f>_xlfn.IFNA(IF(VLOOKUP($D156,Organización_Modular!$F$10:$G$195,2,FALSE)=Q$23,Itinerario!W156," ")," ")</f>
        <v xml:space="preserve"> </v>
      </c>
      <c r="R156" s="46">
        <f>Organización_Modular!H142</f>
        <v>0</v>
      </c>
      <c r="S156" s="46">
        <f>Organización_Modular!I142</f>
        <v>0</v>
      </c>
      <c r="T156" s="90">
        <f t="shared" si="14"/>
        <v>0</v>
      </c>
      <c r="U156" s="46">
        <f t="shared" si="15"/>
        <v>0</v>
      </c>
      <c r="V156" s="46">
        <f t="shared" si="16"/>
        <v>0</v>
      </c>
      <c r="W156" s="90">
        <f t="shared" si="17"/>
        <v>0</v>
      </c>
      <c r="X156" s="95">
        <f t="shared" si="18"/>
        <v>0</v>
      </c>
    </row>
    <row r="157" spans="1:24" ht="18" hidden="1" customHeight="1" x14ac:dyDescent="0.2">
      <c r="A157" s="407"/>
      <c r="B157" s="313"/>
      <c r="C157" s="410"/>
      <c r="D157" s="409">
        <f>Organización_Modular!F143</f>
        <v>0</v>
      </c>
      <c r="E157" s="409"/>
      <c r="F157" s="46" t="str">
        <f>_xlfn.IFNA(IF(VLOOKUP($D157,Organización_Modular!$F$10:$G$195,2,FALSE)=F$23,Itinerario!T157," ")," ")</f>
        <v xml:space="preserve"> </v>
      </c>
      <c r="G157" s="46" t="str">
        <f>_xlfn.IFNA(IF(VLOOKUP($D157,Organización_Modular!$F$10:$G$195,2,FALSE)=G$23,Itinerario!W157," ")," ")</f>
        <v xml:space="preserve"> </v>
      </c>
      <c r="H157" s="46" t="str">
        <f>_xlfn.IFNA(IF(VLOOKUP($D157,Organización_Modular!$F$10:$G$195,2,FALSE)=H$23,Itinerario!T157," ")," ")</f>
        <v xml:space="preserve"> </v>
      </c>
      <c r="I157" s="46" t="str">
        <f>_xlfn.IFNA(IF(VLOOKUP($D157,Organización_Modular!$F$10:$G$195,2,FALSE)=I$23,Itinerario!W157," ")," ")</f>
        <v xml:space="preserve"> </v>
      </c>
      <c r="J157" s="46" t="str">
        <f>_xlfn.IFNA(IF(VLOOKUP($D157,Organización_Modular!$F$10:$G$195,2,FALSE)=J$23,Itinerario!T157," ")," ")</f>
        <v xml:space="preserve"> </v>
      </c>
      <c r="K157" s="46" t="str">
        <f>_xlfn.IFNA(IF(VLOOKUP($D157,Organización_Modular!$F$10:$G$195,2,FALSE)=K$23,Itinerario!W157," ")," ")</f>
        <v xml:space="preserve"> </v>
      </c>
      <c r="L157" s="46" t="str">
        <f>_xlfn.IFNA(IF(VLOOKUP($D157,Organización_Modular!$F$10:$G$195,2,FALSE)=L$23,Itinerario!T157," ")," ")</f>
        <v xml:space="preserve"> </v>
      </c>
      <c r="M157" s="46" t="str">
        <f>_xlfn.IFNA(IF(VLOOKUP($D157,Organización_Modular!$F$10:$G$195,2,FALSE)=M$23,Itinerario!W157," ")," ")</f>
        <v xml:space="preserve"> </v>
      </c>
      <c r="N157" s="46" t="str">
        <f>_xlfn.IFNA(IF(VLOOKUP($D157,Organización_Modular!$F$10:$G$195,2,FALSE)=N$23,Itinerario!T157," ")," ")</f>
        <v xml:space="preserve"> </v>
      </c>
      <c r="O157" s="46" t="str">
        <f>_xlfn.IFNA(IF(VLOOKUP($D157,Organización_Modular!$F$10:$G$195,2,FALSE)=O$23,Itinerario!W157," ")," ")</f>
        <v xml:space="preserve"> </v>
      </c>
      <c r="P157" s="46" t="str">
        <f>_xlfn.IFNA(IF(VLOOKUP($D157,Organización_Modular!$F$10:$G$195,2,FALSE)=P$23,Itinerario!T157," ")," ")</f>
        <v xml:space="preserve"> </v>
      </c>
      <c r="Q157" s="46" t="str">
        <f>_xlfn.IFNA(IF(VLOOKUP($D157,Organización_Modular!$F$10:$G$195,2,FALSE)=Q$23,Itinerario!W157," ")," ")</f>
        <v xml:space="preserve"> </v>
      </c>
      <c r="R157" s="46">
        <f>Organización_Modular!H143</f>
        <v>0</v>
      </c>
      <c r="S157" s="46">
        <f>Organización_Modular!I143</f>
        <v>0</v>
      </c>
      <c r="T157" s="90">
        <f t="shared" si="14"/>
        <v>0</v>
      </c>
      <c r="U157" s="46">
        <f t="shared" si="15"/>
        <v>0</v>
      </c>
      <c r="V157" s="46">
        <f t="shared" si="16"/>
        <v>0</v>
      </c>
      <c r="W157" s="90">
        <f t="shared" si="17"/>
        <v>0</v>
      </c>
      <c r="X157" s="95">
        <f t="shared" si="18"/>
        <v>0</v>
      </c>
    </row>
    <row r="158" spans="1:24" ht="18" hidden="1" customHeight="1" x14ac:dyDescent="0.2">
      <c r="A158" s="407"/>
      <c r="B158" s="313"/>
      <c r="C158" s="410"/>
      <c r="D158" s="409">
        <f>Organización_Modular!F144</f>
        <v>0</v>
      </c>
      <c r="E158" s="409"/>
      <c r="F158" s="46" t="str">
        <f>_xlfn.IFNA(IF(VLOOKUP($D158,Organización_Modular!$F$10:$G$195,2,FALSE)=F$23,Itinerario!T158," ")," ")</f>
        <v xml:space="preserve"> </v>
      </c>
      <c r="G158" s="46" t="str">
        <f>_xlfn.IFNA(IF(VLOOKUP($D158,Organización_Modular!$F$10:$G$195,2,FALSE)=G$23,Itinerario!W158," ")," ")</f>
        <v xml:space="preserve"> </v>
      </c>
      <c r="H158" s="46" t="str">
        <f>_xlfn.IFNA(IF(VLOOKUP($D158,Organización_Modular!$F$10:$G$195,2,FALSE)=H$23,Itinerario!T158," ")," ")</f>
        <v xml:space="preserve"> </v>
      </c>
      <c r="I158" s="46" t="str">
        <f>_xlfn.IFNA(IF(VLOOKUP($D158,Organización_Modular!$F$10:$G$195,2,FALSE)=I$23,Itinerario!W158," ")," ")</f>
        <v xml:space="preserve"> </v>
      </c>
      <c r="J158" s="46" t="str">
        <f>_xlfn.IFNA(IF(VLOOKUP($D158,Organización_Modular!$F$10:$G$195,2,FALSE)=J$23,Itinerario!T158," ")," ")</f>
        <v xml:space="preserve"> </v>
      </c>
      <c r="K158" s="46" t="str">
        <f>_xlfn.IFNA(IF(VLOOKUP($D158,Organización_Modular!$F$10:$G$195,2,FALSE)=K$23,Itinerario!W158," ")," ")</f>
        <v xml:space="preserve"> </v>
      </c>
      <c r="L158" s="46" t="str">
        <f>_xlfn.IFNA(IF(VLOOKUP($D158,Organización_Modular!$F$10:$G$195,2,FALSE)=L$23,Itinerario!T158," ")," ")</f>
        <v xml:space="preserve"> </v>
      </c>
      <c r="M158" s="46" t="str">
        <f>_xlfn.IFNA(IF(VLOOKUP($D158,Organización_Modular!$F$10:$G$195,2,FALSE)=M$23,Itinerario!W158," ")," ")</f>
        <v xml:space="preserve"> </v>
      </c>
      <c r="N158" s="46" t="str">
        <f>_xlfn.IFNA(IF(VLOOKUP($D158,Organización_Modular!$F$10:$G$195,2,FALSE)=N$23,Itinerario!T158," ")," ")</f>
        <v xml:space="preserve"> </v>
      </c>
      <c r="O158" s="46" t="str">
        <f>_xlfn.IFNA(IF(VLOOKUP($D158,Organización_Modular!$F$10:$G$195,2,FALSE)=O$23,Itinerario!W158," ")," ")</f>
        <v xml:space="preserve"> </v>
      </c>
      <c r="P158" s="46" t="str">
        <f>_xlfn.IFNA(IF(VLOOKUP($D158,Organización_Modular!$F$10:$G$195,2,FALSE)=P$23,Itinerario!T158," ")," ")</f>
        <v xml:space="preserve"> </v>
      </c>
      <c r="Q158" s="46" t="str">
        <f>_xlfn.IFNA(IF(VLOOKUP($D158,Organización_Modular!$F$10:$G$195,2,FALSE)=Q$23,Itinerario!W158," ")," ")</f>
        <v xml:space="preserve"> </v>
      </c>
      <c r="R158" s="46">
        <f>Organización_Modular!H144</f>
        <v>0</v>
      </c>
      <c r="S158" s="46">
        <f>Organización_Modular!I144</f>
        <v>0</v>
      </c>
      <c r="T158" s="90">
        <f t="shared" si="14"/>
        <v>0</v>
      </c>
      <c r="U158" s="46">
        <f t="shared" si="15"/>
        <v>0</v>
      </c>
      <c r="V158" s="46">
        <f t="shared" si="16"/>
        <v>0</v>
      </c>
      <c r="W158" s="90">
        <f t="shared" si="17"/>
        <v>0</v>
      </c>
      <c r="X158" s="95">
        <f t="shared" si="18"/>
        <v>0</v>
      </c>
    </row>
    <row r="159" spans="1:24" ht="18" hidden="1" customHeight="1" x14ac:dyDescent="0.2">
      <c r="A159" s="407"/>
      <c r="B159" s="313"/>
      <c r="C159" s="410"/>
      <c r="D159" s="409">
        <f>Organización_Modular!F145</f>
        <v>0</v>
      </c>
      <c r="E159" s="409"/>
      <c r="F159" s="46" t="str">
        <f>_xlfn.IFNA(IF(VLOOKUP($D159,Organización_Modular!$F$10:$G$195,2,FALSE)=F$23,Itinerario!T159," ")," ")</f>
        <v xml:space="preserve"> </v>
      </c>
      <c r="G159" s="46" t="str">
        <f>_xlfn.IFNA(IF(VLOOKUP($D159,Organización_Modular!$F$10:$G$195,2,FALSE)=G$23,Itinerario!W159," ")," ")</f>
        <v xml:space="preserve"> </v>
      </c>
      <c r="H159" s="46" t="str">
        <f>_xlfn.IFNA(IF(VLOOKUP($D159,Organización_Modular!$F$10:$G$195,2,FALSE)=H$23,Itinerario!T159," ")," ")</f>
        <v xml:space="preserve"> </v>
      </c>
      <c r="I159" s="46" t="str">
        <f>_xlfn.IFNA(IF(VLOOKUP($D159,Organización_Modular!$F$10:$G$195,2,FALSE)=I$23,Itinerario!W159," ")," ")</f>
        <v xml:space="preserve"> </v>
      </c>
      <c r="J159" s="46" t="str">
        <f>_xlfn.IFNA(IF(VLOOKUP($D159,Organización_Modular!$F$10:$G$195,2,FALSE)=J$23,Itinerario!T159," ")," ")</f>
        <v xml:space="preserve"> </v>
      </c>
      <c r="K159" s="46" t="str">
        <f>_xlfn.IFNA(IF(VLOOKUP($D159,Organización_Modular!$F$10:$G$195,2,FALSE)=K$23,Itinerario!W159," ")," ")</f>
        <v xml:space="preserve"> </v>
      </c>
      <c r="L159" s="46" t="str">
        <f>_xlfn.IFNA(IF(VLOOKUP($D159,Organización_Modular!$F$10:$G$195,2,FALSE)=L$23,Itinerario!T159," ")," ")</f>
        <v xml:space="preserve"> </v>
      </c>
      <c r="M159" s="46" t="str">
        <f>_xlfn.IFNA(IF(VLOOKUP($D159,Organización_Modular!$F$10:$G$195,2,FALSE)=M$23,Itinerario!W159," ")," ")</f>
        <v xml:space="preserve"> </v>
      </c>
      <c r="N159" s="46" t="str">
        <f>_xlfn.IFNA(IF(VLOOKUP($D159,Organización_Modular!$F$10:$G$195,2,FALSE)=N$23,Itinerario!T159," ")," ")</f>
        <v xml:space="preserve"> </v>
      </c>
      <c r="O159" s="46" t="str">
        <f>_xlfn.IFNA(IF(VLOOKUP($D159,Organización_Modular!$F$10:$G$195,2,FALSE)=O$23,Itinerario!W159," ")," ")</f>
        <v xml:space="preserve"> </v>
      </c>
      <c r="P159" s="46" t="str">
        <f>_xlfn.IFNA(IF(VLOOKUP($D159,Organización_Modular!$F$10:$G$195,2,FALSE)=P$23,Itinerario!T159," ")," ")</f>
        <v xml:space="preserve"> </v>
      </c>
      <c r="Q159" s="46" t="str">
        <f>_xlfn.IFNA(IF(VLOOKUP($D159,Organización_Modular!$F$10:$G$195,2,FALSE)=Q$23,Itinerario!W159," ")," ")</f>
        <v xml:space="preserve"> </v>
      </c>
      <c r="R159" s="46">
        <f>Organización_Modular!H145</f>
        <v>0</v>
      </c>
      <c r="S159" s="46">
        <f>Organización_Modular!I145</f>
        <v>0</v>
      </c>
      <c r="T159" s="90">
        <f t="shared" si="14"/>
        <v>0</v>
      </c>
      <c r="U159" s="46">
        <f t="shared" si="15"/>
        <v>0</v>
      </c>
      <c r="V159" s="46">
        <f t="shared" si="16"/>
        <v>0</v>
      </c>
      <c r="W159" s="90">
        <f t="shared" si="17"/>
        <v>0</v>
      </c>
      <c r="X159" s="95">
        <f t="shared" si="18"/>
        <v>0</v>
      </c>
    </row>
    <row r="160" spans="1:24" ht="18" hidden="1" customHeight="1" x14ac:dyDescent="0.2">
      <c r="A160" s="407"/>
      <c r="B160" s="313"/>
      <c r="C160" s="410"/>
      <c r="D160" s="409">
        <f>Organización_Modular!F146</f>
        <v>0</v>
      </c>
      <c r="E160" s="409"/>
      <c r="F160" s="46" t="str">
        <f>_xlfn.IFNA(IF(VLOOKUP($D160,Organización_Modular!$F$10:$G$195,2,FALSE)=F$23,Itinerario!T160," ")," ")</f>
        <v xml:space="preserve"> </v>
      </c>
      <c r="G160" s="46" t="str">
        <f>_xlfn.IFNA(IF(VLOOKUP($D160,Organización_Modular!$F$10:$G$195,2,FALSE)=G$23,Itinerario!W160," ")," ")</f>
        <v xml:space="preserve"> </v>
      </c>
      <c r="H160" s="46" t="str">
        <f>_xlfn.IFNA(IF(VLOOKUP($D160,Organización_Modular!$F$10:$G$195,2,FALSE)=H$23,Itinerario!T160," ")," ")</f>
        <v xml:space="preserve"> </v>
      </c>
      <c r="I160" s="46" t="str">
        <f>_xlfn.IFNA(IF(VLOOKUP($D160,Organización_Modular!$F$10:$G$195,2,FALSE)=I$23,Itinerario!W160," ")," ")</f>
        <v xml:space="preserve"> </v>
      </c>
      <c r="J160" s="46" t="str">
        <f>_xlfn.IFNA(IF(VLOOKUP($D160,Organización_Modular!$F$10:$G$195,2,FALSE)=J$23,Itinerario!T160," ")," ")</f>
        <v xml:space="preserve"> </v>
      </c>
      <c r="K160" s="46" t="str">
        <f>_xlfn.IFNA(IF(VLOOKUP($D160,Organización_Modular!$F$10:$G$195,2,FALSE)=K$23,Itinerario!W160," ")," ")</f>
        <v xml:space="preserve"> </v>
      </c>
      <c r="L160" s="46" t="str">
        <f>_xlfn.IFNA(IF(VLOOKUP($D160,Organización_Modular!$F$10:$G$195,2,FALSE)=L$23,Itinerario!T160," ")," ")</f>
        <v xml:space="preserve"> </v>
      </c>
      <c r="M160" s="46" t="str">
        <f>_xlfn.IFNA(IF(VLOOKUP($D160,Organización_Modular!$F$10:$G$195,2,FALSE)=M$23,Itinerario!W160," ")," ")</f>
        <v xml:space="preserve"> </v>
      </c>
      <c r="N160" s="46" t="str">
        <f>_xlfn.IFNA(IF(VLOOKUP($D160,Organización_Modular!$F$10:$G$195,2,FALSE)=N$23,Itinerario!T160," ")," ")</f>
        <v xml:space="preserve"> </v>
      </c>
      <c r="O160" s="46" t="str">
        <f>_xlfn.IFNA(IF(VLOOKUP($D160,Organización_Modular!$F$10:$G$195,2,FALSE)=O$23,Itinerario!W160," ")," ")</f>
        <v xml:space="preserve"> </v>
      </c>
      <c r="P160" s="46" t="str">
        <f>_xlfn.IFNA(IF(VLOOKUP($D160,Organización_Modular!$F$10:$G$195,2,FALSE)=P$23,Itinerario!T160," ")," ")</f>
        <v xml:space="preserve"> </v>
      </c>
      <c r="Q160" s="46" t="str">
        <f>_xlfn.IFNA(IF(VLOOKUP($D160,Organización_Modular!$F$10:$G$195,2,FALSE)=Q$23,Itinerario!W160," ")," ")</f>
        <v xml:space="preserve"> </v>
      </c>
      <c r="R160" s="46">
        <f>Organización_Modular!H146</f>
        <v>0</v>
      </c>
      <c r="S160" s="46">
        <f>Organización_Modular!I146</f>
        <v>0</v>
      </c>
      <c r="T160" s="90">
        <f t="shared" si="14"/>
        <v>0</v>
      </c>
      <c r="U160" s="46">
        <f t="shared" si="15"/>
        <v>0</v>
      </c>
      <c r="V160" s="46">
        <f t="shared" si="16"/>
        <v>0</v>
      </c>
      <c r="W160" s="90">
        <f t="shared" si="17"/>
        <v>0</v>
      </c>
      <c r="X160" s="95">
        <f t="shared" si="18"/>
        <v>0</v>
      </c>
    </row>
    <row r="161" spans="1:24" ht="18" hidden="1" customHeight="1" x14ac:dyDescent="0.2">
      <c r="A161" s="407"/>
      <c r="B161" s="313"/>
      <c r="C161" s="410"/>
      <c r="D161" s="409">
        <f>Organización_Modular!F147</f>
        <v>0</v>
      </c>
      <c r="E161" s="409"/>
      <c r="F161" s="46" t="str">
        <f>_xlfn.IFNA(IF(VLOOKUP($D161,Organización_Modular!$F$10:$G$195,2,FALSE)=F$23,Itinerario!T161," ")," ")</f>
        <v xml:space="preserve"> </v>
      </c>
      <c r="G161" s="46" t="str">
        <f>_xlfn.IFNA(IF(VLOOKUP($D161,Organización_Modular!$F$10:$G$195,2,FALSE)=G$23,Itinerario!W161," ")," ")</f>
        <v xml:space="preserve"> </v>
      </c>
      <c r="H161" s="46" t="str">
        <f>_xlfn.IFNA(IF(VLOOKUP($D161,Organización_Modular!$F$10:$G$195,2,FALSE)=H$23,Itinerario!T161," ")," ")</f>
        <v xml:space="preserve"> </v>
      </c>
      <c r="I161" s="46" t="str">
        <f>_xlfn.IFNA(IF(VLOOKUP($D161,Organización_Modular!$F$10:$G$195,2,FALSE)=I$23,Itinerario!W161," ")," ")</f>
        <v xml:space="preserve"> </v>
      </c>
      <c r="J161" s="46" t="str">
        <f>_xlfn.IFNA(IF(VLOOKUP($D161,Organización_Modular!$F$10:$G$195,2,FALSE)=J$23,Itinerario!T161," ")," ")</f>
        <v xml:space="preserve"> </v>
      </c>
      <c r="K161" s="46" t="str">
        <f>_xlfn.IFNA(IF(VLOOKUP($D161,Organización_Modular!$F$10:$G$195,2,FALSE)=K$23,Itinerario!W161," ")," ")</f>
        <v xml:space="preserve"> </v>
      </c>
      <c r="L161" s="46" t="str">
        <f>_xlfn.IFNA(IF(VLOOKUP($D161,Organización_Modular!$F$10:$G$195,2,FALSE)=L$23,Itinerario!T161," ")," ")</f>
        <v xml:space="preserve"> </v>
      </c>
      <c r="M161" s="46" t="str">
        <f>_xlfn.IFNA(IF(VLOOKUP($D161,Organización_Modular!$F$10:$G$195,2,FALSE)=M$23,Itinerario!W161," ")," ")</f>
        <v xml:space="preserve"> </v>
      </c>
      <c r="N161" s="46" t="str">
        <f>_xlfn.IFNA(IF(VLOOKUP($D161,Organización_Modular!$F$10:$G$195,2,FALSE)=N$23,Itinerario!T161," ")," ")</f>
        <v xml:space="preserve"> </v>
      </c>
      <c r="O161" s="46" t="str">
        <f>_xlfn.IFNA(IF(VLOOKUP($D161,Organización_Modular!$F$10:$G$195,2,FALSE)=O$23,Itinerario!W161," ")," ")</f>
        <v xml:space="preserve"> </v>
      </c>
      <c r="P161" s="46" t="str">
        <f>_xlfn.IFNA(IF(VLOOKUP($D161,Organización_Modular!$F$10:$G$195,2,FALSE)=P$23,Itinerario!T161," ")," ")</f>
        <v xml:space="preserve"> </v>
      </c>
      <c r="Q161" s="46" t="str">
        <f>_xlfn.IFNA(IF(VLOOKUP($D161,Organización_Modular!$F$10:$G$195,2,FALSE)=Q$23,Itinerario!W161," ")," ")</f>
        <v xml:space="preserve"> </v>
      </c>
      <c r="R161" s="46">
        <f>Organización_Modular!H147</f>
        <v>0</v>
      </c>
      <c r="S161" s="46">
        <f>Organización_Modular!I147</f>
        <v>0</v>
      </c>
      <c r="T161" s="90">
        <f t="shared" si="14"/>
        <v>0</v>
      </c>
      <c r="U161" s="46">
        <f t="shared" si="15"/>
        <v>0</v>
      </c>
      <c r="V161" s="46">
        <f t="shared" si="16"/>
        <v>0</v>
      </c>
      <c r="W161" s="90">
        <f t="shared" si="17"/>
        <v>0</v>
      </c>
      <c r="X161" s="95">
        <f t="shared" si="18"/>
        <v>0</v>
      </c>
    </row>
    <row r="162" spans="1:24" ht="18" hidden="1" customHeight="1" x14ac:dyDescent="0.2">
      <c r="A162" s="407"/>
      <c r="B162" s="313"/>
      <c r="C162" s="410"/>
      <c r="D162" s="409">
        <f>Organización_Modular!F148</f>
        <v>0</v>
      </c>
      <c r="E162" s="409"/>
      <c r="F162" s="46" t="str">
        <f>_xlfn.IFNA(IF(VLOOKUP($D162,Organización_Modular!$F$10:$G$195,2,FALSE)=F$23,Itinerario!T162," ")," ")</f>
        <v xml:space="preserve"> </v>
      </c>
      <c r="G162" s="46" t="str">
        <f>_xlfn.IFNA(IF(VLOOKUP($D162,Organización_Modular!$F$10:$G$195,2,FALSE)=G$23,Itinerario!W162," ")," ")</f>
        <v xml:space="preserve"> </v>
      </c>
      <c r="H162" s="46" t="str">
        <f>_xlfn.IFNA(IF(VLOOKUP($D162,Organización_Modular!$F$10:$G$195,2,FALSE)=H$23,Itinerario!T162," ")," ")</f>
        <v xml:space="preserve"> </v>
      </c>
      <c r="I162" s="46" t="str">
        <f>_xlfn.IFNA(IF(VLOOKUP($D162,Organización_Modular!$F$10:$G$195,2,FALSE)=I$23,Itinerario!W162," ")," ")</f>
        <v xml:space="preserve"> </v>
      </c>
      <c r="J162" s="46" t="str">
        <f>_xlfn.IFNA(IF(VLOOKUP($D162,Organización_Modular!$F$10:$G$195,2,FALSE)=J$23,Itinerario!T162," ")," ")</f>
        <v xml:space="preserve"> </v>
      </c>
      <c r="K162" s="46" t="str">
        <f>_xlfn.IFNA(IF(VLOOKUP($D162,Organización_Modular!$F$10:$G$195,2,FALSE)=K$23,Itinerario!W162," ")," ")</f>
        <v xml:space="preserve"> </v>
      </c>
      <c r="L162" s="46" t="str">
        <f>_xlfn.IFNA(IF(VLOOKUP($D162,Organización_Modular!$F$10:$G$195,2,FALSE)=L$23,Itinerario!T162," ")," ")</f>
        <v xml:space="preserve"> </v>
      </c>
      <c r="M162" s="46" t="str">
        <f>_xlfn.IFNA(IF(VLOOKUP($D162,Organización_Modular!$F$10:$G$195,2,FALSE)=M$23,Itinerario!W162," ")," ")</f>
        <v xml:space="preserve"> </v>
      </c>
      <c r="N162" s="46" t="str">
        <f>_xlfn.IFNA(IF(VLOOKUP($D162,Organización_Modular!$F$10:$G$195,2,FALSE)=N$23,Itinerario!T162," ")," ")</f>
        <v xml:space="preserve"> </v>
      </c>
      <c r="O162" s="46" t="str">
        <f>_xlfn.IFNA(IF(VLOOKUP($D162,Organización_Modular!$F$10:$G$195,2,FALSE)=O$23,Itinerario!W162," ")," ")</f>
        <v xml:space="preserve"> </v>
      </c>
      <c r="P162" s="46" t="str">
        <f>_xlfn.IFNA(IF(VLOOKUP($D162,Organización_Modular!$F$10:$G$195,2,FALSE)=P$23,Itinerario!T162," ")," ")</f>
        <v xml:space="preserve"> </v>
      </c>
      <c r="Q162" s="46" t="str">
        <f>_xlfn.IFNA(IF(VLOOKUP($D162,Organización_Modular!$F$10:$G$195,2,FALSE)=Q$23,Itinerario!W162," ")," ")</f>
        <v xml:space="preserve"> </v>
      </c>
      <c r="R162" s="46">
        <f>Organización_Modular!H148</f>
        <v>0</v>
      </c>
      <c r="S162" s="46">
        <f>Organización_Modular!I148</f>
        <v>0</v>
      </c>
      <c r="T162" s="90">
        <f t="shared" si="14"/>
        <v>0</v>
      </c>
      <c r="U162" s="46">
        <f t="shared" si="15"/>
        <v>0</v>
      </c>
      <c r="V162" s="46">
        <f t="shared" si="16"/>
        <v>0</v>
      </c>
      <c r="W162" s="90">
        <f t="shared" si="17"/>
        <v>0</v>
      </c>
      <c r="X162" s="95">
        <f t="shared" si="18"/>
        <v>0</v>
      </c>
    </row>
    <row r="163" spans="1:24" ht="18" hidden="1" customHeight="1" x14ac:dyDescent="0.2">
      <c r="A163" s="407"/>
      <c r="B163" s="313"/>
      <c r="C163" s="410"/>
      <c r="D163" s="409">
        <f>Organización_Modular!F149</f>
        <v>0</v>
      </c>
      <c r="E163" s="409"/>
      <c r="F163" s="46" t="str">
        <f>_xlfn.IFNA(IF(VLOOKUP($D163,Organización_Modular!$F$10:$G$195,2,FALSE)=F$23,Itinerario!T163," ")," ")</f>
        <v xml:space="preserve"> </v>
      </c>
      <c r="G163" s="46" t="str">
        <f>_xlfn.IFNA(IF(VLOOKUP($D163,Organización_Modular!$F$10:$G$195,2,FALSE)=G$23,Itinerario!W163," ")," ")</f>
        <v xml:space="preserve"> </v>
      </c>
      <c r="H163" s="46" t="str">
        <f>_xlfn.IFNA(IF(VLOOKUP($D163,Organización_Modular!$F$10:$G$195,2,FALSE)=H$23,Itinerario!T163," ")," ")</f>
        <v xml:space="preserve"> </v>
      </c>
      <c r="I163" s="46" t="str">
        <f>_xlfn.IFNA(IF(VLOOKUP($D163,Organización_Modular!$F$10:$G$195,2,FALSE)=I$23,Itinerario!W163," ")," ")</f>
        <v xml:space="preserve"> </v>
      </c>
      <c r="J163" s="46" t="str">
        <f>_xlfn.IFNA(IF(VLOOKUP($D163,Organización_Modular!$F$10:$G$195,2,FALSE)=J$23,Itinerario!T163," ")," ")</f>
        <v xml:space="preserve"> </v>
      </c>
      <c r="K163" s="46" t="str">
        <f>_xlfn.IFNA(IF(VLOOKUP($D163,Organización_Modular!$F$10:$G$195,2,FALSE)=K$23,Itinerario!W163," ")," ")</f>
        <v xml:space="preserve"> </v>
      </c>
      <c r="L163" s="46" t="str">
        <f>_xlfn.IFNA(IF(VLOOKUP($D163,Organización_Modular!$F$10:$G$195,2,FALSE)=L$23,Itinerario!T163," ")," ")</f>
        <v xml:space="preserve"> </v>
      </c>
      <c r="M163" s="46" t="str">
        <f>_xlfn.IFNA(IF(VLOOKUP($D163,Organización_Modular!$F$10:$G$195,2,FALSE)=M$23,Itinerario!W163," ")," ")</f>
        <v xml:space="preserve"> </v>
      </c>
      <c r="N163" s="46" t="str">
        <f>_xlfn.IFNA(IF(VLOOKUP($D163,Organización_Modular!$F$10:$G$195,2,FALSE)=N$23,Itinerario!T163," ")," ")</f>
        <v xml:space="preserve"> </v>
      </c>
      <c r="O163" s="46" t="str">
        <f>_xlfn.IFNA(IF(VLOOKUP($D163,Organización_Modular!$F$10:$G$195,2,FALSE)=O$23,Itinerario!W163," ")," ")</f>
        <v xml:space="preserve"> </v>
      </c>
      <c r="P163" s="46" t="str">
        <f>_xlfn.IFNA(IF(VLOOKUP($D163,Organización_Modular!$F$10:$G$195,2,FALSE)=P$23,Itinerario!T163," ")," ")</f>
        <v xml:space="preserve"> </v>
      </c>
      <c r="Q163" s="46" t="str">
        <f>_xlfn.IFNA(IF(VLOOKUP($D163,Organización_Modular!$F$10:$G$195,2,FALSE)=Q$23,Itinerario!W163," ")," ")</f>
        <v xml:space="preserve"> </v>
      </c>
      <c r="R163" s="46">
        <f>Organización_Modular!H149</f>
        <v>0</v>
      </c>
      <c r="S163" s="46">
        <f>Organización_Modular!I149</f>
        <v>0</v>
      </c>
      <c r="T163" s="90">
        <f t="shared" si="14"/>
        <v>0</v>
      </c>
      <c r="U163" s="46">
        <f t="shared" si="15"/>
        <v>0</v>
      </c>
      <c r="V163" s="46">
        <f t="shared" si="16"/>
        <v>0</v>
      </c>
      <c r="W163" s="90">
        <f t="shared" si="17"/>
        <v>0</v>
      </c>
      <c r="X163" s="95">
        <f t="shared" si="18"/>
        <v>0</v>
      </c>
    </row>
    <row r="164" spans="1:24" ht="18" hidden="1" customHeight="1" x14ac:dyDescent="0.2">
      <c r="A164" s="407"/>
      <c r="B164" s="313"/>
      <c r="C164" s="410"/>
      <c r="D164" s="409">
        <f>Organización_Modular!F150</f>
        <v>0</v>
      </c>
      <c r="E164" s="409"/>
      <c r="F164" s="46" t="str">
        <f>_xlfn.IFNA(IF(VLOOKUP($D164,Organización_Modular!$F$10:$G$195,2,FALSE)=F$23,Itinerario!T164," ")," ")</f>
        <v xml:space="preserve"> </v>
      </c>
      <c r="G164" s="46" t="str">
        <f>_xlfn.IFNA(IF(VLOOKUP($D164,Organización_Modular!$F$10:$G$195,2,FALSE)=G$23,Itinerario!W164," ")," ")</f>
        <v xml:space="preserve"> </v>
      </c>
      <c r="H164" s="46" t="str">
        <f>_xlfn.IFNA(IF(VLOOKUP($D164,Organización_Modular!$F$10:$G$195,2,FALSE)=H$23,Itinerario!T164," ")," ")</f>
        <v xml:space="preserve"> </v>
      </c>
      <c r="I164" s="46" t="str">
        <f>_xlfn.IFNA(IF(VLOOKUP($D164,Organización_Modular!$F$10:$G$195,2,FALSE)=I$23,Itinerario!W164," ")," ")</f>
        <v xml:space="preserve"> </v>
      </c>
      <c r="J164" s="46" t="str">
        <f>_xlfn.IFNA(IF(VLOOKUP($D164,Organización_Modular!$F$10:$G$195,2,FALSE)=J$23,Itinerario!T164," ")," ")</f>
        <v xml:space="preserve"> </v>
      </c>
      <c r="K164" s="46" t="str">
        <f>_xlfn.IFNA(IF(VLOOKUP($D164,Organización_Modular!$F$10:$G$195,2,FALSE)=K$23,Itinerario!W164," ")," ")</f>
        <v xml:space="preserve"> </v>
      </c>
      <c r="L164" s="46" t="str">
        <f>_xlfn.IFNA(IF(VLOOKUP($D164,Organización_Modular!$F$10:$G$195,2,FALSE)=L$23,Itinerario!T164," ")," ")</f>
        <v xml:space="preserve"> </v>
      </c>
      <c r="M164" s="46" t="str">
        <f>_xlfn.IFNA(IF(VLOOKUP($D164,Organización_Modular!$F$10:$G$195,2,FALSE)=M$23,Itinerario!W164," ")," ")</f>
        <v xml:space="preserve"> </v>
      </c>
      <c r="N164" s="46" t="str">
        <f>_xlfn.IFNA(IF(VLOOKUP($D164,Organización_Modular!$F$10:$G$195,2,FALSE)=N$23,Itinerario!T164," ")," ")</f>
        <v xml:space="preserve"> </v>
      </c>
      <c r="O164" s="46" t="str">
        <f>_xlfn.IFNA(IF(VLOOKUP($D164,Organización_Modular!$F$10:$G$195,2,FALSE)=O$23,Itinerario!W164," ")," ")</f>
        <v xml:space="preserve"> </v>
      </c>
      <c r="P164" s="46" t="str">
        <f>_xlfn.IFNA(IF(VLOOKUP($D164,Organización_Modular!$F$10:$G$195,2,FALSE)=P$23,Itinerario!T164," ")," ")</f>
        <v xml:space="preserve"> </v>
      </c>
      <c r="Q164" s="46" t="str">
        <f>_xlfn.IFNA(IF(VLOOKUP($D164,Organización_Modular!$F$10:$G$195,2,FALSE)=Q$23,Itinerario!W164," ")," ")</f>
        <v xml:space="preserve"> </v>
      </c>
      <c r="R164" s="46">
        <f>Organización_Modular!H150</f>
        <v>0</v>
      </c>
      <c r="S164" s="46">
        <f>Organización_Modular!I150</f>
        <v>0</v>
      </c>
      <c r="T164" s="90">
        <f t="shared" si="14"/>
        <v>0</v>
      </c>
      <c r="U164" s="46">
        <f t="shared" si="15"/>
        <v>0</v>
      </c>
      <c r="V164" s="46">
        <f t="shared" si="16"/>
        <v>0</v>
      </c>
      <c r="W164" s="90">
        <f t="shared" si="17"/>
        <v>0</v>
      </c>
      <c r="X164" s="95">
        <f t="shared" si="18"/>
        <v>0</v>
      </c>
    </row>
    <row r="165" spans="1:24" ht="18" hidden="1" customHeight="1" x14ac:dyDescent="0.2">
      <c r="A165" s="407"/>
      <c r="B165" s="313"/>
      <c r="C165" s="410"/>
      <c r="D165" s="409">
        <f>Organización_Modular!F151</f>
        <v>0</v>
      </c>
      <c r="E165" s="409"/>
      <c r="F165" s="46" t="str">
        <f>_xlfn.IFNA(IF(VLOOKUP($D165,Organización_Modular!$F$10:$G$195,2,FALSE)=F$23,Itinerario!T165," ")," ")</f>
        <v xml:space="preserve"> </v>
      </c>
      <c r="G165" s="46" t="str">
        <f>_xlfn.IFNA(IF(VLOOKUP($D165,Organización_Modular!$F$10:$G$195,2,FALSE)=G$23,Itinerario!W165," ")," ")</f>
        <v xml:space="preserve"> </v>
      </c>
      <c r="H165" s="46" t="str">
        <f>_xlfn.IFNA(IF(VLOOKUP($D165,Organización_Modular!$F$10:$G$195,2,FALSE)=H$23,Itinerario!T165," ")," ")</f>
        <v xml:space="preserve"> </v>
      </c>
      <c r="I165" s="46" t="str">
        <f>_xlfn.IFNA(IF(VLOOKUP($D165,Organización_Modular!$F$10:$G$195,2,FALSE)=I$23,Itinerario!W165," ")," ")</f>
        <v xml:space="preserve"> </v>
      </c>
      <c r="J165" s="46" t="str">
        <f>_xlfn.IFNA(IF(VLOOKUP($D165,Organización_Modular!$F$10:$G$195,2,FALSE)=J$23,Itinerario!T165," ")," ")</f>
        <v xml:space="preserve"> </v>
      </c>
      <c r="K165" s="46" t="str">
        <f>_xlfn.IFNA(IF(VLOOKUP($D165,Organización_Modular!$F$10:$G$195,2,FALSE)=K$23,Itinerario!W165," ")," ")</f>
        <v xml:space="preserve"> </v>
      </c>
      <c r="L165" s="46" t="str">
        <f>_xlfn.IFNA(IF(VLOOKUP($D165,Organización_Modular!$F$10:$G$195,2,FALSE)=L$23,Itinerario!T165," ")," ")</f>
        <v xml:space="preserve"> </v>
      </c>
      <c r="M165" s="46" t="str">
        <f>_xlfn.IFNA(IF(VLOOKUP($D165,Organización_Modular!$F$10:$G$195,2,FALSE)=M$23,Itinerario!W165," ")," ")</f>
        <v xml:space="preserve"> </v>
      </c>
      <c r="N165" s="46" t="str">
        <f>_xlfn.IFNA(IF(VLOOKUP($D165,Organización_Modular!$F$10:$G$195,2,FALSE)=N$23,Itinerario!T165," ")," ")</f>
        <v xml:space="preserve"> </v>
      </c>
      <c r="O165" s="46" t="str">
        <f>_xlfn.IFNA(IF(VLOOKUP($D165,Organización_Modular!$F$10:$G$195,2,FALSE)=O$23,Itinerario!W165," ")," ")</f>
        <v xml:space="preserve"> </v>
      </c>
      <c r="P165" s="46" t="str">
        <f>_xlfn.IFNA(IF(VLOOKUP($D165,Organización_Modular!$F$10:$G$195,2,FALSE)=P$23,Itinerario!T165," ")," ")</f>
        <v xml:space="preserve"> </v>
      </c>
      <c r="Q165" s="46" t="str">
        <f>_xlfn.IFNA(IF(VLOOKUP($D165,Organización_Modular!$F$10:$G$195,2,FALSE)=Q$23,Itinerario!W165," ")," ")</f>
        <v xml:space="preserve"> </v>
      </c>
      <c r="R165" s="46">
        <f>Organización_Modular!H151</f>
        <v>0</v>
      </c>
      <c r="S165" s="46">
        <f>Organización_Modular!I151</f>
        <v>0</v>
      </c>
      <c r="T165" s="90">
        <f t="shared" si="14"/>
        <v>0</v>
      </c>
      <c r="U165" s="46">
        <f t="shared" si="15"/>
        <v>0</v>
      </c>
      <c r="V165" s="46">
        <f t="shared" si="16"/>
        <v>0</v>
      </c>
      <c r="W165" s="90">
        <f t="shared" si="17"/>
        <v>0</v>
      </c>
      <c r="X165" s="95">
        <f t="shared" si="18"/>
        <v>0</v>
      </c>
    </row>
    <row r="166" spans="1:24" ht="18" hidden="1" customHeight="1" x14ac:dyDescent="0.2">
      <c r="A166" s="407"/>
      <c r="B166" s="313"/>
      <c r="C166" s="410"/>
      <c r="D166" s="409">
        <f>Organización_Modular!F152</f>
        <v>0</v>
      </c>
      <c r="E166" s="409"/>
      <c r="F166" s="46" t="str">
        <f>_xlfn.IFNA(IF(VLOOKUP($D166,Organización_Modular!$F$10:$G$195,2,FALSE)=F$23,Itinerario!T166," ")," ")</f>
        <v xml:space="preserve"> </v>
      </c>
      <c r="G166" s="46" t="str">
        <f>_xlfn.IFNA(IF(VLOOKUP($D166,Organización_Modular!$F$10:$G$195,2,FALSE)=G$23,Itinerario!W166," ")," ")</f>
        <v xml:space="preserve"> </v>
      </c>
      <c r="H166" s="46" t="str">
        <f>_xlfn.IFNA(IF(VLOOKUP($D166,Organización_Modular!$F$10:$G$195,2,FALSE)=H$23,Itinerario!T166," ")," ")</f>
        <v xml:space="preserve"> </v>
      </c>
      <c r="I166" s="46" t="str">
        <f>_xlfn.IFNA(IF(VLOOKUP($D166,Organización_Modular!$F$10:$G$195,2,FALSE)=I$23,Itinerario!W166," ")," ")</f>
        <v xml:space="preserve"> </v>
      </c>
      <c r="J166" s="46" t="str">
        <f>_xlfn.IFNA(IF(VLOOKUP($D166,Organización_Modular!$F$10:$G$195,2,FALSE)=J$23,Itinerario!T166," ")," ")</f>
        <v xml:space="preserve"> </v>
      </c>
      <c r="K166" s="46" t="str">
        <f>_xlfn.IFNA(IF(VLOOKUP($D166,Organización_Modular!$F$10:$G$195,2,FALSE)=K$23,Itinerario!W166," ")," ")</f>
        <v xml:space="preserve"> </v>
      </c>
      <c r="L166" s="46" t="str">
        <f>_xlfn.IFNA(IF(VLOOKUP($D166,Organización_Modular!$F$10:$G$195,2,FALSE)=L$23,Itinerario!T166," ")," ")</f>
        <v xml:space="preserve"> </v>
      </c>
      <c r="M166" s="46" t="str">
        <f>_xlfn.IFNA(IF(VLOOKUP($D166,Organización_Modular!$F$10:$G$195,2,FALSE)=M$23,Itinerario!W166," ")," ")</f>
        <v xml:space="preserve"> </v>
      </c>
      <c r="N166" s="46" t="str">
        <f>_xlfn.IFNA(IF(VLOOKUP($D166,Organización_Modular!$F$10:$G$195,2,FALSE)=N$23,Itinerario!T166," ")," ")</f>
        <v xml:space="preserve"> </v>
      </c>
      <c r="O166" s="46" t="str">
        <f>_xlfn.IFNA(IF(VLOOKUP($D166,Organización_Modular!$F$10:$G$195,2,FALSE)=O$23,Itinerario!W166," ")," ")</f>
        <v xml:space="preserve"> </v>
      </c>
      <c r="P166" s="46" t="str">
        <f>_xlfn.IFNA(IF(VLOOKUP($D166,Organización_Modular!$F$10:$G$195,2,FALSE)=P$23,Itinerario!T166," ")," ")</f>
        <v xml:space="preserve"> </v>
      </c>
      <c r="Q166" s="46" t="str">
        <f>_xlfn.IFNA(IF(VLOOKUP($D166,Organización_Modular!$F$10:$G$195,2,FALSE)=Q$23,Itinerario!W166," ")," ")</f>
        <v xml:space="preserve"> </v>
      </c>
      <c r="R166" s="46">
        <f>Organización_Modular!H152</f>
        <v>0</v>
      </c>
      <c r="S166" s="46">
        <f>Organización_Modular!I152</f>
        <v>0</v>
      </c>
      <c r="T166" s="90">
        <f t="shared" si="14"/>
        <v>0</v>
      </c>
      <c r="U166" s="46">
        <f t="shared" si="15"/>
        <v>0</v>
      </c>
      <c r="V166" s="46">
        <f t="shared" si="16"/>
        <v>0</v>
      </c>
      <c r="W166" s="90">
        <f t="shared" si="17"/>
        <v>0</v>
      </c>
      <c r="X166" s="95">
        <f t="shared" si="18"/>
        <v>0</v>
      </c>
    </row>
    <row r="167" spans="1:24" ht="18" hidden="1" customHeight="1" x14ac:dyDescent="0.2">
      <c r="A167" s="407"/>
      <c r="B167" s="313"/>
      <c r="C167" s="410"/>
      <c r="D167" s="409">
        <f>Organización_Modular!F153</f>
        <v>0</v>
      </c>
      <c r="E167" s="409"/>
      <c r="F167" s="46" t="str">
        <f>_xlfn.IFNA(IF(VLOOKUP($D167,Organización_Modular!$F$10:$G$195,2,FALSE)=F$23,Itinerario!T167," ")," ")</f>
        <v xml:space="preserve"> </v>
      </c>
      <c r="G167" s="46" t="str">
        <f>_xlfn.IFNA(IF(VLOOKUP($D167,Organización_Modular!$F$10:$G$195,2,FALSE)=G$23,Itinerario!W167," ")," ")</f>
        <v xml:space="preserve"> </v>
      </c>
      <c r="H167" s="46" t="str">
        <f>_xlfn.IFNA(IF(VLOOKUP($D167,Organización_Modular!$F$10:$G$195,2,FALSE)=H$23,Itinerario!T167," ")," ")</f>
        <v xml:space="preserve"> </v>
      </c>
      <c r="I167" s="46" t="str">
        <f>_xlfn.IFNA(IF(VLOOKUP($D167,Organización_Modular!$F$10:$G$195,2,FALSE)=I$23,Itinerario!W167," ")," ")</f>
        <v xml:space="preserve"> </v>
      </c>
      <c r="J167" s="46" t="str">
        <f>_xlfn.IFNA(IF(VLOOKUP($D167,Organización_Modular!$F$10:$G$195,2,FALSE)=J$23,Itinerario!T167," ")," ")</f>
        <v xml:space="preserve"> </v>
      </c>
      <c r="K167" s="46" t="str">
        <f>_xlfn.IFNA(IF(VLOOKUP($D167,Organización_Modular!$F$10:$G$195,2,FALSE)=K$23,Itinerario!W167," ")," ")</f>
        <v xml:space="preserve"> </v>
      </c>
      <c r="L167" s="46" t="str">
        <f>_xlfn.IFNA(IF(VLOOKUP($D167,Organización_Modular!$F$10:$G$195,2,FALSE)=L$23,Itinerario!T167," ")," ")</f>
        <v xml:space="preserve"> </v>
      </c>
      <c r="M167" s="46" t="str">
        <f>_xlfn.IFNA(IF(VLOOKUP($D167,Organización_Modular!$F$10:$G$195,2,FALSE)=M$23,Itinerario!W167," ")," ")</f>
        <v xml:space="preserve"> </v>
      </c>
      <c r="N167" s="46" t="str">
        <f>_xlfn.IFNA(IF(VLOOKUP($D167,Organización_Modular!$F$10:$G$195,2,FALSE)=N$23,Itinerario!T167," ")," ")</f>
        <v xml:space="preserve"> </v>
      </c>
      <c r="O167" s="46" t="str">
        <f>_xlfn.IFNA(IF(VLOOKUP($D167,Organización_Modular!$F$10:$G$195,2,FALSE)=O$23,Itinerario!W167," ")," ")</f>
        <v xml:space="preserve"> </v>
      </c>
      <c r="P167" s="46" t="str">
        <f>_xlfn.IFNA(IF(VLOOKUP($D167,Organización_Modular!$F$10:$G$195,2,FALSE)=P$23,Itinerario!T167," ")," ")</f>
        <v xml:space="preserve"> </v>
      </c>
      <c r="Q167" s="46" t="str">
        <f>_xlfn.IFNA(IF(VLOOKUP($D167,Organización_Modular!$F$10:$G$195,2,FALSE)=Q$23,Itinerario!W167," ")," ")</f>
        <v xml:space="preserve"> </v>
      </c>
      <c r="R167" s="46">
        <f>Organización_Modular!H153</f>
        <v>0</v>
      </c>
      <c r="S167" s="46">
        <f>Organización_Modular!I153</f>
        <v>0</v>
      </c>
      <c r="T167" s="90">
        <f t="shared" si="14"/>
        <v>0</v>
      </c>
      <c r="U167" s="46">
        <f t="shared" si="15"/>
        <v>0</v>
      </c>
      <c r="V167" s="46">
        <f t="shared" si="16"/>
        <v>0</v>
      </c>
      <c r="W167" s="90">
        <f t="shared" si="17"/>
        <v>0</v>
      </c>
      <c r="X167" s="95">
        <f t="shared" si="18"/>
        <v>0</v>
      </c>
    </row>
    <row r="168" spans="1:24" ht="18" hidden="1" customHeight="1" x14ac:dyDescent="0.2">
      <c r="A168" s="407"/>
      <c r="B168" s="314" t="str">
        <f>B44</f>
        <v>Competencias para la empleabilidad</v>
      </c>
      <c r="C168" s="410">
        <f>Organización_Modular!C154</f>
        <v>0</v>
      </c>
      <c r="D168" s="409">
        <f>Organización_Modular!F154</f>
        <v>0</v>
      </c>
      <c r="E168" s="409"/>
      <c r="F168" s="46" t="str">
        <f>_xlfn.IFNA(IF(VLOOKUP($D168,Organización_Modular!$F$10:$G$195,2,FALSE)=F$23,Itinerario!T168," ")," ")</f>
        <v xml:space="preserve"> </v>
      </c>
      <c r="G168" s="46" t="str">
        <f>_xlfn.IFNA(IF(VLOOKUP($D168,Organización_Modular!$F$10:$G$195,2,FALSE)=G$23,Itinerario!W168," ")," ")</f>
        <v xml:space="preserve"> </v>
      </c>
      <c r="H168" s="46" t="str">
        <f>_xlfn.IFNA(IF(VLOOKUP($D168,Organización_Modular!$F$10:$G$195,2,FALSE)=H$23,Itinerario!T168," ")," ")</f>
        <v xml:space="preserve"> </v>
      </c>
      <c r="I168" s="46" t="str">
        <f>_xlfn.IFNA(IF(VLOOKUP($D168,Organización_Modular!$F$10:$G$195,2,FALSE)=I$23,Itinerario!W168," ")," ")</f>
        <v xml:space="preserve"> </v>
      </c>
      <c r="J168" s="46" t="str">
        <f>_xlfn.IFNA(IF(VLOOKUP($D168,Organización_Modular!$F$10:$G$195,2,FALSE)=J$23,Itinerario!T168," ")," ")</f>
        <v xml:space="preserve"> </v>
      </c>
      <c r="K168" s="46" t="str">
        <f>_xlfn.IFNA(IF(VLOOKUP($D168,Organización_Modular!$F$10:$G$195,2,FALSE)=K$23,Itinerario!W168," ")," ")</f>
        <v xml:space="preserve"> </v>
      </c>
      <c r="L168" s="46" t="str">
        <f>_xlfn.IFNA(IF(VLOOKUP($D168,Organización_Modular!$F$10:$G$195,2,FALSE)=L$23,Itinerario!T168," ")," ")</f>
        <v xml:space="preserve"> </v>
      </c>
      <c r="M168" s="46" t="str">
        <f>_xlfn.IFNA(IF(VLOOKUP($D168,Organización_Modular!$F$10:$G$195,2,FALSE)=M$23,Itinerario!W168," ")," ")</f>
        <v xml:space="preserve"> </v>
      </c>
      <c r="N168" s="46" t="str">
        <f>_xlfn.IFNA(IF(VLOOKUP($D168,Organización_Modular!$F$10:$G$195,2,FALSE)=N$23,Itinerario!T168," ")," ")</f>
        <v xml:space="preserve"> </v>
      </c>
      <c r="O168" s="46" t="str">
        <f>_xlfn.IFNA(IF(VLOOKUP($D168,Organización_Modular!$F$10:$G$195,2,FALSE)=O$23,Itinerario!W168," ")," ")</f>
        <v xml:space="preserve"> </v>
      </c>
      <c r="P168" s="46" t="str">
        <f>_xlfn.IFNA(IF(VLOOKUP($D168,Organización_Modular!$F$10:$G$195,2,FALSE)=P$23,Itinerario!T168," ")," ")</f>
        <v xml:space="preserve"> </v>
      </c>
      <c r="Q168" s="46" t="str">
        <f>_xlfn.IFNA(IF(VLOOKUP($D168,Organización_Modular!$F$10:$G$195,2,FALSE)=Q$23,Itinerario!W168," ")," ")</f>
        <v xml:space="preserve"> </v>
      </c>
      <c r="R168" s="46">
        <f>Organización_Modular!H154</f>
        <v>0</v>
      </c>
      <c r="S168" s="46">
        <f>Organización_Modular!I154</f>
        <v>0</v>
      </c>
      <c r="T168" s="90">
        <f t="shared" si="14"/>
        <v>0</v>
      </c>
      <c r="U168" s="46">
        <f t="shared" si="15"/>
        <v>0</v>
      </c>
      <c r="V168" s="46">
        <f t="shared" si="16"/>
        <v>0</v>
      </c>
      <c r="W168" s="90">
        <f t="shared" si="17"/>
        <v>0</v>
      </c>
      <c r="X168" s="95">
        <f t="shared" si="18"/>
        <v>0</v>
      </c>
    </row>
    <row r="169" spans="1:24" ht="18" hidden="1" customHeight="1" x14ac:dyDescent="0.2">
      <c r="A169" s="407"/>
      <c r="B169" s="314"/>
      <c r="C169" s="410"/>
      <c r="D169" s="409">
        <f>Organización_Modular!F155</f>
        <v>0</v>
      </c>
      <c r="E169" s="409"/>
      <c r="F169" s="46" t="str">
        <f>_xlfn.IFNA(IF(VLOOKUP($D169,Organización_Modular!$F$10:$G$195,2,FALSE)=F$23,Itinerario!T169," ")," ")</f>
        <v xml:space="preserve"> </v>
      </c>
      <c r="G169" s="46" t="str">
        <f>_xlfn.IFNA(IF(VLOOKUP($D169,Organización_Modular!$F$10:$G$195,2,FALSE)=G$23,Itinerario!W169," ")," ")</f>
        <v xml:space="preserve"> </v>
      </c>
      <c r="H169" s="46" t="str">
        <f>_xlfn.IFNA(IF(VLOOKUP($D169,Organización_Modular!$F$10:$G$195,2,FALSE)=H$23,Itinerario!T169," ")," ")</f>
        <v xml:space="preserve"> </v>
      </c>
      <c r="I169" s="46" t="str">
        <f>_xlfn.IFNA(IF(VLOOKUP($D169,Organización_Modular!$F$10:$G$195,2,FALSE)=I$23,Itinerario!W169," ")," ")</f>
        <v xml:space="preserve"> </v>
      </c>
      <c r="J169" s="46" t="str">
        <f>_xlfn.IFNA(IF(VLOOKUP($D169,Organización_Modular!$F$10:$G$195,2,FALSE)=J$23,Itinerario!T169," ")," ")</f>
        <v xml:space="preserve"> </v>
      </c>
      <c r="K169" s="46" t="str">
        <f>_xlfn.IFNA(IF(VLOOKUP($D169,Organización_Modular!$F$10:$G$195,2,FALSE)=K$23,Itinerario!W169," ")," ")</f>
        <v xml:space="preserve"> </v>
      </c>
      <c r="L169" s="46" t="str">
        <f>_xlfn.IFNA(IF(VLOOKUP($D169,Organización_Modular!$F$10:$G$195,2,FALSE)=L$23,Itinerario!T169," ")," ")</f>
        <v xml:space="preserve"> </v>
      </c>
      <c r="M169" s="46" t="str">
        <f>_xlfn.IFNA(IF(VLOOKUP($D169,Organización_Modular!$F$10:$G$195,2,FALSE)=M$23,Itinerario!W169," ")," ")</f>
        <v xml:space="preserve"> </v>
      </c>
      <c r="N169" s="46" t="str">
        <f>_xlfn.IFNA(IF(VLOOKUP($D169,Organización_Modular!$F$10:$G$195,2,FALSE)=N$23,Itinerario!T169," ")," ")</f>
        <v xml:space="preserve"> </v>
      </c>
      <c r="O169" s="46" t="str">
        <f>_xlfn.IFNA(IF(VLOOKUP($D169,Organización_Modular!$F$10:$G$195,2,FALSE)=O$23,Itinerario!W169," ")," ")</f>
        <v xml:space="preserve"> </v>
      </c>
      <c r="P169" s="46" t="str">
        <f>_xlfn.IFNA(IF(VLOOKUP($D169,Organización_Modular!$F$10:$G$195,2,FALSE)=P$23,Itinerario!T169," ")," ")</f>
        <v xml:space="preserve"> </v>
      </c>
      <c r="Q169" s="46" t="str">
        <f>_xlfn.IFNA(IF(VLOOKUP($D169,Organización_Modular!$F$10:$G$195,2,FALSE)=Q$23,Itinerario!W169," ")," ")</f>
        <v xml:space="preserve"> </v>
      </c>
      <c r="R169" s="46">
        <f>Organización_Modular!H155</f>
        <v>0</v>
      </c>
      <c r="S169" s="46">
        <f>Organización_Modular!I155</f>
        <v>0</v>
      </c>
      <c r="T169" s="90">
        <f t="shared" si="14"/>
        <v>0</v>
      </c>
      <c r="U169" s="46">
        <f t="shared" si="15"/>
        <v>0</v>
      </c>
      <c r="V169" s="46">
        <f t="shared" si="16"/>
        <v>0</v>
      </c>
      <c r="W169" s="90">
        <f t="shared" si="17"/>
        <v>0</v>
      </c>
      <c r="X169" s="95">
        <f t="shared" si="18"/>
        <v>0</v>
      </c>
    </row>
    <row r="170" spans="1:24" ht="18" hidden="1" customHeight="1" x14ac:dyDescent="0.2">
      <c r="A170" s="407"/>
      <c r="B170" s="314"/>
      <c r="C170" s="410"/>
      <c r="D170" s="409">
        <f>Organización_Modular!F156</f>
        <v>0</v>
      </c>
      <c r="E170" s="409"/>
      <c r="F170" s="46" t="str">
        <f>_xlfn.IFNA(IF(VLOOKUP($D170,Organización_Modular!$F$10:$G$195,2,FALSE)=F$23,Itinerario!T170," ")," ")</f>
        <v xml:space="preserve"> </v>
      </c>
      <c r="G170" s="46" t="str">
        <f>_xlfn.IFNA(IF(VLOOKUP($D170,Organización_Modular!$F$10:$G$195,2,FALSE)=G$23,Itinerario!W170," ")," ")</f>
        <v xml:space="preserve"> </v>
      </c>
      <c r="H170" s="46" t="str">
        <f>_xlfn.IFNA(IF(VLOOKUP($D170,Organización_Modular!$F$10:$G$195,2,FALSE)=H$23,Itinerario!T170," ")," ")</f>
        <v xml:space="preserve"> </v>
      </c>
      <c r="I170" s="46" t="str">
        <f>_xlfn.IFNA(IF(VLOOKUP($D170,Organización_Modular!$F$10:$G$195,2,FALSE)=I$23,Itinerario!W170," ")," ")</f>
        <v xml:space="preserve"> </v>
      </c>
      <c r="J170" s="46" t="str">
        <f>_xlfn.IFNA(IF(VLOOKUP($D170,Organización_Modular!$F$10:$G$195,2,FALSE)=J$23,Itinerario!T170," ")," ")</f>
        <v xml:space="preserve"> </v>
      </c>
      <c r="K170" s="46" t="str">
        <f>_xlfn.IFNA(IF(VLOOKUP($D170,Organización_Modular!$F$10:$G$195,2,FALSE)=K$23,Itinerario!W170," ")," ")</f>
        <v xml:space="preserve"> </v>
      </c>
      <c r="L170" s="46" t="str">
        <f>_xlfn.IFNA(IF(VLOOKUP($D170,Organización_Modular!$F$10:$G$195,2,FALSE)=L$23,Itinerario!T170," ")," ")</f>
        <v xml:space="preserve"> </v>
      </c>
      <c r="M170" s="46" t="str">
        <f>_xlfn.IFNA(IF(VLOOKUP($D170,Organización_Modular!$F$10:$G$195,2,FALSE)=M$23,Itinerario!W170," ")," ")</f>
        <v xml:space="preserve"> </v>
      </c>
      <c r="N170" s="46" t="str">
        <f>_xlfn.IFNA(IF(VLOOKUP($D170,Organización_Modular!$F$10:$G$195,2,FALSE)=N$23,Itinerario!T170," ")," ")</f>
        <v xml:space="preserve"> </v>
      </c>
      <c r="O170" s="46" t="str">
        <f>_xlfn.IFNA(IF(VLOOKUP($D170,Organización_Modular!$F$10:$G$195,2,FALSE)=O$23,Itinerario!W170," ")," ")</f>
        <v xml:space="preserve"> </v>
      </c>
      <c r="P170" s="46" t="str">
        <f>_xlfn.IFNA(IF(VLOOKUP($D170,Organización_Modular!$F$10:$G$195,2,FALSE)=P$23,Itinerario!T170," ")," ")</f>
        <v xml:space="preserve"> </v>
      </c>
      <c r="Q170" s="46" t="str">
        <f>_xlfn.IFNA(IF(VLOOKUP($D170,Organización_Modular!$F$10:$G$195,2,FALSE)=Q$23,Itinerario!W170," ")," ")</f>
        <v xml:space="preserve"> </v>
      </c>
      <c r="R170" s="46">
        <f>Organización_Modular!H156</f>
        <v>0</v>
      </c>
      <c r="S170" s="46">
        <f>Organización_Modular!I156</f>
        <v>0</v>
      </c>
      <c r="T170" s="90">
        <f t="shared" si="14"/>
        <v>0</v>
      </c>
      <c r="U170" s="46">
        <f t="shared" si="15"/>
        <v>0</v>
      </c>
      <c r="V170" s="46">
        <f t="shared" si="16"/>
        <v>0</v>
      </c>
      <c r="W170" s="90">
        <f t="shared" si="17"/>
        <v>0</v>
      </c>
      <c r="X170" s="95">
        <f t="shared" si="18"/>
        <v>0</v>
      </c>
    </row>
    <row r="171" spans="1:24" ht="18" hidden="1" customHeight="1" x14ac:dyDescent="0.2">
      <c r="A171" s="407"/>
      <c r="B171" s="314"/>
      <c r="C171" s="410"/>
      <c r="D171" s="409">
        <f>Organización_Modular!F157</f>
        <v>0</v>
      </c>
      <c r="E171" s="409"/>
      <c r="F171" s="46" t="str">
        <f>_xlfn.IFNA(IF(VLOOKUP($D171,Organización_Modular!$F$10:$G$195,2,FALSE)=F$23,Itinerario!T171," ")," ")</f>
        <v xml:space="preserve"> </v>
      </c>
      <c r="G171" s="46" t="str">
        <f>_xlfn.IFNA(IF(VLOOKUP($D171,Organización_Modular!$F$10:$G$195,2,FALSE)=G$23,Itinerario!W171," ")," ")</f>
        <v xml:space="preserve"> </v>
      </c>
      <c r="H171" s="46" t="str">
        <f>_xlfn.IFNA(IF(VLOOKUP($D171,Organización_Modular!$F$10:$G$195,2,FALSE)=H$23,Itinerario!T171," ")," ")</f>
        <v xml:space="preserve"> </v>
      </c>
      <c r="I171" s="46" t="str">
        <f>_xlfn.IFNA(IF(VLOOKUP($D171,Organización_Modular!$F$10:$G$195,2,FALSE)=I$23,Itinerario!W171," ")," ")</f>
        <v xml:space="preserve"> </v>
      </c>
      <c r="J171" s="46" t="str">
        <f>_xlfn.IFNA(IF(VLOOKUP($D171,Organización_Modular!$F$10:$G$195,2,FALSE)=J$23,Itinerario!T171," ")," ")</f>
        <v xml:space="preserve"> </v>
      </c>
      <c r="K171" s="46" t="str">
        <f>_xlfn.IFNA(IF(VLOOKUP($D171,Organización_Modular!$F$10:$G$195,2,FALSE)=K$23,Itinerario!W171," ")," ")</f>
        <v xml:space="preserve"> </v>
      </c>
      <c r="L171" s="46" t="str">
        <f>_xlfn.IFNA(IF(VLOOKUP($D171,Organización_Modular!$F$10:$G$195,2,FALSE)=L$23,Itinerario!T171," ")," ")</f>
        <v xml:space="preserve"> </v>
      </c>
      <c r="M171" s="46" t="str">
        <f>_xlfn.IFNA(IF(VLOOKUP($D171,Organización_Modular!$F$10:$G$195,2,FALSE)=M$23,Itinerario!W171," ")," ")</f>
        <v xml:space="preserve"> </v>
      </c>
      <c r="N171" s="46" t="str">
        <f>_xlfn.IFNA(IF(VLOOKUP($D171,Organización_Modular!$F$10:$G$195,2,FALSE)=N$23,Itinerario!T171," ")," ")</f>
        <v xml:space="preserve"> </v>
      </c>
      <c r="O171" s="46" t="str">
        <f>_xlfn.IFNA(IF(VLOOKUP($D171,Organización_Modular!$F$10:$G$195,2,FALSE)=O$23,Itinerario!W171," ")," ")</f>
        <v xml:space="preserve"> </v>
      </c>
      <c r="P171" s="46" t="str">
        <f>_xlfn.IFNA(IF(VLOOKUP($D171,Organización_Modular!$F$10:$G$195,2,FALSE)=P$23,Itinerario!T171," ")," ")</f>
        <v xml:space="preserve"> </v>
      </c>
      <c r="Q171" s="46" t="str">
        <f>_xlfn.IFNA(IF(VLOOKUP($D171,Organización_Modular!$F$10:$G$195,2,FALSE)=Q$23,Itinerario!W171," ")," ")</f>
        <v xml:space="preserve"> </v>
      </c>
      <c r="R171" s="46">
        <f>Organización_Modular!H157</f>
        <v>0</v>
      </c>
      <c r="S171" s="46">
        <f>Organización_Modular!I157</f>
        <v>0</v>
      </c>
      <c r="T171" s="90">
        <f t="shared" si="14"/>
        <v>0</v>
      </c>
      <c r="U171" s="46">
        <f t="shared" si="15"/>
        <v>0</v>
      </c>
      <c r="V171" s="46">
        <f t="shared" si="16"/>
        <v>0</v>
      </c>
      <c r="W171" s="90">
        <f t="shared" si="17"/>
        <v>0</v>
      </c>
      <c r="X171" s="95">
        <f t="shared" si="18"/>
        <v>0</v>
      </c>
    </row>
    <row r="172" spans="1:24" ht="18" hidden="1" customHeight="1" x14ac:dyDescent="0.2">
      <c r="A172" s="407"/>
      <c r="B172" s="314"/>
      <c r="C172" s="410"/>
      <c r="D172" s="409">
        <f>Organización_Modular!F158</f>
        <v>0</v>
      </c>
      <c r="E172" s="409"/>
      <c r="F172" s="46" t="str">
        <f>_xlfn.IFNA(IF(VLOOKUP($D172,Organización_Modular!$F$10:$G$195,2,FALSE)=F$23,Itinerario!T172," ")," ")</f>
        <v xml:space="preserve"> </v>
      </c>
      <c r="G172" s="46" t="str">
        <f>_xlfn.IFNA(IF(VLOOKUP($D172,Organización_Modular!$F$10:$G$195,2,FALSE)=G$23,Itinerario!W172," ")," ")</f>
        <v xml:space="preserve"> </v>
      </c>
      <c r="H172" s="46" t="str">
        <f>_xlfn.IFNA(IF(VLOOKUP($D172,Organización_Modular!$F$10:$G$195,2,FALSE)=H$23,Itinerario!T172," ")," ")</f>
        <v xml:space="preserve"> </v>
      </c>
      <c r="I172" s="46" t="str">
        <f>_xlfn.IFNA(IF(VLOOKUP($D172,Organización_Modular!$F$10:$G$195,2,FALSE)=I$23,Itinerario!W172," ")," ")</f>
        <v xml:space="preserve"> </v>
      </c>
      <c r="J172" s="46" t="str">
        <f>_xlfn.IFNA(IF(VLOOKUP($D172,Organización_Modular!$F$10:$G$195,2,FALSE)=J$23,Itinerario!T172," ")," ")</f>
        <v xml:space="preserve"> </v>
      </c>
      <c r="K172" s="46" t="str">
        <f>_xlfn.IFNA(IF(VLOOKUP($D172,Organización_Modular!$F$10:$G$195,2,FALSE)=K$23,Itinerario!W172," ")," ")</f>
        <v xml:space="preserve"> </v>
      </c>
      <c r="L172" s="46" t="str">
        <f>_xlfn.IFNA(IF(VLOOKUP($D172,Organización_Modular!$F$10:$G$195,2,FALSE)=L$23,Itinerario!T172," ")," ")</f>
        <v xml:space="preserve"> </v>
      </c>
      <c r="M172" s="46" t="str">
        <f>_xlfn.IFNA(IF(VLOOKUP($D172,Organización_Modular!$F$10:$G$195,2,FALSE)=M$23,Itinerario!W172," ")," ")</f>
        <v xml:space="preserve"> </v>
      </c>
      <c r="N172" s="46" t="str">
        <f>_xlfn.IFNA(IF(VLOOKUP($D172,Organización_Modular!$F$10:$G$195,2,FALSE)=N$23,Itinerario!T172," ")," ")</f>
        <v xml:space="preserve"> </v>
      </c>
      <c r="O172" s="46" t="str">
        <f>_xlfn.IFNA(IF(VLOOKUP($D172,Organización_Modular!$F$10:$G$195,2,FALSE)=O$23,Itinerario!W172," ")," ")</f>
        <v xml:space="preserve"> </v>
      </c>
      <c r="P172" s="46" t="str">
        <f>_xlfn.IFNA(IF(VLOOKUP($D172,Organización_Modular!$F$10:$G$195,2,FALSE)=P$23,Itinerario!T172," ")," ")</f>
        <v xml:space="preserve"> </v>
      </c>
      <c r="Q172" s="46" t="str">
        <f>_xlfn.IFNA(IF(VLOOKUP($D172,Organización_Modular!$F$10:$G$195,2,FALSE)=Q$23,Itinerario!W172," ")," ")</f>
        <v xml:space="preserve"> </v>
      </c>
      <c r="R172" s="46">
        <f>Organización_Modular!H158</f>
        <v>0</v>
      </c>
      <c r="S172" s="46">
        <f>Organización_Modular!I158</f>
        <v>0</v>
      </c>
      <c r="T172" s="90">
        <f t="shared" si="14"/>
        <v>0</v>
      </c>
      <c r="U172" s="46">
        <f t="shared" si="15"/>
        <v>0</v>
      </c>
      <c r="V172" s="46">
        <f t="shared" si="16"/>
        <v>0</v>
      </c>
      <c r="W172" s="90">
        <f t="shared" si="17"/>
        <v>0</v>
      </c>
      <c r="X172" s="95">
        <f t="shared" si="18"/>
        <v>0</v>
      </c>
    </row>
    <row r="173" spans="1:24" ht="18" hidden="1" customHeight="1" x14ac:dyDescent="0.2">
      <c r="A173" s="407"/>
      <c r="B173" s="314"/>
      <c r="C173" s="410"/>
      <c r="D173" s="409">
        <f>Organización_Modular!F159</f>
        <v>0</v>
      </c>
      <c r="E173" s="409"/>
      <c r="F173" s="46" t="str">
        <f>_xlfn.IFNA(IF(VLOOKUP($D173,Organización_Modular!$F$10:$G$195,2,FALSE)=F$23,Itinerario!T173," ")," ")</f>
        <v xml:space="preserve"> </v>
      </c>
      <c r="G173" s="46" t="str">
        <f>_xlfn.IFNA(IF(VLOOKUP($D173,Organización_Modular!$F$10:$G$195,2,FALSE)=G$23,Itinerario!W173," ")," ")</f>
        <v xml:space="preserve"> </v>
      </c>
      <c r="H173" s="46" t="str">
        <f>_xlfn.IFNA(IF(VLOOKUP($D173,Organización_Modular!$F$10:$G$195,2,FALSE)=H$23,Itinerario!T173," ")," ")</f>
        <v xml:space="preserve"> </v>
      </c>
      <c r="I173" s="46" t="str">
        <f>_xlfn.IFNA(IF(VLOOKUP($D173,Organización_Modular!$F$10:$G$195,2,FALSE)=I$23,Itinerario!W173," ")," ")</f>
        <v xml:space="preserve"> </v>
      </c>
      <c r="J173" s="46" t="str">
        <f>_xlfn.IFNA(IF(VLOOKUP($D173,Organización_Modular!$F$10:$G$195,2,FALSE)=J$23,Itinerario!T173," ")," ")</f>
        <v xml:space="preserve"> </v>
      </c>
      <c r="K173" s="46" t="str">
        <f>_xlfn.IFNA(IF(VLOOKUP($D173,Organización_Modular!$F$10:$G$195,2,FALSE)=K$23,Itinerario!W173," ")," ")</f>
        <v xml:space="preserve"> </v>
      </c>
      <c r="L173" s="46" t="str">
        <f>_xlfn.IFNA(IF(VLOOKUP($D173,Organización_Modular!$F$10:$G$195,2,FALSE)=L$23,Itinerario!T173," ")," ")</f>
        <v xml:space="preserve"> </v>
      </c>
      <c r="M173" s="46" t="str">
        <f>_xlfn.IFNA(IF(VLOOKUP($D173,Organización_Modular!$F$10:$G$195,2,FALSE)=M$23,Itinerario!W173," ")," ")</f>
        <v xml:space="preserve"> </v>
      </c>
      <c r="N173" s="46" t="str">
        <f>_xlfn.IFNA(IF(VLOOKUP($D173,Organización_Modular!$F$10:$G$195,2,FALSE)=N$23,Itinerario!T173," ")," ")</f>
        <v xml:space="preserve"> </v>
      </c>
      <c r="O173" s="46" t="str">
        <f>_xlfn.IFNA(IF(VLOOKUP($D173,Organización_Modular!$F$10:$G$195,2,FALSE)=O$23,Itinerario!W173," ")," ")</f>
        <v xml:space="preserve"> </v>
      </c>
      <c r="P173" s="46" t="str">
        <f>_xlfn.IFNA(IF(VLOOKUP($D173,Organización_Modular!$F$10:$G$195,2,FALSE)=P$23,Itinerario!T173," ")," ")</f>
        <v xml:space="preserve"> </v>
      </c>
      <c r="Q173" s="46" t="str">
        <f>_xlfn.IFNA(IF(VLOOKUP($D173,Organización_Modular!$F$10:$G$195,2,FALSE)=Q$23,Itinerario!W173," ")," ")</f>
        <v xml:space="preserve"> </v>
      </c>
      <c r="R173" s="46">
        <f>Organización_Modular!H159</f>
        <v>0</v>
      </c>
      <c r="S173" s="46">
        <f>Organización_Modular!I159</f>
        <v>0</v>
      </c>
      <c r="T173" s="90">
        <f t="shared" si="14"/>
        <v>0</v>
      </c>
      <c r="U173" s="46">
        <f t="shared" si="15"/>
        <v>0</v>
      </c>
      <c r="V173" s="46">
        <f t="shared" si="16"/>
        <v>0</v>
      </c>
      <c r="W173" s="90">
        <f t="shared" si="17"/>
        <v>0</v>
      </c>
      <c r="X173" s="95">
        <f t="shared" si="18"/>
        <v>0</v>
      </c>
    </row>
    <row r="174" spans="1:24" ht="18" hidden="1" customHeight="1" x14ac:dyDescent="0.2">
      <c r="A174" s="407"/>
      <c r="B174" s="314"/>
      <c r="C174" s="410"/>
      <c r="D174" s="409">
        <f>Organización_Modular!F160</f>
        <v>0</v>
      </c>
      <c r="E174" s="409"/>
      <c r="F174" s="46" t="str">
        <f>_xlfn.IFNA(IF(VLOOKUP($D174,Organización_Modular!$F$10:$G$195,2,FALSE)=F$23,Itinerario!T174," ")," ")</f>
        <v xml:space="preserve"> </v>
      </c>
      <c r="G174" s="46" t="str">
        <f>_xlfn.IFNA(IF(VLOOKUP($D174,Organización_Modular!$F$10:$G$195,2,FALSE)=G$23,Itinerario!W174," ")," ")</f>
        <v xml:space="preserve"> </v>
      </c>
      <c r="H174" s="46" t="str">
        <f>_xlfn.IFNA(IF(VLOOKUP($D174,Organización_Modular!$F$10:$G$195,2,FALSE)=H$23,Itinerario!T174," ")," ")</f>
        <v xml:space="preserve"> </v>
      </c>
      <c r="I174" s="46" t="str">
        <f>_xlfn.IFNA(IF(VLOOKUP($D174,Organización_Modular!$F$10:$G$195,2,FALSE)=I$23,Itinerario!W174," ")," ")</f>
        <v xml:space="preserve"> </v>
      </c>
      <c r="J174" s="46" t="str">
        <f>_xlfn.IFNA(IF(VLOOKUP($D174,Organización_Modular!$F$10:$G$195,2,FALSE)=J$23,Itinerario!T174," ")," ")</f>
        <v xml:space="preserve"> </v>
      </c>
      <c r="K174" s="46" t="str">
        <f>_xlfn.IFNA(IF(VLOOKUP($D174,Organización_Modular!$F$10:$G$195,2,FALSE)=K$23,Itinerario!W174," ")," ")</f>
        <v xml:space="preserve"> </v>
      </c>
      <c r="L174" s="46" t="str">
        <f>_xlfn.IFNA(IF(VLOOKUP($D174,Organización_Modular!$F$10:$G$195,2,FALSE)=L$23,Itinerario!T174," ")," ")</f>
        <v xml:space="preserve"> </v>
      </c>
      <c r="M174" s="46" t="str">
        <f>_xlfn.IFNA(IF(VLOOKUP($D174,Organización_Modular!$F$10:$G$195,2,FALSE)=M$23,Itinerario!W174," ")," ")</f>
        <v xml:space="preserve"> </v>
      </c>
      <c r="N174" s="46" t="str">
        <f>_xlfn.IFNA(IF(VLOOKUP($D174,Organización_Modular!$F$10:$G$195,2,FALSE)=N$23,Itinerario!T174," ")," ")</f>
        <v xml:space="preserve"> </v>
      </c>
      <c r="O174" s="46" t="str">
        <f>_xlfn.IFNA(IF(VLOOKUP($D174,Organización_Modular!$F$10:$G$195,2,FALSE)=O$23,Itinerario!W174," ")," ")</f>
        <v xml:space="preserve"> </v>
      </c>
      <c r="P174" s="46" t="str">
        <f>_xlfn.IFNA(IF(VLOOKUP($D174,Organización_Modular!$F$10:$G$195,2,FALSE)=P$23,Itinerario!T174," ")," ")</f>
        <v xml:space="preserve"> </v>
      </c>
      <c r="Q174" s="46" t="str">
        <f>_xlfn.IFNA(IF(VLOOKUP($D174,Organización_Modular!$F$10:$G$195,2,FALSE)=Q$23,Itinerario!W174," ")," ")</f>
        <v xml:space="preserve"> </v>
      </c>
      <c r="R174" s="46">
        <f>Organización_Modular!H160</f>
        <v>0</v>
      </c>
      <c r="S174" s="46">
        <f>Organización_Modular!I160</f>
        <v>0</v>
      </c>
      <c r="T174" s="90">
        <f t="shared" si="14"/>
        <v>0</v>
      </c>
      <c r="U174" s="46">
        <f t="shared" si="15"/>
        <v>0</v>
      </c>
      <c r="V174" s="46">
        <f t="shared" si="16"/>
        <v>0</v>
      </c>
      <c r="W174" s="90">
        <f t="shared" si="17"/>
        <v>0</v>
      </c>
      <c r="X174" s="95">
        <f t="shared" si="18"/>
        <v>0</v>
      </c>
    </row>
    <row r="175" spans="1:24" ht="18" hidden="1" customHeight="1" x14ac:dyDescent="0.2">
      <c r="A175" s="407"/>
      <c r="B175" s="314"/>
      <c r="C175" s="410"/>
      <c r="D175" s="409">
        <f>Organización_Modular!F161</f>
        <v>0</v>
      </c>
      <c r="E175" s="409"/>
      <c r="F175" s="46" t="str">
        <f>_xlfn.IFNA(IF(VLOOKUP($D175,Organización_Modular!$F$10:$G$195,2,FALSE)=F$23,Itinerario!T175," ")," ")</f>
        <v xml:space="preserve"> </v>
      </c>
      <c r="G175" s="46" t="str">
        <f>_xlfn.IFNA(IF(VLOOKUP($D175,Organización_Modular!$F$10:$G$195,2,FALSE)=G$23,Itinerario!W175," ")," ")</f>
        <v xml:space="preserve"> </v>
      </c>
      <c r="H175" s="46" t="str">
        <f>_xlfn.IFNA(IF(VLOOKUP($D175,Organización_Modular!$F$10:$G$195,2,FALSE)=H$23,Itinerario!T175," ")," ")</f>
        <v xml:space="preserve"> </v>
      </c>
      <c r="I175" s="46" t="str">
        <f>_xlfn.IFNA(IF(VLOOKUP($D175,Organización_Modular!$F$10:$G$195,2,FALSE)=I$23,Itinerario!W175," ")," ")</f>
        <v xml:space="preserve"> </v>
      </c>
      <c r="J175" s="46" t="str">
        <f>_xlfn.IFNA(IF(VLOOKUP($D175,Organización_Modular!$F$10:$G$195,2,FALSE)=J$23,Itinerario!T175," ")," ")</f>
        <v xml:space="preserve"> </v>
      </c>
      <c r="K175" s="46" t="str">
        <f>_xlfn.IFNA(IF(VLOOKUP($D175,Organización_Modular!$F$10:$G$195,2,FALSE)=K$23,Itinerario!W175," ")," ")</f>
        <v xml:space="preserve"> </v>
      </c>
      <c r="L175" s="46" t="str">
        <f>_xlfn.IFNA(IF(VLOOKUP($D175,Organización_Modular!$F$10:$G$195,2,FALSE)=L$23,Itinerario!T175," ")," ")</f>
        <v xml:space="preserve"> </v>
      </c>
      <c r="M175" s="46" t="str">
        <f>_xlfn.IFNA(IF(VLOOKUP($D175,Organización_Modular!$F$10:$G$195,2,FALSE)=M$23,Itinerario!W175," ")," ")</f>
        <v xml:space="preserve"> </v>
      </c>
      <c r="N175" s="46" t="str">
        <f>_xlfn.IFNA(IF(VLOOKUP($D175,Organización_Modular!$F$10:$G$195,2,FALSE)=N$23,Itinerario!T175," ")," ")</f>
        <v xml:space="preserve"> </v>
      </c>
      <c r="O175" s="46" t="str">
        <f>_xlfn.IFNA(IF(VLOOKUP($D175,Organización_Modular!$F$10:$G$195,2,FALSE)=O$23,Itinerario!W175," ")," ")</f>
        <v xml:space="preserve"> </v>
      </c>
      <c r="P175" s="46" t="str">
        <f>_xlfn.IFNA(IF(VLOOKUP($D175,Organización_Modular!$F$10:$G$195,2,FALSE)=P$23,Itinerario!T175," ")," ")</f>
        <v xml:space="preserve"> </v>
      </c>
      <c r="Q175" s="46" t="str">
        <f>_xlfn.IFNA(IF(VLOOKUP($D175,Organización_Modular!$F$10:$G$195,2,FALSE)=Q$23,Itinerario!W175," ")," ")</f>
        <v xml:space="preserve"> </v>
      </c>
      <c r="R175" s="46">
        <f>Organización_Modular!H161</f>
        <v>0</v>
      </c>
      <c r="S175" s="46">
        <f>Organización_Modular!I161</f>
        <v>0</v>
      </c>
      <c r="T175" s="90">
        <f t="shared" si="14"/>
        <v>0</v>
      </c>
      <c r="U175" s="46">
        <f t="shared" si="15"/>
        <v>0</v>
      </c>
      <c r="V175" s="46">
        <f t="shared" si="16"/>
        <v>0</v>
      </c>
      <c r="W175" s="90">
        <f t="shared" si="17"/>
        <v>0</v>
      </c>
      <c r="X175" s="95">
        <f t="shared" si="18"/>
        <v>0</v>
      </c>
    </row>
    <row r="176" spans="1:24" ht="18" hidden="1" customHeight="1" x14ac:dyDescent="0.2">
      <c r="A176" s="407"/>
      <c r="B176" s="314"/>
      <c r="C176" s="410"/>
      <c r="D176" s="409">
        <f>Organización_Modular!F162</f>
        <v>0</v>
      </c>
      <c r="E176" s="409"/>
      <c r="F176" s="46" t="str">
        <f>_xlfn.IFNA(IF(VLOOKUP($D176,Organización_Modular!$F$10:$G$195,2,FALSE)=F$23,Itinerario!T176," ")," ")</f>
        <v xml:space="preserve"> </v>
      </c>
      <c r="G176" s="46" t="str">
        <f>_xlfn.IFNA(IF(VLOOKUP($D176,Organización_Modular!$F$10:$G$195,2,FALSE)=G$23,Itinerario!W176," ")," ")</f>
        <v xml:space="preserve"> </v>
      </c>
      <c r="H176" s="46" t="str">
        <f>_xlfn.IFNA(IF(VLOOKUP($D176,Organización_Modular!$F$10:$G$195,2,FALSE)=H$23,Itinerario!T176," ")," ")</f>
        <v xml:space="preserve"> </v>
      </c>
      <c r="I176" s="46" t="str">
        <f>_xlfn.IFNA(IF(VLOOKUP($D176,Organización_Modular!$F$10:$G$195,2,FALSE)=I$23,Itinerario!W176," ")," ")</f>
        <v xml:space="preserve"> </v>
      </c>
      <c r="J176" s="46" t="str">
        <f>_xlfn.IFNA(IF(VLOOKUP($D176,Organización_Modular!$F$10:$G$195,2,FALSE)=J$23,Itinerario!T176," ")," ")</f>
        <v xml:space="preserve"> </v>
      </c>
      <c r="K176" s="46" t="str">
        <f>_xlfn.IFNA(IF(VLOOKUP($D176,Organización_Modular!$F$10:$G$195,2,FALSE)=K$23,Itinerario!W176," ")," ")</f>
        <v xml:space="preserve"> </v>
      </c>
      <c r="L176" s="46" t="str">
        <f>_xlfn.IFNA(IF(VLOOKUP($D176,Organización_Modular!$F$10:$G$195,2,FALSE)=L$23,Itinerario!T176," ")," ")</f>
        <v xml:space="preserve"> </v>
      </c>
      <c r="M176" s="46" t="str">
        <f>_xlfn.IFNA(IF(VLOOKUP($D176,Organización_Modular!$F$10:$G$195,2,FALSE)=M$23,Itinerario!W176," ")," ")</f>
        <v xml:space="preserve"> </v>
      </c>
      <c r="N176" s="46" t="str">
        <f>_xlfn.IFNA(IF(VLOOKUP($D176,Organización_Modular!$F$10:$G$195,2,FALSE)=N$23,Itinerario!T176," ")," ")</f>
        <v xml:space="preserve"> </v>
      </c>
      <c r="O176" s="46" t="str">
        <f>_xlfn.IFNA(IF(VLOOKUP($D176,Organización_Modular!$F$10:$G$195,2,FALSE)=O$23,Itinerario!W176," ")," ")</f>
        <v xml:space="preserve"> </v>
      </c>
      <c r="P176" s="46" t="str">
        <f>_xlfn.IFNA(IF(VLOOKUP($D176,Organización_Modular!$F$10:$G$195,2,FALSE)=P$23,Itinerario!T176," ")," ")</f>
        <v xml:space="preserve"> </v>
      </c>
      <c r="Q176" s="46" t="str">
        <f>_xlfn.IFNA(IF(VLOOKUP($D176,Organización_Modular!$F$10:$G$195,2,FALSE)=Q$23,Itinerario!W176," ")," ")</f>
        <v xml:space="preserve"> </v>
      </c>
      <c r="R176" s="46">
        <f>Organización_Modular!H162</f>
        <v>0</v>
      </c>
      <c r="S176" s="46">
        <f>Organización_Modular!I162</f>
        <v>0</v>
      </c>
      <c r="T176" s="90">
        <f t="shared" si="14"/>
        <v>0</v>
      </c>
      <c r="U176" s="46">
        <f t="shared" si="15"/>
        <v>0</v>
      </c>
      <c r="V176" s="46">
        <f t="shared" si="16"/>
        <v>0</v>
      </c>
      <c r="W176" s="90">
        <f t="shared" si="17"/>
        <v>0</v>
      </c>
      <c r="X176" s="95">
        <f t="shared" si="18"/>
        <v>0</v>
      </c>
    </row>
    <row r="177" spans="1:24" ht="18" hidden="1" customHeight="1" x14ac:dyDescent="0.2">
      <c r="A177" s="407"/>
      <c r="B177" s="314"/>
      <c r="C177" s="410"/>
      <c r="D177" s="409">
        <f>Organización_Modular!F163</f>
        <v>0</v>
      </c>
      <c r="E177" s="409"/>
      <c r="F177" s="46" t="str">
        <f>_xlfn.IFNA(IF(VLOOKUP($D177,Organización_Modular!$F$10:$G$195,2,FALSE)=F$23,Itinerario!T177," ")," ")</f>
        <v xml:space="preserve"> </v>
      </c>
      <c r="G177" s="46" t="str">
        <f>_xlfn.IFNA(IF(VLOOKUP($D177,Organización_Modular!$F$10:$G$195,2,FALSE)=G$23,Itinerario!W177," ")," ")</f>
        <v xml:space="preserve"> </v>
      </c>
      <c r="H177" s="46" t="str">
        <f>_xlfn.IFNA(IF(VLOOKUP($D177,Organización_Modular!$F$10:$G$195,2,FALSE)=H$23,Itinerario!T177," ")," ")</f>
        <v xml:space="preserve"> </v>
      </c>
      <c r="I177" s="46" t="str">
        <f>_xlfn.IFNA(IF(VLOOKUP($D177,Organización_Modular!$F$10:$G$195,2,FALSE)=I$23,Itinerario!W177," ")," ")</f>
        <v xml:space="preserve"> </v>
      </c>
      <c r="J177" s="46" t="str">
        <f>_xlfn.IFNA(IF(VLOOKUP($D177,Organización_Modular!$F$10:$G$195,2,FALSE)=J$23,Itinerario!T177," ")," ")</f>
        <v xml:space="preserve"> </v>
      </c>
      <c r="K177" s="46" t="str">
        <f>_xlfn.IFNA(IF(VLOOKUP($D177,Organización_Modular!$F$10:$G$195,2,FALSE)=K$23,Itinerario!W177," ")," ")</f>
        <v xml:space="preserve"> </v>
      </c>
      <c r="L177" s="46" t="str">
        <f>_xlfn.IFNA(IF(VLOOKUP($D177,Organización_Modular!$F$10:$G$195,2,FALSE)=L$23,Itinerario!T177," ")," ")</f>
        <v xml:space="preserve"> </v>
      </c>
      <c r="M177" s="46" t="str">
        <f>_xlfn.IFNA(IF(VLOOKUP($D177,Organización_Modular!$F$10:$G$195,2,FALSE)=M$23,Itinerario!W177," ")," ")</f>
        <v xml:space="preserve"> </v>
      </c>
      <c r="N177" s="46" t="str">
        <f>_xlfn.IFNA(IF(VLOOKUP($D177,Organización_Modular!$F$10:$G$195,2,FALSE)=N$23,Itinerario!T177," ")," ")</f>
        <v xml:space="preserve"> </v>
      </c>
      <c r="O177" s="46" t="str">
        <f>_xlfn.IFNA(IF(VLOOKUP($D177,Organización_Modular!$F$10:$G$195,2,FALSE)=O$23,Itinerario!W177," ")," ")</f>
        <v xml:space="preserve"> </v>
      </c>
      <c r="P177" s="46" t="str">
        <f>_xlfn.IFNA(IF(VLOOKUP($D177,Organización_Modular!$F$10:$G$195,2,FALSE)=P$23,Itinerario!T177," ")," ")</f>
        <v xml:space="preserve"> </v>
      </c>
      <c r="Q177" s="46" t="str">
        <f>_xlfn.IFNA(IF(VLOOKUP($D177,Organización_Modular!$F$10:$G$195,2,FALSE)=Q$23,Itinerario!W177," ")," ")</f>
        <v xml:space="preserve"> </v>
      </c>
      <c r="R177" s="46">
        <f>Organización_Modular!H163</f>
        <v>0</v>
      </c>
      <c r="S177" s="46">
        <f>Organización_Modular!I163</f>
        <v>0</v>
      </c>
      <c r="T177" s="90">
        <f t="shared" si="14"/>
        <v>0</v>
      </c>
      <c r="U177" s="46">
        <f t="shared" si="15"/>
        <v>0</v>
      </c>
      <c r="V177" s="46">
        <f t="shared" si="16"/>
        <v>0</v>
      </c>
      <c r="W177" s="90">
        <f t="shared" si="17"/>
        <v>0</v>
      </c>
      <c r="X177" s="95">
        <f t="shared" si="18"/>
        <v>0</v>
      </c>
    </row>
    <row r="178" spans="1:24" ht="28.5" hidden="1" customHeight="1" x14ac:dyDescent="0.2">
      <c r="A178" s="407"/>
      <c r="B178" s="429" t="str">
        <f>B54</f>
        <v>Experiencias formativas en situaciones reales de trabajo (ESRT)</v>
      </c>
      <c r="C178" s="430"/>
      <c r="D178" s="430"/>
      <c r="E178" s="430"/>
      <c r="F178" s="176"/>
      <c r="G178" s="176"/>
      <c r="H178" s="176"/>
      <c r="I178" s="176"/>
      <c r="J178" s="176"/>
      <c r="K178" s="176"/>
      <c r="L178" s="176"/>
      <c r="M178" s="176"/>
      <c r="N178" s="176"/>
      <c r="O178" s="176"/>
      <c r="P178" s="176"/>
      <c r="Q178" s="176"/>
      <c r="R178" s="179">
        <f>Organización_Modular!H164</f>
        <v>0</v>
      </c>
      <c r="S178" s="177">
        <f>Organización_Modular!I164</f>
        <v>0</v>
      </c>
      <c r="T178" s="178">
        <f t="shared" si="14"/>
        <v>0</v>
      </c>
      <c r="U178" s="177">
        <f t="shared" si="15"/>
        <v>0</v>
      </c>
      <c r="V178" s="177">
        <f t="shared" si="16"/>
        <v>0</v>
      </c>
      <c r="W178" s="178">
        <f t="shared" si="17"/>
        <v>0</v>
      </c>
      <c r="X178" s="95">
        <f t="shared" si="18"/>
        <v>0</v>
      </c>
    </row>
    <row r="179" spans="1:24" ht="18" hidden="1" customHeight="1" x14ac:dyDescent="0.2">
      <c r="A179" s="407">
        <f>Organización_Modular!A165</f>
        <v>0</v>
      </c>
      <c r="B179" s="313" t="str">
        <f>B24</f>
        <v>Competencias técnicas (Unidad de competencia)</v>
      </c>
      <c r="C179" s="410">
        <f>Organización_Modular!C165</f>
        <v>0</v>
      </c>
      <c r="D179" s="409">
        <f>Organización_Modular!F165</f>
        <v>0</v>
      </c>
      <c r="E179" s="409"/>
      <c r="F179" s="46" t="str">
        <f>_xlfn.IFNA(IF(VLOOKUP($D179,Organización_Modular!$F$10:$G$195,2,FALSE)=F$23,Itinerario!T179," ")," ")</f>
        <v xml:space="preserve"> </v>
      </c>
      <c r="G179" s="46" t="str">
        <f>_xlfn.IFNA(IF(VLOOKUP($D179,Organización_Modular!$F$10:$G$195,2,FALSE)=G$23,Itinerario!W179," ")," ")</f>
        <v xml:space="preserve"> </v>
      </c>
      <c r="H179" s="46" t="str">
        <f>_xlfn.IFNA(IF(VLOOKUP($D179,Organización_Modular!$F$10:$G$195,2,FALSE)=H$23,Itinerario!T179," ")," ")</f>
        <v xml:space="preserve"> </v>
      </c>
      <c r="I179" s="46" t="str">
        <f>_xlfn.IFNA(IF(VLOOKUP($D179,Organización_Modular!$F$10:$G$195,2,FALSE)=I$23,Itinerario!W179," ")," ")</f>
        <v xml:space="preserve"> </v>
      </c>
      <c r="J179" s="46" t="str">
        <f>_xlfn.IFNA(IF(VLOOKUP($D179,Organización_Modular!$F$10:$G$195,2,FALSE)=J$23,Itinerario!T179," ")," ")</f>
        <v xml:space="preserve"> </v>
      </c>
      <c r="K179" s="46" t="str">
        <f>_xlfn.IFNA(IF(VLOOKUP($D179,Organización_Modular!$F$10:$G$195,2,FALSE)=K$23,Itinerario!W179," ")," ")</f>
        <v xml:space="preserve"> </v>
      </c>
      <c r="L179" s="46" t="str">
        <f>_xlfn.IFNA(IF(VLOOKUP($D179,Organización_Modular!$F$10:$G$195,2,FALSE)=L$23,Itinerario!T179," ")," ")</f>
        <v xml:space="preserve"> </v>
      </c>
      <c r="M179" s="46" t="str">
        <f>_xlfn.IFNA(IF(VLOOKUP($D179,Organización_Modular!$F$10:$G$195,2,FALSE)=M$23,Itinerario!W179," ")," ")</f>
        <v xml:space="preserve"> </v>
      </c>
      <c r="N179" s="46" t="str">
        <f>_xlfn.IFNA(IF(VLOOKUP($D179,Organización_Modular!$F$10:$G$195,2,FALSE)=N$23,Itinerario!T179," ")," ")</f>
        <v xml:space="preserve"> </v>
      </c>
      <c r="O179" s="46" t="str">
        <f>_xlfn.IFNA(IF(VLOOKUP($D179,Organización_Modular!$F$10:$G$195,2,FALSE)=O$23,Itinerario!W179," ")," ")</f>
        <v xml:space="preserve"> </v>
      </c>
      <c r="P179" s="46" t="str">
        <f>_xlfn.IFNA(IF(VLOOKUP($D179,Organización_Modular!$F$10:$G$195,2,FALSE)=P$23,Itinerario!T179," ")," ")</f>
        <v xml:space="preserve"> </v>
      </c>
      <c r="Q179" s="46" t="str">
        <f>_xlfn.IFNA(IF(VLOOKUP($D179,Organización_Modular!$F$10:$G$195,2,FALSE)=Q$23,Itinerario!W179," ")," ")</f>
        <v xml:space="preserve"> </v>
      </c>
      <c r="R179" s="46">
        <f>Organización_Modular!H165</f>
        <v>0</v>
      </c>
      <c r="S179" s="46">
        <f>Organización_Modular!I165</f>
        <v>0</v>
      </c>
      <c r="T179" s="90">
        <f>SUM(R179:S179)</f>
        <v>0</v>
      </c>
      <c r="U179" s="46">
        <f t="shared" si="15"/>
        <v>0</v>
      </c>
      <c r="V179" s="46">
        <f t="shared" si="16"/>
        <v>0</v>
      </c>
      <c r="W179" s="90">
        <f t="shared" ref="W179:W183" si="19">SUM(U179:V179)</f>
        <v>0</v>
      </c>
      <c r="X179" s="95">
        <f t="shared" si="18"/>
        <v>0</v>
      </c>
    </row>
    <row r="180" spans="1:24" ht="18" hidden="1" customHeight="1" x14ac:dyDescent="0.2">
      <c r="A180" s="407"/>
      <c r="B180" s="313"/>
      <c r="C180" s="410"/>
      <c r="D180" s="409">
        <f>Organización_Modular!F166</f>
        <v>0</v>
      </c>
      <c r="E180" s="409"/>
      <c r="F180" s="46" t="str">
        <f>_xlfn.IFNA(IF(VLOOKUP($D180,Organización_Modular!$F$10:$G$195,2,FALSE)=F$23,Itinerario!T180," ")," ")</f>
        <v xml:space="preserve"> </v>
      </c>
      <c r="G180" s="46" t="str">
        <f>_xlfn.IFNA(IF(VLOOKUP($D180,Organización_Modular!$F$10:$G$195,2,FALSE)=G$23,Itinerario!W180," ")," ")</f>
        <v xml:space="preserve"> </v>
      </c>
      <c r="H180" s="46" t="str">
        <f>_xlfn.IFNA(IF(VLOOKUP($D180,Organización_Modular!$F$10:$G$195,2,FALSE)=H$23,Itinerario!T180," ")," ")</f>
        <v xml:space="preserve"> </v>
      </c>
      <c r="I180" s="46" t="str">
        <f>_xlfn.IFNA(IF(VLOOKUP($D180,Organización_Modular!$F$10:$G$195,2,FALSE)=I$23,Itinerario!W180," ")," ")</f>
        <v xml:space="preserve"> </v>
      </c>
      <c r="J180" s="46" t="str">
        <f>_xlfn.IFNA(IF(VLOOKUP($D180,Organización_Modular!$F$10:$G$195,2,FALSE)=J$23,Itinerario!T180," ")," ")</f>
        <v xml:space="preserve"> </v>
      </c>
      <c r="K180" s="46" t="str">
        <f>_xlfn.IFNA(IF(VLOOKUP($D180,Organización_Modular!$F$10:$G$195,2,FALSE)=K$23,Itinerario!W180," ")," ")</f>
        <v xml:space="preserve"> </v>
      </c>
      <c r="L180" s="46" t="str">
        <f>_xlfn.IFNA(IF(VLOOKUP($D180,Organización_Modular!$F$10:$G$195,2,FALSE)=L$23,Itinerario!T180," ")," ")</f>
        <v xml:space="preserve"> </v>
      </c>
      <c r="M180" s="46" t="str">
        <f>_xlfn.IFNA(IF(VLOOKUP($D180,Organización_Modular!$F$10:$G$195,2,FALSE)=M$23,Itinerario!W180," ")," ")</f>
        <v xml:space="preserve"> </v>
      </c>
      <c r="N180" s="46" t="str">
        <f>_xlfn.IFNA(IF(VLOOKUP($D180,Organización_Modular!$F$10:$G$195,2,FALSE)=N$23,Itinerario!T180," ")," ")</f>
        <v xml:space="preserve"> </v>
      </c>
      <c r="O180" s="46" t="str">
        <f>_xlfn.IFNA(IF(VLOOKUP($D180,Organización_Modular!$F$10:$G$195,2,FALSE)=O$23,Itinerario!W180," ")," ")</f>
        <v xml:space="preserve"> </v>
      </c>
      <c r="P180" s="46" t="str">
        <f>_xlfn.IFNA(IF(VLOOKUP($D180,Organización_Modular!$F$10:$G$195,2,FALSE)=P$23,Itinerario!T180," ")," ")</f>
        <v xml:space="preserve"> </v>
      </c>
      <c r="Q180" s="46" t="str">
        <f>_xlfn.IFNA(IF(VLOOKUP($D180,Organización_Modular!$F$10:$G$195,2,FALSE)=Q$23,Itinerario!W180," ")," ")</f>
        <v xml:space="preserve"> </v>
      </c>
      <c r="R180" s="46">
        <f>Organización_Modular!H166</f>
        <v>0</v>
      </c>
      <c r="S180" s="46">
        <f>Organización_Modular!I166</f>
        <v>0</v>
      </c>
      <c r="T180" s="90">
        <f t="shared" ref="T180:T209" si="20">SUM(R180:S180)</f>
        <v>0</v>
      </c>
      <c r="U180" s="46">
        <f t="shared" si="15"/>
        <v>0</v>
      </c>
      <c r="V180" s="46">
        <f t="shared" si="16"/>
        <v>0</v>
      </c>
      <c r="W180" s="90">
        <f t="shared" si="19"/>
        <v>0</v>
      </c>
      <c r="X180" s="95">
        <f t="shared" si="18"/>
        <v>0</v>
      </c>
    </row>
    <row r="181" spans="1:24" ht="18" hidden="1" customHeight="1" x14ac:dyDescent="0.2">
      <c r="A181" s="407"/>
      <c r="B181" s="313"/>
      <c r="C181" s="410"/>
      <c r="D181" s="409">
        <f>Organización_Modular!F167</f>
        <v>0</v>
      </c>
      <c r="E181" s="409"/>
      <c r="F181" s="46" t="str">
        <f>_xlfn.IFNA(IF(VLOOKUP($D181,Organización_Modular!$F$10:$G$195,2,FALSE)=F$23,Itinerario!T181," ")," ")</f>
        <v xml:space="preserve"> </v>
      </c>
      <c r="G181" s="46" t="str">
        <f>_xlfn.IFNA(IF(VLOOKUP($D181,Organización_Modular!$F$10:$G$195,2,FALSE)=G$23,Itinerario!W181," ")," ")</f>
        <v xml:space="preserve"> </v>
      </c>
      <c r="H181" s="46" t="str">
        <f>_xlfn.IFNA(IF(VLOOKUP($D181,Organización_Modular!$F$10:$G$195,2,FALSE)=H$23,Itinerario!T181," ")," ")</f>
        <v xml:space="preserve"> </v>
      </c>
      <c r="I181" s="46" t="str">
        <f>_xlfn.IFNA(IF(VLOOKUP($D181,Organización_Modular!$F$10:$G$195,2,FALSE)=I$23,Itinerario!W181," ")," ")</f>
        <v xml:space="preserve"> </v>
      </c>
      <c r="J181" s="46" t="str">
        <f>_xlfn.IFNA(IF(VLOOKUP($D181,Organización_Modular!$F$10:$G$195,2,FALSE)=J$23,Itinerario!T181," ")," ")</f>
        <v xml:space="preserve"> </v>
      </c>
      <c r="K181" s="46" t="str">
        <f>_xlfn.IFNA(IF(VLOOKUP($D181,Organización_Modular!$F$10:$G$195,2,FALSE)=K$23,Itinerario!W181," ")," ")</f>
        <v xml:space="preserve"> </v>
      </c>
      <c r="L181" s="46" t="str">
        <f>_xlfn.IFNA(IF(VLOOKUP($D181,Organización_Modular!$F$10:$G$195,2,FALSE)=L$23,Itinerario!T181," ")," ")</f>
        <v xml:space="preserve"> </v>
      </c>
      <c r="M181" s="46" t="str">
        <f>_xlfn.IFNA(IF(VLOOKUP($D181,Organización_Modular!$F$10:$G$195,2,FALSE)=M$23,Itinerario!W181," ")," ")</f>
        <v xml:space="preserve"> </v>
      </c>
      <c r="N181" s="46" t="str">
        <f>_xlfn.IFNA(IF(VLOOKUP($D181,Organización_Modular!$F$10:$G$195,2,FALSE)=N$23,Itinerario!T181," ")," ")</f>
        <v xml:space="preserve"> </v>
      </c>
      <c r="O181" s="46" t="str">
        <f>_xlfn.IFNA(IF(VLOOKUP($D181,Organización_Modular!$F$10:$G$195,2,FALSE)=O$23,Itinerario!W181," ")," ")</f>
        <v xml:space="preserve"> </v>
      </c>
      <c r="P181" s="46" t="str">
        <f>_xlfn.IFNA(IF(VLOOKUP($D181,Organización_Modular!$F$10:$G$195,2,FALSE)=P$23,Itinerario!T181," ")," ")</f>
        <v xml:space="preserve"> </v>
      </c>
      <c r="Q181" s="46" t="str">
        <f>_xlfn.IFNA(IF(VLOOKUP($D181,Organización_Modular!$F$10:$G$195,2,FALSE)=Q$23,Itinerario!W181," ")," ")</f>
        <v xml:space="preserve"> </v>
      </c>
      <c r="R181" s="46">
        <f>Organización_Modular!H167</f>
        <v>0</v>
      </c>
      <c r="S181" s="46">
        <f>Organización_Modular!I167</f>
        <v>0</v>
      </c>
      <c r="T181" s="90">
        <f t="shared" si="20"/>
        <v>0</v>
      </c>
      <c r="U181" s="46">
        <f t="shared" si="15"/>
        <v>0</v>
      </c>
      <c r="V181" s="46">
        <f t="shared" si="16"/>
        <v>0</v>
      </c>
      <c r="W181" s="90">
        <f t="shared" si="19"/>
        <v>0</v>
      </c>
      <c r="X181" s="95">
        <f t="shared" si="18"/>
        <v>0</v>
      </c>
    </row>
    <row r="182" spans="1:24" ht="18" hidden="1" customHeight="1" x14ac:dyDescent="0.2">
      <c r="A182" s="407"/>
      <c r="B182" s="313"/>
      <c r="C182" s="410"/>
      <c r="D182" s="409">
        <f>Organización_Modular!F168</f>
        <v>0</v>
      </c>
      <c r="E182" s="409"/>
      <c r="F182" s="46" t="str">
        <f>_xlfn.IFNA(IF(VLOOKUP($D182,Organización_Modular!$F$10:$G$195,2,FALSE)=F$23,Itinerario!T182," ")," ")</f>
        <v xml:space="preserve"> </v>
      </c>
      <c r="G182" s="46" t="str">
        <f>_xlfn.IFNA(IF(VLOOKUP($D182,Organización_Modular!$F$10:$G$195,2,FALSE)=G$23,Itinerario!W182," ")," ")</f>
        <v xml:space="preserve"> </v>
      </c>
      <c r="H182" s="46" t="str">
        <f>_xlfn.IFNA(IF(VLOOKUP($D182,Organización_Modular!$F$10:$G$195,2,FALSE)=H$23,Itinerario!T182," ")," ")</f>
        <v xml:space="preserve"> </v>
      </c>
      <c r="I182" s="46" t="str">
        <f>_xlfn.IFNA(IF(VLOOKUP($D182,Organización_Modular!$F$10:$G$195,2,FALSE)=I$23,Itinerario!W182," ")," ")</f>
        <v xml:space="preserve"> </v>
      </c>
      <c r="J182" s="46" t="str">
        <f>_xlfn.IFNA(IF(VLOOKUP($D182,Organización_Modular!$F$10:$G$195,2,FALSE)=J$23,Itinerario!T182," ")," ")</f>
        <v xml:space="preserve"> </v>
      </c>
      <c r="K182" s="46" t="str">
        <f>_xlfn.IFNA(IF(VLOOKUP($D182,Organización_Modular!$F$10:$G$195,2,FALSE)=K$23,Itinerario!W182," ")," ")</f>
        <v xml:space="preserve"> </v>
      </c>
      <c r="L182" s="46" t="str">
        <f>_xlfn.IFNA(IF(VLOOKUP($D182,Organización_Modular!$F$10:$G$195,2,FALSE)=L$23,Itinerario!T182," ")," ")</f>
        <v xml:space="preserve"> </v>
      </c>
      <c r="M182" s="46" t="str">
        <f>_xlfn.IFNA(IF(VLOOKUP($D182,Organización_Modular!$F$10:$G$195,2,FALSE)=M$23,Itinerario!W182," ")," ")</f>
        <v xml:space="preserve"> </v>
      </c>
      <c r="N182" s="46" t="str">
        <f>_xlfn.IFNA(IF(VLOOKUP($D182,Organización_Modular!$F$10:$G$195,2,FALSE)=N$23,Itinerario!T182," ")," ")</f>
        <v xml:space="preserve"> </v>
      </c>
      <c r="O182" s="46" t="str">
        <f>_xlfn.IFNA(IF(VLOOKUP($D182,Organización_Modular!$F$10:$G$195,2,FALSE)=O$23,Itinerario!W182," ")," ")</f>
        <v xml:space="preserve"> </v>
      </c>
      <c r="P182" s="46" t="str">
        <f>_xlfn.IFNA(IF(VLOOKUP($D182,Organización_Modular!$F$10:$G$195,2,FALSE)=P$23,Itinerario!T182," ")," ")</f>
        <v xml:space="preserve"> </v>
      </c>
      <c r="Q182" s="46" t="str">
        <f>_xlfn.IFNA(IF(VLOOKUP($D182,Organización_Modular!$F$10:$G$195,2,FALSE)=Q$23,Itinerario!W182," ")," ")</f>
        <v xml:space="preserve"> </v>
      </c>
      <c r="R182" s="46">
        <f>Organización_Modular!H168</f>
        <v>0</v>
      </c>
      <c r="S182" s="46">
        <f>Organización_Modular!I168</f>
        <v>0</v>
      </c>
      <c r="T182" s="90">
        <f t="shared" si="20"/>
        <v>0</v>
      </c>
      <c r="U182" s="46">
        <f t="shared" si="15"/>
        <v>0</v>
      </c>
      <c r="V182" s="46">
        <f t="shared" si="16"/>
        <v>0</v>
      </c>
      <c r="W182" s="90">
        <f t="shared" si="19"/>
        <v>0</v>
      </c>
      <c r="X182" s="95">
        <f t="shared" si="18"/>
        <v>0</v>
      </c>
    </row>
    <row r="183" spans="1:24" ht="18" hidden="1" customHeight="1" x14ac:dyDescent="0.2">
      <c r="A183" s="407"/>
      <c r="B183" s="313"/>
      <c r="C183" s="410"/>
      <c r="D183" s="409">
        <f>Organización_Modular!F169</f>
        <v>0</v>
      </c>
      <c r="E183" s="409"/>
      <c r="F183" s="46" t="str">
        <f>_xlfn.IFNA(IF(VLOOKUP($D183,Organización_Modular!$F$10:$G$195,2,FALSE)=F$23,Itinerario!T183," ")," ")</f>
        <v xml:space="preserve"> </v>
      </c>
      <c r="G183" s="46" t="str">
        <f>_xlfn.IFNA(IF(VLOOKUP($D183,Organización_Modular!$F$10:$G$195,2,FALSE)=G$23,Itinerario!W183," ")," ")</f>
        <v xml:space="preserve"> </v>
      </c>
      <c r="H183" s="46" t="str">
        <f>_xlfn.IFNA(IF(VLOOKUP($D183,Organización_Modular!$F$10:$G$195,2,FALSE)=H$23,Itinerario!T183," ")," ")</f>
        <v xml:space="preserve"> </v>
      </c>
      <c r="I183" s="46" t="str">
        <f>_xlfn.IFNA(IF(VLOOKUP($D183,Organización_Modular!$F$10:$G$195,2,FALSE)=I$23,Itinerario!W183," ")," ")</f>
        <v xml:space="preserve"> </v>
      </c>
      <c r="J183" s="46" t="str">
        <f>_xlfn.IFNA(IF(VLOOKUP($D183,Organización_Modular!$F$10:$G$195,2,FALSE)=J$23,Itinerario!T183," ")," ")</f>
        <v xml:space="preserve"> </v>
      </c>
      <c r="K183" s="46" t="str">
        <f>_xlfn.IFNA(IF(VLOOKUP($D183,Organización_Modular!$F$10:$G$195,2,FALSE)=K$23,Itinerario!W183," ")," ")</f>
        <v xml:space="preserve"> </v>
      </c>
      <c r="L183" s="46" t="str">
        <f>_xlfn.IFNA(IF(VLOOKUP($D183,Organización_Modular!$F$10:$G$195,2,FALSE)=L$23,Itinerario!T183," ")," ")</f>
        <v xml:space="preserve"> </v>
      </c>
      <c r="M183" s="46" t="str">
        <f>_xlfn.IFNA(IF(VLOOKUP($D183,Organización_Modular!$F$10:$G$195,2,FALSE)=M$23,Itinerario!W183," ")," ")</f>
        <v xml:space="preserve"> </v>
      </c>
      <c r="N183" s="46" t="str">
        <f>_xlfn.IFNA(IF(VLOOKUP($D183,Organización_Modular!$F$10:$G$195,2,FALSE)=N$23,Itinerario!T183," ")," ")</f>
        <v xml:space="preserve"> </v>
      </c>
      <c r="O183" s="46" t="str">
        <f>_xlfn.IFNA(IF(VLOOKUP($D183,Organización_Modular!$F$10:$G$195,2,FALSE)=O$23,Itinerario!W183," ")," ")</f>
        <v xml:space="preserve"> </v>
      </c>
      <c r="P183" s="46" t="str">
        <f>_xlfn.IFNA(IF(VLOOKUP($D183,Organización_Modular!$F$10:$G$195,2,FALSE)=P$23,Itinerario!T183," ")," ")</f>
        <v xml:space="preserve"> </v>
      </c>
      <c r="Q183" s="46" t="str">
        <f>_xlfn.IFNA(IF(VLOOKUP($D183,Organización_Modular!$F$10:$G$195,2,FALSE)=Q$23,Itinerario!W183," ")," ")</f>
        <v xml:space="preserve"> </v>
      </c>
      <c r="R183" s="46">
        <f>Organización_Modular!H169</f>
        <v>0</v>
      </c>
      <c r="S183" s="46">
        <f>Organización_Modular!I169</f>
        <v>0</v>
      </c>
      <c r="T183" s="90">
        <f t="shared" si="20"/>
        <v>0</v>
      </c>
      <c r="U183" s="46">
        <f t="shared" si="15"/>
        <v>0</v>
      </c>
      <c r="V183" s="46">
        <f t="shared" si="16"/>
        <v>0</v>
      </c>
      <c r="W183" s="90">
        <f t="shared" si="19"/>
        <v>0</v>
      </c>
      <c r="X183" s="95">
        <f t="shared" si="18"/>
        <v>0</v>
      </c>
    </row>
    <row r="184" spans="1:24" ht="18" hidden="1" customHeight="1" x14ac:dyDescent="0.2">
      <c r="A184" s="407"/>
      <c r="B184" s="313"/>
      <c r="C184" s="410"/>
      <c r="D184" s="409">
        <f>Organización_Modular!F170</f>
        <v>0</v>
      </c>
      <c r="E184" s="409"/>
      <c r="F184" s="46" t="str">
        <f>_xlfn.IFNA(IF(VLOOKUP($D184,Organización_Modular!$F$10:$G$195,2,FALSE)=F$23,Itinerario!T184," ")," ")</f>
        <v xml:space="preserve"> </v>
      </c>
      <c r="G184" s="46" t="str">
        <f>_xlfn.IFNA(IF(VLOOKUP($D184,Organización_Modular!$F$10:$G$195,2,FALSE)=G$23,Itinerario!W184," ")," ")</f>
        <v xml:space="preserve"> </v>
      </c>
      <c r="H184" s="46" t="str">
        <f>_xlfn.IFNA(IF(VLOOKUP($D184,Organización_Modular!$F$10:$G$195,2,FALSE)=H$23,Itinerario!T184," ")," ")</f>
        <v xml:space="preserve"> </v>
      </c>
      <c r="I184" s="46" t="str">
        <f>_xlfn.IFNA(IF(VLOOKUP($D184,Organización_Modular!$F$10:$G$195,2,FALSE)=I$23,Itinerario!W184," ")," ")</f>
        <v xml:space="preserve"> </v>
      </c>
      <c r="J184" s="46" t="str">
        <f>_xlfn.IFNA(IF(VLOOKUP($D184,Organización_Modular!$F$10:$G$195,2,FALSE)=J$23,Itinerario!T184," ")," ")</f>
        <v xml:space="preserve"> </v>
      </c>
      <c r="K184" s="46" t="str">
        <f>_xlfn.IFNA(IF(VLOOKUP($D184,Organización_Modular!$F$10:$G$195,2,FALSE)=K$23,Itinerario!W184," ")," ")</f>
        <v xml:space="preserve"> </v>
      </c>
      <c r="L184" s="46" t="str">
        <f>_xlfn.IFNA(IF(VLOOKUP($D184,Organización_Modular!$F$10:$G$195,2,FALSE)=L$23,Itinerario!T184," ")," ")</f>
        <v xml:space="preserve"> </v>
      </c>
      <c r="M184" s="46" t="str">
        <f>_xlfn.IFNA(IF(VLOOKUP($D184,Organización_Modular!$F$10:$G$195,2,FALSE)=M$23,Itinerario!W184," ")," ")</f>
        <v xml:space="preserve"> </v>
      </c>
      <c r="N184" s="46" t="str">
        <f>_xlfn.IFNA(IF(VLOOKUP($D184,Organización_Modular!$F$10:$G$195,2,FALSE)=N$23,Itinerario!T184," ")," ")</f>
        <v xml:space="preserve"> </v>
      </c>
      <c r="O184" s="46" t="str">
        <f>_xlfn.IFNA(IF(VLOOKUP($D184,Organización_Modular!$F$10:$G$195,2,FALSE)=O$23,Itinerario!W184," ")," ")</f>
        <v xml:space="preserve"> </v>
      </c>
      <c r="P184" s="46" t="str">
        <f>_xlfn.IFNA(IF(VLOOKUP($D184,Organización_Modular!$F$10:$G$195,2,FALSE)=P$23,Itinerario!T184," ")," ")</f>
        <v xml:space="preserve"> </v>
      </c>
      <c r="Q184" s="46" t="str">
        <f>_xlfn.IFNA(IF(VLOOKUP($D184,Organización_Modular!$F$10:$G$195,2,FALSE)=Q$23,Itinerario!W184," ")," ")</f>
        <v xml:space="preserve"> </v>
      </c>
      <c r="R184" s="46">
        <f>Organización_Modular!H170</f>
        <v>0</v>
      </c>
      <c r="S184" s="46">
        <f>Organización_Modular!I170</f>
        <v>0</v>
      </c>
      <c r="T184" s="90">
        <f t="shared" si="20"/>
        <v>0</v>
      </c>
      <c r="U184" s="46">
        <f t="shared" ref="U184:U209" si="21">+R184*$S$19</f>
        <v>0</v>
      </c>
      <c r="V184" s="46">
        <f t="shared" ref="V184:V209" si="22">+S184*$U$19</f>
        <v>0</v>
      </c>
      <c r="W184" s="90">
        <f t="shared" ref="W184:W209" si="23">SUM(U184:V184)</f>
        <v>0</v>
      </c>
      <c r="X184" s="95">
        <f t="shared" si="18"/>
        <v>0</v>
      </c>
    </row>
    <row r="185" spans="1:24" ht="18" hidden="1" customHeight="1" x14ac:dyDescent="0.2">
      <c r="A185" s="407"/>
      <c r="B185" s="313"/>
      <c r="C185" s="410"/>
      <c r="D185" s="409">
        <f>Organización_Modular!F171</f>
        <v>0</v>
      </c>
      <c r="E185" s="409"/>
      <c r="F185" s="46" t="str">
        <f>_xlfn.IFNA(IF(VLOOKUP($D185,Organización_Modular!$F$10:$G$195,2,FALSE)=F$23,Itinerario!T185," ")," ")</f>
        <v xml:space="preserve"> </v>
      </c>
      <c r="G185" s="46" t="str">
        <f>_xlfn.IFNA(IF(VLOOKUP($D185,Organización_Modular!$F$10:$G$195,2,FALSE)=G$23,Itinerario!W185," ")," ")</f>
        <v xml:space="preserve"> </v>
      </c>
      <c r="H185" s="46" t="str">
        <f>_xlfn.IFNA(IF(VLOOKUP($D185,Organización_Modular!$F$10:$G$195,2,FALSE)=H$23,Itinerario!T185," ")," ")</f>
        <v xml:space="preserve"> </v>
      </c>
      <c r="I185" s="46" t="str">
        <f>_xlfn.IFNA(IF(VLOOKUP($D185,Organización_Modular!$F$10:$G$195,2,FALSE)=I$23,Itinerario!W185," ")," ")</f>
        <v xml:space="preserve"> </v>
      </c>
      <c r="J185" s="46" t="str">
        <f>_xlfn.IFNA(IF(VLOOKUP($D185,Organización_Modular!$F$10:$G$195,2,FALSE)=J$23,Itinerario!T185," ")," ")</f>
        <v xml:space="preserve"> </v>
      </c>
      <c r="K185" s="46" t="str">
        <f>_xlfn.IFNA(IF(VLOOKUP($D185,Organización_Modular!$F$10:$G$195,2,FALSE)=K$23,Itinerario!W185," ")," ")</f>
        <v xml:space="preserve"> </v>
      </c>
      <c r="L185" s="46" t="str">
        <f>_xlfn.IFNA(IF(VLOOKUP($D185,Organización_Modular!$F$10:$G$195,2,FALSE)=L$23,Itinerario!T185," ")," ")</f>
        <v xml:space="preserve"> </v>
      </c>
      <c r="M185" s="46" t="str">
        <f>_xlfn.IFNA(IF(VLOOKUP($D185,Organización_Modular!$F$10:$G$195,2,FALSE)=M$23,Itinerario!W185," ")," ")</f>
        <v xml:space="preserve"> </v>
      </c>
      <c r="N185" s="46" t="str">
        <f>_xlfn.IFNA(IF(VLOOKUP($D185,Organización_Modular!$F$10:$G$195,2,FALSE)=N$23,Itinerario!T185," ")," ")</f>
        <v xml:space="preserve"> </v>
      </c>
      <c r="O185" s="46" t="str">
        <f>_xlfn.IFNA(IF(VLOOKUP($D185,Organización_Modular!$F$10:$G$195,2,FALSE)=O$23,Itinerario!W185," ")," ")</f>
        <v xml:space="preserve"> </v>
      </c>
      <c r="P185" s="46" t="str">
        <f>_xlfn.IFNA(IF(VLOOKUP($D185,Organización_Modular!$F$10:$G$195,2,FALSE)=P$23,Itinerario!T185," ")," ")</f>
        <v xml:space="preserve"> </v>
      </c>
      <c r="Q185" s="46" t="str">
        <f>_xlfn.IFNA(IF(VLOOKUP($D185,Organización_Modular!$F$10:$G$195,2,FALSE)=Q$23,Itinerario!W185," ")," ")</f>
        <v xml:space="preserve"> </v>
      </c>
      <c r="R185" s="46">
        <f>Organización_Modular!H171</f>
        <v>0</v>
      </c>
      <c r="S185" s="46">
        <f>Organización_Modular!I171</f>
        <v>0</v>
      </c>
      <c r="T185" s="90">
        <f t="shared" si="20"/>
        <v>0</v>
      </c>
      <c r="U185" s="46">
        <f t="shared" si="21"/>
        <v>0</v>
      </c>
      <c r="V185" s="46">
        <f t="shared" si="22"/>
        <v>0</v>
      </c>
      <c r="W185" s="90">
        <f t="shared" si="23"/>
        <v>0</v>
      </c>
      <c r="X185" s="95">
        <f t="shared" si="18"/>
        <v>0</v>
      </c>
    </row>
    <row r="186" spans="1:24" ht="18" hidden="1" customHeight="1" x14ac:dyDescent="0.2">
      <c r="A186" s="407"/>
      <c r="B186" s="313"/>
      <c r="C186" s="410"/>
      <c r="D186" s="409">
        <f>Organización_Modular!F172</f>
        <v>0</v>
      </c>
      <c r="E186" s="409"/>
      <c r="F186" s="46" t="str">
        <f>_xlfn.IFNA(IF(VLOOKUP($D186,Organización_Modular!$F$10:$G$195,2,FALSE)=F$23,Itinerario!T186," ")," ")</f>
        <v xml:space="preserve"> </v>
      </c>
      <c r="G186" s="46" t="str">
        <f>_xlfn.IFNA(IF(VLOOKUP($D186,Organización_Modular!$F$10:$G$195,2,FALSE)=G$23,Itinerario!W186," ")," ")</f>
        <v xml:space="preserve"> </v>
      </c>
      <c r="H186" s="46" t="str">
        <f>_xlfn.IFNA(IF(VLOOKUP($D186,Organización_Modular!$F$10:$G$195,2,FALSE)=H$23,Itinerario!T186," ")," ")</f>
        <v xml:space="preserve"> </v>
      </c>
      <c r="I186" s="46" t="str">
        <f>_xlfn.IFNA(IF(VLOOKUP($D186,Organización_Modular!$F$10:$G$195,2,FALSE)=I$23,Itinerario!W186," ")," ")</f>
        <v xml:space="preserve"> </v>
      </c>
      <c r="J186" s="46" t="str">
        <f>_xlfn.IFNA(IF(VLOOKUP($D186,Organización_Modular!$F$10:$G$195,2,FALSE)=J$23,Itinerario!T186," ")," ")</f>
        <v xml:space="preserve"> </v>
      </c>
      <c r="K186" s="46" t="str">
        <f>_xlfn.IFNA(IF(VLOOKUP($D186,Organización_Modular!$F$10:$G$195,2,FALSE)=K$23,Itinerario!W186," ")," ")</f>
        <v xml:space="preserve"> </v>
      </c>
      <c r="L186" s="46" t="str">
        <f>_xlfn.IFNA(IF(VLOOKUP($D186,Organización_Modular!$F$10:$G$195,2,FALSE)=L$23,Itinerario!T186," ")," ")</f>
        <v xml:space="preserve"> </v>
      </c>
      <c r="M186" s="46" t="str">
        <f>_xlfn.IFNA(IF(VLOOKUP($D186,Organización_Modular!$F$10:$G$195,2,FALSE)=M$23,Itinerario!W186," ")," ")</f>
        <v xml:space="preserve"> </v>
      </c>
      <c r="N186" s="46" t="str">
        <f>_xlfn.IFNA(IF(VLOOKUP($D186,Organización_Modular!$F$10:$G$195,2,FALSE)=N$23,Itinerario!T186," ")," ")</f>
        <v xml:space="preserve"> </v>
      </c>
      <c r="O186" s="46" t="str">
        <f>_xlfn.IFNA(IF(VLOOKUP($D186,Organización_Modular!$F$10:$G$195,2,FALSE)=O$23,Itinerario!W186," ")," ")</f>
        <v xml:space="preserve"> </v>
      </c>
      <c r="P186" s="46" t="str">
        <f>_xlfn.IFNA(IF(VLOOKUP($D186,Organización_Modular!$F$10:$G$195,2,FALSE)=P$23,Itinerario!T186," ")," ")</f>
        <v xml:space="preserve"> </v>
      </c>
      <c r="Q186" s="46" t="str">
        <f>_xlfn.IFNA(IF(VLOOKUP($D186,Organización_Modular!$F$10:$G$195,2,FALSE)=Q$23,Itinerario!W186," ")," ")</f>
        <v xml:space="preserve"> </v>
      </c>
      <c r="R186" s="46">
        <f>Organización_Modular!H172</f>
        <v>0</v>
      </c>
      <c r="S186" s="46">
        <f>Organización_Modular!I172</f>
        <v>0</v>
      </c>
      <c r="T186" s="90">
        <f t="shared" si="20"/>
        <v>0</v>
      </c>
      <c r="U186" s="46">
        <f t="shared" si="21"/>
        <v>0</v>
      </c>
      <c r="V186" s="46">
        <f t="shared" si="22"/>
        <v>0</v>
      </c>
      <c r="W186" s="90">
        <f t="shared" si="23"/>
        <v>0</v>
      </c>
      <c r="X186" s="95">
        <f t="shared" si="18"/>
        <v>0</v>
      </c>
    </row>
    <row r="187" spans="1:24" ht="18" hidden="1" customHeight="1" x14ac:dyDescent="0.2">
      <c r="A187" s="407"/>
      <c r="B187" s="313"/>
      <c r="C187" s="410"/>
      <c r="D187" s="409">
        <f>Organización_Modular!F173</f>
        <v>0</v>
      </c>
      <c r="E187" s="409"/>
      <c r="F187" s="46" t="str">
        <f>_xlfn.IFNA(IF(VLOOKUP($D187,Organización_Modular!$F$10:$G$195,2,FALSE)=F$23,Itinerario!T187," ")," ")</f>
        <v xml:space="preserve"> </v>
      </c>
      <c r="G187" s="46" t="str">
        <f>_xlfn.IFNA(IF(VLOOKUP($D187,Organización_Modular!$F$10:$G$195,2,FALSE)=G$23,Itinerario!W187," ")," ")</f>
        <v xml:space="preserve"> </v>
      </c>
      <c r="H187" s="46" t="str">
        <f>_xlfn.IFNA(IF(VLOOKUP($D187,Organización_Modular!$F$10:$G$195,2,FALSE)=H$23,Itinerario!T187," ")," ")</f>
        <v xml:space="preserve"> </v>
      </c>
      <c r="I187" s="46" t="str">
        <f>_xlfn.IFNA(IF(VLOOKUP($D187,Organización_Modular!$F$10:$G$195,2,FALSE)=I$23,Itinerario!W187," ")," ")</f>
        <v xml:space="preserve"> </v>
      </c>
      <c r="J187" s="46" t="str">
        <f>_xlfn.IFNA(IF(VLOOKUP($D187,Organización_Modular!$F$10:$G$195,2,FALSE)=J$23,Itinerario!T187," ")," ")</f>
        <v xml:space="preserve"> </v>
      </c>
      <c r="K187" s="46" t="str">
        <f>_xlfn.IFNA(IF(VLOOKUP($D187,Organización_Modular!$F$10:$G$195,2,FALSE)=K$23,Itinerario!W187," ")," ")</f>
        <v xml:space="preserve"> </v>
      </c>
      <c r="L187" s="46" t="str">
        <f>_xlfn.IFNA(IF(VLOOKUP($D187,Organización_Modular!$F$10:$G$195,2,FALSE)=L$23,Itinerario!T187," ")," ")</f>
        <v xml:space="preserve"> </v>
      </c>
      <c r="M187" s="46" t="str">
        <f>_xlfn.IFNA(IF(VLOOKUP($D187,Organización_Modular!$F$10:$G$195,2,FALSE)=M$23,Itinerario!W187," ")," ")</f>
        <v xml:space="preserve"> </v>
      </c>
      <c r="N187" s="46" t="str">
        <f>_xlfn.IFNA(IF(VLOOKUP($D187,Organización_Modular!$F$10:$G$195,2,FALSE)=N$23,Itinerario!T187," ")," ")</f>
        <v xml:space="preserve"> </v>
      </c>
      <c r="O187" s="46" t="str">
        <f>_xlfn.IFNA(IF(VLOOKUP($D187,Organización_Modular!$F$10:$G$195,2,FALSE)=O$23,Itinerario!W187," ")," ")</f>
        <v xml:space="preserve"> </v>
      </c>
      <c r="P187" s="46" t="str">
        <f>_xlfn.IFNA(IF(VLOOKUP($D187,Organización_Modular!$F$10:$G$195,2,FALSE)=P$23,Itinerario!T187," ")," ")</f>
        <v xml:space="preserve"> </v>
      </c>
      <c r="Q187" s="46" t="str">
        <f>_xlfn.IFNA(IF(VLOOKUP($D187,Organización_Modular!$F$10:$G$195,2,FALSE)=Q$23,Itinerario!W187," ")," ")</f>
        <v xml:space="preserve"> </v>
      </c>
      <c r="R187" s="46">
        <f>Organización_Modular!H173</f>
        <v>0</v>
      </c>
      <c r="S187" s="46">
        <f>Organización_Modular!I173</f>
        <v>0</v>
      </c>
      <c r="T187" s="90">
        <f t="shared" si="20"/>
        <v>0</v>
      </c>
      <c r="U187" s="46">
        <f t="shared" si="21"/>
        <v>0</v>
      </c>
      <c r="V187" s="46">
        <f t="shared" si="22"/>
        <v>0</v>
      </c>
      <c r="W187" s="90">
        <f t="shared" si="23"/>
        <v>0</v>
      </c>
      <c r="X187" s="95">
        <f t="shared" si="18"/>
        <v>0</v>
      </c>
    </row>
    <row r="188" spans="1:24" ht="18" hidden="1" customHeight="1" x14ac:dyDescent="0.2">
      <c r="A188" s="407"/>
      <c r="B188" s="313"/>
      <c r="C188" s="410"/>
      <c r="D188" s="409">
        <f>Organización_Modular!F174</f>
        <v>0</v>
      </c>
      <c r="E188" s="409"/>
      <c r="F188" s="46" t="str">
        <f>_xlfn.IFNA(IF(VLOOKUP($D188,Organización_Modular!$F$10:$G$195,2,FALSE)=F$23,Itinerario!T188," ")," ")</f>
        <v xml:space="preserve"> </v>
      </c>
      <c r="G188" s="46" t="str">
        <f>_xlfn.IFNA(IF(VLOOKUP($D188,Organización_Modular!$F$10:$G$195,2,FALSE)=G$23,Itinerario!W188," ")," ")</f>
        <v xml:space="preserve"> </v>
      </c>
      <c r="H188" s="46" t="str">
        <f>_xlfn.IFNA(IF(VLOOKUP($D188,Organización_Modular!$F$10:$G$195,2,FALSE)=H$23,Itinerario!T188," ")," ")</f>
        <v xml:space="preserve"> </v>
      </c>
      <c r="I188" s="46" t="str">
        <f>_xlfn.IFNA(IF(VLOOKUP($D188,Organización_Modular!$F$10:$G$195,2,FALSE)=I$23,Itinerario!W188," ")," ")</f>
        <v xml:space="preserve"> </v>
      </c>
      <c r="J188" s="46" t="str">
        <f>_xlfn.IFNA(IF(VLOOKUP($D188,Organización_Modular!$F$10:$G$195,2,FALSE)=J$23,Itinerario!T188," ")," ")</f>
        <v xml:space="preserve"> </v>
      </c>
      <c r="K188" s="46" t="str">
        <f>_xlfn.IFNA(IF(VLOOKUP($D188,Organización_Modular!$F$10:$G$195,2,FALSE)=K$23,Itinerario!W188," ")," ")</f>
        <v xml:space="preserve"> </v>
      </c>
      <c r="L188" s="46" t="str">
        <f>_xlfn.IFNA(IF(VLOOKUP($D188,Organización_Modular!$F$10:$G$195,2,FALSE)=L$23,Itinerario!T188," ")," ")</f>
        <v xml:space="preserve"> </v>
      </c>
      <c r="M188" s="46" t="str">
        <f>_xlfn.IFNA(IF(VLOOKUP($D188,Organización_Modular!$F$10:$G$195,2,FALSE)=M$23,Itinerario!W188," ")," ")</f>
        <v xml:space="preserve"> </v>
      </c>
      <c r="N188" s="46" t="str">
        <f>_xlfn.IFNA(IF(VLOOKUP($D188,Organización_Modular!$F$10:$G$195,2,FALSE)=N$23,Itinerario!T188," ")," ")</f>
        <v xml:space="preserve"> </v>
      </c>
      <c r="O188" s="46" t="str">
        <f>_xlfn.IFNA(IF(VLOOKUP($D188,Organización_Modular!$F$10:$G$195,2,FALSE)=O$23,Itinerario!W188," ")," ")</f>
        <v xml:space="preserve"> </v>
      </c>
      <c r="P188" s="46" t="str">
        <f>_xlfn.IFNA(IF(VLOOKUP($D188,Organización_Modular!$F$10:$G$195,2,FALSE)=P$23,Itinerario!T188," ")," ")</f>
        <v xml:space="preserve"> </v>
      </c>
      <c r="Q188" s="46" t="str">
        <f>_xlfn.IFNA(IF(VLOOKUP($D188,Organización_Modular!$F$10:$G$195,2,FALSE)=Q$23,Itinerario!W188," ")," ")</f>
        <v xml:space="preserve"> </v>
      </c>
      <c r="R188" s="46">
        <f>Organización_Modular!H174</f>
        <v>0</v>
      </c>
      <c r="S188" s="46">
        <f>Organización_Modular!I174</f>
        <v>0</v>
      </c>
      <c r="T188" s="90">
        <f t="shared" si="20"/>
        <v>0</v>
      </c>
      <c r="U188" s="46">
        <f t="shared" si="21"/>
        <v>0</v>
      </c>
      <c r="V188" s="46">
        <f t="shared" si="22"/>
        <v>0</v>
      </c>
      <c r="W188" s="90">
        <f t="shared" si="23"/>
        <v>0</v>
      </c>
      <c r="X188" s="95">
        <f t="shared" si="18"/>
        <v>0</v>
      </c>
    </row>
    <row r="189" spans="1:24" ht="18" hidden="1" customHeight="1" x14ac:dyDescent="0.2">
      <c r="A189" s="407"/>
      <c r="B189" s="313"/>
      <c r="C189" s="410"/>
      <c r="D189" s="409">
        <f>Organización_Modular!F175</f>
        <v>0</v>
      </c>
      <c r="E189" s="409"/>
      <c r="F189" s="46" t="str">
        <f>_xlfn.IFNA(IF(VLOOKUP($D189,Organización_Modular!$F$10:$G$195,2,FALSE)=F$23,Itinerario!T189," ")," ")</f>
        <v xml:space="preserve"> </v>
      </c>
      <c r="G189" s="46" t="str">
        <f>_xlfn.IFNA(IF(VLOOKUP($D189,Organización_Modular!$F$10:$G$195,2,FALSE)=G$23,Itinerario!W189," ")," ")</f>
        <v xml:space="preserve"> </v>
      </c>
      <c r="H189" s="46" t="str">
        <f>_xlfn.IFNA(IF(VLOOKUP($D189,Organización_Modular!$F$10:$G$195,2,FALSE)=H$23,Itinerario!T189," ")," ")</f>
        <v xml:space="preserve"> </v>
      </c>
      <c r="I189" s="46" t="str">
        <f>_xlfn.IFNA(IF(VLOOKUP($D189,Organización_Modular!$F$10:$G$195,2,FALSE)=I$23,Itinerario!W189," ")," ")</f>
        <v xml:space="preserve"> </v>
      </c>
      <c r="J189" s="46" t="str">
        <f>_xlfn.IFNA(IF(VLOOKUP($D189,Organización_Modular!$F$10:$G$195,2,FALSE)=J$23,Itinerario!T189," ")," ")</f>
        <v xml:space="preserve"> </v>
      </c>
      <c r="K189" s="46" t="str">
        <f>_xlfn.IFNA(IF(VLOOKUP($D189,Organización_Modular!$F$10:$G$195,2,FALSE)=K$23,Itinerario!W189," ")," ")</f>
        <v xml:space="preserve"> </v>
      </c>
      <c r="L189" s="46" t="str">
        <f>_xlfn.IFNA(IF(VLOOKUP($D189,Organización_Modular!$F$10:$G$195,2,FALSE)=L$23,Itinerario!T189," ")," ")</f>
        <v xml:space="preserve"> </v>
      </c>
      <c r="M189" s="46" t="str">
        <f>_xlfn.IFNA(IF(VLOOKUP($D189,Organización_Modular!$F$10:$G$195,2,FALSE)=M$23,Itinerario!W189," ")," ")</f>
        <v xml:space="preserve"> </v>
      </c>
      <c r="N189" s="46" t="str">
        <f>_xlfn.IFNA(IF(VLOOKUP($D189,Organización_Modular!$F$10:$G$195,2,FALSE)=N$23,Itinerario!T189," ")," ")</f>
        <v xml:space="preserve"> </v>
      </c>
      <c r="O189" s="46" t="str">
        <f>_xlfn.IFNA(IF(VLOOKUP($D189,Organización_Modular!$F$10:$G$195,2,FALSE)=O$23,Itinerario!W189," ")," ")</f>
        <v xml:space="preserve"> </v>
      </c>
      <c r="P189" s="46" t="str">
        <f>_xlfn.IFNA(IF(VLOOKUP($D189,Organización_Modular!$F$10:$G$195,2,FALSE)=P$23,Itinerario!T189," ")," ")</f>
        <v xml:space="preserve"> </v>
      </c>
      <c r="Q189" s="46" t="str">
        <f>_xlfn.IFNA(IF(VLOOKUP($D189,Organización_Modular!$F$10:$G$195,2,FALSE)=Q$23,Itinerario!W189," ")," ")</f>
        <v xml:space="preserve"> </v>
      </c>
      <c r="R189" s="46">
        <f>Organización_Modular!H175</f>
        <v>0</v>
      </c>
      <c r="S189" s="46">
        <f>Organización_Modular!I175</f>
        <v>0</v>
      </c>
      <c r="T189" s="90">
        <f t="shared" si="20"/>
        <v>0</v>
      </c>
      <c r="U189" s="46">
        <f t="shared" si="21"/>
        <v>0</v>
      </c>
      <c r="V189" s="46">
        <f t="shared" si="22"/>
        <v>0</v>
      </c>
      <c r="W189" s="90">
        <f t="shared" si="23"/>
        <v>0</v>
      </c>
      <c r="X189" s="95">
        <f t="shared" si="18"/>
        <v>0</v>
      </c>
    </row>
    <row r="190" spans="1:24" ht="18" hidden="1" customHeight="1" x14ac:dyDescent="0.2">
      <c r="A190" s="407"/>
      <c r="B190" s="313"/>
      <c r="C190" s="410"/>
      <c r="D190" s="409">
        <f>Organización_Modular!F176</f>
        <v>0</v>
      </c>
      <c r="E190" s="409"/>
      <c r="F190" s="46" t="str">
        <f>_xlfn.IFNA(IF(VLOOKUP($D190,Organización_Modular!$F$10:$G$195,2,FALSE)=F$23,Itinerario!T190," ")," ")</f>
        <v xml:space="preserve"> </v>
      </c>
      <c r="G190" s="46" t="str">
        <f>_xlfn.IFNA(IF(VLOOKUP($D190,Organización_Modular!$F$10:$G$195,2,FALSE)=G$23,Itinerario!W190," ")," ")</f>
        <v xml:space="preserve"> </v>
      </c>
      <c r="H190" s="46" t="str">
        <f>_xlfn.IFNA(IF(VLOOKUP($D190,Organización_Modular!$F$10:$G$195,2,FALSE)=H$23,Itinerario!T190," ")," ")</f>
        <v xml:space="preserve"> </v>
      </c>
      <c r="I190" s="46" t="str">
        <f>_xlfn.IFNA(IF(VLOOKUP($D190,Organización_Modular!$F$10:$G$195,2,FALSE)=I$23,Itinerario!W190," ")," ")</f>
        <v xml:space="preserve"> </v>
      </c>
      <c r="J190" s="46" t="str">
        <f>_xlfn.IFNA(IF(VLOOKUP($D190,Organización_Modular!$F$10:$G$195,2,FALSE)=J$23,Itinerario!T190," ")," ")</f>
        <v xml:space="preserve"> </v>
      </c>
      <c r="K190" s="46" t="str">
        <f>_xlfn.IFNA(IF(VLOOKUP($D190,Organización_Modular!$F$10:$G$195,2,FALSE)=K$23,Itinerario!W190," ")," ")</f>
        <v xml:space="preserve"> </v>
      </c>
      <c r="L190" s="46" t="str">
        <f>_xlfn.IFNA(IF(VLOOKUP($D190,Organización_Modular!$F$10:$G$195,2,FALSE)=L$23,Itinerario!T190," ")," ")</f>
        <v xml:space="preserve"> </v>
      </c>
      <c r="M190" s="46" t="str">
        <f>_xlfn.IFNA(IF(VLOOKUP($D190,Organización_Modular!$F$10:$G$195,2,FALSE)=M$23,Itinerario!W190," ")," ")</f>
        <v xml:space="preserve"> </v>
      </c>
      <c r="N190" s="46" t="str">
        <f>_xlfn.IFNA(IF(VLOOKUP($D190,Organización_Modular!$F$10:$G$195,2,FALSE)=N$23,Itinerario!T190," ")," ")</f>
        <v xml:space="preserve"> </v>
      </c>
      <c r="O190" s="46" t="str">
        <f>_xlfn.IFNA(IF(VLOOKUP($D190,Organización_Modular!$F$10:$G$195,2,FALSE)=O$23,Itinerario!W190," ")," ")</f>
        <v xml:space="preserve"> </v>
      </c>
      <c r="P190" s="46" t="str">
        <f>_xlfn.IFNA(IF(VLOOKUP($D190,Organización_Modular!$F$10:$G$195,2,FALSE)=P$23,Itinerario!T190," ")," ")</f>
        <v xml:space="preserve"> </v>
      </c>
      <c r="Q190" s="46" t="str">
        <f>_xlfn.IFNA(IF(VLOOKUP($D190,Organización_Modular!$F$10:$G$195,2,FALSE)=Q$23,Itinerario!W190," ")," ")</f>
        <v xml:space="preserve"> </v>
      </c>
      <c r="R190" s="46">
        <f>Organización_Modular!H176</f>
        <v>0</v>
      </c>
      <c r="S190" s="46">
        <f>Organización_Modular!I176</f>
        <v>0</v>
      </c>
      <c r="T190" s="90">
        <f t="shared" si="20"/>
        <v>0</v>
      </c>
      <c r="U190" s="46">
        <f t="shared" si="21"/>
        <v>0</v>
      </c>
      <c r="V190" s="46">
        <f t="shared" si="22"/>
        <v>0</v>
      </c>
      <c r="W190" s="90">
        <f t="shared" si="23"/>
        <v>0</v>
      </c>
      <c r="X190" s="95">
        <f t="shared" si="18"/>
        <v>0</v>
      </c>
    </row>
    <row r="191" spans="1:24" ht="18" hidden="1" customHeight="1" x14ac:dyDescent="0.2">
      <c r="A191" s="407"/>
      <c r="B191" s="313"/>
      <c r="C191" s="410"/>
      <c r="D191" s="409">
        <f>Organización_Modular!F177</f>
        <v>0</v>
      </c>
      <c r="E191" s="409"/>
      <c r="F191" s="46" t="str">
        <f>_xlfn.IFNA(IF(VLOOKUP($D191,Organización_Modular!$F$10:$G$195,2,FALSE)=F$23,Itinerario!T191," ")," ")</f>
        <v xml:space="preserve"> </v>
      </c>
      <c r="G191" s="46" t="str">
        <f>_xlfn.IFNA(IF(VLOOKUP($D191,Organización_Modular!$F$10:$G$195,2,FALSE)=G$23,Itinerario!W191," ")," ")</f>
        <v xml:space="preserve"> </v>
      </c>
      <c r="H191" s="46" t="str">
        <f>_xlfn.IFNA(IF(VLOOKUP($D191,Organización_Modular!$F$10:$G$195,2,FALSE)=H$23,Itinerario!T191," ")," ")</f>
        <v xml:space="preserve"> </v>
      </c>
      <c r="I191" s="46" t="str">
        <f>_xlfn.IFNA(IF(VLOOKUP($D191,Organización_Modular!$F$10:$G$195,2,FALSE)=I$23,Itinerario!W191," ")," ")</f>
        <v xml:space="preserve"> </v>
      </c>
      <c r="J191" s="46" t="str">
        <f>_xlfn.IFNA(IF(VLOOKUP($D191,Organización_Modular!$F$10:$G$195,2,FALSE)=J$23,Itinerario!T191," ")," ")</f>
        <v xml:space="preserve"> </v>
      </c>
      <c r="K191" s="46" t="str">
        <f>_xlfn.IFNA(IF(VLOOKUP($D191,Organización_Modular!$F$10:$G$195,2,FALSE)=K$23,Itinerario!W191," ")," ")</f>
        <v xml:space="preserve"> </v>
      </c>
      <c r="L191" s="46" t="str">
        <f>_xlfn.IFNA(IF(VLOOKUP($D191,Organización_Modular!$F$10:$G$195,2,FALSE)=L$23,Itinerario!T191," ")," ")</f>
        <v xml:space="preserve"> </v>
      </c>
      <c r="M191" s="46" t="str">
        <f>_xlfn.IFNA(IF(VLOOKUP($D191,Organización_Modular!$F$10:$G$195,2,FALSE)=M$23,Itinerario!W191," ")," ")</f>
        <v xml:space="preserve"> </v>
      </c>
      <c r="N191" s="46" t="str">
        <f>_xlfn.IFNA(IF(VLOOKUP($D191,Organización_Modular!$F$10:$G$195,2,FALSE)=N$23,Itinerario!T191," ")," ")</f>
        <v xml:space="preserve"> </v>
      </c>
      <c r="O191" s="46" t="str">
        <f>_xlfn.IFNA(IF(VLOOKUP($D191,Organización_Modular!$F$10:$G$195,2,FALSE)=O$23,Itinerario!W191," ")," ")</f>
        <v xml:space="preserve"> </v>
      </c>
      <c r="P191" s="46" t="str">
        <f>_xlfn.IFNA(IF(VLOOKUP($D191,Organización_Modular!$F$10:$G$195,2,FALSE)=P$23,Itinerario!T191," ")," ")</f>
        <v xml:space="preserve"> </v>
      </c>
      <c r="Q191" s="46" t="str">
        <f>_xlfn.IFNA(IF(VLOOKUP($D191,Organización_Modular!$F$10:$G$195,2,FALSE)=Q$23,Itinerario!W191," ")," ")</f>
        <v xml:space="preserve"> </v>
      </c>
      <c r="R191" s="46">
        <f>Organización_Modular!H177</f>
        <v>0</v>
      </c>
      <c r="S191" s="46">
        <f>Organización_Modular!I177</f>
        <v>0</v>
      </c>
      <c r="T191" s="90">
        <f t="shared" si="20"/>
        <v>0</v>
      </c>
      <c r="U191" s="46">
        <f t="shared" si="21"/>
        <v>0</v>
      </c>
      <c r="V191" s="46">
        <f t="shared" si="22"/>
        <v>0</v>
      </c>
      <c r="W191" s="90">
        <f t="shared" si="23"/>
        <v>0</v>
      </c>
      <c r="X191" s="95">
        <f t="shared" si="18"/>
        <v>0</v>
      </c>
    </row>
    <row r="192" spans="1:24" ht="18" hidden="1" customHeight="1" x14ac:dyDescent="0.2">
      <c r="A192" s="407"/>
      <c r="B192" s="313"/>
      <c r="C192" s="410"/>
      <c r="D192" s="409">
        <f>Organización_Modular!F178</f>
        <v>0</v>
      </c>
      <c r="E192" s="409"/>
      <c r="F192" s="46" t="str">
        <f>_xlfn.IFNA(IF(VLOOKUP($D192,Organización_Modular!$F$10:$G$195,2,FALSE)=F$23,Itinerario!T192," ")," ")</f>
        <v xml:space="preserve"> </v>
      </c>
      <c r="G192" s="46" t="str">
        <f>_xlfn.IFNA(IF(VLOOKUP($D192,Organización_Modular!$F$10:$G$195,2,FALSE)=G$23,Itinerario!W192," ")," ")</f>
        <v xml:space="preserve"> </v>
      </c>
      <c r="H192" s="46" t="str">
        <f>_xlfn.IFNA(IF(VLOOKUP($D192,Organización_Modular!$F$10:$G$195,2,FALSE)=H$23,Itinerario!T192," ")," ")</f>
        <v xml:space="preserve"> </v>
      </c>
      <c r="I192" s="46" t="str">
        <f>_xlfn.IFNA(IF(VLOOKUP($D192,Organización_Modular!$F$10:$G$195,2,FALSE)=I$23,Itinerario!W192," ")," ")</f>
        <v xml:space="preserve"> </v>
      </c>
      <c r="J192" s="46" t="str">
        <f>_xlfn.IFNA(IF(VLOOKUP($D192,Organización_Modular!$F$10:$G$195,2,FALSE)=J$23,Itinerario!T192," ")," ")</f>
        <v xml:space="preserve"> </v>
      </c>
      <c r="K192" s="46" t="str">
        <f>_xlfn.IFNA(IF(VLOOKUP($D192,Organización_Modular!$F$10:$G$195,2,FALSE)=K$23,Itinerario!W192," ")," ")</f>
        <v xml:space="preserve"> </v>
      </c>
      <c r="L192" s="46" t="str">
        <f>_xlfn.IFNA(IF(VLOOKUP($D192,Organización_Modular!$F$10:$G$195,2,FALSE)=L$23,Itinerario!T192," ")," ")</f>
        <v xml:space="preserve"> </v>
      </c>
      <c r="M192" s="46" t="str">
        <f>_xlfn.IFNA(IF(VLOOKUP($D192,Organización_Modular!$F$10:$G$195,2,FALSE)=M$23,Itinerario!W192," ")," ")</f>
        <v xml:space="preserve"> </v>
      </c>
      <c r="N192" s="46" t="str">
        <f>_xlfn.IFNA(IF(VLOOKUP($D192,Organización_Modular!$F$10:$G$195,2,FALSE)=N$23,Itinerario!T192," ")," ")</f>
        <v xml:space="preserve"> </v>
      </c>
      <c r="O192" s="46" t="str">
        <f>_xlfn.IFNA(IF(VLOOKUP($D192,Organización_Modular!$F$10:$G$195,2,FALSE)=O$23,Itinerario!W192," ")," ")</f>
        <v xml:space="preserve"> </v>
      </c>
      <c r="P192" s="46" t="str">
        <f>_xlfn.IFNA(IF(VLOOKUP($D192,Organización_Modular!$F$10:$G$195,2,FALSE)=P$23,Itinerario!T192," ")," ")</f>
        <v xml:space="preserve"> </v>
      </c>
      <c r="Q192" s="46" t="str">
        <f>_xlfn.IFNA(IF(VLOOKUP($D192,Organización_Modular!$F$10:$G$195,2,FALSE)=Q$23,Itinerario!W192," ")," ")</f>
        <v xml:space="preserve"> </v>
      </c>
      <c r="R192" s="46">
        <f>Organización_Modular!H178</f>
        <v>0</v>
      </c>
      <c r="S192" s="46">
        <f>Organización_Modular!I178</f>
        <v>0</v>
      </c>
      <c r="T192" s="90">
        <f t="shared" si="20"/>
        <v>0</v>
      </c>
      <c r="U192" s="46">
        <f t="shared" si="21"/>
        <v>0</v>
      </c>
      <c r="V192" s="46">
        <f t="shared" si="22"/>
        <v>0</v>
      </c>
      <c r="W192" s="90">
        <f t="shared" si="23"/>
        <v>0</v>
      </c>
      <c r="X192" s="95">
        <f t="shared" si="18"/>
        <v>0</v>
      </c>
    </row>
    <row r="193" spans="1:24" ht="18" hidden="1" customHeight="1" x14ac:dyDescent="0.2">
      <c r="A193" s="407"/>
      <c r="B193" s="313"/>
      <c r="C193" s="410"/>
      <c r="D193" s="409">
        <f>Organización_Modular!F179</f>
        <v>0</v>
      </c>
      <c r="E193" s="409"/>
      <c r="F193" s="46" t="str">
        <f>_xlfn.IFNA(IF(VLOOKUP($D193,Organización_Modular!$F$10:$G$195,2,FALSE)=F$23,Itinerario!T193," ")," ")</f>
        <v xml:space="preserve"> </v>
      </c>
      <c r="G193" s="46" t="str">
        <f>_xlfn.IFNA(IF(VLOOKUP($D193,Organización_Modular!$F$10:$G$195,2,FALSE)=G$23,Itinerario!W193," ")," ")</f>
        <v xml:space="preserve"> </v>
      </c>
      <c r="H193" s="46" t="str">
        <f>_xlfn.IFNA(IF(VLOOKUP($D193,Organización_Modular!$F$10:$G$195,2,FALSE)=H$23,Itinerario!T193," ")," ")</f>
        <v xml:space="preserve"> </v>
      </c>
      <c r="I193" s="46" t="str">
        <f>_xlfn.IFNA(IF(VLOOKUP($D193,Organización_Modular!$F$10:$G$195,2,FALSE)=I$23,Itinerario!W193," ")," ")</f>
        <v xml:space="preserve"> </v>
      </c>
      <c r="J193" s="46" t="str">
        <f>_xlfn.IFNA(IF(VLOOKUP($D193,Organización_Modular!$F$10:$G$195,2,FALSE)=J$23,Itinerario!T193," ")," ")</f>
        <v xml:space="preserve"> </v>
      </c>
      <c r="K193" s="46" t="str">
        <f>_xlfn.IFNA(IF(VLOOKUP($D193,Organización_Modular!$F$10:$G$195,2,FALSE)=K$23,Itinerario!W193," ")," ")</f>
        <v xml:space="preserve"> </v>
      </c>
      <c r="L193" s="46" t="str">
        <f>_xlfn.IFNA(IF(VLOOKUP($D193,Organización_Modular!$F$10:$G$195,2,FALSE)=L$23,Itinerario!T193," ")," ")</f>
        <v xml:space="preserve"> </v>
      </c>
      <c r="M193" s="46" t="str">
        <f>_xlfn.IFNA(IF(VLOOKUP($D193,Organización_Modular!$F$10:$G$195,2,FALSE)=M$23,Itinerario!W193," ")," ")</f>
        <v xml:space="preserve"> </v>
      </c>
      <c r="N193" s="46" t="str">
        <f>_xlfn.IFNA(IF(VLOOKUP($D193,Organización_Modular!$F$10:$G$195,2,FALSE)=N$23,Itinerario!T193," ")," ")</f>
        <v xml:space="preserve"> </v>
      </c>
      <c r="O193" s="46" t="str">
        <f>_xlfn.IFNA(IF(VLOOKUP($D193,Organización_Modular!$F$10:$G$195,2,FALSE)=O$23,Itinerario!W193," ")," ")</f>
        <v xml:space="preserve"> </v>
      </c>
      <c r="P193" s="46" t="str">
        <f>_xlfn.IFNA(IF(VLOOKUP($D193,Organización_Modular!$F$10:$G$195,2,FALSE)=P$23,Itinerario!T193," ")," ")</f>
        <v xml:space="preserve"> </v>
      </c>
      <c r="Q193" s="46" t="str">
        <f>_xlfn.IFNA(IF(VLOOKUP($D193,Organización_Modular!$F$10:$G$195,2,FALSE)=Q$23,Itinerario!W193," ")," ")</f>
        <v xml:space="preserve"> </v>
      </c>
      <c r="R193" s="46">
        <f>Organización_Modular!H179</f>
        <v>0</v>
      </c>
      <c r="S193" s="46">
        <f>Organización_Modular!I179</f>
        <v>0</v>
      </c>
      <c r="T193" s="90">
        <f t="shared" si="20"/>
        <v>0</v>
      </c>
      <c r="U193" s="46">
        <f t="shared" si="21"/>
        <v>0</v>
      </c>
      <c r="V193" s="46">
        <f t="shared" si="22"/>
        <v>0</v>
      </c>
      <c r="W193" s="90">
        <f t="shared" si="23"/>
        <v>0</v>
      </c>
      <c r="X193" s="95">
        <f t="shared" si="18"/>
        <v>0</v>
      </c>
    </row>
    <row r="194" spans="1:24" ht="18" hidden="1" customHeight="1" x14ac:dyDescent="0.2">
      <c r="A194" s="407"/>
      <c r="B194" s="313"/>
      <c r="C194" s="410"/>
      <c r="D194" s="409">
        <f>Organización_Modular!F180</f>
        <v>0</v>
      </c>
      <c r="E194" s="409"/>
      <c r="F194" s="46" t="str">
        <f>_xlfn.IFNA(IF(VLOOKUP($D194,Organización_Modular!$F$10:$G$195,2,FALSE)=F$23,Itinerario!T194," ")," ")</f>
        <v xml:space="preserve"> </v>
      </c>
      <c r="G194" s="46" t="str">
        <f>_xlfn.IFNA(IF(VLOOKUP($D194,Organización_Modular!$F$10:$G$195,2,FALSE)=G$23,Itinerario!W194," ")," ")</f>
        <v xml:space="preserve"> </v>
      </c>
      <c r="H194" s="46" t="str">
        <f>_xlfn.IFNA(IF(VLOOKUP($D194,Organización_Modular!$F$10:$G$195,2,FALSE)=H$23,Itinerario!T194," ")," ")</f>
        <v xml:space="preserve"> </v>
      </c>
      <c r="I194" s="46" t="str">
        <f>_xlfn.IFNA(IF(VLOOKUP($D194,Organización_Modular!$F$10:$G$195,2,FALSE)=I$23,Itinerario!W194," ")," ")</f>
        <v xml:space="preserve"> </v>
      </c>
      <c r="J194" s="46" t="str">
        <f>_xlfn.IFNA(IF(VLOOKUP($D194,Organización_Modular!$F$10:$G$195,2,FALSE)=J$23,Itinerario!T194," ")," ")</f>
        <v xml:space="preserve"> </v>
      </c>
      <c r="K194" s="46" t="str">
        <f>_xlfn.IFNA(IF(VLOOKUP($D194,Organización_Modular!$F$10:$G$195,2,FALSE)=K$23,Itinerario!W194," ")," ")</f>
        <v xml:space="preserve"> </v>
      </c>
      <c r="L194" s="46" t="str">
        <f>_xlfn.IFNA(IF(VLOOKUP($D194,Organización_Modular!$F$10:$G$195,2,FALSE)=L$23,Itinerario!T194," ")," ")</f>
        <v xml:space="preserve"> </v>
      </c>
      <c r="M194" s="46" t="str">
        <f>_xlfn.IFNA(IF(VLOOKUP($D194,Organización_Modular!$F$10:$G$195,2,FALSE)=M$23,Itinerario!W194," ")," ")</f>
        <v xml:space="preserve"> </v>
      </c>
      <c r="N194" s="46" t="str">
        <f>_xlfn.IFNA(IF(VLOOKUP($D194,Organización_Modular!$F$10:$G$195,2,FALSE)=N$23,Itinerario!T194," ")," ")</f>
        <v xml:space="preserve"> </v>
      </c>
      <c r="O194" s="46" t="str">
        <f>_xlfn.IFNA(IF(VLOOKUP($D194,Organización_Modular!$F$10:$G$195,2,FALSE)=O$23,Itinerario!W194," ")," ")</f>
        <v xml:space="preserve"> </v>
      </c>
      <c r="P194" s="46" t="str">
        <f>_xlfn.IFNA(IF(VLOOKUP($D194,Organización_Modular!$F$10:$G$195,2,FALSE)=P$23,Itinerario!T194," ")," ")</f>
        <v xml:space="preserve"> </v>
      </c>
      <c r="Q194" s="46" t="str">
        <f>_xlfn.IFNA(IF(VLOOKUP($D194,Organización_Modular!$F$10:$G$195,2,FALSE)=Q$23,Itinerario!W194," ")," ")</f>
        <v xml:space="preserve"> </v>
      </c>
      <c r="R194" s="46">
        <f>Organización_Modular!H180</f>
        <v>0</v>
      </c>
      <c r="S194" s="46">
        <f>Organización_Modular!I180</f>
        <v>0</v>
      </c>
      <c r="T194" s="90">
        <f t="shared" si="20"/>
        <v>0</v>
      </c>
      <c r="U194" s="46">
        <f t="shared" si="21"/>
        <v>0</v>
      </c>
      <c r="V194" s="46">
        <f t="shared" si="22"/>
        <v>0</v>
      </c>
      <c r="W194" s="90">
        <f t="shared" si="23"/>
        <v>0</v>
      </c>
      <c r="X194" s="95">
        <f t="shared" si="18"/>
        <v>0</v>
      </c>
    </row>
    <row r="195" spans="1:24" ht="18" hidden="1" customHeight="1" x14ac:dyDescent="0.2">
      <c r="A195" s="407"/>
      <c r="B195" s="313"/>
      <c r="C195" s="410"/>
      <c r="D195" s="409">
        <f>Organización_Modular!F181</f>
        <v>0</v>
      </c>
      <c r="E195" s="409"/>
      <c r="F195" s="46" t="str">
        <f>_xlfn.IFNA(IF(VLOOKUP($D195,Organización_Modular!$F$10:$G$195,2,FALSE)=F$23,Itinerario!T195," ")," ")</f>
        <v xml:space="preserve"> </v>
      </c>
      <c r="G195" s="46" t="str">
        <f>_xlfn.IFNA(IF(VLOOKUP($D195,Organización_Modular!$F$10:$G$195,2,FALSE)=G$23,Itinerario!W195," ")," ")</f>
        <v xml:space="preserve"> </v>
      </c>
      <c r="H195" s="46" t="str">
        <f>_xlfn.IFNA(IF(VLOOKUP($D195,Organización_Modular!$F$10:$G$195,2,FALSE)=H$23,Itinerario!T195," ")," ")</f>
        <v xml:space="preserve"> </v>
      </c>
      <c r="I195" s="46" t="str">
        <f>_xlfn.IFNA(IF(VLOOKUP($D195,Organización_Modular!$F$10:$G$195,2,FALSE)=I$23,Itinerario!W195," ")," ")</f>
        <v xml:space="preserve"> </v>
      </c>
      <c r="J195" s="46" t="str">
        <f>_xlfn.IFNA(IF(VLOOKUP($D195,Organización_Modular!$F$10:$G$195,2,FALSE)=J$23,Itinerario!T195," ")," ")</f>
        <v xml:space="preserve"> </v>
      </c>
      <c r="K195" s="46" t="str">
        <f>_xlfn.IFNA(IF(VLOOKUP($D195,Organización_Modular!$F$10:$G$195,2,FALSE)=K$23,Itinerario!W195," ")," ")</f>
        <v xml:space="preserve"> </v>
      </c>
      <c r="L195" s="46" t="str">
        <f>_xlfn.IFNA(IF(VLOOKUP($D195,Organización_Modular!$F$10:$G$195,2,FALSE)=L$23,Itinerario!T195," ")," ")</f>
        <v xml:space="preserve"> </v>
      </c>
      <c r="M195" s="46" t="str">
        <f>_xlfn.IFNA(IF(VLOOKUP($D195,Organización_Modular!$F$10:$G$195,2,FALSE)=M$23,Itinerario!W195," ")," ")</f>
        <v xml:space="preserve"> </v>
      </c>
      <c r="N195" s="46" t="str">
        <f>_xlfn.IFNA(IF(VLOOKUP($D195,Organización_Modular!$F$10:$G$195,2,FALSE)=N$23,Itinerario!T195," ")," ")</f>
        <v xml:space="preserve"> </v>
      </c>
      <c r="O195" s="46" t="str">
        <f>_xlfn.IFNA(IF(VLOOKUP($D195,Organización_Modular!$F$10:$G$195,2,FALSE)=O$23,Itinerario!W195," ")," ")</f>
        <v xml:space="preserve"> </v>
      </c>
      <c r="P195" s="46" t="str">
        <f>_xlfn.IFNA(IF(VLOOKUP($D195,Organización_Modular!$F$10:$G$195,2,FALSE)=P$23,Itinerario!T195," ")," ")</f>
        <v xml:space="preserve"> </v>
      </c>
      <c r="Q195" s="46" t="str">
        <f>_xlfn.IFNA(IF(VLOOKUP($D195,Organización_Modular!$F$10:$G$195,2,FALSE)=Q$23,Itinerario!W195," ")," ")</f>
        <v xml:space="preserve"> </v>
      </c>
      <c r="R195" s="46">
        <f>Organización_Modular!H181</f>
        <v>0</v>
      </c>
      <c r="S195" s="46">
        <f>Organización_Modular!I181</f>
        <v>0</v>
      </c>
      <c r="T195" s="90">
        <f t="shared" si="20"/>
        <v>0</v>
      </c>
      <c r="U195" s="46">
        <f t="shared" si="21"/>
        <v>0</v>
      </c>
      <c r="V195" s="46">
        <f t="shared" si="22"/>
        <v>0</v>
      </c>
      <c r="W195" s="90">
        <f t="shared" si="23"/>
        <v>0</v>
      </c>
      <c r="X195" s="95">
        <f t="shared" si="18"/>
        <v>0</v>
      </c>
    </row>
    <row r="196" spans="1:24" ht="18" hidden="1" customHeight="1" x14ac:dyDescent="0.2">
      <c r="A196" s="407"/>
      <c r="B196" s="313"/>
      <c r="C196" s="410"/>
      <c r="D196" s="409">
        <f>Organización_Modular!F182</f>
        <v>0</v>
      </c>
      <c r="E196" s="409"/>
      <c r="F196" s="46" t="str">
        <f>_xlfn.IFNA(IF(VLOOKUP($D196,Organización_Modular!$F$10:$G$195,2,FALSE)=F$23,Itinerario!T196," ")," ")</f>
        <v xml:space="preserve"> </v>
      </c>
      <c r="G196" s="46" t="str">
        <f>_xlfn.IFNA(IF(VLOOKUP($D196,Organización_Modular!$F$10:$G$195,2,FALSE)=G$23,Itinerario!W196," ")," ")</f>
        <v xml:space="preserve"> </v>
      </c>
      <c r="H196" s="46" t="str">
        <f>_xlfn.IFNA(IF(VLOOKUP($D196,Organización_Modular!$F$10:$G$195,2,FALSE)=H$23,Itinerario!T196," ")," ")</f>
        <v xml:space="preserve"> </v>
      </c>
      <c r="I196" s="46" t="str">
        <f>_xlfn.IFNA(IF(VLOOKUP($D196,Organización_Modular!$F$10:$G$195,2,FALSE)=I$23,Itinerario!W196," ")," ")</f>
        <v xml:space="preserve"> </v>
      </c>
      <c r="J196" s="46" t="str">
        <f>_xlfn.IFNA(IF(VLOOKUP($D196,Organización_Modular!$F$10:$G$195,2,FALSE)=J$23,Itinerario!T196," ")," ")</f>
        <v xml:space="preserve"> </v>
      </c>
      <c r="K196" s="46" t="str">
        <f>_xlfn.IFNA(IF(VLOOKUP($D196,Organización_Modular!$F$10:$G$195,2,FALSE)=K$23,Itinerario!W196," ")," ")</f>
        <v xml:space="preserve"> </v>
      </c>
      <c r="L196" s="46" t="str">
        <f>_xlfn.IFNA(IF(VLOOKUP($D196,Organización_Modular!$F$10:$G$195,2,FALSE)=L$23,Itinerario!T196," ")," ")</f>
        <v xml:space="preserve"> </v>
      </c>
      <c r="M196" s="46" t="str">
        <f>_xlfn.IFNA(IF(VLOOKUP($D196,Organización_Modular!$F$10:$G$195,2,FALSE)=M$23,Itinerario!W196," ")," ")</f>
        <v xml:space="preserve"> </v>
      </c>
      <c r="N196" s="46" t="str">
        <f>_xlfn.IFNA(IF(VLOOKUP($D196,Organización_Modular!$F$10:$G$195,2,FALSE)=N$23,Itinerario!T196," ")," ")</f>
        <v xml:space="preserve"> </v>
      </c>
      <c r="O196" s="46" t="str">
        <f>_xlfn.IFNA(IF(VLOOKUP($D196,Organización_Modular!$F$10:$G$195,2,FALSE)=O$23,Itinerario!W196," ")," ")</f>
        <v xml:space="preserve"> </v>
      </c>
      <c r="P196" s="46" t="str">
        <f>_xlfn.IFNA(IF(VLOOKUP($D196,Organización_Modular!$F$10:$G$195,2,FALSE)=P$23,Itinerario!T196," ")," ")</f>
        <v xml:space="preserve"> </v>
      </c>
      <c r="Q196" s="46" t="str">
        <f>_xlfn.IFNA(IF(VLOOKUP($D196,Organización_Modular!$F$10:$G$195,2,FALSE)=Q$23,Itinerario!W196," ")," ")</f>
        <v xml:space="preserve"> </v>
      </c>
      <c r="R196" s="46">
        <f>Organización_Modular!H182</f>
        <v>0</v>
      </c>
      <c r="S196" s="46">
        <f>Organización_Modular!I182</f>
        <v>0</v>
      </c>
      <c r="T196" s="90">
        <f t="shared" si="20"/>
        <v>0</v>
      </c>
      <c r="U196" s="46">
        <f t="shared" si="21"/>
        <v>0</v>
      </c>
      <c r="V196" s="46">
        <f t="shared" si="22"/>
        <v>0</v>
      </c>
      <c r="W196" s="90">
        <f t="shared" si="23"/>
        <v>0</v>
      </c>
      <c r="X196" s="95">
        <f t="shared" si="18"/>
        <v>0</v>
      </c>
    </row>
    <row r="197" spans="1:24" ht="18" hidden="1" customHeight="1" x14ac:dyDescent="0.2">
      <c r="A197" s="407"/>
      <c r="B197" s="313"/>
      <c r="C197" s="410"/>
      <c r="D197" s="409">
        <f>Organización_Modular!F183</f>
        <v>0</v>
      </c>
      <c r="E197" s="409"/>
      <c r="F197" s="46" t="str">
        <f>_xlfn.IFNA(IF(VLOOKUP($D197,Organización_Modular!$F$10:$G$195,2,FALSE)=F$23,Itinerario!T197," ")," ")</f>
        <v xml:space="preserve"> </v>
      </c>
      <c r="G197" s="46" t="str">
        <f>_xlfn.IFNA(IF(VLOOKUP($D197,Organización_Modular!$F$10:$G$195,2,FALSE)=G$23,Itinerario!W197," ")," ")</f>
        <v xml:space="preserve"> </v>
      </c>
      <c r="H197" s="46" t="str">
        <f>_xlfn.IFNA(IF(VLOOKUP($D197,Organización_Modular!$F$10:$G$195,2,FALSE)=H$23,Itinerario!T197," ")," ")</f>
        <v xml:space="preserve"> </v>
      </c>
      <c r="I197" s="46" t="str">
        <f>_xlfn.IFNA(IF(VLOOKUP($D197,Organización_Modular!$F$10:$G$195,2,FALSE)=I$23,Itinerario!W197," ")," ")</f>
        <v xml:space="preserve"> </v>
      </c>
      <c r="J197" s="46" t="str">
        <f>_xlfn.IFNA(IF(VLOOKUP($D197,Organización_Modular!$F$10:$G$195,2,FALSE)=J$23,Itinerario!T197," ")," ")</f>
        <v xml:space="preserve"> </v>
      </c>
      <c r="K197" s="46" t="str">
        <f>_xlfn.IFNA(IF(VLOOKUP($D197,Organización_Modular!$F$10:$G$195,2,FALSE)=K$23,Itinerario!W197," ")," ")</f>
        <v xml:space="preserve"> </v>
      </c>
      <c r="L197" s="46" t="str">
        <f>_xlfn.IFNA(IF(VLOOKUP($D197,Organización_Modular!$F$10:$G$195,2,FALSE)=L$23,Itinerario!T197," ")," ")</f>
        <v xml:space="preserve"> </v>
      </c>
      <c r="M197" s="46" t="str">
        <f>_xlfn.IFNA(IF(VLOOKUP($D197,Organización_Modular!$F$10:$G$195,2,FALSE)=M$23,Itinerario!W197," ")," ")</f>
        <v xml:space="preserve"> </v>
      </c>
      <c r="N197" s="46" t="str">
        <f>_xlfn.IFNA(IF(VLOOKUP($D197,Organización_Modular!$F$10:$G$195,2,FALSE)=N$23,Itinerario!T197," ")," ")</f>
        <v xml:space="preserve"> </v>
      </c>
      <c r="O197" s="46" t="str">
        <f>_xlfn.IFNA(IF(VLOOKUP($D197,Organización_Modular!$F$10:$G$195,2,FALSE)=O$23,Itinerario!W197," ")," ")</f>
        <v xml:space="preserve"> </v>
      </c>
      <c r="P197" s="46" t="str">
        <f>_xlfn.IFNA(IF(VLOOKUP($D197,Organización_Modular!$F$10:$G$195,2,FALSE)=P$23,Itinerario!T197," ")," ")</f>
        <v xml:space="preserve"> </v>
      </c>
      <c r="Q197" s="46" t="str">
        <f>_xlfn.IFNA(IF(VLOOKUP($D197,Organización_Modular!$F$10:$G$195,2,FALSE)=Q$23,Itinerario!W197," ")," ")</f>
        <v xml:space="preserve"> </v>
      </c>
      <c r="R197" s="46">
        <f>Organización_Modular!H183</f>
        <v>0</v>
      </c>
      <c r="S197" s="46">
        <f>Organización_Modular!I183</f>
        <v>0</v>
      </c>
      <c r="T197" s="90">
        <f t="shared" si="20"/>
        <v>0</v>
      </c>
      <c r="U197" s="46">
        <f t="shared" si="21"/>
        <v>0</v>
      </c>
      <c r="V197" s="46">
        <f t="shared" si="22"/>
        <v>0</v>
      </c>
      <c r="W197" s="90">
        <f t="shared" si="23"/>
        <v>0</v>
      </c>
      <c r="X197" s="95">
        <f t="shared" si="18"/>
        <v>0</v>
      </c>
    </row>
    <row r="198" spans="1:24" ht="18" hidden="1" customHeight="1" x14ac:dyDescent="0.2">
      <c r="A198" s="407"/>
      <c r="B198" s="313"/>
      <c r="C198" s="410"/>
      <c r="D198" s="409">
        <f>Organización_Modular!F184</f>
        <v>0</v>
      </c>
      <c r="E198" s="409"/>
      <c r="F198" s="46" t="str">
        <f>_xlfn.IFNA(IF(VLOOKUP($D198,Organización_Modular!$F$10:$G$195,2,FALSE)=F$23,Itinerario!T198," ")," ")</f>
        <v xml:space="preserve"> </v>
      </c>
      <c r="G198" s="46" t="str">
        <f>_xlfn.IFNA(IF(VLOOKUP($D198,Organización_Modular!$F$10:$G$195,2,FALSE)=G$23,Itinerario!W198," ")," ")</f>
        <v xml:space="preserve"> </v>
      </c>
      <c r="H198" s="46" t="str">
        <f>_xlfn.IFNA(IF(VLOOKUP($D198,Organización_Modular!$F$10:$G$195,2,FALSE)=H$23,Itinerario!T198," ")," ")</f>
        <v xml:space="preserve"> </v>
      </c>
      <c r="I198" s="46" t="str">
        <f>_xlfn.IFNA(IF(VLOOKUP($D198,Organización_Modular!$F$10:$G$195,2,FALSE)=I$23,Itinerario!W198," ")," ")</f>
        <v xml:space="preserve"> </v>
      </c>
      <c r="J198" s="46" t="str">
        <f>_xlfn.IFNA(IF(VLOOKUP($D198,Organización_Modular!$F$10:$G$195,2,FALSE)=J$23,Itinerario!T198," ")," ")</f>
        <v xml:space="preserve"> </v>
      </c>
      <c r="K198" s="46" t="str">
        <f>_xlfn.IFNA(IF(VLOOKUP($D198,Organización_Modular!$F$10:$G$195,2,FALSE)=K$23,Itinerario!W198," ")," ")</f>
        <v xml:space="preserve"> </v>
      </c>
      <c r="L198" s="46" t="str">
        <f>_xlfn.IFNA(IF(VLOOKUP($D198,Organización_Modular!$F$10:$G$195,2,FALSE)=L$23,Itinerario!T198," ")," ")</f>
        <v xml:space="preserve"> </v>
      </c>
      <c r="M198" s="46" t="str">
        <f>_xlfn.IFNA(IF(VLOOKUP($D198,Organización_Modular!$F$10:$G$195,2,FALSE)=M$23,Itinerario!W198," ")," ")</f>
        <v xml:space="preserve"> </v>
      </c>
      <c r="N198" s="46" t="str">
        <f>_xlfn.IFNA(IF(VLOOKUP($D198,Organización_Modular!$F$10:$G$195,2,FALSE)=N$23,Itinerario!T198," ")," ")</f>
        <v xml:space="preserve"> </v>
      </c>
      <c r="O198" s="46" t="str">
        <f>_xlfn.IFNA(IF(VLOOKUP($D198,Organización_Modular!$F$10:$G$195,2,FALSE)=O$23,Itinerario!W198," ")," ")</f>
        <v xml:space="preserve"> </v>
      </c>
      <c r="P198" s="46" t="str">
        <f>_xlfn.IFNA(IF(VLOOKUP($D198,Organización_Modular!$F$10:$G$195,2,FALSE)=P$23,Itinerario!T198," ")," ")</f>
        <v xml:space="preserve"> </v>
      </c>
      <c r="Q198" s="46" t="str">
        <f>_xlfn.IFNA(IF(VLOOKUP($D198,Organización_Modular!$F$10:$G$195,2,FALSE)=Q$23,Itinerario!W198," ")," ")</f>
        <v xml:space="preserve"> </v>
      </c>
      <c r="R198" s="46">
        <f>Organización_Modular!H184</f>
        <v>0</v>
      </c>
      <c r="S198" s="46">
        <f>Organización_Modular!I184</f>
        <v>0</v>
      </c>
      <c r="T198" s="90">
        <f t="shared" si="20"/>
        <v>0</v>
      </c>
      <c r="U198" s="46">
        <f t="shared" si="21"/>
        <v>0</v>
      </c>
      <c r="V198" s="46">
        <f t="shared" si="22"/>
        <v>0</v>
      </c>
      <c r="W198" s="90">
        <f t="shared" si="23"/>
        <v>0</v>
      </c>
      <c r="X198" s="95">
        <f t="shared" si="18"/>
        <v>0</v>
      </c>
    </row>
    <row r="199" spans="1:24" ht="18" hidden="1" customHeight="1" x14ac:dyDescent="0.2">
      <c r="A199" s="407"/>
      <c r="B199" s="314" t="str">
        <f>B44</f>
        <v>Competencias para la empleabilidad</v>
      </c>
      <c r="C199" s="410">
        <f>Organización_Modular!C185</f>
        <v>0</v>
      </c>
      <c r="D199" s="409">
        <f>Organización_Modular!F185</f>
        <v>0</v>
      </c>
      <c r="E199" s="409"/>
      <c r="F199" s="46" t="str">
        <f>_xlfn.IFNA(IF(VLOOKUP($D199,Organización_Modular!$F$10:$G$195,2,FALSE)=F$23,Itinerario!T199," ")," ")</f>
        <v xml:space="preserve"> </v>
      </c>
      <c r="G199" s="46" t="str">
        <f>_xlfn.IFNA(IF(VLOOKUP($D199,Organización_Modular!$F$10:$G$195,2,FALSE)=G$23,Itinerario!W199," ")," ")</f>
        <v xml:space="preserve"> </v>
      </c>
      <c r="H199" s="46" t="str">
        <f>_xlfn.IFNA(IF(VLOOKUP($D199,Organización_Modular!$F$10:$G$195,2,FALSE)=H$23,Itinerario!T199," ")," ")</f>
        <v xml:space="preserve"> </v>
      </c>
      <c r="I199" s="46" t="str">
        <f>_xlfn.IFNA(IF(VLOOKUP($D199,Organización_Modular!$F$10:$G$195,2,FALSE)=I$23,Itinerario!W199," ")," ")</f>
        <v xml:space="preserve"> </v>
      </c>
      <c r="J199" s="46" t="str">
        <f>_xlfn.IFNA(IF(VLOOKUP($D199,Organización_Modular!$F$10:$G$195,2,FALSE)=J$23,Itinerario!T199," ")," ")</f>
        <v xml:space="preserve"> </v>
      </c>
      <c r="K199" s="46" t="str">
        <f>_xlfn.IFNA(IF(VLOOKUP($D199,Organización_Modular!$F$10:$G$195,2,FALSE)=K$23,Itinerario!W199," ")," ")</f>
        <v xml:space="preserve"> </v>
      </c>
      <c r="L199" s="46" t="str">
        <f>_xlfn.IFNA(IF(VLOOKUP($D199,Organización_Modular!$F$10:$G$195,2,FALSE)=L$23,Itinerario!T199," ")," ")</f>
        <v xml:space="preserve"> </v>
      </c>
      <c r="M199" s="46" t="str">
        <f>_xlfn.IFNA(IF(VLOOKUP($D199,Organización_Modular!$F$10:$G$195,2,FALSE)=M$23,Itinerario!W199," ")," ")</f>
        <v xml:space="preserve"> </v>
      </c>
      <c r="N199" s="46" t="str">
        <f>_xlfn.IFNA(IF(VLOOKUP($D199,Organización_Modular!$F$10:$G$195,2,FALSE)=N$23,Itinerario!T199," ")," ")</f>
        <v xml:space="preserve"> </v>
      </c>
      <c r="O199" s="46" t="str">
        <f>_xlfn.IFNA(IF(VLOOKUP($D199,Organización_Modular!$F$10:$G$195,2,FALSE)=O$23,Itinerario!W199," ")," ")</f>
        <v xml:space="preserve"> </v>
      </c>
      <c r="P199" s="46" t="str">
        <f>_xlfn.IFNA(IF(VLOOKUP($D199,Organización_Modular!$F$10:$G$195,2,FALSE)=P$23,Itinerario!T199," ")," ")</f>
        <v xml:space="preserve"> </v>
      </c>
      <c r="Q199" s="46" t="str">
        <f>_xlfn.IFNA(IF(VLOOKUP($D199,Organización_Modular!$F$10:$G$195,2,FALSE)=Q$23,Itinerario!W199," ")," ")</f>
        <v xml:space="preserve"> </v>
      </c>
      <c r="R199" s="46">
        <f>Organización_Modular!H185</f>
        <v>0</v>
      </c>
      <c r="S199" s="46">
        <f>Organización_Modular!I185</f>
        <v>0</v>
      </c>
      <c r="T199" s="90">
        <f t="shared" si="20"/>
        <v>0</v>
      </c>
      <c r="U199" s="46">
        <f t="shared" si="21"/>
        <v>0</v>
      </c>
      <c r="V199" s="46">
        <f t="shared" si="22"/>
        <v>0</v>
      </c>
      <c r="W199" s="90">
        <f t="shared" si="23"/>
        <v>0</v>
      </c>
      <c r="X199" s="95">
        <f t="shared" si="18"/>
        <v>0</v>
      </c>
    </row>
    <row r="200" spans="1:24" ht="18" hidden="1" customHeight="1" x14ac:dyDescent="0.2">
      <c r="A200" s="407"/>
      <c r="B200" s="314"/>
      <c r="C200" s="410"/>
      <c r="D200" s="409">
        <f>Organización_Modular!F186</f>
        <v>0</v>
      </c>
      <c r="E200" s="409"/>
      <c r="F200" s="46" t="str">
        <f>_xlfn.IFNA(IF(VLOOKUP($D200,Organización_Modular!$F$10:$G$195,2,FALSE)=F$23,Itinerario!T200," ")," ")</f>
        <v xml:space="preserve"> </v>
      </c>
      <c r="G200" s="46" t="str">
        <f>_xlfn.IFNA(IF(VLOOKUP($D200,Organización_Modular!$F$10:$G$195,2,FALSE)=G$23,Itinerario!W200," ")," ")</f>
        <v xml:space="preserve"> </v>
      </c>
      <c r="H200" s="46" t="str">
        <f>_xlfn.IFNA(IF(VLOOKUP($D200,Organización_Modular!$F$10:$G$195,2,FALSE)=H$23,Itinerario!T200," ")," ")</f>
        <v xml:space="preserve"> </v>
      </c>
      <c r="I200" s="46" t="str">
        <f>_xlfn.IFNA(IF(VLOOKUP($D200,Organización_Modular!$F$10:$G$195,2,FALSE)=I$23,Itinerario!W200," ")," ")</f>
        <v xml:space="preserve"> </v>
      </c>
      <c r="J200" s="46" t="str">
        <f>_xlfn.IFNA(IF(VLOOKUP($D200,Organización_Modular!$F$10:$G$195,2,FALSE)=J$23,Itinerario!T200," ")," ")</f>
        <v xml:space="preserve"> </v>
      </c>
      <c r="K200" s="46" t="str">
        <f>_xlfn.IFNA(IF(VLOOKUP($D200,Organización_Modular!$F$10:$G$195,2,FALSE)=K$23,Itinerario!W200," ")," ")</f>
        <v xml:space="preserve"> </v>
      </c>
      <c r="L200" s="46" t="str">
        <f>_xlfn.IFNA(IF(VLOOKUP($D200,Organización_Modular!$F$10:$G$195,2,FALSE)=L$23,Itinerario!T200," ")," ")</f>
        <v xml:space="preserve"> </v>
      </c>
      <c r="M200" s="46" t="str">
        <f>_xlfn.IFNA(IF(VLOOKUP($D200,Organización_Modular!$F$10:$G$195,2,FALSE)=M$23,Itinerario!W200," ")," ")</f>
        <v xml:space="preserve"> </v>
      </c>
      <c r="N200" s="46" t="str">
        <f>_xlfn.IFNA(IF(VLOOKUP($D200,Organización_Modular!$F$10:$G$195,2,FALSE)=N$23,Itinerario!T200," ")," ")</f>
        <v xml:space="preserve"> </v>
      </c>
      <c r="O200" s="46" t="str">
        <f>_xlfn.IFNA(IF(VLOOKUP($D200,Organización_Modular!$F$10:$G$195,2,FALSE)=O$23,Itinerario!W200," ")," ")</f>
        <v xml:space="preserve"> </v>
      </c>
      <c r="P200" s="46" t="str">
        <f>_xlfn.IFNA(IF(VLOOKUP($D200,Organización_Modular!$F$10:$G$195,2,FALSE)=P$23,Itinerario!T200," ")," ")</f>
        <v xml:space="preserve"> </v>
      </c>
      <c r="Q200" s="46" t="str">
        <f>_xlfn.IFNA(IF(VLOOKUP($D200,Organización_Modular!$F$10:$G$195,2,FALSE)=Q$23,Itinerario!W200," ")," ")</f>
        <v xml:space="preserve"> </v>
      </c>
      <c r="R200" s="46">
        <f>Organización_Modular!H186</f>
        <v>0</v>
      </c>
      <c r="S200" s="46">
        <f>Organización_Modular!I186</f>
        <v>0</v>
      </c>
      <c r="T200" s="90">
        <f t="shared" si="20"/>
        <v>0</v>
      </c>
      <c r="U200" s="46">
        <f t="shared" si="21"/>
        <v>0</v>
      </c>
      <c r="V200" s="46">
        <f t="shared" si="22"/>
        <v>0</v>
      </c>
      <c r="W200" s="90">
        <f t="shared" si="23"/>
        <v>0</v>
      </c>
      <c r="X200" s="95">
        <f t="shared" si="18"/>
        <v>0</v>
      </c>
    </row>
    <row r="201" spans="1:24" ht="18" hidden="1" customHeight="1" x14ac:dyDescent="0.2">
      <c r="A201" s="407"/>
      <c r="B201" s="314"/>
      <c r="C201" s="410"/>
      <c r="D201" s="409">
        <f>Organización_Modular!F187</f>
        <v>0</v>
      </c>
      <c r="E201" s="409"/>
      <c r="F201" s="46" t="str">
        <f>_xlfn.IFNA(IF(VLOOKUP($D201,Organización_Modular!$F$10:$G$195,2,FALSE)=F$23,Itinerario!T201," ")," ")</f>
        <v xml:space="preserve"> </v>
      </c>
      <c r="G201" s="46" t="str">
        <f>_xlfn.IFNA(IF(VLOOKUP($D201,Organización_Modular!$F$10:$G$195,2,FALSE)=G$23,Itinerario!W201," ")," ")</f>
        <v xml:space="preserve"> </v>
      </c>
      <c r="H201" s="46" t="str">
        <f>_xlfn.IFNA(IF(VLOOKUP($D201,Organización_Modular!$F$10:$G$195,2,FALSE)=H$23,Itinerario!T201," ")," ")</f>
        <v xml:space="preserve"> </v>
      </c>
      <c r="I201" s="46" t="str">
        <f>_xlfn.IFNA(IF(VLOOKUP($D201,Organización_Modular!$F$10:$G$195,2,FALSE)=I$23,Itinerario!W201," ")," ")</f>
        <v xml:space="preserve"> </v>
      </c>
      <c r="J201" s="46" t="str">
        <f>_xlfn.IFNA(IF(VLOOKUP($D201,Organización_Modular!$F$10:$G$195,2,FALSE)=J$23,Itinerario!T201," ")," ")</f>
        <v xml:space="preserve"> </v>
      </c>
      <c r="K201" s="46" t="str">
        <f>_xlfn.IFNA(IF(VLOOKUP($D201,Organización_Modular!$F$10:$G$195,2,FALSE)=K$23,Itinerario!W201," ")," ")</f>
        <v xml:space="preserve"> </v>
      </c>
      <c r="L201" s="46" t="str">
        <f>_xlfn.IFNA(IF(VLOOKUP($D201,Organización_Modular!$F$10:$G$195,2,FALSE)=L$23,Itinerario!T201," ")," ")</f>
        <v xml:space="preserve"> </v>
      </c>
      <c r="M201" s="46" t="str">
        <f>_xlfn.IFNA(IF(VLOOKUP($D201,Organización_Modular!$F$10:$G$195,2,FALSE)=M$23,Itinerario!W201," ")," ")</f>
        <v xml:space="preserve"> </v>
      </c>
      <c r="N201" s="46" t="str">
        <f>_xlfn.IFNA(IF(VLOOKUP($D201,Organización_Modular!$F$10:$G$195,2,FALSE)=N$23,Itinerario!T201," ")," ")</f>
        <v xml:space="preserve"> </v>
      </c>
      <c r="O201" s="46" t="str">
        <f>_xlfn.IFNA(IF(VLOOKUP($D201,Organización_Modular!$F$10:$G$195,2,FALSE)=O$23,Itinerario!W201," ")," ")</f>
        <v xml:space="preserve"> </v>
      </c>
      <c r="P201" s="46" t="str">
        <f>_xlfn.IFNA(IF(VLOOKUP($D201,Organización_Modular!$F$10:$G$195,2,FALSE)=P$23,Itinerario!T201," ")," ")</f>
        <v xml:space="preserve"> </v>
      </c>
      <c r="Q201" s="46" t="str">
        <f>_xlfn.IFNA(IF(VLOOKUP($D201,Organización_Modular!$F$10:$G$195,2,FALSE)=Q$23,Itinerario!W201," ")," ")</f>
        <v xml:space="preserve"> </v>
      </c>
      <c r="R201" s="46">
        <f>Organización_Modular!H187</f>
        <v>0</v>
      </c>
      <c r="S201" s="46">
        <f>Organización_Modular!I187</f>
        <v>0</v>
      </c>
      <c r="T201" s="90">
        <f t="shared" si="20"/>
        <v>0</v>
      </c>
      <c r="U201" s="46">
        <f t="shared" si="21"/>
        <v>0</v>
      </c>
      <c r="V201" s="46">
        <f t="shared" si="22"/>
        <v>0</v>
      </c>
      <c r="W201" s="90">
        <f t="shared" si="23"/>
        <v>0</v>
      </c>
      <c r="X201" s="95">
        <f t="shared" si="18"/>
        <v>0</v>
      </c>
    </row>
    <row r="202" spans="1:24" ht="18" hidden="1" customHeight="1" x14ac:dyDescent="0.2">
      <c r="A202" s="407"/>
      <c r="B202" s="314"/>
      <c r="C202" s="410"/>
      <c r="D202" s="409">
        <f>Organización_Modular!F188</f>
        <v>0</v>
      </c>
      <c r="E202" s="409"/>
      <c r="F202" s="46" t="str">
        <f>_xlfn.IFNA(IF(VLOOKUP($D202,Organización_Modular!$F$10:$G$195,2,FALSE)=F$23,Itinerario!T202," ")," ")</f>
        <v xml:space="preserve"> </v>
      </c>
      <c r="G202" s="46" t="str">
        <f>_xlfn.IFNA(IF(VLOOKUP($D202,Organización_Modular!$F$10:$G$195,2,FALSE)=G$23,Itinerario!W202," ")," ")</f>
        <v xml:space="preserve"> </v>
      </c>
      <c r="H202" s="46" t="str">
        <f>_xlfn.IFNA(IF(VLOOKUP($D202,Organización_Modular!$F$10:$G$195,2,FALSE)=H$23,Itinerario!T202," ")," ")</f>
        <v xml:space="preserve"> </v>
      </c>
      <c r="I202" s="46" t="str">
        <f>_xlfn.IFNA(IF(VLOOKUP($D202,Organización_Modular!$F$10:$G$195,2,FALSE)=I$23,Itinerario!W202," ")," ")</f>
        <v xml:space="preserve"> </v>
      </c>
      <c r="J202" s="46" t="str">
        <f>_xlfn.IFNA(IF(VLOOKUP($D202,Organización_Modular!$F$10:$G$195,2,FALSE)=J$23,Itinerario!T202," ")," ")</f>
        <v xml:space="preserve"> </v>
      </c>
      <c r="K202" s="46" t="str">
        <f>_xlfn.IFNA(IF(VLOOKUP($D202,Organización_Modular!$F$10:$G$195,2,FALSE)=K$23,Itinerario!W202," ")," ")</f>
        <v xml:space="preserve"> </v>
      </c>
      <c r="L202" s="46" t="str">
        <f>_xlfn.IFNA(IF(VLOOKUP($D202,Organización_Modular!$F$10:$G$195,2,FALSE)=L$23,Itinerario!T202," ")," ")</f>
        <v xml:space="preserve"> </v>
      </c>
      <c r="M202" s="46" t="str">
        <f>_xlfn.IFNA(IF(VLOOKUP($D202,Organización_Modular!$F$10:$G$195,2,FALSE)=M$23,Itinerario!W202," ")," ")</f>
        <v xml:space="preserve"> </v>
      </c>
      <c r="N202" s="46" t="str">
        <f>_xlfn.IFNA(IF(VLOOKUP($D202,Organización_Modular!$F$10:$G$195,2,FALSE)=N$23,Itinerario!T202," ")," ")</f>
        <v xml:space="preserve"> </v>
      </c>
      <c r="O202" s="46" t="str">
        <f>_xlfn.IFNA(IF(VLOOKUP($D202,Organización_Modular!$F$10:$G$195,2,FALSE)=O$23,Itinerario!W202," ")," ")</f>
        <v xml:space="preserve"> </v>
      </c>
      <c r="P202" s="46" t="str">
        <f>_xlfn.IFNA(IF(VLOOKUP($D202,Organización_Modular!$F$10:$G$195,2,FALSE)=P$23,Itinerario!T202," ")," ")</f>
        <v xml:space="preserve"> </v>
      </c>
      <c r="Q202" s="46" t="str">
        <f>_xlfn.IFNA(IF(VLOOKUP($D202,Organización_Modular!$F$10:$G$195,2,FALSE)=Q$23,Itinerario!W202," ")," ")</f>
        <v xml:space="preserve"> </v>
      </c>
      <c r="R202" s="46">
        <f>Organización_Modular!H188</f>
        <v>0</v>
      </c>
      <c r="S202" s="46">
        <f>Organización_Modular!I188</f>
        <v>0</v>
      </c>
      <c r="T202" s="90">
        <f t="shared" si="20"/>
        <v>0</v>
      </c>
      <c r="U202" s="46">
        <f t="shared" si="21"/>
        <v>0</v>
      </c>
      <c r="V202" s="46">
        <f t="shared" si="22"/>
        <v>0</v>
      </c>
      <c r="W202" s="90">
        <f t="shared" si="23"/>
        <v>0</v>
      </c>
      <c r="X202" s="95">
        <f t="shared" si="18"/>
        <v>0</v>
      </c>
    </row>
    <row r="203" spans="1:24" ht="18" hidden="1" customHeight="1" x14ac:dyDescent="0.2">
      <c r="A203" s="407"/>
      <c r="B203" s="314"/>
      <c r="C203" s="410"/>
      <c r="D203" s="409">
        <f>Organización_Modular!F189</f>
        <v>0</v>
      </c>
      <c r="E203" s="409"/>
      <c r="F203" s="46" t="str">
        <f>_xlfn.IFNA(IF(VLOOKUP($D203,Organización_Modular!$F$10:$G$195,2,FALSE)=F$23,Itinerario!T203," ")," ")</f>
        <v xml:space="preserve"> </v>
      </c>
      <c r="G203" s="46" t="str">
        <f>_xlfn.IFNA(IF(VLOOKUP($D203,Organización_Modular!$F$10:$G$195,2,FALSE)=G$23,Itinerario!W203," ")," ")</f>
        <v xml:space="preserve"> </v>
      </c>
      <c r="H203" s="46" t="str">
        <f>_xlfn.IFNA(IF(VLOOKUP($D203,Organización_Modular!$F$10:$G$195,2,FALSE)=H$23,Itinerario!T203," ")," ")</f>
        <v xml:space="preserve"> </v>
      </c>
      <c r="I203" s="46" t="str">
        <f>_xlfn.IFNA(IF(VLOOKUP($D203,Organización_Modular!$F$10:$G$195,2,FALSE)=I$23,Itinerario!W203," ")," ")</f>
        <v xml:space="preserve"> </v>
      </c>
      <c r="J203" s="46" t="str">
        <f>_xlfn.IFNA(IF(VLOOKUP($D203,Organización_Modular!$F$10:$G$195,2,FALSE)=J$23,Itinerario!T203," ")," ")</f>
        <v xml:space="preserve"> </v>
      </c>
      <c r="K203" s="46" t="str">
        <f>_xlfn.IFNA(IF(VLOOKUP($D203,Organización_Modular!$F$10:$G$195,2,FALSE)=K$23,Itinerario!W203," ")," ")</f>
        <v xml:space="preserve"> </v>
      </c>
      <c r="L203" s="46" t="str">
        <f>_xlfn.IFNA(IF(VLOOKUP($D203,Organización_Modular!$F$10:$G$195,2,FALSE)=L$23,Itinerario!T203," ")," ")</f>
        <v xml:space="preserve"> </v>
      </c>
      <c r="M203" s="46" t="str">
        <f>_xlfn.IFNA(IF(VLOOKUP($D203,Organización_Modular!$F$10:$G$195,2,FALSE)=M$23,Itinerario!W203," ")," ")</f>
        <v xml:space="preserve"> </v>
      </c>
      <c r="N203" s="46" t="str">
        <f>_xlfn.IFNA(IF(VLOOKUP($D203,Organización_Modular!$F$10:$G$195,2,FALSE)=N$23,Itinerario!T203," ")," ")</f>
        <v xml:space="preserve"> </v>
      </c>
      <c r="O203" s="46" t="str">
        <f>_xlfn.IFNA(IF(VLOOKUP($D203,Organización_Modular!$F$10:$G$195,2,FALSE)=O$23,Itinerario!W203," ")," ")</f>
        <v xml:space="preserve"> </v>
      </c>
      <c r="P203" s="46" t="str">
        <f>_xlfn.IFNA(IF(VLOOKUP($D203,Organización_Modular!$F$10:$G$195,2,FALSE)=P$23,Itinerario!T203," ")," ")</f>
        <v xml:space="preserve"> </v>
      </c>
      <c r="Q203" s="46" t="str">
        <f>_xlfn.IFNA(IF(VLOOKUP($D203,Organización_Modular!$F$10:$G$195,2,FALSE)=Q$23,Itinerario!W203," ")," ")</f>
        <v xml:space="preserve"> </v>
      </c>
      <c r="R203" s="46">
        <f>Organización_Modular!H189</f>
        <v>0</v>
      </c>
      <c r="S203" s="46">
        <f>Organización_Modular!I189</f>
        <v>0</v>
      </c>
      <c r="T203" s="90">
        <f t="shared" si="20"/>
        <v>0</v>
      </c>
      <c r="U203" s="46">
        <f t="shared" si="21"/>
        <v>0</v>
      </c>
      <c r="V203" s="46">
        <f t="shared" si="22"/>
        <v>0</v>
      </c>
      <c r="W203" s="90">
        <f t="shared" si="23"/>
        <v>0</v>
      </c>
      <c r="X203" s="95">
        <f t="shared" si="18"/>
        <v>0</v>
      </c>
    </row>
    <row r="204" spans="1:24" ht="18" hidden="1" customHeight="1" x14ac:dyDescent="0.2">
      <c r="A204" s="407"/>
      <c r="B204" s="314"/>
      <c r="C204" s="410"/>
      <c r="D204" s="409">
        <f>Organización_Modular!F190</f>
        <v>0</v>
      </c>
      <c r="E204" s="409"/>
      <c r="F204" s="46" t="str">
        <f>_xlfn.IFNA(IF(VLOOKUP($D204,Organización_Modular!$F$10:$G$195,2,FALSE)=F$23,Itinerario!T204," ")," ")</f>
        <v xml:space="preserve"> </v>
      </c>
      <c r="G204" s="46" t="str">
        <f>_xlfn.IFNA(IF(VLOOKUP($D204,Organización_Modular!$F$10:$G$195,2,FALSE)=G$23,Itinerario!W204," ")," ")</f>
        <v xml:space="preserve"> </v>
      </c>
      <c r="H204" s="46" t="str">
        <f>_xlfn.IFNA(IF(VLOOKUP($D204,Organización_Modular!$F$10:$G$195,2,FALSE)=H$23,Itinerario!T204," ")," ")</f>
        <v xml:space="preserve"> </v>
      </c>
      <c r="I204" s="46" t="str">
        <f>_xlfn.IFNA(IF(VLOOKUP($D204,Organización_Modular!$F$10:$G$195,2,FALSE)=I$23,Itinerario!W204," ")," ")</f>
        <v xml:space="preserve"> </v>
      </c>
      <c r="J204" s="46" t="str">
        <f>_xlfn.IFNA(IF(VLOOKUP($D204,Organización_Modular!$F$10:$G$195,2,FALSE)=J$23,Itinerario!T204," ")," ")</f>
        <v xml:space="preserve"> </v>
      </c>
      <c r="K204" s="46" t="str">
        <f>_xlfn.IFNA(IF(VLOOKUP($D204,Organización_Modular!$F$10:$G$195,2,FALSE)=K$23,Itinerario!W204," ")," ")</f>
        <v xml:space="preserve"> </v>
      </c>
      <c r="L204" s="46" t="str">
        <f>_xlfn.IFNA(IF(VLOOKUP($D204,Organización_Modular!$F$10:$G$195,2,FALSE)=L$23,Itinerario!T204," ")," ")</f>
        <v xml:space="preserve"> </v>
      </c>
      <c r="M204" s="46" t="str">
        <f>_xlfn.IFNA(IF(VLOOKUP($D204,Organización_Modular!$F$10:$G$195,2,FALSE)=M$23,Itinerario!W204," ")," ")</f>
        <v xml:space="preserve"> </v>
      </c>
      <c r="N204" s="46" t="str">
        <f>_xlfn.IFNA(IF(VLOOKUP($D204,Organización_Modular!$F$10:$G$195,2,FALSE)=N$23,Itinerario!T204," ")," ")</f>
        <v xml:space="preserve"> </v>
      </c>
      <c r="O204" s="46" t="str">
        <f>_xlfn.IFNA(IF(VLOOKUP($D204,Organización_Modular!$F$10:$G$195,2,FALSE)=O$23,Itinerario!W204," ")," ")</f>
        <v xml:space="preserve"> </v>
      </c>
      <c r="P204" s="46" t="str">
        <f>_xlfn.IFNA(IF(VLOOKUP($D204,Organización_Modular!$F$10:$G$195,2,FALSE)=P$23,Itinerario!T204," ")," ")</f>
        <v xml:space="preserve"> </v>
      </c>
      <c r="Q204" s="46" t="str">
        <f>_xlfn.IFNA(IF(VLOOKUP($D204,Organización_Modular!$F$10:$G$195,2,FALSE)=Q$23,Itinerario!W204," ")," ")</f>
        <v xml:space="preserve"> </v>
      </c>
      <c r="R204" s="46">
        <f>Organización_Modular!H190</f>
        <v>0</v>
      </c>
      <c r="S204" s="46">
        <f>Organización_Modular!I190</f>
        <v>0</v>
      </c>
      <c r="T204" s="90">
        <f t="shared" si="20"/>
        <v>0</v>
      </c>
      <c r="U204" s="46">
        <f t="shared" si="21"/>
        <v>0</v>
      </c>
      <c r="V204" s="46">
        <f t="shared" si="22"/>
        <v>0</v>
      </c>
      <c r="W204" s="90">
        <f t="shared" si="23"/>
        <v>0</v>
      </c>
      <c r="X204" s="95">
        <f t="shared" si="18"/>
        <v>0</v>
      </c>
    </row>
    <row r="205" spans="1:24" ht="18" hidden="1" customHeight="1" x14ac:dyDescent="0.2">
      <c r="A205" s="407"/>
      <c r="B205" s="314"/>
      <c r="C205" s="410"/>
      <c r="D205" s="409">
        <f>Organización_Modular!F191</f>
        <v>0</v>
      </c>
      <c r="E205" s="409"/>
      <c r="F205" s="46" t="str">
        <f>_xlfn.IFNA(IF(VLOOKUP($D205,Organización_Modular!$F$10:$G$195,2,FALSE)=F$23,Itinerario!T205," ")," ")</f>
        <v xml:space="preserve"> </v>
      </c>
      <c r="G205" s="46" t="str">
        <f>_xlfn.IFNA(IF(VLOOKUP($D205,Organización_Modular!$F$10:$G$195,2,FALSE)=G$23,Itinerario!W205," ")," ")</f>
        <v xml:space="preserve"> </v>
      </c>
      <c r="H205" s="46" t="str">
        <f>_xlfn.IFNA(IF(VLOOKUP($D205,Organización_Modular!$F$10:$G$195,2,FALSE)=H$23,Itinerario!T205," ")," ")</f>
        <v xml:space="preserve"> </v>
      </c>
      <c r="I205" s="46" t="str">
        <f>_xlfn.IFNA(IF(VLOOKUP($D205,Organización_Modular!$F$10:$G$195,2,FALSE)=I$23,Itinerario!W205," ")," ")</f>
        <v xml:space="preserve"> </v>
      </c>
      <c r="J205" s="46" t="str">
        <f>_xlfn.IFNA(IF(VLOOKUP($D205,Organización_Modular!$F$10:$G$195,2,FALSE)=J$23,Itinerario!T205," ")," ")</f>
        <v xml:space="preserve"> </v>
      </c>
      <c r="K205" s="46" t="str">
        <f>_xlfn.IFNA(IF(VLOOKUP($D205,Organización_Modular!$F$10:$G$195,2,FALSE)=K$23,Itinerario!W205," ")," ")</f>
        <v xml:space="preserve"> </v>
      </c>
      <c r="L205" s="46" t="str">
        <f>_xlfn.IFNA(IF(VLOOKUP($D205,Organización_Modular!$F$10:$G$195,2,FALSE)=L$23,Itinerario!T205," ")," ")</f>
        <v xml:space="preserve"> </v>
      </c>
      <c r="M205" s="46" t="str">
        <f>_xlfn.IFNA(IF(VLOOKUP($D205,Organización_Modular!$F$10:$G$195,2,FALSE)=M$23,Itinerario!W205," ")," ")</f>
        <v xml:space="preserve"> </v>
      </c>
      <c r="N205" s="46" t="str">
        <f>_xlfn.IFNA(IF(VLOOKUP($D205,Organización_Modular!$F$10:$G$195,2,FALSE)=N$23,Itinerario!T205," ")," ")</f>
        <v xml:space="preserve"> </v>
      </c>
      <c r="O205" s="46" t="str">
        <f>_xlfn.IFNA(IF(VLOOKUP($D205,Organización_Modular!$F$10:$G$195,2,FALSE)=O$23,Itinerario!W205," ")," ")</f>
        <v xml:space="preserve"> </v>
      </c>
      <c r="P205" s="46" t="str">
        <f>_xlfn.IFNA(IF(VLOOKUP($D205,Organización_Modular!$F$10:$G$195,2,FALSE)=P$23,Itinerario!T205," ")," ")</f>
        <v xml:space="preserve"> </v>
      </c>
      <c r="Q205" s="46" t="str">
        <f>_xlfn.IFNA(IF(VLOOKUP($D205,Organización_Modular!$F$10:$G$195,2,FALSE)=Q$23,Itinerario!W205," ")," ")</f>
        <v xml:space="preserve"> </v>
      </c>
      <c r="R205" s="46">
        <f>Organización_Modular!H191</f>
        <v>0</v>
      </c>
      <c r="S205" s="46">
        <f>Organización_Modular!I191</f>
        <v>0</v>
      </c>
      <c r="T205" s="90">
        <f t="shared" si="20"/>
        <v>0</v>
      </c>
      <c r="U205" s="46">
        <f t="shared" si="21"/>
        <v>0</v>
      </c>
      <c r="V205" s="46">
        <f t="shared" si="22"/>
        <v>0</v>
      </c>
      <c r="W205" s="90">
        <f t="shared" si="23"/>
        <v>0</v>
      </c>
      <c r="X205" s="95">
        <f t="shared" si="18"/>
        <v>0</v>
      </c>
    </row>
    <row r="206" spans="1:24" ht="18" hidden="1" customHeight="1" x14ac:dyDescent="0.2">
      <c r="A206" s="407"/>
      <c r="B206" s="314"/>
      <c r="C206" s="410"/>
      <c r="D206" s="409">
        <f>Organización_Modular!F192</f>
        <v>0</v>
      </c>
      <c r="E206" s="409"/>
      <c r="F206" s="46" t="str">
        <f>_xlfn.IFNA(IF(VLOOKUP($D206,Organización_Modular!$F$10:$G$195,2,FALSE)=F$23,Itinerario!T206," ")," ")</f>
        <v xml:space="preserve"> </v>
      </c>
      <c r="G206" s="46" t="str">
        <f>_xlfn.IFNA(IF(VLOOKUP($D206,Organización_Modular!$F$10:$G$195,2,FALSE)=G$23,Itinerario!W206," ")," ")</f>
        <v xml:space="preserve"> </v>
      </c>
      <c r="H206" s="46" t="str">
        <f>_xlfn.IFNA(IF(VLOOKUP($D206,Organización_Modular!$F$10:$G$195,2,FALSE)=H$23,Itinerario!T206," ")," ")</f>
        <v xml:space="preserve"> </v>
      </c>
      <c r="I206" s="46" t="str">
        <f>_xlfn.IFNA(IF(VLOOKUP($D206,Organización_Modular!$F$10:$G$195,2,FALSE)=I$23,Itinerario!W206," ")," ")</f>
        <v xml:space="preserve"> </v>
      </c>
      <c r="J206" s="46" t="str">
        <f>_xlfn.IFNA(IF(VLOOKUP($D206,Organización_Modular!$F$10:$G$195,2,FALSE)=J$23,Itinerario!T206," ")," ")</f>
        <v xml:space="preserve"> </v>
      </c>
      <c r="K206" s="46" t="str">
        <f>_xlfn.IFNA(IF(VLOOKUP($D206,Organización_Modular!$F$10:$G$195,2,FALSE)=K$23,Itinerario!W206," ")," ")</f>
        <v xml:space="preserve"> </v>
      </c>
      <c r="L206" s="46" t="str">
        <f>_xlfn.IFNA(IF(VLOOKUP($D206,Organización_Modular!$F$10:$G$195,2,FALSE)=L$23,Itinerario!T206," ")," ")</f>
        <v xml:space="preserve"> </v>
      </c>
      <c r="M206" s="46" t="str">
        <f>_xlfn.IFNA(IF(VLOOKUP($D206,Organización_Modular!$F$10:$G$195,2,FALSE)=M$23,Itinerario!W206," ")," ")</f>
        <v xml:space="preserve"> </v>
      </c>
      <c r="N206" s="46" t="str">
        <f>_xlfn.IFNA(IF(VLOOKUP($D206,Organización_Modular!$F$10:$G$195,2,FALSE)=N$23,Itinerario!T206," ")," ")</f>
        <v xml:space="preserve"> </v>
      </c>
      <c r="O206" s="46" t="str">
        <f>_xlfn.IFNA(IF(VLOOKUP($D206,Organización_Modular!$F$10:$G$195,2,FALSE)=O$23,Itinerario!W206," ")," ")</f>
        <v xml:space="preserve"> </v>
      </c>
      <c r="P206" s="46" t="str">
        <f>_xlfn.IFNA(IF(VLOOKUP($D206,Organización_Modular!$F$10:$G$195,2,FALSE)=P$23,Itinerario!T206," ")," ")</f>
        <v xml:space="preserve"> </v>
      </c>
      <c r="Q206" s="46" t="str">
        <f>_xlfn.IFNA(IF(VLOOKUP($D206,Organización_Modular!$F$10:$G$195,2,FALSE)=Q$23,Itinerario!W206," ")," ")</f>
        <v xml:space="preserve"> </v>
      </c>
      <c r="R206" s="46">
        <f>Organización_Modular!H192</f>
        <v>0</v>
      </c>
      <c r="S206" s="46">
        <f>Organización_Modular!I192</f>
        <v>0</v>
      </c>
      <c r="T206" s="90">
        <f t="shared" si="20"/>
        <v>0</v>
      </c>
      <c r="U206" s="46">
        <f t="shared" si="21"/>
        <v>0</v>
      </c>
      <c r="V206" s="46">
        <f t="shared" si="22"/>
        <v>0</v>
      </c>
      <c r="W206" s="90">
        <f t="shared" si="23"/>
        <v>0</v>
      </c>
      <c r="X206" s="95">
        <f t="shared" si="18"/>
        <v>0</v>
      </c>
    </row>
    <row r="207" spans="1:24" ht="18" hidden="1" customHeight="1" x14ac:dyDescent="0.2">
      <c r="A207" s="407"/>
      <c r="B207" s="314"/>
      <c r="C207" s="410"/>
      <c r="D207" s="409">
        <f>Organización_Modular!F193</f>
        <v>0</v>
      </c>
      <c r="E207" s="409"/>
      <c r="F207" s="46" t="str">
        <f>_xlfn.IFNA(IF(VLOOKUP($D207,Organización_Modular!$F$10:$G$195,2,FALSE)=F$23,Itinerario!T207," ")," ")</f>
        <v xml:space="preserve"> </v>
      </c>
      <c r="G207" s="46" t="str">
        <f>_xlfn.IFNA(IF(VLOOKUP($D207,Organización_Modular!$F$10:$G$195,2,FALSE)=G$23,Itinerario!W207," ")," ")</f>
        <v xml:space="preserve"> </v>
      </c>
      <c r="H207" s="46" t="str">
        <f>_xlfn.IFNA(IF(VLOOKUP($D207,Organización_Modular!$F$10:$G$195,2,FALSE)=H$23,Itinerario!T207," ")," ")</f>
        <v xml:space="preserve"> </v>
      </c>
      <c r="I207" s="46" t="str">
        <f>_xlfn.IFNA(IF(VLOOKUP($D207,Organización_Modular!$F$10:$G$195,2,FALSE)=I$23,Itinerario!W207," ")," ")</f>
        <v xml:space="preserve"> </v>
      </c>
      <c r="J207" s="46" t="str">
        <f>_xlfn.IFNA(IF(VLOOKUP($D207,Organización_Modular!$F$10:$G$195,2,FALSE)=J$23,Itinerario!T207," ")," ")</f>
        <v xml:space="preserve"> </v>
      </c>
      <c r="K207" s="46" t="str">
        <f>_xlfn.IFNA(IF(VLOOKUP($D207,Organización_Modular!$F$10:$G$195,2,FALSE)=K$23,Itinerario!W207," ")," ")</f>
        <v xml:space="preserve"> </v>
      </c>
      <c r="L207" s="46" t="str">
        <f>_xlfn.IFNA(IF(VLOOKUP($D207,Organización_Modular!$F$10:$G$195,2,FALSE)=L$23,Itinerario!T207," ")," ")</f>
        <v xml:space="preserve"> </v>
      </c>
      <c r="M207" s="46" t="str">
        <f>_xlfn.IFNA(IF(VLOOKUP($D207,Organización_Modular!$F$10:$G$195,2,FALSE)=M$23,Itinerario!W207," ")," ")</f>
        <v xml:space="preserve"> </v>
      </c>
      <c r="N207" s="46" t="str">
        <f>_xlfn.IFNA(IF(VLOOKUP($D207,Organización_Modular!$F$10:$G$195,2,FALSE)=N$23,Itinerario!T207," ")," ")</f>
        <v xml:space="preserve"> </v>
      </c>
      <c r="O207" s="46" t="str">
        <f>_xlfn.IFNA(IF(VLOOKUP($D207,Organización_Modular!$F$10:$G$195,2,FALSE)=O$23,Itinerario!W207," ")," ")</f>
        <v xml:space="preserve"> </v>
      </c>
      <c r="P207" s="46" t="str">
        <f>_xlfn.IFNA(IF(VLOOKUP($D207,Organización_Modular!$F$10:$G$195,2,FALSE)=P$23,Itinerario!T207," ")," ")</f>
        <v xml:space="preserve"> </v>
      </c>
      <c r="Q207" s="46" t="str">
        <f>_xlfn.IFNA(IF(VLOOKUP($D207,Organización_Modular!$F$10:$G$195,2,FALSE)=Q$23,Itinerario!W207," ")," ")</f>
        <v xml:space="preserve"> </v>
      </c>
      <c r="R207" s="46">
        <f>Organización_Modular!H193</f>
        <v>0</v>
      </c>
      <c r="S207" s="46">
        <f>Organización_Modular!I193</f>
        <v>0</v>
      </c>
      <c r="T207" s="90">
        <f t="shared" si="20"/>
        <v>0</v>
      </c>
      <c r="U207" s="46">
        <f t="shared" si="21"/>
        <v>0</v>
      </c>
      <c r="V207" s="46">
        <f t="shared" si="22"/>
        <v>0</v>
      </c>
      <c r="W207" s="90">
        <f t="shared" si="23"/>
        <v>0</v>
      </c>
      <c r="X207" s="95">
        <f t="shared" si="18"/>
        <v>0</v>
      </c>
    </row>
    <row r="208" spans="1:24" ht="18" hidden="1" customHeight="1" x14ac:dyDescent="0.2">
      <c r="A208" s="407"/>
      <c r="B208" s="314"/>
      <c r="C208" s="410"/>
      <c r="D208" s="409">
        <f>Organización_Modular!F194</f>
        <v>0</v>
      </c>
      <c r="E208" s="409"/>
      <c r="F208" s="46" t="str">
        <f>_xlfn.IFNA(IF(VLOOKUP($D208,Organización_Modular!$F$10:$G$195,2,FALSE)=F$23,Itinerario!T208," ")," ")</f>
        <v xml:space="preserve"> </v>
      </c>
      <c r="G208" s="46" t="str">
        <f>_xlfn.IFNA(IF(VLOOKUP($D208,Organización_Modular!$F$10:$G$195,2,FALSE)=G$23,Itinerario!W208," ")," ")</f>
        <v xml:space="preserve"> </v>
      </c>
      <c r="H208" s="46" t="str">
        <f>_xlfn.IFNA(IF(VLOOKUP($D208,Organización_Modular!$F$10:$G$195,2,FALSE)=H$23,Itinerario!T208," ")," ")</f>
        <v xml:space="preserve"> </v>
      </c>
      <c r="I208" s="46" t="str">
        <f>_xlfn.IFNA(IF(VLOOKUP($D208,Organización_Modular!$F$10:$G$195,2,FALSE)=I$23,Itinerario!W208," ")," ")</f>
        <v xml:space="preserve"> </v>
      </c>
      <c r="J208" s="46" t="str">
        <f>_xlfn.IFNA(IF(VLOOKUP($D208,Organización_Modular!$F$10:$G$195,2,FALSE)=J$23,Itinerario!T208," ")," ")</f>
        <v xml:space="preserve"> </v>
      </c>
      <c r="K208" s="46" t="str">
        <f>_xlfn.IFNA(IF(VLOOKUP($D208,Organización_Modular!$F$10:$G$195,2,FALSE)=K$23,Itinerario!W208," ")," ")</f>
        <v xml:space="preserve"> </v>
      </c>
      <c r="L208" s="46" t="str">
        <f>_xlfn.IFNA(IF(VLOOKUP($D208,Organización_Modular!$F$10:$G$195,2,FALSE)=L$23,Itinerario!T208," ")," ")</f>
        <v xml:space="preserve"> </v>
      </c>
      <c r="M208" s="46" t="str">
        <f>_xlfn.IFNA(IF(VLOOKUP($D208,Organización_Modular!$F$10:$G$195,2,FALSE)=M$23,Itinerario!W208," ")," ")</f>
        <v xml:space="preserve"> </v>
      </c>
      <c r="N208" s="46" t="str">
        <f>_xlfn.IFNA(IF(VLOOKUP($D208,Organización_Modular!$F$10:$G$195,2,FALSE)=N$23,Itinerario!T208," ")," ")</f>
        <v xml:space="preserve"> </v>
      </c>
      <c r="O208" s="46" t="str">
        <f>_xlfn.IFNA(IF(VLOOKUP($D208,Organización_Modular!$F$10:$G$195,2,FALSE)=O$23,Itinerario!W208," ")," ")</f>
        <v xml:space="preserve"> </v>
      </c>
      <c r="P208" s="46" t="str">
        <f>_xlfn.IFNA(IF(VLOOKUP($D208,Organización_Modular!$F$10:$G$195,2,FALSE)=P$23,Itinerario!T208," ")," ")</f>
        <v xml:space="preserve"> </v>
      </c>
      <c r="Q208" s="46" t="str">
        <f>_xlfn.IFNA(IF(VLOOKUP($D208,Organización_Modular!$F$10:$G$195,2,FALSE)=Q$23,Itinerario!W208," ")," ")</f>
        <v xml:space="preserve"> </v>
      </c>
      <c r="R208" s="46">
        <f>Organización_Modular!H194</f>
        <v>0</v>
      </c>
      <c r="S208" s="46">
        <f>Organización_Modular!I194</f>
        <v>0</v>
      </c>
      <c r="T208" s="90">
        <f t="shared" si="20"/>
        <v>0</v>
      </c>
      <c r="U208" s="46">
        <f t="shared" si="21"/>
        <v>0</v>
      </c>
      <c r="V208" s="46">
        <f t="shared" si="22"/>
        <v>0</v>
      </c>
      <c r="W208" s="90">
        <f t="shared" si="23"/>
        <v>0</v>
      </c>
      <c r="X208" s="95">
        <f t="shared" si="18"/>
        <v>0</v>
      </c>
    </row>
    <row r="209" spans="1:24" ht="28.5" hidden="1" customHeight="1" x14ac:dyDescent="0.2">
      <c r="A209" s="407"/>
      <c r="B209" s="429" t="str">
        <f>B54</f>
        <v>Experiencias formativas en situaciones reales de trabajo (ESRT)</v>
      </c>
      <c r="C209" s="430"/>
      <c r="D209" s="430"/>
      <c r="E209" s="430"/>
      <c r="F209" s="176"/>
      <c r="G209" s="176"/>
      <c r="H209" s="176"/>
      <c r="I209" s="176"/>
      <c r="J209" s="176"/>
      <c r="K209" s="176"/>
      <c r="L209" s="176"/>
      <c r="M209" s="176"/>
      <c r="N209" s="176"/>
      <c r="O209" s="176"/>
      <c r="P209" s="176"/>
      <c r="Q209" s="176"/>
      <c r="R209" s="179">
        <f>Organización_Modular!H195</f>
        <v>0</v>
      </c>
      <c r="S209" s="177">
        <f>Organización_Modular!I195</f>
        <v>4</v>
      </c>
      <c r="T209" s="178">
        <f t="shared" si="20"/>
        <v>4</v>
      </c>
      <c r="U209" s="177">
        <f t="shared" si="21"/>
        <v>0</v>
      </c>
      <c r="V209" s="177">
        <f t="shared" si="22"/>
        <v>128</v>
      </c>
      <c r="W209" s="178">
        <f t="shared" si="23"/>
        <v>128</v>
      </c>
      <c r="X209" s="95">
        <f t="shared" si="18"/>
        <v>128</v>
      </c>
    </row>
    <row r="210" spans="1:24" ht="159.6" customHeight="1" x14ac:dyDescent="0.2">
      <c r="A210" s="321" t="s">
        <v>185</v>
      </c>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95" t="str">
        <f>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211" spans="1:24" ht="25.5" hidden="1" customHeight="1" x14ac:dyDescent="0.2">
      <c r="A211" s="408"/>
      <c r="B211" s="408"/>
      <c r="C211" s="408"/>
      <c r="D211" s="408"/>
      <c r="E211" s="408"/>
      <c r="F211" s="408"/>
      <c r="G211" s="408"/>
      <c r="H211" s="408"/>
      <c r="I211" s="408"/>
      <c r="J211" s="408"/>
      <c r="K211" s="408"/>
      <c r="L211" s="408"/>
      <c r="M211" s="408"/>
      <c r="N211" s="408"/>
      <c r="O211" s="408"/>
      <c r="P211" s="408"/>
      <c r="Q211" s="408"/>
      <c r="R211" s="408"/>
      <c r="S211" s="408"/>
      <c r="T211" s="408"/>
      <c r="U211" s="408"/>
      <c r="V211" s="408"/>
      <c r="W211" s="408"/>
      <c r="X211" s="95">
        <f>A211</f>
        <v>0</v>
      </c>
    </row>
    <row r="212" spans="1:24" ht="21" customHeight="1" x14ac:dyDescent="0.2"/>
    <row r="213" spans="1:24" ht="21" customHeight="1" x14ac:dyDescent="0.2"/>
    <row r="214" spans="1:24" ht="21" customHeight="1" x14ac:dyDescent="0.2"/>
  </sheetData>
  <autoFilter xmlns:x14="http://schemas.microsoft.com/office/spreadsheetml/2009/9/main" ref="A21:X211"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filters>
        <mc:AlternateContent xmlns:mc="http://schemas.openxmlformats.org/markup-compatibility/2006">
          <mc:Choice Requires="x14">
            <x14:filter val="112"/>
            <x14:filter val="128"/>
            <x14:filter val="32"/>
            <x14:filter val="48"/>
            <x14:filter val="80"/>
            <x14:filter val="96"/>
            <x14:filter val="Pautas generales:_x000a_1. Verificar que la redacción en los campos de: denominación del módulo, de la competencia  especifica, competencia para la empleabilidad y unidades didácticas sean las mismas que los formatos anteriores._x000a_2. La distribución de las unidades didácticas por periodos académicos deben responder al desarrollo de un aprendizaje progresivo._x000a_3. Un (1) crédito equivale a un mínimo de 16 horas de teoría o el doble de horas de práctica, de acuerdo a lo establecido en la Ley 30512._x000a_4. Determinar el mínimo de créditos por componente curricular, de acuerdo a la normativa._x000a_5. En el caso de los CETPRO, el total de créditos y horas no debe superar el número mínimo de créditos y horas del siguiente nivel formativo, de acuerdo a la normativa._x000a_6.En caso, la modalidad del servicio sea semipresencial,  resaltar las unidades didácticas que se desarrollen en entornos virtuales. _x000a__x000a_*Se considera el código de la carrera del CNOF, de ser el caso._x000a_** Llenar la celda siempre que la modalidad sea semipresencial, caso contrario dejar en blanco."/>
            <x14:filter val="Total"/>
          </mc:Choice>
          <mc:Fallback>
            <filter val="112"/>
            <filter val="128"/>
            <filter val="32"/>
            <filter val="48"/>
            <filter val="80"/>
            <filter val="96"/>
            <filter val="Total"/>
          </mc:Fallback>
        </mc:AlternateContent>
      </filters>
    </filterColumn>
  </autoFilter>
  <mergeCells count="266">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D94:E94"/>
    <mergeCell ref="D110:E110"/>
    <mergeCell ref="D111:E111"/>
    <mergeCell ref="D112:E112"/>
    <mergeCell ref="D113:E113"/>
    <mergeCell ref="D114:E114"/>
    <mergeCell ref="D132:E132"/>
    <mergeCell ref="D144:E144"/>
    <mergeCell ref="D143:E143"/>
    <mergeCell ref="D142:E142"/>
    <mergeCell ref="D141:E141"/>
    <mergeCell ref="D136:E136"/>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Y13:AJ13"/>
    <mergeCell ref="Y14:AC14"/>
    <mergeCell ref="C7:K7"/>
    <mergeCell ref="L7:R7"/>
    <mergeCell ref="S7:W7"/>
    <mergeCell ref="G9:L9"/>
    <mergeCell ref="U9:W9"/>
    <mergeCell ref="M9:O9"/>
    <mergeCell ref="P9:R9"/>
    <mergeCell ref="S9:T9"/>
    <mergeCell ref="AD14:AF14"/>
    <mergeCell ref="AG14:AI14"/>
  </mergeCells>
  <conditionalFormatting sqref="R54">
    <cfRule type="cellIs" dxfId="50" priority="123" operator="equal">
      <formula>0</formula>
    </cfRule>
  </conditionalFormatting>
  <conditionalFormatting sqref="R85">
    <cfRule type="cellIs" dxfId="49" priority="124" operator="equal">
      <formula>0</formula>
    </cfRule>
  </conditionalFormatting>
  <conditionalFormatting sqref="R116">
    <cfRule type="cellIs" dxfId="48" priority="125" operator="equal">
      <formula>0</formula>
    </cfRule>
  </conditionalFormatting>
  <conditionalFormatting sqref="R147">
    <cfRule type="cellIs" dxfId="47" priority="126" operator="equal">
      <formula>0</formula>
    </cfRule>
  </conditionalFormatting>
  <conditionalFormatting sqref="R178">
    <cfRule type="cellIs" dxfId="46" priority="127" operator="equal">
      <formula>0</formula>
    </cfRule>
  </conditionalFormatting>
  <conditionalFormatting sqref="R209">
    <cfRule type="cellIs" dxfId="45" priority="155" operator="equal">
      <formula>0</formula>
    </cfRule>
  </conditionalFormatting>
  <conditionalFormatting sqref="T14">
    <cfRule type="cellIs" dxfId="44" priority="26" operator="lessThan">
      <formula>53</formula>
    </cfRule>
  </conditionalFormatting>
  <conditionalFormatting sqref="T15">
    <cfRule type="cellIs" dxfId="43" priority="25" operator="lessThan">
      <formula>13</formula>
    </cfRule>
  </conditionalFormatting>
  <conditionalFormatting sqref="T16">
    <cfRule type="cellIs" dxfId="42" priority="24" operator="lessThan">
      <formula>14</formula>
    </cfRule>
  </conditionalFormatting>
  <conditionalFormatting sqref="T17">
    <cfRule type="cellIs" dxfId="41" priority="23" operator="greaterThanOrEqual">
      <formula>120</formula>
    </cfRule>
    <cfRule type="cellIs" dxfId="40" priority="27" operator="lessThan">
      <formula>80</formula>
    </cfRule>
  </conditionalFormatting>
  <conditionalFormatting sqref="W17">
    <cfRule type="cellIs" dxfId="39" priority="6" operator="lessThan">
      <formula>1760</formula>
    </cfRule>
  </conditionalFormatting>
  <conditionalFormatting sqref="Y17">
    <cfRule type="cellIs" dxfId="38" priority="13" operator="greaterThan">
      <formula>24</formula>
    </cfRule>
    <cfRule type="cellIs" dxfId="37" priority="14" operator="equal">
      <formula>24</formula>
    </cfRule>
    <cfRule type="cellIs" dxfId="36" priority="21" operator="between">
      <formula>18</formula>
      <formula>23</formula>
    </cfRule>
    <cfRule type="cellIs" dxfId="35" priority="22" operator="lessThan">
      <formula>18</formula>
    </cfRule>
  </conditionalFormatting>
  <conditionalFormatting sqref="AA17">
    <cfRule type="cellIs" dxfId="34" priority="11" operator="greaterThan">
      <formula>24</formula>
    </cfRule>
    <cfRule type="cellIs" dxfId="33" priority="12" operator="equal">
      <formula>24</formula>
    </cfRule>
    <cfRule type="cellIs" dxfId="32" priority="19" operator="between">
      <formula>18</formula>
      <formula>23</formula>
    </cfRule>
    <cfRule type="cellIs" dxfId="31" priority="20" operator="lessThan">
      <formula>18</formula>
    </cfRule>
  </conditionalFormatting>
  <conditionalFormatting sqref="AC17">
    <cfRule type="cellIs" dxfId="30" priority="9" operator="greaterThan">
      <formula>24</formula>
    </cfRule>
    <cfRule type="cellIs" dxfId="29" priority="10" operator="equal">
      <formula>24</formula>
    </cfRule>
    <cfRule type="cellIs" dxfId="28" priority="17" operator="between">
      <formula>18</formula>
      <formula>23</formula>
    </cfRule>
    <cfRule type="cellIs" dxfId="27" priority="18" operator="lessThan">
      <formula>18</formula>
    </cfRule>
  </conditionalFormatting>
  <conditionalFormatting sqref="AD14 AG14 AJ14">
    <cfRule type="cellIs" dxfId="26" priority="1" operator="greaterThan">
      <formula>2160</formula>
    </cfRule>
    <cfRule type="cellIs" dxfId="25" priority="2" operator="between">
      <formula>2041</formula>
      <formula>2160</formula>
    </cfRule>
    <cfRule type="cellIs" dxfId="24" priority="3" operator="between">
      <formula>1921</formula>
      <formula>2040</formula>
    </cfRule>
    <cfRule type="cellIs" dxfId="23" priority="4" operator="between">
      <formula>1312</formula>
      <formula>1920</formula>
    </cfRule>
    <cfRule type="cellIs" dxfId="22" priority="5" operator="lessThan">
      <formula>1312</formula>
    </cfRule>
  </conditionalFormatting>
  <conditionalFormatting sqref="AE17">
    <cfRule type="cellIs" dxfId="21" priority="7" operator="greaterThan">
      <formula>24</formula>
    </cfRule>
    <cfRule type="cellIs" dxfId="20" priority="8" operator="equal">
      <formula>24</formula>
    </cfRule>
    <cfRule type="cellIs" dxfId="19" priority="15" operator="between">
      <formula>18</formula>
      <formula>23</formula>
    </cfRule>
    <cfRule type="cellIs" dxfId="18" priority="16" operator="lessThan">
      <formula>18</formula>
    </cfRule>
  </conditionalFormatting>
  <conditionalFormatting sqref="AG17">
    <cfRule type="cellIs" dxfId="17" priority="94" operator="between">
      <formula>18</formula>
      <formula>24</formula>
    </cfRule>
    <cfRule type="cellIs" dxfId="16" priority="95" operator="lessThan">
      <formula>18</formula>
    </cfRule>
    <cfRule type="cellIs" dxfId="15" priority="96" operator="greaterThan">
      <formula>24</formula>
    </cfRule>
  </conditionalFormatting>
  <conditionalFormatting sqref="AH17">
    <cfRule type="cellIs" dxfId="14" priority="36" operator="between">
      <formula>511</formula>
      <formula>540</formula>
    </cfRule>
    <cfRule type="cellIs" dxfId="13" priority="37" operator="between">
      <formula>481</formula>
      <formula>510</formula>
    </cfRule>
    <cfRule type="cellIs" dxfId="12" priority="38" operator="equal">
      <formula>480</formula>
    </cfRule>
    <cfRule type="cellIs" dxfId="11" priority="39" operator="lessThan">
      <formula>480</formula>
    </cfRule>
    <cfRule type="cellIs" dxfId="10" priority="40" operator="greaterThan">
      <formula>510</formula>
    </cfRule>
  </conditionalFormatting>
  <conditionalFormatting sqref="AI17">
    <cfRule type="cellIs" dxfId="9" priority="91" operator="between">
      <formula>18</formula>
      <formula>24</formula>
    </cfRule>
    <cfRule type="cellIs" dxfId="8" priority="92" operator="lessThan">
      <formula>18</formula>
    </cfRule>
    <cfRule type="cellIs" dxfId="7" priority="93" operator="greaterThan">
      <formula>24</formula>
    </cfRule>
  </conditionalFormatting>
  <conditionalFormatting sqref="AJ17">
    <cfRule type="cellIs" dxfId="6" priority="31" operator="between">
      <formula>511</formula>
      <formula>540</formula>
    </cfRule>
    <cfRule type="cellIs" dxfId="5" priority="32" operator="between">
      <formula>481</formula>
      <formula>510</formula>
    </cfRule>
    <cfRule type="cellIs" dxfId="4" priority="33" operator="equal">
      <formula>480</formula>
    </cfRule>
    <cfRule type="cellIs" dxfId="3" priority="34" operator="lessThan">
      <formula>480</formula>
    </cfRule>
    <cfRule type="cellIs" dxfId="2" priority="35" operator="greaterThan">
      <formula>510</formula>
    </cfRule>
  </conditionalFormatting>
  <printOptions horizontalCentered="1"/>
  <pageMargins left="0.31496062992125984" right="0.31496062992125984" top="0.35433070866141736" bottom="0.35433070866141736" header="0.31496062992125984" footer="0.31496062992125984"/>
  <pageSetup paperSize="9" scale="53" orientation="landscape" r:id="rId1"/>
  <colBreaks count="1" manualBreakCount="1">
    <brk id="33" max="208" man="1"/>
  </colBreaks>
  <ignoredErrors>
    <ignoredError sqref="R17" evalError="1"/>
    <ignoredError sqref="F26:F208 Q24:Q43 Q44:Q208" unlockedFormula="1"/>
    <ignoredError sqref="G24:O26 P44:P208 P24:P43 G55:O84 H27:O53 G86:O208 G85:J85 L85:O85 G54 J54:O54" formula="1" unlockedFormula="1"/>
    <ignoredError sqref="G27: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002060"/>
  </sheetPr>
  <dimension ref="A1:G91"/>
  <sheetViews>
    <sheetView zoomScale="90" zoomScaleNormal="90" workbookViewId="0">
      <selection activeCell="J7" sqref="J7"/>
    </sheetView>
  </sheetViews>
  <sheetFormatPr baseColWidth="10" defaultColWidth="11.42578125" defaultRowHeight="15" outlineLevelCol="1" x14ac:dyDescent="0.25"/>
  <cols>
    <col min="1" max="1" width="20.7109375" style="2" customWidth="1"/>
    <col min="2" max="2" width="30.7109375" style="60" customWidth="1"/>
    <col min="3" max="3" width="30.7109375" style="2" customWidth="1" outlineLevel="1"/>
    <col min="4" max="4" width="20.7109375" style="2" customWidth="1" outlineLevel="1"/>
    <col min="5" max="5" width="20.7109375" style="63" customWidth="1" outlineLevel="1"/>
    <col min="6" max="6" width="20.7109375" style="2" customWidth="1" outlineLevel="1"/>
    <col min="7" max="7" width="6.85546875" style="3" customWidth="1"/>
    <col min="8" max="16384" width="11.42578125" style="2"/>
  </cols>
  <sheetData>
    <row r="1" spans="1:7" ht="18.75" x14ac:dyDescent="0.3">
      <c r="A1" s="316" t="s">
        <v>53</v>
      </c>
      <c r="B1" s="316"/>
      <c r="C1" s="316"/>
      <c r="D1" s="316"/>
      <c r="E1" s="316"/>
      <c r="F1" s="316"/>
      <c r="G1" s="2"/>
    </row>
    <row r="2" spans="1:7" ht="12.75" x14ac:dyDescent="0.2">
      <c r="A2" s="33"/>
      <c r="B2" s="76"/>
      <c r="C2" s="33"/>
      <c r="D2" s="33"/>
      <c r="E2" s="33"/>
      <c r="F2" s="33"/>
      <c r="G2" s="2"/>
    </row>
    <row r="3" spans="1:7" ht="25.5" customHeight="1" x14ac:dyDescent="0.2">
      <c r="A3" s="19" t="s">
        <v>38</v>
      </c>
      <c r="B3" s="292" t="str">
        <f>Perfil_Egreso!B3</f>
        <v>CETPRO JUANJUI</v>
      </c>
      <c r="C3" s="292"/>
      <c r="D3" s="292"/>
      <c r="E3" s="35" t="s">
        <v>186</v>
      </c>
      <c r="F3" s="80" t="str">
        <f>Perfil_Egreso!E3</f>
        <v>0533836</v>
      </c>
      <c r="G3" s="2"/>
    </row>
    <row r="4" spans="1:7" ht="15" customHeight="1" x14ac:dyDescent="0.2">
      <c r="A4" s="35"/>
      <c r="B4" s="35"/>
      <c r="C4" s="66"/>
      <c r="D4" s="66"/>
      <c r="E4" s="66"/>
      <c r="F4" s="66"/>
      <c r="G4" s="2"/>
    </row>
    <row r="5" spans="1:7" ht="38.25" customHeight="1" x14ac:dyDescent="0.2">
      <c r="A5" s="19" t="s">
        <v>42</v>
      </c>
      <c r="B5" s="80" t="str">
        <f>Perfil_Egreso!B5</f>
        <v>INFORMACIÓN Y COMUNICACIONES</v>
      </c>
      <c r="C5" s="35" t="s">
        <v>43</v>
      </c>
      <c r="D5" s="80" t="str">
        <f>Perfil_Egreso!D5</f>
        <v>TECNOLOGÍAS DE LA INFORMACIÓN Y COMUNICACIONES - TICS</v>
      </c>
      <c r="E5" s="35" t="s">
        <v>44</v>
      </c>
      <c r="F5" s="80" t="str">
        <f>Perfil_Egreso!B7</f>
        <v>PROGRAMACIÓN INFORMÁTICA, CONSULTORÍA DE INFORMÁTICA Y ACTIVIDADES CONEXAS</v>
      </c>
      <c r="G5" s="2"/>
    </row>
    <row r="6" spans="1:7" ht="12.75" customHeight="1" x14ac:dyDescent="0.2">
      <c r="A6" s="75"/>
      <c r="B6" s="35"/>
      <c r="C6" s="67"/>
      <c r="D6" s="67"/>
      <c r="E6" s="67"/>
      <c r="F6" s="67"/>
      <c r="G6" s="2"/>
    </row>
    <row r="7" spans="1:7" ht="66" customHeight="1" x14ac:dyDescent="0.2">
      <c r="A7" s="75" t="str">
        <f>Perfil_Egreso!A11</f>
        <v>DENOMINACIÓN DEL PROGRAMA DE ESTUDIOS SEGÚN CNOF (según corresponda)</v>
      </c>
      <c r="B7" s="80" t="str">
        <f>Perfil_Egreso!B11:C11</f>
        <v>REDES Y COMUNICACIONES</v>
      </c>
      <c r="C7" s="137" t="s">
        <v>46</v>
      </c>
      <c r="D7" s="135" t="str">
        <f>Perfil_Egreso!E11</f>
        <v>J2662-2-001</v>
      </c>
      <c r="E7" s="137" t="s">
        <v>41</v>
      </c>
      <c r="F7" s="80" t="str">
        <f>Perfil_Egreso!B15</f>
        <v>TÉCNICO</v>
      </c>
      <c r="G7" s="2"/>
    </row>
    <row r="8" spans="1:7" ht="12.75" customHeight="1" x14ac:dyDescent="0.2">
      <c r="A8" s="66"/>
      <c r="B8" s="67"/>
      <c r="C8" s="66"/>
      <c r="D8" s="66"/>
      <c r="E8" s="66"/>
      <c r="F8" s="66"/>
      <c r="G8" s="2"/>
    </row>
    <row r="9" spans="1:7" ht="23.25" customHeight="1" x14ac:dyDescent="0.2">
      <c r="A9" s="75" t="s">
        <v>154</v>
      </c>
      <c r="B9" s="80">
        <f>Perfil_Egreso!B9:E9</f>
        <v>0</v>
      </c>
      <c r="C9" s="35" t="s">
        <v>6</v>
      </c>
      <c r="D9" s="80">
        <f>Itinerario!W17</f>
        <v>2112</v>
      </c>
      <c r="E9" s="35" t="s">
        <v>35</v>
      </c>
      <c r="F9" s="80">
        <f>Itinerario!T17</f>
        <v>80</v>
      </c>
      <c r="G9" s="2"/>
    </row>
    <row r="10" spans="1:7" ht="12.75" customHeight="1" x14ac:dyDescent="0.2">
      <c r="A10" s="75"/>
      <c r="B10" s="35"/>
      <c r="C10" s="75"/>
      <c r="D10" s="75"/>
      <c r="E10" s="66"/>
      <c r="F10" s="66"/>
      <c r="G10" s="2"/>
    </row>
    <row r="11" spans="1:7" ht="27" customHeight="1" x14ac:dyDescent="0.2">
      <c r="A11" s="19" t="s">
        <v>156</v>
      </c>
      <c r="B11" s="292">
        <f>Perfil_Egreso!B13</f>
        <v>0</v>
      </c>
      <c r="C11" s="292"/>
      <c r="D11" s="35" t="s">
        <v>45</v>
      </c>
      <c r="E11" s="309" t="str">
        <f>Perfil_Egreso!D13</f>
        <v>PRESENCIAL</v>
      </c>
      <c r="F11" s="310"/>
      <c r="G11" s="2"/>
    </row>
    <row r="12" spans="1:7" ht="12.75" x14ac:dyDescent="0.2">
      <c r="A12" s="35"/>
      <c r="B12" s="35"/>
      <c r="C12" s="35"/>
      <c r="D12" s="35"/>
      <c r="E12" s="75"/>
      <c r="F12" s="35"/>
      <c r="G12" s="2"/>
    </row>
    <row r="13" spans="1:7" ht="15.75" customHeight="1" x14ac:dyDescent="0.2">
      <c r="A13" s="387" t="s">
        <v>56</v>
      </c>
      <c r="B13" s="387" t="s">
        <v>166</v>
      </c>
      <c r="C13" s="387"/>
      <c r="D13" s="387" t="s">
        <v>63</v>
      </c>
      <c r="E13" s="387" t="s">
        <v>64</v>
      </c>
      <c r="F13" s="437" t="s">
        <v>55</v>
      </c>
      <c r="G13" s="363" t="s">
        <v>118</v>
      </c>
    </row>
    <row r="14" spans="1:7" ht="20.25" customHeight="1" x14ac:dyDescent="0.2">
      <c r="A14" s="387"/>
      <c r="B14" s="163" t="s">
        <v>36</v>
      </c>
      <c r="C14" s="163" t="s">
        <v>54</v>
      </c>
      <c r="D14" s="387"/>
      <c r="E14" s="387"/>
      <c r="F14" s="438"/>
      <c r="G14" s="363"/>
    </row>
    <row r="15" spans="1:7" ht="12.75" x14ac:dyDescent="0.2">
      <c r="A15" s="435" t="s">
        <v>114</v>
      </c>
      <c r="B15" s="68"/>
      <c r="C15" s="68"/>
      <c r="D15" s="68"/>
      <c r="E15" s="68"/>
      <c r="F15" s="68"/>
      <c r="G15" s="51" t="str">
        <f>CONCATENATE(B15,C15,D15,E15,F15)</f>
        <v/>
      </c>
    </row>
    <row r="16" spans="1:7" ht="15.75" customHeight="1" x14ac:dyDescent="0.2">
      <c r="A16" s="435"/>
      <c r="B16" s="68"/>
      <c r="C16" s="68"/>
      <c r="D16" s="68"/>
      <c r="E16" s="68"/>
      <c r="F16" s="68"/>
      <c r="G16" s="51" t="str">
        <f t="shared" ref="G16:G79" si="0">CONCATENATE(B16,C16,D16,E16,F16)</f>
        <v/>
      </c>
    </row>
    <row r="17" spans="1:7" ht="12.75" x14ac:dyDescent="0.2">
      <c r="A17" s="435"/>
      <c r="B17" s="68"/>
      <c r="C17" s="68"/>
      <c r="D17" s="68"/>
      <c r="E17" s="68"/>
      <c r="F17" s="68"/>
      <c r="G17" s="51" t="str">
        <f t="shared" si="0"/>
        <v/>
      </c>
    </row>
    <row r="18" spans="1:7" ht="12.75" x14ac:dyDescent="0.2">
      <c r="A18" s="435"/>
      <c r="B18" s="68"/>
      <c r="C18" s="68"/>
      <c r="D18" s="68"/>
      <c r="E18" s="68"/>
      <c r="F18" s="68"/>
      <c r="G18" s="51" t="str">
        <f t="shared" si="0"/>
        <v/>
      </c>
    </row>
    <row r="19" spans="1:7" ht="12.75" x14ac:dyDescent="0.2">
      <c r="A19" s="435"/>
      <c r="B19" s="68"/>
      <c r="C19" s="68"/>
      <c r="D19" s="68"/>
      <c r="E19" s="68"/>
      <c r="F19" s="68"/>
      <c r="G19" s="51" t="str">
        <f t="shared" si="0"/>
        <v/>
      </c>
    </row>
    <row r="20" spans="1:7" ht="12.75" x14ac:dyDescent="0.2">
      <c r="A20" s="435"/>
      <c r="B20" s="68"/>
      <c r="C20" s="68"/>
      <c r="D20" s="68"/>
      <c r="E20" s="68"/>
      <c r="F20" s="68"/>
      <c r="G20" s="51" t="str">
        <f t="shared" si="0"/>
        <v/>
      </c>
    </row>
    <row r="21" spans="1:7" ht="12.75" x14ac:dyDescent="0.2">
      <c r="A21" s="435" t="s">
        <v>115</v>
      </c>
      <c r="B21" s="68"/>
      <c r="C21" s="68"/>
      <c r="D21" s="68"/>
      <c r="E21" s="68"/>
      <c r="F21" s="68"/>
      <c r="G21" s="51" t="str">
        <f t="shared" si="0"/>
        <v/>
      </c>
    </row>
    <row r="22" spans="1:7" ht="15.75" customHeight="1" x14ac:dyDescent="0.2">
      <c r="A22" s="435"/>
      <c r="B22" s="68"/>
      <c r="C22" s="68"/>
      <c r="D22" s="68"/>
      <c r="E22" s="68"/>
      <c r="F22" s="68"/>
      <c r="G22" s="51" t="str">
        <f t="shared" si="0"/>
        <v/>
      </c>
    </row>
    <row r="23" spans="1:7" ht="12.75" x14ac:dyDescent="0.2">
      <c r="A23" s="435"/>
      <c r="B23" s="68"/>
      <c r="C23" s="68"/>
      <c r="D23" s="68"/>
      <c r="E23" s="68"/>
      <c r="F23" s="68"/>
      <c r="G23" s="51" t="str">
        <f t="shared" si="0"/>
        <v/>
      </c>
    </row>
    <row r="24" spans="1:7" ht="12.75" x14ac:dyDescent="0.2">
      <c r="A24" s="435"/>
      <c r="B24" s="68"/>
      <c r="C24" s="68"/>
      <c r="D24" s="68"/>
      <c r="E24" s="68"/>
      <c r="F24" s="68"/>
      <c r="G24" s="51" t="str">
        <f t="shared" si="0"/>
        <v/>
      </c>
    </row>
    <row r="25" spans="1:7" ht="12.75" x14ac:dyDescent="0.2">
      <c r="A25" s="435"/>
      <c r="B25" s="68"/>
      <c r="C25" s="68"/>
      <c r="D25" s="68"/>
      <c r="E25" s="68"/>
      <c r="F25" s="68"/>
      <c r="G25" s="51" t="str">
        <f t="shared" si="0"/>
        <v/>
      </c>
    </row>
    <row r="26" spans="1:7" ht="12.75" x14ac:dyDescent="0.2">
      <c r="A26" s="435" t="s">
        <v>116</v>
      </c>
      <c r="B26" s="68"/>
      <c r="C26" s="68"/>
      <c r="D26" s="68"/>
      <c r="E26" s="68"/>
      <c r="F26" s="68"/>
      <c r="G26" s="51" t="str">
        <f t="shared" si="0"/>
        <v/>
      </c>
    </row>
    <row r="27" spans="1:7" ht="15.75" customHeight="1" x14ac:dyDescent="0.2">
      <c r="A27" s="435"/>
      <c r="B27" s="68"/>
      <c r="C27" s="68"/>
      <c r="D27" s="68"/>
      <c r="E27" s="68"/>
      <c r="F27" s="68"/>
      <c r="G27" s="51" t="str">
        <f t="shared" si="0"/>
        <v/>
      </c>
    </row>
    <row r="28" spans="1:7" ht="12.75" x14ac:dyDescent="0.2">
      <c r="A28" s="435"/>
      <c r="B28" s="68"/>
      <c r="C28" s="68"/>
      <c r="D28" s="68"/>
      <c r="E28" s="68"/>
      <c r="F28" s="68"/>
      <c r="G28" s="51" t="str">
        <f t="shared" si="0"/>
        <v/>
      </c>
    </row>
    <row r="29" spans="1:7" ht="12.75" x14ac:dyDescent="0.2">
      <c r="A29" s="435"/>
      <c r="B29" s="68"/>
      <c r="C29" s="68"/>
      <c r="D29" s="68"/>
      <c r="E29" s="68"/>
      <c r="F29" s="68"/>
      <c r="G29" s="51" t="str">
        <f t="shared" si="0"/>
        <v/>
      </c>
    </row>
    <row r="30" spans="1:7" ht="12.75" x14ac:dyDescent="0.2">
      <c r="A30" s="435"/>
      <c r="B30" s="68"/>
      <c r="C30" s="68"/>
      <c r="D30" s="68"/>
      <c r="E30" s="68"/>
      <c r="F30" s="68"/>
      <c r="G30" s="51" t="str">
        <f t="shared" si="0"/>
        <v/>
      </c>
    </row>
    <row r="31" spans="1:7" ht="12.75" x14ac:dyDescent="0.2">
      <c r="A31" s="435" t="s">
        <v>127</v>
      </c>
      <c r="B31" s="68"/>
      <c r="C31" s="68"/>
      <c r="D31" s="68"/>
      <c r="E31" s="68"/>
      <c r="F31" s="68"/>
      <c r="G31" s="51" t="str">
        <f t="shared" si="0"/>
        <v/>
      </c>
    </row>
    <row r="32" spans="1:7" ht="15.75" customHeight="1" x14ac:dyDescent="0.2">
      <c r="A32" s="435"/>
      <c r="B32" s="68"/>
      <c r="C32" s="68"/>
      <c r="D32" s="68"/>
      <c r="E32" s="68"/>
      <c r="F32" s="68"/>
      <c r="G32" s="51" t="str">
        <f t="shared" si="0"/>
        <v/>
      </c>
    </row>
    <row r="33" spans="1:7" ht="12.75" x14ac:dyDescent="0.2">
      <c r="A33" s="435"/>
      <c r="B33" s="68"/>
      <c r="C33" s="68"/>
      <c r="D33" s="68"/>
      <c r="E33" s="68"/>
      <c r="F33" s="68"/>
      <c r="G33" s="51" t="str">
        <f t="shared" si="0"/>
        <v/>
      </c>
    </row>
    <row r="34" spans="1:7" ht="12.75" x14ac:dyDescent="0.2">
      <c r="A34" s="435"/>
      <c r="B34" s="68"/>
      <c r="C34" s="68"/>
      <c r="D34" s="68"/>
      <c r="E34" s="68"/>
      <c r="F34" s="68"/>
      <c r="G34" s="51" t="str">
        <f t="shared" si="0"/>
        <v/>
      </c>
    </row>
    <row r="35" spans="1:7" ht="12.75" x14ac:dyDescent="0.2">
      <c r="A35" s="435"/>
      <c r="B35" s="68"/>
      <c r="C35" s="68"/>
      <c r="D35" s="68"/>
      <c r="E35" s="68"/>
      <c r="F35" s="68"/>
      <c r="G35" s="51" t="str">
        <f t="shared" si="0"/>
        <v/>
      </c>
    </row>
    <row r="36" spans="1:7" ht="12.75" x14ac:dyDescent="0.2">
      <c r="A36" s="435" t="s">
        <v>68</v>
      </c>
      <c r="B36" s="68"/>
      <c r="C36" s="68"/>
      <c r="D36" s="68"/>
      <c r="E36" s="68"/>
      <c r="F36" s="68"/>
      <c r="G36" s="51" t="str">
        <f t="shared" si="0"/>
        <v/>
      </c>
    </row>
    <row r="37" spans="1:7" ht="15.75" customHeight="1" x14ac:dyDescent="0.2">
      <c r="A37" s="435"/>
      <c r="B37" s="68"/>
      <c r="C37" s="68"/>
      <c r="D37" s="68"/>
      <c r="E37" s="68"/>
      <c r="F37" s="68"/>
      <c r="G37" s="51" t="str">
        <f t="shared" si="0"/>
        <v/>
      </c>
    </row>
    <row r="38" spans="1:7" ht="12.75" x14ac:dyDescent="0.2">
      <c r="A38" s="435"/>
      <c r="B38" s="68"/>
      <c r="C38" s="68"/>
      <c r="D38" s="68"/>
      <c r="E38" s="68"/>
      <c r="F38" s="68"/>
      <c r="G38" s="51" t="str">
        <f t="shared" si="0"/>
        <v/>
      </c>
    </row>
    <row r="39" spans="1:7" ht="12.75" x14ac:dyDescent="0.2">
      <c r="A39" s="435"/>
      <c r="B39" s="68"/>
      <c r="C39" s="68"/>
      <c r="D39" s="68"/>
      <c r="E39" s="68"/>
      <c r="F39" s="68"/>
      <c r="G39" s="51" t="str">
        <f t="shared" si="0"/>
        <v/>
      </c>
    </row>
    <row r="40" spans="1:7" ht="12.75" x14ac:dyDescent="0.2">
      <c r="A40" s="435"/>
      <c r="B40" s="68"/>
      <c r="C40" s="68"/>
      <c r="D40" s="68"/>
      <c r="E40" s="68"/>
      <c r="F40" s="68"/>
      <c r="G40" s="51" t="str">
        <f t="shared" si="0"/>
        <v/>
      </c>
    </row>
    <row r="41" spans="1:7" ht="12.75" x14ac:dyDescent="0.2">
      <c r="A41" s="435" t="s">
        <v>69</v>
      </c>
      <c r="B41" s="68"/>
      <c r="C41" s="68"/>
      <c r="D41" s="68"/>
      <c r="E41" s="68"/>
      <c r="F41" s="68"/>
      <c r="G41" s="51" t="str">
        <f t="shared" si="0"/>
        <v/>
      </c>
    </row>
    <row r="42" spans="1:7" ht="15.75" customHeight="1" x14ac:dyDescent="0.2">
      <c r="A42" s="435"/>
      <c r="B42" s="68"/>
      <c r="C42" s="68"/>
      <c r="D42" s="68"/>
      <c r="E42" s="68"/>
      <c r="F42" s="68"/>
      <c r="G42" s="51" t="str">
        <f t="shared" si="0"/>
        <v/>
      </c>
    </row>
    <row r="43" spans="1:7" ht="12.75" x14ac:dyDescent="0.2">
      <c r="A43" s="435"/>
      <c r="B43" s="68"/>
      <c r="C43" s="68"/>
      <c r="D43" s="68"/>
      <c r="E43" s="68"/>
      <c r="F43" s="68"/>
      <c r="G43" s="51" t="str">
        <f t="shared" si="0"/>
        <v/>
      </c>
    </row>
    <row r="44" spans="1:7" ht="12.75" x14ac:dyDescent="0.2">
      <c r="A44" s="435"/>
      <c r="B44" s="68"/>
      <c r="C44" s="68"/>
      <c r="D44" s="68"/>
      <c r="E44" s="68"/>
      <c r="F44" s="68"/>
      <c r="G44" s="51" t="str">
        <f t="shared" si="0"/>
        <v/>
      </c>
    </row>
    <row r="45" spans="1:7" ht="12.75" x14ac:dyDescent="0.2">
      <c r="A45" s="435"/>
      <c r="B45" s="68"/>
      <c r="C45" s="68"/>
      <c r="D45" s="68"/>
      <c r="E45" s="68"/>
      <c r="F45" s="68"/>
      <c r="G45" s="51" t="str">
        <f t="shared" si="0"/>
        <v/>
      </c>
    </row>
    <row r="46" spans="1:7" ht="12.75" x14ac:dyDescent="0.2">
      <c r="A46" s="435" t="s">
        <v>70</v>
      </c>
      <c r="B46" s="68"/>
      <c r="C46" s="68"/>
      <c r="D46" s="68"/>
      <c r="E46" s="68"/>
      <c r="F46" s="68"/>
      <c r="G46" s="51" t="str">
        <f t="shared" si="0"/>
        <v/>
      </c>
    </row>
    <row r="47" spans="1:7" ht="15.75" customHeight="1" x14ac:dyDescent="0.2">
      <c r="A47" s="435"/>
      <c r="B47" s="68"/>
      <c r="C47" s="68"/>
      <c r="D47" s="68"/>
      <c r="E47" s="68"/>
      <c r="F47" s="68"/>
      <c r="G47" s="51" t="str">
        <f t="shared" si="0"/>
        <v/>
      </c>
    </row>
    <row r="48" spans="1:7" ht="12.75" x14ac:dyDescent="0.2">
      <c r="A48" s="435"/>
      <c r="B48" s="68"/>
      <c r="C48" s="68"/>
      <c r="D48" s="68"/>
      <c r="E48" s="68"/>
      <c r="F48" s="68"/>
      <c r="G48" s="51" t="str">
        <f t="shared" si="0"/>
        <v/>
      </c>
    </row>
    <row r="49" spans="1:7" ht="12.75" x14ac:dyDescent="0.2">
      <c r="A49" s="435"/>
      <c r="B49" s="68"/>
      <c r="C49" s="68"/>
      <c r="D49" s="68"/>
      <c r="E49" s="68"/>
      <c r="F49" s="68"/>
      <c r="G49" s="51" t="str">
        <f t="shared" si="0"/>
        <v/>
      </c>
    </row>
    <row r="50" spans="1:7" ht="12.75" x14ac:dyDescent="0.2">
      <c r="A50" s="435"/>
      <c r="B50" s="68"/>
      <c r="C50" s="68"/>
      <c r="D50" s="68"/>
      <c r="E50" s="68"/>
      <c r="F50" s="68"/>
      <c r="G50" s="51" t="str">
        <f t="shared" si="0"/>
        <v/>
      </c>
    </row>
    <row r="51" spans="1:7" ht="12.75" x14ac:dyDescent="0.2">
      <c r="A51" s="435" t="s">
        <v>71</v>
      </c>
      <c r="B51" s="68"/>
      <c r="C51" s="68"/>
      <c r="D51" s="68"/>
      <c r="E51" s="68"/>
      <c r="F51" s="68"/>
      <c r="G51" s="51" t="str">
        <f t="shared" si="0"/>
        <v/>
      </c>
    </row>
    <row r="52" spans="1:7" ht="15.75" customHeight="1" x14ac:dyDescent="0.2">
      <c r="A52" s="435"/>
      <c r="B52" s="68"/>
      <c r="C52" s="68"/>
      <c r="D52" s="68"/>
      <c r="E52" s="68"/>
      <c r="F52" s="68"/>
      <c r="G52" s="51" t="str">
        <f t="shared" si="0"/>
        <v/>
      </c>
    </row>
    <row r="53" spans="1:7" ht="12.75" x14ac:dyDescent="0.2">
      <c r="A53" s="435"/>
      <c r="B53" s="68"/>
      <c r="C53" s="68"/>
      <c r="D53" s="68"/>
      <c r="E53" s="68"/>
      <c r="F53" s="68"/>
      <c r="G53" s="51" t="str">
        <f t="shared" si="0"/>
        <v/>
      </c>
    </row>
    <row r="54" spans="1:7" ht="12.75" x14ac:dyDescent="0.2">
      <c r="A54" s="435"/>
      <c r="B54" s="68"/>
      <c r="C54" s="68"/>
      <c r="D54" s="68"/>
      <c r="E54" s="68"/>
      <c r="F54" s="68"/>
      <c r="G54" s="51" t="str">
        <f t="shared" si="0"/>
        <v/>
      </c>
    </row>
    <row r="55" spans="1:7" ht="12.75" x14ac:dyDescent="0.2">
      <c r="A55" s="435"/>
      <c r="B55" s="68"/>
      <c r="C55" s="68"/>
      <c r="D55" s="68"/>
      <c r="E55" s="68"/>
      <c r="F55" s="68"/>
      <c r="G55" s="51" t="str">
        <f t="shared" si="0"/>
        <v/>
      </c>
    </row>
    <row r="56" spans="1:7" ht="12.75" x14ac:dyDescent="0.2">
      <c r="A56" s="435" t="s">
        <v>83</v>
      </c>
      <c r="B56" s="68"/>
      <c r="C56" s="68"/>
      <c r="D56" s="68"/>
      <c r="E56" s="68"/>
      <c r="F56" s="68"/>
      <c r="G56" s="51" t="str">
        <f t="shared" si="0"/>
        <v/>
      </c>
    </row>
    <row r="57" spans="1:7" ht="15.75" customHeight="1" x14ac:dyDescent="0.2">
      <c r="A57" s="435"/>
      <c r="B57" s="68"/>
      <c r="C57" s="68"/>
      <c r="D57" s="68"/>
      <c r="E57" s="68"/>
      <c r="F57" s="68"/>
      <c r="G57" s="51" t="str">
        <f t="shared" si="0"/>
        <v/>
      </c>
    </row>
    <row r="58" spans="1:7" ht="12.75" x14ac:dyDescent="0.2">
      <c r="A58" s="435"/>
      <c r="B58" s="68"/>
      <c r="C58" s="68"/>
      <c r="D58" s="68"/>
      <c r="E58" s="68"/>
      <c r="F58" s="68"/>
      <c r="G58" s="51" t="str">
        <f t="shared" si="0"/>
        <v/>
      </c>
    </row>
    <row r="59" spans="1:7" ht="12.75" x14ac:dyDescent="0.2">
      <c r="A59" s="435"/>
      <c r="B59" s="68"/>
      <c r="C59" s="68"/>
      <c r="D59" s="68"/>
      <c r="E59" s="68"/>
      <c r="F59" s="68"/>
      <c r="G59" s="51" t="str">
        <f t="shared" si="0"/>
        <v/>
      </c>
    </row>
    <row r="60" spans="1:7" ht="12.75" x14ac:dyDescent="0.2">
      <c r="A60" s="435"/>
      <c r="B60" s="68"/>
      <c r="C60" s="68"/>
      <c r="D60" s="68"/>
      <c r="E60" s="68"/>
      <c r="F60" s="68"/>
      <c r="G60" s="51" t="str">
        <f t="shared" si="0"/>
        <v/>
      </c>
    </row>
    <row r="61" spans="1:7" ht="12.75" x14ac:dyDescent="0.2">
      <c r="A61" s="435" t="s">
        <v>84</v>
      </c>
      <c r="B61" s="68"/>
      <c r="C61" s="68"/>
      <c r="D61" s="68"/>
      <c r="E61" s="68"/>
      <c r="F61" s="68"/>
      <c r="G61" s="51" t="str">
        <f t="shared" si="0"/>
        <v/>
      </c>
    </row>
    <row r="62" spans="1:7" ht="15.75" customHeight="1" x14ac:dyDescent="0.2">
      <c r="A62" s="435"/>
      <c r="B62" s="68"/>
      <c r="C62" s="68"/>
      <c r="D62" s="68"/>
      <c r="E62" s="68"/>
      <c r="F62" s="68"/>
      <c r="G62" s="51" t="str">
        <f t="shared" si="0"/>
        <v/>
      </c>
    </row>
    <row r="63" spans="1:7" ht="12.75" x14ac:dyDescent="0.2">
      <c r="A63" s="435"/>
      <c r="B63" s="68"/>
      <c r="C63" s="68"/>
      <c r="D63" s="68"/>
      <c r="E63" s="68"/>
      <c r="F63" s="68"/>
      <c r="G63" s="51" t="str">
        <f t="shared" si="0"/>
        <v/>
      </c>
    </row>
    <row r="64" spans="1:7" ht="12.75" x14ac:dyDescent="0.2">
      <c r="A64" s="435"/>
      <c r="B64" s="68"/>
      <c r="C64" s="68"/>
      <c r="D64" s="68"/>
      <c r="E64" s="68"/>
      <c r="F64" s="68"/>
      <c r="G64" s="51" t="str">
        <f t="shared" si="0"/>
        <v/>
      </c>
    </row>
    <row r="65" spans="1:7" ht="12.75" x14ac:dyDescent="0.2">
      <c r="A65" s="435"/>
      <c r="B65" s="68"/>
      <c r="C65" s="68"/>
      <c r="D65" s="68"/>
      <c r="E65" s="68"/>
      <c r="F65" s="68"/>
      <c r="G65" s="51" t="str">
        <f t="shared" si="0"/>
        <v/>
      </c>
    </row>
    <row r="66" spans="1:7" ht="12.75" x14ac:dyDescent="0.2">
      <c r="A66" s="435" t="s">
        <v>109</v>
      </c>
      <c r="B66" s="68"/>
      <c r="C66" s="68"/>
      <c r="D66" s="68"/>
      <c r="E66" s="68"/>
      <c r="F66" s="68"/>
      <c r="G66" s="51" t="str">
        <f t="shared" si="0"/>
        <v/>
      </c>
    </row>
    <row r="67" spans="1:7" ht="15.75" customHeight="1" x14ac:dyDescent="0.2">
      <c r="A67" s="435"/>
      <c r="B67" s="68"/>
      <c r="C67" s="68"/>
      <c r="D67" s="68"/>
      <c r="E67" s="68"/>
      <c r="F67" s="68"/>
      <c r="G67" s="51" t="str">
        <f t="shared" si="0"/>
        <v/>
      </c>
    </row>
    <row r="68" spans="1:7" ht="12.75" x14ac:dyDescent="0.2">
      <c r="A68" s="435"/>
      <c r="B68" s="68"/>
      <c r="C68" s="68"/>
      <c r="D68" s="68"/>
      <c r="E68" s="68"/>
      <c r="F68" s="68"/>
      <c r="G68" s="51" t="str">
        <f t="shared" si="0"/>
        <v/>
      </c>
    </row>
    <row r="69" spans="1:7" ht="12.75" x14ac:dyDescent="0.2">
      <c r="A69" s="435"/>
      <c r="B69" s="68"/>
      <c r="C69" s="68"/>
      <c r="D69" s="68"/>
      <c r="E69" s="68"/>
      <c r="F69" s="68"/>
      <c r="G69" s="51" t="str">
        <f t="shared" si="0"/>
        <v/>
      </c>
    </row>
    <row r="70" spans="1:7" ht="12.75" x14ac:dyDescent="0.2">
      <c r="A70" s="435"/>
      <c r="B70" s="68"/>
      <c r="C70" s="68"/>
      <c r="D70" s="68"/>
      <c r="E70" s="68"/>
      <c r="F70" s="68"/>
      <c r="G70" s="51" t="str">
        <f t="shared" si="0"/>
        <v/>
      </c>
    </row>
    <row r="71" spans="1:7" ht="12.75" x14ac:dyDescent="0.2">
      <c r="A71" s="435" t="s">
        <v>110</v>
      </c>
      <c r="B71" s="68"/>
      <c r="C71" s="68"/>
      <c r="D71" s="68"/>
      <c r="E71" s="68"/>
      <c r="F71" s="68"/>
      <c r="G71" s="51" t="str">
        <f t="shared" si="0"/>
        <v/>
      </c>
    </row>
    <row r="72" spans="1:7" ht="15.75" customHeight="1" x14ac:dyDescent="0.2">
      <c r="A72" s="435"/>
      <c r="B72" s="68"/>
      <c r="C72" s="68"/>
      <c r="D72" s="68"/>
      <c r="E72" s="68"/>
      <c r="F72" s="68"/>
      <c r="G72" s="51" t="str">
        <f t="shared" si="0"/>
        <v/>
      </c>
    </row>
    <row r="73" spans="1:7" ht="12.75" x14ac:dyDescent="0.2">
      <c r="A73" s="435"/>
      <c r="B73" s="68"/>
      <c r="C73" s="68"/>
      <c r="D73" s="68"/>
      <c r="E73" s="68"/>
      <c r="F73" s="68"/>
      <c r="G73" s="51" t="str">
        <f t="shared" si="0"/>
        <v/>
      </c>
    </row>
    <row r="74" spans="1:7" ht="12.75" x14ac:dyDescent="0.2">
      <c r="A74" s="435"/>
      <c r="B74" s="68"/>
      <c r="C74" s="68"/>
      <c r="D74" s="68"/>
      <c r="E74" s="68"/>
      <c r="F74" s="68"/>
      <c r="G74" s="51" t="str">
        <f t="shared" si="0"/>
        <v/>
      </c>
    </row>
    <row r="75" spans="1:7" ht="12.75" x14ac:dyDescent="0.2">
      <c r="A75" s="435"/>
      <c r="B75" s="68"/>
      <c r="C75" s="68"/>
      <c r="D75" s="68"/>
      <c r="E75" s="68"/>
      <c r="F75" s="68"/>
      <c r="G75" s="51" t="str">
        <f t="shared" si="0"/>
        <v/>
      </c>
    </row>
    <row r="76" spans="1:7" ht="12.75" x14ac:dyDescent="0.2">
      <c r="A76" s="435" t="s">
        <v>111</v>
      </c>
      <c r="B76" s="68"/>
      <c r="C76" s="68"/>
      <c r="D76" s="68"/>
      <c r="E76" s="68"/>
      <c r="F76" s="68"/>
      <c r="G76" s="51" t="str">
        <f t="shared" si="0"/>
        <v/>
      </c>
    </row>
    <row r="77" spans="1:7" ht="15.75" customHeight="1" x14ac:dyDescent="0.2">
      <c r="A77" s="435"/>
      <c r="B77" s="68"/>
      <c r="C77" s="68"/>
      <c r="D77" s="68"/>
      <c r="E77" s="68"/>
      <c r="F77" s="68"/>
      <c r="G77" s="51" t="str">
        <f t="shared" si="0"/>
        <v/>
      </c>
    </row>
    <row r="78" spans="1:7" ht="12.75" x14ac:dyDescent="0.2">
      <c r="A78" s="435"/>
      <c r="B78" s="68"/>
      <c r="C78" s="68"/>
      <c r="D78" s="68"/>
      <c r="E78" s="68"/>
      <c r="F78" s="68"/>
      <c r="G78" s="51" t="str">
        <f t="shared" si="0"/>
        <v/>
      </c>
    </row>
    <row r="79" spans="1:7" ht="12.75" x14ac:dyDescent="0.2">
      <c r="A79" s="435"/>
      <c r="B79" s="68"/>
      <c r="C79" s="68"/>
      <c r="D79" s="68"/>
      <c r="E79" s="68"/>
      <c r="F79" s="68"/>
      <c r="G79" s="51" t="str">
        <f t="shared" si="0"/>
        <v/>
      </c>
    </row>
    <row r="80" spans="1:7" ht="12.75" x14ac:dyDescent="0.2">
      <c r="A80" s="435"/>
      <c r="B80" s="68"/>
      <c r="C80" s="68"/>
      <c r="D80" s="68"/>
      <c r="E80" s="68"/>
      <c r="F80" s="68"/>
      <c r="G80" s="51" t="str">
        <f t="shared" ref="G80:G90" si="1">CONCATENATE(B80,C80,D80,E80,F80)</f>
        <v/>
      </c>
    </row>
    <row r="81" spans="1:7" ht="12.75" x14ac:dyDescent="0.2">
      <c r="A81" s="435" t="s">
        <v>112</v>
      </c>
      <c r="B81" s="68"/>
      <c r="C81" s="68"/>
      <c r="D81" s="68"/>
      <c r="E81" s="68"/>
      <c r="F81" s="68"/>
      <c r="G81" s="51" t="str">
        <f t="shared" si="1"/>
        <v/>
      </c>
    </row>
    <row r="82" spans="1:7" ht="15.75" customHeight="1" x14ac:dyDescent="0.2">
      <c r="A82" s="435"/>
      <c r="B82" s="68"/>
      <c r="C82" s="68"/>
      <c r="D82" s="68"/>
      <c r="E82" s="68"/>
      <c r="F82" s="68"/>
      <c r="G82" s="51" t="str">
        <f t="shared" si="1"/>
        <v/>
      </c>
    </row>
    <row r="83" spans="1:7" ht="12.75" x14ac:dyDescent="0.2">
      <c r="A83" s="435"/>
      <c r="B83" s="68"/>
      <c r="C83" s="68"/>
      <c r="D83" s="68"/>
      <c r="E83" s="68"/>
      <c r="F83" s="68"/>
      <c r="G83" s="51" t="str">
        <f t="shared" si="1"/>
        <v/>
      </c>
    </row>
    <row r="84" spans="1:7" ht="12.75" x14ac:dyDescent="0.2">
      <c r="A84" s="435"/>
      <c r="B84" s="68"/>
      <c r="C84" s="68"/>
      <c r="D84" s="68"/>
      <c r="E84" s="68"/>
      <c r="F84" s="68"/>
      <c r="G84" s="51" t="str">
        <f t="shared" si="1"/>
        <v/>
      </c>
    </row>
    <row r="85" spans="1:7" ht="12.75" x14ac:dyDescent="0.2">
      <c r="A85" s="435"/>
      <c r="B85" s="68"/>
      <c r="C85" s="68"/>
      <c r="D85" s="68"/>
      <c r="E85" s="68"/>
      <c r="F85" s="68"/>
      <c r="G85" s="51" t="str">
        <f t="shared" si="1"/>
        <v/>
      </c>
    </row>
    <row r="86" spans="1:7" ht="12.75" x14ac:dyDescent="0.2">
      <c r="A86" s="435" t="s">
        <v>113</v>
      </c>
      <c r="B86" s="68"/>
      <c r="C86" s="68"/>
      <c r="D86" s="68"/>
      <c r="E86" s="68"/>
      <c r="F86" s="68"/>
      <c r="G86" s="51" t="str">
        <f t="shared" si="1"/>
        <v/>
      </c>
    </row>
    <row r="87" spans="1:7" ht="15.75" customHeight="1" x14ac:dyDescent="0.2">
      <c r="A87" s="435"/>
      <c r="B87" s="68"/>
      <c r="C87" s="68"/>
      <c r="D87" s="68"/>
      <c r="E87" s="68"/>
      <c r="F87" s="68"/>
      <c r="G87" s="51" t="str">
        <f t="shared" si="1"/>
        <v/>
      </c>
    </row>
    <row r="88" spans="1:7" ht="12.75" x14ac:dyDescent="0.2">
      <c r="A88" s="435"/>
      <c r="B88" s="68"/>
      <c r="C88" s="68"/>
      <c r="D88" s="68"/>
      <c r="E88" s="68"/>
      <c r="F88" s="68"/>
      <c r="G88" s="51" t="str">
        <f t="shared" si="1"/>
        <v/>
      </c>
    </row>
    <row r="89" spans="1:7" ht="12.75" x14ac:dyDescent="0.2">
      <c r="A89" s="435"/>
      <c r="B89" s="68"/>
      <c r="C89" s="68"/>
      <c r="D89" s="68"/>
      <c r="E89" s="68"/>
      <c r="F89" s="68"/>
      <c r="G89" s="51" t="str">
        <f t="shared" si="1"/>
        <v/>
      </c>
    </row>
    <row r="90" spans="1:7" ht="12.75" x14ac:dyDescent="0.2">
      <c r="A90" s="435"/>
      <c r="B90" s="68"/>
      <c r="C90" s="68"/>
      <c r="D90" s="68"/>
      <c r="E90" s="68"/>
      <c r="F90" s="68"/>
      <c r="G90" s="51" t="str">
        <f t="shared" si="1"/>
        <v/>
      </c>
    </row>
    <row r="91" spans="1:7" ht="96" customHeight="1" x14ac:dyDescent="0.2">
      <c r="A91" s="436" t="s">
        <v>48</v>
      </c>
      <c r="B91" s="436"/>
      <c r="C91" s="436"/>
      <c r="D91" s="436"/>
      <c r="E91" s="436"/>
      <c r="F91" s="436"/>
      <c r="G91" s="51"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autoFilter ref="A13:G91" xr:uid="{00000000-0009-0000-0000-00000B000000}">
    <filterColumn colId="1" showButton="0"/>
  </autoFilter>
  <mergeCells count="26">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 ref="A46:A50"/>
    <mergeCell ref="A51:A55"/>
    <mergeCell ref="A56:A60"/>
    <mergeCell ref="A86:A90"/>
    <mergeCell ref="A91:F91"/>
    <mergeCell ref="A81:A85"/>
    <mergeCell ref="A76:A80"/>
    <mergeCell ref="A71:A75"/>
    <mergeCell ref="A66:A70"/>
    <mergeCell ref="A61:A65"/>
  </mergeCells>
  <conditionalFormatting sqref="C15:F90">
    <cfRule type="containsBlanks" dxfId="1"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2060"/>
  </sheetPr>
  <dimension ref="A1:F914"/>
  <sheetViews>
    <sheetView topLeftCell="A16" workbookViewId="0">
      <selection activeCell="F219" sqref="F219"/>
    </sheetView>
  </sheetViews>
  <sheetFormatPr baseColWidth="10" defaultColWidth="11.42578125" defaultRowHeight="12.75" outlineLevelCol="1" x14ac:dyDescent="0.2"/>
  <cols>
    <col min="1" max="1" width="19.28515625" style="2" customWidth="1"/>
    <col min="2" max="2" width="26.85546875" style="60" customWidth="1"/>
    <col min="3" max="3" width="32.28515625" style="2" customWidth="1" outlineLevel="1"/>
    <col min="4" max="4" width="19.5703125" style="2" customWidth="1" outlineLevel="1"/>
    <col min="5" max="5" width="17.85546875" style="63" customWidth="1" outlineLevel="1"/>
    <col min="6" max="6" width="17.5703125" style="2" customWidth="1" outlineLevel="1"/>
    <col min="7" max="16384" width="11.42578125" style="2"/>
  </cols>
  <sheetData>
    <row r="1" spans="1:6" ht="18.75" x14ac:dyDescent="0.3">
      <c r="A1" s="316" t="s">
        <v>88</v>
      </c>
      <c r="B1" s="316"/>
      <c r="C1" s="316"/>
      <c r="D1" s="316"/>
      <c r="E1" s="316"/>
      <c r="F1" s="316"/>
    </row>
    <row r="2" spans="1:6" x14ac:dyDescent="0.2">
      <c r="A2" s="33"/>
      <c r="B2" s="76"/>
      <c r="C2" s="33"/>
      <c r="D2" s="33"/>
      <c r="E2" s="33"/>
      <c r="F2" s="33"/>
    </row>
    <row r="3" spans="1:6" ht="25.5" customHeight="1" x14ac:dyDescent="0.2">
      <c r="A3" s="19" t="s">
        <v>38</v>
      </c>
      <c r="B3" s="292" t="str">
        <f>Perfil_Egreso!B3</f>
        <v>CETPRO JUANJUI</v>
      </c>
      <c r="C3" s="292"/>
      <c r="D3" s="292"/>
      <c r="E3" s="35" t="s">
        <v>186</v>
      </c>
      <c r="F3" s="80" t="str">
        <f>Perfil_Egreso!E3</f>
        <v>0533836</v>
      </c>
    </row>
    <row r="4" spans="1:6" ht="15" customHeight="1" x14ac:dyDescent="0.2">
      <c r="A4" s="35"/>
      <c r="B4" s="35"/>
      <c r="C4" s="66"/>
      <c r="D4" s="66"/>
      <c r="E4" s="66"/>
      <c r="F4" s="66"/>
    </row>
    <row r="5" spans="1:6" ht="38.25" customHeight="1" x14ac:dyDescent="0.2">
      <c r="A5" s="19" t="s">
        <v>42</v>
      </c>
      <c r="B5" s="80" t="str">
        <f>Perfil_Egreso!B5</f>
        <v>INFORMACIÓN Y COMUNICACIONES</v>
      </c>
      <c r="C5" s="35" t="s">
        <v>43</v>
      </c>
      <c r="D5" s="80" t="str">
        <f>Perfil_Egreso!D5</f>
        <v>TECNOLOGÍAS DE LA INFORMACIÓN Y COMUNICACIONES - TICS</v>
      </c>
      <c r="E5" s="35" t="s">
        <v>44</v>
      </c>
      <c r="F5" s="80" t="str">
        <f>Perfil_Egreso!B7</f>
        <v>PROGRAMACIÓN INFORMÁTICA, CONSULTORÍA DE INFORMÁTICA Y ACTIVIDADES CONEXAS</v>
      </c>
    </row>
    <row r="6" spans="1:6" ht="12.75" customHeight="1" x14ac:dyDescent="0.2">
      <c r="A6" s="75"/>
      <c r="B6" s="35"/>
      <c r="C6" s="67"/>
      <c r="D6" s="67"/>
      <c r="E6" s="67"/>
      <c r="F6" s="67"/>
    </row>
    <row r="7" spans="1:6" ht="45" customHeight="1" x14ac:dyDescent="0.2">
      <c r="A7" s="75" t="str">
        <f>Perfil_Egreso!A11</f>
        <v>DENOMINACIÓN DEL PROGRAMA DE ESTUDIOS SEGÚN CNOF (según corresponda)</v>
      </c>
      <c r="B7" s="80" t="str">
        <f>Perfil_Egreso!B11:C11</f>
        <v>REDES Y COMUNICACIONES</v>
      </c>
      <c r="C7" s="137" t="s">
        <v>46</v>
      </c>
      <c r="D7" s="135" t="str">
        <f>Perfil_Egreso!E11</f>
        <v>J2662-2-001</v>
      </c>
      <c r="E7" s="137" t="s">
        <v>41</v>
      </c>
      <c r="F7" s="80" t="str">
        <f>Perfil_Egreso!B15</f>
        <v>TÉCNICO</v>
      </c>
    </row>
    <row r="8" spans="1:6" ht="12.75" customHeight="1" x14ac:dyDescent="0.2">
      <c r="A8" s="66"/>
      <c r="B8" s="67"/>
      <c r="C8" s="66"/>
      <c r="D8" s="66"/>
      <c r="E8" s="66"/>
      <c r="F8" s="66"/>
    </row>
    <row r="9" spans="1:6" ht="23.25" customHeight="1" x14ac:dyDescent="0.2">
      <c r="A9" s="75" t="s">
        <v>154</v>
      </c>
      <c r="B9" s="80">
        <f>Perfil_Egreso!B9:E9</f>
        <v>0</v>
      </c>
      <c r="C9" s="35" t="s">
        <v>6</v>
      </c>
      <c r="D9" s="80">
        <f>Itinerario!W17</f>
        <v>2112</v>
      </c>
      <c r="E9" s="35" t="s">
        <v>35</v>
      </c>
      <c r="F9" s="80">
        <f>Itinerario!T17</f>
        <v>80</v>
      </c>
    </row>
    <row r="10" spans="1:6" ht="12.75" customHeight="1" x14ac:dyDescent="0.2">
      <c r="A10" s="75"/>
      <c r="B10" s="35"/>
      <c r="C10" s="75"/>
      <c r="D10" s="75"/>
      <c r="E10" s="66"/>
      <c r="F10" s="66"/>
    </row>
    <row r="11" spans="1:6" ht="27" customHeight="1" x14ac:dyDescent="0.2">
      <c r="A11" s="19" t="s">
        <v>156</v>
      </c>
      <c r="B11" s="292">
        <f>Perfil_Egreso!B13</f>
        <v>0</v>
      </c>
      <c r="C11" s="292"/>
      <c r="D11" s="35" t="s">
        <v>45</v>
      </c>
      <c r="E11" s="309" t="str">
        <f>Perfil_Egreso!D13</f>
        <v>PRESENCIAL</v>
      </c>
      <c r="F11" s="310"/>
    </row>
    <row r="12" spans="1:6" x14ac:dyDescent="0.2">
      <c r="A12" s="35"/>
      <c r="B12" s="35"/>
      <c r="C12" s="35"/>
      <c r="D12" s="35"/>
      <c r="E12" s="75"/>
      <c r="F12" s="35"/>
    </row>
    <row r="13" spans="1:6" ht="20.25" customHeight="1" x14ac:dyDescent="0.2">
      <c r="A13" s="160" t="s">
        <v>3</v>
      </c>
      <c r="B13" s="160" t="s">
        <v>57</v>
      </c>
      <c r="C13" s="165" t="s">
        <v>58</v>
      </c>
      <c r="D13" s="160" t="s">
        <v>59</v>
      </c>
      <c r="E13" s="160" t="s">
        <v>60</v>
      </c>
      <c r="F13" s="160" t="s">
        <v>61</v>
      </c>
    </row>
    <row r="14" spans="1:6" x14ac:dyDescent="0.2">
      <c r="A14" s="439" t="str">
        <f>Itinerario!A24</f>
        <v>MÓDULO 1: GESTION DE SERVICIOS TECNOLOGICOS</v>
      </c>
      <c r="B14" s="440" t="str">
        <f>Ambiente_Equipamiento!$A$15</f>
        <v>Aula pedagógica</v>
      </c>
      <c r="C14" s="68"/>
      <c r="D14" s="78">
        <f>VLOOKUP(C14,Itinerario!$D$24:$W$54,18,FALSE)</f>
        <v>0</v>
      </c>
      <c r="E14" s="79">
        <f>VLOOKUP(C14,Itinerario!$D$24:$W$54,19,FALSE)</f>
        <v>0</v>
      </c>
      <c r="F14" s="79" t="e">
        <f>VLOOKUP(C14,Organización_Modular!$F$10:$G$40,2,FALSE)</f>
        <v>#N/A</v>
      </c>
    </row>
    <row r="15" spans="1:6" x14ac:dyDescent="0.2">
      <c r="A15" s="439"/>
      <c r="B15" s="440"/>
      <c r="C15" s="68"/>
      <c r="D15" s="78">
        <f>VLOOKUP(C15,Itinerario!$D$24:$W$54,18,FALSE)</f>
        <v>0</v>
      </c>
      <c r="E15" s="79">
        <f>VLOOKUP(C15,Itinerario!$D$24:$W$54,19,FALSE)</f>
        <v>0</v>
      </c>
      <c r="F15" s="79" t="e">
        <f>VLOOKUP(C15,Organización_Modular!$F$10:$G$40,2,FALSE)</f>
        <v>#N/A</v>
      </c>
    </row>
    <row r="16" spans="1:6" x14ac:dyDescent="0.2">
      <c r="A16" s="439"/>
      <c r="B16" s="440"/>
      <c r="C16" s="68"/>
      <c r="D16" s="78">
        <f>VLOOKUP(C16,Itinerario!$D$24:$W$54,18,FALSE)</f>
        <v>0</v>
      </c>
      <c r="E16" s="79">
        <f>VLOOKUP(C16,Itinerario!$D$24:$W$54,19,FALSE)</f>
        <v>0</v>
      </c>
      <c r="F16" s="79" t="e">
        <f>VLOOKUP(C16,Organización_Modular!$F$10:$G$40,2,FALSE)</f>
        <v>#N/A</v>
      </c>
    </row>
    <row r="17" spans="1:6" x14ac:dyDescent="0.2">
      <c r="A17" s="439"/>
      <c r="B17" s="440"/>
      <c r="C17" s="68"/>
      <c r="D17" s="78">
        <f>VLOOKUP(C17,Itinerario!$D$24:$W$54,18,FALSE)</f>
        <v>0</v>
      </c>
      <c r="E17" s="79">
        <f>VLOOKUP(C17,Itinerario!$D$24:$W$54,19,FALSE)</f>
        <v>0</v>
      </c>
      <c r="F17" s="79" t="e">
        <f>VLOOKUP(C17,Organización_Modular!$F$10:$G$40,2,FALSE)</f>
        <v>#N/A</v>
      </c>
    </row>
    <row r="18" spans="1:6" x14ac:dyDescent="0.2">
      <c r="A18" s="439"/>
      <c r="B18" s="440"/>
      <c r="C18" s="68"/>
      <c r="D18" s="78">
        <f>VLOOKUP(C18,Itinerario!$D$24:$W$54,18,FALSE)</f>
        <v>0</v>
      </c>
      <c r="E18" s="79">
        <f>VLOOKUP(C18,Itinerario!$D$24:$W$54,19,FALSE)</f>
        <v>0</v>
      </c>
      <c r="F18" s="79" t="e">
        <f>VLOOKUP(C18,Organización_Modular!$F$10:$G$40,2,FALSE)</f>
        <v>#N/A</v>
      </c>
    </row>
    <row r="19" spans="1:6" x14ac:dyDescent="0.2">
      <c r="A19" s="439"/>
      <c r="B19" s="440"/>
      <c r="C19" s="68"/>
      <c r="D19" s="78">
        <f>VLOOKUP(C19,Itinerario!$D$24:$W$54,18,FALSE)</f>
        <v>0</v>
      </c>
      <c r="E19" s="79">
        <f>VLOOKUP(C19,Itinerario!$D$24:$W$54,19,FALSE)</f>
        <v>0</v>
      </c>
      <c r="F19" s="79" t="e">
        <f>VLOOKUP(C19,Organización_Modular!$F$10:$G$40,2,FALSE)</f>
        <v>#N/A</v>
      </c>
    </row>
    <row r="20" spans="1:6" x14ac:dyDescent="0.2">
      <c r="A20" s="439"/>
      <c r="B20" s="440"/>
      <c r="C20" s="68"/>
      <c r="D20" s="78">
        <f>VLOOKUP(C20,Itinerario!$D$24:$W$54,18,FALSE)</f>
        <v>0</v>
      </c>
      <c r="E20" s="79">
        <f>VLOOKUP(C20,Itinerario!$D$24:$W$54,19,FALSE)</f>
        <v>0</v>
      </c>
      <c r="F20" s="79" t="e">
        <f>VLOOKUP(C20,Organización_Modular!$F$10:$G$40,2,FALSE)</f>
        <v>#N/A</v>
      </c>
    </row>
    <row r="21" spans="1:6" x14ac:dyDescent="0.2">
      <c r="A21" s="439"/>
      <c r="B21" s="440"/>
      <c r="C21" s="68"/>
      <c r="D21" s="78">
        <f>VLOOKUP(C21,Itinerario!$D$24:$W$54,18,FALSE)</f>
        <v>0</v>
      </c>
      <c r="E21" s="79">
        <f>VLOOKUP(C21,Itinerario!$D$24:$W$54,19,FALSE)</f>
        <v>0</v>
      </c>
      <c r="F21" s="79" t="e">
        <f>VLOOKUP(C21,Organización_Modular!$F$10:$G$40,2,FALSE)</f>
        <v>#N/A</v>
      </c>
    </row>
    <row r="22" spans="1:6" x14ac:dyDescent="0.2">
      <c r="A22" s="439"/>
      <c r="B22" s="440"/>
      <c r="C22" s="68"/>
      <c r="D22" s="78">
        <f>VLOOKUP(C22,Itinerario!$D$24:$W$54,18,FALSE)</f>
        <v>0</v>
      </c>
      <c r="E22" s="79">
        <f>VLOOKUP(C22,Itinerario!$D$24:$W$54,19,FALSE)</f>
        <v>0</v>
      </c>
      <c r="F22" s="79" t="e">
        <f>VLOOKUP(C22,Organización_Modular!$F$10:$G$40,2,FALSE)</f>
        <v>#N/A</v>
      </c>
    </row>
    <row r="23" spans="1:6" x14ac:dyDescent="0.2">
      <c r="A23" s="439"/>
      <c r="B23" s="440"/>
      <c r="C23" s="68"/>
      <c r="D23" s="78">
        <f>VLOOKUP(C23,Itinerario!$D$24:$W$54,18,FALSE)</f>
        <v>0</v>
      </c>
      <c r="E23" s="79">
        <f>VLOOKUP(C23,Itinerario!$D$24:$W$54,19,FALSE)</f>
        <v>0</v>
      </c>
      <c r="F23" s="79" t="e">
        <f>VLOOKUP(C23,Organización_Modular!$F$10:$G$40,2,FALSE)</f>
        <v>#N/A</v>
      </c>
    </row>
    <row r="24" spans="1:6" x14ac:dyDescent="0.2">
      <c r="A24" s="439"/>
      <c r="B24" s="440"/>
      <c r="C24" s="68"/>
      <c r="D24" s="78">
        <f>VLOOKUP(C24,Itinerario!$D$24:$W$54,18,FALSE)</f>
        <v>0</v>
      </c>
      <c r="E24" s="79">
        <f>VLOOKUP(C24,Itinerario!$D$24:$W$54,19,FALSE)</f>
        <v>0</v>
      </c>
      <c r="F24" s="79" t="e">
        <f>VLOOKUP(C24,Organización_Modular!$F$10:$G$40,2,FALSE)</f>
        <v>#N/A</v>
      </c>
    </row>
    <row r="25" spans="1:6" x14ac:dyDescent="0.2">
      <c r="A25" s="439"/>
      <c r="B25" s="440"/>
      <c r="C25" s="68"/>
      <c r="D25" s="78">
        <f>VLOOKUP(C25,Itinerario!$D$24:$W$54,18,FALSE)</f>
        <v>0</v>
      </c>
      <c r="E25" s="79">
        <f>VLOOKUP(C25,Itinerario!$D$24:$W$54,19,FALSE)</f>
        <v>0</v>
      </c>
      <c r="F25" s="79" t="e">
        <f>VLOOKUP(C25,Organización_Modular!$F$10:$G$40,2,FALSE)</f>
        <v>#N/A</v>
      </c>
    </row>
    <row r="26" spans="1:6" x14ac:dyDescent="0.2">
      <c r="A26" s="439"/>
      <c r="B26" s="440"/>
      <c r="C26" s="68"/>
      <c r="D26" s="78">
        <f>VLOOKUP(C26,Itinerario!$D$24:$W$54,18,FALSE)</f>
        <v>0</v>
      </c>
      <c r="E26" s="79">
        <f>VLOOKUP(C26,Itinerario!$D$24:$W$54,19,FALSE)</f>
        <v>0</v>
      </c>
      <c r="F26" s="79" t="e">
        <f>VLOOKUP(C26,Organización_Modular!$F$10:$G$40,2,FALSE)</f>
        <v>#N/A</v>
      </c>
    </row>
    <row r="27" spans="1:6" x14ac:dyDescent="0.2">
      <c r="A27" s="439"/>
      <c r="B27" s="440"/>
      <c r="C27" s="68"/>
      <c r="D27" s="78">
        <f>VLOOKUP(C27,Itinerario!$D$24:$W$54,18,FALSE)</f>
        <v>0</v>
      </c>
      <c r="E27" s="79">
        <f>VLOOKUP(C27,Itinerario!$D$24:$W$54,19,FALSE)</f>
        <v>0</v>
      </c>
      <c r="F27" s="79" t="e">
        <f>VLOOKUP(C27,Organización_Modular!$F$10:$G$40,2,FALSE)</f>
        <v>#N/A</v>
      </c>
    </row>
    <row r="28" spans="1:6" x14ac:dyDescent="0.2">
      <c r="A28" s="439"/>
      <c r="B28" s="440"/>
      <c r="C28" s="68"/>
      <c r="D28" s="78">
        <f>VLOOKUP(C28,Itinerario!$D$24:$W$54,18,FALSE)</f>
        <v>0</v>
      </c>
      <c r="E28" s="79">
        <f>VLOOKUP(C28,Itinerario!$D$24:$W$54,19,FALSE)</f>
        <v>0</v>
      </c>
      <c r="F28" s="79" t="e">
        <f>VLOOKUP(C28,Organización_Modular!$F$10:$G$40,2,FALSE)</f>
        <v>#N/A</v>
      </c>
    </row>
    <row r="29" spans="1:6" x14ac:dyDescent="0.2">
      <c r="A29" s="439"/>
      <c r="B29" s="440"/>
      <c r="C29" s="68"/>
      <c r="D29" s="78">
        <f>VLOOKUP(C29,Itinerario!$D$24:$W$54,18,FALSE)</f>
        <v>0</v>
      </c>
      <c r="E29" s="79">
        <f>VLOOKUP(C29,Itinerario!$D$24:$W$54,19,FALSE)</f>
        <v>0</v>
      </c>
      <c r="F29" s="79" t="e">
        <f>VLOOKUP(C29,Organización_Modular!$F$10:$G$40,2,FALSE)</f>
        <v>#N/A</v>
      </c>
    </row>
    <row r="30" spans="1:6" x14ac:dyDescent="0.2">
      <c r="A30" s="439"/>
      <c r="B30" s="440"/>
      <c r="C30" s="68"/>
      <c r="D30" s="78">
        <f>VLOOKUP(C30,Itinerario!$D$24:$W$54,18,FALSE)</f>
        <v>0</v>
      </c>
      <c r="E30" s="79">
        <f>VLOOKUP(C30,Itinerario!$D$24:$W$54,19,FALSE)</f>
        <v>0</v>
      </c>
      <c r="F30" s="79" t="e">
        <f>VLOOKUP(C30,Organización_Modular!$F$10:$G$40,2,FALSE)</f>
        <v>#N/A</v>
      </c>
    </row>
    <row r="31" spans="1:6" x14ac:dyDescent="0.2">
      <c r="A31" s="439"/>
      <c r="B31" s="440"/>
      <c r="C31" s="68"/>
      <c r="D31" s="78">
        <f>VLOOKUP(C31,Itinerario!$D$24:$W$54,18,FALSE)</f>
        <v>0</v>
      </c>
      <c r="E31" s="79">
        <f>VLOOKUP(C31,Itinerario!$D$24:$W$54,19,FALSE)</f>
        <v>0</v>
      </c>
      <c r="F31" s="79" t="e">
        <f>VLOOKUP(C31,Organización_Modular!$F$10:$G$40,2,FALSE)</f>
        <v>#N/A</v>
      </c>
    </row>
    <row r="32" spans="1:6" x14ac:dyDescent="0.2">
      <c r="A32" s="439"/>
      <c r="B32" s="440"/>
      <c r="C32" s="68"/>
      <c r="D32" s="78">
        <f>VLOOKUP(C32,Itinerario!$D$24:$W$54,18,FALSE)</f>
        <v>0</v>
      </c>
      <c r="E32" s="79">
        <f>VLOOKUP(C32,Itinerario!$D$24:$W$54,19,FALSE)</f>
        <v>0</v>
      </c>
      <c r="F32" s="79" t="e">
        <f>VLOOKUP(C32,Organización_Modular!$F$10:$G$40,2,FALSE)</f>
        <v>#N/A</v>
      </c>
    </row>
    <row r="33" spans="1:6" x14ac:dyDescent="0.2">
      <c r="A33" s="439"/>
      <c r="B33" s="440"/>
      <c r="C33" s="68"/>
      <c r="D33" s="78">
        <f>VLOOKUP(C33,Itinerario!$D$24:$W$54,18,FALSE)</f>
        <v>0</v>
      </c>
      <c r="E33" s="79">
        <f>VLOOKUP(C33,Itinerario!$D$24:$W$54,19,FALSE)</f>
        <v>0</v>
      </c>
      <c r="F33" s="79" t="e">
        <f>VLOOKUP(C33,Organización_Modular!$F$10:$G$40,2,FALSE)</f>
        <v>#N/A</v>
      </c>
    </row>
    <row r="34" spans="1:6" x14ac:dyDescent="0.2">
      <c r="A34" s="439"/>
      <c r="B34" s="440"/>
      <c r="C34" s="68"/>
      <c r="D34" s="78">
        <f>VLOOKUP(C34,Itinerario!$D$24:$W$54,18,FALSE)</f>
        <v>0</v>
      </c>
      <c r="E34" s="79">
        <f>VLOOKUP(C34,Itinerario!$D$24:$W$54,19,FALSE)</f>
        <v>0</v>
      </c>
      <c r="F34" s="79" t="e">
        <f>VLOOKUP(C34,Organización_Modular!$F$10:$G$40,2,FALSE)</f>
        <v>#N/A</v>
      </c>
    </row>
    <row r="35" spans="1:6" x14ac:dyDescent="0.2">
      <c r="A35" s="439"/>
      <c r="B35" s="440"/>
      <c r="C35" s="68"/>
      <c r="D35" s="78">
        <f>VLOOKUP(C35,Itinerario!$D$24:$W$54,18,FALSE)</f>
        <v>0</v>
      </c>
      <c r="E35" s="79">
        <f>VLOOKUP(C35,Itinerario!$D$24:$W$54,19,FALSE)</f>
        <v>0</v>
      </c>
      <c r="F35" s="79" t="e">
        <f>VLOOKUP(C35,Organización_Modular!$F$10:$G$40,2,FALSE)</f>
        <v>#N/A</v>
      </c>
    </row>
    <row r="36" spans="1:6" x14ac:dyDescent="0.2">
      <c r="A36" s="439"/>
      <c r="B36" s="440"/>
      <c r="C36" s="68"/>
      <c r="D36" s="78">
        <f>VLOOKUP(C36,Itinerario!$D$24:$W$54,18,FALSE)</f>
        <v>0</v>
      </c>
      <c r="E36" s="79">
        <f>VLOOKUP(C36,Itinerario!$D$24:$W$54,19,FALSE)</f>
        <v>0</v>
      </c>
      <c r="F36" s="79" t="e">
        <f>VLOOKUP(C36,Organización_Modular!$F$10:$G$40,2,FALSE)</f>
        <v>#N/A</v>
      </c>
    </row>
    <row r="37" spans="1:6" x14ac:dyDescent="0.2">
      <c r="A37" s="439"/>
      <c r="B37" s="440"/>
      <c r="C37" s="68"/>
      <c r="D37" s="78">
        <f>VLOOKUP(C37,Itinerario!$D$24:$W$54,18,FALSE)</f>
        <v>0</v>
      </c>
      <c r="E37" s="79">
        <f>VLOOKUP(C37,Itinerario!$D$24:$W$54,19,FALSE)</f>
        <v>0</v>
      </c>
      <c r="F37" s="79" t="e">
        <f>VLOOKUP(C37,Organización_Modular!$F$10:$G$40,2,FALSE)</f>
        <v>#N/A</v>
      </c>
    </row>
    <row r="38" spans="1:6" x14ac:dyDescent="0.2">
      <c r="A38" s="439"/>
      <c r="B38" s="440"/>
      <c r="C38" s="68"/>
      <c r="D38" s="78">
        <f>VLOOKUP(C38,Itinerario!$D$24:$W$54,18,FALSE)</f>
        <v>0</v>
      </c>
      <c r="E38" s="79">
        <f>VLOOKUP(C38,Itinerario!$D$24:$W$54,19,FALSE)</f>
        <v>0</v>
      </c>
      <c r="F38" s="79" t="e">
        <f>VLOOKUP(C38,Organización_Modular!$F$10:$G$40,2,FALSE)</f>
        <v>#N/A</v>
      </c>
    </row>
    <row r="39" spans="1:6" x14ac:dyDescent="0.2">
      <c r="A39" s="439"/>
      <c r="B39" s="440"/>
      <c r="C39" s="68"/>
      <c r="D39" s="78">
        <f>VLOOKUP(C39,Itinerario!$D$24:$W$54,18,FALSE)</f>
        <v>0</v>
      </c>
      <c r="E39" s="79">
        <f>VLOOKUP(C39,Itinerario!$D$24:$W$54,19,FALSE)</f>
        <v>0</v>
      </c>
      <c r="F39" s="79" t="e">
        <f>VLOOKUP(C39,Organización_Modular!$F$10:$G$40,2,FALSE)</f>
        <v>#N/A</v>
      </c>
    </row>
    <row r="40" spans="1:6" x14ac:dyDescent="0.2">
      <c r="A40" s="439"/>
      <c r="B40" s="440"/>
      <c r="C40" s="68"/>
      <c r="D40" s="78">
        <f>VLOOKUP(C40,Itinerario!$D$24:$W$54,18,FALSE)</f>
        <v>0</v>
      </c>
      <c r="E40" s="79">
        <f>VLOOKUP(C40,Itinerario!$D$24:$W$54,19,FALSE)</f>
        <v>0</v>
      </c>
      <c r="F40" s="79" t="e">
        <f>VLOOKUP(C40,Organización_Modular!$F$10:$G$40,2,FALSE)</f>
        <v>#N/A</v>
      </c>
    </row>
    <row r="41" spans="1:6" x14ac:dyDescent="0.2">
      <c r="A41" s="439"/>
      <c r="B41" s="440"/>
      <c r="C41" s="68"/>
      <c r="D41" s="78">
        <f>VLOOKUP(C41,Itinerario!$D$24:$W$54,18,FALSE)</f>
        <v>0</v>
      </c>
      <c r="E41" s="79">
        <f>VLOOKUP(C41,Itinerario!$D$24:$W$54,19,FALSE)</f>
        <v>0</v>
      </c>
      <c r="F41" s="79" t="e">
        <f>VLOOKUP(C41,Organización_Modular!$F$10:$G$40,2,FALSE)</f>
        <v>#N/A</v>
      </c>
    </row>
    <row r="42" spans="1:6" x14ac:dyDescent="0.2">
      <c r="A42" s="439"/>
      <c r="B42" s="440"/>
      <c r="C42" s="68"/>
      <c r="D42" s="78">
        <f>VLOOKUP(C42,Itinerario!$D$24:$W$54,18,FALSE)</f>
        <v>0</v>
      </c>
      <c r="E42" s="79">
        <f>VLOOKUP(C42,Itinerario!$D$24:$W$54,19,FALSE)</f>
        <v>0</v>
      </c>
      <c r="F42" s="79" t="e">
        <f>VLOOKUP(C42,Organización_Modular!$F$10:$G$40,2,FALSE)</f>
        <v>#N/A</v>
      </c>
    </row>
    <row r="43" spans="1:6" x14ac:dyDescent="0.2">
      <c r="A43" s="439"/>
      <c r="B43" s="440"/>
      <c r="C43" s="68"/>
      <c r="D43" s="78">
        <f>VLOOKUP(C43,Itinerario!$D$24:$W$54,18,FALSE)</f>
        <v>0</v>
      </c>
      <c r="E43" s="79">
        <f>VLOOKUP(C43,Itinerario!$D$24:$W$54,19,FALSE)</f>
        <v>0</v>
      </c>
      <c r="F43" s="79" t="e">
        <f>VLOOKUP(C43,Organización_Modular!$F$10:$G$40,2,FALSE)</f>
        <v>#N/A</v>
      </c>
    </row>
    <row r="44" spans="1:6" x14ac:dyDescent="0.2">
      <c r="A44" s="439"/>
      <c r="B44" s="440"/>
      <c r="C44" s="68"/>
      <c r="D44" s="78">
        <f>VLOOKUP(C44,Itinerario!$D$24:$W$54,18,FALSE)</f>
        <v>0</v>
      </c>
      <c r="E44" s="79">
        <f>VLOOKUP(C44,Itinerario!$D$24:$W$54,19,FALSE)</f>
        <v>0</v>
      </c>
      <c r="F44" s="79" t="e">
        <f>VLOOKUP(C44,Organización_Modular!$F$10:$G$40,2,FALSE)</f>
        <v>#N/A</v>
      </c>
    </row>
    <row r="45" spans="1:6" x14ac:dyDescent="0.2">
      <c r="A45" s="439"/>
      <c r="B45" s="440"/>
      <c r="C45" s="68"/>
      <c r="D45" s="78">
        <f>VLOOKUP(C45,Itinerario!$D$24:$W$54,18,FALSE)</f>
        <v>0</v>
      </c>
      <c r="E45" s="79">
        <f>VLOOKUP(C45,Itinerario!$D$24:$W$54,19,FALSE)</f>
        <v>0</v>
      </c>
      <c r="F45" s="79" t="e">
        <f>VLOOKUP(C45,Organización_Modular!$F$10:$G$40,2,FALSE)</f>
        <v>#N/A</v>
      </c>
    </row>
    <row r="46" spans="1:6" x14ac:dyDescent="0.2">
      <c r="A46" s="439"/>
      <c r="B46" s="440"/>
      <c r="C46" s="68"/>
      <c r="D46" s="78">
        <f>VLOOKUP(C46,Itinerario!$D$24:$W$54,18,FALSE)</f>
        <v>0</v>
      </c>
      <c r="E46" s="79">
        <f>VLOOKUP(C46,Itinerario!$D$24:$W$54,19,FALSE)</f>
        <v>0</v>
      </c>
      <c r="F46" s="79" t="e">
        <f>VLOOKUP(C46,Organización_Modular!$F$10:$G$40,2,FALSE)</f>
        <v>#N/A</v>
      </c>
    </row>
    <row r="47" spans="1:6" x14ac:dyDescent="0.2">
      <c r="A47" s="439"/>
      <c r="B47" s="440"/>
      <c r="C47" s="68"/>
      <c r="D47" s="78">
        <f>VLOOKUP(C47,Itinerario!$D$24:$W$54,18,FALSE)</f>
        <v>0</v>
      </c>
      <c r="E47" s="79">
        <f>VLOOKUP(C47,Itinerario!$D$24:$W$54,19,FALSE)</f>
        <v>0</v>
      </c>
      <c r="F47" s="79" t="e">
        <f>VLOOKUP(C47,Organización_Modular!$F$10:$G$40,2,FALSE)</f>
        <v>#N/A</v>
      </c>
    </row>
    <row r="48" spans="1:6" x14ac:dyDescent="0.2">
      <c r="A48" s="439"/>
      <c r="B48" s="440"/>
      <c r="C48" s="68"/>
      <c r="D48" s="78">
        <f>VLOOKUP(C48,Itinerario!$D$24:$W$54,18,FALSE)</f>
        <v>0</v>
      </c>
      <c r="E48" s="79">
        <f>VLOOKUP(C48,Itinerario!$D$24:$W$54,19,FALSE)</f>
        <v>0</v>
      </c>
      <c r="F48" s="79" t="e">
        <f>VLOOKUP(C48,Organización_Modular!$F$10:$G$40,2,FALSE)</f>
        <v>#N/A</v>
      </c>
    </row>
    <row r="49" spans="1:6" x14ac:dyDescent="0.2">
      <c r="A49" s="439"/>
      <c r="B49" s="440"/>
      <c r="C49" s="68"/>
      <c r="D49" s="78">
        <f>VLOOKUP(C49,Itinerario!$D$24:$W$54,18,FALSE)</f>
        <v>0</v>
      </c>
      <c r="E49" s="79">
        <f>VLOOKUP(C49,Itinerario!$D$24:$W$54,19,FALSE)</f>
        <v>0</v>
      </c>
      <c r="F49" s="79" t="e">
        <f>VLOOKUP(C49,Organización_Modular!$F$10:$G$40,2,FALSE)</f>
        <v>#N/A</v>
      </c>
    </row>
    <row r="50" spans="1:6" x14ac:dyDescent="0.2">
      <c r="A50" s="439"/>
      <c r="B50" s="440"/>
      <c r="C50" s="68"/>
      <c r="D50" s="78">
        <f>VLOOKUP(C50,Itinerario!$D$24:$W$54,18,FALSE)</f>
        <v>0</v>
      </c>
      <c r="E50" s="79">
        <f>VLOOKUP(C50,Itinerario!$D$24:$W$54,19,FALSE)</f>
        <v>0</v>
      </c>
      <c r="F50" s="79" t="e">
        <f>VLOOKUP(C50,Organización_Modular!$F$10:$G$40,2,FALSE)</f>
        <v>#N/A</v>
      </c>
    </row>
    <row r="51" spans="1:6" x14ac:dyDescent="0.2">
      <c r="A51" s="439"/>
      <c r="B51" s="440"/>
      <c r="C51" s="68"/>
      <c r="D51" s="78">
        <f>VLOOKUP(C51,Itinerario!$D$24:$W$54,18,FALSE)</f>
        <v>0</v>
      </c>
      <c r="E51" s="79">
        <f>VLOOKUP(C51,Itinerario!$D$24:$W$54,19,FALSE)</f>
        <v>0</v>
      </c>
      <c r="F51" s="79" t="e">
        <f>VLOOKUP(C51,Organización_Modular!$F$10:$G$40,2,FALSE)</f>
        <v>#N/A</v>
      </c>
    </row>
    <row r="52" spans="1:6" x14ac:dyDescent="0.2">
      <c r="A52" s="439"/>
      <c r="B52" s="440"/>
      <c r="C52" s="68"/>
      <c r="D52" s="78">
        <f>VLOOKUP(C52,Itinerario!$D$24:$W$54,18,FALSE)</f>
        <v>0</v>
      </c>
      <c r="E52" s="79">
        <f>VLOOKUP(C52,Itinerario!$D$24:$W$54,19,FALSE)</f>
        <v>0</v>
      </c>
      <c r="F52" s="79" t="e">
        <f>VLOOKUP(C52,Organización_Modular!$F$10:$G$40,2,FALSE)</f>
        <v>#N/A</v>
      </c>
    </row>
    <row r="53" spans="1:6" x14ac:dyDescent="0.2">
      <c r="A53" s="439"/>
      <c r="B53" s="440"/>
      <c r="C53" s="68"/>
      <c r="D53" s="78">
        <f>VLOOKUP(C53,Itinerario!$D$24:$W$54,18,FALSE)</f>
        <v>0</v>
      </c>
      <c r="E53" s="79">
        <f>VLOOKUP(C53,Itinerario!$D$24:$W$54,19,FALSE)</f>
        <v>0</v>
      </c>
      <c r="F53" s="79" t="e">
        <f>VLOOKUP(C53,Organización_Modular!$F$10:$G$40,2,FALSE)</f>
        <v>#N/A</v>
      </c>
    </row>
    <row r="54" spans="1:6" x14ac:dyDescent="0.2">
      <c r="A54" s="439"/>
      <c r="B54" s="440"/>
      <c r="C54" s="68"/>
      <c r="D54" s="78">
        <f>VLOOKUP(C54,Itinerario!$D$24:$W$54,18,FALSE)</f>
        <v>0</v>
      </c>
      <c r="E54" s="79">
        <f>VLOOKUP(C54,Itinerario!$D$24:$W$54,19,FALSE)</f>
        <v>0</v>
      </c>
      <c r="F54" s="79" t="e">
        <f>VLOOKUP(C54,Organización_Modular!$F$10:$G$40,2,FALSE)</f>
        <v>#N/A</v>
      </c>
    </row>
    <row r="55" spans="1:6" x14ac:dyDescent="0.2">
      <c r="A55" s="439"/>
      <c r="B55" s="440"/>
      <c r="C55" s="68"/>
      <c r="D55" s="78">
        <f>VLOOKUP(C55,Itinerario!$D$24:$W$54,18,FALSE)</f>
        <v>0</v>
      </c>
      <c r="E55" s="79">
        <f>VLOOKUP(C55,Itinerario!$D$24:$W$54,19,FALSE)</f>
        <v>0</v>
      </c>
      <c r="F55" s="79" t="e">
        <f>VLOOKUP(C55,Organización_Modular!$F$10:$G$40,2,FALSE)</f>
        <v>#N/A</v>
      </c>
    </row>
    <row r="56" spans="1:6" x14ac:dyDescent="0.2">
      <c r="A56" s="439"/>
      <c r="B56" s="440"/>
      <c r="C56" s="68"/>
      <c r="D56" s="78">
        <f>VLOOKUP(C56,Itinerario!$D$24:$W$54,18,FALSE)</f>
        <v>0</v>
      </c>
      <c r="E56" s="79">
        <f>VLOOKUP(C56,Itinerario!$D$24:$W$54,19,FALSE)</f>
        <v>0</v>
      </c>
      <c r="F56" s="79" t="e">
        <f>VLOOKUP(C56,Organización_Modular!$F$10:$G$40,2,FALSE)</f>
        <v>#N/A</v>
      </c>
    </row>
    <row r="57" spans="1:6" x14ac:dyDescent="0.2">
      <c r="A57" s="439"/>
      <c r="B57" s="440"/>
      <c r="C57" s="68"/>
      <c r="D57" s="78">
        <f>VLOOKUP(C57,Itinerario!$D$24:$W$54,18,FALSE)</f>
        <v>0</v>
      </c>
      <c r="E57" s="79">
        <f>VLOOKUP(C57,Itinerario!$D$24:$W$54,19,FALSE)</f>
        <v>0</v>
      </c>
      <c r="F57" s="79" t="e">
        <f>VLOOKUP(C57,Organización_Modular!$F$10:$G$40,2,FALSE)</f>
        <v>#N/A</v>
      </c>
    </row>
    <row r="58" spans="1:6" x14ac:dyDescent="0.2">
      <c r="A58" s="439"/>
      <c r="B58" s="440"/>
      <c r="C58" s="68"/>
      <c r="D58" s="78">
        <f>VLOOKUP(C58,Itinerario!$D$24:$W$54,18,FALSE)</f>
        <v>0</v>
      </c>
      <c r="E58" s="79">
        <f>VLOOKUP(C58,Itinerario!$D$24:$W$54,19,FALSE)</f>
        <v>0</v>
      </c>
      <c r="F58" s="79" t="e">
        <f>VLOOKUP(C58,Organización_Modular!$F$10:$G$40,2,FALSE)</f>
        <v>#N/A</v>
      </c>
    </row>
    <row r="59" spans="1:6" x14ac:dyDescent="0.2">
      <c r="A59" s="439"/>
      <c r="B59" s="440"/>
      <c r="C59" s="68"/>
      <c r="D59" s="78">
        <f>VLOOKUP(C59,Itinerario!$D$24:$W$54,18,FALSE)</f>
        <v>0</v>
      </c>
      <c r="E59" s="79">
        <f>VLOOKUP(C59,Itinerario!$D$24:$W$54,19,FALSE)</f>
        <v>0</v>
      </c>
      <c r="F59" s="79" t="e">
        <f>VLOOKUP(C59,Organización_Modular!$F$10:$G$40,2,FALSE)</f>
        <v>#N/A</v>
      </c>
    </row>
    <row r="60" spans="1:6" x14ac:dyDescent="0.2">
      <c r="A60" s="439"/>
      <c r="B60" s="440"/>
      <c r="C60" s="68"/>
      <c r="D60" s="78">
        <f>VLOOKUP(C60,Itinerario!$D$24:$W$54,18,FALSE)</f>
        <v>0</v>
      </c>
      <c r="E60" s="79">
        <f>VLOOKUP(C60,Itinerario!$D$24:$W$54,19,FALSE)</f>
        <v>0</v>
      </c>
      <c r="F60" s="79" t="e">
        <f>VLOOKUP(C60,Organización_Modular!$F$10:$G$40,2,FALSE)</f>
        <v>#N/A</v>
      </c>
    </row>
    <row r="61" spans="1:6" x14ac:dyDescent="0.2">
      <c r="A61" s="439"/>
      <c r="B61" s="440"/>
      <c r="C61" s="68"/>
      <c r="D61" s="78">
        <f>VLOOKUP(C61,Itinerario!$D$24:$W$54,18,FALSE)</f>
        <v>0</v>
      </c>
      <c r="E61" s="79">
        <f>VLOOKUP(C61,Itinerario!$D$24:$W$54,19,FALSE)</f>
        <v>0</v>
      </c>
      <c r="F61" s="79" t="e">
        <f>VLOOKUP(C61,Organización_Modular!$F$10:$G$40,2,FALSE)</f>
        <v>#N/A</v>
      </c>
    </row>
    <row r="62" spans="1:6" x14ac:dyDescent="0.2">
      <c r="A62" s="439"/>
      <c r="B62" s="440"/>
      <c r="C62" s="68"/>
      <c r="D62" s="78">
        <f>VLOOKUP(C62,Itinerario!$D$24:$W$54,18,FALSE)</f>
        <v>0</v>
      </c>
      <c r="E62" s="79">
        <f>VLOOKUP(C62,Itinerario!$D$24:$W$54,19,FALSE)</f>
        <v>0</v>
      </c>
      <c r="F62" s="79" t="e">
        <f>VLOOKUP(C62,Organización_Modular!$F$10:$G$40,2,FALSE)</f>
        <v>#N/A</v>
      </c>
    </row>
    <row r="63" spans="1:6" x14ac:dyDescent="0.2">
      <c r="A63" s="439"/>
      <c r="B63" s="440"/>
      <c r="C63" s="68"/>
      <c r="D63" s="78">
        <f>VLOOKUP(C63,Itinerario!$D$24:$W$54,18,FALSE)</f>
        <v>0</v>
      </c>
      <c r="E63" s="79">
        <f>VLOOKUP(C63,Itinerario!$D$24:$W$54,19,FALSE)</f>
        <v>0</v>
      </c>
      <c r="F63" s="79" t="e">
        <f>VLOOKUP(C63,Organización_Modular!$F$10:$G$40,2,FALSE)</f>
        <v>#N/A</v>
      </c>
    </row>
    <row r="64" spans="1:6" x14ac:dyDescent="0.2">
      <c r="A64" s="439"/>
      <c r="B64" s="440"/>
      <c r="C64" s="68"/>
      <c r="D64" s="78">
        <f>VLOOKUP(C64,Itinerario!$D$24:$W$54,18,FALSE)</f>
        <v>0</v>
      </c>
      <c r="E64" s="79">
        <f>VLOOKUP(C64,Itinerario!$D$24:$W$54,19,FALSE)</f>
        <v>0</v>
      </c>
      <c r="F64" s="79" t="e">
        <f>VLOOKUP(C64,Organización_Modular!$F$10:$G$40,2,FALSE)</f>
        <v>#N/A</v>
      </c>
    </row>
    <row r="65" spans="1:6" x14ac:dyDescent="0.2">
      <c r="A65" s="439"/>
      <c r="B65" s="440"/>
      <c r="C65" s="68"/>
      <c r="D65" s="78">
        <f>VLOOKUP(C65,Itinerario!$D$24:$W$54,18,FALSE)</f>
        <v>0</v>
      </c>
      <c r="E65" s="79">
        <f>VLOOKUP(C65,Itinerario!$D$24:$W$54,19,FALSE)</f>
        <v>0</v>
      </c>
      <c r="F65" s="79" t="e">
        <f>VLOOKUP(C65,Organización_Modular!$F$10:$G$40,2,FALSE)</f>
        <v>#N/A</v>
      </c>
    </row>
    <row r="66" spans="1:6" x14ac:dyDescent="0.2">
      <c r="A66" s="439"/>
      <c r="B66" s="440"/>
      <c r="C66" s="68"/>
      <c r="D66" s="78">
        <f>VLOOKUP(C66,Itinerario!$D$24:$W$54,18,FALSE)</f>
        <v>0</v>
      </c>
      <c r="E66" s="79">
        <f>VLOOKUP(C66,Itinerario!$D$24:$W$54,19,FALSE)</f>
        <v>0</v>
      </c>
      <c r="F66" s="79" t="e">
        <f>VLOOKUP(C66,Organización_Modular!$F$10:$G$40,2,FALSE)</f>
        <v>#N/A</v>
      </c>
    </row>
    <row r="67" spans="1:6" x14ac:dyDescent="0.2">
      <c r="A67" s="439"/>
      <c r="B67" s="440"/>
      <c r="C67" s="68"/>
      <c r="D67" s="78">
        <f>VLOOKUP(C67,Itinerario!$D$24:$W$54,18,FALSE)</f>
        <v>0</v>
      </c>
      <c r="E67" s="79">
        <f>VLOOKUP(C67,Itinerario!$D$24:$W$54,19,FALSE)</f>
        <v>0</v>
      </c>
      <c r="F67" s="79" t="e">
        <f>VLOOKUP(C67,Organización_Modular!$F$10:$G$40,2,FALSE)</f>
        <v>#N/A</v>
      </c>
    </row>
    <row r="68" spans="1:6" x14ac:dyDescent="0.2">
      <c r="A68" s="439"/>
      <c r="B68" s="440"/>
      <c r="C68" s="68"/>
      <c r="D68" s="78">
        <f>VLOOKUP(C68,Itinerario!$D$24:$W$54,18,FALSE)</f>
        <v>0</v>
      </c>
      <c r="E68" s="79">
        <f>VLOOKUP(C68,Itinerario!$D$24:$W$54,19,FALSE)</f>
        <v>0</v>
      </c>
      <c r="F68" s="79" t="e">
        <f>VLOOKUP(C68,Organización_Modular!$F$10:$G$40,2,FALSE)</f>
        <v>#N/A</v>
      </c>
    </row>
    <row r="69" spans="1:6" x14ac:dyDescent="0.2">
      <c r="A69" s="439"/>
      <c r="B69" s="440"/>
      <c r="C69" s="68"/>
      <c r="D69" s="78">
        <f>VLOOKUP(C69,Itinerario!$D$24:$W$54,18,FALSE)</f>
        <v>0</v>
      </c>
      <c r="E69" s="79">
        <f>VLOOKUP(C69,Itinerario!$D$24:$W$54,19,FALSE)</f>
        <v>0</v>
      </c>
      <c r="F69" s="79" t="e">
        <f>VLOOKUP(C69,Organización_Modular!$F$10:$G$40,2,FALSE)</f>
        <v>#N/A</v>
      </c>
    </row>
    <row r="70" spans="1:6" x14ac:dyDescent="0.2">
      <c r="A70" s="439"/>
      <c r="B70" s="440"/>
      <c r="C70" s="68"/>
      <c r="D70" s="78">
        <f>VLOOKUP(C70,Itinerario!$D$24:$W$54,18,FALSE)</f>
        <v>0</v>
      </c>
      <c r="E70" s="79">
        <f>VLOOKUP(C70,Itinerario!$D$24:$W$54,19,FALSE)</f>
        <v>0</v>
      </c>
      <c r="F70" s="79" t="e">
        <f>VLOOKUP(C70,Organización_Modular!$F$10:$G$40,2,FALSE)</f>
        <v>#N/A</v>
      </c>
    </row>
    <row r="71" spans="1:6" x14ac:dyDescent="0.2">
      <c r="A71" s="439"/>
      <c r="B71" s="440"/>
      <c r="C71" s="68"/>
      <c r="D71" s="78">
        <f>VLOOKUP(C71,Itinerario!$D$24:$W$54,18,FALSE)</f>
        <v>0</v>
      </c>
      <c r="E71" s="79">
        <f>VLOOKUP(C71,Itinerario!$D$24:$W$54,19,FALSE)</f>
        <v>0</v>
      </c>
      <c r="F71" s="79" t="e">
        <f>VLOOKUP(C71,Organización_Modular!$F$10:$G$40,2,FALSE)</f>
        <v>#N/A</v>
      </c>
    </row>
    <row r="72" spans="1:6" x14ac:dyDescent="0.2">
      <c r="A72" s="439"/>
      <c r="B72" s="440"/>
      <c r="C72" s="68"/>
      <c r="D72" s="78">
        <f>VLOOKUP(C72,Itinerario!$D$24:$W$54,18,FALSE)</f>
        <v>0</v>
      </c>
      <c r="E72" s="79">
        <f>VLOOKUP(C72,Itinerario!$D$24:$W$54,19,FALSE)</f>
        <v>0</v>
      </c>
      <c r="F72" s="79" t="e">
        <f>VLOOKUP(C72,Organización_Modular!$F$10:$G$40,2,FALSE)</f>
        <v>#N/A</v>
      </c>
    </row>
    <row r="73" spans="1:6" x14ac:dyDescent="0.2">
      <c r="A73" s="439"/>
      <c r="B73" s="440"/>
      <c r="C73" s="68"/>
      <c r="D73" s="78">
        <f>VLOOKUP(C73,Itinerario!$D$24:$W$54,18,FALSE)</f>
        <v>0</v>
      </c>
      <c r="E73" s="79">
        <f>VLOOKUP(C73,Itinerario!$D$24:$W$54,19,FALSE)</f>
        <v>0</v>
      </c>
      <c r="F73" s="79" t="e">
        <f>VLOOKUP(C73,Organización_Modular!$F$10:$G$40,2,FALSE)</f>
        <v>#N/A</v>
      </c>
    </row>
    <row r="74" spans="1:6" x14ac:dyDescent="0.2">
      <c r="A74" s="439"/>
      <c r="B74" s="440"/>
      <c r="C74" s="68"/>
      <c r="D74" s="78">
        <f>VLOOKUP(C74,Itinerario!$D$24:$W$54,18,FALSE)</f>
        <v>0</v>
      </c>
      <c r="E74" s="79">
        <f>VLOOKUP(C74,Itinerario!$D$24:$W$54,19,FALSE)</f>
        <v>0</v>
      </c>
      <c r="F74" s="79" t="e">
        <f>VLOOKUP(C74,Organización_Modular!$F$10:$G$40,2,FALSE)</f>
        <v>#N/A</v>
      </c>
    </row>
    <row r="75" spans="1:6" x14ac:dyDescent="0.2">
      <c r="A75" s="439"/>
      <c r="B75" s="440"/>
      <c r="C75" s="68"/>
      <c r="D75" s="78">
        <f>VLOOKUP(C75,Itinerario!$D$24:$W$54,18,FALSE)</f>
        <v>0</v>
      </c>
      <c r="E75" s="79">
        <f>VLOOKUP(C75,Itinerario!$D$24:$W$54,19,FALSE)</f>
        <v>0</v>
      </c>
      <c r="F75" s="79" t="e">
        <f>VLOOKUP(C75,Organización_Modular!$F$10:$G$40,2,FALSE)</f>
        <v>#N/A</v>
      </c>
    </row>
    <row r="76" spans="1:6" x14ac:dyDescent="0.2">
      <c r="A76" s="439"/>
      <c r="B76" s="440"/>
      <c r="C76" s="68"/>
      <c r="D76" s="78">
        <f>VLOOKUP(C76,Itinerario!$D$24:$W$54,18,FALSE)</f>
        <v>0</v>
      </c>
      <c r="E76" s="79">
        <f>VLOOKUP(C76,Itinerario!$D$24:$W$54,19,FALSE)</f>
        <v>0</v>
      </c>
      <c r="F76" s="79" t="e">
        <f>VLOOKUP(C76,Organización_Modular!$F$10:$G$40,2,FALSE)</f>
        <v>#N/A</v>
      </c>
    </row>
    <row r="77" spans="1:6" x14ac:dyDescent="0.2">
      <c r="A77" s="439"/>
      <c r="B77" s="440"/>
      <c r="C77" s="68"/>
      <c r="D77" s="78">
        <f>VLOOKUP(C77,Itinerario!$D$24:$W$54,18,FALSE)</f>
        <v>0</v>
      </c>
      <c r="E77" s="79">
        <f>VLOOKUP(C77,Itinerario!$D$24:$W$54,19,FALSE)</f>
        <v>0</v>
      </c>
      <c r="F77" s="79" t="e">
        <f>VLOOKUP(C77,Organización_Modular!$F$10:$G$40,2,FALSE)</f>
        <v>#N/A</v>
      </c>
    </row>
    <row r="78" spans="1:6" x14ac:dyDescent="0.2">
      <c r="A78" s="439"/>
      <c r="B78" s="440"/>
      <c r="C78" s="68"/>
      <c r="D78" s="78">
        <f>VLOOKUP(C78,Itinerario!$D$24:$W$54,18,FALSE)</f>
        <v>0</v>
      </c>
      <c r="E78" s="79">
        <f>VLOOKUP(C78,Itinerario!$D$24:$W$54,19,FALSE)</f>
        <v>0</v>
      </c>
      <c r="F78" s="79" t="e">
        <f>VLOOKUP(C78,Organización_Modular!$F$10:$G$40,2,FALSE)</f>
        <v>#N/A</v>
      </c>
    </row>
    <row r="79" spans="1:6" x14ac:dyDescent="0.2">
      <c r="A79" s="439"/>
      <c r="B79" s="440"/>
      <c r="C79" s="68"/>
      <c r="D79" s="78">
        <f>VLOOKUP(C79,Itinerario!$D$24:$W$54,18,FALSE)</f>
        <v>0</v>
      </c>
      <c r="E79" s="79">
        <f>VLOOKUP(C79,Itinerario!$D$24:$W$54,19,FALSE)</f>
        <v>0</v>
      </c>
      <c r="F79" s="79" t="e">
        <f>VLOOKUP(C79,Organización_Modular!$F$10:$G$40,2,FALSE)</f>
        <v>#N/A</v>
      </c>
    </row>
    <row r="80" spans="1:6" x14ac:dyDescent="0.2">
      <c r="A80" s="439"/>
      <c r="B80" s="440"/>
      <c r="C80" s="68"/>
      <c r="D80" s="78">
        <f>VLOOKUP(C80,Itinerario!$D$24:$W$54,18,FALSE)</f>
        <v>0</v>
      </c>
      <c r="E80" s="79">
        <f>VLOOKUP(C80,Itinerario!$D$24:$W$54,19,FALSE)</f>
        <v>0</v>
      </c>
      <c r="F80" s="79" t="e">
        <f>VLOOKUP(C80,Organización_Modular!$F$10:$G$40,2,FALSE)</f>
        <v>#N/A</v>
      </c>
    </row>
    <row r="81" spans="1:6" x14ac:dyDescent="0.2">
      <c r="A81" s="439"/>
      <c r="B81" s="440"/>
      <c r="C81" s="68"/>
      <c r="D81" s="78">
        <f>VLOOKUP(C81,Itinerario!$D$24:$W$54,18,FALSE)</f>
        <v>0</v>
      </c>
      <c r="E81" s="79">
        <f>VLOOKUP(C81,Itinerario!$D$24:$W$54,19,FALSE)</f>
        <v>0</v>
      </c>
      <c r="F81" s="79" t="e">
        <f>VLOOKUP(C81,Organización_Modular!$F$10:$G$40,2,FALSE)</f>
        <v>#N/A</v>
      </c>
    </row>
    <row r="82" spans="1:6" x14ac:dyDescent="0.2">
      <c r="A82" s="439"/>
      <c r="B82" s="440"/>
      <c r="C82" s="68"/>
      <c r="D82" s="78">
        <f>VLOOKUP(C82,Itinerario!$D$24:$W$54,18,FALSE)</f>
        <v>0</v>
      </c>
      <c r="E82" s="79">
        <f>VLOOKUP(C82,Itinerario!$D$24:$W$54,19,FALSE)</f>
        <v>0</v>
      </c>
      <c r="F82" s="79" t="e">
        <f>VLOOKUP(C82,Organización_Modular!$F$10:$G$40,2,FALSE)</f>
        <v>#N/A</v>
      </c>
    </row>
    <row r="83" spans="1:6" x14ac:dyDescent="0.2">
      <c r="A83" s="439"/>
      <c r="B83" s="440"/>
      <c r="C83" s="68"/>
      <c r="D83" s="78">
        <f>VLOOKUP(C83,Itinerario!$D$24:$W$54,18,FALSE)</f>
        <v>0</v>
      </c>
      <c r="E83" s="79">
        <f>VLOOKUP(C83,Itinerario!$D$24:$W$54,19,FALSE)</f>
        <v>0</v>
      </c>
      <c r="F83" s="79" t="e">
        <f>VLOOKUP(C83,Organización_Modular!$F$10:$G$40,2,FALSE)</f>
        <v>#N/A</v>
      </c>
    </row>
    <row r="84" spans="1:6" x14ac:dyDescent="0.2">
      <c r="A84" s="439"/>
      <c r="B84" s="440"/>
      <c r="C84" s="68"/>
      <c r="D84" s="78">
        <f>VLOOKUP(C84,Itinerario!$D$24:$W$54,18,FALSE)</f>
        <v>0</v>
      </c>
      <c r="E84" s="79">
        <f>VLOOKUP(C84,Itinerario!$D$24:$W$54,19,FALSE)</f>
        <v>0</v>
      </c>
      <c r="F84" s="79" t="e">
        <f>VLOOKUP(C84,Organización_Modular!$F$10:$G$40,2,FALSE)</f>
        <v>#N/A</v>
      </c>
    </row>
    <row r="85" spans="1:6" x14ac:dyDescent="0.2">
      <c r="A85" s="439"/>
      <c r="B85" s="440"/>
      <c r="C85" s="68"/>
      <c r="D85" s="78">
        <f>VLOOKUP(C85,Itinerario!$D$24:$W$54,18,FALSE)</f>
        <v>0</v>
      </c>
      <c r="E85" s="79">
        <f>VLOOKUP(C85,Itinerario!$D$24:$W$54,19,FALSE)</f>
        <v>0</v>
      </c>
      <c r="F85" s="79" t="e">
        <f>VLOOKUP(C85,Organización_Modular!$F$10:$G$40,2,FALSE)</f>
        <v>#N/A</v>
      </c>
    </row>
    <row r="86" spans="1:6" x14ac:dyDescent="0.2">
      <c r="A86" s="439"/>
      <c r="B86" s="440"/>
      <c r="C86" s="68"/>
      <c r="D86" s="78">
        <f>VLOOKUP(C86,Itinerario!$D$24:$W$54,18,FALSE)</f>
        <v>0</v>
      </c>
      <c r="E86" s="79">
        <f>VLOOKUP(C86,Itinerario!$D$24:$W$54,19,FALSE)</f>
        <v>0</v>
      </c>
      <c r="F86" s="79" t="e">
        <f>VLOOKUP(C86,Organización_Modular!$F$10:$G$40,2,FALSE)</f>
        <v>#N/A</v>
      </c>
    </row>
    <row r="87" spans="1:6" x14ac:dyDescent="0.2">
      <c r="A87" s="439"/>
      <c r="B87" s="440"/>
      <c r="C87" s="68"/>
      <c r="D87" s="78">
        <f>VLOOKUP(C87,Itinerario!$D$24:$W$54,18,FALSE)</f>
        <v>0</v>
      </c>
      <c r="E87" s="79">
        <f>VLOOKUP(C87,Itinerario!$D$24:$W$54,19,FALSE)</f>
        <v>0</v>
      </c>
      <c r="F87" s="79" t="e">
        <f>VLOOKUP(C87,Organización_Modular!$F$10:$G$40,2,FALSE)</f>
        <v>#N/A</v>
      </c>
    </row>
    <row r="88" spans="1:6" x14ac:dyDescent="0.2">
      <c r="A88" s="439"/>
      <c r="B88" s="440"/>
      <c r="C88" s="68"/>
      <c r="D88" s="78">
        <f>VLOOKUP(C88,Itinerario!$D$24:$W$54,18,FALSE)</f>
        <v>0</v>
      </c>
      <c r="E88" s="79">
        <f>VLOOKUP(C88,Itinerario!$D$24:$W$54,19,FALSE)</f>
        <v>0</v>
      </c>
      <c r="F88" s="79" t="e">
        <f>VLOOKUP(C88,Organización_Modular!$F$10:$G$40,2,FALSE)</f>
        <v>#N/A</v>
      </c>
    </row>
    <row r="89" spans="1:6" x14ac:dyDescent="0.2">
      <c r="A89" s="439"/>
      <c r="B89" s="440"/>
      <c r="C89" s="69"/>
      <c r="D89" s="78">
        <f>VLOOKUP(C89,Itinerario!$D$24:$W$54,18,FALSE)</f>
        <v>0</v>
      </c>
      <c r="E89" s="79">
        <f>VLOOKUP(C89,Itinerario!$D$24:$W$54,19,FALSE)</f>
        <v>0</v>
      </c>
      <c r="F89" s="79" t="e">
        <f>VLOOKUP(C89,Organización_Modular!$F$10:$G$40,2,FALSE)</f>
        <v>#N/A</v>
      </c>
    </row>
    <row r="90" spans="1:6" x14ac:dyDescent="0.2">
      <c r="A90" s="439"/>
      <c r="B90" s="440"/>
      <c r="C90" s="69"/>
      <c r="D90" s="78">
        <f>VLOOKUP(C90,Itinerario!$D$24:$W$54,18,FALSE)</f>
        <v>0</v>
      </c>
      <c r="E90" s="79">
        <f>VLOOKUP(C90,Itinerario!$D$24:$W$54,19,FALSE)</f>
        <v>0</v>
      </c>
      <c r="F90" s="79" t="e">
        <f>VLOOKUP(C90,Organización_Modular!$F$10:$G$40,2,FALSE)</f>
        <v>#N/A</v>
      </c>
    </row>
    <row r="91" spans="1:6" x14ac:dyDescent="0.2">
      <c r="A91" s="439"/>
      <c r="B91" s="440"/>
      <c r="C91" s="69"/>
      <c r="D91" s="78">
        <f>VLOOKUP(C91,Itinerario!$D$24:$W$54,18,FALSE)</f>
        <v>0</v>
      </c>
      <c r="E91" s="79">
        <f>VLOOKUP(C91,Itinerario!$D$24:$W$54,19,FALSE)</f>
        <v>0</v>
      </c>
      <c r="F91" s="79" t="e">
        <f>VLOOKUP(C91,Organización_Modular!$F$10:$G$40,2,FALSE)</f>
        <v>#N/A</v>
      </c>
    </row>
    <row r="92" spans="1:6" x14ac:dyDescent="0.2">
      <c r="A92" s="439"/>
      <c r="B92" s="440"/>
      <c r="C92" s="69"/>
      <c r="D92" s="78">
        <f>VLOOKUP(C92,Itinerario!$D$24:$W$54,18,FALSE)</f>
        <v>0</v>
      </c>
      <c r="E92" s="79">
        <f>VLOOKUP(C92,Itinerario!$D$24:$W$54,19,FALSE)</f>
        <v>0</v>
      </c>
      <c r="F92" s="79" t="e">
        <f>VLOOKUP(C92,Organización_Modular!$F$10:$G$40,2,FALSE)</f>
        <v>#N/A</v>
      </c>
    </row>
    <row r="93" spans="1:6" x14ac:dyDescent="0.2">
      <c r="A93" s="439"/>
      <c r="B93" s="440"/>
      <c r="C93" s="69"/>
      <c r="D93" s="78">
        <f>VLOOKUP(C93,Itinerario!$D$24:$W$54,18,FALSE)</f>
        <v>0</v>
      </c>
      <c r="E93" s="79">
        <f>VLOOKUP(C93,Itinerario!$D$24:$W$54,19,FALSE)</f>
        <v>0</v>
      </c>
      <c r="F93" s="79" t="e">
        <f>VLOOKUP(C93,Organización_Modular!$F$10:$G$40,2,FALSE)</f>
        <v>#N/A</v>
      </c>
    </row>
    <row r="94" spans="1:6" x14ac:dyDescent="0.2">
      <c r="A94" s="439"/>
      <c r="B94" s="440"/>
      <c r="C94" s="69"/>
      <c r="D94" s="78">
        <f>VLOOKUP(C94,Itinerario!$D$24:$W$54,18,FALSE)</f>
        <v>0</v>
      </c>
      <c r="E94" s="79">
        <f>VLOOKUP(C94,Itinerario!$D$24:$W$54,19,FALSE)</f>
        <v>0</v>
      </c>
      <c r="F94" s="79" t="e">
        <f>VLOOKUP(C94,Organización_Modular!$F$10:$G$40,2,FALSE)</f>
        <v>#N/A</v>
      </c>
    </row>
    <row r="95" spans="1:6" x14ac:dyDescent="0.2">
      <c r="A95" s="439"/>
      <c r="B95" s="440"/>
      <c r="C95" s="69"/>
      <c r="D95" s="78">
        <f>VLOOKUP(C95,Itinerario!$D$24:$W$54,18,FALSE)</f>
        <v>0</v>
      </c>
      <c r="E95" s="79">
        <f>VLOOKUP(C95,Itinerario!$D$24:$W$54,19,FALSE)</f>
        <v>0</v>
      </c>
      <c r="F95" s="79" t="e">
        <f>VLOOKUP(C95,Organización_Modular!$F$10:$G$40,2,FALSE)</f>
        <v>#N/A</v>
      </c>
    </row>
    <row r="96" spans="1:6" x14ac:dyDescent="0.2">
      <c r="A96" s="439"/>
      <c r="B96" s="440"/>
      <c r="C96" s="69"/>
      <c r="D96" s="78">
        <f>VLOOKUP(C96,Itinerario!$D$24:$W$54,18,FALSE)</f>
        <v>0</v>
      </c>
      <c r="E96" s="79">
        <f>VLOOKUP(C96,Itinerario!$D$24:$W$54,19,FALSE)</f>
        <v>0</v>
      </c>
      <c r="F96" s="79" t="e">
        <f>VLOOKUP(C96,Organización_Modular!$F$10:$G$40,2,FALSE)</f>
        <v>#N/A</v>
      </c>
    </row>
    <row r="97" spans="1:6" x14ac:dyDescent="0.2">
      <c r="A97" s="439"/>
      <c r="B97" s="440"/>
      <c r="C97" s="69"/>
      <c r="D97" s="78">
        <f>VLOOKUP(C97,Itinerario!$D$24:$W$54,18,FALSE)</f>
        <v>0</v>
      </c>
      <c r="E97" s="79">
        <f>VLOOKUP(C97,Itinerario!$D$24:$W$54,19,FALSE)</f>
        <v>0</v>
      </c>
      <c r="F97" s="79" t="e">
        <f>VLOOKUP(C97,Organización_Modular!$F$10:$G$40,2,FALSE)</f>
        <v>#N/A</v>
      </c>
    </row>
    <row r="98" spans="1:6" x14ac:dyDescent="0.2">
      <c r="A98" s="439"/>
      <c r="B98" s="440"/>
      <c r="C98" s="69"/>
      <c r="D98" s="78">
        <f>VLOOKUP(C98,Itinerario!$D$24:$W$54,18,FALSE)</f>
        <v>0</v>
      </c>
      <c r="E98" s="79">
        <f>VLOOKUP(C98,Itinerario!$D$24:$W$54,19,FALSE)</f>
        <v>0</v>
      </c>
      <c r="F98" s="79" t="e">
        <f>VLOOKUP(C98,Organización_Modular!$F$10:$G$40,2,FALSE)</f>
        <v>#N/A</v>
      </c>
    </row>
    <row r="99" spans="1:6" x14ac:dyDescent="0.2">
      <c r="A99" s="439"/>
      <c r="B99" s="440"/>
      <c r="C99" s="69"/>
      <c r="D99" s="78">
        <f>VLOOKUP(C99,Itinerario!$D$24:$W$54,18,FALSE)</f>
        <v>0</v>
      </c>
      <c r="E99" s="79">
        <f>VLOOKUP(C99,Itinerario!$D$24:$W$54,19,FALSE)</f>
        <v>0</v>
      </c>
      <c r="F99" s="79" t="e">
        <f>VLOOKUP(C99,Organización_Modular!$F$10:$G$40,2,FALSE)</f>
        <v>#N/A</v>
      </c>
    </row>
    <row r="100" spans="1:6" x14ac:dyDescent="0.2">
      <c r="A100" s="439"/>
      <c r="B100" s="440"/>
      <c r="C100" s="69"/>
      <c r="D100" s="78">
        <f>VLOOKUP(C100,Itinerario!$D$24:$W$54,18,FALSE)</f>
        <v>0</v>
      </c>
      <c r="E100" s="79">
        <f>VLOOKUP(C100,Itinerario!$D$24:$W$54,19,FALSE)</f>
        <v>0</v>
      </c>
      <c r="F100" s="79" t="e">
        <f>VLOOKUP(C100,Organización_Modular!$F$10:$G$40,2,FALSE)</f>
        <v>#N/A</v>
      </c>
    </row>
    <row r="101" spans="1:6" x14ac:dyDescent="0.2">
      <c r="A101" s="439"/>
      <c r="B101" s="440"/>
      <c r="C101" s="69"/>
      <c r="D101" s="78">
        <f>VLOOKUP(C101,Itinerario!$D$24:$W$54,18,FALSE)</f>
        <v>0</v>
      </c>
      <c r="E101" s="79">
        <f>VLOOKUP(C101,Itinerario!$D$24:$W$54,19,FALSE)</f>
        <v>0</v>
      </c>
      <c r="F101" s="79" t="e">
        <f>VLOOKUP(C101,Organización_Modular!$F$10:$G$40,2,FALSE)</f>
        <v>#N/A</v>
      </c>
    </row>
    <row r="102" spans="1:6" x14ac:dyDescent="0.2">
      <c r="A102" s="439"/>
      <c r="B102" s="440"/>
      <c r="C102" s="69"/>
      <c r="D102" s="78">
        <f>VLOOKUP(C102,Itinerario!$D$24:$W$54,18,FALSE)</f>
        <v>0</v>
      </c>
      <c r="E102" s="79">
        <f>VLOOKUP(C102,Itinerario!$D$24:$W$54,19,FALSE)</f>
        <v>0</v>
      </c>
      <c r="F102" s="79" t="e">
        <f>VLOOKUP(C102,Organización_Modular!$F$10:$G$40,2,FALSE)</f>
        <v>#N/A</v>
      </c>
    </row>
    <row r="103" spans="1:6" x14ac:dyDescent="0.2">
      <c r="A103" s="439"/>
      <c r="B103" s="440"/>
      <c r="C103" s="69"/>
      <c r="D103" s="78">
        <f>VLOOKUP(C103,Itinerario!$D$24:$W$54,18,FALSE)</f>
        <v>0</v>
      </c>
      <c r="E103" s="79">
        <f>VLOOKUP(C103,Itinerario!$D$24:$W$54,19,FALSE)</f>
        <v>0</v>
      </c>
      <c r="F103" s="79" t="e">
        <f>VLOOKUP(C103,Organización_Modular!$F$10:$G$40,2,FALSE)</f>
        <v>#N/A</v>
      </c>
    </row>
    <row r="104" spans="1:6" x14ac:dyDescent="0.2">
      <c r="A104" s="439"/>
      <c r="B104" s="440"/>
      <c r="C104" s="69"/>
      <c r="D104" s="78">
        <f>VLOOKUP(C104,Itinerario!$D$24:$W$54,18,FALSE)</f>
        <v>0</v>
      </c>
      <c r="E104" s="79">
        <f>VLOOKUP(C104,Itinerario!$D$24:$W$54,19,FALSE)</f>
        <v>0</v>
      </c>
      <c r="F104" s="79" t="e">
        <f>VLOOKUP(C104,Organización_Modular!$F$10:$G$40,2,FALSE)</f>
        <v>#N/A</v>
      </c>
    </row>
    <row r="105" spans="1:6" x14ac:dyDescent="0.2">
      <c r="A105" s="439"/>
      <c r="B105" s="440"/>
      <c r="C105" s="69"/>
      <c r="D105" s="78">
        <f>VLOOKUP(C105,Itinerario!$D$24:$W$54,18,FALSE)</f>
        <v>0</v>
      </c>
      <c r="E105" s="79">
        <f>VLOOKUP(C105,Itinerario!$D$24:$W$54,19,FALSE)</f>
        <v>0</v>
      </c>
      <c r="F105" s="79" t="e">
        <f>VLOOKUP(C105,Organización_Modular!$F$10:$G$40,2,FALSE)</f>
        <v>#N/A</v>
      </c>
    </row>
    <row r="106" spans="1:6" x14ac:dyDescent="0.2">
      <c r="A106" s="439"/>
      <c r="B106" s="440"/>
      <c r="C106" s="69"/>
      <c r="D106" s="78">
        <f>VLOOKUP(C106,Itinerario!$D$24:$W$54,18,FALSE)</f>
        <v>0</v>
      </c>
      <c r="E106" s="79">
        <f>VLOOKUP(C106,Itinerario!$D$24:$W$54,19,FALSE)</f>
        <v>0</v>
      </c>
      <c r="F106" s="79" t="e">
        <f>VLOOKUP(C106,Organización_Modular!$F$10:$G$40,2,FALSE)</f>
        <v>#N/A</v>
      </c>
    </row>
    <row r="107" spans="1:6" x14ac:dyDescent="0.2">
      <c r="A107" s="439"/>
      <c r="B107" s="440"/>
      <c r="C107" s="69"/>
      <c r="D107" s="78">
        <f>VLOOKUP(C107,Itinerario!$D$24:$W$54,18,FALSE)</f>
        <v>0</v>
      </c>
      <c r="E107" s="79">
        <f>VLOOKUP(C107,Itinerario!$D$24:$W$54,19,FALSE)</f>
        <v>0</v>
      </c>
      <c r="F107" s="79" t="e">
        <f>VLOOKUP(C107,Organización_Modular!$F$10:$G$40,2,FALSE)</f>
        <v>#N/A</v>
      </c>
    </row>
    <row r="108" spans="1:6" x14ac:dyDescent="0.2">
      <c r="A108" s="439"/>
      <c r="B108" s="440"/>
      <c r="C108" s="69"/>
      <c r="D108" s="78">
        <f>VLOOKUP(C108,Itinerario!$D$24:$W$54,18,FALSE)</f>
        <v>0</v>
      </c>
      <c r="E108" s="79">
        <f>VLOOKUP(C108,Itinerario!$D$24:$W$54,19,FALSE)</f>
        <v>0</v>
      </c>
      <c r="F108" s="79" t="e">
        <f>VLOOKUP(C108,Organización_Modular!$F$10:$G$40,2,FALSE)</f>
        <v>#N/A</v>
      </c>
    </row>
    <row r="109" spans="1:6" x14ac:dyDescent="0.2">
      <c r="A109" s="439"/>
      <c r="B109" s="440"/>
      <c r="C109" s="69"/>
      <c r="D109" s="78">
        <f>VLOOKUP(C109,Itinerario!$D$24:$W$54,18,FALSE)</f>
        <v>0</v>
      </c>
      <c r="E109" s="79">
        <f>VLOOKUP(C109,Itinerario!$D$24:$W$54,19,FALSE)</f>
        <v>0</v>
      </c>
      <c r="F109" s="79" t="e">
        <f>VLOOKUP(C109,Organización_Modular!$F$10:$G$40,2,FALSE)</f>
        <v>#N/A</v>
      </c>
    </row>
    <row r="110" spans="1:6" x14ac:dyDescent="0.2">
      <c r="A110" s="439"/>
      <c r="B110" s="440"/>
      <c r="C110" s="69"/>
      <c r="D110" s="78">
        <f>VLOOKUP(C110,Itinerario!$D$24:$W$54,18,FALSE)</f>
        <v>0</v>
      </c>
      <c r="E110" s="79">
        <f>VLOOKUP(C110,Itinerario!$D$24:$W$54,19,FALSE)</f>
        <v>0</v>
      </c>
      <c r="F110" s="79" t="e">
        <f>VLOOKUP(C110,Organización_Modular!$F$10:$G$40,2,FALSE)</f>
        <v>#N/A</v>
      </c>
    </row>
    <row r="111" spans="1:6" x14ac:dyDescent="0.2">
      <c r="A111" s="439"/>
      <c r="B111" s="440"/>
      <c r="C111" s="69"/>
      <c r="D111" s="78">
        <f>VLOOKUP(C111,Itinerario!$D$24:$W$54,18,FALSE)</f>
        <v>0</v>
      </c>
      <c r="E111" s="79">
        <f>VLOOKUP(C111,Itinerario!$D$24:$W$54,19,FALSE)</f>
        <v>0</v>
      </c>
      <c r="F111" s="79" t="e">
        <f>VLOOKUP(C111,Organización_Modular!$F$10:$G$40,2,FALSE)</f>
        <v>#N/A</v>
      </c>
    </row>
    <row r="112" spans="1:6" x14ac:dyDescent="0.2">
      <c r="A112" s="439"/>
      <c r="B112" s="440"/>
      <c r="C112" s="69"/>
      <c r="D112" s="78">
        <f>VLOOKUP(C112,Itinerario!$D$24:$W$54,18,FALSE)</f>
        <v>0</v>
      </c>
      <c r="E112" s="79">
        <f>VLOOKUP(C112,Itinerario!$D$24:$W$54,19,FALSE)</f>
        <v>0</v>
      </c>
      <c r="F112" s="79" t="e">
        <f>VLOOKUP(C112,Organización_Modular!$F$10:$G$40,2,FALSE)</f>
        <v>#N/A</v>
      </c>
    </row>
    <row r="113" spans="1:6" x14ac:dyDescent="0.2">
      <c r="A113" s="439"/>
      <c r="B113" s="440"/>
      <c r="C113" s="69"/>
      <c r="D113" s="78">
        <f>VLOOKUP(C113,Itinerario!$D$24:$W$54,18,FALSE)</f>
        <v>0</v>
      </c>
      <c r="E113" s="79">
        <f>VLOOKUP(C113,Itinerario!$D$24:$W$54,19,FALSE)</f>
        <v>0</v>
      </c>
      <c r="F113" s="79" t="e">
        <f>VLOOKUP(C113,Organización_Modular!$F$10:$G$40,2,FALSE)</f>
        <v>#N/A</v>
      </c>
    </row>
    <row r="114" spans="1:6" x14ac:dyDescent="0.2">
      <c r="A114" s="439"/>
      <c r="B114" s="440"/>
      <c r="C114" s="69"/>
      <c r="D114" s="78">
        <f>VLOOKUP(C114,Itinerario!$D$24:$W$54,18,FALSE)</f>
        <v>0</v>
      </c>
      <c r="E114" s="79">
        <f>VLOOKUP(C114,Itinerario!$D$24:$W$54,19,FALSE)</f>
        <v>0</v>
      </c>
      <c r="F114" s="79" t="e">
        <f>VLOOKUP(C114,Organización_Modular!$F$10:$G$40,2,FALSE)</f>
        <v>#N/A</v>
      </c>
    </row>
    <row r="115" spans="1:6" x14ac:dyDescent="0.2">
      <c r="A115" s="439"/>
      <c r="B115" s="440"/>
      <c r="C115" s="69"/>
      <c r="D115" s="78">
        <f>VLOOKUP(C115,Itinerario!$D$24:$W$54,18,FALSE)</f>
        <v>0</v>
      </c>
      <c r="E115" s="79">
        <f>VLOOKUP(C115,Itinerario!$D$24:$W$54,19,FALSE)</f>
        <v>0</v>
      </c>
      <c r="F115" s="79" t="e">
        <f>VLOOKUP(C115,Organización_Modular!$F$10:$G$40,2,FALSE)</f>
        <v>#N/A</v>
      </c>
    </row>
    <row r="116" spans="1:6" x14ac:dyDescent="0.2">
      <c r="A116" s="439"/>
      <c r="B116" s="440"/>
      <c r="C116" s="69"/>
      <c r="D116" s="78">
        <f>VLOOKUP(C116,Itinerario!$D$24:$W$54,18,FALSE)</f>
        <v>0</v>
      </c>
      <c r="E116" s="79">
        <f>VLOOKUP(C116,Itinerario!$D$24:$W$54,19,FALSE)</f>
        <v>0</v>
      </c>
      <c r="F116" s="79" t="e">
        <f>VLOOKUP(C116,Organización_Modular!$F$10:$G$40,2,FALSE)</f>
        <v>#N/A</v>
      </c>
    </row>
    <row r="117" spans="1:6" x14ac:dyDescent="0.2">
      <c r="A117" s="439"/>
      <c r="B117" s="440"/>
      <c r="C117" s="69"/>
      <c r="D117" s="78">
        <f>VLOOKUP(C117,Itinerario!$D$24:$W$54,18,FALSE)</f>
        <v>0</v>
      </c>
      <c r="E117" s="79">
        <f>VLOOKUP(C117,Itinerario!$D$24:$W$54,19,FALSE)</f>
        <v>0</v>
      </c>
      <c r="F117" s="79" t="e">
        <f>VLOOKUP(C117,Organización_Modular!$F$10:$G$40,2,FALSE)</f>
        <v>#N/A</v>
      </c>
    </row>
    <row r="118" spans="1:6" x14ac:dyDescent="0.2">
      <c r="A118" s="439"/>
      <c r="B118" s="440"/>
      <c r="C118" s="69"/>
      <c r="D118" s="78">
        <f>VLOOKUP(C118,Itinerario!$D$24:$W$54,18,FALSE)</f>
        <v>0</v>
      </c>
      <c r="E118" s="79">
        <f>VLOOKUP(C118,Itinerario!$D$24:$W$54,19,FALSE)</f>
        <v>0</v>
      </c>
      <c r="F118" s="79" t="e">
        <f>VLOOKUP(C118,Organización_Modular!$F$10:$G$40,2,FALSE)</f>
        <v>#N/A</v>
      </c>
    </row>
    <row r="119" spans="1:6" x14ac:dyDescent="0.2">
      <c r="A119" s="439"/>
      <c r="B119" s="440"/>
      <c r="C119" s="69"/>
      <c r="D119" s="78">
        <f>VLOOKUP(C119,Itinerario!$D$24:$W$54,18,FALSE)</f>
        <v>0</v>
      </c>
      <c r="E119" s="79">
        <f>VLOOKUP(C119,Itinerario!$D$24:$W$54,19,FALSE)</f>
        <v>0</v>
      </c>
      <c r="F119" s="79" t="e">
        <f>VLOOKUP(C119,Organización_Modular!$F$10:$G$40,2,FALSE)</f>
        <v>#N/A</v>
      </c>
    </row>
    <row r="120" spans="1:6" x14ac:dyDescent="0.2">
      <c r="A120" s="439"/>
      <c r="B120" s="440"/>
      <c r="C120" s="69"/>
      <c r="D120" s="78">
        <f>VLOOKUP(C120,Itinerario!$D$24:$W$54,18,FALSE)</f>
        <v>0</v>
      </c>
      <c r="E120" s="79">
        <f>VLOOKUP(C120,Itinerario!$D$24:$W$54,19,FALSE)</f>
        <v>0</v>
      </c>
      <c r="F120" s="79" t="e">
        <f>VLOOKUP(C120,Organización_Modular!$F$10:$G$40,2,FALSE)</f>
        <v>#N/A</v>
      </c>
    </row>
    <row r="121" spans="1:6" x14ac:dyDescent="0.2">
      <c r="A121" s="439"/>
      <c r="B121" s="440"/>
      <c r="C121" s="69"/>
      <c r="D121" s="78">
        <f>VLOOKUP(C121,Itinerario!$D$24:$W$54,18,FALSE)</f>
        <v>0</v>
      </c>
      <c r="E121" s="79">
        <f>VLOOKUP(C121,Itinerario!$D$24:$W$54,19,FALSE)</f>
        <v>0</v>
      </c>
      <c r="F121" s="79" t="e">
        <f>VLOOKUP(C121,Organización_Modular!$F$10:$G$40,2,FALSE)</f>
        <v>#N/A</v>
      </c>
    </row>
    <row r="122" spans="1:6" x14ac:dyDescent="0.2">
      <c r="A122" s="439"/>
      <c r="B122" s="440"/>
      <c r="C122" s="69"/>
      <c r="D122" s="78">
        <f>VLOOKUP(C122,Itinerario!$D$24:$W$54,18,FALSE)</f>
        <v>0</v>
      </c>
      <c r="E122" s="79">
        <f>VLOOKUP(C122,Itinerario!$D$24:$W$54,19,FALSE)</f>
        <v>0</v>
      </c>
      <c r="F122" s="79" t="e">
        <f>VLOOKUP(C122,Organización_Modular!$F$10:$G$40,2,FALSE)</f>
        <v>#N/A</v>
      </c>
    </row>
    <row r="123" spans="1:6" x14ac:dyDescent="0.2">
      <c r="A123" s="439"/>
      <c r="B123" s="440"/>
      <c r="C123" s="69"/>
      <c r="D123" s="78">
        <f>VLOOKUP(C123,Itinerario!$D$24:$W$54,18,FALSE)</f>
        <v>0</v>
      </c>
      <c r="E123" s="79">
        <f>VLOOKUP(C123,Itinerario!$D$24:$W$54,19,FALSE)</f>
        <v>0</v>
      </c>
      <c r="F123" s="79" t="e">
        <f>VLOOKUP(C123,Organización_Modular!$F$10:$G$40,2,FALSE)</f>
        <v>#N/A</v>
      </c>
    </row>
    <row r="124" spans="1:6" x14ac:dyDescent="0.2">
      <c r="A124" s="439"/>
      <c r="B124" s="440"/>
      <c r="C124" s="69"/>
      <c r="D124" s="78">
        <f>VLOOKUP(C124,Itinerario!$D$24:$W$54,18,FALSE)</f>
        <v>0</v>
      </c>
      <c r="E124" s="79">
        <f>VLOOKUP(C124,Itinerario!$D$24:$W$54,19,FALSE)</f>
        <v>0</v>
      </c>
      <c r="F124" s="79" t="e">
        <f>VLOOKUP(C124,Organización_Modular!$F$10:$G$40,2,FALSE)</f>
        <v>#N/A</v>
      </c>
    </row>
    <row r="125" spans="1:6" x14ac:dyDescent="0.2">
      <c r="A125" s="439"/>
      <c r="B125" s="440"/>
      <c r="C125" s="69"/>
      <c r="D125" s="78">
        <f>VLOOKUP(C125,Itinerario!$D$24:$W$54,18,FALSE)</f>
        <v>0</v>
      </c>
      <c r="E125" s="79">
        <f>VLOOKUP(C125,Itinerario!$D$24:$W$54,19,FALSE)</f>
        <v>0</v>
      </c>
      <c r="F125" s="79" t="e">
        <f>VLOOKUP(C125,Organización_Modular!$F$10:$G$40,2,FALSE)</f>
        <v>#N/A</v>
      </c>
    </row>
    <row r="126" spans="1:6" x14ac:dyDescent="0.2">
      <c r="A126" s="439"/>
      <c r="B126" s="440"/>
      <c r="C126" s="69"/>
      <c r="D126" s="78">
        <f>VLOOKUP(C126,Itinerario!$D$24:$W$54,18,FALSE)</f>
        <v>0</v>
      </c>
      <c r="E126" s="79">
        <f>VLOOKUP(C126,Itinerario!$D$24:$W$54,19,FALSE)</f>
        <v>0</v>
      </c>
      <c r="F126" s="79" t="e">
        <f>VLOOKUP(C126,Organización_Modular!$F$10:$G$40,2,FALSE)</f>
        <v>#N/A</v>
      </c>
    </row>
    <row r="127" spans="1:6" x14ac:dyDescent="0.2">
      <c r="A127" s="439"/>
      <c r="B127" s="440"/>
      <c r="C127" s="69"/>
      <c r="D127" s="78">
        <f>VLOOKUP(C127,Itinerario!$D$24:$W$54,18,FALSE)</f>
        <v>0</v>
      </c>
      <c r="E127" s="79">
        <f>VLOOKUP(C127,Itinerario!$D$24:$W$54,19,FALSE)</f>
        <v>0</v>
      </c>
      <c r="F127" s="79" t="e">
        <f>VLOOKUP(C127,Organización_Modular!$F$10:$G$40,2,FALSE)</f>
        <v>#N/A</v>
      </c>
    </row>
    <row r="128" spans="1:6" x14ac:dyDescent="0.2">
      <c r="A128" s="439"/>
      <c r="B128" s="440"/>
      <c r="C128" s="69"/>
      <c r="D128" s="78">
        <f>VLOOKUP(C128,Itinerario!$D$24:$W$54,18,FALSE)</f>
        <v>0</v>
      </c>
      <c r="E128" s="79">
        <f>VLOOKUP(C128,Itinerario!$D$24:$W$54,19,FALSE)</f>
        <v>0</v>
      </c>
      <c r="F128" s="79" t="e">
        <f>VLOOKUP(C128,Organización_Modular!$F$10:$G$40,2,FALSE)</f>
        <v>#N/A</v>
      </c>
    </row>
    <row r="129" spans="1:6" x14ac:dyDescent="0.2">
      <c r="A129" s="439"/>
      <c r="B129" s="440"/>
      <c r="C129" s="69"/>
      <c r="D129" s="78">
        <f>VLOOKUP(C129,Itinerario!$D$24:$W$54,18,FALSE)</f>
        <v>0</v>
      </c>
      <c r="E129" s="79">
        <f>VLOOKUP(C129,Itinerario!$D$24:$W$54,19,FALSE)</f>
        <v>0</v>
      </c>
      <c r="F129" s="79" t="e">
        <f>VLOOKUP(C129,Organización_Modular!$F$10:$G$40,2,FALSE)</f>
        <v>#N/A</v>
      </c>
    </row>
    <row r="130" spans="1:6" x14ac:dyDescent="0.2">
      <c r="A130" s="439"/>
      <c r="B130" s="440"/>
      <c r="C130" s="69"/>
      <c r="D130" s="78">
        <f>VLOOKUP(C130,Itinerario!$D$24:$W$54,18,FALSE)</f>
        <v>0</v>
      </c>
      <c r="E130" s="79">
        <f>VLOOKUP(C130,Itinerario!$D$24:$W$54,19,FALSE)</f>
        <v>0</v>
      </c>
      <c r="F130" s="79" t="e">
        <f>VLOOKUP(C130,Organización_Modular!$F$10:$G$40,2,FALSE)</f>
        <v>#N/A</v>
      </c>
    </row>
    <row r="131" spans="1:6" x14ac:dyDescent="0.2">
      <c r="A131" s="439"/>
      <c r="B131" s="440"/>
      <c r="C131" s="69"/>
      <c r="D131" s="78">
        <f>VLOOKUP(C131,Itinerario!$D$24:$W$54,18,FALSE)</f>
        <v>0</v>
      </c>
      <c r="E131" s="79">
        <f>VLOOKUP(C131,Itinerario!$D$24:$W$54,19,FALSE)</f>
        <v>0</v>
      </c>
      <c r="F131" s="79" t="e">
        <f>VLOOKUP(C131,Organización_Modular!$F$10:$G$40,2,FALSE)</f>
        <v>#N/A</v>
      </c>
    </row>
    <row r="132" spans="1:6" x14ac:dyDescent="0.2">
      <c r="A132" s="439"/>
      <c r="B132" s="440"/>
      <c r="C132" s="69"/>
      <c r="D132" s="78">
        <f>VLOOKUP(C132,Itinerario!$D$24:$W$54,18,FALSE)</f>
        <v>0</v>
      </c>
      <c r="E132" s="79">
        <f>VLOOKUP(C132,Itinerario!$D$24:$W$54,19,FALSE)</f>
        <v>0</v>
      </c>
      <c r="F132" s="79" t="e">
        <f>VLOOKUP(C132,Organización_Modular!$F$10:$G$40,2,FALSE)</f>
        <v>#N/A</v>
      </c>
    </row>
    <row r="133" spans="1:6" x14ac:dyDescent="0.2">
      <c r="A133" s="439"/>
      <c r="B133" s="440"/>
      <c r="C133" s="68"/>
      <c r="D133" s="78">
        <f>VLOOKUP(C133,Itinerario!$D$24:$W$54,18,FALSE)</f>
        <v>0</v>
      </c>
      <c r="E133" s="79">
        <f>VLOOKUP(C133,Itinerario!$D$24:$W$54,19,FALSE)</f>
        <v>0</v>
      </c>
      <c r="F133" s="79" t="e">
        <f>VLOOKUP(C133,Organización_Modular!$F$10:$G$40,2,FALSE)</f>
        <v>#N/A</v>
      </c>
    </row>
    <row r="134" spans="1:6" x14ac:dyDescent="0.2">
      <c r="A134" s="439"/>
      <c r="B134" s="440"/>
      <c r="C134" s="69"/>
      <c r="D134" s="78">
        <f>VLOOKUP(C134,Itinerario!$D$24:$W$54,18,FALSE)</f>
        <v>0</v>
      </c>
      <c r="E134" s="79">
        <f>VLOOKUP(C134,Itinerario!$D$24:$W$54,19,FALSE)</f>
        <v>0</v>
      </c>
      <c r="F134" s="79" t="e">
        <f>VLOOKUP(C134,Organización_Modular!$F$10:$G$40,2,FALSE)</f>
        <v>#N/A</v>
      </c>
    </row>
    <row r="135" spans="1:6" x14ac:dyDescent="0.2">
      <c r="A135" s="439"/>
      <c r="B135" s="440"/>
      <c r="C135" s="69"/>
      <c r="D135" s="78">
        <f>VLOOKUP(C135,Itinerario!$D$24:$W$54,18,FALSE)</f>
        <v>0</v>
      </c>
      <c r="E135" s="79">
        <f>VLOOKUP(C135,Itinerario!$D$24:$W$54,19,FALSE)</f>
        <v>0</v>
      </c>
      <c r="F135" s="79" t="e">
        <f>VLOOKUP(C135,Organización_Modular!$F$10:$G$40,2,FALSE)</f>
        <v>#N/A</v>
      </c>
    </row>
    <row r="136" spans="1:6" x14ac:dyDescent="0.2">
      <c r="A136" s="439"/>
      <c r="B136" s="440"/>
      <c r="C136" s="69"/>
      <c r="D136" s="78">
        <f>VLOOKUP(C136,Itinerario!$D$24:$W$54,18,FALSE)</f>
        <v>0</v>
      </c>
      <c r="E136" s="79">
        <f>VLOOKUP(C136,Itinerario!$D$24:$W$54,19,FALSE)</f>
        <v>0</v>
      </c>
      <c r="F136" s="79" t="e">
        <f>VLOOKUP(C136,Organización_Modular!$F$10:$G$40,2,FALSE)</f>
        <v>#N/A</v>
      </c>
    </row>
    <row r="137" spans="1:6" x14ac:dyDescent="0.2">
      <c r="A137" s="439"/>
      <c r="B137" s="440"/>
      <c r="C137" s="69"/>
      <c r="D137" s="78">
        <f>VLOOKUP(C137,Itinerario!$D$24:$W$54,18,FALSE)</f>
        <v>0</v>
      </c>
      <c r="E137" s="79">
        <f>VLOOKUP(C137,Itinerario!$D$24:$W$54,19,FALSE)</f>
        <v>0</v>
      </c>
      <c r="F137" s="79" t="e">
        <f>VLOOKUP(C137,Organización_Modular!$F$10:$G$40,2,FALSE)</f>
        <v>#N/A</v>
      </c>
    </row>
    <row r="138" spans="1:6" x14ac:dyDescent="0.2">
      <c r="A138" s="439"/>
      <c r="B138" s="440"/>
      <c r="C138" s="69"/>
      <c r="D138" s="78">
        <f>VLOOKUP(C138,Itinerario!$D$24:$W$54,18,FALSE)</f>
        <v>0</v>
      </c>
      <c r="E138" s="79">
        <f>VLOOKUP(C138,Itinerario!$D$24:$W$54,19,FALSE)</f>
        <v>0</v>
      </c>
      <c r="F138" s="79" t="e">
        <f>VLOOKUP(C138,Organización_Modular!$F$10:$G$40,2,FALSE)</f>
        <v>#N/A</v>
      </c>
    </row>
    <row r="139" spans="1:6" x14ac:dyDescent="0.2">
      <c r="A139" s="439"/>
      <c r="B139" s="440"/>
      <c r="C139" s="69"/>
      <c r="D139" s="78">
        <f>VLOOKUP(C139,Itinerario!$D$24:$W$54,18,FALSE)</f>
        <v>0</v>
      </c>
      <c r="E139" s="79">
        <f>VLOOKUP(C139,Itinerario!$D$24:$W$54,19,FALSE)</f>
        <v>0</v>
      </c>
      <c r="F139" s="79" t="e">
        <f>VLOOKUP(C139,Organización_Modular!$F$10:$G$40,2,FALSE)</f>
        <v>#N/A</v>
      </c>
    </row>
    <row r="140" spans="1:6" x14ac:dyDescent="0.2">
      <c r="A140" s="439"/>
      <c r="B140" s="440"/>
      <c r="C140" s="69"/>
      <c r="D140" s="78">
        <f>VLOOKUP(C140,Itinerario!$D$24:$W$54,18,FALSE)</f>
        <v>0</v>
      </c>
      <c r="E140" s="79">
        <f>VLOOKUP(C140,Itinerario!$D$24:$W$54,19,FALSE)</f>
        <v>0</v>
      </c>
      <c r="F140" s="79" t="e">
        <f>VLOOKUP(C140,Organización_Modular!$F$10:$G$40,2,FALSE)</f>
        <v>#N/A</v>
      </c>
    </row>
    <row r="141" spans="1:6" x14ac:dyDescent="0.2">
      <c r="A141" s="439"/>
      <c r="B141" s="440"/>
      <c r="C141" s="69"/>
      <c r="D141" s="78">
        <f>VLOOKUP(C141,Itinerario!$D$24:$W$54,18,FALSE)</f>
        <v>0</v>
      </c>
      <c r="E141" s="79">
        <f>VLOOKUP(C141,Itinerario!$D$24:$W$54,19,FALSE)</f>
        <v>0</v>
      </c>
      <c r="F141" s="79" t="e">
        <f>VLOOKUP(C141,Organización_Modular!$F$10:$G$40,2,FALSE)</f>
        <v>#N/A</v>
      </c>
    </row>
    <row r="142" spans="1:6" x14ac:dyDescent="0.2">
      <c r="A142" s="439"/>
      <c r="B142" s="440"/>
      <c r="C142" s="69"/>
      <c r="D142" s="78">
        <f>VLOOKUP(C142,Itinerario!$D$24:$W$54,18,FALSE)</f>
        <v>0</v>
      </c>
      <c r="E142" s="79">
        <f>VLOOKUP(C142,Itinerario!$D$24:$W$54,19,FALSE)</f>
        <v>0</v>
      </c>
      <c r="F142" s="79" t="e">
        <f>VLOOKUP(C142,Organización_Modular!$F$10:$G$40,2,FALSE)</f>
        <v>#N/A</v>
      </c>
    </row>
    <row r="143" spans="1:6" x14ac:dyDescent="0.2">
      <c r="A143" s="439"/>
      <c r="B143" s="440"/>
      <c r="C143" s="69"/>
      <c r="D143" s="78">
        <f>VLOOKUP(C143,Itinerario!$D$24:$W$54,18,FALSE)</f>
        <v>0</v>
      </c>
      <c r="E143" s="79">
        <f>VLOOKUP(C143,Itinerario!$D$24:$W$54,19,FALSE)</f>
        <v>0</v>
      </c>
      <c r="F143" s="79" t="e">
        <f>VLOOKUP(C143,Organización_Modular!$F$10:$G$40,2,FALSE)</f>
        <v>#N/A</v>
      </c>
    </row>
    <row r="144" spans="1:6" x14ac:dyDescent="0.2">
      <c r="A144" s="439"/>
      <c r="B144" s="440"/>
      <c r="C144" s="69"/>
      <c r="D144" s="78">
        <f>VLOOKUP(C144,Itinerario!$D$24:$W$54,18,FALSE)</f>
        <v>0</v>
      </c>
      <c r="E144" s="79">
        <f>VLOOKUP(C144,Itinerario!$D$24:$W$54,19,FALSE)</f>
        <v>0</v>
      </c>
      <c r="F144" s="79" t="e">
        <f>VLOOKUP(C144,Organización_Modular!$F$10:$G$40,2,FALSE)</f>
        <v>#N/A</v>
      </c>
    </row>
    <row r="145" spans="1:6" x14ac:dyDescent="0.2">
      <c r="A145" s="439"/>
      <c r="B145" s="440"/>
      <c r="C145" s="69"/>
      <c r="D145" s="78">
        <f>VLOOKUP(C145,Itinerario!$D$24:$W$54,18,FALSE)</f>
        <v>0</v>
      </c>
      <c r="E145" s="79">
        <f>VLOOKUP(C145,Itinerario!$D$24:$W$54,19,FALSE)</f>
        <v>0</v>
      </c>
      <c r="F145" s="79" t="e">
        <f>VLOOKUP(C145,Organización_Modular!$F$10:$G$40,2,FALSE)</f>
        <v>#N/A</v>
      </c>
    </row>
    <row r="146" spans="1:6" x14ac:dyDescent="0.2">
      <c r="A146" s="439"/>
      <c r="B146" s="440"/>
      <c r="C146" s="69"/>
      <c r="D146" s="78">
        <f>VLOOKUP(C146,Itinerario!$D$24:$W$54,18,FALSE)</f>
        <v>0</v>
      </c>
      <c r="E146" s="79">
        <f>VLOOKUP(C146,Itinerario!$D$24:$W$54,19,FALSE)</f>
        <v>0</v>
      </c>
      <c r="F146" s="79" t="e">
        <f>VLOOKUP(C146,Organización_Modular!$F$10:$G$40,2,FALSE)</f>
        <v>#N/A</v>
      </c>
    </row>
    <row r="147" spans="1:6" x14ac:dyDescent="0.2">
      <c r="A147" s="439"/>
      <c r="B147" s="440"/>
      <c r="C147" s="69"/>
      <c r="D147" s="78">
        <f>VLOOKUP(C147,Itinerario!$D$24:$W$54,18,FALSE)</f>
        <v>0</v>
      </c>
      <c r="E147" s="79">
        <f>VLOOKUP(C147,Itinerario!$D$24:$W$54,19,FALSE)</f>
        <v>0</v>
      </c>
      <c r="F147" s="79" t="e">
        <f>VLOOKUP(C147,Organización_Modular!$F$10:$G$40,2,FALSE)</f>
        <v>#N/A</v>
      </c>
    </row>
    <row r="148" spans="1:6" x14ac:dyDescent="0.2">
      <c r="A148" s="439"/>
      <c r="B148" s="440"/>
      <c r="C148" s="68"/>
      <c r="D148" s="78">
        <f>VLOOKUP(C148,Itinerario!$D$24:$W$54,18,FALSE)</f>
        <v>0</v>
      </c>
      <c r="E148" s="79">
        <f>VLOOKUP(C148,Itinerario!$D$24:$W$54,19,FALSE)</f>
        <v>0</v>
      </c>
      <c r="F148" s="79" t="e">
        <f>VLOOKUP(C148,Organización_Modular!$F$10:$G$40,2,FALSE)</f>
        <v>#N/A</v>
      </c>
    </row>
    <row r="149" spans="1:6" x14ac:dyDescent="0.2">
      <c r="A149" s="439"/>
      <c r="B149" s="440"/>
      <c r="C149" s="69"/>
      <c r="D149" s="78">
        <f>VLOOKUP(C149,Itinerario!$D$24:$W$54,18,FALSE)</f>
        <v>0</v>
      </c>
      <c r="E149" s="79">
        <f>VLOOKUP(C149,Itinerario!$D$24:$W$54,19,FALSE)</f>
        <v>0</v>
      </c>
      <c r="F149" s="79" t="e">
        <f>VLOOKUP(C149,Organización_Modular!$F$10:$G$40,2,FALSE)</f>
        <v>#N/A</v>
      </c>
    </row>
    <row r="150" spans="1:6" x14ac:dyDescent="0.2">
      <c r="A150" s="439"/>
      <c r="B150" s="440"/>
      <c r="C150" s="69"/>
      <c r="D150" s="78">
        <f>VLOOKUP(C150,Itinerario!$D$24:$W$54,18,FALSE)</f>
        <v>0</v>
      </c>
      <c r="E150" s="79">
        <f>VLOOKUP(C150,Itinerario!$D$24:$W$54,19,FALSE)</f>
        <v>0</v>
      </c>
      <c r="F150" s="79" t="e">
        <f>VLOOKUP(C150,Organización_Modular!$F$10:$G$40,2,FALSE)</f>
        <v>#N/A</v>
      </c>
    </row>
    <row r="151" spans="1:6" x14ac:dyDescent="0.2">
      <c r="A151" s="439"/>
      <c r="B151" s="440"/>
      <c r="C151" s="69"/>
      <c r="D151" s="78">
        <f>VLOOKUP(C151,Itinerario!$D$24:$W$54,18,FALSE)</f>
        <v>0</v>
      </c>
      <c r="E151" s="79">
        <f>VLOOKUP(C151,Itinerario!$D$24:$W$54,19,FALSE)</f>
        <v>0</v>
      </c>
      <c r="F151" s="79" t="e">
        <f>VLOOKUP(C151,Organización_Modular!$F$10:$G$40,2,FALSE)</f>
        <v>#N/A</v>
      </c>
    </row>
    <row r="152" spans="1:6" x14ac:dyDescent="0.2">
      <c r="A152" s="439"/>
      <c r="B152" s="440"/>
      <c r="C152" s="69"/>
      <c r="D152" s="78">
        <f>VLOOKUP(C152,Itinerario!$D$24:$W$54,18,FALSE)</f>
        <v>0</v>
      </c>
      <c r="E152" s="79">
        <f>VLOOKUP(C152,Itinerario!$D$24:$W$54,19,FALSE)</f>
        <v>0</v>
      </c>
      <c r="F152" s="79" t="e">
        <f>VLOOKUP(C152,Organización_Modular!$F$10:$G$40,2,FALSE)</f>
        <v>#N/A</v>
      </c>
    </row>
    <row r="153" spans="1:6" x14ac:dyDescent="0.2">
      <c r="A153" s="439"/>
      <c r="B153" s="440"/>
      <c r="C153" s="69"/>
      <c r="D153" s="78">
        <f>VLOOKUP(C153,Itinerario!$D$24:$W$54,18,FALSE)</f>
        <v>0</v>
      </c>
      <c r="E153" s="79">
        <f>VLOOKUP(C153,Itinerario!$D$24:$W$54,19,FALSE)</f>
        <v>0</v>
      </c>
      <c r="F153" s="79" t="e">
        <f>VLOOKUP(C153,Organización_Modular!$F$10:$G$40,2,FALSE)</f>
        <v>#N/A</v>
      </c>
    </row>
    <row r="154" spans="1:6" x14ac:dyDescent="0.2">
      <c r="A154" s="439"/>
      <c r="B154" s="440"/>
      <c r="C154" s="69"/>
      <c r="D154" s="78">
        <f>VLOOKUP(C154,Itinerario!$D$24:$W$54,18,FALSE)</f>
        <v>0</v>
      </c>
      <c r="E154" s="79">
        <f>VLOOKUP(C154,Itinerario!$D$24:$W$54,19,FALSE)</f>
        <v>0</v>
      </c>
      <c r="F154" s="79" t="e">
        <f>VLOOKUP(C154,Organización_Modular!$F$10:$G$40,2,FALSE)</f>
        <v>#N/A</v>
      </c>
    </row>
    <row r="155" spans="1:6" x14ac:dyDescent="0.2">
      <c r="A155" s="439"/>
      <c r="B155" s="440"/>
      <c r="C155" s="69"/>
      <c r="D155" s="78">
        <f>VLOOKUP(C155,Itinerario!$D$24:$W$54,18,FALSE)</f>
        <v>0</v>
      </c>
      <c r="E155" s="79">
        <f>VLOOKUP(C155,Itinerario!$D$24:$W$54,19,FALSE)</f>
        <v>0</v>
      </c>
      <c r="F155" s="79" t="e">
        <f>VLOOKUP(C155,Organización_Modular!$F$10:$G$40,2,FALSE)</f>
        <v>#N/A</v>
      </c>
    </row>
    <row r="156" spans="1:6" x14ac:dyDescent="0.2">
      <c r="A156" s="439"/>
      <c r="B156" s="440"/>
      <c r="C156" s="69"/>
      <c r="D156" s="78">
        <f>VLOOKUP(C156,Itinerario!$D$24:$W$54,18,FALSE)</f>
        <v>0</v>
      </c>
      <c r="E156" s="79">
        <f>VLOOKUP(C156,Itinerario!$D$24:$W$54,19,FALSE)</f>
        <v>0</v>
      </c>
      <c r="F156" s="79" t="e">
        <f>VLOOKUP(C156,Organización_Modular!$F$10:$G$40,2,FALSE)</f>
        <v>#N/A</v>
      </c>
    </row>
    <row r="157" spans="1:6" x14ac:dyDescent="0.2">
      <c r="A157" s="439"/>
      <c r="B157" s="440"/>
      <c r="C157" s="69"/>
      <c r="D157" s="78">
        <f>VLOOKUP(C157,Itinerario!$D$24:$W$54,18,FALSE)</f>
        <v>0</v>
      </c>
      <c r="E157" s="79">
        <f>VLOOKUP(C157,Itinerario!$D$24:$W$54,19,FALSE)</f>
        <v>0</v>
      </c>
      <c r="F157" s="79" t="e">
        <f>VLOOKUP(C157,Organización_Modular!$F$10:$G$40,2,FALSE)</f>
        <v>#N/A</v>
      </c>
    </row>
    <row r="158" spans="1:6" x14ac:dyDescent="0.2">
      <c r="A158" s="439"/>
      <c r="B158" s="440"/>
      <c r="C158" s="69"/>
      <c r="D158" s="78">
        <f>VLOOKUP(C158,Itinerario!$D$24:$W$54,18,FALSE)</f>
        <v>0</v>
      </c>
      <c r="E158" s="79">
        <f>VLOOKUP(C158,Itinerario!$D$24:$W$54,19,FALSE)</f>
        <v>0</v>
      </c>
      <c r="F158" s="79" t="e">
        <f>VLOOKUP(C158,Organización_Modular!$F$10:$G$40,2,FALSE)</f>
        <v>#N/A</v>
      </c>
    </row>
    <row r="159" spans="1:6" x14ac:dyDescent="0.2">
      <c r="A159" s="439"/>
      <c r="B159" s="440"/>
      <c r="C159" s="69"/>
      <c r="D159" s="78">
        <f>VLOOKUP(C159,Itinerario!$D$24:$W$54,18,FALSE)</f>
        <v>0</v>
      </c>
      <c r="E159" s="79">
        <f>VLOOKUP(C159,Itinerario!$D$24:$W$54,19,FALSE)</f>
        <v>0</v>
      </c>
      <c r="F159" s="79" t="e">
        <f>VLOOKUP(C159,Organización_Modular!$F$10:$G$40,2,FALSE)</f>
        <v>#N/A</v>
      </c>
    </row>
    <row r="160" spans="1:6" x14ac:dyDescent="0.2">
      <c r="A160" s="439"/>
      <c r="B160" s="440"/>
      <c r="C160" s="69"/>
      <c r="D160" s="78">
        <f>VLOOKUP(C160,Itinerario!$D$24:$W$54,18,FALSE)</f>
        <v>0</v>
      </c>
      <c r="E160" s="79">
        <f>VLOOKUP(C160,Itinerario!$D$24:$W$54,19,FALSE)</f>
        <v>0</v>
      </c>
      <c r="F160" s="79" t="e">
        <f>VLOOKUP(C160,Organización_Modular!$F$10:$G$40,2,FALSE)</f>
        <v>#N/A</v>
      </c>
    </row>
    <row r="161" spans="1:6" x14ac:dyDescent="0.2">
      <c r="A161" s="439"/>
      <c r="B161" s="440"/>
      <c r="C161" s="69"/>
      <c r="D161" s="78">
        <f>VLOOKUP(C161,Itinerario!$D$24:$W$54,18,FALSE)</f>
        <v>0</v>
      </c>
      <c r="E161" s="79">
        <f>VLOOKUP(C161,Itinerario!$D$24:$W$54,19,FALSE)</f>
        <v>0</v>
      </c>
      <c r="F161" s="79" t="e">
        <f>VLOOKUP(C161,Organización_Modular!$F$10:$G$40,2,FALSE)</f>
        <v>#N/A</v>
      </c>
    </row>
    <row r="162" spans="1:6" x14ac:dyDescent="0.2">
      <c r="A162" s="439"/>
      <c r="B162" s="440"/>
      <c r="C162" s="69"/>
      <c r="D162" s="78">
        <f>VLOOKUP(C162,Itinerario!$D$24:$W$54,18,FALSE)</f>
        <v>0</v>
      </c>
      <c r="E162" s="79">
        <f>VLOOKUP(C162,Itinerario!$D$24:$W$54,19,FALSE)</f>
        <v>0</v>
      </c>
      <c r="F162" s="79" t="e">
        <f>VLOOKUP(C162,Organización_Modular!$F$10:$G$40,2,FALSE)</f>
        <v>#N/A</v>
      </c>
    </row>
    <row r="163" spans="1:6" x14ac:dyDescent="0.2">
      <c r="A163" s="439"/>
      <c r="B163" s="440"/>
      <c r="C163" s="68"/>
      <c r="D163" s="78">
        <f>VLOOKUP(C163,Itinerario!$D$24:$W$54,18,FALSE)</f>
        <v>0</v>
      </c>
      <c r="E163" s="79">
        <f>VLOOKUP(C163,Itinerario!$D$24:$W$54,19,FALSE)</f>
        <v>0</v>
      </c>
      <c r="F163" s="79" t="e">
        <f>VLOOKUP(C163,Organización_Modular!$F$10:$G$40,2,FALSE)</f>
        <v>#N/A</v>
      </c>
    </row>
    <row r="164" spans="1:6" x14ac:dyDescent="0.2">
      <c r="A164" s="439" t="str">
        <f>Itinerario!A55</f>
        <v xml:space="preserve">MÓDULO 2: INFRAESTRUCTURA TI </v>
      </c>
      <c r="B164" s="440" t="str">
        <f>Ambiente_Equipamiento!$A$15</f>
        <v>Aula pedagógica</v>
      </c>
      <c r="C164" s="68"/>
      <c r="D164" s="78">
        <f>VLOOKUP(C164,Itinerario!$D$55:$W$85,18,FALSE)</f>
        <v>0</v>
      </c>
      <c r="E164" s="79">
        <f>VLOOKUP(C164,Itinerario!$D$55:$W$85,19,FALSE)</f>
        <v>0</v>
      </c>
      <c r="F164" s="79" t="e">
        <f>VLOOKUP(C164,Organización_Modular!$F$41:$G$71,2,FALSE)</f>
        <v>#N/A</v>
      </c>
    </row>
    <row r="165" spans="1:6" x14ac:dyDescent="0.2">
      <c r="A165" s="439"/>
      <c r="B165" s="440"/>
      <c r="C165" s="68"/>
      <c r="D165" s="78">
        <f>VLOOKUP(C165,Itinerario!$D$55:$W$85,18,FALSE)</f>
        <v>0</v>
      </c>
      <c r="E165" s="79">
        <f>VLOOKUP(C165,Itinerario!$D$55:$W$85,19,FALSE)</f>
        <v>0</v>
      </c>
      <c r="F165" s="79" t="e">
        <f>VLOOKUP(C165,Organización_Modular!$F$41:$G$71,2,FALSE)</f>
        <v>#N/A</v>
      </c>
    </row>
    <row r="166" spans="1:6" x14ac:dyDescent="0.2">
      <c r="A166" s="439"/>
      <c r="B166" s="440"/>
      <c r="C166" s="68"/>
      <c r="D166" s="78">
        <f>VLOOKUP(C166,Itinerario!$D$55:$W$85,18,FALSE)</f>
        <v>0</v>
      </c>
      <c r="E166" s="79">
        <f>VLOOKUP(C166,Itinerario!$D$55:$W$85,19,FALSE)</f>
        <v>0</v>
      </c>
      <c r="F166" s="79" t="e">
        <f>VLOOKUP(C166,Organización_Modular!$F$41:$G$71,2,FALSE)</f>
        <v>#N/A</v>
      </c>
    </row>
    <row r="167" spans="1:6" x14ac:dyDescent="0.2">
      <c r="A167" s="439"/>
      <c r="B167" s="440"/>
      <c r="C167" s="68"/>
      <c r="D167" s="78">
        <f>VLOOKUP(C167,Itinerario!$D$55:$W$85,18,FALSE)</f>
        <v>0</v>
      </c>
      <c r="E167" s="79">
        <f>VLOOKUP(C167,Itinerario!$D$55:$W$85,19,FALSE)</f>
        <v>0</v>
      </c>
      <c r="F167" s="79" t="e">
        <f>VLOOKUP(C167,Organización_Modular!$F$41:$G$71,2,FALSE)</f>
        <v>#N/A</v>
      </c>
    </row>
    <row r="168" spans="1:6" x14ac:dyDescent="0.2">
      <c r="A168" s="439"/>
      <c r="B168" s="440"/>
      <c r="C168" s="68"/>
      <c r="D168" s="78">
        <f>VLOOKUP(C168,Itinerario!$D$55:$W$85,18,FALSE)</f>
        <v>0</v>
      </c>
      <c r="E168" s="79">
        <f>VLOOKUP(C168,Itinerario!$D$55:$W$85,19,FALSE)</f>
        <v>0</v>
      </c>
      <c r="F168" s="79" t="e">
        <f>VLOOKUP(C168,Organización_Modular!$F$41:$G$71,2,FALSE)</f>
        <v>#N/A</v>
      </c>
    </row>
    <row r="169" spans="1:6" x14ac:dyDescent="0.2">
      <c r="A169" s="439"/>
      <c r="B169" s="440"/>
      <c r="C169" s="68"/>
      <c r="D169" s="78">
        <f>VLOOKUP(C169,Itinerario!$D$55:$W$85,18,FALSE)</f>
        <v>0</v>
      </c>
      <c r="E169" s="79">
        <f>VLOOKUP(C169,Itinerario!$D$55:$W$85,19,FALSE)</f>
        <v>0</v>
      </c>
      <c r="F169" s="79" t="e">
        <f>VLOOKUP(C169,Organización_Modular!$F$41:$G$71,2,FALSE)</f>
        <v>#N/A</v>
      </c>
    </row>
    <row r="170" spans="1:6" x14ac:dyDescent="0.2">
      <c r="A170" s="439"/>
      <c r="B170" s="440"/>
      <c r="C170" s="68"/>
      <c r="D170" s="78">
        <f>VLOOKUP(C170,Itinerario!$D$55:$W$85,18,FALSE)</f>
        <v>0</v>
      </c>
      <c r="E170" s="79">
        <f>VLOOKUP(C170,Itinerario!$D$55:$W$85,19,FALSE)</f>
        <v>0</v>
      </c>
      <c r="F170" s="79" t="e">
        <f>VLOOKUP(C170,Organización_Modular!$F$41:$G$71,2,FALSE)</f>
        <v>#N/A</v>
      </c>
    </row>
    <row r="171" spans="1:6" x14ac:dyDescent="0.2">
      <c r="A171" s="439"/>
      <c r="B171" s="440"/>
      <c r="C171" s="68"/>
      <c r="D171" s="78">
        <f>VLOOKUP(C171,Itinerario!$D$55:$W$85,18,FALSE)</f>
        <v>0</v>
      </c>
      <c r="E171" s="79">
        <f>VLOOKUP(C171,Itinerario!$D$55:$W$85,19,FALSE)</f>
        <v>0</v>
      </c>
      <c r="F171" s="79" t="e">
        <f>VLOOKUP(C171,Organización_Modular!$F$41:$G$71,2,FALSE)</f>
        <v>#N/A</v>
      </c>
    </row>
    <row r="172" spans="1:6" x14ac:dyDescent="0.2">
      <c r="A172" s="439"/>
      <c r="B172" s="440"/>
      <c r="C172" s="68"/>
      <c r="D172" s="78">
        <f>VLOOKUP(C172,Itinerario!$D$55:$W$85,18,FALSE)</f>
        <v>0</v>
      </c>
      <c r="E172" s="79">
        <f>VLOOKUP(C172,Itinerario!$D$55:$W$85,19,FALSE)</f>
        <v>0</v>
      </c>
      <c r="F172" s="79" t="e">
        <f>VLOOKUP(C172,Organización_Modular!$F$41:$G$71,2,FALSE)</f>
        <v>#N/A</v>
      </c>
    </row>
    <row r="173" spans="1:6" x14ac:dyDescent="0.2">
      <c r="A173" s="439"/>
      <c r="B173" s="440"/>
      <c r="C173" s="68"/>
      <c r="D173" s="78">
        <f>VLOOKUP(C173,Itinerario!$D$55:$W$85,18,FALSE)</f>
        <v>0</v>
      </c>
      <c r="E173" s="79">
        <f>VLOOKUP(C173,Itinerario!$D$55:$W$85,19,FALSE)</f>
        <v>0</v>
      </c>
      <c r="F173" s="79" t="e">
        <f>VLOOKUP(C173,Organización_Modular!$F$41:$G$71,2,FALSE)</f>
        <v>#N/A</v>
      </c>
    </row>
    <row r="174" spans="1:6" x14ac:dyDescent="0.2">
      <c r="A174" s="439"/>
      <c r="B174" s="440"/>
      <c r="C174" s="68"/>
      <c r="D174" s="78">
        <f>VLOOKUP(C174,Itinerario!$D$55:$W$85,18,FALSE)</f>
        <v>0</v>
      </c>
      <c r="E174" s="79">
        <f>VLOOKUP(C174,Itinerario!$D$55:$W$85,19,FALSE)</f>
        <v>0</v>
      </c>
      <c r="F174" s="79" t="e">
        <f>VLOOKUP(C174,Organización_Modular!$F$41:$G$71,2,FALSE)</f>
        <v>#N/A</v>
      </c>
    </row>
    <row r="175" spans="1:6" x14ac:dyDescent="0.2">
      <c r="A175" s="439"/>
      <c r="B175" s="440"/>
      <c r="C175" s="68"/>
      <c r="D175" s="78">
        <f>VLOOKUP(C175,Itinerario!$D$55:$W$85,18,FALSE)</f>
        <v>0</v>
      </c>
      <c r="E175" s="79">
        <f>VLOOKUP(C175,Itinerario!$D$55:$W$85,19,FALSE)</f>
        <v>0</v>
      </c>
      <c r="F175" s="79" t="e">
        <f>VLOOKUP(C175,Organización_Modular!$F$41:$G$71,2,FALSE)</f>
        <v>#N/A</v>
      </c>
    </row>
    <row r="176" spans="1:6" x14ac:dyDescent="0.2">
      <c r="A176" s="439"/>
      <c r="B176" s="440"/>
      <c r="C176" s="68"/>
      <c r="D176" s="78">
        <f>VLOOKUP(C176,Itinerario!$D$55:$W$85,18,FALSE)</f>
        <v>0</v>
      </c>
      <c r="E176" s="79">
        <f>VLOOKUP(C176,Itinerario!$D$55:$W$85,19,FALSE)</f>
        <v>0</v>
      </c>
      <c r="F176" s="79" t="e">
        <f>VLOOKUP(C176,Organización_Modular!$F$41:$G$71,2,FALSE)</f>
        <v>#N/A</v>
      </c>
    </row>
    <row r="177" spans="1:6" x14ac:dyDescent="0.2">
      <c r="A177" s="439"/>
      <c r="B177" s="440"/>
      <c r="C177" s="68"/>
      <c r="D177" s="78">
        <f>VLOOKUP(C177,Itinerario!$D$55:$W$85,18,FALSE)</f>
        <v>0</v>
      </c>
      <c r="E177" s="79">
        <f>VLOOKUP(C177,Itinerario!$D$55:$W$85,19,FALSE)</f>
        <v>0</v>
      </c>
      <c r="F177" s="79" t="e">
        <f>VLOOKUP(C177,Organización_Modular!$F$41:$G$71,2,FALSE)</f>
        <v>#N/A</v>
      </c>
    </row>
    <row r="178" spans="1:6" x14ac:dyDescent="0.2">
      <c r="A178" s="439"/>
      <c r="B178" s="440"/>
      <c r="C178" s="68"/>
      <c r="D178" s="78">
        <f>VLOOKUP(C178,Itinerario!$D$55:$W$85,18,FALSE)</f>
        <v>0</v>
      </c>
      <c r="E178" s="79">
        <f>VLOOKUP(C178,Itinerario!$D$55:$W$85,19,FALSE)</f>
        <v>0</v>
      </c>
      <c r="F178" s="79" t="e">
        <f>VLOOKUP(C178,Organización_Modular!$F$41:$G$71,2,FALSE)</f>
        <v>#N/A</v>
      </c>
    </row>
    <row r="179" spans="1:6" x14ac:dyDescent="0.2">
      <c r="A179" s="439"/>
      <c r="B179" s="440"/>
      <c r="C179" s="68"/>
      <c r="D179" s="78">
        <f>VLOOKUP(C179,Itinerario!$D$55:$W$85,18,FALSE)</f>
        <v>0</v>
      </c>
      <c r="E179" s="79">
        <f>VLOOKUP(C179,Itinerario!$D$55:$W$85,19,FALSE)</f>
        <v>0</v>
      </c>
      <c r="F179" s="79" t="e">
        <f>VLOOKUP(C179,Organización_Modular!$F$41:$G$71,2,FALSE)</f>
        <v>#N/A</v>
      </c>
    </row>
    <row r="180" spans="1:6" x14ac:dyDescent="0.2">
      <c r="A180" s="439"/>
      <c r="B180" s="440"/>
      <c r="C180" s="68"/>
      <c r="D180" s="78">
        <f>VLOOKUP(C180,Itinerario!$D$55:$W$85,18,FALSE)</f>
        <v>0</v>
      </c>
      <c r="E180" s="79">
        <f>VLOOKUP(C180,Itinerario!$D$55:$W$85,19,FALSE)</f>
        <v>0</v>
      </c>
      <c r="F180" s="79" t="e">
        <f>VLOOKUP(C180,Organización_Modular!$F$41:$G$71,2,FALSE)</f>
        <v>#N/A</v>
      </c>
    </row>
    <row r="181" spans="1:6" x14ac:dyDescent="0.2">
      <c r="A181" s="439"/>
      <c r="B181" s="440"/>
      <c r="C181" s="68"/>
      <c r="D181" s="78">
        <f>VLOOKUP(C181,Itinerario!$D$55:$W$85,18,FALSE)</f>
        <v>0</v>
      </c>
      <c r="E181" s="79">
        <f>VLOOKUP(C181,Itinerario!$D$55:$W$85,19,FALSE)</f>
        <v>0</v>
      </c>
      <c r="F181" s="79" t="e">
        <f>VLOOKUP(C181,Organización_Modular!$F$41:$G$71,2,FALSE)</f>
        <v>#N/A</v>
      </c>
    </row>
    <row r="182" spans="1:6" x14ac:dyDescent="0.2">
      <c r="A182" s="439"/>
      <c r="B182" s="440"/>
      <c r="C182" s="68"/>
      <c r="D182" s="78">
        <f>VLOOKUP(C182,Itinerario!$D$55:$W$85,18,FALSE)</f>
        <v>0</v>
      </c>
      <c r="E182" s="79">
        <f>VLOOKUP(C182,Itinerario!$D$55:$W$85,19,FALSE)</f>
        <v>0</v>
      </c>
      <c r="F182" s="79" t="e">
        <f>VLOOKUP(C182,Organización_Modular!$F$41:$G$71,2,FALSE)</f>
        <v>#N/A</v>
      </c>
    </row>
    <row r="183" spans="1:6" x14ac:dyDescent="0.2">
      <c r="A183" s="439"/>
      <c r="B183" s="440"/>
      <c r="C183" s="68"/>
      <c r="D183" s="78">
        <f>VLOOKUP(C183,Itinerario!$D$55:$W$85,18,FALSE)</f>
        <v>0</v>
      </c>
      <c r="E183" s="79">
        <f>VLOOKUP(C183,Itinerario!$D$55:$W$85,19,FALSE)</f>
        <v>0</v>
      </c>
      <c r="F183" s="79" t="e">
        <f>VLOOKUP(C183,Organización_Modular!$F$41:$G$71,2,FALSE)</f>
        <v>#N/A</v>
      </c>
    </row>
    <row r="184" spans="1:6" x14ac:dyDescent="0.2">
      <c r="A184" s="439"/>
      <c r="B184" s="440"/>
      <c r="C184" s="68"/>
      <c r="D184" s="78">
        <f>VLOOKUP(C184,Itinerario!$D$55:$W$85,18,FALSE)</f>
        <v>0</v>
      </c>
      <c r="E184" s="79">
        <f>VLOOKUP(C184,Itinerario!$D$55:$W$85,19,FALSE)</f>
        <v>0</v>
      </c>
      <c r="F184" s="79" t="e">
        <f>VLOOKUP(C184,Organización_Modular!$F$41:$G$71,2,FALSE)</f>
        <v>#N/A</v>
      </c>
    </row>
    <row r="185" spans="1:6" x14ac:dyDescent="0.2">
      <c r="A185" s="439"/>
      <c r="B185" s="440"/>
      <c r="C185" s="68"/>
      <c r="D185" s="78">
        <f>VLOOKUP(C185,Itinerario!$D$55:$W$85,18,FALSE)</f>
        <v>0</v>
      </c>
      <c r="E185" s="79">
        <f>VLOOKUP(C185,Itinerario!$D$55:$W$85,19,FALSE)</f>
        <v>0</v>
      </c>
      <c r="F185" s="79" t="e">
        <f>VLOOKUP(C185,Organización_Modular!$F$41:$G$71,2,FALSE)</f>
        <v>#N/A</v>
      </c>
    </row>
    <row r="186" spans="1:6" x14ac:dyDescent="0.2">
      <c r="A186" s="439"/>
      <c r="B186" s="440"/>
      <c r="C186" s="68"/>
      <c r="D186" s="78">
        <f>VLOOKUP(C186,Itinerario!$D$55:$W$85,18,FALSE)</f>
        <v>0</v>
      </c>
      <c r="E186" s="79">
        <f>VLOOKUP(C186,Itinerario!$D$55:$W$85,19,FALSE)</f>
        <v>0</v>
      </c>
      <c r="F186" s="79" t="e">
        <f>VLOOKUP(C186,Organización_Modular!$F$41:$G$71,2,FALSE)</f>
        <v>#N/A</v>
      </c>
    </row>
    <row r="187" spans="1:6" x14ac:dyDescent="0.2">
      <c r="A187" s="439"/>
      <c r="B187" s="440"/>
      <c r="C187" s="68"/>
      <c r="D187" s="78">
        <f>VLOOKUP(C187,Itinerario!$D$55:$W$85,18,FALSE)</f>
        <v>0</v>
      </c>
      <c r="E187" s="79">
        <f>VLOOKUP(C187,Itinerario!$D$55:$W$85,19,FALSE)</f>
        <v>0</v>
      </c>
      <c r="F187" s="79" t="e">
        <f>VLOOKUP(C187,Organización_Modular!$F$41:$G$71,2,FALSE)</f>
        <v>#N/A</v>
      </c>
    </row>
    <row r="188" spans="1:6" x14ac:dyDescent="0.2">
      <c r="A188" s="439"/>
      <c r="B188" s="440"/>
      <c r="C188" s="68"/>
      <c r="D188" s="78">
        <f>VLOOKUP(C188,Itinerario!$D$55:$W$85,18,FALSE)</f>
        <v>0</v>
      </c>
      <c r="E188" s="79">
        <f>VLOOKUP(C188,Itinerario!$D$55:$W$85,19,FALSE)</f>
        <v>0</v>
      </c>
      <c r="F188" s="79" t="e">
        <f>VLOOKUP(C188,Organización_Modular!$F$41:$G$71,2,FALSE)</f>
        <v>#N/A</v>
      </c>
    </row>
    <row r="189" spans="1:6" x14ac:dyDescent="0.2">
      <c r="A189" s="439"/>
      <c r="B189" s="440"/>
      <c r="C189" s="68"/>
      <c r="D189" s="78">
        <f>VLOOKUP(C189,Itinerario!$D$55:$W$85,18,FALSE)</f>
        <v>0</v>
      </c>
      <c r="E189" s="79">
        <f>VLOOKUP(C189,Itinerario!$D$55:$W$85,19,FALSE)</f>
        <v>0</v>
      </c>
      <c r="F189" s="79" t="e">
        <f>VLOOKUP(C189,Organización_Modular!$F$41:$G$71,2,FALSE)</f>
        <v>#N/A</v>
      </c>
    </row>
    <row r="190" spans="1:6" x14ac:dyDescent="0.2">
      <c r="A190" s="439"/>
      <c r="B190" s="440"/>
      <c r="C190" s="68"/>
      <c r="D190" s="78">
        <f>VLOOKUP(C190,Itinerario!$D$55:$W$85,18,FALSE)</f>
        <v>0</v>
      </c>
      <c r="E190" s="79">
        <f>VLOOKUP(C190,Itinerario!$D$55:$W$85,19,FALSE)</f>
        <v>0</v>
      </c>
      <c r="F190" s="79" t="e">
        <f>VLOOKUP(C190,Organización_Modular!$F$41:$G$71,2,FALSE)</f>
        <v>#N/A</v>
      </c>
    </row>
    <row r="191" spans="1:6" x14ac:dyDescent="0.2">
      <c r="A191" s="439"/>
      <c r="B191" s="440"/>
      <c r="C191" s="68"/>
      <c r="D191" s="78">
        <f>VLOOKUP(C191,Itinerario!$D$55:$W$85,18,FALSE)</f>
        <v>0</v>
      </c>
      <c r="E191" s="79">
        <f>VLOOKUP(C191,Itinerario!$D$55:$W$85,19,FALSE)</f>
        <v>0</v>
      </c>
      <c r="F191" s="79" t="e">
        <f>VLOOKUP(C191,Organización_Modular!$F$41:$G$71,2,FALSE)</f>
        <v>#N/A</v>
      </c>
    </row>
    <row r="192" spans="1:6" x14ac:dyDescent="0.2">
      <c r="A192" s="439"/>
      <c r="B192" s="440"/>
      <c r="C192" s="68"/>
      <c r="D192" s="78">
        <f>VLOOKUP(C192,Itinerario!$D$55:$W$85,18,FALSE)</f>
        <v>0</v>
      </c>
      <c r="E192" s="79">
        <f>VLOOKUP(C192,Itinerario!$D$55:$W$85,19,FALSE)</f>
        <v>0</v>
      </c>
      <c r="F192" s="79" t="e">
        <f>VLOOKUP(C192,Organización_Modular!$F$41:$G$71,2,FALSE)</f>
        <v>#N/A</v>
      </c>
    </row>
    <row r="193" spans="1:6" x14ac:dyDescent="0.2">
      <c r="A193" s="439"/>
      <c r="B193" s="440"/>
      <c r="C193" s="68"/>
      <c r="D193" s="78">
        <f>VLOOKUP(C193,Itinerario!$D$55:$W$85,18,FALSE)</f>
        <v>0</v>
      </c>
      <c r="E193" s="79">
        <f>VLOOKUP(C193,Itinerario!$D$55:$W$85,19,FALSE)</f>
        <v>0</v>
      </c>
      <c r="F193" s="79" t="e">
        <f>VLOOKUP(C193,Organización_Modular!$F$41:$G$71,2,FALSE)</f>
        <v>#N/A</v>
      </c>
    </row>
    <row r="194" spans="1:6" x14ac:dyDescent="0.2">
      <c r="A194" s="439"/>
      <c r="B194" s="440"/>
      <c r="C194" s="68"/>
      <c r="D194" s="78">
        <f>VLOOKUP(C194,Itinerario!$D$55:$W$85,18,FALSE)</f>
        <v>0</v>
      </c>
      <c r="E194" s="79">
        <f>VLOOKUP(C194,Itinerario!$D$55:$W$85,19,FALSE)</f>
        <v>0</v>
      </c>
      <c r="F194" s="79" t="e">
        <f>VLOOKUP(C194,Organización_Modular!$F$41:$G$71,2,FALSE)</f>
        <v>#N/A</v>
      </c>
    </row>
    <row r="195" spans="1:6" x14ac:dyDescent="0.2">
      <c r="A195" s="439"/>
      <c r="B195" s="440"/>
      <c r="C195" s="68"/>
      <c r="D195" s="78">
        <f>VLOOKUP(C195,Itinerario!$D$55:$W$85,18,FALSE)</f>
        <v>0</v>
      </c>
      <c r="E195" s="79">
        <f>VLOOKUP(C195,Itinerario!$D$55:$W$85,19,FALSE)</f>
        <v>0</v>
      </c>
      <c r="F195" s="79" t="e">
        <f>VLOOKUP(C195,Organización_Modular!$F$41:$G$71,2,FALSE)</f>
        <v>#N/A</v>
      </c>
    </row>
    <row r="196" spans="1:6" x14ac:dyDescent="0.2">
      <c r="A196" s="439"/>
      <c r="B196" s="440"/>
      <c r="C196" s="68"/>
      <c r="D196" s="78">
        <f>VLOOKUP(C196,Itinerario!$D$55:$W$85,18,FALSE)</f>
        <v>0</v>
      </c>
      <c r="E196" s="79">
        <f>VLOOKUP(C196,Itinerario!$D$55:$W$85,19,FALSE)</f>
        <v>0</v>
      </c>
      <c r="F196" s="79" t="e">
        <f>VLOOKUP(C196,Organización_Modular!$F$41:$G$71,2,FALSE)</f>
        <v>#N/A</v>
      </c>
    </row>
    <row r="197" spans="1:6" x14ac:dyDescent="0.2">
      <c r="A197" s="439"/>
      <c r="B197" s="440"/>
      <c r="C197" s="68"/>
      <c r="D197" s="78">
        <f>VLOOKUP(C197,Itinerario!$D$55:$W$85,18,FALSE)</f>
        <v>0</v>
      </c>
      <c r="E197" s="79">
        <f>VLOOKUP(C197,Itinerario!$D$55:$W$85,19,FALSE)</f>
        <v>0</v>
      </c>
      <c r="F197" s="79" t="e">
        <f>VLOOKUP(C197,Organización_Modular!$F$41:$G$71,2,FALSE)</f>
        <v>#N/A</v>
      </c>
    </row>
    <row r="198" spans="1:6" x14ac:dyDescent="0.2">
      <c r="A198" s="439"/>
      <c r="B198" s="440"/>
      <c r="C198" s="68"/>
      <c r="D198" s="78">
        <f>VLOOKUP(C198,Itinerario!$D$55:$W$85,18,FALSE)</f>
        <v>0</v>
      </c>
      <c r="E198" s="79">
        <f>VLOOKUP(C198,Itinerario!$D$55:$W$85,19,FALSE)</f>
        <v>0</v>
      </c>
      <c r="F198" s="79" t="e">
        <f>VLOOKUP(C198,Organización_Modular!$F$41:$G$71,2,FALSE)</f>
        <v>#N/A</v>
      </c>
    </row>
    <row r="199" spans="1:6" x14ac:dyDescent="0.2">
      <c r="A199" s="439"/>
      <c r="B199" s="440"/>
      <c r="C199" s="68"/>
      <c r="D199" s="78">
        <f>VLOOKUP(C199,Itinerario!$D$55:$W$85,18,FALSE)</f>
        <v>0</v>
      </c>
      <c r="E199" s="79">
        <f>VLOOKUP(C199,Itinerario!$D$55:$W$85,19,FALSE)</f>
        <v>0</v>
      </c>
      <c r="F199" s="79" t="e">
        <f>VLOOKUP(C199,Organización_Modular!$F$41:$G$71,2,FALSE)</f>
        <v>#N/A</v>
      </c>
    </row>
    <row r="200" spans="1:6" x14ac:dyDescent="0.2">
      <c r="A200" s="439"/>
      <c r="B200" s="440"/>
      <c r="C200" s="68"/>
      <c r="D200" s="78">
        <f>VLOOKUP(C200,Itinerario!$D$55:$W$85,18,FALSE)</f>
        <v>0</v>
      </c>
      <c r="E200" s="79">
        <f>VLOOKUP(C200,Itinerario!$D$55:$W$85,19,FALSE)</f>
        <v>0</v>
      </c>
      <c r="F200" s="79" t="e">
        <f>VLOOKUP(C200,Organización_Modular!$F$41:$G$71,2,FALSE)</f>
        <v>#N/A</v>
      </c>
    </row>
    <row r="201" spans="1:6" x14ac:dyDescent="0.2">
      <c r="A201" s="439"/>
      <c r="B201" s="440"/>
      <c r="C201" s="68"/>
      <c r="D201" s="78">
        <f>VLOOKUP(C201,Itinerario!$D$55:$W$85,18,FALSE)</f>
        <v>0</v>
      </c>
      <c r="E201" s="79">
        <f>VLOOKUP(C201,Itinerario!$D$55:$W$85,19,FALSE)</f>
        <v>0</v>
      </c>
      <c r="F201" s="79" t="e">
        <f>VLOOKUP(C201,Organización_Modular!$F$41:$G$71,2,FALSE)</f>
        <v>#N/A</v>
      </c>
    </row>
    <row r="202" spans="1:6" x14ac:dyDescent="0.2">
      <c r="A202" s="439"/>
      <c r="B202" s="440"/>
      <c r="C202" s="68"/>
      <c r="D202" s="78">
        <f>VLOOKUP(C202,Itinerario!$D$55:$W$85,18,FALSE)</f>
        <v>0</v>
      </c>
      <c r="E202" s="79">
        <f>VLOOKUP(C202,Itinerario!$D$55:$W$85,19,FALSE)</f>
        <v>0</v>
      </c>
      <c r="F202" s="79" t="e">
        <f>VLOOKUP(C202,Organización_Modular!$F$41:$G$71,2,FALSE)</f>
        <v>#N/A</v>
      </c>
    </row>
    <row r="203" spans="1:6" x14ac:dyDescent="0.2">
      <c r="A203" s="439"/>
      <c r="B203" s="440"/>
      <c r="C203" s="68"/>
      <c r="D203" s="78">
        <f>VLOOKUP(C203,Itinerario!$D$55:$W$85,18,FALSE)</f>
        <v>0</v>
      </c>
      <c r="E203" s="79">
        <f>VLOOKUP(C203,Itinerario!$D$55:$W$85,19,FALSE)</f>
        <v>0</v>
      </c>
      <c r="F203" s="79" t="e">
        <f>VLOOKUP(C203,Organización_Modular!$F$41:$G$71,2,FALSE)</f>
        <v>#N/A</v>
      </c>
    </row>
    <row r="204" spans="1:6" x14ac:dyDescent="0.2">
      <c r="A204" s="439"/>
      <c r="B204" s="440"/>
      <c r="C204" s="68"/>
      <c r="D204" s="78">
        <f>VLOOKUP(C204,Itinerario!$D$55:$W$85,18,FALSE)</f>
        <v>0</v>
      </c>
      <c r="E204" s="79">
        <f>VLOOKUP(C204,Itinerario!$D$55:$W$85,19,FALSE)</f>
        <v>0</v>
      </c>
      <c r="F204" s="79" t="e">
        <f>VLOOKUP(C204,Organización_Modular!$F$41:$G$71,2,FALSE)</f>
        <v>#N/A</v>
      </c>
    </row>
    <row r="205" spans="1:6" x14ac:dyDescent="0.2">
      <c r="A205" s="439"/>
      <c r="B205" s="440"/>
      <c r="C205" s="68"/>
      <c r="D205" s="78">
        <f>VLOOKUP(C205,Itinerario!$D$55:$W$85,18,FALSE)</f>
        <v>0</v>
      </c>
      <c r="E205" s="79">
        <f>VLOOKUP(C205,Itinerario!$D$55:$W$85,19,FALSE)</f>
        <v>0</v>
      </c>
      <c r="F205" s="79" t="e">
        <f>VLOOKUP(C205,Organización_Modular!$F$41:$G$71,2,FALSE)</f>
        <v>#N/A</v>
      </c>
    </row>
    <row r="206" spans="1:6" x14ac:dyDescent="0.2">
      <c r="A206" s="439"/>
      <c r="B206" s="440"/>
      <c r="C206" s="68"/>
      <c r="D206" s="78">
        <f>VLOOKUP(C206,Itinerario!$D$55:$W$85,18,FALSE)</f>
        <v>0</v>
      </c>
      <c r="E206" s="79">
        <f>VLOOKUP(C206,Itinerario!$D$55:$W$85,19,FALSE)</f>
        <v>0</v>
      </c>
      <c r="F206" s="79" t="e">
        <f>VLOOKUP(C206,Organización_Modular!$F$41:$G$71,2,FALSE)</f>
        <v>#N/A</v>
      </c>
    </row>
    <row r="207" spans="1:6" x14ac:dyDescent="0.2">
      <c r="A207" s="439"/>
      <c r="B207" s="440"/>
      <c r="C207" s="68"/>
      <c r="D207" s="78">
        <f>VLOOKUP(C207,Itinerario!$D$55:$W$85,18,FALSE)</f>
        <v>0</v>
      </c>
      <c r="E207" s="79">
        <f>VLOOKUP(C207,Itinerario!$D$55:$W$85,19,FALSE)</f>
        <v>0</v>
      </c>
      <c r="F207" s="79" t="e">
        <f>VLOOKUP(C207,Organización_Modular!$F$41:$G$71,2,FALSE)</f>
        <v>#N/A</v>
      </c>
    </row>
    <row r="208" spans="1:6" x14ac:dyDescent="0.2">
      <c r="A208" s="439"/>
      <c r="B208" s="440"/>
      <c r="C208" s="68"/>
      <c r="D208" s="78">
        <f>VLOOKUP(C208,Itinerario!$D$55:$W$85,18,FALSE)</f>
        <v>0</v>
      </c>
      <c r="E208" s="79">
        <f>VLOOKUP(C208,Itinerario!$D$55:$W$85,19,FALSE)</f>
        <v>0</v>
      </c>
      <c r="F208" s="79" t="e">
        <f>VLOOKUP(C208,Organización_Modular!$F$41:$G$71,2,FALSE)</f>
        <v>#N/A</v>
      </c>
    </row>
    <row r="209" spans="1:6" x14ac:dyDescent="0.2">
      <c r="A209" s="439"/>
      <c r="B209" s="440"/>
      <c r="C209" s="68"/>
      <c r="D209" s="78">
        <f>VLOOKUP(C209,Itinerario!$D$55:$W$85,18,FALSE)</f>
        <v>0</v>
      </c>
      <c r="E209" s="79">
        <f>VLOOKUP(C209,Itinerario!$D$55:$W$85,19,FALSE)</f>
        <v>0</v>
      </c>
      <c r="F209" s="79" t="e">
        <f>VLOOKUP(C209,Organización_Modular!$F$41:$G$71,2,FALSE)</f>
        <v>#N/A</v>
      </c>
    </row>
    <row r="210" spans="1:6" x14ac:dyDescent="0.2">
      <c r="A210" s="439"/>
      <c r="B210" s="440"/>
      <c r="C210" s="68"/>
      <c r="D210" s="78">
        <f>VLOOKUP(C210,Itinerario!$D$55:$W$85,18,FALSE)</f>
        <v>0</v>
      </c>
      <c r="E210" s="79">
        <f>VLOOKUP(C210,Itinerario!$D$55:$W$85,19,FALSE)</f>
        <v>0</v>
      </c>
      <c r="F210" s="79" t="e">
        <f>VLOOKUP(C210,Organización_Modular!$F$41:$G$71,2,FALSE)</f>
        <v>#N/A</v>
      </c>
    </row>
    <row r="211" spans="1:6" x14ac:dyDescent="0.2">
      <c r="A211" s="439"/>
      <c r="B211" s="440"/>
      <c r="C211" s="68"/>
      <c r="D211" s="78">
        <f>VLOOKUP(C211,Itinerario!$D$55:$W$85,18,FALSE)</f>
        <v>0</v>
      </c>
      <c r="E211" s="79">
        <f>VLOOKUP(C211,Itinerario!$D$55:$W$85,19,FALSE)</f>
        <v>0</v>
      </c>
      <c r="F211" s="79" t="e">
        <f>VLOOKUP(C211,Organización_Modular!$F$41:$G$71,2,FALSE)</f>
        <v>#N/A</v>
      </c>
    </row>
    <row r="212" spans="1:6" x14ac:dyDescent="0.2">
      <c r="A212" s="439"/>
      <c r="B212" s="440"/>
      <c r="C212" s="68"/>
      <c r="D212" s="78">
        <f>VLOOKUP(C212,Itinerario!$D$55:$W$85,18,FALSE)</f>
        <v>0</v>
      </c>
      <c r="E212" s="79">
        <f>VLOOKUP(C212,Itinerario!$D$55:$W$85,19,FALSE)</f>
        <v>0</v>
      </c>
      <c r="F212" s="79" t="e">
        <f>VLOOKUP(C212,Organización_Modular!$F$41:$G$71,2,FALSE)</f>
        <v>#N/A</v>
      </c>
    </row>
    <row r="213" spans="1:6" x14ac:dyDescent="0.2">
      <c r="A213" s="439"/>
      <c r="B213" s="440"/>
      <c r="C213" s="68"/>
      <c r="D213" s="78">
        <f>VLOOKUP(C213,Itinerario!$D$55:$W$85,18,FALSE)</f>
        <v>0</v>
      </c>
      <c r="E213" s="79">
        <f>VLOOKUP(C213,Itinerario!$D$55:$W$85,19,FALSE)</f>
        <v>0</v>
      </c>
      <c r="F213" s="79" t="e">
        <f>VLOOKUP(C213,Organización_Modular!$F$41:$G$71,2,FALSE)</f>
        <v>#N/A</v>
      </c>
    </row>
    <row r="214" spans="1:6" x14ac:dyDescent="0.2">
      <c r="A214" s="439"/>
      <c r="B214" s="440"/>
      <c r="C214" s="68"/>
      <c r="D214" s="78">
        <f>VLOOKUP(C214,Itinerario!$D$55:$W$85,18,FALSE)</f>
        <v>0</v>
      </c>
      <c r="E214" s="79">
        <f>VLOOKUP(C214,Itinerario!$D$55:$W$85,19,FALSE)</f>
        <v>0</v>
      </c>
      <c r="F214" s="79" t="e">
        <f>VLOOKUP(C214,Organización_Modular!$F$41:$G$71,2,FALSE)</f>
        <v>#N/A</v>
      </c>
    </row>
    <row r="215" spans="1:6" x14ac:dyDescent="0.2">
      <c r="A215" s="439"/>
      <c r="B215" s="440"/>
      <c r="C215" s="68"/>
      <c r="D215" s="78">
        <f>VLOOKUP(C215,Itinerario!$D$55:$W$85,18,FALSE)</f>
        <v>0</v>
      </c>
      <c r="E215" s="79">
        <f>VLOOKUP(C215,Itinerario!$D$55:$W$85,19,FALSE)</f>
        <v>0</v>
      </c>
      <c r="F215" s="79" t="e">
        <f>VLOOKUP(C215,Organización_Modular!$F$41:$G$71,2,FALSE)</f>
        <v>#N/A</v>
      </c>
    </row>
    <row r="216" spans="1:6" x14ac:dyDescent="0.2">
      <c r="A216" s="439"/>
      <c r="B216" s="440"/>
      <c r="C216" s="68"/>
      <c r="D216" s="78">
        <f>VLOOKUP(C216,Itinerario!$D$55:$W$85,18,FALSE)</f>
        <v>0</v>
      </c>
      <c r="E216" s="79">
        <f>VLOOKUP(C216,Itinerario!$D$55:$W$85,19,FALSE)</f>
        <v>0</v>
      </c>
      <c r="F216" s="79" t="e">
        <f>VLOOKUP(C216,Organización_Modular!$F$41:$G$71,2,FALSE)</f>
        <v>#N/A</v>
      </c>
    </row>
    <row r="217" spans="1:6" x14ac:dyDescent="0.2">
      <c r="A217" s="439"/>
      <c r="B217" s="440"/>
      <c r="C217" s="68"/>
      <c r="D217" s="78">
        <f>VLOOKUP(C217,Itinerario!$D$55:$W$85,18,FALSE)</f>
        <v>0</v>
      </c>
      <c r="E217" s="79">
        <f>VLOOKUP(C217,Itinerario!$D$55:$W$85,19,FALSE)</f>
        <v>0</v>
      </c>
      <c r="F217" s="79" t="e">
        <f>VLOOKUP(C217,Organización_Modular!$F$41:$G$71,2,FALSE)</f>
        <v>#N/A</v>
      </c>
    </row>
    <row r="218" spans="1:6" x14ac:dyDescent="0.2">
      <c r="A218" s="439"/>
      <c r="B218" s="440"/>
      <c r="C218" s="68"/>
      <c r="D218" s="78">
        <f>VLOOKUP(C218,Itinerario!$D$55:$W$85,18,FALSE)</f>
        <v>0</v>
      </c>
      <c r="E218" s="79">
        <f>VLOOKUP(C218,Itinerario!$D$55:$W$85,19,FALSE)</f>
        <v>0</v>
      </c>
      <c r="F218" s="79" t="e">
        <f>VLOOKUP(C218,Organización_Modular!$F$41:$G$71,2,FALSE)</f>
        <v>#N/A</v>
      </c>
    </row>
    <row r="219" spans="1:6" x14ac:dyDescent="0.2">
      <c r="A219" s="439"/>
      <c r="B219" s="440"/>
      <c r="C219" s="68"/>
      <c r="D219" s="78">
        <f>VLOOKUP(C219,Itinerario!$D$55:$W$85,18,FALSE)</f>
        <v>0</v>
      </c>
      <c r="E219" s="79">
        <f>VLOOKUP(C219,Itinerario!$D$55:$W$85,19,FALSE)</f>
        <v>0</v>
      </c>
      <c r="F219" s="79" t="e">
        <f>VLOOKUP(C219,Organización_Modular!$F$41:$G$71,2,FALSE)</f>
        <v>#N/A</v>
      </c>
    </row>
    <row r="220" spans="1:6" x14ac:dyDescent="0.2">
      <c r="A220" s="439"/>
      <c r="B220" s="440"/>
      <c r="C220" s="68"/>
      <c r="D220" s="78">
        <f>VLOOKUP(C220,Itinerario!$D$55:$W$85,18,FALSE)</f>
        <v>0</v>
      </c>
      <c r="E220" s="79">
        <f>VLOOKUP(C220,Itinerario!$D$55:$W$85,19,FALSE)</f>
        <v>0</v>
      </c>
      <c r="F220" s="79" t="e">
        <f>VLOOKUP(C220,Organización_Modular!$F$41:$G$71,2,FALSE)</f>
        <v>#N/A</v>
      </c>
    </row>
    <row r="221" spans="1:6" x14ac:dyDescent="0.2">
      <c r="A221" s="439"/>
      <c r="B221" s="440"/>
      <c r="C221" s="68"/>
      <c r="D221" s="78">
        <f>VLOOKUP(C221,Itinerario!$D$55:$W$85,18,FALSE)</f>
        <v>0</v>
      </c>
      <c r="E221" s="79">
        <f>VLOOKUP(C221,Itinerario!$D$55:$W$85,19,FALSE)</f>
        <v>0</v>
      </c>
      <c r="F221" s="79" t="e">
        <f>VLOOKUP(C221,Organización_Modular!$F$41:$G$71,2,FALSE)</f>
        <v>#N/A</v>
      </c>
    </row>
    <row r="222" spans="1:6" x14ac:dyDescent="0.2">
      <c r="A222" s="439"/>
      <c r="B222" s="440"/>
      <c r="C222" s="68"/>
      <c r="D222" s="78">
        <f>VLOOKUP(C222,Itinerario!$D$55:$W$85,18,FALSE)</f>
        <v>0</v>
      </c>
      <c r="E222" s="79">
        <f>VLOOKUP(C222,Itinerario!$D$55:$W$85,19,FALSE)</f>
        <v>0</v>
      </c>
      <c r="F222" s="79" t="e">
        <f>VLOOKUP(C222,Organización_Modular!$F$41:$G$71,2,FALSE)</f>
        <v>#N/A</v>
      </c>
    </row>
    <row r="223" spans="1:6" x14ac:dyDescent="0.2">
      <c r="A223" s="439"/>
      <c r="B223" s="440"/>
      <c r="C223" s="68"/>
      <c r="D223" s="78">
        <f>VLOOKUP(C223,Itinerario!$D$55:$W$85,18,FALSE)</f>
        <v>0</v>
      </c>
      <c r="E223" s="79">
        <f>VLOOKUP(C223,Itinerario!$D$55:$W$85,19,FALSE)</f>
        <v>0</v>
      </c>
      <c r="F223" s="79" t="e">
        <f>VLOOKUP(C223,Organización_Modular!$F$41:$G$71,2,FALSE)</f>
        <v>#N/A</v>
      </c>
    </row>
    <row r="224" spans="1:6" x14ac:dyDescent="0.2">
      <c r="A224" s="439"/>
      <c r="B224" s="440"/>
      <c r="C224" s="68"/>
      <c r="D224" s="78">
        <f>VLOOKUP(C224,Itinerario!$D$55:$W$85,18,FALSE)</f>
        <v>0</v>
      </c>
      <c r="E224" s="79">
        <f>VLOOKUP(C224,Itinerario!$D$55:$W$85,19,FALSE)</f>
        <v>0</v>
      </c>
      <c r="F224" s="79" t="e">
        <f>VLOOKUP(C224,Organización_Modular!$F$41:$G$71,2,FALSE)</f>
        <v>#N/A</v>
      </c>
    </row>
    <row r="225" spans="1:6" x14ac:dyDescent="0.2">
      <c r="A225" s="439"/>
      <c r="B225" s="440"/>
      <c r="C225" s="68"/>
      <c r="D225" s="78">
        <f>VLOOKUP(C225,Itinerario!$D$55:$W$85,18,FALSE)</f>
        <v>0</v>
      </c>
      <c r="E225" s="79">
        <f>VLOOKUP(C225,Itinerario!$D$55:$W$85,19,FALSE)</f>
        <v>0</v>
      </c>
      <c r="F225" s="79" t="e">
        <f>VLOOKUP(C225,Organización_Modular!$F$41:$G$71,2,FALSE)</f>
        <v>#N/A</v>
      </c>
    </row>
    <row r="226" spans="1:6" x14ac:dyDescent="0.2">
      <c r="A226" s="439"/>
      <c r="B226" s="440"/>
      <c r="C226" s="68"/>
      <c r="D226" s="78">
        <f>VLOOKUP(C226,Itinerario!$D$55:$W$85,18,FALSE)</f>
        <v>0</v>
      </c>
      <c r="E226" s="79">
        <f>VLOOKUP(C226,Itinerario!$D$55:$W$85,19,FALSE)</f>
        <v>0</v>
      </c>
      <c r="F226" s="79" t="e">
        <f>VLOOKUP(C226,Organización_Modular!$F$41:$G$71,2,FALSE)</f>
        <v>#N/A</v>
      </c>
    </row>
    <row r="227" spans="1:6" x14ac:dyDescent="0.2">
      <c r="A227" s="439"/>
      <c r="B227" s="440"/>
      <c r="C227" s="68"/>
      <c r="D227" s="78">
        <f>VLOOKUP(C227,Itinerario!$D$55:$W$85,18,FALSE)</f>
        <v>0</v>
      </c>
      <c r="E227" s="79">
        <f>VLOOKUP(C227,Itinerario!$D$55:$W$85,19,FALSE)</f>
        <v>0</v>
      </c>
      <c r="F227" s="79" t="e">
        <f>VLOOKUP(C227,Organización_Modular!$F$41:$G$71,2,FALSE)</f>
        <v>#N/A</v>
      </c>
    </row>
    <row r="228" spans="1:6" x14ac:dyDescent="0.2">
      <c r="A228" s="439"/>
      <c r="B228" s="440"/>
      <c r="C228" s="68"/>
      <c r="D228" s="78">
        <f>VLOOKUP(C228,Itinerario!$D$55:$W$85,18,FALSE)</f>
        <v>0</v>
      </c>
      <c r="E228" s="79">
        <f>VLOOKUP(C228,Itinerario!$D$55:$W$85,19,FALSE)</f>
        <v>0</v>
      </c>
      <c r="F228" s="79" t="e">
        <f>VLOOKUP(C228,Organización_Modular!$F$41:$G$71,2,FALSE)</f>
        <v>#N/A</v>
      </c>
    </row>
    <row r="229" spans="1:6" x14ac:dyDescent="0.2">
      <c r="A229" s="439"/>
      <c r="B229" s="440"/>
      <c r="C229" s="68"/>
      <c r="D229" s="78">
        <f>VLOOKUP(C229,Itinerario!$D$55:$W$85,18,FALSE)</f>
        <v>0</v>
      </c>
      <c r="E229" s="79">
        <f>VLOOKUP(C229,Itinerario!$D$55:$W$85,19,FALSE)</f>
        <v>0</v>
      </c>
      <c r="F229" s="79" t="e">
        <f>VLOOKUP(C229,Organización_Modular!$F$41:$G$71,2,FALSE)</f>
        <v>#N/A</v>
      </c>
    </row>
    <row r="230" spans="1:6" x14ac:dyDescent="0.2">
      <c r="A230" s="439"/>
      <c r="B230" s="440"/>
      <c r="C230" s="68"/>
      <c r="D230" s="78">
        <f>VLOOKUP(C230,Itinerario!$D$55:$W$85,18,FALSE)</f>
        <v>0</v>
      </c>
      <c r="E230" s="79">
        <f>VLOOKUP(C230,Itinerario!$D$55:$W$85,19,FALSE)</f>
        <v>0</v>
      </c>
      <c r="F230" s="79" t="e">
        <f>VLOOKUP(C230,Organización_Modular!$F$41:$G$71,2,FALSE)</f>
        <v>#N/A</v>
      </c>
    </row>
    <row r="231" spans="1:6" x14ac:dyDescent="0.2">
      <c r="A231" s="439"/>
      <c r="B231" s="440"/>
      <c r="C231" s="68"/>
      <c r="D231" s="78">
        <f>VLOOKUP(C231,Itinerario!$D$55:$W$85,18,FALSE)</f>
        <v>0</v>
      </c>
      <c r="E231" s="79">
        <f>VLOOKUP(C231,Itinerario!$D$55:$W$85,19,FALSE)</f>
        <v>0</v>
      </c>
      <c r="F231" s="79" t="e">
        <f>VLOOKUP(C231,Organización_Modular!$F$41:$G$71,2,FALSE)</f>
        <v>#N/A</v>
      </c>
    </row>
    <row r="232" spans="1:6" x14ac:dyDescent="0.2">
      <c r="A232" s="439"/>
      <c r="B232" s="440"/>
      <c r="C232" s="68"/>
      <c r="D232" s="78">
        <f>VLOOKUP(C232,Itinerario!$D$55:$W$85,18,FALSE)</f>
        <v>0</v>
      </c>
      <c r="E232" s="79">
        <f>VLOOKUP(C232,Itinerario!$D$55:$W$85,19,FALSE)</f>
        <v>0</v>
      </c>
      <c r="F232" s="79" t="e">
        <f>VLOOKUP(C232,Organización_Modular!$F$41:$G$71,2,FALSE)</f>
        <v>#N/A</v>
      </c>
    </row>
    <row r="233" spans="1:6" x14ac:dyDescent="0.2">
      <c r="A233" s="439"/>
      <c r="B233" s="440"/>
      <c r="C233" s="68"/>
      <c r="D233" s="78">
        <f>VLOOKUP(C233,Itinerario!$D$55:$W$85,18,FALSE)</f>
        <v>0</v>
      </c>
      <c r="E233" s="79">
        <f>VLOOKUP(C233,Itinerario!$D$55:$W$85,19,FALSE)</f>
        <v>0</v>
      </c>
      <c r="F233" s="79" t="e">
        <f>VLOOKUP(C233,Organización_Modular!$F$41:$G$71,2,FALSE)</f>
        <v>#N/A</v>
      </c>
    </row>
    <row r="234" spans="1:6" x14ac:dyDescent="0.2">
      <c r="A234" s="439"/>
      <c r="B234" s="440"/>
      <c r="C234" s="68"/>
      <c r="D234" s="78">
        <f>VLOOKUP(C234,Itinerario!$D$55:$W$85,18,FALSE)</f>
        <v>0</v>
      </c>
      <c r="E234" s="79">
        <f>VLOOKUP(C234,Itinerario!$D$55:$W$85,19,FALSE)</f>
        <v>0</v>
      </c>
      <c r="F234" s="79" t="e">
        <f>VLOOKUP(C234,Organización_Modular!$F$41:$G$71,2,FALSE)</f>
        <v>#N/A</v>
      </c>
    </row>
    <row r="235" spans="1:6" x14ac:dyDescent="0.2">
      <c r="A235" s="439"/>
      <c r="B235" s="440"/>
      <c r="C235" s="68"/>
      <c r="D235" s="78">
        <f>VLOOKUP(C235,Itinerario!$D$55:$W$85,18,FALSE)</f>
        <v>0</v>
      </c>
      <c r="E235" s="79">
        <f>VLOOKUP(C235,Itinerario!$D$55:$W$85,19,FALSE)</f>
        <v>0</v>
      </c>
      <c r="F235" s="79" t="e">
        <f>VLOOKUP(C235,Organización_Modular!$F$41:$G$71,2,FALSE)</f>
        <v>#N/A</v>
      </c>
    </row>
    <row r="236" spans="1:6" x14ac:dyDescent="0.2">
      <c r="A236" s="439"/>
      <c r="B236" s="440"/>
      <c r="C236" s="68"/>
      <c r="D236" s="78">
        <f>VLOOKUP(C236,Itinerario!$D$55:$W$85,18,FALSE)</f>
        <v>0</v>
      </c>
      <c r="E236" s="79">
        <f>VLOOKUP(C236,Itinerario!$D$55:$W$85,19,FALSE)</f>
        <v>0</v>
      </c>
      <c r="F236" s="79" t="e">
        <f>VLOOKUP(C236,Organización_Modular!$F$41:$G$71,2,FALSE)</f>
        <v>#N/A</v>
      </c>
    </row>
    <row r="237" spans="1:6" x14ac:dyDescent="0.2">
      <c r="A237" s="439"/>
      <c r="B237" s="440"/>
      <c r="C237" s="68"/>
      <c r="D237" s="78">
        <f>VLOOKUP(C237,Itinerario!$D$55:$W$85,18,FALSE)</f>
        <v>0</v>
      </c>
      <c r="E237" s="79">
        <f>VLOOKUP(C237,Itinerario!$D$55:$W$85,19,FALSE)</f>
        <v>0</v>
      </c>
      <c r="F237" s="79" t="e">
        <f>VLOOKUP(C237,Organización_Modular!$F$41:$G$71,2,FALSE)</f>
        <v>#N/A</v>
      </c>
    </row>
    <row r="238" spans="1:6" x14ac:dyDescent="0.2">
      <c r="A238" s="439"/>
      <c r="B238" s="440"/>
      <c r="C238" s="68"/>
      <c r="D238" s="78">
        <f>VLOOKUP(C238,Itinerario!$D$55:$W$85,18,FALSE)</f>
        <v>0</v>
      </c>
      <c r="E238" s="79">
        <f>VLOOKUP(C238,Itinerario!$D$55:$W$85,19,FALSE)</f>
        <v>0</v>
      </c>
      <c r="F238" s="79" t="e">
        <f>VLOOKUP(C238,Organización_Modular!$F$41:$G$71,2,FALSE)</f>
        <v>#N/A</v>
      </c>
    </row>
    <row r="239" spans="1:6" x14ac:dyDescent="0.2">
      <c r="A239" s="439"/>
      <c r="B239" s="440"/>
      <c r="C239" s="69"/>
      <c r="D239" s="78">
        <f>VLOOKUP(C239,Itinerario!$D$55:$W$85,18,FALSE)</f>
        <v>0</v>
      </c>
      <c r="E239" s="79">
        <f>VLOOKUP(C239,Itinerario!$D$55:$W$85,19,FALSE)</f>
        <v>0</v>
      </c>
      <c r="F239" s="79" t="e">
        <f>VLOOKUP(C239,Organización_Modular!$F$41:$G$71,2,FALSE)</f>
        <v>#N/A</v>
      </c>
    </row>
    <row r="240" spans="1:6" x14ac:dyDescent="0.2">
      <c r="A240" s="439"/>
      <c r="B240" s="440"/>
      <c r="C240" s="69"/>
      <c r="D240" s="78">
        <f>VLOOKUP(C240,Itinerario!$D$55:$W$85,18,FALSE)</f>
        <v>0</v>
      </c>
      <c r="E240" s="79">
        <f>VLOOKUP(C240,Itinerario!$D$55:$W$85,19,FALSE)</f>
        <v>0</v>
      </c>
      <c r="F240" s="79" t="e">
        <f>VLOOKUP(C240,Organización_Modular!$F$41:$G$71,2,FALSE)</f>
        <v>#N/A</v>
      </c>
    </row>
    <row r="241" spans="1:6" x14ac:dyDescent="0.2">
      <c r="A241" s="439"/>
      <c r="B241" s="440"/>
      <c r="C241" s="69"/>
      <c r="D241" s="78">
        <f>VLOOKUP(C241,Itinerario!$D$55:$W$85,18,FALSE)</f>
        <v>0</v>
      </c>
      <c r="E241" s="79">
        <f>VLOOKUP(C241,Itinerario!$D$55:$W$85,19,FALSE)</f>
        <v>0</v>
      </c>
      <c r="F241" s="79" t="e">
        <f>VLOOKUP(C241,Organización_Modular!$F$41:$G$71,2,FALSE)</f>
        <v>#N/A</v>
      </c>
    </row>
    <row r="242" spans="1:6" x14ac:dyDescent="0.2">
      <c r="A242" s="439"/>
      <c r="B242" s="440"/>
      <c r="C242" s="69"/>
      <c r="D242" s="78">
        <f>VLOOKUP(C242,Itinerario!$D$55:$W$85,18,FALSE)</f>
        <v>0</v>
      </c>
      <c r="E242" s="79">
        <f>VLOOKUP(C242,Itinerario!$D$55:$W$85,19,FALSE)</f>
        <v>0</v>
      </c>
      <c r="F242" s="79" t="e">
        <f>VLOOKUP(C242,Organización_Modular!$F$41:$G$71,2,FALSE)</f>
        <v>#N/A</v>
      </c>
    </row>
    <row r="243" spans="1:6" x14ac:dyDescent="0.2">
      <c r="A243" s="439"/>
      <c r="B243" s="440"/>
      <c r="C243" s="69"/>
      <c r="D243" s="78">
        <f>VLOOKUP(C243,Itinerario!$D$55:$W$85,18,FALSE)</f>
        <v>0</v>
      </c>
      <c r="E243" s="79">
        <f>VLOOKUP(C243,Itinerario!$D$55:$W$85,19,FALSE)</f>
        <v>0</v>
      </c>
      <c r="F243" s="79" t="e">
        <f>VLOOKUP(C243,Organización_Modular!$F$41:$G$71,2,FALSE)</f>
        <v>#N/A</v>
      </c>
    </row>
    <row r="244" spans="1:6" x14ac:dyDescent="0.2">
      <c r="A244" s="439"/>
      <c r="B244" s="440"/>
      <c r="C244" s="69"/>
      <c r="D244" s="78">
        <f>VLOOKUP(C244,Itinerario!$D$55:$W$85,18,FALSE)</f>
        <v>0</v>
      </c>
      <c r="E244" s="79">
        <f>VLOOKUP(C244,Itinerario!$D$55:$W$85,19,FALSE)</f>
        <v>0</v>
      </c>
      <c r="F244" s="79" t="e">
        <f>VLOOKUP(C244,Organización_Modular!$F$41:$G$71,2,FALSE)</f>
        <v>#N/A</v>
      </c>
    </row>
    <row r="245" spans="1:6" x14ac:dyDescent="0.2">
      <c r="A245" s="439"/>
      <c r="B245" s="440"/>
      <c r="C245" s="69"/>
      <c r="D245" s="78">
        <f>VLOOKUP(C245,Itinerario!$D$55:$W$85,18,FALSE)</f>
        <v>0</v>
      </c>
      <c r="E245" s="79">
        <f>VLOOKUP(C245,Itinerario!$D$55:$W$85,19,FALSE)</f>
        <v>0</v>
      </c>
      <c r="F245" s="79" t="e">
        <f>VLOOKUP(C245,Organización_Modular!$F$41:$G$71,2,FALSE)</f>
        <v>#N/A</v>
      </c>
    </row>
    <row r="246" spans="1:6" x14ac:dyDescent="0.2">
      <c r="A246" s="439"/>
      <c r="B246" s="440"/>
      <c r="C246" s="69"/>
      <c r="D246" s="78">
        <f>VLOOKUP(C246,Itinerario!$D$55:$W$85,18,FALSE)</f>
        <v>0</v>
      </c>
      <c r="E246" s="79">
        <f>VLOOKUP(C246,Itinerario!$D$55:$W$85,19,FALSE)</f>
        <v>0</v>
      </c>
      <c r="F246" s="79" t="e">
        <f>VLOOKUP(C246,Organización_Modular!$F$41:$G$71,2,FALSE)</f>
        <v>#N/A</v>
      </c>
    </row>
    <row r="247" spans="1:6" x14ac:dyDescent="0.2">
      <c r="A247" s="439"/>
      <c r="B247" s="440"/>
      <c r="C247" s="69"/>
      <c r="D247" s="78">
        <f>VLOOKUP(C247,Itinerario!$D$55:$W$85,18,FALSE)</f>
        <v>0</v>
      </c>
      <c r="E247" s="79">
        <f>VLOOKUP(C247,Itinerario!$D$55:$W$85,19,FALSE)</f>
        <v>0</v>
      </c>
      <c r="F247" s="79" t="e">
        <f>VLOOKUP(C247,Organización_Modular!$F$41:$G$71,2,FALSE)</f>
        <v>#N/A</v>
      </c>
    </row>
    <row r="248" spans="1:6" x14ac:dyDescent="0.2">
      <c r="A248" s="439"/>
      <c r="B248" s="440"/>
      <c r="C248" s="69"/>
      <c r="D248" s="78">
        <f>VLOOKUP(C248,Itinerario!$D$55:$W$85,18,FALSE)</f>
        <v>0</v>
      </c>
      <c r="E248" s="79">
        <f>VLOOKUP(C248,Itinerario!$D$55:$W$85,19,FALSE)</f>
        <v>0</v>
      </c>
      <c r="F248" s="79" t="e">
        <f>VLOOKUP(C248,Organización_Modular!$F$41:$G$71,2,FALSE)</f>
        <v>#N/A</v>
      </c>
    </row>
    <row r="249" spans="1:6" x14ac:dyDescent="0.2">
      <c r="A249" s="439"/>
      <c r="B249" s="440"/>
      <c r="C249" s="69"/>
      <c r="D249" s="78">
        <f>VLOOKUP(C249,Itinerario!$D$55:$W$85,18,FALSE)</f>
        <v>0</v>
      </c>
      <c r="E249" s="79">
        <f>VLOOKUP(C249,Itinerario!$D$55:$W$85,19,FALSE)</f>
        <v>0</v>
      </c>
      <c r="F249" s="79" t="e">
        <f>VLOOKUP(C249,Organización_Modular!$F$41:$G$71,2,FALSE)</f>
        <v>#N/A</v>
      </c>
    </row>
    <row r="250" spans="1:6" x14ac:dyDescent="0.2">
      <c r="A250" s="439"/>
      <c r="B250" s="440"/>
      <c r="C250" s="69"/>
      <c r="D250" s="78">
        <f>VLOOKUP(C250,Itinerario!$D$55:$W$85,18,FALSE)</f>
        <v>0</v>
      </c>
      <c r="E250" s="79">
        <f>VLOOKUP(C250,Itinerario!$D$55:$W$85,19,FALSE)</f>
        <v>0</v>
      </c>
      <c r="F250" s="79" t="e">
        <f>VLOOKUP(C250,Organización_Modular!$F$41:$G$71,2,FALSE)</f>
        <v>#N/A</v>
      </c>
    </row>
    <row r="251" spans="1:6" x14ac:dyDescent="0.2">
      <c r="A251" s="439"/>
      <c r="B251" s="440"/>
      <c r="C251" s="69"/>
      <c r="D251" s="78">
        <f>VLOOKUP(C251,Itinerario!$D$55:$W$85,18,FALSE)</f>
        <v>0</v>
      </c>
      <c r="E251" s="79">
        <f>VLOOKUP(C251,Itinerario!$D$55:$W$85,19,FALSE)</f>
        <v>0</v>
      </c>
      <c r="F251" s="79" t="e">
        <f>VLOOKUP(C251,Organización_Modular!$F$41:$G$71,2,FALSE)</f>
        <v>#N/A</v>
      </c>
    </row>
    <row r="252" spans="1:6" x14ac:dyDescent="0.2">
      <c r="A252" s="439"/>
      <c r="B252" s="440"/>
      <c r="C252" s="69"/>
      <c r="D252" s="78">
        <f>VLOOKUP(C252,Itinerario!$D$55:$W$85,18,FALSE)</f>
        <v>0</v>
      </c>
      <c r="E252" s="79">
        <f>VLOOKUP(C252,Itinerario!$D$55:$W$85,19,FALSE)</f>
        <v>0</v>
      </c>
      <c r="F252" s="79" t="e">
        <f>VLOOKUP(C252,Organización_Modular!$F$41:$G$71,2,FALSE)</f>
        <v>#N/A</v>
      </c>
    </row>
    <row r="253" spans="1:6" x14ac:dyDescent="0.2">
      <c r="A253" s="439"/>
      <c r="B253" s="440"/>
      <c r="C253" s="69"/>
      <c r="D253" s="78">
        <f>VLOOKUP(C253,Itinerario!$D$55:$W$85,18,FALSE)</f>
        <v>0</v>
      </c>
      <c r="E253" s="79">
        <f>VLOOKUP(C253,Itinerario!$D$55:$W$85,19,FALSE)</f>
        <v>0</v>
      </c>
      <c r="F253" s="79" t="e">
        <f>VLOOKUP(C253,Organización_Modular!$F$41:$G$71,2,FALSE)</f>
        <v>#N/A</v>
      </c>
    </row>
    <row r="254" spans="1:6" x14ac:dyDescent="0.2">
      <c r="A254" s="439"/>
      <c r="B254" s="440"/>
      <c r="C254" s="69"/>
      <c r="D254" s="78">
        <f>VLOOKUP(C254,Itinerario!$D$55:$W$85,18,FALSE)</f>
        <v>0</v>
      </c>
      <c r="E254" s="79">
        <f>VLOOKUP(C254,Itinerario!$D$55:$W$85,19,FALSE)</f>
        <v>0</v>
      </c>
      <c r="F254" s="79" t="e">
        <f>VLOOKUP(C254,Organización_Modular!$F$41:$G$71,2,FALSE)</f>
        <v>#N/A</v>
      </c>
    </row>
    <row r="255" spans="1:6" x14ac:dyDescent="0.2">
      <c r="A255" s="439"/>
      <c r="B255" s="440"/>
      <c r="C255" s="69"/>
      <c r="D255" s="78">
        <f>VLOOKUP(C255,Itinerario!$D$55:$W$85,18,FALSE)</f>
        <v>0</v>
      </c>
      <c r="E255" s="79">
        <f>VLOOKUP(C255,Itinerario!$D$55:$W$85,19,FALSE)</f>
        <v>0</v>
      </c>
      <c r="F255" s="79" t="e">
        <f>VLOOKUP(C255,Organización_Modular!$F$41:$G$71,2,FALSE)</f>
        <v>#N/A</v>
      </c>
    </row>
    <row r="256" spans="1:6" x14ac:dyDescent="0.2">
      <c r="A256" s="439"/>
      <c r="B256" s="440"/>
      <c r="C256" s="69"/>
      <c r="D256" s="78">
        <f>VLOOKUP(C256,Itinerario!$D$55:$W$85,18,FALSE)</f>
        <v>0</v>
      </c>
      <c r="E256" s="79">
        <f>VLOOKUP(C256,Itinerario!$D$55:$W$85,19,FALSE)</f>
        <v>0</v>
      </c>
      <c r="F256" s="79" t="e">
        <f>VLOOKUP(C256,Organización_Modular!$F$41:$G$71,2,FALSE)</f>
        <v>#N/A</v>
      </c>
    </row>
    <row r="257" spans="1:6" x14ac:dyDescent="0.2">
      <c r="A257" s="439"/>
      <c r="B257" s="440"/>
      <c r="C257" s="69"/>
      <c r="D257" s="78">
        <f>VLOOKUP(C257,Itinerario!$D$55:$W$85,18,FALSE)</f>
        <v>0</v>
      </c>
      <c r="E257" s="79">
        <f>VLOOKUP(C257,Itinerario!$D$55:$W$85,19,FALSE)</f>
        <v>0</v>
      </c>
      <c r="F257" s="79" t="e">
        <f>VLOOKUP(C257,Organización_Modular!$F$41:$G$71,2,FALSE)</f>
        <v>#N/A</v>
      </c>
    </row>
    <row r="258" spans="1:6" x14ac:dyDescent="0.2">
      <c r="A258" s="439"/>
      <c r="B258" s="440"/>
      <c r="C258" s="69"/>
      <c r="D258" s="78">
        <f>VLOOKUP(C258,Itinerario!$D$55:$W$85,18,FALSE)</f>
        <v>0</v>
      </c>
      <c r="E258" s="79">
        <f>VLOOKUP(C258,Itinerario!$D$55:$W$85,19,FALSE)</f>
        <v>0</v>
      </c>
      <c r="F258" s="79" t="e">
        <f>VLOOKUP(C258,Organización_Modular!$F$41:$G$71,2,FALSE)</f>
        <v>#N/A</v>
      </c>
    </row>
    <row r="259" spans="1:6" x14ac:dyDescent="0.2">
      <c r="A259" s="439"/>
      <c r="B259" s="440"/>
      <c r="C259" s="69"/>
      <c r="D259" s="78">
        <f>VLOOKUP(C259,Itinerario!$D$55:$W$85,18,FALSE)</f>
        <v>0</v>
      </c>
      <c r="E259" s="79">
        <f>VLOOKUP(C259,Itinerario!$D$55:$W$85,19,FALSE)</f>
        <v>0</v>
      </c>
      <c r="F259" s="79" t="e">
        <f>VLOOKUP(C259,Organización_Modular!$F$41:$G$71,2,FALSE)</f>
        <v>#N/A</v>
      </c>
    </row>
    <row r="260" spans="1:6" x14ac:dyDescent="0.2">
      <c r="A260" s="439"/>
      <c r="B260" s="440"/>
      <c r="C260" s="69"/>
      <c r="D260" s="78">
        <f>VLOOKUP(C260,Itinerario!$D$55:$W$85,18,FALSE)</f>
        <v>0</v>
      </c>
      <c r="E260" s="79">
        <f>VLOOKUP(C260,Itinerario!$D$55:$W$85,19,FALSE)</f>
        <v>0</v>
      </c>
      <c r="F260" s="79" t="e">
        <f>VLOOKUP(C260,Organización_Modular!$F$41:$G$71,2,FALSE)</f>
        <v>#N/A</v>
      </c>
    </row>
    <row r="261" spans="1:6" x14ac:dyDescent="0.2">
      <c r="A261" s="439"/>
      <c r="B261" s="440"/>
      <c r="C261" s="69"/>
      <c r="D261" s="78">
        <f>VLOOKUP(C261,Itinerario!$D$55:$W$85,18,FALSE)</f>
        <v>0</v>
      </c>
      <c r="E261" s="79">
        <f>VLOOKUP(C261,Itinerario!$D$55:$W$85,19,FALSE)</f>
        <v>0</v>
      </c>
      <c r="F261" s="79" t="e">
        <f>VLOOKUP(C261,Organización_Modular!$F$41:$G$71,2,FALSE)</f>
        <v>#N/A</v>
      </c>
    </row>
    <row r="262" spans="1:6" x14ac:dyDescent="0.2">
      <c r="A262" s="439"/>
      <c r="B262" s="440"/>
      <c r="C262" s="69"/>
      <c r="D262" s="78">
        <f>VLOOKUP(C262,Itinerario!$D$55:$W$85,18,FALSE)</f>
        <v>0</v>
      </c>
      <c r="E262" s="79">
        <f>VLOOKUP(C262,Itinerario!$D$55:$W$85,19,FALSE)</f>
        <v>0</v>
      </c>
      <c r="F262" s="79" t="e">
        <f>VLOOKUP(C262,Organización_Modular!$F$41:$G$71,2,FALSE)</f>
        <v>#N/A</v>
      </c>
    </row>
    <row r="263" spans="1:6" x14ac:dyDescent="0.2">
      <c r="A263" s="439"/>
      <c r="B263" s="440"/>
      <c r="C263" s="69"/>
      <c r="D263" s="78">
        <f>VLOOKUP(C263,Itinerario!$D$55:$W$85,18,FALSE)</f>
        <v>0</v>
      </c>
      <c r="E263" s="79">
        <f>VLOOKUP(C263,Itinerario!$D$55:$W$85,19,FALSE)</f>
        <v>0</v>
      </c>
      <c r="F263" s="79" t="e">
        <f>VLOOKUP(C263,Organización_Modular!$F$41:$G$71,2,FALSE)</f>
        <v>#N/A</v>
      </c>
    </row>
    <row r="264" spans="1:6" x14ac:dyDescent="0.2">
      <c r="A264" s="439"/>
      <c r="B264" s="440"/>
      <c r="C264" s="69"/>
      <c r="D264" s="78">
        <f>VLOOKUP(C264,Itinerario!$D$55:$W$85,18,FALSE)</f>
        <v>0</v>
      </c>
      <c r="E264" s="79">
        <f>VLOOKUP(C264,Itinerario!$D$55:$W$85,19,FALSE)</f>
        <v>0</v>
      </c>
      <c r="F264" s="79" t="e">
        <f>VLOOKUP(C264,Organización_Modular!$F$41:$G$71,2,FALSE)</f>
        <v>#N/A</v>
      </c>
    </row>
    <row r="265" spans="1:6" x14ac:dyDescent="0.2">
      <c r="A265" s="439"/>
      <c r="B265" s="440"/>
      <c r="C265" s="69"/>
      <c r="D265" s="78">
        <f>VLOOKUP(C265,Itinerario!$D$55:$W$85,18,FALSE)</f>
        <v>0</v>
      </c>
      <c r="E265" s="79">
        <f>VLOOKUP(C265,Itinerario!$D$55:$W$85,19,FALSE)</f>
        <v>0</v>
      </c>
      <c r="F265" s="79" t="e">
        <f>VLOOKUP(C265,Organización_Modular!$F$41:$G$71,2,FALSE)</f>
        <v>#N/A</v>
      </c>
    </row>
    <row r="266" spans="1:6" x14ac:dyDescent="0.2">
      <c r="A266" s="439"/>
      <c r="B266" s="440"/>
      <c r="C266" s="69"/>
      <c r="D266" s="78">
        <f>VLOOKUP(C266,Itinerario!$D$55:$W$85,18,FALSE)</f>
        <v>0</v>
      </c>
      <c r="E266" s="79">
        <f>VLOOKUP(C266,Itinerario!$D$55:$W$85,19,FALSE)</f>
        <v>0</v>
      </c>
      <c r="F266" s="79" t="e">
        <f>VLOOKUP(C266,Organización_Modular!$F$41:$G$71,2,FALSE)</f>
        <v>#N/A</v>
      </c>
    </row>
    <row r="267" spans="1:6" x14ac:dyDescent="0.2">
      <c r="A267" s="439"/>
      <c r="B267" s="440"/>
      <c r="C267" s="69"/>
      <c r="D267" s="78">
        <f>VLOOKUP(C267,Itinerario!$D$55:$W$85,18,FALSE)</f>
        <v>0</v>
      </c>
      <c r="E267" s="79">
        <f>VLOOKUP(C267,Itinerario!$D$55:$W$85,19,FALSE)</f>
        <v>0</v>
      </c>
      <c r="F267" s="79" t="e">
        <f>VLOOKUP(C267,Organización_Modular!$F$41:$G$71,2,FALSE)</f>
        <v>#N/A</v>
      </c>
    </row>
    <row r="268" spans="1:6" x14ac:dyDescent="0.2">
      <c r="A268" s="439"/>
      <c r="B268" s="440"/>
      <c r="C268" s="69"/>
      <c r="D268" s="78">
        <f>VLOOKUP(C268,Itinerario!$D$55:$W$85,18,FALSE)</f>
        <v>0</v>
      </c>
      <c r="E268" s="79">
        <f>VLOOKUP(C268,Itinerario!$D$55:$W$85,19,FALSE)</f>
        <v>0</v>
      </c>
      <c r="F268" s="79" t="e">
        <f>VLOOKUP(C268,Organización_Modular!$F$41:$G$71,2,FALSE)</f>
        <v>#N/A</v>
      </c>
    </row>
    <row r="269" spans="1:6" x14ac:dyDescent="0.2">
      <c r="A269" s="439"/>
      <c r="B269" s="440"/>
      <c r="C269" s="69"/>
      <c r="D269" s="78">
        <f>VLOOKUP(C269,Itinerario!$D$55:$W$85,18,FALSE)</f>
        <v>0</v>
      </c>
      <c r="E269" s="79">
        <f>VLOOKUP(C269,Itinerario!$D$55:$W$85,19,FALSE)</f>
        <v>0</v>
      </c>
      <c r="F269" s="79" t="e">
        <f>VLOOKUP(C269,Organización_Modular!$F$41:$G$71,2,FALSE)</f>
        <v>#N/A</v>
      </c>
    </row>
    <row r="270" spans="1:6" x14ac:dyDescent="0.2">
      <c r="A270" s="439"/>
      <c r="B270" s="440"/>
      <c r="C270" s="69"/>
      <c r="D270" s="78">
        <f>VLOOKUP(C270,Itinerario!$D$55:$W$85,18,FALSE)</f>
        <v>0</v>
      </c>
      <c r="E270" s="79">
        <f>VLOOKUP(C270,Itinerario!$D$55:$W$85,19,FALSE)</f>
        <v>0</v>
      </c>
      <c r="F270" s="79" t="e">
        <f>VLOOKUP(C270,Organización_Modular!$F$41:$G$71,2,FALSE)</f>
        <v>#N/A</v>
      </c>
    </row>
    <row r="271" spans="1:6" x14ac:dyDescent="0.2">
      <c r="A271" s="439"/>
      <c r="B271" s="440"/>
      <c r="C271" s="69"/>
      <c r="D271" s="78">
        <f>VLOOKUP(C271,Itinerario!$D$55:$W$85,18,FALSE)</f>
        <v>0</v>
      </c>
      <c r="E271" s="79">
        <f>VLOOKUP(C271,Itinerario!$D$55:$W$85,19,FALSE)</f>
        <v>0</v>
      </c>
      <c r="F271" s="79" t="e">
        <f>VLOOKUP(C271,Organización_Modular!$F$41:$G$71,2,FALSE)</f>
        <v>#N/A</v>
      </c>
    </row>
    <row r="272" spans="1:6" x14ac:dyDescent="0.2">
      <c r="A272" s="439"/>
      <c r="B272" s="440"/>
      <c r="C272" s="69"/>
      <c r="D272" s="78">
        <f>VLOOKUP(C272,Itinerario!$D$55:$W$85,18,FALSE)</f>
        <v>0</v>
      </c>
      <c r="E272" s="79">
        <f>VLOOKUP(C272,Itinerario!$D$55:$W$85,19,FALSE)</f>
        <v>0</v>
      </c>
      <c r="F272" s="79" t="e">
        <f>VLOOKUP(C272,Organización_Modular!$F$41:$G$71,2,FALSE)</f>
        <v>#N/A</v>
      </c>
    </row>
    <row r="273" spans="1:6" x14ac:dyDescent="0.2">
      <c r="A273" s="439"/>
      <c r="B273" s="440"/>
      <c r="C273" s="69"/>
      <c r="D273" s="78">
        <f>VLOOKUP(C273,Itinerario!$D$55:$W$85,18,FALSE)</f>
        <v>0</v>
      </c>
      <c r="E273" s="79">
        <f>VLOOKUP(C273,Itinerario!$D$55:$W$85,19,FALSE)</f>
        <v>0</v>
      </c>
      <c r="F273" s="79" t="e">
        <f>VLOOKUP(C273,Organización_Modular!$F$41:$G$71,2,FALSE)</f>
        <v>#N/A</v>
      </c>
    </row>
    <row r="274" spans="1:6" x14ac:dyDescent="0.2">
      <c r="A274" s="439"/>
      <c r="B274" s="440"/>
      <c r="C274" s="69"/>
      <c r="D274" s="78">
        <f>VLOOKUP(C274,Itinerario!$D$55:$W$85,18,FALSE)</f>
        <v>0</v>
      </c>
      <c r="E274" s="79">
        <f>VLOOKUP(C274,Itinerario!$D$55:$W$85,19,FALSE)</f>
        <v>0</v>
      </c>
      <c r="F274" s="79" t="e">
        <f>VLOOKUP(C274,Organización_Modular!$F$41:$G$71,2,FALSE)</f>
        <v>#N/A</v>
      </c>
    </row>
    <row r="275" spans="1:6" x14ac:dyDescent="0.2">
      <c r="A275" s="439"/>
      <c r="B275" s="440"/>
      <c r="C275" s="69"/>
      <c r="D275" s="78">
        <f>VLOOKUP(C275,Itinerario!$D$55:$W$85,18,FALSE)</f>
        <v>0</v>
      </c>
      <c r="E275" s="79">
        <f>VLOOKUP(C275,Itinerario!$D$55:$W$85,19,FALSE)</f>
        <v>0</v>
      </c>
      <c r="F275" s="79" t="e">
        <f>VLOOKUP(C275,Organización_Modular!$F$41:$G$71,2,FALSE)</f>
        <v>#N/A</v>
      </c>
    </row>
    <row r="276" spans="1:6" x14ac:dyDescent="0.2">
      <c r="A276" s="439"/>
      <c r="B276" s="440"/>
      <c r="C276" s="69"/>
      <c r="D276" s="78">
        <f>VLOOKUP(C276,Itinerario!$D$55:$W$85,18,FALSE)</f>
        <v>0</v>
      </c>
      <c r="E276" s="79">
        <f>VLOOKUP(C276,Itinerario!$D$55:$W$85,19,FALSE)</f>
        <v>0</v>
      </c>
      <c r="F276" s="79" t="e">
        <f>VLOOKUP(C276,Organización_Modular!$F$41:$G$71,2,FALSE)</f>
        <v>#N/A</v>
      </c>
    </row>
    <row r="277" spans="1:6" x14ac:dyDescent="0.2">
      <c r="A277" s="439"/>
      <c r="B277" s="440"/>
      <c r="C277" s="69"/>
      <c r="D277" s="78">
        <f>VLOOKUP(C277,Itinerario!$D$55:$W$85,18,FALSE)</f>
        <v>0</v>
      </c>
      <c r="E277" s="79">
        <f>VLOOKUP(C277,Itinerario!$D$55:$W$85,19,FALSE)</f>
        <v>0</v>
      </c>
      <c r="F277" s="79" t="e">
        <f>VLOOKUP(C277,Organización_Modular!$F$41:$G$71,2,FALSE)</f>
        <v>#N/A</v>
      </c>
    </row>
    <row r="278" spans="1:6" x14ac:dyDescent="0.2">
      <c r="A278" s="439"/>
      <c r="B278" s="440"/>
      <c r="C278" s="69"/>
      <c r="D278" s="78">
        <f>VLOOKUP(C278,Itinerario!$D$55:$W$85,18,FALSE)</f>
        <v>0</v>
      </c>
      <c r="E278" s="79">
        <f>VLOOKUP(C278,Itinerario!$D$55:$W$85,19,FALSE)</f>
        <v>0</v>
      </c>
      <c r="F278" s="79" t="e">
        <f>VLOOKUP(C278,Organización_Modular!$F$41:$G$71,2,FALSE)</f>
        <v>#N/A</v>
      </c>
    </row>
    <row r="279" spans="1:6" x14ac:dyDescent="0.2">
      <c r="A279" s="439"/>
      <c r="B279" s="440"/>
      <c r="C279" s="69"/>
      <c r="D279" s="78">
        <f>VLOOKUP(C279,Itinerario!$D$55:$W$85,18,FALSE)</f>
        <v>0</v>
      </c>
      <c r="E279" s="79">
        <f>VLOOKUP(C279,Itinerario!$D$55:$W$85,19,FALSE)</f>
        <v>0</v>
      </c>
      <c r="F279" s="79" t="e">
        <f>VLOOKUP(C279,Organización_Modular!$F$41:$G$71,2,FALSE)</f>
        <v>#N/A</v>
      </c>
    </row>
    <row r="280" spans="1:6" x14ac:dyDescent="0.2">
      <c r="A280" s="439"/>
      <c r="B280" s="440"/>
      <c r="C280" s="69"/>
      <c r="D280" s="78">
        <f>VLOOKUP(C280,Itinerario!$D$55:$W$85,18,FALSE)</f>
        <v>0</v>
      </c>
      <c r="E280" s="79">
        <f>VLOOKUP(C280,Itinerario!$D$55:$W$85,19,FALSE)</f>
        <v>0</v>
      </c>
      <c r="F280" s="79" t="e">
        <f>VLOOKUP(C280,Organización_Modular!$F$41:$G$71,2,FALSE)</f>
        <v>#N/A</v>
      </c>
    </row>
    <row r="281" spans="1:6" x14ac:dyDescent="0.2">
      <c r="A281" s="439"/>
      <c r="B281" s="440"/>
      <c r="C281" s="69"/>
      <c r="D281" s="78">
        <f>VLOOKUP(C281,Itinerario!$D$55:$W$85,18,FALSE)</f>
        <v>0</v>
      </c>
      <c r="E281" s="79">
        <f>VLOOKUP(C281,Itinerario!$D$55:$W$85,19,FALSE)</f>
        <v>0</v>
      </c>
      <c r="F281" s="79" t="e">
        <f>VLOOKUP(C281,Organización_Modular!$F$41:$G$71,2,FALSE)</f>
        <v>#N/A</v>
      </c>
    </row>
    <row r="282" spans="1:6" x14ac:dyDescent="0.2">
      <c r="A282" s="439"/>
      <c r="B282" s="440"/>
      <c r="C282" s="69"/>
      <c r="D282" s="78">
        <f>VLOOKUP(C282,Itinerario!$D$55:$W$85,18,FALSE)</f>
        <v>0</v>
      </c>
      <c r="E282" s="79">
        <f>VLOOKUP(C282,Itinerario!$D$55:$W$85,19,FALSE)</f>
        <v>0</v>
      </c>
      <c r="F282" s="79" t="e">
        <f>VLOOKUP(C282,Organización_Modular!$F$41:$G$71,2,FALSE)</f>
        <v>#N/A</v>
      </c>
    </row>
    <row r="283" spans="1:6" x14ac:dyDescent="0.2">
      <c r="A283" s="439"/>
      <c r="B283" s="440"/>
      <c r="C283" s="69"/>
      <c r="D283" s="78">
        <f>VLOOKUP(C283,Itinerario!$D$55:$W$85,18,FALSE)</f>
        <v>0</v>
      </c>
      <c r="E283" s="79">
        <f>VLOOKUP(C283,Itinerario!$D$55:$W$85,19,FALSE)</f>
        <v>0</v>
      </c>
      <c r="F283" s="79" t="e">
        <f>VLOOKUP(C283,Organización_Modular!$F$41:$G$71,2,FALSE)</f>
        <v>#N/A</v>
      </c>
    </row>
    <row r="284" spans="1:6" x14ac:dyDescent="0.2">
      <c r="A284" s="439"/>
      <c r="B284" s="440"/>
      <c r="C284" s="69"/>
      <c r="D284" s="78">
        <f>VLOOKUP(C284,Itinerario!$D$55:$W$85,18,FALSE)</f>
        <v>0</v>
      </c>
      <c r="E284" s="79">
        <f>VLOOKUP(C284,Itinerario!$D$55:$W$85,19,FALSE)</f>
        <v>0</v>
      </c>
      <c r="F284" s="79" t="e">
        <f>VLOOKUP(C284,Organización_Modular!$F$41:$G$71,2,FALSE)</f>
        <v>#N/A</v>
      </c>
    </row>
    <row r="285" spans="1:6" x14ac:dyDescent="0.2">
      <c r="A285" s="439"/>
      <c r="B285" s="440"/>
      <c r="C285" s="69"/>
      <c r="D285" s="78">
        <f>VLOOKUP(C285,Itinerario!$D$55:$W$85,18,FALSE)</f>
        <v>0</v>
      </c>
      <c r="E285" s="79">
        <f>VLOOKUP(C285,Itinerario!$D$55:$W$85,19,FALSE)</f>
        <v>0</v>
      </c>
      <c r="F285" s="79" t="e">
        <f>VLOOKUP(C285,Organización_Modular!$F$41:$G$71,2,FALSE)</f>
        <v>#N/A</v>
      </c>
    </row>
    <row r="286" spans="1:6" x14ac:dyDescent="0.2">
      <c r="A286" s="439"/>
      <c r="B286" s="440"/>
      <c r="C286" s="69"/>
      <c r="D286" s="78">
        <f>VLOOKUP(C286,Itinerario!$D$55:$W$85,18,FALSE)</f>
        <v>0</v>
      </c>
      <c r="E286" s="79">
        <f>VLOOKUP(C286,Itinerario!$D$55:$W$85,19,FALSE)</f>
        <v>0</v>
      </c>
      <c r="F286" s="79" t="e">
        <f>VLOOKUP(C286,Organización_Modular!$F$41:$G$71,2,FALSE)</f>
        <v>#N/A</v>
      </c>
    </row>
    <row r="287" spans="1:6" x14ac:dyDescent="0.2">
      <c r="A287" s="439"/>
      <c r="B287" s="440"/>
      <c r="C287" s="69"/>
      <c r="D287" s="78">
        <f>VLOOKUP(C287,Itinerario!$D$55:$W$85,18,FALSE)</f>
        <v>0</v>
      </c>
      <c r="E287" s="79">
        <f>VLOOKUP(C287,Itinerario!$D$55:$W$85,19,FALSE)</f>
        <v>0</v>
      </c>
      <c r="F287" s="79" t="e">
        <f>VLOOKUP(C287,Organización_Modular!$F$41:$G$71,2,FALSE)</f>
        <v>#N/A</v>
      </c>
    </row>
    <row r="288" spans="1:6" x14ac:dyDescent="0.2">
      <c r="A288" s="439"/>
      <c r="B288" s="440"/>
      <c r="C288" s="69"/>
      <c r="D288" s="78">
        <f>VLOOKUP(C288,Itinerario!$D$55:$W$85,18,FALSE)</f>
        <v>0</v>
      </c>
      <c r="E288" s="79">
        <f>VLOOKUP(C288,Itinerario!$D$55:$W$85,19,FALSE)</f>
        <v>0</v>
      </c>
      <c r="F288" s="79" t="e">
        <f>VLOOKUP(C288,Organización_Modular!$F$41:$G$71,2,FALSE)</f>
        <v>#N/A</v>
      </c>
    </row>
    <row r="289" spans="1:6" x14ac:dyDescent="0.2">
      <c r="A289" s="439"/>
      <c r="B289" s="440"/>
      <c r="C289" s="69"/>
      <c r="D289" s="78">
        <f>VLOOKUP(C289,Itinerario!$D$55:$W$85,18,FALSE)</f>
        <v>0</v>
      </c>
      <c r="E289" s="79">
        <f>VLOOKUP(C289,Itinerario!$D$55:$W$85,19,FALSE)</f>
        <v>0</v>
      </c>
      <c r="F289" s="79" t="e">
        <f>VLOOKUP(C289,Organización_Modular!$F$41:$G$71,2,FALSE)</f>
        <v>#N/A</v>
      </c>
    </row>
    <row r="290" spans="1:6" x14ac:dyDescent="0.2">
      <c r="A290" s="439"/>
      <c r="B290" s="440"/>
      <c r="C290" s="69"/>
      <c r="D290" s="78">
        <f>VLOOKUP(C290,Itinerario!$D$55:$W$85,18,FALSE)</f>
        <v>0</v>
      </c>
      <c r="E290" s="79">
        <f>VLOOKUP(C290,Itinerario!$D$55:$W$85,19,FALSE)</f>
        <v>0</v>
      </c>
      <c r="F290" s="79" t="e">
        <f>VLOOKUP(C290,Organización_Modular!$F$41:$G$71,2,FALSE)</f>
        <v>#N/A</v>
      </c>
    </row>
    <row r="291" spans="1:6" x14ac:dyDescent="0.2">
      <c r="A291" s="439"/>
      <c r="B291" s="440"/>
      <c r="C291" s="69"/>
      <c r="D291" s="78">
        <f>VLOOKUP(C291,Itinerario!$D$55:$W$85,18,FALSE)</f>
        <v>0</v>
      </c>
      <c r="E291" s="79">
        <f>VLOOKUP(C291,Itinerario!$D$55:$W$85,19,FALSE)</f>
        <v>0</v>
      </c>
      <c r="F291" s="79" t="e">
        <f>VLOOKUP(C291,Organización_Modular!$F$41:$G$71,2,FALSE)</f>
        <v>#N/A</v>
      </c>
    </row>
    <row r="292" spans="1:6" x14ac:dyDescent="0.2">
      <c r="A292" s="439"/>
      <c r="B292" s="440"/>
      <c r="C292" s="69"/>
      <c r="D292" s="78">
        <f>VLOOKUP(C292,Itinerario!$D$55:$W$85,18,FALSE)</f>
        <v>0</v>
      </c>
      <c r="E292" s="79">
        <f>VLOOKUP(C292,Itinerario!$D$55:$W$85,19,FALSE)</f>
        <v>0</v>
      </c>
      <c r="F292" s="79" t="e">
        <f>VLOOKUP(C292,Organización_Modular!$F$41:$G$71,2,FALSE)</f>
        <v>#N/A</v>
      </c>
    </row>
    <row r="293" spans="1:6" x14ac:dyDescent="0.2">
      <c r="A293" s="439"/>
      <c r="B293" s="440"/>
      <c r="C293" s="69"/>
      <c r="D293" s="78">
        <f>VLOOKUP(C293,Itinerario!$D$55:$W$85,18,FALSE)</f>
        <v>0</v>
      </c>
      <c r="E293" s="79">
        <f>VLOOKUP(C293,Itinerario!$D$55:$W$85,19,FALSE)</f>
        <v>0</v>
      </c>
      <c r="F293" s="79" t="e">
        <f>VLOOKUP(C293,Organización_Modular!$F$41:$G$71,2,FALSE)</f>
        <v>#N/A</v>
      </c>
    </row>
    <row r="294" spans="1:6" x14ac:dyDescent="0.2">
      <c r="A294" s="439"/>
      <c r="B294" s="440"/>
      <c r="C294" s="69"/>
      <c r="D294" s="78">
        <f>VLOOKUP(C294,Itinerario!$D$55:$W$85,18,FALSE)</f>
        <v>0</v>
      </c>
      <c r="E294" s="79">
        <f>VLOOKUP(C294,Itinerario!$D$55:$W$85,19,FALSE)</f>
        <v>0</v>
      </c>
      <c r="F294" s="79" t="e">
        <f>VLOOKUP(C294,Organización_Modular!$F$41:$G$71,2,FALSE)</f>
        <v>#N/A</v>
      </c>
    </row>
    <row r="295" spans="1:6" x14ac:dyDescent="0.2">
      <c r="A295" s="439"/>
      <c r="B295" s="440"/>
      <c r="C295" s="69"/>
      <c r="D295" s="78">
        <f>VLOOKUP(C295,Itinerario!$D$55:$W$85,18,FALSE)</f>
        <v>0</v>
      </c>
      <c r="E295" s="79">
        <f>VLOOKUP(C295,Itinerario!$D$55:$W$85,19,FALSE)</f>
        <v>0</v>
      </c>
      <c r="F295" s="79" t="e">
        <f>VLOOKUP(C295,Organización_Modular!$F$41:$G$71,2,FALSE)</f>
        <v>#N/A</v>
      </c>
    </row>
    <row r="296" spans="1:6" x14ac:dyDescent="0.2">
      <c r="A296" s="439"/>
      <c r="B296" s="440"/>
      <c r="C296" s="69"/>
      <c r="D296" s="78">
        <f>VLOOKUP(C296,Itinerario!$D$55:$W$85,18,FALSE)</f>
        <v>0</v>
      </c>
      <c r="E296" s="79">
        <f>VLOOKUP(C296,Itinerario!$D$55:$W$85,19,FALSE)</f>
        <v>0</v>
      </c>
      <c r="F296" s="79" t="e">
        <f>VLOOKUP(C296,Organización_Modular!$F$41:$G$71,2,FALSE)</f>
        <v>#N/A</v>
      </c>
    </row>
    <row r="297" spans="1:6" x14ac:dyDescent="0.2">
      <c r="A297" s="439"/>
      <c r="B297" s="440"/>
      <c r="C297" s="69"/>
      <c r="D297" s="78">
        <f>VLOOKUP(C297,Itinerario!$D$55:$W$85,18,FALSE)</f>
        <v>0</v>
      </c>
      <c r="E297" s="79">
        <f>VLOOKUP(C297,Itinerario!$D$55:$W$85,19,FALSE)</f>
        <v>0</v>
      </c>
      <c r="F297" s="79" t="e">
        <f>VLOOKUP(C297,Organización_Modular!$F$41:$G$71,2,FALSE)</f>
        <v>#N/A</v>
      </c>
    </row>
    <row r="298" spans="1:6" x14ac:dyDescent="0.2">
      <c r="A298" s="439"/>
      <c r="B298" s="440"/>
      <c r="C298" s="69"/>
      <c r="D298" s="78">
        <f>VLOOKUP(C298,Itinerario!$D$55:$W$85,18,FALSE)</f>
        <v>0</v>
      </c>
      <c r="E298" s="79">
        <f>VLOOKUP(C298,Itinerario!$D$55:$W$85,19,FALSE)</f>
        <v>0</v>
      </c>
      <c r="F298" s="79" t="e">
        <f>VLOOKUP(C298,Organización_Modular!$F$41:$G$71,2,FALSE)</f>
        <v>#N/A</v>
      </c>
    </row>
    <row r="299" spans="1:6" x14ac:dyDescent="0.2">
      <c r="A299" s="439"/>
      <c r="B299" s="440"/>
      <c r="C299" s="69"/>
      <c r="D299" s="78">
        <f>VLOOKUP(C299,Itinerario!$D$55:$W$85,18,FALSE)</f>
        <v>0</v>
      </c>
      <c r="E299" s="79">
        <f>VLOOKUP(C299,Itinerario!$D$55:$W$85,19,FALSE)</f>
        <v>0</v>
      </c>
      <c r="F299" s="79" t="e">
        <f>VLOOKUP(C299,Organización_Modular!$F$41:$G$71,2,FALSE)</f>
        <v>#N/A</v>
      </c>
    </row>
    <row r="300" spans="1:6" x14ac:dyDescent="0.2">
      <c r="A300" s="439"/>
      <c r="B300" s="440"/>
      <c r="C300" s="69"/>
      <c r="D300" s="78">
        <f>VLOOKUP(C300,Itinerario!$D$55:$W$85,18,FALSE)</f>
        <v>0</v>
      </c>
      <c r="E300" s="79">
        <f>VLOOKUP(C300,Itinerario!$D$55:$W$85,19,FALSE)</f>
        <v>0</v>
      </c>
      <c r="F300" s="79" t="e">
        <f>VLOOKUP(C300,Organización_Modular!$F$41:$G$71,2,FALSE)</f>
        <v>#N/A</v>
      </c>
    </row>
    <row r="301" spans="1:6" x14ac:dyDescent="0.2">
      <c r="A301" s="439"/>
      <c r="B301" s="440"/>
      <c r="C301" s="69"/>
      <c r="D301" s="78">
        <f>VLOOKUP(C301,Itinerario!$D$55:$W$85,18,FALSE)</f>
        <v>0</v>
      </c>
      <c r="E301" s="79">
        <f>VLOOKUP(C301,Itinerario!$D$55:$W$85,19,FALSE)</f>
        <v>0</v>
      </c>
      <c r="F301" s="79" t="e">
        <f>VLOOKUP(C301,Organización_Modular!$F$41:$G$71,2,FALSE)</f>
        <v>#N/A</v>
      </c>
    </row>
    <row r="302" spans="1:6" x14ac:dyDescent="0.2">
      <c r="A302" s="439"/>
      <c r="B302" s="440"/>
      <c r="C302" s="69"/>
      <c r="D302" s="78">
        <f>VLOOKUP(C302,Itinerario!$D$55:$W$85,18,FALSE)</f>
        <v>0</v>
      </c>
      <c r="E302" s="79">
        <f>VLOOKUP(C302,Itinerario!$D$55:$W$85,19,FALSE)</f>
        <v>0</v>
      </c>
      <c r="F302" s="79" t="e">
        <f>VLOOKUP(C302,Organización_Modular!$F$41:$G$71,2,FALSE)</f>
        <v>#N/A</v>
      </c>
    </row>
    <row r="303" spans="1:6" x14ac:dyDescent="0.2">
      <c r="A303" s="439"/>
      <c r="B303" s="440"/>
      <c r="C303" s="69"/>
      <c r="D303" s="78">
        <f>VLOOKUP(C303,Itinerario!$D$55:$W$85,18,FALSE)</f>
        <v>0</v>
      </c>
      <c r="E303" s="79">
        <f>VLOOKUP(C303,Itinerario!$D$55:$W$85,19,FALSE)</f>
        <v>0</v>
      </c>
      <c r="F303" s="79" t="e">
        <f>VLOOKUP(C303,Organización_Modular!$F$41:$G$71,2,FALSE)</f>
        <v>#N/A</v>
      </c>
    </row>
    <row r="304" spans="1:6" x14ac:dyDescent="0.2">
      <c r="A304" s="439"/>
      <c r="B304" s="440"/>
      <c r="C304" s="69"/>
      <c r="D304" s="78">
        <f>VLOOKUP(C304,Itinerario!$D$55:$W$85,18,FALSE)</f>
        <v>0</v>
      </c>
      <c r="E304" s="79">
        <f>VLOOKUP(C304,Itinerario!$D$55:$W$85,19,FALSE)</f>
        <v>0</v>
      </c>
      <c r="F304" s="79" t="e">
        <f>VLOOKUP(C304,Organización_Modular!$F$41:$G$71,2,FALSE)</f>
        <v>#N/A</v>
      </c>
    </row>
    <row r="305" spans="1:6" x14ac:dyDescent="0.2">
      <c r="A305" s="439"/>
      <c r="B305" s="440"/>
      <c r="C305" s="69"/>
      <c r="D305" s="78">
        <f>VLOOKUP(C305,Itinerario!$D$55:$W$85,18,FALSE)</f>
        <v>0</v>
      </c>
      <c r="E305" s="79">
        <f>VLOOKUP(C305,Itinerario!$D$55:$W$85,19,FALSE)</f>
        <v>0</v>
      </c>
      <c r="F305" s="79" t="e">
        <f>VLOOKUP(C305,Organización_Modular!$F$41:$G$71,2,FALSE)</f>
        <v>#N/A</v>
      </c>
    </row>
    <row r="306" spans="1:6" x14ac:dyDescent="0.2">
      <c r="A306" s="439"/>
      <c r="B306" s="440"/>
      <c r="C306" s="69"/>
      <c r="D306" s="78">
        <f>VLOOKUP(C306,Itinerario!$D$55:$W$85,18,FALSE)</f>
        <v>0</v>
      </c>
      <c r="E306" s="79">
        <f>VLOOKUP(C306,Itinerario!$D$55:$W$85,19,FALSE)</f>
        <v>0</v>
      </c>
      <c r="F306" s="79" t="e">
        <f>VLOOKUP(C306,Organización_Modular!$F$41:$G$71,2,FALSE)</f>
        <v>#N/A</v>
      </c>
    </row>
    <row r="307" spans="1:6" x14ac:dyDescent="0.2">
      <c r="A307" s="439"/>
      <c r="B307" s="440"/>
      <c r="C307" s="69"/>
      <c r="D307" s="78">
        <f>VLOOKUP(C307,Itinerario!$D$55:$W$85,18,FALSE)</f>
        <v>0</v>
      </c>
      <c r="E307" s="79">
        <f>VLOOKUP(C307,Itinerario!$D$55:$W$85,19,FALSE)</f>
        <v>0</v>
      </c>
      <c r="F307" s="79" t="e">
        <f>VLOOKUP(C307,Organización_Modular!$F$41:$G$71,2,FALSE)</f>
        <v>#N/A</v>
      </c>
    </row>
    <row r="308" spans="1:6" x14ac:dyDescent="0.2">
      <c r="A308" s="439"/>
      <c r="B308" s="440"/>
      <c r="C308" s="69"/>
      <c r="D308" s="78">
        <f>VLOOKUP(C308,Itinerario!$D$55:$W$85,18,FALSE)</f>
        <v>0</v>
      </c>
      <c r="E308" s="79">
        <f>VLOOKUP(C308,Itinerario!$D$55:$W$85,19,FALSE)</f>
        <v>0</v>
      </c>
      <c r="F308" s="79" t="e">
        <f>VLOOKUP(C308,Organización_Modular!$F$41:$G$71,2,FALSE)</f>
        <v>#N/A</v>
      </c>
    </row>
    <row r="309" spans="1:6" x14ac:dyDescent="0.2">
      <c r="A309" s="439"/>
      <c r="B309" s="440"/>
      <c r="C309" s="69"/>
      <c r="D309" s="78">
        <f>VLOOKUP(C309,Itinerario!$D$55:$W$85,18,FALSE)</f>
        <v>0</v>
      </c>
      <c r="E309" s="79">
        <f>VLOOKUP(C309,Itinerario!$D$55:$W$85,19,FALSE)</f>
        <v>0</v>
      </c>
      <c r="F309" s="79" t="e">
        <f>VLOOKUP(C309,Organización_Modular!$F$41:$G$71,2,FALSE)</f>
        <v>#N/A</v>
      </c>
    </row>
    <row r="310" spans="1:6" x14ac:dyDescent="0.2">
      <c r="A310" s="439"/>
      <c r="B310" s="440"/>
      <c r="C310" s="69"/>
      <c r="D310" s="78">
        <f>VLOOKUP(C310,Itinerario!$D$55:$W$85,18,FALSE)</f>
        <v>0</v>
      </c>
      <c r="E310" s="79">
        <f>VLOOKUP(C310,Itinerario!$D$55:$W$85,19,FALSE)</f>
        <v>0</v>
      </c>
      <c r="F310" s="79" t="e">
        <f>VLOOKUP(C310,Organización_Modular!$F$41:$G$71,2,FALSE)</f>
        <v>#N/A</v>
      </c>
    </row>
    <row r="311" spans="1:6" x14ac:dyDescent="0.2">
      <c r="A311" s="439"/>
      <c r="B311" s="440"/>
      <c r="C311" s="69"/>
      <c r="D311" s="78">
        <f>VLOOKUP(C311,Itinerario!$D$55:$W$85,18,FALSE)</f>
        <v>0</v>
      </c>
      <c r="E311" s="79">
        <f>VLOOKUP(C311,Itinerario!$D$55:$W$85,19,FALSE)</f>
        <v>0</v>
      </c>
      <c r="F311" s="79" t="e">
        <f>VLOOKUP(C311,Organización_Modular!$F$41:$G$71,2,FALSE)</f>
        <v>#N/A</v>
      </c>
    </row>
    <row r="312" spans="1:6" x14ac:dyDescent="0.2">
      <c r="A312" s="439"/>
      <c r="B312" s="440"/>
      <c r="C312" s="69"/>
      <c r="D312" s="78">
        <f>VLOOKUP(C312,Itinerario!$D$55:$W$85,18,FALSE)</f>
        <v>0</v>
      </c>
      <c r="E312" s="79">
        <f>VLOOKUP(C312,Itinerario!$D$55:$W$85,19,FALSE)</f>
        <v>0</v>
      </c>
      <c r="F312" s="79" t="e">
        <f>VLOOKUP(C312,Organización_Modular!$F$41:$G$71,2,FALSE)</f>
        <v>#N/A</v>
      </c>
    </row>
    <row r="313" spans="1:6" x14ac:dyDescent="0.2">
      <c r="A313" s="439"/>
      <c r="B313" s="440"/>
      <c r="C313" s="68"/>
      <c r="D313" s="78">
        <f>VLOOKUP(C313,Itinerario!$D$55:$W$85,18,FALSE)</f>
        <v>0</v>
      </c>
      <c r="E313" s="79">
        <f>VLOOKUP(C313,Itinerario!$D$55:$W$85,19,FALSE)</f>
        <v>0</v>
      </c>
      <c r="F313" s="79" t="e">
        <f>VLOOKUP(C313,Organización_Modular!$F$41:$G$71,2,FALSE)</f>
        <v>#N/A</v>
      </c>
    </row>
    <row r="314" spans="1:6" x14ac:dyDescent="0.2">
      <c r="A314" s="439" t="str">
        <f>Itinerario!A86</f>
        <v>MÓDULO 3: CONEXIÓN Y DISEÑO DE REDES</v>
      </c>
      <c r="B314" s="440" t="str">
        <f>Ambiente_Equipamiento!$A$15</f>
        <v>Aula pedagógica</v>
      </c>
      <c r="C314" s="68"/>
      <c r="D314" s="78">
        <f>VLOOKUP(C314,Itinerario!$D$86:$W$116,18,FALSE)</f>
        <v>0</v>
      </c>
      <c r="E314" s="79">
        <f>VLOOKUP(C314,Itinerario!$D$86:$W$116,19,FALSE)</f>
        <v>0</v>
      </c>
      <c r="F314" s="79" t="e">
        <f>VLOOKUP(C314,Organización_Modular!$F$72:$G$102,2,FALSE)</f>
        <v>#N/A</v>
      </c>
    </row>
    <row r="315" spans="1:6" x14ac:dyDescent="0.2">
      <c r="A315" s="439"/>
      <c r="B315" s="440"/>
      <c r="C315" s="68"/>
      <c r="D315" s="78">
        <f>VLOOKUP(C315,Itinerario!$D$86:$W$116,18,FALSE)</f>
        <v>0</v>
      </c>
      <c r="E315" s="79">
        <f>VLOOKUP(C315,Itinerario!$D$86:$W$116,19,FALSE)</f>
        <v>0</v>
      </c>
      <c r="F315" s="79" t="e">
        <f>VLOOKUP(C315,Organización_Modular!$F$72:$G$102,2,FALSE)</f>
        <v>#N/A</v>
      </c>
    </row>
    <row r="316" spans="1:6" x14ac:dyDescent="0.2">
      <c r="A316" s="439"/>
      <c r="B316" s="440"/>
      <c r="C316" s="68"/>
      <c r="D316" s="78">
        <f>VLOOKUP(C316,Itinerario!$D$86:$W$116,18,FALSE)</f>
        <v>0</v>
      </c>
      <c r="E316" s="79">
        <f>VLOOKUP(C316,Itinerario!$D$86:$W$116,19,FALSE)</f>
        <v>0</v>
      </c>
      <c r="F316" s="79" t="e">
        <f>VLOOKUP(C316,Organización_Modular!$F$72:$G$102,2,FALSE)</f>
        <v>#N/A</v>
      </c>
    </row>
    <row r="317" spans="1:6" x14ac:dyDescent="0.2">
      <c r="A317" s="439"/>
      <c r="B317" s="440"/>
      <c r="C317" s="68"/>
      <c r="D317" s="78">
        <f>VLOOKUP(C317,Itinerario!$D$86:$W$116,18,FALSE)</f>
        <v>0</v>
      </c>
      <c r="E317" s="79">
        <f>VLOOKUP(C317,Itinerario!$D$86:$W$116,19,FALSE)</f>
        <v>0</v>
      </c>
      <c r="F317" s="79" t="e">
        <f>VLOOKUP(C317,Organización_Modular!$F$72:$G$102,2,FALSE)</f>
        <v>#N/A</v>
      </c>
    </row>
    <row r="318" spans="1:6" x14ac:dyDescent="0.2">
      <c r="A318" s="439"/>
      <c r="B318" s="440"/>
      <c r="C318" s="68"/>
      <c r="D318" s="78">
        <f>VLOOKUP(C318,Itinerario!$D$86:$W$116,18,FALSE)</f>
        <v>0</v>
      </c>
      <c r="E318" s="79">
        <f>VLOOKUP(C318,Itinerario!$D$86:$W$116,19,FALSE)</f>
        <v>0</v>
      </c>
      <c r="F318" s="79" t="e">
        <f>VLOOKUP(C318,Organización_Modular!$F$72:$G$102,2,FALSE)</f>
        <v>#N/A</v>
      </c>
    </row>
    <row r="319" spans="1:6" x14ac:dyDescent="0.2">
      <c r="A319" s="439"/>
      <c r="B319" s="440"/>
      <c r="C319" s="68"/>
      <c r="D319" s="78">
        <f>VLOOKUP(C319,Itinerario!$D$86:$W$116,18,FALSE)</f>
        <v>0</v>
      </c>
      <c r="E319" s="79">
        <f>VLOOKUP(C319,Itinerario!$D$86:$W$116,19,FALSE)</f>
        <v>0</v>
      </c>
      <c r="F319" s="79" t="e">
        <f>VLOOKUP(C319,Organización_Modular!$F$72:$G$102,2,FALSE)</f>
        <v>#N/A</v>
      </c>
    </row>
    <row r="320" spans="1:6" x14ac:dyDescent="0.2">
      <c r="A320" s="439"/>
      <c r="B320" s="440"/>
      <c r="C320" s="68"/>
      <c r="D320" s="78">
        <f>VLOOKUP(C320,Itinerario!$D$86:$W$116,18,FALSE)</f>
        <v>0</v>
      </c>
      <c r="E320" s="79">
        <f>VLOOKUP(C320,Itinerario!$D$86:$W$116,19,FALSE)</f>
        <v>0</v>
      </c>
      <c r="F320" s="79" t="e">
        <f>VLOOKUP(C320,Organización_Modular!$F$72:$G$102,2,FALSE)</f>
        <v>#N/A</v>
      </c>
    </row>
    <row r="321" spans="1:6" x14ac:dyDescent="0.2">
      <c r="A321" s="439"/>
      <c r="B321" s="440"/>
      <c r="C321" s="68"/>
      <c r="D321" s="78">
        <f>VLOOKUP(C321,Itinerario!$D$86:$W$116,18,FALSE)</f>
        <v>0</v>
      </c>
      <c r="E321" s="79">
        <f>VLOOKUP(C321,Itinerario!$D$86:$W$116,19,FALSE)</f>
        <v>0</v>
      </c>
      <c r="F321" s="79" t="e">
        <f>VLOOKUP(C321,Organización_Modular!$F$72:$G$102,2,FALSE)</f>
        <v>#N/A</v>
      </c>
    </row>
    <row r="322" spans="1:6" x14ac:dyDescent="0.2">
      <c r="A322" s="439"/>
      <c r="B322" s="440"/>
      <c r="C322" s="68"/>
      <c r="D322" s="78">
        <f>VLOOKUP(C322,Itinerario!$D$86:$W$116,18,FALSE)</f>
        <v>0</v>
      </c>
      <c r="E322" s="79">
        <f>VLOOKUP(C322,Itinerario!$D$86:$W$116,19,FALSE)</f>
        <v>0</v>
      </c>
      <c r="F322" s="79" t="e">
        <f>VLOOKUP(C322,Organización_Modular!$F$72:$G$102,2,FALSE)</f>
        <v>#N/A</v>
      </c>
    </row>
    <row r="323" spans="1:6" x14ac:dyDescent="0.2">
      <c r="A323" s="439"/>
      <c r="B323" s="440"/>
      <c r="C323" s="68"/>
      <c r="D323" s="78">
        <f>VLOOKUP(C323,Itinerario!$D$86:$W$116,18,FALSE)</f>
        <v>0</v>
      </c>
      <c r="E323" s="79">
        <f>VLOOKUP(C323,Itinerario!$D$86:$W$116,19,FALSE)</f>
        <v>0</v>
      </c>
      <c r="F323" s="79" t="e">
        <f>VLOOKUP(C323,Organización_Modular!$F$72:$G$102,2,FALSE)</f>
        <v>#N/A</v>
      </c>
    </row>
    <row r="324" spans="1:6" x14ac:dyDescent="0.2">
      <c r="A324" s="439"/>
      <c r="B324" s="440"/>
      <c r="C324" s="68"/>
      <c r="D324" s="78">
        <f>VLOOKUP(C324,Itinerario!$D$86:$W$116,18,FALSE)</f>
        <v>0</v>
      </c>
      <c r="E324" s="79">
        <f>VLOOKUP(C324,Itinerario!$D$86:$W$116,19,FALSE)</f>
        <v>0</v>
      </c>
      <c r="F324" s="79" t="e">
        <f>VLOOKUP(C324,Organización_Modular!$F$72:$G$102,2,FALSE)</f>
        <v>#N/A</v>
      </c>
    </row>
    <row r="325" spans="1:6" x14ac:dyDescent="0.2">
      <c r="A325" s="439"/>
      <c r="B325" s="440"/>
      <c r="C325" s="68"/>
      <c r="D325" s="78">
        <f>VLOOKUP(C325,Itinerario!$D$86:$W$116,18,FALSE)</f>
        <v>0</v>
      </c>
      <c r="E325" s="79">
        <f>VLOOKUP(C325,Itinerario!$D$86:$W$116,19,FALSE)</f>
        <v>0</v>
      </c>
      <c r="F325" s="79" t="e">
        <f>VLOOKUP(C325,Organización_Modular!$F$72:$G$102,2,FALSE)</f>
        <v>#N/A</v>
      </c>
    </row>
    <row r="326" spans="1:6" x14ac:dyDescent="0.2">
      <c r="A326" s="439"/>
      <c r="B326" s="440"/>
      <c r="C326" s="68"/>
      <c r="D326" s="78">
        <f>VLOOKUP(C326,Itinerario!$D$86:$W$116,18,FALSE)</f>
        <v>0</v>
      </c>
      <c r="E326" s="79">
        <f>VLOOKUP(C326,Itinerario!$D$86:$W$116,19,FALSE)</f>
        <v>0</v>
      </c>
      <c r="F326" s="79" t="e">
        <f>VLOOKUP(C326,Organización_Modular!$F$72:$G$102,2,FALSE)</f>
        <v>#N/A</v>
      </c>
    </row>
    <row r="327" spans="1:6" x14ac:dyDescent="0.2">
      <c r="A327" s="439"/>
      <c r="B327" s="440"/>
      <c r="C327" s="68"/>
      <c r="D327" s="78">
        <f>VLOOKUP(C327,Itinerario!$D$86:$W$116,18,FALSE)</f>
        <v>0</v>
      </c>
      <c r="E327" s="79">
        <f>VLOOKUP(C327,Itinerario!$D$86:$W$116,19,FALSE)</f>
        <v>0</v>
      </c>
      <c r="F327" s="79" t="e">
        <f>VLOOKUP(C327,Organización_Modular!$F$72:$G$102,2,FALSE)</f>
        <v>#N/A</v>
      </c>
    </row>
    <row r="328" spans="1:6" x14ac:dyDescent="0.2">
      <c r="A328" s="439"/>
      <c r="B328" s="440"/>
      <c r="C328" s="68"/>
      <c r="D328" s="78">
        <f>VLOOKUP(C328,Itinerario!$D$86:$W$116,18,FALSE)</f>
        <v>0</v>
      </c>
      <c r="E328" s="79">
        <f>VLOOKUP(C328,Itinerario!$D$86:$W$116,19,FALSE)</f>
        <v>0</v>
      </c>
      <c r="F328" s="79" t="e">
        <f>VLOOKUP(C328,Organización_Modular!$F$72:$G$102,2,FALSE)</f>
        <v>#N/A</v>
      </c>
    </row>
    <row r="329" spans="1:6" x14ac:dyDescent="0.2">
      <c r="A329" s="439"/>
      <c r="B329" s="440"/>
      <c r="C329" s="68"/>
      <c r="D329" s="78">
        <f>VLOOKUP(C329,Itinerario!$D$86:$W$116,18,FALSE)</f>
        <v>0</v>
      </c>
      <c r="E329" s="79">
        <f>VLOOKUP(C329,Itinerario!$D$86:$W$116,19,FALSE)</f>
        <v>0</v>
      </c>
      <c r="F329" s="79" t="e">
        <f>VLOOKUP(C329,Organización_Modular!$F$72:$G$102,2,FALSE)</f>
        <v>#N/A</v>
      </c>
    </row>
    <row r="330" spans="1:6" x14ac:dyDescent="0.2">
      <c r="A330" s="439"/>
      <c r="B330" s="440"/>
      <c r="C330" s="68"/>
      <c r="D330" s="78">
        <f>VLOOKUP(C330,Itinerario!$D$86:$W$116,18,FALSE)</f>
        <v>0</v>
      </c>
      <c r="E330" s="79">
        <f>VLOOKUP(C330,Itinerario!$D$86:$W$116,19,FALSE)</f>
        <v>0</v>
      </c>
      <c r="F330" s="79" t="e">
        <f>VLOOKUP(C330,Organización_Modular!$F$72:$G$102,2,FALSE)</f>
        <v>#N/A</v>
      </c>
    </row>
    <row r="331" spans="1:6" x14ac:dyDescent="0.2">
      <c r="A331" s="439"/>
      <c r="B331" s="440"/>
      <c r="C331" s="68"/>
      <c r="D331" s="78">
        <f>VLOOKUP(C331,Itinerario!$D$86:$W$116,18,FALSE)</f>
        <v>0</v>
      </c>
      <c r="E331" s="79">
        <f>VLOOKUP(C331,Itinerario!$D$86:$W$116,19,FALSE)</f>
        <v>0</v>
      </c>
      <c r="F331" s="79" t="e">
        <f>VLOOKUP(C331,Organización_Modular!$F$72:$G$102,2,FALSE)</f>
        <v>#N/A</v>
      </c>
    </row>
    <row r="332" spans="1:6" x14ac:dyDescent="0.2">
      <c r="A332" s="439"/>
      <c r="B332" s="440"/>
      <c r="C332" s="68"/>
      <c r="D332" s="78">
        <f>VLOOKUP(C332,Itinerario!$D$86:$W$116,18,FALSE)</f>
        <v>0</v>
      </c>
      <c r="E332" s="79">
        <f>VLOOKUP(C332,Itinerario!$D$86:$W$116,19,FALSE)</f>
        <v>0</v>
      </c>
      <c r="F332" s="79" t="e">
        <f>VLOOKUP(C332,Organización_Modular!$F$72:$G$102,2,FALSE)</f>
        <v>#N/A</v>
      </c>
    </row>
    <row r="333" spans="1:6" x14ac:dyDescent="0.2">
      <c r="A333" s="439"/>
      <c r="B333" s="440"/>
      <c r="C333" s="68"/>
      <c r="D333" s="78">
        <f>VLOOKUP(C333,Itinerario!$D$86:$W$116,18,FALSE)</f>
        <v>0</v>
      </c>
      <c r="E333" s="79">
        <f>VLOOKUP(C333,Itinerario!$D$86:$W$116,19,FALSE)</f>
        <v>0</v>
      </c>
      <c r="F333" s="79" t="e">
        <f>VLOOKUP(C333,Organización_Modular!$F$72:$G$102,2,FALSE)</f>
        <v>#N/A</v>
      </c>
    </row>
    <row r="334" spans="1:6" x14ac:dyDescent="0.2">
      <c r="A334" s="439"/>
      <c r="B334" s="440"/>
      <c r="C334" s="68"/>
      <c r="D334" s="78">
        <f>VLOOKUP(C334,Itinerario!$D$86:$W$116,18,FALSE)</f>
        <v>0</v>
      </c>
      <c r="E334" s="79">
        <f>VLOOKUP(C334,Itinerario!$D$86:$W$116,19,FALSE)</f>
        <v>0</v>
      </c>
      <c r="F334" s="79" t="e">
        <f>VLOOKUP(C334,Organización_Modular!$F$72:$G$102,2,FALSE)</f>
        <v>#N/A</v>
      </c>
    </row>
    <row r="335" spans="1:6" x14ac:dyDescent="0.2">
      <c r="A335" s="439"/>
      <c r="B335" s="440"/>
      <c r="C335" s="68"/>
      <c r="D335" s="78">
        <f>VLOOKUP(C335,Itinerario!$D$86:$W$116,18,FALSE)</f>
        <v>0</v>
      </c>
      <c r="E335" s="79">
        <f>VLOOKUP(C335,Itinerario!$D$86:$W$116,19,FALSE)</f>
        <v>0</v>
      </c>
      <c r="F335" s="79" t="e">
        <f>VLOOKUP(C335,Organización_Modular!$F$72:$G$102,2,FALSE)</f>
        <v>#N/A</v>
      </c>
    </row>
    <row r="336" spans="1:6" x14ac:dyDescent="0.2">
      <c r="A336" s="439"/>
      <c r="B336" s="440"/>
      <c r="C336" s="68"/>
      <c r="D336" s="78">
        <f>VLOOKUP(C336,Itinerario!$D$86:$W$116,18,FALSE)</f>
        <v>0</v>
      </c>
      <c r="E336" s="79">
        <f>VLOOKUP(C336,Itinerario!$D$86:$W$116,19,FALSE)</f>
        <v>0</v>
      </c>
      <c r="F336" s="79" t="e">
        <f>VLOOKUP(C336,Organización_Modular!$F$72:$G$102,2,FALSE)</f>
        <v>#N/A</v>
      </c>
    </row>
    <row r="337" spans="1:6" x14ac:dyDescent="0.2">
      <c r="A337" s="439"/>
      <c r="B337" s="440"/>
      <c r="C337" s="68"/>
      <c r="D337" s="78">
        <f>VLOOKUP(C337,Itinerario!$D$86:$W$116,18,FALSE)</f>
        <v>0</v>
      </c>
      <c r="E337" s="79">
        <f>VLOOKUP(C337,Itinerario!$D$86:$W$116,19,FALSE)</f>
        <v>0</v>
      </c>
      <c r="F337" s="79" t="e">
        <f>VLOOKUP(C337,Organización_Modular!$F$72:$G$102,2,FALSE)</f>
        <v>#N/A</v>
      </c>
    </row>
    <row r="338" spans="1:6" x14ac:dyDescent="0.2">
      <c r="A338" s="439"/>
      <c r="B338" s="440"/>
      <c r="C338" s="68"/>
      <c r="D338" s="78">
        <f>VLOOKUP(C338,Itinerario!$D$86:$W$116,18,FALSE)</f>
        <v>0</v>
      </c>
      <c r="E338" s="79">
        <f>VLOOKUP(C338,Itinerario!$D$86:$W$116,19,FALSE)</f>
        <v>0</v>
      </c>
      <c r="F338" s="79" t="e">
        <f>VLOOKUP(C338,Organización_Modular!$F$72:$G$102,2,FALSE)</f>
        <v>#N/A</v>
      </c>
    </row>
    <row r="339" spans="1:6" x14ac:dyDescent="0.2">
      <c r="A339" s="439"/>
      <c r="B339" s="440"/>
      <c r="C339" s="68"/>
      <c r="D339" s="78">
        <f>VLOOKUP(C339,Itinerario!$D$86:$W$116,18,FALSE)</f>
        <v>0</v>
      </c>
      <c r="E339" s="79">
        <f>VLOOKUP(C339,Itinerario!$D$86:$W$116,19,FALSE)</f>
        <v>0</v>
      </c>
      <c r="F339" s="79" t="e">
        <f>VLOOKUP(C339,Organización_Modular!$F$72:$G$102,2,FALSE)</f>
        <v>#N/A</v>
      </c>
    </row>
    <row r="340" spans="1:6" x14ac:dyDescent="0.2">
      <c r="A340" s="439"/>
      <c r="B340" s="440"/>
      <c r="C340" s="68"/>
      <c r="D340" s="78">
        <f>VLOOKUP(C340,Itinerario!$D$86:$W$116,18,FALSE)</f>
        <v>0</v>
      </c>
      <c r="E340" s="79">
        <f>VLOOKUP(C340,Itinerario!$D$86:$W$116,19,FALSE)</f>
        <v>0</v>
      </c>
      <c r="F340" s="79" t="e">
        <f>VLOOKUP(C340,Organización_Modular!$F$72:$G$102,2,FALSE)</f>
        <v>#N/A</v>
      </c>
    </row>
    <row r="341" spans="1:6" x14ac:dyDescent="0.2">
      <c r="A341" s="439"/>
      <c r="B341" s="440"/>
      <c r="C341" s="68"/>
      <c r="D341" s="78">
        <f>VLOOKUP(C341,Itinerario!$D$86:$W$116,18,FALSE)</f>
        <v>0</v>
      </c>
      <c r="E341" s="79">
        <f>VLOOKUP(C341,Itinerario!$D$86:$W$116,19,FALSE)</f>
        <v>0</v>
      </c>
      <c r="F341" s="79" t="e">
        <f>VLOOKUP(C341,Organización_Modular!$F$72:$G$102,2,FALSE)</f>
        <v>#N/A</v>
      </c>
    </row>
    <row r="342" spans="1:6" x14ac:dyDescent="0.2">
      <c r="A342" s="439"/>
      <c r="B342" s="440"/>
      <c r="C342" s="68"/>
      <c r="D342" s="78">
        <f>VLOOKUP(C342,Itinerario!$D$86:$W$116,18,FALSE)</f>
        <v>0</v>
      </c>
      <c r="E342" s="79">
        <f>VLOOKUP(C342,Itinerario!$D$86:$W$116,19,FALSE)</f>
        <v>0</v>
      </c>
      <c r="F342" s="79" t="e">
        <f>VLOOKUP(C342,Organización_Modular!$F$72:$G$102,2,FALSE)</f>
        <v>#N/A</v>
      </c>
    </row>
    <row r="343" spans="1:6" x14ac:dyDescent="0.2">
      <c r="A343" s="439"/>
      <c r="B343" s="440"/>
      <c r="C343" s="68"/>
      <c r="D343" s="78">
        <f>VLOOKUP(C343,Itinerario!$D$86:$W$116,18,FALSE)</f>
        <v>0</v>
      </c>
      <c r="E343" s="79">
        <f>VLOOKUP(C343,Itinerario!$D$86:$W$116,19,FALSE)</f>
        <v>0</v>
      </c>
      <c r="F343" s="79" t="e">
        <f>VLOOKUP(C343,Organización_Modular!$F$72:$G$102,2,FALSE)</f>
        <v>#N/A</v>
      </c>
    </row>
    <row r="344" spans="1:6" x14ac:dyDescent="0.2">
      <c r="A344" s="439"/>
      <c r="B344" s="440"/>
      <c r="C344" s="68"/>
      <c r="D344" s="78">
        <f>VLOOKUP(C344,Itinerario!$D$86:$W$116,18,FALSE)</f>
        <v>0</v>
      </c>
      <c r="E344" s="79">
        <f>VLOOKUP(C344,Itinerario!$D$86:$W$116,19,FALSE)</f>
        <v>0</v>
      </c>
      <c r="F344" s="79" t="e">
        <f>VLOOKUP(C344,Organización_Modular!$F$72:$G$102,2,FALSE)</f>
        <v>#N/A</v>
      </c>
    </row>
    <row r="345" spans="1:6" x14ac:dyDescent="0.2">
      <c r="A345" s="439"/>
      <c r="B345" s="440"/>
      <c r="C345" s="68"/>
      <c r="D345" s="78">
        <f>VLOOKUP(C345,Itinerario!$D$86:$W$116,18,FALSE)</f>
        <v>0</v>
      </c>
      <c r="E345" s="79">
        <f>VLOOKUP(C345,Itinerario!$D$86:$W$116,19,FALSE)</f>
        <v>0</v>
      </c>
      <c r="F345" s="79" t="e">
        <f>VLOOKUP(C345,Organización_Modular!$F$72:$G$102,2,FALSE)</f>
        <v>#N/A</v>
      </c>
    </row>
    <row r="346" spans="1:6" x14ac:dyDescent="0.2">
      <c r="A346" s="439"/>
      <c r="B346" s="440"/>
      <c r="C346" s="68"/>
      <c r="D346" s="78">
        <f>VLOOKUP(C346,Itinerario!$D$86:$W$116,18,FALSE)</f>
        <v>0</v>
      </c>
      <c r="E346" s="79">
        <f>VLOOKUP(C346,Itinerario!$D$86:$W$116,19,FALSE)</f>
        <v>0</v>
      </c>
      <c r="F346" s="79" t="e">
        <f>VLOOKUP(C346,Organización_Modular!$F$72:$G$102,2,FALSE)</f>
        <v>#N/A</v>
      </c>
    </row>
    <row r="347" spans="1:6" x14ac:dyDescent="0.2">
      <c r="A347" s="439"/>
      <c r="B347" s="440"/>
      <c r="C347" s="68"/>
      <c r="D347" s="78">
        <f>VLOOKUP(C347,Itinerario!$D$86:$W$116,18,FALSE)</f>
        <v>0</v>
      </c>
      <c r="E347" s="79">
        <f>VLOOKUP(C347,Itinerario!$D$86:$W$116,19,FALSE)</f>
        <v>0</v>
      </c>
      <c r="F347" s="79" t="e">
        <f>VLOOKUP(C347,Organización_Modular!$F$72:$G$102,2,FALSE)</f>
        <v>#N/A</v>
      </c>
    </row>
    <row r="348" spans="1:6" x14ac:dyDescent="0.2">
      <c r="A348" s="439"/>
      <c r="B348" s="440"/>
      <c r="C348" s="68"/>
      <c r="D348" s="78">
        <f>VLOOKUP(C348,Itinerario!$D$86:$W$116,18,FALSE)</f>
        <v>0</v>
      </c>
      <c r="E348" s="79">
        <f>VLOOKUP(C348,Itinerario!$D$86:$W$116,19,FALSE)</f>
        <v>0</v>
      </c>
      <c r="F348" s="79" t="e">
        <f>VLOOKUP(C348,Organización_Modular!$F$72:$G$102,2,FALSE)</f>
        <v>#N/A</v>
      </c>
    </row>
    <row r="349" spans="1:6" x14ac:dyDescent="0.2">
      <c r="A349" s="439"/>
      <c r="B349" s="440"/>
      <c r="C349" s="68"/>
      <c r="D349" s="78">
        <f>VLOOKUP(C349,Itinerario!$D$86:$W$116,18,FALSE)</f>
        <v>0</v>
      </c>
      <c r="E349" s="79">
        <f>VLOOKUP(C349,Itinerario!$D$86:$W$116,19,FALSE)</f>
        <v>0</v>
      </c>
      <c r="F349" s="79" t="e">
        <f>VLOOKUP(C349,Organización_Modular!$F$72:$G$102,2,FALSE)</f>
        <v>#N/A</v>
      </c>
    </row>
    <row r="350" spans="1:6" x14ac:dyDescent="0.2">
      <c r="A350" s="439"/>
      <c r="B350" s="440"/>
      <c r="C350" s="68"/>
      <c r="D350" s="78">
        <f>VLOOKUP(C350,Itinerario!$D$86:$W$116,18,FALSE)</f>
        <v>0</v>
      </c>
      <c r="E350" s="79">
        <f>VLOOKUP(C350,Itinerario!$D$86:$W$116,19,FALSE)</f>
        <v>0</v>
      </c>
      <c r="F350" s="79" t="e">
        <f>VLOOKUP(C350,Organización_Modular!$F$72:$G$102,2,FALSE)</f>
        <v>#N/A</v>
      </c>
    </row>
    <row r="351" spans="1:6" x14ac:dyDescent="0.2">
      <c r="A351" s="439"/>
      <c r="B351" s="440"/>
      <c r="C351" s="68"/>
      <c r="D351" s="78">
        <f>VLOOKUP(C351,Itinerario!$D$86:$W$116,18,FALSE)</f>
        <v>0</v>
      </c>
      <c r="E351" s="79">
        <f>VLOOKUP(C351,Itinerario!$D$86:$W$116,19,FALSE)</f>
        <v>0</v>
      </c>
      <c r="F351" s="79" t="e">
        <f>VLOOKUP(C351,Organización_Modular!$F$72:$G$102,2,FALSE)</f>
        <v>#N/A</v>
      </c>
    </row>
    <row r="352" spans="1:6" x14ac:dyDescent="0.2">
      <c r="A352" s="439"/>
      <c r="B352" s="440"/>
      <c r="C352" s="68"/>
      <c r="D352" s="78">
        <f>VLOOKUP(C352,Itinerario!$D$86:$W$116,18,FALSE)</f>
        <v>0</v>
      </c>
      <c r="E352" s="79">
        <f>VLOOKUP(C352,Itinerario!$D$86:$W$116,19,FALSE)</f>
        <v>0</v>
      </c>
      <c r="F352" s="79" t="e">
        <f>VLOOKUP(C352,Organización_Modular!$F$72:$G$102,2,FALSE)</f>
        <v>#N/A</v>
      </c>
    </row>
    <row r="353" spans="1:6" x14ac:dyDescent="0.2">
      <c r="A353" s="439"/>
      <c r="B353" s="440"/>
      <c r="C353" s="68"/>
      <c r="D353" s="78">
        <f>VLOOKUP(C353,Itinerario!$D$86:$W$116,18,FALSE)</f>
        <v>0</v>
      </c>
      <c r="E353" s="79">
        <f>VLOOKUP(C353,Itinerario!$D$86:$W$116,19,FALSE)</f>
        <v>0</v>
      </c>
      <c r="F353" s="79" t="e">
        <f>VLOOKUP(C353,Organización_Modular!$F$72:$G$102,2,FALSE)</f>
        <v>#N/A</v>
      </c>
    </row>
    <row r="354" spans="1:6" x14ac:dyDescent="0.2">
      <c r="A354" s="439"/>
      <c r="B354" s="440"/>
      <c r="C354" s="68"/>
      <c r="D354" s="78">
        <f>VLOOKUP(C354,Itinerario!$D$86:$W$116,18,FALSE)</f>
        <v>0</v>
      </c>
      <c r="E354" s="79">
        <f>VLOOKUP(C354,Itinerario!$D$86:$W$116,19,FALSE)</f>
        <v>0</v>
      </c>
      <c r="F354" s="79" t="e">
        <f>VLOOKUP(C354,Organización_Modular!$F$72:$G$102,2,FALSE)</f>
        <v>#N/A</v>
      </c>
    </row>
    <row r="355" spans="1:6" x14ac:dyDescent="0.2">
      <c r="A355" s="439"/>
      <c r="B355" s="440"/>
      <c r="C355" s="68"/>
      <c r="D355" s="78">
        <f>VLOOKUP(C355,Itinerario!$D$86:$W$116,18,FALSE)</f>
        <v>0</v>
      </c>
      <c r="E355" s="79">
        <f>VLOOKUP(C355,Itinerario!$D$86:$W$116,19,FALSE)</f>
        <v>0</v>
      </c>
      <c r="F355" s="79" t="e">
        <f>VLOOKUP(C355,Organización_Modular!$F$72:$G$102,2,FALSE)</f>
        <v>#N/A</v>
      </c>
    </row>
    <row r="356" spans="1:6" x14ac:dyDescent="0.2">
      <c r="A356" s="439"/>
      <c r="B356" s="440"/>
      <c r="C356" s="68"/>
      <c r="D356" s="78">
        <f>VLOOKUP(C356,Itinerario!$D$86:$W$116,18,FALSE)</f>
        <v>0</v>
      </c>
      <c r="E356" s="79">
        <f>VLOOKUP(C356,Itinerario!$D$86:$W$116,19,FALSE)</f>
        <v>0</v>
      </c>
      <c r="F356" s="79" t="e">
        <f>VLOOKUP(C356,Organización_Modular!$F$72:$G$102,2,FALSE)</f>
        <v>#N/A</v>
      </c>
    </row>
    <row r="357" spans="1:6" x14ac:dyDescent="0.2">
      <c r="A357" s="439"/>
      <c r="B357" s="440"/>
      <c r="C357" s="68"/>
      <c r="D357" s="78">
        <f>VLOOKUP(C357,Itinerario!$D$86:$W$116,18,FALSE)</f>
        <v>0</v>
      </c>
      <c r="E357" s="79">
        <f>VLOOKUP(C357,Itinerario!$D$86:$W$116,19,FALSE)</f>
        <v>0</v>
      </c>
      <c r="F357" s="79" t="e">
        <f>VLOOKUP(C357,Organización_Modular!$F$72:$G$102,2,FALSE)</f>
        <v>#N/A</v>
      </c>
    </row>
    <row r="358" spans="1:6" x14ac:dyDescent="0.2">
      <c r="A358" s="439"/>
      <c r="B358" s="440"/>
      <c r="C358" s="68"/>
      <c r="D358" s="78">
        <f>VLOOKUP(C358,Itinerario!$D$86:$W$116,18,FALSE)</f>
        <v>0</v>
      </c>
      <c r="E358" s="79">
        <f>VLOOKUP(C358,Itinerario!$D$86:$W$116,19,FALSE)</f>
        <v>0</v>
      </c>
      <c r="F358" s="79" t="e">
        <f>VLOOKUP(C358,Organización_Modular!$F$72:$G$102,2,FALSE)</f>
        <v>#N/A</v>
      </c>
    </row>
    <row r="359" spans="1:6" x14ac:dyDescent="0.2">
      <c r="A359" s="439"/>
      <c r="B359" s="440"/>
      <c r="C359" s="68"/>
      <c r="D359" s="78">
        <f>VLOOKUP(C359,Itinerario!$D$86:$W$116,18,FALSE)</f>
        <v>0</v>
      </c>
      <c r="E359" s="79">
        <f>VLOOKUP(C359,Itinerario!$D$86:$W$116,19,FALSE)</f>
        <v>0</v>
      </c>
      <c r="F359" s="79" t="e">
        <f>VLOOKUP(C359,Organización_Modular!$F$72:$G$102,2,FALSE)</f>
        <v>#N/A</v>
      </c>
    </row>
    <row r="360" spans="1:6" x14ac:dyDescent="0.2">
      <c r="A360" s="439"/>
      <c r="B360" s="440"/>
      <c r="C360" s="68"/>
      <c r="D360" s="78">
        <f>VLOOKUP(C360,Itinerario!$D$86:$W$116,18,FALSE)</f>
        <v>0</v>
      </c>
      <c r="E360" s="79">
        <f>VLOOKUP(C360,Itinerario!$D$86:$W$116,19,FALSE)</f>
        <v>0</v>
      </c>
      <c r="F360" s="79" t="e">
        <f>VLOOKUP(C360,Organización_Modular!$F$72:$G$102,2,FALSE)</f>
        <v>#N/A</v>
      </c>
    </row>
    <row r="361" spans="1:6" x14ac:dyDescent="0.2">
      <c r="A361" s="439"/>
      <c r="B361" s="440"/>
      <c r="C361" s="68"/>
      <c r="D361" s="78">
        <f>VLOOKUP(C361,Itinerario!$D$86:$W$116,18,FALSE)</f>
        <v>0</v>
      </c>
      <c r="E361" s="79">
        <f>VLOOKUP(C361,Itinerario!$D$86:$W$116,19,FALSE)</f>
        <v>0</v>
      </c>
      <c r="F361" s="79" t="e">
        <f>VLOOKUP(C361,Organización_Modular!$F$72:$G$102,2,FALSE)</f>
        <v>#N/A</v>
      </c>
    </row>
    <row r="362" spans="1:6" x14ac:dyDescent="0.2">
      <c r="A362" s="439"/>
      <c r="B362" s="440"/>
      <c r="C362" s="68"/>
      <c r="D362" s="78">
        <f>VLOOKUP(C362,Itinerario!$D$86:$W$116,18,FALSE)</f>
        <v>0</v>
      </c>
      <c r="E362" s="79">
        <f>VLOOKUP(C362,Itinerario!$D$86:$W$116,19,FALSE)</f>
        <v>0</v>
      </c>
      <c r="F362" s="79" t="e">
        <f>VLOOKUP(C362,Organización_Modular!$F$72:$G$102,2,FALSE)</f>
        <v>#N/A</v>
      </c>
    </row>
    <row r="363" spans="1:6" x14ac:dyDescent="0.2">
      <c r="A363" s="439"/>
      <c r="B363" s="440"/>
      <c r="C363" s="68"/>
      <c r="D363" s="78">
        <f>VLOOKUP(C363,Itinerario!$D$86:$W$116,18,FALSE)</f>
        <v>0</v>
      </c>
      <c r="E363" s="79">
        <f>VLOOKUP(C363,Itinerario!$D$86:$W$116,19,FALSE)</f>
        <v>0</v>
      </c>
      <c r="F363" s="79" t="e">
        <f>VLOOKUP(C363,Organización_Modular!$F$72:$G$102,2,FALSE)</f>
        <v>#N/A</v>
      </c>
    </row>
    <row r="364" spans="1:6" x14ac:dyDescent="0.2">
      <c r="A364" s="439"/>
      <c r="B364" s="440"/>
      <c r="C364" s="68"/>
      <c r="D364" s="78">
        <f>VLOOKUP(C364,Itinerario!$D$86:$W$116,18,FALSE)</f>
        <v>0</v>
      </c>
      <c r="E364" s="79">
        <f>VLOOKUP(C364,Itinerario!$D$86:$W$116,19,FALSE)</f>
        <v>0</v>
      </c>
      <c r="F364" s="79" t="e">
        <f>VLOOKUP(C364,Organización_Modular!$F$72:$G$102,2,FALSE)</f>
        <v>#N/A</v>
      </c>
    </row>
    <row r="365" spans="1:6" x14ac:dyDescent="0.2">
      <c r="A365" s="439"/>
      <c r="B365" s="440"/>
      <c r="C365" s="68"/>
      <c r="D365" s="78">
        <f>VLOOKUP(C365,Itinerario!$D$86:$W$116,18,FALSE)</f>
        <v>0</v>
      </c>
      <c r="E365" s="79">
        <f>VLOOKUP(C365,Itinerario!$D$86:$W$116,19,FALSE)</f>
        <v>0</v>
      </c>
      <c r="F365" s="79" t="e">
        <f>VLOOKUP(C365,Organización_Modular!$F$72:$G$102,2,FALSE)</f>
        <v>#N/A</v>
      </c>
    </row>
    <row r="366" spans="1:6" x14ac:dyDescent="0.2">
      <c r="A366" s="439"/>
      <c r="B366" s="440"/>
      <c r="C366" s="68"/>
      <c r="D366" s="78">
        <f>VLOOKUP(C366,Itinerario!$D$86:$W$116,18,FALSE)</f>
        <v>0</v>
      </c>
      <c r="E366" s="79">
        <f>VLOOKUP(C366,Itinerario!$D$86:$W$116,19,FALSE)</f>
        <v>0</v>
      </c>
      <c r="F366" s="79" t="e">
        <f>VLOOKUP(C366,Organización_Modular!$F$72:$G$102,2,FALSE)</f>
        <v>#N/A</v>
      </c>
    </row>
    <row r="367" spans="1:6" x14ac:dyDescent="0.2">
      <c r="A367" s="439"/>
      <c r="B367" s="440"/>
      <c r="C367" s="68"/>
      <c r="D367" s="78">
        <f>VLOOKUP(C367,Itinerario!$D$86:$W$116,18,FALSE)</f>
        <v>0</v>
      </c>
      <c r="E367" s="79">
        <f>VLOOKUP(C367,Itinerario!$D$86:$W$116,19,FALSE)</f>
        <v>0</v>
      </c>
      <c r="F367" s="79" t="e">
        <f>VLOOKUP(C367,Organización_Modular!$F$72:$G$102,2,FALSE)</f>
        <v>#N/A</v>
      </c>
    </row>
    <row r="368" spans="1:6" x14ac:dyDescent="0.2">
      <c r="A368" s="439"/>
      <c r="B368" s="440"/>
      <c r="C368" s="68"/>
      <c r="D368" s="78">
        <f>VLOOKUP(C368,Itinerario!$D$86:$W$116,18,FALSE)</f>
        <v>0</v>
      </c>
      <c r="E368" s="79">
        <f>VLOOKUP(C368,Itinerario!$D$86:$W$116,19,FALSE)</f>
        <v>0</v>
      </c>
      <c r="F368" s="79" t="e">
        <f>VLOOKUP(C368,Organización_Modular!$F$72:$G$102,2,FALSE)</f>
        <v>#N/A</v>
      </c>
    </row>
    <row r="369" spans="1:6" x14ac:dyDescent="0.2">
      <c r="A369" s="439"/>
      <c r="B369" s="440"/>
      <c r="C369" s="68"/>
      <c r="D369" s="78">
        <f>VLOOKUP(C369,Itinerario!$D$86:$W$116,18,FALSE)</f>
        <v>0</v>
      </c>
      <c r="E369" s="79">
        <f>VLOOKUP(C369,Itinerario!$D$86:$W$116,19,FALSE)</f>
        <v>0</v>
      </c>
      <c r="F369" s="79" t="e">
        <f>VLOOKUP(C369,Organización_Modular!$F$72:$G$102,2,FALSE)</f>
        <v>#N/A</v>
      </c>
    </row>
    <row r="370" spans="1:6" x14ac:dyDescent="0.2">
      <c r="A370" s="439"/>
      <c r="B370" s="440"/>
      <c r="C370" s="68"/>
      <c r="D370" s="78">
        <f>VLOOKUP(C370,Itinerario!$D$86:$W$116,18,FALSE)</f>
        <v>0</v>
      </c>
      <c r="E370" s="79">
        <f>VLOOKUP(C370,Itinerario!$D$86:$W$116,19,FALSE)</f>
        <v>0</v>
      </c>
      <c r="F370" s="79" t="e">
        <f>VLOOKUP(C370,Organización_Modular!$F$72:$G$102,2,FALSE)</f>
        <v>#N/A</v>
      </c>
    </row>
    <row r="371" spans="1:6" x14ac:dyDescent="0.2">
      <c r="A371" s="439"/>
      <c r="B371" s="440"/>
      <c r="C371" s="68"/>
      <c r="D371" s="78">
        <f>VLOOKUP(C371,Itinerario!$D$86:$W$116,18,FALSE)</f>
        <v>0</v>
      </c>
      <c r="E371" s="79">
        <f>VLOOKUP(C371,Itinerario!$D$86:$W$116,19,FALSE)</f>
        <v>0</v>
      </c>
      <c r="F371" s="79" t="e">
        <f>VLOOKUP(C371,Organización_Modular!$F$72:$G$102,2,FALSE)</f>
        <v>#N/A</v>
      </c>
    </row>
    <row r="372" spans="1:6" x14ac:dyDescent="0.2">
      <c r="A372" s="439"/>
      <c r="B372" s="440"/>
      <c r="C372" s="68"/>
      <c r="D372" s="78">
        <f>VLOOKUP(C372,Itinerario!$D$86:$W$116,18,FALSE)</f>
        <v>0</v>
      </c>
      <c r="E372" s="79">
        <f>VLOOKUP(C372,Itinerario!$D$86:$W$116,19,FALSE)</f>
        <v>0</v>
      </c>
      <c r="F372" s="79" t="e">
        <f>VLOOKUP(C372,Organización_Modular!$F$72:$G$102,2,FALSE)</f>
        <v>#N/A</v>
      </c>
    </row>
    <row r="373" spans="1:6" x14ac:dyDescent="0.2">
      <c r="A373" s="439"/>
      <c r="B373" s="440"/>
      <c r="C373" s="68"/>
      <c r="D373" s="78">
        <f>VLOOKUP(C373,Itinerario!$D$86:$W$116,18,FALSE)</f>
        <v>0</v>
      </c>
      <c r="E373" s="79">
        <f>VLOOKUP(C373,Itinerario!$D$86:$W$116,19,FALSE)</f>
        <v>0</v>
      </c>
      <c r="F373" s="79" t="e">
        <f>VLOOKUP(C373,Organización_Modular!$F$72:$G$102,2,FALSE)</f>
        <v>#N/A</v>
      </c>
    </row>
    <row r="374" spans="1:6" x14ac:dyDescent="0.2">
      <c r="A374" s="439"/>
      <c r="B374" s="440"/>
      <c r="C374" s="68"/>
      <c r="D374" s="78">
        <f>VLOOKUP(C374,Itinerario!$D$86:$W$116,18,FALSE)</f>
        <v>0</v>
      </c>
      <c r="E374" s="79">
        <f>VLOOKUP(C374,Itinerario!$D$86:$W$116,19,FALSE)</f>
        <v>0</v>
      </c>
      <c r="F374" s="79" t="e">
        <f>VLOOKUP(C374,Organización_Modular!$F$72:$G$102,2,FALSE)</f>
        <v>#N/A</v>
      </c>
    </row>
    <row r="375" spans="1:6" x14ac:dyDescent="0.2">
      <c r="A375" s="439"/>
      <c r="B375" s="440"/>
      <c r="C375" s="68"/>
      <c r="D375" s="78">
        <f>VLOOKUP(C375,Itinerario!$D$86:$W$116,18,FALSE)</f>
        <v>0</v>
      </c>
      <c r="E375" s="79">
        <f>VLOOKUP(C375,Itinerario!$D$86:$W$116,19,FALSE)</f>
        <v>0</v>
      </c>
      <c r="F375" s="79" t="e">
        <f>VLOOKUP(C375,Organización_Modular!$F$72:$G$102,2,FALSE)</f>
        <v>#N/A</v>
      </c>
    </row>
    <row r="376" spans="1:6" x14ac:dyDescent="0.2">
      <c r="A376" s="439"/>
      <c r="B376" s="440"/>
      <c r="C376" s="68"/>
      <c r="D376" s="78">
        <f>VLOOKUP(C376,Itinerario!$D$86:$W$116,18,FALSE)</f>
        <v>0</v>
      </c>
      <c r="E376" s="79">
        <f>VLOOKUP(C376,Itinerario!$D$86:$W$116,19,FALSE)</f>
        <v>0</v>
      </c>
      <c r="F376" s="79" t="e">
        <f>VLOOKUP(C376,Organización_Modular!$F$72:$G$102,2,FALSE)</f>
        <v>#N/A</v>
      </c>
    </row>
    <row r="377" spans="1:6" x14ac:dyDescent="0.2">
      <c r="A377" s="439"/>
      <c r="B377" s="440"/>
      <c r="C377" s="68"/>
      <c r="D377" s="78">
        <f>VLOOKUP(C377,Itinerario!$D$86:$W$116,18,FALSE)</f>
        <v>0</v>
      </c>
      <c r="E377" s="79">
        <f>VLOOKUP(C377,Itinerario!$D$86:$W$116,19,FALSE)</f>
        <v>0</v>
      </c>
      <c r="F377" s="79" t="e">
        <f>VLOOKUP(C377,Organización_Modular!$F$72:$G$102,2,FALSE)</f>
        <v>#N/A</v>
      </c>
    </row>
    <row r="378" spans="1:6" x14ac:dyDescent="0.2">
      <c r="A378" s="439"/>
      <c r="B378" s="440"/>
      <c r="C378" s="68"/>
      <c r="D378" s="78">
        <f>VLOOKUP(C378,Itinerario!$D$86:$W$116,18,FALSE)</f>
        <v>0</v>
      </c>
      <c r="E378" s="79">
        <f>VLOOKUP(C378,Itinerario!$D$86:$W$116,19,FALSE)</f>
        <v>0</v>
      </c>
      <c r="F378" s="79" t="e">
        <f>VLOOKUP(C378,Organización_Modular!$F$72:$G$102,2,FALSE)</f>
        <v>#N/A</v>
      </c>
    </row>
    <row r="379" spans="1:6" x14ac:dyDescent="0.2">
      <c r="A379" s="439"/>
      <c r="B379" s="440"/>
      <c r="C379" s="68"/>
      <c r="D379" s="78">
        <f>VLOOKUP(C379,Itinerario!$D$86:$W$116,18,FALSE)</f>
        <v>0</v>
      </c>
      <c r="E379" s="79">
        <f>VLOOKUP(C379,Itinerario!$D$86:$W$116,19,FALSE)</f>
        <v>0</v>
      </c>
      <c r="F379" s="79" t="e">
        <f>VLOOKUP(C379,Organización_Modular!$F$72:$G$102,2,FALSE)</f>
        <v>#N/A</v>
      </c>
    </row>
    <row r="380" spans="1:6" x14ac:dyDescent="0.2">
      <c r="A380" s="439"/>
      <c r="B380" s="440"/>
      <c r="C380" s="68"/>
      <c r="D380" s="78">
        <f>VLOOKUP(C380,Itinerario!$D$86:$W$116,18,FALSE)</f>
        <v>0</v>
      </c>
      <c r="E380" s="79">
        <f>VLOOKUP(C380,Itinerario!$D$86:$W$116,19,FALSE)</f>
        <v>0</v>
      </c>
      <c r="F380" s="79" t="e">
        <f>VLOOKUP(C380,Organización_Modular!$F$72:$G$102,2,FALSE)</f>
        <v>#N/A</v>
      </c>
    </row>
    <row r="381" spans="1:6" x14ac:dyDescent="0.2">
      <c r="A381" s="439"/>
      <c r="B381" s="440"/>
      <c r="C381" s="68"/>
      <c r="D381" s="78">
        <f>VLOOKUP(C381,Itinerario!$D$86:$W$116,18,FALSE)</f>
        <v>0</v>
      </c>
      <c r="E381" s="79">
        <f>VLOOKUP(C381,Itinerario!$D$86:$W$116,19,FALSE)</f>
        <v>0</v>
      </c>
      <c r="F381" s="79" t="e">
        <f>VLOOKUP(C381,Organización_Modular!$F$72:$G$102,2,FALSE)</f>
        <v>#N/A</v>
      </c>
    </row>
    <row r="382" spans="1:6" x14ac:dyDescent="0.2">
      <c r="A382" s="439"/>
      <c r="B382" s="440"/>
      <c r="C382" s="68"/>
      <c r="D382" s="78">
        <f>VLOOKUP(C382,Itinerario!$D$86:$W$116,18,FALSE)</f>
        <v>0</v>
      </c>
      <c r="E382" s="79">
        <f>VLOOKUP(C382,Itinerario!$D$86:$W$116,19,FALSE)</f>
        <v>0</v>
      </c>
      <c r="F382" s="79" t="e">
        <f>VLOOKUP(C382,Organización_Modular!$F$72:$G$102,2,FALSE)</f>
        <v>#N/A</v>
      </c>
    </row>
    <row r="383" spans="1:6" x14ac:dyDescent="0.2">
      <c r="A383" s="439"/>
      <c r="B383" s="440"/>
      <c r="C383" s="68"/>
      <c r="D383" s="78">
        <f>VLOOKUP(C383,Itinerario!$D$86:$W$116,18,FALSE)</f>
        <v>0</v>
      </c>
      <c r="E383" s="79">
        <f>VLOOKUP(C383,Itinerario!$D$86:$W$116,19,FALSE)</f>
        <v>0</v>
      </c>
      <c r="F383" s="79" t="e">
        <f>VLOOKUP(C383,Organización_Modular!$F$72:$G$102,2,FALSE)</f>
        <v>#N/A</v>
      </c>
    </row>
    <row r="384" spans="1:6" x14ac:dyDescent="0.2">
      <c r="A384" s="439"/>
      <c r="B384" s="440"/>
      <c r="C384" s="68"/>
      <c r="D384" s="78">
        <f>VLOOKUP(C384,Itinerario!$D$86:$W$116,18,FALSE)</f>
        <v>0</v>
      </c>
      <c r="E384" s="79">
        <f>VLOOKUP(C384,Itinerario!$D$86:$W$116,19,FALSE)</f>
        <v>0</v>
      </c>
      <c r="F384" s="79" t="e">
        <f>VLOOKUP(C384,Organización_Modular!$F$72:$G$102,2,FALSE)</f>
        <v>#N/A</v>
      </c>
    </row>
    <row r="385" spans="1:6" x14ac:dyDescent="0.2">
      <c r="A385" s="439"/>
      <c r="B385" s="440"/>
      <c r="C385" s="68"/>
      <c r="D385" s="78">
        <f>VLOOKUP(C385,Itinerario!$D$86:$W$116,18,FALSE)</f>
        <v>0</v>
      </c>
      <c r="E385" s="79">
        <f>VLOOKUP(C385,Itinerario!$D$86:$W$116,19,FALSE)</f>
        <v>0</v>
      </c>
      <c r="F385" s="79" t="e">
        <f>VLOOKUP(C385,Organización_Modular!$F$72:$G$102,2,FALSE)</f>
        <v>#N/A</v>
      </c>
    </row>
    <row r="386" spans="1:6" x14ac:dyDescent="0.2">
      <c r="A386" s="439"/>
      <c r="B386" s="440"/>
      <c r="C386" s="68"/>
      <c r="D386" s="78">
        <f>VLOOKUP(C386,Itinerario!$D$86:$W$116,18,FALSE)</f>
        <v>0</v>
      </c>
      <c r="E386" s="79">
        <f>VLOOKUP(C386,Itinerario!$D$86:$W$116,19,FALSE)</f>
        <v>0</v>
      </c>
      <c r="F386" s="79" t="e">
        <f>VLOOKUP(C386,Organización_Modular!$F$72:$G$102,2,FALSE)</f>
        <v>#N/A</v>
      </c>
    </row>
    <row r="387" spans="1:6" x14ac:dyDescent="0.2">
      <c r="A387" s="439"/>
      <c r="B387" s="440"/>
      <c r="C387" s="68"/>
      <c r="D387" s="78">
        <f>VLOOKUP(C387,Itinerario!$D$86:$W$116,18,FALSE)</f>
        <v>0</v>
      </c>
      <c r="E387" s="79">
        <f>VLOOKUP(C387,Itinerario!$D$86:$W$116,19,FALSE)</f>
        <v>0</v>
      </c>
      <c r="F387" s="79" t="e">
        <f>VLOOKUP(C387,Organización_Modular!$F$72:$G$102,2,FALSE)</f>
        <v>#N/A</v>
      </c>
    </row>
    <row r="388" spans="1:6" x14ac:dyDescent="0.2">
      <c r="A388" s="439"/>
      <c r="B388" s="440"/>
      <c r="C388" s="68"/>
      <c r="D388" s="78">
        <f>VLOOKUP(C388,Itinerario!$D$86:$W$116,18,FALSE)</f>
        <v>0</v>
      </c>
      <c r="E388" s="79">
        <f>VLOOKUP(C388,Itinerario!$D$86:$W$116,19,FALSE)</f>
        <v>0</v>
      </c>
      <c r="F388" s="79" t="e">
        <f>VLOOKUP(C388,Organización_Modular!$F$72:$G$102,2,FALSE)</f>
        <v>#N/A</v>
      </c>
    </row>
    <row r="389" spans="1:6" x14ac:dyDescent="0.2">
      <c r="A389" s="439"/>
      <c r="B389" s="440"/>
      <c r="C389" s="69"/>
      <c r="D389" s="78">
        <f>VLOOKUP(C389,Itinerario!$D$86:$W$116,18,FALSE)</f>
        <v>0</v>
      </c>
      <c r="E389" s="79">
        <f>VLOOKUP(C389,Itinerario!$D$86:$W$116,19,FALSE)</f>
        <v>0</v>
      </c>
      <c r="F389" s="79" t="e">
        <f>VLOOKUP(C389,Organización_Modular!$F$72:$G$102,2,FALSE)</f>
        <v>#N/A</v>
      </c>
    </row>
    <row r="390" spans="1:6" x14ac:dyDescent="0.2">
      <c r="A390" s="439"/>
      <c r="B390" s="440"/>
      <c r="C390" s="69"/>
      <c r="D390" s="78">
        <f>VLOOKUP(C390,Itinerario!$D$86:$W$116,18,FALSE)</f>
        <v>0</v>
      </c>
      <c r="E390" s="79">
        <f>VLOOKUP(C390,Itinerario!$D$86:$W$116,19,FALSE)</f>
        <v>0</v>
      </c>
      <c r="F390" s="79" t="e">
        <f>VLOOKUP(C390,Organización_Modular!$F$72:$G$102,2,FALSE)</f>
        <v>#N/A</v>
      </c>
    </row>
    <row r="391" spans="1:6" x14ac:dyDescent="0.2">
      <c r="A391" s="439"/>
      <c r="B391" s="440"/>
      <c r="C391" s="69"/>
      <c r="D391" s="78">
        <f>VLOOKUP(C391,Itinerario!$D$86:$W$116,18,FALSE)</f>
        <v>0</v>
      </c>
      <c r="E391" s="79">
        <f>VLOOKUP(C391,Itinerario!$D$86:$W$116,19,FALSE)</f>
        <v>0</v>
      </c>
      <c r="F391" s="79" t="e">
        <f>VLOOKUP(C391,Organización_Modular!$F$72:$G$102,2,FALSE)</f>
        <v>#N/A</v>
      </c>
    </row>
    <row r="392" spans="1:6" x14ac:dyDescent="0.2">
      <c r="A392" s="439"/>
      <c r="B392" s="440"/>
      <c r="C392" s="69"/>
      <c r="D392" s="78">
        <f>VLOOKUP(C392,Itinerario!$D$86:$W$116,18,FALSE)</f>
        <v>0</v>
      </c>
      <c r="E392" s="79">
        <f>VLOOKUP(C392,Itinerario!$D$86:$W$116,19,FALSE)</f>
        <v>0</v>
      </c>
      <c r="F392" s="79" t="e">
        <f>VLOOKUP(C392,Organización_Modular!$F$72:$G$102,2,FALSE)</f>
        <v>#N/A</v>
      </c>
    </row>
    <row r="393" spans="1:6" x14ac:dyDescent="0.2">
      <c r="A393" s="439"/>
      <c r="B393" s="440"/>
      <c r="C393" s="69"/>
      <c r="D393" s="78">
        <f>VLOOKUP(C393,Itinerario!$D$86:$W$116,18,FALSE)</f>
        <v>0</v>
      </c>
      <c r="E393" s="79">
        <f>VLOOKUP(C393,Itinerario!$D$86:$W$116,19,FALSE)</f>
        <v>0</v>
      </c>
      <c r="F393" s="79" t="e">
        <f>VLOOKUP(C393,Organización_Modular!$F$72:$G$102,2,FALSE)</f>
        <v>#N/A</v>
      </c>
    </row>
    <row r="394" spans="1:6" x14ac:dyDescent="0.2">
      <c r="A394" s="439"/>
      <c r="B394" s="440"/>
      <c r="C394" s="69"/>
      <c r="D394" s="78">
        <f>VLOOKUP(C394,Itinerario!$D$86:$W$116,18,FALSE)</f>
        <v>0</v>
      </c>
      <c r="E394" s="79">
        <f>VLOOKUP(C394,Itinerario!$D$86:$W$116,19,FALSE)</f>
        <v>0</v>
      </c>
      <c r="F394" s="79" t="e">
        <f>VLOOKUP(C394,Organización_Modular!$F$72:$G$102,2,FALSE)</f>
        <v>#N/A</v>
      </c>
    </row>
    <row r="395" spans="1:6" x14ac:dyDescent="0.2">
      <c r="A395" s="439"/>
      <c r="B395" s="440"/>
      <c r="C395" s="69"/>
      <c r="D395" s="78">
        <f>VLOOKUP(C395,Itinerario!$D$86:$W$116,18,FALSE)</f>
        <v>0</v>
      </c>
      <c r="E395" s="79">
        <f>VLOOKUP(C395,Itinerario!$D$86:$W$116,19,FALSE)</f>
        <v>0</v>
      </c>
      <c r="F395" s="79" t="e">
        <f>VLOOKUP(C395,Organización_Modular!$F$72:$G$102,2,FALSE)</f>
        <v>#N/A</v>
      </c>
    </row>
    <row r="396" spans="1:6" x14ac:dyDescent="0.2">
      <c r="A396" s="439"/>
      <c r="B396" s="440"/>
      <c r="C396" s="69"/>
      <c r="D396" s="78">
        <f>VLOOKUP(C396,Itinerario!$D$86:$W$116,18,FALSE)</f>
        <v>0</v>
      </c>
      <c r="E396" s="79">
        <f>VLOOKUP(C396,Itinerario!$D$86:$W$116,19,FALSE)</f>
        <v>0</v>
      </c>
      <c r="F396" s="79" t="e">
        <f>VLOOKUP(C396,Organización_Modular!$F$72:$G$102,2,FALSE)</f>
        <v>#N/A</v>
      </c>
    </row>
    <row r="397" spans="1:6" x14ac:dyDescent="0.2">
      <c r="A397" s="439"/>
      <c r="B397" s="440"/>
      <c r="C397" s="69"/>
      <c r="D397" s="78">
        <f>VLOOKUP(C397,Itinerario!$D$86:$W$116,18,FALSE)</f>
        <v>0</v>
      </c>
      <c r="E397" s="79">
        <f>VLOOKUP(C397,Itinerario!$D$86:$W$116,19,FALSE)</f>
        <v>0</v>
      </c>
      <c r="F397" s="79" t="e">
        <f>VLOOKUP(C397,Organización_Modular!$F$72:$G$102,2,FALSE)</f>
        <v>#N/A</v>
      </c>
    </row>
    <row r="398" spans="1:6" x14ac:dyDescent="0.2">
      <c r="A398" s="439"/>
      <c r="B398" s="440"/>
      <c r="C398" s="69"/>
      <c r="D398" s="78">
        <f>VLOOKUP(C398,Itinerario!$D$86:$W$116,18,FALSE)</f>
        <v>0</v>
      </c>
      <c r="E398" s="79">
        <f>VLOOKUP(C398,Itinerario!$D$86:$W$116,19,FALSE)</f>
        <v>0</v>
      </c>
      <c r="F398" s="79" t="e">
        <f>VLOOKUP(C398,Organización_Modular!$F$72:$G$102,2,FALSE)</f>
        <v>#N/A</v>
      </c>
    </row>
    <row r="399" spans="1:6" x14ac:dyDescent="0.2">
      <c r="A399" s="439"/>
      <c r="B399" s="440"/>
      <c r="C399" s="69"/>
      <c r="D399" s="78">
        <f>VLOOKUP(C399,Itinerario!$D$86:$W$116,18,FALSE)</f>
        <v>0</v>
      </c>
      <c r="E399" s="79">
        <f>VLOOKUP(C399,Itinerario!$D$86:$W$116,19,FALSE)</f>
        <v>0</v>
      </c>
      <c r="F399" s="79" t="e">
        <f>VLOOKUP(C399,Organización_Modular!$F$72:$G$102,2,FALSE)</f>
        <v>#N/A</v>
      </c>
    </row>
    <row r="400" spans="1:6" x14ac:dyDescent="0.2">
      <c r="A400" s="439"/>
      <c r="B400" s="440"/>
      <c r="C400" s="69"/>
      <c r="D400" s="78">
        <f>VLOOKUP(C400,Itinerario!$D$86:$W$116,18,FALSE)</f>
        <v>0</v>
      </c>
      <c r="E400" s="79">
        <f>VLOOKUP(C400,Itinerario!$D$86:$W$116,19,FALSE)</f>
        <v>0</v>
      </c>
      <c r="F400" s="79" t="e">
        <f>VLOOKUP(C400,Organización_Modular!$F$72:$G$102,2,FALSE)</f>
        <v>#N/A</v>
      </c>
    </row>
    <row r="401" spans="1:6" x14ac:dyDescent="0.2">
      <c r="A401" s="439"/>
      <c r="B401" s="440"/>
      <c r="C401" s="69"/>
      <c r="D401" s="78">
        <f>VLOOKUP(C401,Itinerario!$D$86:$W$116,18,FALSE)</f>
        <v>0</v>
      </c>
      <c r="E401" s="79">
        <f>VLOOKUP(C401,Itinerario!$D$86:$W$116,19,FALSE)</f>
        <v>0</v>
      </c>
      <c r="F401" s="79" t="e">
        <f>VLOOKUP(C401,Organización_Modular!$F$72:$G$102,2,FALSE)</f>
        <v>#N/A</v>
      </c>
    </row>
    <row r="402" spans="1:6" x14ac:dyDescent="0.2">
      <c r="A402" s="439"/>
      <c r="B402" s="440"/>
      <c r="C402" s="69"/>
      <c r="D402" s="78">
        <f>VLOOKUP(C402,Itinerario!$D$86:$W$116,18,FALSE)</f>
        <v>0</v>
      </c>
      <c r="E402" s="79">
        <f>VLOOKUP(C402,Itinerario!$D$86:$W$116,19,FALSE)</f>
        <v>0</v>
      </c>
      <c r="F402" s="79" t="e">
        <f>VLOOKUP(C402,Organización_Modular!$F$72:$G$102,2,FALSE)</f>
        <v>#N/A</v>
      </c>
    </row>
    <row r="403" spans="1:6" x14ac:dyDescent="0.2">
      <c r="A403" s="439"/>
      <c r="B403" s="440"/>
      <c r="C403" s="69"/>
      <c r="D403" s="78">
        <f>VLOOKUP(C403,Itinerario!$D$86:$W$116,18,FALSE)</f>
        <v>0</v>
      </c>
      <c r="E403" s="79">
        <f>VLOOKUP(C403,Itinerario!$D$86:$W$116,19,FALSE)</f>
        <v>0</v>
      </c>
      <c r="F403" s="79" t="e">
        <f>VLOOKUP(C403,Organización_Modular!$F$72:$G$102,2,FALSE)</f>
        <v>#N/A</v>
      </c>
    </row>
    <row r="404" spans="1:6" x14ac:dyDescent="0.2">
      <c r="A404" s="439"/>
      <c r="B404" s="440"/>
      <c r="C404" s="69"/>
      <c r="D404" s="78">
        <f>VLOOKUP(C404,Itinerario!$D$86:$W$116,18,FALSE)</f>
        <v>0</v>
      </c>
      <c r="E404" s="79">
        <f>VLOOKUP(C404,Itinerario!$D$86:$W$116,19,FALSE)</f>
        <v>0</v>
      </c>
      <c r="F404" s="79" t="e">
        <f>VLOOKUP(C404,Organización_Modular!$F$72:$G$102,2,FALSE)</f>
        <v>#N/A</v>
      </c>
    </row>
    <row r="405" spans="1:6" x14ac:dyDescent="0.2">
      <c r="A405" s="439"/>
      <c r="B405" s="440"/>
      <c r="C405" s="69"/>
      <c r="D405" s="78">
        <f>VLOOKUP(C405,Itinerario!$D$86:$W$116,18,FALSE)</f>
        <v>0</v>
      </c>
      <c r="E405" s="79">
        <f>VLOOKUP(C405,Itinerario!$D$86:$W$116,19,FALSE)</f>
        <v>0</v>
      </c>
      <c r="F405" s="79" t="e">
        <f>VLOOKUP(C405,Organización_Modular!$F$72:$G$102,2,FALSE)</f>
        <v>#N/A</v>
      </c>
    </row>
    <row r="406" spans="1:6" x14ac:dyDescent="0.2">
      <c r="A406" s="439"/>
      <c r="B406" s="440"/>
      <c r="C406" s="69"/>
      <c r="D406" s="78">
        <f>VLOOKUP(C406,Itinerario!$D$86:$W$116,18,FALSE)</f>
        <v>0</v>
      </c>
      <c r="E406" s="79">
        <f>VLOOKUP(C406,Itinerario!$D$86:$W$116,19,FALSE)</f>
        <v>0</v>
      </c>
      <c r="F406" s="79" t="e">
        <f>VLOOKUP(C406,Organización_Modular!$F$72:$G$102,2,FALSE)</f>
        <v>#N/A</v>
      </c>
    </row>
    <row r="407" spans="1:6" x14ac:dyDescent="0.2">
      <c r="A407" s="439"/>
      <c r="B407" s="440"/>
      <c r="C407" s="69"/>
      <c r="D407" s="78">
        <f>VLOOKUP(C407,Itinerario!$D$86:$W$116,18,FALSE)</f>
        <v>0</v>
      </c>
      <c r="E407" s="79">
        <f>VLOOKUP(C407,Itinerario!$D$86:$W$116,19,FALSE)</f>
        <v>0</v>
      </c>
      <c r="F407" s="79" t="e">
        <f>VLOOKUP(C407,Organización_Modular!$F$72:$G$102,2,FALSE)</f>
        <v>#N/A</v>
      </c>
    </row>
    <row r="408" spans="1:6" x14ac:dyDescent="0.2">
      <c r="A408" s="439"/>
      <c r="B408" s="440"/>
      <c r="C408" s="69"/>
      <c r="D408" s="78">
        <f>VLOOKUP(C408,Itinerario!$D$86:$W$116,18,FALSE)</f>
        <v>0</v>
      </c>
      <c r="E408" s="79">
        <f>VLOOKUP(C408,Itinerario!$D$86:$W$116,19,FALSE)</f>
        <v>0</v>
      </c>
      <c r="F408" s="79" t="e">
        <f>VLOOKUP(C408,Organización_Modular!$F$72:$G$102,2,FALSE)</f>
        <v>#N/A</v>
      </c>
    </row>
    <row r="409" spans="1:6" x14ac:dyDescent="0.2">
      <c r="A409" s="439"/>
      <c r="B409" s="440"/>
      <c r="C409" s="69"/>
      <c r="D409" s="78">
        <f>VLOOKUP(C409,Itinerario!$D$86:$W$116,18,FALSE)</f>
        <v>0</v>
      </c>
      <c r="E409" s="79">
        <f>VLOOKUP(C409,Itinerario!$D$86:$W$116,19,FALSE)</f>
        <v>0</v>
      </c>
      <c r="F409" s="79" t="e">
        <f>VLOOKUP(C409,Organización_Modular!$F$72:$G$102,2,FALSE)</f>
        <v>#N/A</v>
      </c>
    </row>
    <row r="410" spans="1:6" x14ac:dyDescent="0.2">
      <c r="A410" s="439"/>
      <c r="B410" s="440"/>
      <c r="C410" s="69"/>
      <c r="D410" s="78">
        <f>VLOOKUP(C410,Itinerario!$D$86:$W$116,18,FALSE)</f>
        <v>0</v>
      </c>
      <c r="E410" s="79">
        <f>VLOOKUP(C410,Itinerario!$D$86:$W$116,19,FALSE)</f>
        <v>0</v>
      </c>
      <c r="F410" s="79" t="e">
        <f>VLOOKUP(C410,Organización_Modular!$F$72:$G$102,2,FALSE)</f>
        <v>#N/A</v>
      </c>
    </row>
    <row r="411" spans="1:6" x14ac:dyDescent="0.2">
      <c r="A411" s="439"/>
      <c r="B411" s="440"/>
      <c r="C411" s="69"/>
      <c r="D411" s="78">
        <f>VLOOKUP(C411,Itinerario!$D$86:$W$116,18,FALSE)</f>
        <v>0</v>
      </c>
      <c r="E411" s="79">
        <f>VLOOKUP(C411,Itinerario!$D$86:$W$116,19,FALSE)</f>
        <v>0</v>
      </c>
      <c r="F411" s="79" t="e">
        <f>VLOOKUP(C411,Organización_Modular!$F$72:$G$102,2,FALSE)</f>
        <v>#N/A</v>
      </c>
    </row>
    <row r="412" spans="1:6" x14ac:dyDescent="0.2">
      <c r="A412" s="439"/>
      <c r="B412" s="440"/>
      <c r="C412" s="69"/>
      <c r="D412" s="78">
        <f>VLOOKUP(C412,Itinerario!$D$86:$W$116,18,FALSE)</f>
        <v>0</v>
      </c>
      <c r="E412" s="79">
        <f>VLOOKUP(C412,Itinerario!$D$86:$W$116,19,FALSE)</f>
        <v>0</v>
      </c>
      <c r="F412" s="79" t="e">
        <f>VLOOKUP(C412,Organización_Modular!$F$72:$G$102,2,FALSE)</f>
        <v>#N/A</v>
      </c>
    </row>
    <row r="413" spans="1:6" x14ac:dyDescent="0.2">
      <c r="A413" s="439"/>
      <c r="B413" s="440"/>
      <c r="C413" s="69"/>
      <c r="D413" s="78">
        <f>VLOOKUP(C413,Itinerario!$D$86:$W$116,18,FALSE)</f>
        <v>0</v>
      </c>
      <c r="E413" s="79">
        <f>VLOOKUP(C413,Itinerario!$D$86:$W$116,19,FALSE)</f>
        <v>0</v>
      </c>
      <c r="F413" s="79" t="e">
        <f>VLOOKUP(C413,Organización_Modular!$F$72:$G$102,2,FALSE)</f>
        <v>#N/A</v>
      </c>
    </row>
    <row r="414" spans="1:6" x14ac:dyDescent="0.2">
      <c r="A414" s="439"/>
      <c r="B414" s="440"/>
      <c r="C414" s="69"/>
      <c r="D414" s="78">
        <f>VLOOKUP(C414,Itinerario!$D$86:$W$116,18,FALSE)</f>
        <v>0</v>
      </c>
      <c r="E414" s="79">
        <f>VLOOKUP(C414,Itinerario!$D$86:$W$116,19,FALSE)</f>
        <v>0</v>
      </c>
      <c r="F414" s="79" t="e">
        <f>VLOOKUP(C414,Organización_Modular!$F$72:$G$102,2,FALSE)</f>
        <v>#N/A</v>
      </c>
    </row>
    <row r="415" spans="1:6" x14ac:dyDescent="0.2">
      <c r="A415" s="439"/>
      <c r="B415" s="440"/>
      <c r="C415" s="69"/>
      <c r="D415" s="78">
        <f>VLOOKUP(C415,Itinerario!$D$86:$W$116,18,FALSE)</f>
        <v>0</v>
      </c>
      <c r="E415" s="79">
        <f>VLOOKUP(C415,Itinerario!$D$86:$W$116,19,FALSE)</f>
        <v>0</v>
      </c>
      <c r="F415" s="79" t="e">
        <f>VLOOKUP(C415,Organización_Modular!$F$72:$G$102,2,FALSE)</f>
        <v>#N/A</v>
      </c>
    </row>
    <row r="416" spans="1:6" x14ac:dyDescent="0.2">
      <c r="A416" s="439"/>
      <c r="B416" s="440"/>
      <c r="C416" s="69"/>
      <c r="D416" s="78">
        <f>VLOOKUP(C416,Itinerario!$D$86:$W$116,18,FALSE)</f>
        <v>0</v>
      </c>
      <c r="E416" s="79">
        <f>VLOOKUP(C416,Itinerario!$D$86:$W$116,19,FALSE)</f>
        <v>0</v>
      </c>
      <c r="F416" s="79" t="e">
        <f>VLOOKUP(C416,Organización_Modular!$F$72:$G$102,2,FALSE)</f>
        <v>#N/A</v>
      </c>
    </row>
    <row r="417" spans="1:6" x14ac:dyDescent="0.2">
      <c r="A417" s="439"/>
      <c r="B417" s="440"/>
      <c r="C417" s="69"/>
      <c r="D417" s="78">
        <f>VLOOKUP(C417,Itinerario!$D$86:$W$116,18,FALSE)</f>
        <v>0</v>
      </c>
      <c r="E417" s="79">
        <f>VLOOKUP(C417,Itinerario!$D$86:$W$116,19,FALSE)</f>
        <v>0</v>
      </c>
      <c r="F417" s="79" t="e">
        <f>VLOOKUP(C417,Organización_Modular!$F$72:$G$102,2,FALSE)</f>
        <v>#N/A</v>
      </c>
    </row>
    <row r="418" spans="1:6" x14ac:dyDescent="0.2">
      <c r="A418" s="439"/>
      <c r="B418" s="440"/>
      <c r="C418" s="69"/>
      <c r="D418" s="78">
        <f>VLOOKUP(C418,Itinerario!$D$86:$W$116,18,FALSE)</f>
        <v>0</v>
      </c>
      <c r="E418" s="79">
        <f>VLOOKUP(C418,Itinerario!$D$86:$W$116,19,FALSE)</f>
        <v>0</v>
      </c>
      <c r="F418" s="79" t="e">
        <f>VLOOKUP(C418,Organización_Modular!$F$72:$G$102,2,FALSE)</f>
        <v>#N/A</v>
      </c>
    </row>
    <row r="419" spans="1:6" x14ac:dyDescent="0.2">
      <c r="A419" s="439"/>
      <c r="B419" s="440"/>
      <c r="C419" s="69"/>
      <c r="D419" s="78">
        <f>VLOOKUP(C419,Itinerario!$D$86:$W$116,18,FALSE)</f>
        <v>0</v>
      </c>
      <c r="E419" s="79">
        <f>VLOOKUP(C419,Itinerario!$D$86:$W$116,19,FALSE)</f>
        <v>0</v>
      </c>
      <c r="F419" s="79" t="e">
        <f>VLOOKUP(C419,Organización_Modular!$F$72:$G$102,2,FALSE)</f>
        <v>#N/A</v>
      </c>
    </row>
    <row r="420" spans="1:6" x14ac:dyDescent="0.2">
      <c r="A420" s="439"/>
      <c r="B420" s="440"/>
      <c r="C420" s="69"/>
      <c r="D420" s="78">
        <f>VLOOKUP(C420,Itinerario!$D$86:$W$116,18,FALSE)</f>
        <v>0</v>
      </c>
      <c r="E420" s="79">
        <f>VLOOKUP(C420,Itinerario!$D$86:$W$116,19,FALSE)</f>
        <v>0</v>
      </c>
      <c r="F420" s="79" t="e">
        <f>VLOOKUP(C420,Organización_Modular!$F$72:$G$102,2,FALSE)</f>
        <v>#N/A</v>
      </c>
    </row>
    <row r="421" spans="1:6" x14ac:dyDescent="0.2">
      <c r="A421" s="439"/>
      <c r="B421" s="440"/>
      <c r="C421" s="69"/>
      <c r="D421" s="78">
        <f>VLOOKUP(C421,Itinerario!$D$86:$W$116,18,FALSE)</f>
        <v>0</v>
      </c>
      <c r="E421" s="79">
        <f>VLOOKUP(C421,Itinerario!$D$86:$W$116,19,FALSE)</f>
        <v>0</v>
      </c>
      <c r="F421" s="79" t="e">
        <f>VLOOKUP(C421,Organización_Modular!$F$72:$G$102,2,FALSE)</f>
        <v>#N/A</v>
      </c>
    </row>
    <row r="422" spans="1:6" x14ac:dyDescent="0.2">
      <c r="A422" s="439"/>
      <c r="B422" s="440"/>
      <c r="C422" s="69"/>
      <c r="D422" s="78">
        <f>VLOOKUP(C422,Itinerario!$D$86:$W$116,18,FALSE)</f>
        <v>0</v>
      </c>
      <c r="E422" s="79">
        <f>VLOOKUP(C422,Itinerario!$D$86:$W$116,19,FALSE)</f>
        <v>0</v>
      </c>
      <c r="F422" s="79" t="e">
        <f>VLOOKUP(C422,Organización_Modular!$F$72:$G$102,2,FALSE)</f>
        <v>#N/A</v>
      </c>
    </row>
    <row r="423" spans="1:6" x14ac:dyDescent="0.2">
      <c r="A423" s="439"/>
      <c r="B423" s="440"/>
      <c r="C423" s="69"/>
      <c r="D423" s="78">
        <f>VLOOKUP(C423,Itinerario!$D$86:$W$116,18,FALSE)</f>
        <v>0</v>
      </c>
      <c r="E423" s="79">
        <f>VLOOKUP(C423,Itinerario!$D$86:$W$116,19,FALSE)</f>
        <v>0</v>
      </c>
      <c r="F423" s="79" t="e">
        <f>VLOOKUP(C423,Organización_Modular!$F$72:$G$102,2,FALSE)</f>
        <v>#N/A</v>
      </c>
    </row>
    <row r="424" spans="1:6" x14ac:dyDescent="0.2">
      <c r="A424" s="439"/>
      <c r="B424" s="440"/>
      <c r="C424" s="69"/>
      <c r="D424" s="78">
        <f>VLOOKUP(C424,Itinerario!$D$86:$W$116,18,FALSE)</f>
        <v>0</v>
      </c>
      <c r="E424" s="79">
        <f>VLOOKUP(C424,Itinerario!$D$86:$W$116,19,FALSE)</f>
        <v>0</v>
      </c>
      <c r="F424" s="79" t="e">
        <f>VLOOKUP(C424,Organización_Modular!$F$72:$G$102,2,FALSE)</f>
        <v>#N/A</v>
      </c>
    </row>
    <row r="425" spans="1:6" x14ac:dyDescent="0.2">
      <c r="A425" s="439"/>
      <c r="B425" s="440"/>
      <c r="C425" s="69"/>
      <c r="D425" s="78">
        <f>VLOOKUP(C425,Itinerario!$D$86:$W$116,18,FALSE)</f>
        <v>0</v>
      </c>
      <c r="E425" s="79">
        <f>VLOOKUP(C425,Itinerario!$D$86:$W$116,19,FALSE)</f>
        <v>0</v>
      </c>
      <c r="F425" s="79" t="e">
        <f>VLOOKUP(C425,Organización_Modular!$F$72:$G$102,2,FALSE)</f>
        <v>#N/A</v>
      </c>
    </row>
    <row r="426" spans="1:6" x14ac:dyDescent="0.2">
      <c r="A426" s="439"/>
      <c r="B426" s="440"/>
      <c r="C426" s="69"/>
      <c r="D426" s="78">
        <f>VLOOKUP(C426,Itinerario!$D$86:$W$116,18,FALSE)</f>
        <v>0</v>
      </c>
      <c r="E426" s="79">
        <f>VLOOKUP(C426,Itinerario!$D$86:$W$116,19,FALSE)</f>
        <v>0</v>
      </c>
      <c r="F426" s="79" t="e">
        <f>VLOOKUP(C426,Organización_Modular!$F$72:$G$102,2,FALSE)</f>
        <v>#N/A</v>
      </c>
    </row>
    <row r="427" spans="1:6" x14ac:dyDescent="0.2">
      <c r="A427" s="439"/>
      <c r="B427" s="440"/>
      <c r="C427" s="69"/>
      <c r="D427" s="78">
        <f>VLOOKUP(C427,Itinerario!$D$86:$W$116,18,FALSE)</f>
        <v>0</v>
      </c>
      <c r="E427" s="79">
        <f>VLOOKUP(C427,Itinerario!$D$86:$W$116,19,FALSE)</f>
        <v>0</v>
      </c>
      <c r="F427" s="79" t="e">
        <f>VLOOKUP(C427,Organización_Modular!$F$72:$G$102,2,FALSE)</f>
        <v>#N/A</v>
      </c>
    </row>
    <row r="428" spans="1:6" x14ac:dyDescent="0.2">
      <c r="A428" s="439"/>
      <c r="B428" s="440"/>
      <c r="C428" s="69"/>
      <c r="D428" s="78">
        <f>VLOOKUP(C428,Itinerario!$D$86:$W$116,18,FALSE)</f>
        <v>0</v>
      </c>
      <c r="E428" s="79">
        <f>VLOOKUP(C428,Itinerario!$D$86:$W$116,19,FALSE)</f>
        <v>0</v>
      </c>
      <c r="F428" s="79" t="e">
        <f>VLOOKUP(C428,Organización_Modular!$F$72:$G$102,2,FALSE)</f>
        <v>#N/A</v>
      </c>
    </row>
    <row r="429" spans="1:6" x14ac:dyDescent="0.2">
      <c r="A429" s="439"/>
      <c r="B429" s="440"/>
      <c r="C429" s="69"/>
      <c r="D429" s="78">
        <f>VLOOKUP(C429,Itinerario!$D$86:$W$116,18,FALSE)</f>
        <v>0</v>
      </c>
      <c r="E429" s="79">
        <f>VLOOKUP(C429,Itinerario!$D$86:$W$116,19,FALSE)</f>
        <v>0</v>
      </c>
      <c r="F429" s="79" t="e">
        <f>VLOOKUP(C429,Organización_Modular!$F$72:$G$102,2,FALSE)</f>
        <v>#N/A</v>
      </c>
    </row>
    <row r="430" spans="1:6" x14ac:dyDescent="0.2">
      <c r="A430" s="439"/>
      <c r="B430" s="440"/>
      <c r="C430" s="69"/>
      <c r="D430" s="78">
        <f>VLOOKUP(C430,Itinerario!$D$86:$W$116,18,FALSE)</f>
        <v>0</v>
      </c>
      <c r="E430" s="79">
        <f>VLOOKUP(C430,Itinerario!$D$86:$W$116,19,FALSE)</f>
        <v>0</v>
      </c>
      <c r="F430" s="79" t="e">
        <f>VLOOKUP(C430,Organización_Modular!$F$72:$G$102,2,FALSE)</f>
        <v>#N/A</v>
      </c>
    </row>
    <row r="431" spans="1:6" x14ac:dyDescent="0.2">
      <c r="A431" s="439"/>
      <c r="B431" s="440"/>
      <c r="C431" s="69"/>
      <c r="D431" s="78">
        <f>VLOOKUP(C431,Itinerario!$D$86:$W$116,18,FALSE)</f>
        <v>0</v>
      </c>
      <c r="E431" s="79">
        <f>VLOOKUP(C431,Itinerario!$D$86:$W$116,19,FALSE)</f>
        <v>0</v>
      </c>
      <c r="F431" s="79" t="e">
        <f>VLOOKUP(C431,Organización_Modular!$F$72:$G$102,2,FALSE)</f>
        <v>#N/A</v>
      </c>
    </row>
    <row r="432" spans="1:6" x14ac:dyDescent="0.2">
      <c r="A432" s="439"/>
      <c r="B432" s="440"/>
      <c r="C432" s="69"/>
      <c r="D432" s="78">
        <f>VLOOKUP(C432,Itinerario!$D$86:$W$116,18,FALSE)</f>
        <v>0</v>
      </c>
      <c r="E432" s="79">
        <f>VLOOKUP(C432,Itinerario!$D$86:$W$116,19,FALSE)</f>
        <v>0</v>
      </c>
      <c r="F432" s="79" t="e">
        <f>VLOOKUP(C432,Organización_Modular!$F$72:$G$102,2,FALSE)</f>
        <v>#N/A</v>
      </c>
    </row>
    <row r="433" spans="1:6" x14ac:dyDescent="0.2">
      <c r="A433" s="439"/>
      <c r="B433" s="440"/>
      <c r="C433" s="68"/>
      <c r="D433" s="78">
        <f>VLOOKUP(C433,Itinerario!$D$86:$W$116,18,FALSE)</f>
        <v>0</v>
      </c>
      <c r="E433" s="79">
        <f>VLOOKUP(C433,Itinerario!$D$86:$W$116,19,FALSE)</f>
        <v>0</v>
      </c>
      <c r="F433" s="79" t="e">
        <f>VLOOKUP(C433,Organización_Modular!$F$72:$G$102,2,FALSE)</f>
        <v>#N/A</v>
      </c>
    </row>
    <row r="434" spans="1:6" x14ac:dyDescent="0.2">
      <c r="A434" s="439"/>
      <c r="B434" s="440"/>
      <c r="C434" s="69"/>
      <c r="D434" s="78">
        <f>VLOOKUP(C434,Itinerario!$D$86:$W$116,18,FALSE)</f>
        <v>0</v>
      </c>
      <c r="E434" s="79">
        <f>VLOOKUP(C434,Itinerario!$D$86:$W$116,19,FALSE)</f>
        <v>0</v>
      </c>
      <c r="F434" s="79" t="e">
        <f>VLOOKUP(C434,Organización_Modular!$F$72:$G$102,2,FALSE)</f>
        <v>#N/A</v>
      </c>
    </row>
    <row r="435" spans="1:6" x14ac:dyDescent="0.2">
      <c r="A435" s="439"/>
      <c r="B435" s="440"/>
      <c r="C435" s="69"/>
      <c r="D435" s="78">
        <f>VLOOKUP(C435,Itinerario!$D$86:$W$116,18,FALSE)</f>
        <v>0</v>
      </c>
      <c r="E435" s="79">
        <f>VLOOKUP(C435,Itinerario!$D$86:$W$116,19,FALSE)</f>
        <v>0</v>
      </c>
      <c r="F435" s="79" t="e">
        <f>VLOOKUP(C435,Organización_Modular!$F$72:$G$102,2,FALSE)</f>
        <v>#N/A</v>
      </c>
    </row>
    <row r="436" spans="1:6" x14ac:dyDescent="0.2">
      <c r="A436" s="439"/>
      <c r="B436" s="440"/>
      <c r="C436" s="69"/>
      <c r="D436" s="78">
        <f>VLOOKUP(C436,Itinerario!$D$86:$W$116,18,FALSE)</f>
        <v>0</v>
      </c>
      <c r="E436" s="79">
        <f>VLOOKUP(C436,Itinerario!$D$86:$W$116,19,FALSE)</f>
        <v>0</v>
      </c>
      <c r="F436" s="79" t="e">
        <f>VLOOKUP(C436,Organización_Modular!$F$72:$G$102,2,FALSE)</f>
        <v>#N/A</v>
      </c>
    </row>
    <row r="437" spans="1:6" x14ac:dyDescent="0.2">
      <c r="A437" s="439"/>
      <c r="B437" s="440"/>
      <c r="C437" s="69"/>
      <c r="D437" s="78">
        <f>VLOOKUP(C437,Itinerario!$D$86:$W$116,18,FALSE)</f>
        <v>0</v>
      </c>
      <c r="E437" s="79">
        <f>VLOOKUP(C437,Itinerario!$D$86:$W$116,19,FALSE)</f>
        <v>0</v>
      </c>
      <c r="F437" s="79" t="e">
        <f>VLOOKUP(C437,Organización_Modular!$F$72:$G$102,2,FALSE)</f>
        <v>#N/A</v>
      </c>
    </row>
    <row r="438" spans="1:6" x14ac:dyDescent="0.2">
      <c r="A438" s="439"/>
      <c r="B438" s="440"/>
      <c r="C438" s="69"/>
      <c r="D438" s="78">
        <f>VLOOKUP(C438,Itinerario!$D$86:$W$116,18,FALSE)</f>
        <v>0</v>
      </c>
      <c r="E438" s="79">
        <f>VLOOKUP(C438,Itinerario!$D$86:$W$116,19,FALSE)</f>
        <v>0</v>
      </c>
      <c r="F438" s="79" t="e">
        <f>VLOOKUP(C438,Organización_Modular!$F$72:$G$102,2,FALSE)</f>
        <v>#N/A</v>
      </c>
    </row>
    <row r="439" spans="1:6" x14ac:dyDescent="0.2">
      <c r="A439" s="439"/>
      <c r="B439" s="440"/>
      <c r="C439" s="69"/>
      <c r="D439" s="78">
        <f>VLOOKUP(C439,Itinerario!$D$86:$W$116,18,FALSE)</f>
        <v>0</v>
      </c>
      <c r="E439" s="79">
        <f>VLOOKUP(C439,Itinerario!$D$86:$W$116,19,FALSE)</f>
        <v>0</v>
      </c>
      <c r="F439" s="79" t="e">
        <f>VLOOKUP(C439,Organización_Modular!$F$72:$G$102,2,FALSE)</f>
        <v>#N/A</v>
      </c>
    </row>
    <row r="440" spans="1:6" x14ac:dyDescent="0.2">
      <c r="A440" s="439"/>
      <c r="B440" s="440"/>
      <c r="C440" s="69"/>
      <c r="D440" s="78">
        <f>VLOOKUP(C440,Itinerario!$D$86:$W$116,18,FALSE)</f>
        <v>0</v>
      </c>
      <c r="E440" s="79">
        <f>VLOOKUP(C440,Itinerario!$D$86:$W$116,19,FALSE)</f>
        <v>0</v>
      </c>
      <c r="F440" s="79" t="e">
        <f>VLOOKUP(C440,Organización_Modular!$F$72:$G$102,2,FALSE)</f>
        <v>#N/A</v>
      </c>
    </row>
    <row r="441" spans="1:6" x14ac:dyDescent="0.2">
      <c r="A441" s="439"/>
      <c r="B441" s="440"/>
      <c r="C441" s="69"/>
      <c r="D441" s="78">
        <f>VLOOKUP(C441,Itinerario!$D$86:$W$116,18,FALSE)</f>
        <v>0</v>
      </c>
      <c r="E441" s="79">
        <f>VLOOKUP(C441,Itinerario!$D$86:$W$116,19,FALSE)</f>
        <v>0</v>
      </c>
      <c r="F441" s="79" t="e">
        <f>VLOOKUP(C441,Organización_Modular!$F$72:$G$102,2,FALSE)</f>
        <v>#N/A</v>
      </c>
    </row>
    <row r="442" spans="1:6" x14ac:dyDescent="0.2">
      <c r="A442" s="439"/>
      <c r="B442" s="440"/>
      <c r="C442" s="69"/>
      <c r="D442" s="78">
        <f>VLOOKUP(C442,Itinerario!$D$86:$W$116,18,FALSE)</f>
        <v>0</v>
      </c>
      <c r="E442" s="79">
        <f>VLOOKUP(C442,Itinerario!$D$86:$W$116,19,FALSE)</f>
        <v>0</v>
      </c>
      <c r="F442" s="79" t="e">
        <f>VLOOKUP(C442,Organización_Modular!$F$72:$G$102,2,FALSE)</f>
        <v>#N/A</v>
      </c>
    </row>
    <row r="443" spans="1:6" x14ac:dyDescent="0.2">
      <c r="A443" s="439"/>
      <c r="B443" s="440"/>
      <c r="C443" s="69"/>
      <c r="D443" s="78">
        <f>VLOOKUP(C443,Itinerario!$D$86:$W$116,18,FALSE)</f>
        <v>0</v>
      </c>
      <c r="E443" s="79">
        <f>VLOOKUP(C443,Itinerario!$D$86:$W$116,19,FALSE)</f>
        <v>0</v>
      </c>
      <c r="F443" s="79" t="e">
        <f>VLOOKUP(C443,Organización_Modular!$F$72:$G$102,2,FALSE)</f>
        <v>#N/A</v>
      </c>
    </row>
    <row r="444" spans="1:6" x14ac:dyDescent="0.2">
      <c r="A444" s="439"/>
      <c r="B444" s="440"/>
      <c r="C444" s="69"/>
      <c r="D444" s="78">
        <f>VLOOKUP(C444,Itinerario!$D$86:$W$116,18,FALSE)</f>
        <v>0</v>
      </c>
      <c r="E444" s="79">
        <f>VLOOKUP(C444,Itinerario!$D$86:$W$116,19,FALSE)</f>
        <v>0</v>
      </c>
      <c r="F444" s="79" t="e">
        <f>VLOOKUP(C444,Organización_Modular!$F$72:$G$102,2,FALSE)</f>
        <v>#N/A</v>
      </c>
    </row>
    <row r="445" spans="1:6" x14ac:dyDescent="0.2">
      <c r="A445" s="439"/>
      <c r="B445" s="440"/>
      <c r="C445" s="69"/>
      <c r="D445" s="78">
        <f>VLOOKUP(C445,Itinerario!$D$86:$W$116,18,FALSE)</f>
        <v>0</v>
      </c>
      <c r="E445" s="79">
        <f>VLOOKUP(C445,Itinerario!$D$86:$W$116,19,FALSE)</f>
        <v>0</v>
      </c>
      <c r="F445" s="79" t="e">
        <f>VLOOKUP(C445,Organización_Modular!$F$72:$G$102,2,FALSE)</f>
        <v>#N/A</v>
      </c>
    </row>
    <row r="446" spans="1:6" x14ac:dyDescent="0.2">
      <c r="A446" s="439"/>
      <c r="B446" s="440"/>
      <c r="C446" s="69"/>
      <c r="D446" s="78">
        <f>VLOOKUP(C446,Itinerario!$D$86:$W$116,18,FALSE)</f>
        <v>0</v>
      </c>
      <c r="E446" s="79">
        <f>VLOOKUP(C446,Itinerario!$D$86:$W$116,19,FALSE)</f>
        <v>0</v>
      </c>
      <c r="F446" s="79" t="e">
        <f>VLOOKUP(C446,Organización_Modular!$F$72:$G$102,2,FALSE)</f>
        <v>#N/A</v>
      </c>
    </row>
    <row r="447" spans="1:6" x14ac:dyDescent="0.2">
      <c r="A447" s="439"/>
      <c r="B447" s="440"/>
      <c r="C447" s="69"/>
      <c r="D447" s="78">
        <f>VLOOKUP(C447,Itinerario!$D$86:$W$116,18,FALSE)</f>
        <v>0</v>
      </c>
      <c r="E447" s="79">
        <f>VLOOKUP(C447,Itinerario!$D$86:$W$116,19,FALSE)</f>
        <v>0</v>
      </c>
      <c r="F447" s="79" t="e">
        <f>VLOOKUP(C447,Organización_Modular!$F$72:$G$102,2,FALSE)</f>
        <v>#N/A</v>
      </c>
    </row>
    <row r="448" spans="1:6" x14ac:dyDescent="0.2">
      <c r="A448" s="439"/>
      <c r="B448" s="440"/>
      <c r="C448" s="68"/>
      <c r="D448" s="78">
        <f>VLOOKUP(C448,Itinerario!$D$86:$W$116,18,FALSE)</f>
        <v>0</v>
      </c>
      <c r="E448" s="79">
        <f>VLOOKUP(C448,Itinerario!$D$86:$W$116,19,FALSE)</f>
        <v>0</v>
      </c>
      <c r="F448" s="79" t="e">
        <f>VLOOKUP(C448,Organización_Modular!$F$72:$G$102,2,FALSE)</f>
        <v>#N/A</v>
      </c>
    </row>
    <row r="449" spans="1:6" x14ac:dyDescent="0.2">
      <c r="A449" s="439"/>
      <c r="B449" s="440"/>
      <c r="C449" s="69"/>
      <c r="D449" s="78">
        <f>VLOOKUP(C449,Itinerario!$D$86:$W$116,18,FALSE)</f>
        <v>0</v>
      </c>
      <c r="E449" s="79">
        <f>VLOOKUP(C449,Itinerario!$D$86:$W$116,19,FALSE)</f>
        <v>0</v>
      </c>
      <c r="F449" s="79" t="e">
        <f>VLOOKUP(C449,Organización_Modular!$F$72:$G$102,2,FALSE)</f>
        <v>#N/A</v>
      </c>
    </row>
    <row r="450" spans="1:6" x14ac:dyDescent="0.2">
      <c r="A450" s="439"/>
      <c r="B450" s="440"/>
      <c r="C450" s="69"/>
      <c r="D450" s="78">
        <f>VLOOKUP(C450,Itinerario!$D$86:$W$116,18,FALSE)</f>
        <v>0</v>
      </c>
      <c r="E450" s="79">
        <f>VLOOKUP(C450,Itinerario!$D$86:$W$116,19,FALSE)</f>
        <v>0</v>
      </c>
      <c r="F450" s="79" t="e">
        <f>VLOOKUP(C450,Organización_Modular!$F$72:$G$102,2,FALSE)</f>
        <v>#N/A</v>
      </c>
    </row>
    <row r="451" spans="1:6" x14ac:dyDescent="0.2">
      <c r="A451" s="439"/>
      <c r="B451" s="440"/>
      <c r="C451" s="69"/>
      <c r="D451" s="78">
        <f>VLOOKUP(C451,Itinerario!$D$86:$W$116,18,FALSE)</f>
        <v>0</v>
      </c>
      <c r="E451" s="79">
        <f>VLOOKUP(C451,Itinerario!$D$86:$W$116,19,FALSE)</f>
        <v>0</v>
      </c>
      <c r="F451" s="79" t="e">
        <f>VLOOKUP(C451,Organización_Modular!$F$72:$G$102,2,FALSE)</f>
        <v>#N/A</v>
      </c>
    </row>
    <row r="452" spans="1:6" x14ac:dyDescent="0.2">
      <c r="A452" s="439"/>
      <c r="B452" s="440"/>
      <c r="C452" s="69"/>
      <c r="D452" s="78">
        <f>VLOOKUP(C452,Itinerario!$D$86:$W$116,18,FALSE)</f>
        <v>0</v>
      </c>
      <c r="E452" s="79">
        <f>VLOOKUP(C452,Itinerario!$D$86:$W$116,19,FALSE)</f>
        <v>0</v>
      </c>
      <c r="F452" s="79" t="e">
        <f>VLOOKUP(C452,Organización_Modular!$F$72:$G$102,2,FALSE)</f>
        <v>#N/A</v>
      </c>
    </row>
    <row r="453" spans="1:6" x14ac:dyDescent="0.2">
      <c r="A453" s="439"/>
      <c r="B453" s="440"/>
      <c r="C453" s="69"/>
      <c r="D453" s="78">
        <f>VLOOKUP(C453,Itinerario!$D$86:$W$116,18,FALSE)</f>
        <v>0</v>
      </c>
      <c r="E453" s="79">
        <f>VLOOKUP(C453,Itinerario!$D$86:$W$116,19,FALSE)</f>
        <v>0</v>
      </c>
      <c r="F453" s="79" t="e">
        <f>VLOOKUP(C453,Organización_Modular!$F$72:$G$102,2,FALSE)</f>
        <v>#N/A</v>
      </c>
    </row>
    <row r="454" spans="1:6" x14ac:dyDescent="0.2">
      <c r="A454" s="439"/>
      <c r="B454" s="440"/>
      <c r="C454" s="69"/>
      <c r="D454" s="78">
        <f>VLOOKUP(C454,Itinerario!$D$86:$W$116,18,FALSE)</f>
        <v>0</v>
      </c>
      <c r="E454" s="79">
        <f>VLOOKUP(C454,Itinerario!$D$86:$W$116,19,FALSE)</f>
        <v>0</v>
      </c>
      <c r="F454" s="79" t="e">
        <f>VLOOKUP(C454,Organización_Modular!$F$72:$G$102,2,FALSE)</f>
        <v>#N/A</v>
      </c>
    </row>
    <row r="455" spans="1:6" x14ac:dyDescent="0.2">
      <c r="A455" s="439"/>
      <c r="B455" s="440"/>
      <c r="C455" s="69"/>
      <c r="D455" s="78">
        <f>VLOOKUP(C455,Itinerario!$D$86:$W$116,18,FALSE)</f>
        <v>0</v>
      </c>
      <c r="E455" s="79">
        <f>VLOOKUP(C455,Itinerario!$D$86:$W$116,19,FALSE)</f>
        <v>0</v>
      </c>
      <c r="F455" s="79" t="e">
        <f>VLOOKUP(C455,Organización_Modular!$F$72:$G$102,2,FALSE)</f>
        <v>#N/A</v>
      </c>
    </row>
    <row r="456" spans="1:6" x14ac:dyDescent="0.2">
      <c r="A456" s="439"/>
      <c r="B456" s="440"/>
      <c r="C456" s="69"/>
      <c r="D456" s="78">
        <f>VLOOKUP(C456,Itinerario!$D$86:$W$116,18,FALSE)</f>
        <v>0</v>
      </c>
      <c r="E456" s="79">
        <f>VLOOKUP(C456,Itinerario!$D$86:$W$116,19,FALSE)</f>
        <v>0</v>
      </c>
      <c r="F456" s="79" t="e">
        <f>VLOOKUP(C456,Organización_Modular!$F$72:$G$102,2,FALSE)</f>
        <v>#N/A</v>
      </c>
    </row>
    <row r="457" spans="1:6" x14ac:dyDescent="0.2">
      <c r="A457" s="439"/>
      <c r="B457" s="440"/>
      <c r="C457" s="69"/>
      <c r="D457" s="78">
        <f>VLOOKUP(C457,Itinerario!$D$86:$W$116,18,FALSE)</f>
        <v>0</v>
      </c>
      <c r="E457" s="79">
        <f>VLOOKUP(C457,Itinerario!$D$86:$W$116,19,FALSE)</f>
        <v>0</v>
      </c>
      <c r="F457" s="79" t="e">
        <f>VLOOKUP(C457,Organización_Modular!$F$72:$G$102,2,FALSE)</f>
        <v>#N/A</v>
      </c>
    </row>
    <row r="458" spans="1:6" x14ac:dyDescent="0.2">
      <c r="A458" s="439"/>
      <c r="B458" s="440"/>
      <c r="C458" s="69"/>
      <c r="D458" s="78">
        <f>VLOOKUP(C458,Itinerario!$D$86:$W$116,18,FALSE)</f>
        <v>0</v>
      </c>
      <c r="E458" s="79">
        <f>VLOOKUP(C458,Itinerario!$D$86:$W$116,19,FALSE)</f>
        <v>0</v>
      </c>
      <c r="F458" s="79" t="e">
        <f>VLOOKUP(C458,Organización_Modular!$F$72:$G$102,2,FALSE)</f>
        <v>#N/A</v>
      </c>
    </row>
    <row r="459" spans="1:6" x14ac:dyDescent="0.2">
      <c r="A459" s="439"/>
      <c r="B459" s="440"/>
      <c r="C459" s="69"/>
      <c r="D459" s="78">
        <f>VLOOKUP(C459,Itinerario!$D$86:$W$116,18,FALSE)</f>
        <v>0</v>
      </c>
      <c r="E459" s="79">
        <f>VLOOKUP(C459,Itinerario!$D$86:$W$116,19,FALSE)</f>
        <v>0</v>
      </c>
      <c r="F459" s="79" t="e">
        <f>VLOOKUP(C459,Organización_Modular!$F$72:$G$102,2,FALSE)</f>
        <v>#N/A</v>
      </c>
    </row>
    <row r="460" spans="1:6" x14ac:dyDescent="0.2">
      <c r="A460" s="439"/>
      <c r="B460" s="440"/>
      <c r="C460" s="69"/>
      <c r="D460" s="78">
        <f>VLOOKUP(C460,Itinerario!$D$86:$W$116,18,FALSE)</f>
        <v>0</v>
      </c>
      <c r="E460" s="79">
        <f>VLOOKUP(C460,Itinerario!$D$86:$W$116,19,FALSE)</f>
        <v>0</v>
      </c>
      <c r="F460" s="79" t="e">
        <f>VLOOKUP(C460,Organización_Modular!$F$72:$G$102,2,FALSE)</f>
        <v>#N/A</v>
      </c>
    </row>
    <row r="461" spans="1:6" x14ac:dyDescent="0.2">
      <c r="A461" s="439"/>
      <c r="B461" s="440"/>
      <c r="C461" s="69"/>
      <c r="D461" s="78">
        <f>VLOOKUP(C461,Itinerario!$D$86:$W$116,18,FALSE)</f>
        <v>0</v>
      </c>
      <c r="E461" s="79">
        <f>VLOOKUP(C461,Itinerario!$D$86:$W$116,19,FALSE)</f>
        <v>0</v>
      </c>
      <c r="F461" s="79" t="e">
        <f>VLOOKUP(C461,Organización_Modular!$F$72:$G$102,2,FALSE)</f>
        <v>#N/A</v>
      </c>
    </row>
    <row r="462" spans="1:6" x14ac:dyDescent="0.2">
      <c r="A462" s="439"/>
      <c r="B462" s="440"/>
      <c r="C462" s="69"/>
      <c r="D462" s="78">
        <f>VLOOKUP(C462,Itinerario!$D$86:$W$116,18,FALSE)</f>
        <v>0</v>
      </c>
      <c r="E462" s="79">
        <f>VLOOKUP(C462,Itinerario!$D$86:$W$116,19,FALSE)</f>
        <v>0</v>
      </c>
      <c r="F462" s="79" t="e">
        <f>VLOOKUP(C462,Organización_Modular!$F$72:$G$102,2,FALSE)</f>
        <v>#N/A</v>
      </c>
    </row>
    <row r="463" spans="1:6" x14ac:dyDescent="0.2">
      <c r="A463" s="439"/>
      <c r="B463" s="440"/>
      <c r="C463" s="68"/>
      <c r="D463" s="78">
        <f>VLOOKUP(C463,Itinerario!$D$86:$W$116,18,FALSE)</f>
        <v>0</v>
      </c>
      <c r="E463" s="79">
        <f>VLOOKUP(C463,Itinerario!$D$86:$W$116,19,FALSE)</f>
        <v>0</v>
      </c>
      <c r="F463" s="79" t="e">
        <f>VLOOKUP(C463,Organización_Modular!$F$72:$G$102,2,FALSE)</f>
        <v>#N/A</v>
      </c>
    </row>
    <row r="464" spans="1:6" x14ac:dyDescent="0.2">
      <c r="A464" s="439" t="str">
        <f>Itinerario!A117</f>
        <v>MÓDULO IV:   IMPLEMENTACIÓN Y CONFIGURACIÓN DE REDES DE SISTEMAS DE INFORMACION Y SERVICIOS TI</v>
      </c>
      <c r="B464" s="440" t="str">
        <f>Ambiente_Equipamiento!$A$15</f>
        <v>Aula pedagógica</v>
      </c>
      <c r="C464" s="68"/>
      <c r="D464" s="78">
        <f>VLOOKUP(C464,Itinerario!$D$117:$W$147,18,FALSE)</f>
        <v>0</v>
      </c>
      <c r="E464" s="79">
        <f>VLOOKUP(C464,Itinerario!$D$117:$W$147,19,FALSE)</f>
        <v>0</v>
      </c>
      <c r="F464" s="79" t="e">
        <f>VLOOKUP(C464,Organización_Modular!$F$103:$G$133,2,FALSE)</f>
        <v>#N/A</v>
      </c>
    </row>
    <row r="465" spans="1:6" x14ac:dyDescent="0.2">
      <c r="A465" s="439"/>
      <c r="B465" s="440"/>
      <c r="C465" s="68"/>
      <c r="D465" s="78">
        <f>VLOOKUP(C465,Itinerario!$D$117:$W$147,18,FALSE)</f>
        <v>0</v>
      </c>
      <c r="E465" s="79">
        <f>VLOOKUP(C465,Itinerario!$D$117:$W$147,19,FALSE)</f>
        <v>0</v>
      </c>
      <c r="F465" s="79" t="e">
        <f>VLOOKUP(C465,Organización_Modular!$F$103:$G$133,2,FALSE)</f>
        <v>#N/A</v>
      </c>
    </row>
    <row r="466" spans="1:6" x14ac:dyDescent="0.2">
      <c r="A466" s="439"/>
      <c r="B466" s="440"/>
      <c r="C466" s="68"/>
      <c r="D466" s="78">
        <f>VLOOKUP(C466,Itinerario!$D$117:$W$147,18,FALSE)</f>
        <v>0</v>
      </c>
      <c r="E466" s="79">
        <f>VLOOKUP(C466,Itinerario!$D$117:$W$147,19,FALSE)</f>
        <v>0</v>
      </c>
      <c r="F466" s="79" t="e">
        <f>VLOOKUP(C466,Organización_Modular!$F$103:$G$133,2,FALSE)</f>
        <v>#N/A</v>
      </c>
    </row>
    <row r="467" spans="1:6" x14ac:dyDescent="0.2">
      <c r="A467" s="439"/>
      <c r="B467" s="440"/>
      <c r="C467" s="68"/>
      <c r="D467" s="78">
        <f>VLOOKUP(C467,Itinerario!$D$117:$W$147,18,FALSE)</f>
        <v>0</v>
      </c>
      <c r="E467" s="79">
        <f>VLOOKUP(C467,Itinerario!$D$117:$W$147,19,FALSE)</f>
        <v>0</v>
      </c>
      <c r="F467" s="79" t="e">
        <f>VLOOKUP(C467,Organización_Modular!$F$103:$G$133,2,FALSE)</f>
        <v>#N/A</v>
      </c>
    </row>
    <row r="468" spans="1:6" x14ac:dyDescent="0.2">
      <c r="A468" s="439"/>
      <c r="B468" s="440"/>
      <c r="C468" s="68"/>
      <c r="D468" s="78">
        <f>VLOOKUP(C468,Itinerario!$D$117:$W$147,18,FALSE)</f>
        <v>0</v>
      </c>
      <c r="E468" s="79">
        <f>VLOOKUP(C468,Itinerario!$D$117:$W$147,19,FALSE)</f>
        <v>0</v>
      </c>
      <c r="F468" s="79" t="e">
        <f>VLOOKUP(C468,Organización_Modular!$F$103:$G$133,2,FALSE)</f>
        <v>#N/A</v>
      </c>
    </row>
    <row r="469" spans="1:6" x14ac:dyDescent="0.2">
      <c r="A469" s="439"/>
      <c r="B469" s="440"/>
      <c r="C469" s="68"/>
      <c r="D469" s="78">
        <f>VLOOKUP(C469,Itinerario!$D$117:$W$147,18,FALSE)</f>
        <v>0</v>
      </c>
      <c r="E469" s="79">
        <f>VLOOKUP(C469,Itinerario!$D$117:$W$147,19,FALSE)</f>
        <v>0</v>
      </c>
      <c r="F469" s="79" t="e">
        <f>VLOOKUP(C469,Organización_Modular!$F$103:$G$133,2,FALSE)</f>
        <v>#N/A</v>
      </c>
    </row>
    <row r="470" spans="1:6" x14ac:dyDescent="0.2">
      <c r="A470" s="439"/>
      <c r="B470" s="440"/>
      <c r="C470" s="68"/>
      <c r="D470" s="78">
        <f>VLOOKUP(C470,Itinerario!$D$117:$W$147,18,FALSE)</f>
        <v>0</v>
      </c>
      <c r="E470" s="79">
        <f>VLOOKUP(C470,Itinerario!$D$117:$W$147,19,FALSE)</f>
        <v>0</v>
      </c>
      <c r="F470" s="79" t="e">
        <f>VLOOKUP(C470,Organización_Modular!$F$103:$G$133,2,FALSE)</f>
        <v>#N/A</v>
      </c>
    </row>
    <row r="471" spans="1:6" x14ac:dyDescent="0.2">
      <c r="A471" s="439"/>
      <c r="B471" s="440"/>
      <c r="C471" s="68"/>
      <c r="D471" s="78">
        <f>VLOOKUP(C471,Itinerario!$D$117:$W$147,18,FALSE)</f>
        <v>0</v>
      </c>
      <c r="E471" s="79">
        <f>VLOOKUP(C471,Itinerario!$D$117:$W$147,19,FALSE)</f>
        <v>0</v>
      </c>
      <c r="F471" s="79" t="e">
        <f>VLOOKUP(C471,Organización_Modular!$F$103:$G$133,2,FALSE)</f>
        <v>#N/A</v>
      </c>
    </row>
    <row r="472" spans="1:6" x14ac:dyDescent="0.2">
      <c r="A472" s="439"/>
      <c r="B472" s="440"/>
      <c r="C472" s="68"/>
      <c r="D472" s="78">
        <f>VLOOKUP(C472,Itinerario!$D$117:$W$147,18,FALSE)</f>
        <v>0</v>
      </c>
      <c r="E472" s="79">
        <f>VLOOKUP(C472,Itinerario!$D$117:$W$147,19,FALSE)</f>
        <v>0</v>
      </c>
      <c r="F472" s="79" t="e">
        <f>VLOOKUP(C472,Organización_Modular!$F$103:$G$133,2,FALSE)</f>
        <v>#N/A</v>
      </c>
    </row>
    <row r="473" spans="1:6" x14ac:dyDescent="0.2">
      <c r="A473" s="439"/>
      <c r="B473" s="440"/>
      <c r="C473" s="68"/>
      <c r="D473" s="78">
        <f>VLOOKUP(C473,Itinerario!$D$117:$W$147,18,FALSE)</f>
        <v>0</v>
      </c>
      <c r="E473" s="79">
        <f>VLOOKUP(C473,Itinerario!$D$117:$W$147,19,FALSE)</f>
        <v>0</v>
      </c>
      <c r="F473" s="79" t="e">
        <f>VLOOKUP(C473,Organización_Modular!$F$103:$G$133,2,FALSE)</f>
        <v>#N/A</v>
      </c>
    </row>
    <row r="474" spans="1:6" x14ac:dyDescent="0.2">
      <c r="A474" s="439"/>
      <c r="B474" s="440"/>
      <c r="C474" s="68"/>
      <c r="D474" s="78">
        <f>VLOOKUP(C474,Itinerario!$D$117:$W$147,18,FALSE)</f>
        <v>0</v>
      </c>
      <c r="E474" s="79">
        <f>VLOOKUP(C474,Itinerario!$D$117:$W$147,19,FALSE)</f>
        <v>0</v>
      </c>
      <c r="F474" s="79" t="e">
        <f>VLOOKUP(C474,Organización_Modular!$F$103:$G$133,2,FALSE)</f>
        <v>#N/A</v>
      </c>
    </row>
    <row r="475" spans="1:6" x14ac:dyDescent="0.2">
      <c r="A475" s="439"/>
      <c r="B475" s="440"/>
      <c r="C475" s="68"/>
      <c r="D475" s="78">
        <f>VLOOKUP(C475,Itinerario!$D$117:$W$147,18,FALSE)</f>
        <v>0</v>
      </c>
      <c r="E475" s="79">
        <f>VLOOKUP(C475,Itinerario!$D$117:$W$147,19,FALSE)</f>
        <v>0</v>
      </c>
      <c r="F475" s="79" t="e">
        <f>VLOOKUP(C475,Organización_Modular!$F$103:$G$133,2,FALSE)</f>
        <v>#N/A</v>
      </c>
    </row>
    <row r="476" spans="1:6" x14ac:dyDescent="0.2">
      <c r="A476" s="439"/>
      <c r="B476" s="440"/>
      <c r="C476" s="68"/>
      <c r="D476" s="78">
        <f>VLOOKUP(C476,Itinerario!$D$117:$W$147,18,FALSE)</f>
        <v>0</v>
      </c>
      <c r="E476" s="79">
        <f>VLOOKUP(C476,Itinerario!$D$117:$W$147,19,FALSE)</f>
        <v>0</v>
      </c>
      <c r="F476" s="79" t="e">
        <f>VLOOKUP(C476,Organización_Modular!$F$103:$G$133,2,FALSE)</f>
        <v>#N/A</v>
      </c>
    </row>
    <row r="477" spans="1:6" x14ac:dyDescent="0.2">
      <c r="A477" s="439"/>
      <c r="B477" s="440"/>
      <c r="C477" s="68"/>
      <c r="D477" s="78">
        <f>VLOOKUP(C477,Itinerario!$D$117:$W$147,18,FALSE)</f>
        <v>0</v>
      </c>
      <c r="E477" s="79">
        <f>VLOOKUP(C477,Itinerario!$D$117:$W$147,19,FALSE)</f>
        <v>0</v>
      </c>
      <c r="F477" s="79" t="e">
        <f>VLOOKUP(C477,Organización_Modular!$F$103:$G$133,2,FALSE)</f>
        <v>#N/A</v>
      </c>
    </row>
    <row r="478" spans="1:6" x14ac:dyDescent="0.2">
      <c r="A478" s="439"/>
      <c r="B478" s="440"/>
      <c r="C478" s="68"/>
      <c r="D478" s="78">
        <f>VLOOKUP(C478,Itinerario!$D$117:$W$147,18,FALSE)</f>
        <v>0</v>
      </c>
      <c r="E478" s="79">
        <f>VLOOKUP(C478,Itinerario!$D$117:$W$147,19,FALSE)</f>
        <v>0</v>
      </c>
      <c r="F478" s="79" t="e">
        <f>VLOOKUP(C478,Organización_Modular!$F$103:$G$133,2,FALSE)</f>
        <v>#N/A</v>
      </c>
    </row>
    <row r="479" spans="1:6" x14ac:dyDescent="0.2">
      <c r="A479" s="439"/>
      <c r="B479" s="440"/>
      <c r="C479" s="68"/>
      <c r="D479" s="78">
        <f>VLOOKUP(C479,Itinerario!$D$117:$W$147,18,FALSE)</f>
        <v>0</v>
      </c>
      <c r="E479" s="79">
        <f>VLOOKUP(C479,Itinerario!$D$117:$W$147,19,FALSE)</f>
        <v>0</v>
      </c>
      <c r="F479" s="79" t="e">
        <f>VLOOKUP(C479,Organización_Modular!$F$103:$G$133,2,FALSE)</f>
        <v>#N/A</v>
      </c>
    </row>
    <row r="480" spans="1:6" ht="12" customHeight="1" x14ac:dyDescent="0.2">
      <c r="A480" s="439"/>
      <c r="B480" s="440"/>
      <c r="C480" s="68"/>
      <c r="D480" s="78">
        <f>VLOOKUP(C480,Itinerario!$D$117:$W$147,18,FALSE)</f>
        <v>0</v>
      </c>
      <c r="E480" s="79">
        <f>VLOOKUP(C480,Itinerario!$D$117:$W$147,19,FALSE)</f>
        <v>0</v>
      </c>
      <c r="F480" s="79" t="e">
        <f>VLOOKUP(C480,Organización_Modular!$F$103:$G$133,2,FALSE)</f>
        <v>#N/A</v>
      </c>
    </row>
    <row r="481" spans="1:6" ht="12" customHeight="1" x14ac:dyDescent="0.2">
      <c r="A481" s="439"/>
      <c r="B481" s="440"/>
      <c r="C481" s="68"/>
      <c r="D481" s="78">
        <f>VLOOKUP(C481,Itinerario!$D$117:$W$147,18,FALSE)</f>
        <v>0</v>
      </c>
      <c r="E481" s="79">
        <f>VLOOKUP(C481,Itinerario!$D$117:$W$147,19,FALSE)</f>
        <v>0</v>
      </c>
      <c r="F481" s="79" t="e">
        <f>VLOOKUP(C481,Organización_Modular!$F$103:$G$133,2,FALSE)</f>
        <v>#N/A</v>
      </c>
    </row>
    <row r="482" spans="1:6" ht="12" customHeight="1" x14ac:dyDescent="0.2">
      <c r="A482" s="439"/>
      <c r="B482" s="440"/>
      <c r="C482" s="68"/>
      <c r="D482" s="78">
        <f>VLOOKUP(C482,Itinerario!$D$117:$W$147,18,FALSE)</f>
        <v>0</v>
      </c>
      <c r="E482" s="79">
        <f>VLOOKUP(C482,Itinerario!$D$117:$W$147,19,FALSE)</f>
        <v>0</v>
      </c>
      <c r="F482" s="79" t="e">
        <f>VLOOKUP(C482,Organización_Modular!$F$103:$G$133,2,FALSE)</f>
        <v>#N/A</v>
      </c>
    </row>
    <row r="483" spans="1:6" ht="12" customHeight="1" x14ac:dyDescent="0.2">
      <c r="A483" s="439"/>
      <c r="B483" s="440"/>
      <c r="C483" s="68"/>
      <c r="D483" s="78">
        <f>VLOOKUP(C483,Itinerario!$D$117:$W$147,18,FALSE)</f>
        <v>0</v>
      </c>
      <c r="E483" s="79">
        <f>VLOOKUP(C483,Itinerario!$D$117:$W$147,19,FALSE)</f>
        <v>0</v>
      </c>
      <c r="F483" s="79" t="e">
        <f>VLOOKUP(C483,Organización_Modular!$F$103:$G$133,2,FALSE)</f>
        <v>#N/A</v>
      </c>
    </row>
    <row r="484" spans="1:6" ht="12" customHeight="1" x14ac:dyDescent="0.2">
      <c r="A484" s="439"/>
      <c r="B484" s="440"/>
      <c r="C484" s="68"/>
      <c r="D484" s="78">
        <f>VLOOKUP(C484,Itinerario!$D$117:$W$147,18,FALSE)</f>
        <v>0</v>
      </c>
      <c r="E484" s="79">
        <f>VLOOKUP(C484,Itinerario!$D$117:$W$147,19,FALSE)</f>
        <v>0</v>
      </c>
      <c r="F484" s="79" t="e">
        <f>VLOOKUP(C484,Organización_Modular!$F$103:$G$133,2,FALSE)</f>
        <v>#N/A</v>
      </c>
    </row>
    <row r="485" spans="1:6" ht="12" customHeight="1" x14ac:dyDescent="0.2">
      <c r="A485" s="439"/>
      <c r="B485" s="440"/>
      <c r="C485" s="68"/>
      <c r="D485" s="78">
        <f>VLOOKUP(C485,Itinerario!$D$117:$W$147,18,FALSE)</f>
        <v>0</v>
      </c>
      <c r="E485" s="79">
        <f>VLOOKUP(C485,Itinerario!$D$117:$W$147,19,FALSE)</f>
        <v>0</v>
      </c>
      <c r="F485" s="79" t="e">
        <f>VLOOKUP(C485,Organización_Modular!$F$103:$G$133,2,FALSE)</f>
        <v>#N/A</v>
      </c>
    </row>
    <row r="486" spans="1:6" ht="12" customHeight="1" x14ac:dyDescent="0.2">
      <c r="A486" s="439"/>
      <c r="B486" s="440"/>
      <c r="C486" s="68"/>
      <c r="D486" s="78">
        <f>VLOOKUP(C486,Itinerario!$D$117:$W$147,18,FALSE)</f>
        <v>0</v>
      </c>
      <c r="E486" s="79">
        <f>VLOOKUP(C486,Itinerario!$D$117:$W$147,19,FALSE)</f>
        <v>0</v>
      </c>
      <c r="F486" s="79" t="e">
        <f>VLOOKUP(C486,Organización_Modular!$F$103:$G$133,2,FALSE)</f>
        <v>#N/A</v>
      </c>
    </row>
    <row r="487" spans="1:6" ht="12" customHeight="1" x14ac:dyDescent="0.2">
      <c r="A487" s="439"/>
      <c r="B487" s="440"/>
      <c r="C487" s="68"/>
      <c r="D487" s="78">
        <f>VLOOKUP(C487,Itinerario!$D$117:$W$147,18,FALSE)</f>
        <v>0</v>
      </c>
      <c r="E487" s="79">
        <f>VLOOKUP(C487,Itinerario!$D$117:$W$147,19,FALSE)</f>
        <v>0</v>
      </c>
      <c r="F487" s="79" t="e">
        <f>VLOOKUP(C487,Organización_Modular!$F$103:$G$133,2,FALSE)</f>
        <v>#N/A</v>
      </c>
    </row>
    <row r="488" spans="1:6" ht="12" customHeight="1" x14ac:dyDescent="0.2">
      <c r="A488" s="439"/>
      <c r="B488" s="440"/>
      <c r="C488" s="68"/>
      <c r="D488" s="78">
        <f>VLOOKUP(C488,Itinerario!$D$117:$W$147,18,FALSE)</f>
        <v>0</v>
      </c>
      <c r="E488" s="79">
        <f>VLOOKUP(C488,Itinerario!$D$117:$W$147,19,FALSE)</f>
        <v>0</v>
      </c>
      <c r="F488" s="79" t="e">
        <f>VLOOKUP(C488,Organización_Modular!$F$103:$G$133,2,FALSE)</f>
        <v>#N/A</v>
      </c>
    </row>
    <row r="489" spans="1:6" ht="12" customHeight="1" x14ac:dyDescent="0.2">
      <c r="A489" s="439"/>
      <c r="B489" s="440"/>
      <c r="C489" s="68"/>
      <c r="D489" s="78">
        <f>VLOOKUP(C489,Itinerario!$D$117:$W$147,18,FALSE)</f>
        <v>0</v>
      </c>
      <c r="E489" s="79">
        <f>VLOOKUP(C489,Itinerario!$D$117:$W$147,19,FALSE)</f>
        <v>0</v>
      </c>
      <c r="F489" s="79" t="e">
        <f>VLOOKUP(C489,Organización_Modular!$F$103:$G$133,2,FALSE)</f>
        <v>#N/A</v>
      </c>
    </row>
    <row r="490" spans="1:6" ht="12" customHeight="1" x14ac:dyDescent="0.2">
      <c r="A490" s="439"/>
      <c r="B490" s="440"/>
      <c r="C490" s="68"/>
      <c r="D490" s="78">
        <f>VLOOKUP(C490,Itinerario!$D$117:$W$147,18,FALSE)</f>
        <v>0</v>
      </c>
      <c r="E490" s="79">
        <f>VLOOKUP(C490,Itinerario!$D$117:$W$147,19,FALSE)</f>
        <v>0</v>
      </c>
      <c r="F490" s="79" t="e">
        <f>VLOOKUP(C490,Organización_Modular!$F$103:$G$133,2,FALSE)</f>
        <v>#N/A</v>
      </c>
    </row>
    <row r="491" spans="1:6" ht="12" customHeight="1" x14ac:dyDescent="0.2">
      <c r="A491" s="439"/>
      <c r="B491" s="440"/>
      <c r="C491" s="68"/>
      <c r="D491" s="78">
        <f>VLOOKUP(C491,Itinerario!$D$117:$W$147,18,FALSE)</f>
        <v>0</v>
      </c>
      <c r="E491" s="79">
        <f>VLOOKUP(C491,Itinerario!$D$117:$W$147,19,FALSE)</f>
        <v>0</v>
      </c>
      <c r="F491" s="79" t="e">
        <f>VLOOKUP(C491,Organización_Modular!$F$103:$G$133,2,FALSE)</f>
        <v>#N/A</v>
      </c>
    </row>
    <row r="492" spans="1:6" x14ac:dyDescent="0.2">
      <c r="A492" s="439"/>
      <c r="B492" s="440"/>
      <c r="C492" s="68"/>
      <c r="D492" s="78">
        <f>VLOOKUP(C492,Itinerario!$D$117:$W$147,18,FALSE)</f>
        <v>0</v>
      </c>
      <c r="E492" s="79">
        <f>VLOOKUP(C492,Itinerario!$D$117:$W$147,19,FALSE)</f>
        <v>0</v>
      </c>
      <c r="F492" s="79" t="e">
        <f>VLOOKUP(C492,Organización_Modular!$F$103:$G$133,2,FALSE)</f>
        <v>#N/A</v>
      </c>
    </row>
    <row r="493" spans="1:6" x14ac:dyDescent="0.2">
      <c r="A493" s="439"/>
      <c r="B493" s="440"/>
      <c r="C493" s="68"/>
      <c r="D493" s="78">
        <f>VLOOKUP(C493,Itinerario!$D$117:$W$147,18,FALSE)</f>
        <v>0</v>
      </c>
      <c r="E493" s="79">
        <f>VLOOKUP(C493,Itinerario!$D$117:$W$147,19,FALSE)</f>
        <v>0</v>
      </c>
      <c r="F493" s="79" t="e">
        <f>VLOOKUP(C493,Organización_Modular!$F$103:$G$133,2,FALSE)</f>
        <v>#N/A</v>
      </c>
    </row>
    <row r="494" spans="1:6" x14ac:dyDescent="0.2">
      <c r="A494" s="439"/>
      <c r="B494" s="440"/>
      <c r="C494" s="68"/>
      <c r="D494" s="78">
        <f>VLOOKUP(C494,Itinerario!$D$117:$W$147,18,FALSE)</f>
        <v>0</v>
      </c>
      <c r="E494" s="79">
        <f>VLOOKUP(C494,Itinerario!$D$117:$W$147,19,FALSE)</f>
        <v>0</v>
      </c>
      <c r="F494" s="79" t="e">
        <f>VLOOKUP(C494,Organización_Modular!$F$103:$G$133,2,FALSE)</f>
        <v>#N/A</v>
      </c>
    </row>
    <row r="495" spans="1:6" x14ac:dyDescent="0.2">
      <c r="A495" s="439"/>
      <c r="B495" s="440"/>
      <c r="C495" s="68"/>
      <c r="D495" s="78">
        <f>VLOOKUP(C495,Itinerario!$D$117:$W$147,18,FALSE)</f>
        <v>0</v>
      </c>
      <c r="E495" s="79">
        <f>VLOOKUP(C495,Itinerario!$D$117:$W$147,19,FALSE)</f>
        <v>0</v>
      </c>
      <c r="F495" s="79" t="e">
        <f>VLOOKUP(C495,Organización_Modular!$F$103:$G$133,2,FALSE)</f>
        <v>#N/A</v>
      </c>
    </row>
    <row r="496" spans="1:6" x14ac:dyDescent="0.2">
      <c r="A496" s="439"/>
      <c r="B496" s="440"/>
      <c r="C496" s="68"/>
      <c r="D496" s="78">
        <f>VLOOKUP(C496,Itinerario!$D$117:$W$147,18,FALSE)</f>
        <v>0</v>
      </c>
      <c r="E496" s="79">
        <f>VLOOKUP(C496,Itinerario!$D$117:$W$147,19,FALSE)</f>
        <v>0</v>
      </c>
      <c r="F496" s="79" t="e">
        <f>VLOOKUP(C496,Organización_Modular!$F$103:$G$133,2,FALSE)</f>
        <v>#N/A</v>
      </c>
    </row>
    <row r="497" spans="1:6" x14ac:dyDescent="0.2">
      <c r="A497" s="439"/>
      <c r="B497" s="440"/>
      <c r="C497" s="68"/>
      <c r="D497" s="78">
        <f>VLOOKUP(C497,Itinerario!$D$117:$W$147,18,FALSE)</f>
        <v>0</v>
      </c>
      <c r="E497" s="79">
        <f>VLOOKUP(C497,Itinerario!$D$117:$W$147,19,FALSE)</f>
        <v>0</v>
      </c>
      <c r="F497" s="79" t="e">
        <f>VLOOKUP(C497,Organización_Modular!$F$103:$G$133,2,FALSE)</f>
        <v>#N/A</v>
      </c>
    </row>
    <row r="498" spans="1:6" x14ac:dyDescent="0.2">
      <c r="A498" s="439"/>
      <c r="B498" s="440"/>
      <c r="C498" s="68"/>
      <c r="D498" s="78">
        <f>VLOOKUP(C498,Itinerario!$D$117:$W$147,18,FALSE)</f>
        <v>0</v>
      </c>
      <c r="E498" s="79">
        <f>VLOOKUP(C498,Itinerario!$D$117:$W$147,19,FALSE)</f>
        <v>0</v>
      </c>
      <c r="F498" s="79" t="e">
        <f>VLOOKUP(C498,Organización_Modular!$F$103:$G$133,2,FALSE)</f>
        <v>#N/A</v>
      </c>
    </row>
    <row r="499" spans="1:6" x14ac:dyDescent="0.2">
      <c r="A499" s="439"/>
      <c r="B499" s="440"/>
      <c r="C499" s="68"/>
      <c r="D499" s="78">
        <f>VLOOKUP(C499,Itinerario!$D$117:$W$147,18,FALSE)</f>
        <v>0</v>
      </c>
      <c r="E499" s="79">
        <f>VLOOKUP(C499,Itinerario!$D$117:$W$147,19,FALSE)</f>
        <v>0</v>
      </c>
      <c r="F499" s="79" t="e">
        <f>VLOOKUP(C499,Organización_Modular!$F$103:$G$133,2,FALSE)</f>
        <v>#N/A</v>
      </c>
    </row>
    <row r="500" spans="1:6" x14ac:dyDescent="0.2">
      <c r="A500" s="439"/>
      <c r="B500" s="440"/>
      <c r="C500" s="68"/>
      <c r="D500" s="78">
        <f>VLOOKUP(C500,Itinerario!$D$117:$W$147,18,FALSE)</f>
        <v>0</v>
      </c>
      <c r="E500" s="79">
        <f>VLOOKUP(C500,Itinerario!$D$117:$W$147,19,FALSE)</f>
        <v>0</v>
      </c>
      <c r="F500" s="79" t="e">
        <f>VLOOKUP(C500,Organización_Modular!$F$103:$G$133,2,FALSE)</f>
        <v>#N/A</v>
      </c>
    </row>
    <row r="501" spans="1:6" x14ac:dyDescent="0.2">
      <c r="A501" s="439"/>
      <c r="B501" s="440"/>
      <c r="C501" s="68"/>
      <c r="D501" s="78">
        <f>VLOOKUP(C501,Itinerario!$D$117:$W$147,18,FALSE)</f>
        <v>0</v>
      </c>
      <c r="E501" s="79">
        <f>VLOOKUP(C501,Itinerario!$D$117:$W$147,19,FALSE)</f>
        <v>0</v>
      </c>
      <c r="F501" s="79" t="e">
        <f>VLOOKUP(C501,Organización_Modular!$F$103:$G$133,2,FALSE)</f>
        <v>#N/A</v>
      </c>
    </row>
    <row r="502" spans="1:6" x14ac:dyDescent="0.2">
      <c r="A502" s="439"/>
      <c r="B502" s="440"/>
      <c r="C502" s="68"/>
      <c r="D502" s="78">
        <f>VLOOKUP(C502,Itinerario!$D$117:$W$147,18,FALSE)</f>
        <v>0</v>
      </c>
      <c r="E502" s="79">
        <f>VLOOKUP(C502,Itinerario!$D$117:$W$147,19,FALSE)</f>
        <v>0</v>
      </c>
      <c r="F502" s="79" t="e">
        <f>VLOOKUP(C502,Organización_Modular!$F$103:$G$133,2,FALSE)</f>
        <v>#N/A</v>
      </c>
    </row>
    <row r="503" spans="1:6" x14ac:dyDescent="0.2">
      <c r="A503" s="439"/>
      <c r="B503" s="440"/>
      <c r="C503" s="68"/>
      <c r="D503" s="78">
        <f>VLOOKUP(C503,Itinerario!$D$117:$W$147,18,FALSE)</f>
        <v>0</v>
      </c>
      <c r="E503" s="79">
        <f>VLOOKUP(C503,Itinerario!$D$117:$W$147,19,FALSE)</f>
        <v>0</v>
      </c>
      <c r="F503" s="79" t="e">
        <f>VLOOKUP(C503,Organización_Modular!$F$103:$G$133,2,FALSE)</f>
        <v>#N/A</v>
      </c>
    </row>
    <row r="504" spans="1:6" x14ac:dyDescent="0.2">
      <c r="A504" s="439"/>
      <c r="B504" s="440"/>
      <c r="C504" s="68"/>
      <c r="D504" s="78">
        <f>VLOOKUP(C504,Itinerario!$D$117:$W$147,18,FALSE)</f>
        <v>0</v>
      </c>
      <c r="E504" s="79">
        <f>VLOOKUP(C504,Itinerario!$D$117:$W$147,19,FALSE)</f>
        <v>0</v>
      </c>
      <c r="F504" s="79" t="e">
        <f>VLOOKUP(C504,Organización_Modular!$F$103:$G$133,2,FALSE)</f>
        <v>#N/A</v>
      </c>
    </row>
    <row r="505" spans="1:6" x14ac:dyDescent="0.2">
      <c r="A505" s="439"/>
      <c r="B505" s="440"/>
      <c r="C505" s="68"/>
      <c r="D505" s="78">
        <f>VLOOKUP(C505,Itinerario!$D$117:$W$147,18,FALSE)</f>
        <v>0</v>
      </c>
      <c r="E505" s="79">
        <f>VLOOKUP(C505,Itinerario!$D$117:$W$147,19,FALSE)</f>
        <v>0</v>
      </c>
      <c r="F505" s="79" t="e">
        <f>VLOOKUP(C505,Organización_Modular!$F$103:$G$133,2,FALSE)</f>
        <v>#N/A</v>
      </c>
    </row>
    <row r="506" spans="1:6" x14ac:dyDescent="0.2">
      <c r="A506" s="439"/>
      <c r="B506" s="440"/>
      <c r="C506" s="68"/>
      <c r="D506" s="78">
        <f>VLOOKUP(C506,Itinerario!$D$117:$W$147,18,FALSE)</f>
        <v>0</v>
      </c>
      <c r="E506" s="79">
        <f>VLOOKUP(C506,Itinerario!$D$117:$W$147,19,FALSE)</f>
        <v>0</v>
      </c>
      <c r="F506" s="79" t="e">
        <f>VLOOKUP(C506,Organización_Modular!$F$103:$G$133,2,FALSE)</f>
        <v>#N/A</v>
      </c>
    </row>
    <row r="507" spans="1:6" x14ac:dyDescent="0.2">
      <c r="A507" s="439"/>
      <c r="B507" s="440"/>
      <c r="C507" s="68"/>
      <c r="D507" s="78">
        <f>VLOOKUP(C507,Itinerario!$D$117:$W$147,18,FALSE)</f>
        <v>0</v>
      </c>
      <c r="E507" s="79">
        <f>VLOOKUP(C507,Itinerario!$D$117:$W$147,19,FALSE)</f>
        <v>0</v>
      </c>
      <c r="F507" s="79" t="e">
        <f>VLOOKUP(C507,Organización_Modular!$F$103:$G$133,2,FALSE)</f>
        <v>#N/A</v>
      </c>
    </row>
    <row r="508" spans="1:6" x14ac:dyDescent="0.2">
      <c r="A508" s="439"/>
      <c r="B508" s="440"/>
      <c r="C508" s="68"/>
      <c r="D508" s="78">
        <f>VLOOKUP(C508,Itinerario!$D$117:$W$147,18,FALSE)</f>
        <v>0</v>
      </c>
      <c r="E508" s="79">
        <f>VLOOKUP(C508,Itinerario!$D$117:$W$147,19,FALSE)</f>
        <v>0</v>
      </c>
      <c r="F508" s="79" t="e">
        <f>VLOOKUP(C508,Organización_Modular!$F$103:$G$133,2,FALSE)</f>
        <v>#N/A</v>
      </c>
    </row>
    <row r="509" spans="1:6" x14ac:dyDescent="0.2">
      <c r="A509" s="439"/>
      <c r="B509" s="440"/>
      <c r="C509" s="68"/>
      <c r="D509" s="78">
        <f>VLOOKUP(C509,Itinerario!$D$117:$W$147,18,FALSE)</f>
        <v>0</v>
      </c>
      <c r="E509" s="79">
        <f>VLOOKUP(C509,Itinerario!$D$117:$W$147,19,FALSE)</f>
        <v>0</v>
      </c>
      <c r="F509" s="79" t="e">
        <f>VLOOKUP(C509,Organización_Modular!$F$103:$G$133,2,FALSE)</f>
        <v>#N/A</v>
      </c>
    </row>
    <row r="510" spans="1:6" x14ac:dyDescent="0.2">
      <c r="A510" s="439"/>
      <c r="B510" s="440"/>
      <c r="C510" s="68"/>
      <c r="D510" s="78">
        <f>VLOOKUP(C510,Itinerario!$D$117:$W$147,18,FALSE)</f>
        <v>0</v>
      </c>
      <c r="E510" s="79">
        <f>VLOOKUP(C510,Itinerario!$D$117:$W$147,19,FALSE)</f>
        <v>0</v>
      </c>
      <c r="F510" s="79" t="e">
        <f>VLOOKUP(C510,Organización_Modular!$F$103:$G$133,2,FALSE)</f>
        <v>#N/A</v>
      </c>
    </row>
    <row r="511" spans="1:6" x14ac:dyDescent="0.2">
      <c r="A511" s="439"/>
      <c r="B511" s="440"/>
      <c r="C511" s="68"/>
      <c r="D511" s="78">
        <f>VLOOKUP(C511,Itinerario!$D$117:$W$147,18,FALSE)</f>
        <v>0</v>
      </c>
      <c r="E511" s="79">
        <f>VLOOKUP(C511,Itinerario!$D$117:$W$147,19,FALSE)</f>
        <v>0</v>
      </c>
      <c r="F511" s="79" t="e">
        <f>VLOOKUP(C511,Organización_Modular!$F$103:$G$133,2,FALSE)</f>
        <v>#N/A</v>
      </c>
    </row>
    <row r="512" spans="1:6" x14ac:dyDescent="0.2">
      <c r="A512" s="439"/>
      <c r="B512" s="440"/>
      <c r="C512" s="68"/>
      <c r="D512" s="78">
        <f>VLOOKUP(C512,Itinerario!$D$117:$W$147,18,FALSE)</f>
        <v>0</v>
      </c>
      <c r="E512" s="79">
        <f>VLOOKUP(C512,Itinerario!$D$117:$W$147,19,FALSE)</f>
        <v>0</v>
      </c>
      <c r="F512" s="79" t="e">
        <f>VLOOKUP(C512,Organización_Modular!$F$103:$G$133,2,FALSE)</f>
        <v>#N/A</v>
      </c>
    </row>
    <row r="513" spans="1:6" x14ac:dyDescent="0.2">
      <c r="A513" s="439"/>
      <c r="B513" s="440"/>
      <c r="C513" s="68"/>
      <c r="D513" s="78">
        <f>VLOOKUP(C513,Itinerario!$D$117:$W$147,18,FALSE)</f>
        <v>0</v>
      </c>
      <c r="E513" s="79">
        <f>VLOOKUP(C513,Itinerario!$D$117:$W$147,19,FALSE)</f>
        <v>0</v>
      </c>
      <c r="F513" s="79" t="e">
        <f>VLOOKUP(C513,Organización_Modular!$F$103:$G$133,2,FALSE)</f>
        <v>#N/A</v>
      </c>
    </row>
    <row r="514" spans="1:6" x14ac:dyDescent="0.2">
      <c r="A514" s="439"/>
      <c r="B514" s="440"/>
      <c r="C514" s="68"/>
      <c r="D514" s="78">
        <f>VLOOKUP(C514,Itinerario!$D$117:$W$147,18,FALSE)</f>
        <v>0</v>
      </c>
      <c r="E514" s="79">
        <f>VLOOKUP(C514,Itinerario!$D$117:$W$147,19,FALSE)</f>
        <v>0</v>
      </c>
      <c r="F514" s="79" t="e">
        <f>VLOOKUP(C514,Organización_Modular!$F$103:$G$133,2,FALSE)</f>
        <v>#N/A</v>
      </c>
    </row>
    <row r="515" spans="1:6" x14ac:dyDescent="0.2">
      <c r="A515" s="439"/>
      <c r="B515" s="440"/>
      <c r="C515" s="68"/>
      <c r="D515" s="78">
        <f>VLOOKUP(C515,Itinerario!$D$117:$W$147,18,FALSE)</f>
        <v>0</v>
      </c>
      <c r="E515" s="79">
        <f>VLOOKUP(C515,Itinerario!$D$117:$W$147,19,FALSE)</f>
        <v>0</v>
      </c>
      <c r="F515" s="79" t="e">
        <f>VLOOKUP(C515,Organización_Modular!$F$103:$G$133,2,FALSE)</f>
        <v>#N/A</v>
      </c>
    </row>
    <row r="516" spans="1:6" x14ac:dyDescent="0.2">
      <c r="A516" s="439"/>
      <c r="B516" s="440"/>
      <c r="C516" s="68"/>
      <c r="D516" s="78">
        <f>VLOOKUP(C516,Itinerario!$D$117:$W$147,18,FALSE)</f>
        <v>0</v>
      </c>
      <c r="E516" s="79">
        <f>VLOOKUP(C516,Itinerario!$D$117:$W$147,19,FALSE)</f>
        <v>0</v>
      </c>
      <c r="F516" s="79" t="e">
        <f>VLOOKUP(C516,Organización_Modular!$F$103:$G$133,2,FALSE)</f>
        <v>#N/A</v>
      </c>
    </row>
    <row r="517" spans="1:6" x14ac:dyDescent="0.2">
      <c r="A517" s="439"/>
      <c r="B517" s="440"/>
      <c r="C517" s="68"/>
      <c r="D517" s="78">
        <f>VLOOKUP(C517,Itinerario!$D$117:$W$147,18,FALSE)</f>
        <v>0</v>
      </c>
      <c r="E517" s="79">
        <f>VLOOKUP(C517,Itinerario!$D$117:$W$147,19,FALSE)</f>
        <v>0</v>
      </c>
      <c r="F517" s="79" t="e">
        <f>VLOOKUP(C517,Organización_Modular!$F$103:$G$133,2,FALSE)</f>
        <v>#N/A</v>
      </c>
    </row>
    <row r="518" spans="1:6" x14ac:dyDescent="0.2">
      <c r="A518" s="439"/>
      <c r="B518" s="440"/>
      <c r="C518" s="68"/>
      <c r="D518" s="78">
        <f>VLOOKUP(C518,Itinerario!$D$117:$W$147,18,FALSE)</f>
        <v>0</v>
      </c>
      <c r="E518" s="79">
        <f>VLOOKUP(C518,Itinerario!$D$117:$W$147,19,FALSE)</f>
        <v>0</v>
      </c>
      <c r="F518" s="79" t="e">
        <f>VLOOKUP(C518,Organización_Modular!$F$103:$G$133,2,FALSE)</f>
        <v>#N/A</v>
      </c>
    </row>
    <row r="519" spans="1:6" x14ac:dyDescent="0.2">
      <c r="A519" s="439"/>
      <c r="B519" s="440"/>
      <c r="C519" s="68"/>
      <c r="D519" s="78">
        <f>VLOOKUP(C519,Itinerario!$D$117:$W$147,18,FALSE)</f>
        <v>0</v>
      </c>
      <c r="E519" s="79">
        <f>VLOOKUP(C519,Itinerario!$D$117:$W$147,19,FALSE)</f>
        <v>0</v>
      </c>
      <c r="F519" s="79" t="e">
        <f>VLOOKUP(C519,Organización_Modular!$F$103:$G$133,2,FALSE)</f>
        <v>#N/A</v>
      </c>
    </row>
    <row r="520" spans="1:6" x14ac:dyDescent="0.2">
      <c r="A520" s="439"/>
      <c r="B520" s="440"/>
      <c r="C520" s="68"/>
      <c r="D520" s="78">
        <f>VLOOKUP(C520,Itinerario!$D$117:$W$147,18,FALSE)</f>
        <v>0</v>
      </c>
      <c r="E520" s="79">
        <f>VLOOKUP(C520,Itinerario!$D$117:$W$147,19,FALSE)</f>
        <v>0</v>
      </c>
      <c r="F520" s="79" t="e">
        <f>VLOOKUP(C520,Organización_Modular!$F$103:$G$133,2,FALSE)</f>
        <v>#N/A</v>
      </c>
    </row>
    <row r="521" spans="1:6" x14ac:dyDescent="0.2">
      <c r="A521" s="439"/>
      <c r="B521" s="440"/>
      <c r="C521" s="68"/>
      <c r="D521" s="78">
        <f>VLOOKUP(C521,Itinerario!$D$117:$W$147,18,FALSE)</f>
        <v>0</v>
      </c>
      <c r="E521" s="79">
        <f>VLOOKUP(C521,Itinerario!$D$117:$W$147,19,FALSE)</f>
        <v>0</v>
      </c>
      <c r="F521" s="79" t="e">
        <f>VLOOKUP(C521,Organización_Modular!$F$103:$G$133,2,FALSE)</f>
        <v>#N/A</v>
      </c>
    </row>
    <row r="522" spans="1:6" x14ac:dyDescent="0.2">
      <c r="A522" s="439"/>
      <c r="B522" s="440"/>
      <c r="C522" s="68"/>
      <c r="D522" s="78">
        <f>VLOOKUP(C522,Itinerario!$D$117:$W$147,18,FALSE)</f>
        <v>0</v>
      </c>
      <c r="E522" s="79">
        <f>VLOOKUP(C522,Itinerario!$D$117:$W$147,19,FALSE)</f>
        <v>0</v>
      </c>
      <c r="F522" s="79" t="e">
        <f>VLOOKUP(C522,Organización_Modular!$F$103:$G$133,2,FALSE)</f>
        <v>#N/A</v>
      </c>
    </row>
    <row r="523" spans="1:6" x14ac:dyDescent="0.2">
      <c r="A523" s="439"/>
      <c r="B523" s="440"/>
      <c r="C523" s="68"/>
      <c r="D523" s="78">
        <f>VLOOKUP(C523,Itinerario!$D$117:$W$147,18,FALSE)</f>
        <v>0</v>
      </c>
      <c r="E523" s="79">
        <f>VLOOKUP(C523,Itinerario!$D$117:$W$147,19,FALSE)</f>
        <v>0</v>
      </c>
      <c r="F523" s="79" t="e">
        <f>VLOOKUP(C523,Organización_Modular!$F$103:$G$133,2,FALSE)</f>
        <v>#N/A</v>
      </c>
    </row>
    <row r="524" spans="1:6" x14ac:dyDescent="0.2">
      <c r="A524" s="439"/>
      <c r="B524" s="440"/>
      <c r="C524" s="68"/>
      <c r="D524" s="78">
        <f>VLOOKUP(C524,Itinerario!$D$117:$W$147,18,FALSE)</f>
        <v>0</v>
      </c>
      <c r="E524" s="79">
        <f>VLOOKUP(C524,Itinerario!$D$117:$W$147,19,FALSE)</f>
        <v>0</v>
      </c>
      <c r="F524" s="79" t="e">
        <f>VLOOKUP(C524,Organización_Modular!$F$103:$G$133,2,FALSE)</f>
        <v>#N/A</v>
      </c>
    </row>
    <row r="525" spans="1:6" x14ac:dyDescent="0.2">
      <c r="A525" s="439"/>
      <c r="B525" s="440"/>
      <c r="C525" s="68"/>
      <c r="D525" s="78">
        <f>VLOOKUP(C525,Itinerario!$D$117:$W$147,18,FALSE)</f>
        <v>0</v>
      </c>
      <c r="E525" s="79">
        <f>VLOOKUP(C525,Itinerario!$D$117:$W$147,19,FALSE)</f>
        <v>0</v>
      </c>
      <c r="F525" s="79" t="e">
        <f>VLOOKUP(C525,Organización_Modular!$F$103:$G$133,2,FALSE)</f>
        <v>#N/A</v>
      </c>
    </row>
    <row r="526" spans="1:6" x14ac:dyDescent="0.2">
      <c r="A526" s="439"/>
      <c r="B526" s="440"/>
      <c r="C526" s="68"/>
      <c r="D526" s="78">
        <f>VLOOKUP(C526,Itinerario!$D$117:$W$147,18,FALSE)</f>
        <v>0</v>
      </c>
      <c r="E526" s="79">
        <f>VLOOKUP(C526,Itinerario!$D$117:$W$147,19,FALSE)</f>
        <v>0</v>
      </c>
      <c r="F526" s="79" t="e">
        <f>VLOOKUP(C526,Organización_Modular!$F$103:$G$133,2,FALSE)</f>
        <v>#N/A</v>
      </c>
    </row>
    <row r="527" spans="1:6" x14ac:dyDescent="0.2">
      <c r="A527" s="439"/>
      <c r="B527" s="440"/>
      <c r="C527" s="68"/>
      <c r="D527" s="78">
        <f>VLOOKUP(C527,Itinerario!$D$117:$W$147,18,FALSE)</f>
        <v>0</v>
      </c>
      <c r="E527" s="79">
        <f>VLOOKUP(C527,Itinerario!$D$117:$W$147,19,FALSE)</f>
        <v>0</v>
      </c>
      <c r="F527" s="79" t="e">
        <f>VLOOKUP(C527,Organización_Modular!$F$103:$G$133,2,FALSE)</f>
        <v>#N/A</v>
      </c>
    </row>
    <row r="528" spans="1:6" x14ac:dyDescent="0.2">
      <c r="A528" s="439"/>
      <c r="B528" s="440"/>
      <c r="C528" s="68"/>
      <c r="D528" s="78">
        <f>VLOOKUP(C528,Itinerario!$D$117:$W$147,18,FALSE)</f>
        <v>0</v>
      </c>
      <c r="E528" s="79">
        <f>VLOOKUP(C528,Itinerario!$D$117:$W$147,19,FALSE)</f>
        <v>0</v>
      </c>
      <c r="F528" s="79" t="e">
        <f>VLOOKUP(C528,Organización_Modular!$F$103:$G$133,2,FALSE)</f>
        <v>#N/A</v>
      </c>
    </row>
    <row r="529" spans="1:6" x14ac:dyDescent="0.2">
      <c r="A529" s="439"/>
      <c r="B529" s="440"/>
      <c r="C529" s="68"/>
      <c r="D529" s="78">
        <f>VLOOKUP(C529,Itinerario!$D$117:$W$147,18,FALSE)</f>
        <v>0</v>
      </c>
      <c r="E529" s="79">
        <f>VLOOKUP(C529,Itinerario!$D$117:$W$147,19,FALSE)</f>
        <v>0</v>
      </c>
      <c r="F529" s="79" t="e">
        <f>VLOOKUP(C529,Organización_Modular!$F$103:$G$133,2,FALSE)</f>
        <v>#N/A</v>
      </c>
    </row>
    <row r="530" spans="1:6" x14ac:dyDescent="0.2">
      <c r="A530" s="439"/>
      <c r="B530" s="440"/>
      <c r="C530" s="68"/>
      <c r="D530" s="78">
        <f>VLOOKUP(C530,Itinerario!$D$117:$W$147,18,FALSE)</f>
        <v>0</v>
      </c>
      <c r="E530" s="79">
        <f>VLOOKUP(C530,Itinerario!$D$117:$W$147,19,FALSE)</f>
        <v>0</v>
      </c>
      <c r="F530" s="79" t="e">
        <f>VLOOKUP(C530,Organización_Modular!$F$103:$G$133,2,FALSE)</f>
        <v>#N/A</v>
      </c>
    </row>
    <row r="531" spans="1:6" x14ac:dyDescent="0.2">
      <c r="A531" s="439"/>
      <c r="B531" s="440"/>
      <c r="C531" s="68"/>
      <c r="D531" s="78">
        <f>VLOOKUP(C531,Itinerario!$D$117:$W$147,18,FALSE)</f>
        <v>0</v>
      </c>
      <c r="E531" s="79">
        <f>VLOOKUP(C531,Itinerario!$D$117:$W$147,19,FALSE)</f>
        <v>0</v>
      </c>
      <c r="F531" s="79" t="e">
        <f>VLOOKUP(C531,Organización_Modular!$F$103:$G$133,2,FALSE)</f>
        <v>#N/A</v>
      </c>
    </row>
    <row r="532" spans="1:6" x14ac:dyDescent="0.2">
      <c r="A532" s="439"/>
      <c r="B532" s="440"/>
      <c r="C532" s="68"/>
      <c r="D532" s="78">
        <f>VLOOKUP(C532,Itinerario!$D$117:$W$147,18,FALSE)</f>
        <v>0</v>
      </c>
      <c r="E532" s="79">
        <f>VLOOKUP(C532,Itinerario!$D$117:$W$147,19,FALSE)</f>
        <v>0</v>
      </c>
      <c r="F532" s="79" t="e">
        <f>VLOOKUP(C532,Organización_Modular!$F$103:$G$133,2,FALSE)</f>
        <v>#N/A</v>
      </c>
    </row>
    <row r="533" spans="1:6" x14ac:dyDescent="0.2">
      <c r="A533" s="439"/>
      <c r="B533" s="440"/>
      <c r="C533" s="68"/>
      <c r="D533" s="78">
        <f>VLOOKUP(C533,Itinerario!$D$117:$W$147,18,FALSE)</f>
        <v>0</v>
      </c>
      <c r="E533" s="79">
        <f>VLOOKUP(C533,Itinerario!$D$117:$W$147,19,FALSE)</f>
        <v>0</v>
      </c>
      <c r="F533" s="79" t="e">
        <f>VLOOKUP(C533,Organización_Modular!$F$103:$G$133,2,FALSE)</f>
        <v>#N/A</v>
      </c>
    </row>
    <row r="534" spans="1:6" x14ac:dyDescent="0.2">
      <c r="A534" s="439"/>
      <c r="B534" s="440"/>
      <c r="C534" s="68"/>
      <c r="D534" s="78">
        <f>VLOOKUP(C534,Itinerario!$D$117:$W$147,18,FALSE)</f>
        <v>0</v>
      </c>
      <c r="E534" s="79">
        <f>VLOOKUP(C534,Itinerario!$D$117:$W$147,19,FALSE)</f>
        <v>0</v>
      </c>
      <c r="F534" s="79" t="e">
        <f>VLOOKUP(C534,Organización_Modular!$F$103:$G$133,2,FALSE)</f>
        <v>#N/A</v>
      </c>
    </row>
    <row r="535" spans="1:6" x14ac:dyDescent="0.2">
      <c r="A535" s="439"/>
      <c r="B535" s="440"/>
      <c r="C535" s="68"/>
      <c r="D535" s="78">
        <f>VLOOKUP(C535,Itinerario!$D$117:$W$147,18,FALSE)</f>
        <v>0</v>
      </c>
      <c r="E535" s="79">
        <f>VLOOKUP(C535,Itinerario!$D$117:$W$147,19,FALSE)</f>
        <v>0</v>
      </c>
      <c r="F535" s="79" t="e">
        <f>VLOOKUP(C535,Organización_Modular!$F$103:$G$133,2,FALSE)</f>
        <v>#N/A</v>
      </c>
    </row>
    <row r="536" spans="1:6" x14ac:dyDescent="0.2">
      <c r="A536" s="439"/>
      <c r="B536" s="440"/>
      <c r="C536" s="68"/>
      <c r="D536" s="78">
        <f>VLOOKUP(C536,Itinerario!$D$117:$W$147,18,FALSE)</f>
        <v>0</v>
      </c>
      <c r="E536" s="79">
        <f>VLOOKUP(C536,Itinerario!$D$117:$W$147,19,FALSE)</f>
        <v>0</v>
      </c>
      <c r="F536" s="79" t="e">
        <f>VLOOKUP(C536,Organización_Modular!$F$103:$G$133,2,FALSE)</f>
        <v>#N/A</v>
      </c>
    </row>
    <row r="537" spans="1:6" x14ac:dyDescent="0.2">
      <c r="A537" s="439"/>
      <c r="B537" s="440"/>
      <c r="C537" s="68"/>
      <c r="D537" s="78">
        <f>VLOOKUP(C537,Itinerario!$D$117:$W$147,18,FALSE)</f>
        <v>0</v>
      </c>
      <c r="E537" s="79">
        <f>VLOOKUP(C537,Itinerario!$D$117:$W$147,19,FALSE)</f>
        <v>0</v>
      </c>
      <c r="F537" s="79" t="e">
        <f>VLOOKUP(C537,Organización_Modular!$F$103:$G$133,2,FALSE)</f>
        <v>#N/A</v>
      </c>
    </row>
    <row r="538" spans="1:6" x14ac:dyDescent="0.2">
      <c r="A538" s="439"/>
      <c r="B538" s="440"/>
      <c r="C538" s="68"/>
      <c r="D538" s="78">
        <f>VLOOKUP(C538,Itinerario!$D$117:$W$147,18,FALSE)</f>
        <v>0</v>
      </c>
      <c r="E538" s="79">
        <f>VLOOKUP(C538,Itinerario!$D$117:$W$147,19,FALSE)</f>
        <v>0</v>
      </c>
      <c r="F538" s="79" t="e">
        <f>VLOOKUP(C538,Organización_Modular!$F$103:$G$133,2,FALSE)</f>
        <v>#N/A</v>
      </c>
    </row>
    <row r="539" spans="1:6" x14ac:dyDescent="0.2">
      <c r="A539" s="439"/>
      <c r="B539" s="440"/>
      <c r="C539" s="69"/>
      <c r="D539" s="78">
        <f>VLOOKUP(C539,Itinerario!$D$117:$W$147,18,FALSE)</f>
        <v>0</v>
      </c>
      <c r="E539" s="79">
        <f>VLOOKUP(C539,Itinerario!$D$117:$W$147,19,FALSE)</f>
        <v>0</v>
      </c>
      <c r="F539" s="79" t="e">
        <f>VLOOKUP(C539,Organización_Modular!$F$103:$G$133,2,FALSE)</f>
        <v>#N/A</v>
      </c>
    </row>
    <row r="540" spans="1:6" x14ac:dyDescent="0.2">
      <c r="A540" s="439"/>
      <c r="B540" s="440"/>
      <c r="C540" s="69"/>
      <c r="D540" s="78">
        <f>VLOOKUP(C540,Itinerario!$D$117:$W$147,18,FALSE)</f>
        <v>0</v>
      </c>
      <c r="E540" s="79">
        <f>VLOOKUP(C540,Itinerario!$D$117:$W$147,19,FALSE)</f>
        <v>0</v>
      </c>
      <c r="F540" s="79" t="e">
        <f>VLOOKUP(C540,Organización_Modular!$F$103:$G$133,2,FALSE)</f>
        <v>#N/A</v>
      </c>
    </row>
    <row r="541" spans="1:6" x14ac:dyDescent="0.2">
      <c r="A541" s="439"/>
      <c r="B541" s="440"/>
      <c r="C541" s="69"/>
      <c r="D541" s="78">
        <f>VLOOKUP(C541,Itinerario!$D$117:$W$147,18,FALSE)</f>
        <v>0</v>
      </c>
      <c r="E541" s="79">
        <f>VLOOKUP(C541,Itinerario!$D$117:$W$147,19,FALSE)</f>
        <v>0</v>
      </c>
      <c r="F541" s="79" t="e">
        <f>VLOOKUP(C541,Organización_Modular!$F$103:$G$133,2,FALSE)</f>
        <v>#N/A</v>
      </c>
    </row>
    <row r="542" spans="1:6" x14ac:dyDescent="0.2">
      <c r="A542" s="439"/>
      <c r="B542" s="440"/>
      <c r="C542" s="69"/>
      <c r="D542" s="78">
        <f>VLOOKUP(C542,Itinerario!$D$117:$W$147,18,FALSE)</f>
        <v>0</v>
      </c>
      <c r="E542" s="79">
        <f>VLOOKUP(C542,Itinerario!$D$117:$W$147,19,FALSE)</f>
        <v>0</v>
      </c>
      <c r="F542" s="79" t="e">
        <f>VLOOKUP(C542,Organización_Modular!$F$103:$G$133,2,FALSE)</f>
        <v>#N/A</v>
      </c>
    </row>
    <row r="543" spans="1:6" x14ac:dyDescent="0.2">
      <c r="A543" s="439"/>
      <c r="B543" s="440"/>
      <c r="C543" s="69"/>
      <c r="D543" s="78">
        <f>VLOOKUP(C543,Itinerario!$D$117:$W$147,18,FALSE)</f>
        <v>0</v>
      </c>
      <c r="E543" s="79">
        <f>VLOOKUP(C543,Itinerario!$D$117:$W$147,19,FALSE)</f>
        <v>0</v>
      </c>
      <c r="F543" s="79" t="e">
        <f>VLOOKUP(C543,Organización_Modular!$F$103:$G$133,2,FALSE)</f>
        <v>#N/A</v>
      </c>
    </row>
    <row r="544" spans="1:6" x14ac:dyDescent="0.2">
      <c r="A544" s="439"/>
      <c r="B544" s="440"/>
      <c r="C544" s="69"/>
      <c r="D544" s="78">
        <f>VLOOKUP(C544,Itinerario!$D$117:$W$147,18,FALSE)</f>
        <v>0</v>
      </c>
      <c r="E544" s="79">
        <f>VLOOKUP(C544,Itinerario!$D$117:$W$147,19,FALSE)</f>
        <v>0</v>
      </c>
      <c r="F544" s="79" t="e">
        <f>VLOOKUP(C544,Organización_Modular!$F$103:$G$133,2,FALSE)</f>
        <v>#N/A</v>
      </c>
    </row>
    <row r="545" spans="1:6" x14ac:dyDescent="0.2">
      <c r="A545" s="439"/>
      <c r="B545" s="440"/>
      <c r="C545" s="69"/>
      <c r="D545" s="78">
        <f>VLOOKUP(C545,Itinerario!$D$117:$W$147,18,FALSE)</f>
        <v>0</v>
      </c>
      <c r="E545" s="79">
        <f>VLOOKUP(C545,Itinerario!$D$117:$W$147,19,FALSE)</f>
        <v>0</v>
      </c>
      <c r="F545" s="79" t="e">
        <f>VLOOKUP(C545,Organización_Modular!$F$103:$G$133,2,FALSE)</f>
        <v>#N/A</v>
      </c>
    </row>
    <row r="546" spans="1:6" x14ac:dyDescent="0.2">
      <c r="A546" s="439"/>
      <c r="B546" s="440"/>
      <c r="C546" s="69"/>
      <c r="D546" s="78">
        <f>VLOOKUP(C546,Itinerario!$D$117:$W$147,18,FALSE)</f>
        <v>0</v>
      </c>
      <c r="E546" s="79">
        <f>VLOOKUP(C546,Itinerario!$D$117:$W$147,19,FALSE)</f>
        <v>0</v>
      </c>
      <c r="F546" s="79" t="e">
        <f>VLOOKUP(C546,Organización_Modular!$F$103:$G$133,2,FALSE)</f>
        <v>#N/A</v>
      </c>
    </row>
    <row r="547" spans="1:6" x14ac:dyDescent="0.2">
      <c r="A547" s="439"/>
      <c r="B547" s="440"/>
      <c r="C547" s="69"/>
      <c r="D547" s="78">
        <f>VLOOKUP(C547,Itinerario!$D$117:$W$147,18,FALSE)</f>
        <v>0</v>
      </c>
      <c r="E547" s="79">
        <f>VLOOKUP(C547,Itinerario!$D$117:$W$147,19,FALSE)</f>
        <v>0</v>
      </c>
      <c r="F547" s="79" t="e">
        <f>VLOOKUP(C547,Organización_Modular!$F$103:$G$133,2,FALSE)</f>
        <v>#N/A</v>
      </c>
    </row>
    <row r="548" spans="1:6" x14ac:dyDescent="0.2">
      <c r="A548" s="439"/>
      <c r="B548" s="440"/>
      <c r="C548" s="69"/>
      <c r="D548" s="78">
        <f>VLOOKUP(C548,Itinerario!$D$117:$W$147,18,FALSE)</f>
        <v>0</v>
      </c>
      <c r="E548" s="79">
        <f>VLOOKUP(C548,Itinerario!$D$117:$W$147,19,FALSE)</f>
        <v>0</v>
      </c>
      <c r="F548" s="79" t="e">
        <f>VLOOKUP(C548,Organización_Modular!$F$103:$G$133,2,FALSE)</f>
        <v>#N/A</v>
      </c>
    </row>
    <row r="549" spans="1:6" x14ac:dyDescent="0.2">
      <c r="A549" s="439"/>
      <c r="B549" s="440"/>
      <c r="C549" s="69"/>
      <c r="D549" s="78">
        <f>VLOOKUP(C549,Itinerario!$D$117:$W$147,18,FALSE)</f>
        <v>0</v>
      </c>
      <c r="E549" s="79">
        <f>VLOOKUP(C549,Itinerario!$D$117:$W$147,19,FALSE)</f>
        <v>0</v>
      </c>
      <c r="F549" s="79" t="e">
        <f>VLOOKUP(C549,Organización_Modular!$F$103:$G$133,2,FALSE)</f>
        <v>#N/A</v>
      </c>
    </row>
    <row r="550" spans="1:6" x14ac:dyDescent="0.2">
      <c r="A550" s="439"/>
      <c r="B550" s="440"/>
      <c r="C550" s="69"/>
      <c r="D550" s="78">
        <f>VLOOKUP(C550,Itinerario!$D$117:$W$147,18,FALSE)</f>
        <v>0</v>
      </c>
      <c r="E550" s="79">
        <f>VLOOKUP(C550,Itinerario!$D$117:$W$147,19,FALSE)</f>
        <v>0</v>
      </c>
      <c r="F550" s="79" t="e">
        <f>VLOOKUP(C550,Organización_Modular!$F$103:$G$133,2,FALSE)</f>
        <v>#N/A</v>
      </c>
    </row>
    <row r="551" spans="1:6" x14ac:dyDescent="0.2">
      <c r="A551" s="439"/>
      <c r="B551" s="440"/>
      <c r="C551" s="69"/>
      <c r="D551" s="78">
        <f>VLOOKUP(C551,Itinerario!$D$117:$W$147,18,FALSE)</f>
        <v>0</v>
      </c>
      <c r="E551" s="79">
        <f>VLOOKUP(C551,Itinerario!$D$117:$W$147,19,FALSE)</f>
        <v>0</v>
      </c>
      <c r="F551" s="79" t="e">
        <f>VLOOKUP(C551,Organización_Modular!$F$103:$G$133,2,FALSE)</f>
        <v>#N/A</v>
      </c>
    </row>
    <row r="552" spans="1:6" x14ac:dyDescent="0.2">
      <c r="A552" s="439"/>
      <c r="B552" s="440"/>
      <c r="C552" s="69"/>
      <c r="D552" s="78">
        <f>VLOOKUP(C552,Itinerario!$D$117:$W$147,18,FALSE)</f>
        <v>0</v>
      </c>
      <c r="E552" s="79">
        <f>VLOOKUP(C552,Itinerario!$D$117:$W$147,19,FALSE)</f>
        <v>0</v>
      </c>
      <c r="F552" s="79" t="e">
        <f>VLOOKUP(C552,Organización_Modular!$F$103:$G$133,2,FALSE)</f>
        <v>#N/A</v>
      </c>
    </row>
    <row r="553" spans="1:6" x14ac:dyDescent="0.2">
      <c r="A553" s="439"/>
      <c r="B553" s="440"/>
      <c r="C553" s="69"/>
      <c r="D553" s="78">
        <f>VLOOKUP(C553,Itinerario!$D$117:$W$147,18,FALSE)</f>
        <v>0</v>
      </c>
      <c r="E553" s="79">
        <f>VLOOKUP(C553,Itinerario!$D$117:$W$147,19,FALSE)</f>
        <v>0</v>
      </c>
      <c r="F553" s="79" t="e">
        <f>VLOOKUP(C553,Organización_Modular!$F$103:$G$133,2,FALSE)</f>
        <v>#N/A</v>
      </c>
    </row>
    <row r="554" spans="1:6" x14ac:dyDescent="0.2">
      <c r="A554" s="439"/>
      <c r="B554" s="440"/>
      <c r="C554" s="69"/>
      <c r="D554" s="78">
        <f>VLOOKUP(C554,Itinerario!$D$117:$W$147,18,FALSE)</f>
        <v>0</v>
      </c>
      <c r="E554" s="79">
        <f>VLOOKUP(C554,Itinerario!$D$117:$W$147,19,FALSE)</f>
        <v>0</v>
      </c>
      <c r="F554" s="79" t="e">
        <f>VLOOKUP(C554,Organización_Modular!$F$103:$G$133,2,FALSE)</f>
        <v>#N/A</v>
      </c>
    </row>
    <row r="555" spans="1:6" x14ac:dyDescent="0.2">
      <c r="A555" s="439"/>
      <c r="B555" s="440"/>
      <c r="C555" s="69"/>
      <c r="D555" s="78">
        <f>VLOOKUP(C555,Itinerario!$D$117:$W$147,18,FALSE)</f>
        <v>0</v>
      </c>
      <c r="E555" s="79">
        <f>VLOOKUP(C555,Itinerario!$D$117:$W$147,19,FALSE)</f>
        <v>0</v>
      </c>
      <c r="F555" s="79" t="e">
        <f>VLOOKUP(C555,Organización_Modular!$F$103:$G$133,2,FALSE)</f>
        <v>#N/A</v>
      </c>
    </row>
    <row r="556" spans="1:6" x14ac:dyDescent="0.2">
      <c r="A556" s="439"/>
      <c r="B556" s="440"/>
      <c r="C556" s="69"/>
      <c r="D556" s="78">
        <f>VLOOKUP(C556,Itinerario!$D$117:$W$147,18,FALSE)</f>
        <v>0</v>
      </c>
      <c r="E556" s="79">
        <f>VLOOKUP(C556,Itinerario!$D$117:$W$147,19,FALSE)</f>
        <v>0</v>
      </c>
      <c r="F556" s="79" t="e">
        <f>VLOOKUP(C556,Organización_Modular!$F$103:$G$133,2,FALSE)</f>
        <v>#N/A</v>
      </c>
    </row>
    <row r="557" spans="1:6" x14ac:dyDescent="0.2">
      <c r="A557" s="439"/>
      <c r="B557" s="440"/>
      <c r="C557" s="69"/>
      <c r="D557" s="78">
        <f>VLOOKUP(C557,Itinerario!$D$117:$W$147,18,FALSE)</f>
        <v>0</v>
      </c>
      <c r="E557" s="79">
        <f>VLOOKUP(C557,Itinerario!$D$117:$W$147,19,FALSE)</f>
        <v>0</v>
      </c>
      <c r="F557" s="79" t="e">
        <f>VLOOKUP(C557,Organización_Modular!$F$103:$G$133,2,FALSE)</f>
        <v>#N/A</v>
      </c>
    </row>
    <row r="558" spans="1:6" x14ac:dyDescent="0.2">
      <c r="A558" s="439"/>
      <c r="B558" s="440"/>
      <c r="C558" s="69"/>
      <c r="D558" s="78">
        <f>VLOOKUP(C558,Itinerario!$D$117:$W$147,18,FALSE)</f>
        <v>0</v>
      </c>
      <c r="E558" s="79">
        <f>VLOOKUP(C558,Itinerario!$D$117:$W$147,19,FALSE)</f>
        <v>0</v>
      </c>
      <c r="F558" s="79" t="e">
        <f>VLOOKUP(C558,Organización_Modular!$F$103:$G$133,2,FALSE)</f>
        <v>#N/A</v>
      </c>
    </row>
    <row r="559" spans="1:6" x14ac:dyDescent="0.2">
      <c r="A559" s="439"/>
      <c r="B559" s="440"/>
      <c r="C559" s="69"/>
      <c r="D559" s="78">
        <f>VLOOKUP(C559,Itinerario!$D$117:$W$147,18,FALSE)</f>
        <v>0</v>
      </c>
      <c r="E559" s="79">
        <f>VLOOKUP(C559,Itinerario!$D$117:$W$147,19,FALSE)</f>
        <v>0</v>
      </c>
      <c r="F559" s="79" t="e">
        <f>VLOOKUP(C559,Organización_Modular!$F$103:$G$133,2,FALSE)</f>
        <v>#N/A</v>
      </c>
    </row>
    <row r="560" spans="1:6" x14ac:dyDescent="0.2">
      <c r="A560" s="439"/>
      <c r="B560" s="440"/>
      <c r="C560" s="69"/>
      <c r="D560" s="78">
        <f>VLOOKUP(C560,Itinerario!$D$117:$W$147,18,FALSE)</f>
        <v>0</v>
      </c>
      <c r="E560" s="79">
        <f>VLOOKUP(C560,Itinerario!$D$117:$W$147,19,FALSE)</f>
        <v>0</v>
      </c>
      <c r="F560" s="79" t="e">
        <f>VLOOKUP(C560,Organización_Modular!$F$103:$G$133,2,FALSE)</f>
        <v>#N/A</v>
      </c>
    </row>
    <row r="561" spans="1:6" x14ac:dyDescent="0.2">
      <c r="A561" s="439"/>
      <c r="B561" s="440"/>
      <c r="C561" s="69"/>
      <c r="D561" s="78">
        <f>VLOOKUP(C561,Itinerario!$D$117:$W$147,18,FALSE)</f>
        <v>0</v>
      </c>
      <c r="E561" s="79">
        <f>VLOOKUP(C561,Itinerario!$D$117:$W$147,19,FALSE)</f>
        <v>0</v>
      </c>
      <c r="F561" s="79" t="e">
        <f>VLOOKUP(C561,Organización_Modular!$F$103:$G$133,2,FALSE)</f>
        <v>#N/A</v>
      </c>
    </row>
    <row r="562" spans="1:6" x14ac:dyDescent="0.2">
      <c r="A562" s="439"/>
      <c r="B562" s="440"/>
      <c r="C562" s="69"/>
      <c r="D562" s="78">
        <f>VLOOKUP(C562,Itinerario!$D$117:$W$147,18,FALSE)</f>
        <v>0</v>
      </c>
      <c r="E562" s="79">
        <f>VLOOKUP(C562,Itinerario!$D$117:$W$147,19,FALSE)</f>
        <v>0</v>
      </c>
      <c r="F562" s="79" t="e">
        <f>VLOOKUP(C562,Organización_Modular!$F$103:$G$133,2,FALSE)</f>
        <v>#N/A</v>
      </c>
    </row>
    <row r="563" spans="1:6" x14ac:dyDescent="0.2">
      <c r="A563" s="439"/>
      <c r="B563" s="440"/>
      <c r="C563" s="69"/>
      <c r="D563" s="78">
        <f>VLOOKUP(C563,Itinerario!$D$117:$W$147,18,FALSE)</f>
        <v>0</v>
      </c>
      <c r="E563" s="79">
        <f>VLOOKUP(C563,Itinerario!$D$117:$W$147,19,FALSE)</f>
        <v>0</v>
      </c>
      <c r="F563" s="79" t="e">
        <f>VLOOKUP(C563,Organización_Modular!$F$103:$G$133,2,FALSE)</f>
        <v>#N/A</v>
      </c>
    </row>
    <row r="564" spans="1:6" x14ac:dyDescent="0.2">
      <c r="A564" s="439"/>
      <c r="B564" s="440"/>
      <c r="C564" s="69"/>
      <c r="D564" s="78">
        <f>VLOOKUP(C564,Itinerario!$D$117:$W$147,18,FALSE)</f>
        <v>0</v>
      </c>
      <c r="E564" s="79">
        <f>VLOOKUP(C564,Itinerario!$D$117:$W$147,19,FALSE)</f>
        <v>0</v>
      </c>
      <c r="F564" s="79" t="e">
        <f>VLOOKUP(C564,Organización_Modular!$F$103:$G$133,2,FALSE)</f>
        <v>#N/A</v>
      </c>
    </row>
    <row r="565" spans="1:6" x14ac:dyDescent="0.2">
      <c r="A565" s="439"/>
      <c r="B565" s="440"/>
      <c r="C565" s="69"/>
      <c r="D565" s="78">
        <f>VLOOKUP(C565,Itinerario!$D$117:$W$147,18,FALSE)</f>
        <v>0</v>
      </c>
      <c r="E565" s="79">
        <f>VLOOKUP(C565,Itinerario!$D$117:$W$147,19,FALSE)</f>
        <v>0</v>
      </c>
      <c r="F565" s="79" t="e">
        <f>VLOOKUP(C565,Organización_Modular!$F$103:$G$133,2,FALSE)</f>
        <v>#N/A</v>
      </c>
    </row>
    <row r="566" spans="1:6" x14ac:dyDescent="0.2">
      <c r="A566" s="439"/>
      <c r="B566" s="440"/>
      <c r="C566" s="69"/>
      <c r="D566" s="78">
        <f>VLOOKUP(C566,Itinerario!$D$117:$W$147,18,FALSE)</f>
        <v>0</v>
      </c>
      <c r="E566" s="79">
        <f>VLOOKUP(C566,Itinerario!$D$117:$W$147,19,FALSE)</f>
        <v>0</v>
      </c>
      <c r="F566" s="79" t="e">
        <f>VLOOKUP(C566,Organización_Modular!$F$103:$G$133,2,FALSE)</f>
        <v>#N/A</v>
      </c>
    </row>
    <row r="567" spans="1:6" x14ac:dyDescent="0.2">
      <c r="A567" s="439"/>
      <c r="B567" s="440"/>
      <c r="C567" s="69"/>
      <c r="D567" s="78">
        <f>VLOOKUP(C567,Itinerario!$D$117:$W$147,18,FALSE)</f>
        <v>0</v>
      </c>
      <c r="E567" s="79">
        <f>VLOOKUP(C567,Itinerario!$D$117:$W$147,19,FALSE)</f>
        <v>0</v>
      </c>
      <c r="F567" s="79" t="e">
        <f>VLOOKUP(C567,Organización_Modular!$F$103:$G$133,2,FALSE)</f>
        <v>#N/A</v>
      </c>
    </row>
    <row r="568" spans="1:6" x14ac:dyDescent="0.2">
      <c r="A568" s="439"/>
      <c r="B568" s="440"/>
      <c r="C568" s="69"/>
      <c r="D568" s="78">
        <f>VLOOKUP(C568,Itinerario!$D$117:$W$147,18,FALSE)</f>
        <v>0</v>
      </c>
      <c r="E568" s="79">
        <f>VLOOKUP(C568,Itinerario!$D$117:$W$147,19,FALSE)</f>
        <v>0</v>
      </c>
      <c r="F568" s="79" t="e">
        <f>VLOOKUP(C568,Organización_Modular!$F$103:$G$133,2,FALSE)</f>
        <v>#N/A</v>
      </c>
    </row>
    <row r="569" spans="1:6" x14ac:dyDescent="0.2">
      <c r="A569" s="439"/>
      <c r="B569" s="440"/>
      <c r="C569" s="69"/>
      <c r="D569" s="78">
        <f>VLOOKUP(C569,Itinerario!$D$117:$W$147,18,FALSE)</f>
        <v>0</v>
      </c>
      <c r="E569" s="79">
        <f>VLOOKUP(C569,Itinerario!$D$117:$W$147,19,FALSE)</f>
        <v>0</v>
      </c>
      <c r="F569" s="79" t="e">
        <f>VLOOKUP(C569,Organización_Modular!$F$103:$G$133,2,FALSE)</f>
        <v>#N/A</v>
      </c>
    </row>
    <row r="570" spans="1:6" x14ac:dyDescent="0.2">
      <c r="A570" s="439"/>
      <c r="B570" s="440"/>
      <c r="C570" s="69"/>
      <c r="D570" s="78">
        <f>VLOOKUP(C570,Itinerario!$D$117:$W$147,18,FALSE)</f>
        <v>0</v>
      </c>
      <c r="E570" s="79">
        <f>VLOOKUP(C570,Itinerario!$D$117:$W$147,19,FALSE)</f>
        <v>0</v>
      </c>
      <c r="F570" s="79" t="e">
        <f>VLOOKUP(C570,Organización_Modular!$F$103:$G$133,2,FALSE)</f>
        <v>#N/A</v>
      </c>
    </row>
    <row r="571" spans="1:6" x14ac:dyDescent="0.2">
      <c r="A571" s="439"/>
      <c r="B571" s="440"/>
      <c r="C571" s="69"/>
      <c r="D571" s="78">
        <f>VLOOKUP(C571,Itinerario!$D$117:$W$147,18,FALSE)</f>
        <v>0</v>
      </c>
      <c r="E571" s="79">
        <f>VLOOKUP(C571,Itinerario!$D$117:$W$147,19,FALSE)</f>
        <v>0</v>
      </c>
      <c r="F571" s="79" t="e">
        <f>VLOOKUP(C571,Organización_Modular!$F$103:$G$133,2,FALSE)</f>
        <v>#N/A</v>
      </c>
    </row>
    <row r="572" spans="1:6" x14ac:dyDescent="0.2">
      <c r="A572" s="439"/>
      <c r="B572" s="440"/>
      <c r="C572" s="69"/>
      <c r="D572" s="78">
        <f>VLOOKUP(C572,Itinerario!$D$117:$W$147,18,FALSE)</f>
        <v>0</v>
      </c>
      <c r="E572" s="79">
        <f>VLOOKUP(C572,Itinerario!$D$117:$W$147,19,FALSE)</f>
        <v>0</v>
      </c>
      <c r="F572" s="79" t="e">
        <f>VLOOKUP(C572,Organización_Modular!$F$103:$G$133,2,FALSE)</f>
        <v>#N/A</v>
      </c>
    </row>
    <row r="573" spans="1:6" x14ac:dyDescent="0.2">
      <c r="A573" s="439"/>
      <c r="B573" s="440"/>
      <c r="C573" s="69"/>
      <c r="D573" s="78">
        <f>VLOOKUP(C573,Itinerario!$D$117:$W$147,18,FALSE)</f>
        <v>0</v>
      </c>
      <c r="E573" s="79">
        <f>VLOOKUP(C573,Itinerario!$D$117:$W$147,19,FALSE)</f>
        <v>0</v>
      </c>
      <c r="F573" s="79" t="e">
        <f>VLOOKUP(C573,Organización_Modular!$F$103:$G$133,2,FALSE)</f>
        <v>#N/A</v>
      </c>
    </row>
    <row r="574" spans="1:6" x14ac:dyDescent="0.2">
      <c r="A574" s="439"/>
      <c r="B574" s="440"/>
      <c r="C574" s="69"/>
      <c r="D574" s="78">
        <f>VLOOKUP(C574,Itinerario!$D$117:$W$147,18,FALSE)</f>
        <v>0</v>
      </c>
      <c r="E574" s="79">
        <f>VLOOKUP(C574,Itinerario!$D$117:$W$147,19,FALSE)</f>
        <v>0</v>
      </c>
      <c r="F574" s="79" t="e">
        <f>VLOOKUP(C574,Organización_Modular!$F$103:$G$133,2,FALSE)</f>
        <v>#N/A</v>
      </c>
    </row>
    <row r="575" spans="1:6" x14ac:dyDescent="0.2">
      <c r="A575" s="439"/>
      <c r="B575" s="440"/>
      <c r="C575" s="69"/>
      <c r="D575" s="78">
        <f>VLOOKUP(C575,Itinerario!$D$117:$W$147,18,FALSE)</f>
        <v>0</v>
      </c>
      <c r="E575" s="79">
        <f>VLOOKUP(C575,Itinerario!$D$117:$W$147,19,FALSE)</f>
        <v>0</v>
      </c>
      <c r="F575" s="79" t="e">
        <f>VLOOKUP(C575,Organización_Modular!$F$103:$G$133,2,FALSE)</f>
        <v>#N/A</v>
      </c>
    </row>
    <row r="576" spans="1:6" x14ac:dyDescent="0.2">
      <c r="A576" s="439"/>
      <c r="B576" s="440"/>
      <c r="C576" s="69"/>
      <c r="D576" s="78">
        <f>VLOOKUP(C576,Itinerario!$D$117:$W$147,18,FALSE)</f>
        <v>0</v>
      </c>
      <c r="E576" s="79">
        <f>VLOOKUP(C576,Itinerario!$D$117:$W$147,19,FALSE)</f>
        <v>0</v>
      </c>
      <c r="F576" s="79" t="e">
        <f>VLOOKUP(C576,Organización_Modular!$F$103:$G$133,2,FALSE)</f>
        <v>#N/A</v>
      </c>
    </row>
    <row r="577" spans="1:6" x14ac:dyDescent="0.2">
      <c r="A577" s="439"/>
      <c r="B577" s="440"/>
      <c r="C577" s="69"/>
      <c r="D577" s="78">
        <f>VLOOKUP(C577,Itinerario!$D$117:$W$147,18,FALSE)</f>
        <v>0</v>
      </c>
      <c r="E577" s="79">
        <f>VLOOKUP(C577,Itinerario!$D$117:$W$147,19,FALSE)</f>
        <v>0</v>
      </c>
      <c r="F577" s="79" t="e">
        <f>VLOOKUP(C577,Organización_Modular!$F$103:$G$133,2,FALSE)</f>
        <v>#N/A</v>
      </c>
    </row>
    <row r="578" spans="1:6" x14ac:dyDescent="0.2">
      <c r="A578" s="439"/>
      <c r="B578" s="440"/>
      <c r="C578" s="69"/>
      <c r="D578" s="78">
        <f>VLOOKUP(C578,Itinerario!$D$117:$W$147,18,FALSE)</f>
        <v>0</v>
      </c>
      <c r="E578" s="79">
        <f>VLOOKUP(C578,Itinerario!$D$117:$W$147,19,FALSE)</f>
        <v>0</v>
      </c>
      <c r="F578" s="79" t="e">
        <f>VLOOKUP(C578,Organización_Modular!$F$103:$G$133,2,FALSE)</f>
        <v>#N/A</v>
      </c>
    </row>
    <row r="579" spans="1:6" x14ac:dyDescent="0.2">
      <c r="A579" s="439"/>
      <c r="B579" s="440"/>
      <c r="C579" s="69"/>
      <c r="D579" s="78">
        <f>VLOOKUP(C579,Itinerario!$D$117:$W$147,18,FALSE)</f>
        <v>0</v>
      </c>
      <c r="E579" s="79">
        <f>VLOOKUP(C579,Itinerario!$D$117:$W$147,19,FALSE)</f>
        <v>0</v>
      </c>
      <c r="F579" s="79" t="e">
        <f>VLOOKUP(C579,Organización_Modular!$F$103:$G$133,2,FALSE)</f>
        <v>#N/A</v>
      </c>
    </row>
    <row r="580" spans="1:6" x14ac:dyDescent="0.2">
      <c r="A580" s="439"/>
      <c r="B580" s="440"/>
      <c r="C580" s="69"/>
      <c r="D580" s="78">
        <f>VLOOKUP(C580,Itinerario!$D$117:$W$147,18,FALSE)</f>
        <v>0</v>
      </c>
      <c r="E580" s="79">
        <f>VLOOKUP(C580,Itinerario!$D$117:$W$147,19,FALSE)</f>
        <v>0</v>
      </c>
      <c r="F580" s="79" t="e">
        <f>VLOOKUP(C580,Organización_Modular!$F$103:$G$133,2,FALSE)</f>
        <v>#N/A</v>
      </c>
    </row>
    <row r="581" spans="1:6" x14ac:dyDescent="0.2">
      <c r="A581" s="439"/>
      <c r="B581" s="440"/>
      <c r="C581" s="69"/>
      <c r="D581" s="78">
        <f>VLOOKUP(C581,Itinerario!$D$117:$W$147,18,FALSE)</f>
        <v>0</v>
      </c>
      <c r="E581" s="79">
        <f>VLOOKUP(C581,Itinerario!$D$117:$W$147,19,FALSE)</f>
        <v>0</v>
      </c>
      <c r="F581" s="79" t="e">
        <f>VLOOKUP(C581,Organización_Modular!$F$103:$G$133,2,FALSE)</f>
        <v>#N/A</v>
      </c>
    </row>
    <row r="582" spans="1:6" x14ac:dyDescent="0.2">
      <c r="A582" s="439"/>
      <c r="B582" s="440"/>
      <c r="C582" s="69"/>
      <c r="D582" s="78">
        <f>VLOOKUP(C582,Itinerario!$D$117:$W$147,18,FALSE)</f>
        <v>0</v>
      </c>
      <c r="E582" s="79">
        <f>VLOOKUP(C582,Itinerario!$D$117:$W$147,19,FALSE)</f>
        <v>0</v>
      </c>
      <c r="F582" s="79" t="e">
        <f>VLOOKUP(C582,Organización_Modular!$F$103:$G$133,2,FALSE)</f>
        <v>#N/A</v>
      </c>
    </row>
    <row r="583" spans="1:6" x14ac:dyDescent="0.2">
      <c r="A583" s="439"/>
      <c r="B583" s="440"/>
      <c r="C583" s="69"/>
      <c r="D583" s="78">
        <f>VLOOKUP(C583,Itinerario!$D$117:$W$147,18,FALSE)</f>
        <v>0</v>
      </c>
      <c r="E583" s="79">
        <f>VLOOKUP(C583,Itinerario!$D$117:$W$147,19,FALSE)</f>
        <v>0</v>
      </c>
      <c r="F583" s="79" t="e">
        <f>VLOOKUP(C583,Organización_Modular!$F$103:$G$133,2,FALSE)</f>
        <v>#N/A</v>
      </c>
    </row>
    <row r="584" spans="1:6" x14ac:dyDescent="0.2">
      <c r="A584" s="439"/>
      <c r="B584" s="440"/>
      <c r="C584" s="69"/>
      <c r="D584" s="78">
        <f>VLOOKUP(C584,Itinerario!$D$117:$W$147,18,FALSE)</f>
        <v>0</v>
      </c>
      <c r="E584" s="79">
        <f>VLOOKUP(C584,Itinerario!$D$117:$W$147,19,FALSE)</f>
        <v>0</v>
      </c>
      <c r="F584" s="79" t="e">
        <f>VLOOKUP(C584,Organización_Modular!$F$103:$G$133,2,FALSE)</f>
        <v>#N/A</v>
      </c>
    </row>
    <row r="585" spans="1:6" x14ac:dyDescent="0.2">
      <c r="A585" s="439"/>
      <c r="B585" s="440"/>
      <c r="C585" s="69"/>
      <c r="D585" s="78">
        <f>VLOOKUP(C585,Itinerario!$D$117:$W$147,18,FALSE)</f>
        <v>0</v>
      </c>
      <c r="E585" s="79">
        <f>VLOOKUP(C585,Itinerario!$D$117:$W$147,19,FALSE)</f>
        <v>0</v>
      </c>
      <c r="F585" s="79" t="e">
        <f>VLOOKUP(C585,Organización_Modular!$F$103:$G$133,2,FALSE)</f>
        <v>#N/A</v>
      </c>
    </row>
    <row r="586" spans="1:6" x14ac:dyDescent="0.2">
      <c r="A586" s="439"/>
      <c r="B586" s="440"/>
      <c r="C586" s="69"/>
      <c r="D586" s="78">
        <f>VLOOKUP(C586,Itinerario!$D$117:$W$147,18,FALSE)</f>
        <v>0</v>
      </c>
      <c r="E586" s="79">
        <f>VLOOKUP(C586,Itinerario!$D$117:$W$147,19,FALSE)</f>
        <v>0</v>
      </c>
      <c r="F586" s="79" t="e">
        <f>VLOOKUP(C586,Organización_Modular!$F$103:$G$133,2,FALSE)</f>
        <v>#N/A</v>
      </c>
    </row>
    <row r="587" spans="1:6" x14ac:dyDescent="0.2">
      <c r="A587" s="439"/>
      <c r="B587" s="440"/>
      <c r="C587" s="69"/>
      <c r="D587" s="78">
        <f>VLOOKUP(C587,Itinerario!$D$117:$W$147,18,FALSE)</f>
        <v>0</v>
      </c>
      <c r="E587" s="79">
        <f>VLOOKUP(C587,Itinerario!$D$117:$W$147,19,FALSE)</f>
        <v>0</v>
      </c>
      <c r="F587" s="79" t="e">
        <f>VLOOKUP(C587,Organización_Modular!$F$103:$G$133,2,FALSE)</f>
        <v>#N/A</v>
      </c>
    </row>
    <row r="588" spans="1:6" x14ac:dyDescent="0.2">
      <c r="A588" s="439"/>
      <c r="B588" s="440"/>
      <c r="C588" s="69"/>
      <c r="D588" s="78">
        <f>VLOOKUP(C588,Itinerario!$D$117:$W$147,18,FALSE)</f>
        <v>0</v>
      </c>
      <c r="E588" s="79">
        <f>VLOOKUP(C588,Itinerario!$D$117:$W$147,19,FALSE)</f>
        <v>0</v>
      </c>
      <c r="F588" s="79" t="e">
        <f>VLOOKUP(C588,Organización_Modular!$F$103:$G$133,2,FALSE)</f>
        <v>#N/A</v>
      </c>
    </row>
    <row r="589" spans="1:6" x14ac:dyDescent="0.2">
      <c r="A589" s="439"/>
      <c r="B589" s="440"/>
      <c r="C589" s="69"/>
      <c r="D589" s="78">
        <f>VLOOKUP(C589,Itinerario!$D$117:$W$147,18,FALSE)</f>
        <v>0</v>
      </c>
      <c r="E589" s="79">
        <f>VLOOKUP(C589,Itinerario!$D$117:$W$147,19,FALSE)</f>
        <v>0</v>
      </c>
      <c r="F589" s="79" t="e">
        <f>VLOOKUP(C589,Organización_Modular!$F$103:$G$133,2,FALSE)</f>
        <v>#N/A</v>
      </c>
    </row>
    <row r="590" spans="1:6" x14ac:dyDescent="0.2">
      <c r="A590" s="439"/>
      <c r="B590" s="440"/>
      <c r="C590" s="69"/>
      <c r="D590" s="78">
        <f>VLOOKUP(C590,Itinerario!$D$117:$W$147,18,FALSE)</f>
        <v>0</v>
      </c>
      <c r="E590" s="79">
        <f>VLOOKUP(C590,Itinerario!$D$117:$W$147,19,FALSE)</f>
        <v>0</v>
      </c>
      <c r="F590" s="79" t="e">
        <f>VLOOKUP(C590,Organización_Modular!$F$103:$G$133,2,FALSE)</f>
        <v>#N/A</v>
      </c>
    </row>
    <row r="591" spans="1:6" x14ac:dyDescent="0.2">
      <c r="A591" s="439"/>
      <c r="B591" s="440"/>
      <c r="C591" s="69"/>
      <c r="D591" s="78">
        <f>VLOOKUP(C591,Itinerario!$D$117:$W$147,18,FALSE)</f>
        <v>0</v>
      </c>
      <c r="E591" s="79">
        <f>VLOOKUP(C591,Itinerario!$D$117:$W$147,19,FALSE)</f>
        <v>0</v>
      </c>
      <c r="F591" s="79" t="e">
        <f>VLOOKUP(C591,Organización_Modular!$F$103:$G$133,2,FALSE)</f>
        <v>#N/A</v>
      </c>
    </row>
    <row r="592" spans="1:6" x14ac:dyDescent="0.2">
      <c r="A592" s="439"/>
      <c r="B592" s="440"/>
      <c r="C592" s="69"/>
      <c r="D592" s="78">
        <f>VLOOKUP(C592,Itinerario!$D$117:$W$147,18,FALSE)</f>
        <v>0</v>
      </c>
      <c r="E592" s="79">
        <f>VLOOKUP(C592,Itinerario!$D$117:$W$147,19,FALSE)</f>
        <v>0</v>
      </c>
      <c r="F592" s="79" t="e">
        <f>VLOOKUP(C592,Organización_Modular!$F$103:$G$133,2,FALSE)</f>
        <v>#N/A</v>
      </c>
    </row>
    <row r="593" spans="1:6" x14ac:dyDescent="0.2">
      <c r="A593" s="439"/>
      <c r="B593" s="440"/>
      <c r="C593" s="69"/>
      <c r="D593" s="78">
        <f>VLOOKUP(C593,Itinerario!$D$117:$W$147,18,FALSE)</f>
        <v>0</v>
      </c>
      <c r="E593" s="79">
        <f>VLOOKUP(C593,Itinerario!$D$117:$W$147,19,FALSE)</f>
        <v>0</v>
      </c>
      <c r="F593" s="79" t="e">
        <f>VLOOKUP(C593,Organización_Modular!$F$103:$G$133,2,FALSE)</f>
        <v>#N/A</v>
      </c>
    </row>
    <row r="594" spans="1:6" x14ac:dyDescent="0.2">
      <c r="A594" s="439"/>
      <c r="B594" s="440"/>
      <c r="C594" s="69"/>
      <c r="D594" s="78">
        <f>VLOOKUP(C594,Itinerario!$D$117:$W$147,18,FALSE)</f>
        <v>0</v>
      </c>
      <c r="E594" s="79">
        <f>VLOOKUP(C594,Itinerario!$D$117:$W$147,19,FALSE)</f>
        <v>0</v>
      </c>
      <c r="F594" s="79" t="e">
        <f>VLOOKUP(C594,Organización_Modular!$F$103:$G$133,2,FALSE)</f>
        <v>#N/A</v>
      </c>
    </row>
    <row r="595" spans="1:6" x14ac:dyDescent="0.2">
      <c r="A595" s="439"/>
      <c r="B595" s="440"/>
      <c r="C595" s="69"/>
      <c r="D595" s="78">
        <f>VLOOKUP(C595,Itinerario!$D$117:$W$147,18,FALSE)</f>
        <v>0</v>
      </c>
      <c r="E595" s="79">
        <f>VLOOKUP(C595,Itinerario!$D$117:$W$147,19,FALSE)</f>
        <v>0</v>
      </c>
      <c r="F595" s="79" t="e">
        <f>VLOOKUP(C595,Organización_Modular!$F$103:$G$133,2,FALSE)</f>
        <v>#N/A</v>
      </c>
    </row>
    <row r="596" spans="1:6" x14ac:dyDescent="0.2">
      <c r="A596" s="439"/>
      <c r="B596" s="440"/>
      <c r="C596" s="69"/>
      <c r="D596" s="78">
        <f>VLOOKUP(C596,Itinerario!$D$117:$W$147,18,FALSE)</f>
        <v>0</v>
      </c>
      <c r="E596" s="79">
        <f>VLOOKUP(C596,Itinerario!$D$117:$W$147,19,FALSE)</f>
        <v>0</v>
      </c>
      <c r="F596" s="79" t="e">
        <f>VLOOKUP(C596,Organización_Modular!$F$103:$G$133,2,FALSE)</f>
        <v>#N/A</v>
      </c>
    </row>
    <row r="597" spans="1:6" x14ac:dyDescent="0.2">
      <c r="A597" s="439"/>
      <c r="B597" s="440"/>
      <c r="C597" s="69"/>
      <c r="D597" s="78">
        <f>VLOOKUP(C597,Itinerario!$D$117:$W$147,18,FALSE)</f>
        <v>0</v>
      </c>
      <c r="E597" s="79">
        <f>VLOOKUP(C597,Itinerario!$D$117:$W$147,19,FALSE)</f>
        <v>0</v>
      </c>
      <c r="F597" s="79" t="e">
        <f>VLOOKUP(C597,Organización_Modular!$F$103:$G$133,2,FALSE)</f>
        <v>#N/A</v>
      </c>
    </row>
    <row r="598" spans="1:6" x14ac:dyDescent="0.2">
      <c r="A598" s="439"/>
      <c r="B598" s="440"/>
      <c r="C598" s="69"/>
      <c r="D598" s="78">
        <f>VLOOKUP(C598,Itinerario!$D$117:$W$147,18,FALSE)</f>
        <v>0</v>
      </c>
      <c r="E598" s="79">
        <f>VLOOKUP(C598,Itinerario!$D$117:$W$147,19,FALSE)</f>
        <v>0</v>
      </c>
      <c r="F598" s="79" t="e">
        <f>VLOOKUP(C598,Organización_Modular!$F$103:$G$133,2,FALSE)</f>
        <v>#N/A</v>
      </c>
    </row>
    <row r="599" spans="1:6" x14ac:dyDescent="0.2">
      <c r="A599" s="439"/>
      <c r="B599" s="440"/>
      <c r="C599" s="69"/>
      <c r="D599" s="78">
        <f>VLOOKUP(C599,Itinerario!$D$117:$W$147,18,FALSE)</f>
        <v>0</v>
      </c>
      <c r="E599" s="79">
        <f>VLOOKUP(C599,Itinerario!$D$117:$W$147,19,FALSE)</f>
        <v>0</v>
      </c>
      <c r="F599" s="79" t="e">
        <f>VLOOKUP(C599,Organización_Modular!$F$103:$G$133,2,FALSE)</f>
        <v>#N/A</v>
      </c>
    </row>
    <row r="600" spans="1:6" x14ac:dyDescent="0.2">
      <c r="A600" s="439"/>
      <c r="B600" s="440"/>
      <c r="C600" s="69"/>
      <c r="D600" s="78">
        <f>VLOOKUP(C600,Itinerario!$D$117:$W$147,18,FALSE)</f>
        <v>0</v>
      </c>
      <c r="E600" s="79">
        <f>VLOOKUP(C600,Itinerario!$D$117:$W$147,19,FALSE)</f>
        <v>0</v>
      </c>
      <c r="F600" s="79" t="e">
        <f>VLOOKUP(C600,Organización_Modular!$F$103:$G$133,2,FALSE)</f>
        <v>#N/A</v>
      </c>
    </row>
    <row r="601" spans="1:6" x14ac:dyDescent="0.2">
      <c r="A601" s="439"/>
      <c r="B601" s="440"/>
      <c r="C601" s="69"/>
      <c r="D601" s="78">
        <f>VLOOKUP(C601,Itinerario!$D$117:$W$147,18,FALSE)</f>
        <v>0</v>
      </c>
      <c r="E601" s="79">
        <f>VLOOKUP(C601,Itinerario!$D$117:$W$147,19,FALSE)</f>
        <v>0</v>
      </c>
      <c r="F601" s="79" t="e">
        <f>VLOOKUP(C601,Organización_Modular!$F$103:$G$133,2,FALSE)</f>
        <v>#N/A</v>
      </c>
    </row>
    <row r="602" spans="1:6" x14ac:dyDescent="0.2">
      <c r="A602" s="439"/>
      <c r="B602" s="440"/>
      <c r="C602" s="69"/>
      <c r="D602" s="78">
        <f>VLOOKUP(C602,Itinerario!$D$117:$W$147,18,FALSE)</f>
        <v>0</v>
      </c>
      <c r="E602" s="79">
        <f>VLOOKUP(C602,Itinerario!$D$117:$W$147,19,FALSE)</f>
        <v>0</v>
      </c>
      <c r="F602" s="79" t="e">
        <f>VLOOKUP(C602,Organización_Modular!$F$103:$G$133,2,FALSE)</f>
        <v>#N/A</v>
      </c>
    </row>
    <row r="603" spans="1:6" x14ac:dyDescent="0.2">
      <c r="A603" s="439"/>
      <c r="B603" s="440"/>
      <c r="C603" s="69"/>
      <c r="D603" s="78">
        <f>VLOOKUP(C603,Itinerario!$D$117:$W$147,18,FALSE)</f>
        <v>0</v>
      </c>
      <c r="E603" s="79">
        <f>VLOOKUP(C603,Itinerario!$D$117:$W$147,19,FALSE)</f>
        <v>0</v>
      </c>
      <c r="F603" s="79" t="e">
        <f>VLOOKUP(C603,Organización_Modular!$F$103:$G$133,2,FALSE)</f>
        <v>#N/A</v>
      </c>
    </row>
    <row r="604" spans="1:6" x14ac:dyDescent="0.2">
      <c r="A604" s="439"/>
      <c r="B604" s="440"/>
      <c r="C604" s="69"/>
      <c r="D604" s="78">
        <f>VLOOKUP(C604,Itinerario!$D$117:$W$147,18,FALSE)</f>
        <v>0</v>
      </c>
      <c r="E604" s="79">
        <f>VLOOKUP(C604,Itinerario!$D$117:$W$147,19,FALSE)</f>
        <v>0</v>
      </c>
      <c r="F604" s="79" t="e">
        <f>VLOOKUP(C604,Organización_Modular!$F$103:$G$133,2,FALSE)</f>
        <v>#N/A</v>
      </c>
    </row>
    <row r="605" spans="1:6" x14ac:dyDescent="0.2">
      <c r="A605" s="439"/>
      <c r="B605" s="440"/>
      <c r="C605" s="69"/>
      <c r="D605" s="78">
        <f>VLOOKUP(C605,Itinerario!$D$117:$W$147,18,FALSE)</f>
        <v>0</v>
      </c>
      <c r="E605" s="79">
        <f>VLOOKUP(C605,Itinerario!$D$117:$W$147,19,FALSE)</f>
        <v>0</v>
      </c>
      <c r="F605" s="79" t="e">
        <f>VLOOKUP(C605,Organización_Modular!$F$103:$G$133,2,FALSE)</f>
        <v>#N/A</v>
      </c>
    </row>
    <row r="606" spans="1:6" x14ac:dyDescent="0.2">
      <c r="A606" s="439"/>
      <c r="B606" s="440"/>
      <c r="C606" s="69"/>
      <c r="D606" s="78">
        <f>VLOOKUP(C606,Itinerario!$D$117:$W$147,18,FALSE)</f>
        <v>0</v>
      </c>
      <c r="E606" s="79">
        <f>VLOOKUP(C606,Itinerario!$D$117:$W$147,19,FALSE)</f>
        <v>0</v>
      </c>
      <c r="F606" s="79" t="e">
        <f>VLOOKUP(C606,Organización_Modular!$F$103:$G$133,2,FALSE)</f>
        <v>#N/A</v>
      </c>
    </row>
    <row r="607" spans="1:6" x14ac:dyDescent="0.2">
      <c r="A607" s="439"/>
      <c r="B607" s="440"/>
      <c r="C607" s="69"/>
      <c r="D607" s="78">
        <f>VLOOKUP(C607,Itinerario!$D$117:$W$147,18,FALSE)</f>
        <v>0</v>
      </c>
      <c r="E607" s="79">
        <f>VLOOKUP(C607,Itinerario!$D$117:$W$147,19,FALSE)</f>
        <v>0</v>
      </c>
      <c r="F607" s="79" t="e">
        <f>VLOOKUP(C607,Organización_Modular!$F$103:$G$133,2,FALSE)</f>
        <v>#N/A</v>
      </c>
    </row>
    <row r="608" spans="1:6" x14ac:dyDescent="0.2">
      <c r="A608" s="439"/>
      <c r="B608" s="440"/>
      <c r="C608" s="69"/>
      <c r="D608" s="78">
        <f>VLOOKUP(C608,Itinerario!$D$117:$W$147,18,FALSE)</f>
        <v>0</v>
      </c>
      <c r="E608" s="79">
        <f>VLOOKUP(C608,Itinerario!$D$117:$W$147,19,FALSE)</f>
        <v>0</v>
      </c>
      <c r="F608" s="79" t="e">
        <f>VLOOKUP(C608,Organización_Modular!$F$103:$G$133,2,FALSE)</f>
        <v>#N/A</v>
      </c>
    </row>
    <row r="609" spans="1:6" x14ac:dyDescent="0.2">
      <c r="A609" s="439"/>
      <c r="B609" s="440"/>
      <c r="C609" s="69"/>
      <c r="D609" s="78">
        <f>VLOOKUP(C609,Itinerario!$D$117:$W$147,18,FALSE)</f>
        <v>0</v>
      </c>
      <c r="E609" s="79">
        <f>VLOOKUP(C609,Itinerario!$D$117:$W$147,19,FALSE)</f>
        <v>0</v>
      </c>
      <c r="F609" s="79" t="e">
        <f>VLOOKUP(C609,Organización_Modular!$F$103:$G$133,2,FALSE)</f>
        <v>#N/A</v>
      </c>
    </row>
    <row r="610" spans="1:6" x14ac:dyDescent="0.2">
      <c r="A610" s="439"/>
      <c r="B610" s="440"/>
      <c r="C610" s="69"/>
      <c r="D610" s="78">
        <f>VLOOKUP(C610,Itinerario!$D$117:$W$147,18,FALSE)</f>
        <v>0</v>
      </c>
      <c r="E610" s="79">
        <f>VLOOKUP(C610,Itinerario!$D$117:$W$147,19,FALSE)</f>
        <v>0</v>
      </c>
      <c r="F610" s="79" t="e">
        <f>VLOOKUP(C610,Organización_Modular!$F$103:$G$133,2,FALSE)</f>
        <v>#N/A</v>
      </c>
    </row>
    <row r="611" spans="1:6" x14ac:dyDescent="0.2">
      <c r="A611" s="439"/>
      <c r="B611" s="440"/>
      <c r="C611" s="69"/>
      <c r="D611" s="78">
        <f>VLOOKUP(C611,Itinerario!$D$117:$W$147,18,FALSE)</f>
        <v>0</v>
      </c>
      <c r="E611" s="79">
        <f>VLOOKUP(C611,Itinerario!$D$117:$W$147,19,FALSE)</f>
        <v>0</v>
      </c>
      <c r="F611" s="79" t="e">
        <f>VLOOKUP(C611,Organización_Modular!$F$103:$G$133,2,FALSE)</f>
        <v>#N/A</v>
      </c>
    </row>
    <row r="612" spans="1:6" x14ac:dyDescent="0.2">
      <c r="A612" s="439"/>
      <c r="B612" s="440"/>
      <c r="C612" s="69"/>
      <c r="D612" s="78">
        <f>VLOOKUP(C612,Itinerario!$D$117:$W$147,18,FALSE)</f>
        <v>0</v>
      </c>
      <c r="E612" s="79">
        <f>VLOOKUP(C612,Itinerario!$D$117:$W$147,19,FALSE)</f>
        <v>0</v>
      </c>
      <c r="F612" s="79" t="e">
        <f>VLOOKUP(C612,Organización_Modular!$F$103:$G$133,2,FALSE)</f>
        <v>#N/A</v>
      </c>
    </row>
    <row r="613" spans="1:6" x14ac:dyDescent="0.2">
      <c r="A613" s="439"/>
      <c r="B613" s="440"/>
      <c r="C613" s="69"/>
      <c r="D613" s="78">
        <f>VLOOKUP(C613,Itinerario!$D$117:$W$147,18,FALSE)</f>
        <v>0</v>
      </c>
      <c r="E613" s="79">
        <f>VLOOKUP(C613,Itinerario!$D$117:$W$147,19,FALSE)</f>
        <v>0</v>
      </c>
      <c r="F613" s="79" t="e">
        <f>VLOOKUP(C613,Organización_Modular!$F$103:$G$133,2,FALSE)</f>
        <v>#N/A</v>
      </c>
    </row>
    <row r="614" spans="1:6" x14ac:dyDescent="0.2">
      <c r="A614" s="439">
        <f>Itinerario!A148</f>
        <v>0</v>
      </c>
      <c r="B614" s="440" t="str">
        <f>Ambiente_Equipamiento!$A$15</f>
        <v>Aula pedagógica</v>
      </c>
      <c r="C614" s="68"/>
      <c r="D614" s="78">
        <f>VLOOKUP(C614,Itinerario!$D$148:$W$178,18,FALSE)</f>
        <v>0</v>
      </c>
      <c r="E614" s="79">
        <f>VLOOKUP(C614,Itinerario!$D$148:$W$178,19,FALSE)</f>
        <v>0</v>
      </c>
      <c r="F614" s="79" t="e">
        <f>VLOOKUP(C614,Organización_Modular!$F$134:$G$164,2,FALSE)</f>
        <v>#N/A</v>
      </c>
    </row>
    <row r="615" spans="1:6" x14ac:dyDescent="0.2">
      <c r="A615" s="439"/>
      <c r="B615" s="440"/>
      <c r="C615" s="68"/>
      <c r="D615" s="78">
        <f>VLOOKUP(C615,Itinerario!$D$148:$W$178,18,FALSE)</f>
        <v>0</v>
      </c>
      <c r="E615" s="79">
        <f>VLOOKUP(C615,Itinerario!$D$148:$W$178,19,FALSE)</f>
        <v>0</v>
      </c>
      <c r="F615" s="79" t="e">
        <f>VLOOKUP(C615,Organización_Modular!$F$134:$G$164,2,FALSE)</f>
        <v>#N/A</v>
      </c>
    </row>
    <row r="616" spans="1:6" x14ac:dyDescent="0.2">
      <c r="A616" s="439"/>
      <c r="B616" s="440"/>
      <c r="C616" s="68"/>
      <c r="D616" s="78">
        <f>VLOOKUP(C616,Itinerario!$D$148:$W$178,18,FALSE)</f>
        <v>0</v>
      </c>
      <c r="E616" s="79">
        <f>VLOOKUP(C616,Itinerario!$D$148:$W$178,19,FALSE)</f>
        <v>0</v>
      </c>
      <c r="F616" s="79" t="e">
        <f>VLOOKUP(C616,Organización_Modular!$F$134:$G$164,2,FALSE)</f>
        <v>#N/A</v>
      </c>
    </row>
    <row r="617" spans="1:6" x14ac:dyDescent="0.2">
      <c r="A617" s="439"/>
      <c r="B617" s="440"/>
      <c r="C617" s="68"/>
      <c r="D617" s="78">
        <f>VLOOKUP(C617,Itinerario!$D$148:$W$178,18,FALSE)</f>
        <v>0</v>
      </c>
      <c r="E617" s="79">
        <f>VLOOKUP(C617,Itinerario!$D$148:$W$178,19,FALSE)</f>
        <v>0</v>
      </c>
      <c r="F617" s="79" t="e">
        <f>VLOOKUP(C617,Organización_Modular!$F$134:$G$164,2,FALSE)</f>
        <v>#N/A</v>
      </c>
    </row>
    <row r="618" spans="1:6" x14ac:dyDescent="0.2">
      <c r="A618" s="439"/>
      <c r="B618" s="440"/>
      <c r="C618" s="68"/>
      <c r="D618" s="78">
        <f>VLOOKUP(C618,Itinerario!$D$148:$W$178,18,FALSE)</f>
        <v>0</v>
      </c>
      <c r="E618" s="79">
        <f>VLOOKUP(C618,Itinerario!$D$148:$W$178,19,FALSE)</f>
        <v>0</v>
      </c>
      <c r="F618" s="79" t="e">
        <f>VLOOKUP(C618,Organización_Modular!$F$134:$G$164,2,FALSE)</f>
        <v>#N/A</v>
      </c>
    </row>
    <row r="619" spans="1:6" x14ac:dyDescent="0.2">
      <c r="A619" s="439"/>
      <c r="B619" s="440"/>
      <c r="C619" s="68"/>
      <c r="D619" s="78">
        <f>VLOOKUP(C619,Itinerario!$D$148:$W$178,18,FALSE)</f>
        <v>0</v>
      </c>
      <c r="E619" s="79">
        <f>VLOOKUP(C619,Itinerario!$D$148:$W$178,19,FALSE)</f>
        <v>0</v>
      </c>
      <c r="F619" s="79" t="e">
        <f>VLOOKUP(C619,Organización_Modular!$F$134:$G$164,2,FALSE)</f>
        <v>#N/A</v>
      </c>
    </row>
    <row r="620" spans="1:6" x14ac:dyDescent="0.2">
      <c r="A620" s="439"/>
      <c r="B620" s="440"/>
      <c r="C620" s="68"/>
      <c r="D620" s="78">
        <f>VLOOKUP(C620,Itinerario!$D$148:$W$178,18,FALSE)</f>
        <v>0</v>
      </c>
      <c r="E620" s="79">
        <f>VLOOKUP(C620,Itinerario!$D$148:$W$178,19,FALSE)</f>
        <v>0</v>
      </c>
      <c r="F620" s="79" t="e">
        <f>VLOOKUP(C620,Organización_Modular!$F$134:$G$164,2,FALSE)</f>
        <v>#N/A</v>
      </c>
    </row>
    <row r="621" spans="1:6" x14ac:dyDescent="0.2">
      <c r="A621" s="439"/>
      <c r="B621" s="440"/>
      <c r="C621" s="68"/>
      <c r="D621" s="78">
        <f>VLOOKUP(C621,Itinerario!$D$148:$W$178,18,FALSE)</f>
        <v>0</v>
      </c>
      <c r="E621" s="79">
        <f>VLOOKUP(C621,Itinerario!$D$148:$W$178,19,FALSE)</f>
        <v>0</v>
      </c>
      <c r="F621" s="79" t="e">
        <f>VLOOKUP(C621,Organización_Modular!$F$134:$G$164,2,FALSE)</f>
        <v>#N/A</v>
      </c>
    </row>
    <row r="622" spans="1:6" x14ac:dyDescent="0.2">
      <c r="A622" s="439"/>
      <c r="B622" s="440"/>
      <c r="C622" s="68"/>
      <c r="D622" s="78">
        <f>VLOOKUP(C622,Itinerario!$D$148:$W$178,18,FALSE)</f>
        <v>0</v>
      </c>
      <c r="E622" s="79">
        <f>VLOOKUP(C622,Itinerario!$D$148:$W$178,19,FALSE)</f>
        <v>0</v>
      </c>
      <c r="F622" s="79" t="e">
        <f>VLOOKUP(C622,Organización_Modular!$F$134:$G$164,2,FALSE)</f>
        <v>#N/A</v>
      </c>
    </row>
    <row r="623" spans="1:6" x14ac:dyDescent="0.2">
      <c r="A623" s="439"/>
      <c r="B623" s="440"/>
      <c r="C623" s="68"/>
      <c r="D623" s="78">
        <f>VLOOKUP(C623,Itinerario!$D$148:$W$178,18,FALSE)</f>
        <v>0</v>
      </c>
      <c r="E623" s="79">
        <f>VLOOKUP(C623,Itinerario!$D$148:$W$178,19,FALSE)</f>
        <v>0</v>
      </c>
      <c r="F623" s="79" t="e">
        <f>VLOOKUP(C623,Organización_Modular!$F$134:$G$164,2,FALSE)</f>
        <v>#N/A</v>
      </c>
    </row>
    <row r="624" spans="1:6" x14ac:dyDescent="0.2">
      <c r="A624" s="439"/>
      <c r="B624" s="440"/>
      <c r="C624" s="68"/>
      <c r="D624" s="78">
        <f>VLOOKUP(C624,Itinerario!$D$148:$W$178,18,FALSE)</f>
        <v>0</v>
      </c>
      <c r="E624" s="79">
        <f>VLOOKUP(C624,Itinerario!$D$148:$W$178,19,FALSE)</f>
        <v>0</v>
      </c>
      <c r="F624" s="79" t="e">
        <f>VLOOKUP(C624,Organización_Modular!$F$134:$G$164,2,FALSE)</f>
        <v>#N/A</v>
      </c>
    </row>
    <row r="625" spans="1:6" x14ac:dyDescent="0.2">
      <c r="A625" s="439"/>
      <c r="B625" s="440"/>
      <c r="C625" s="68"/>
      <c r="D625" s="78">
        <f>VLOOKUP(C625,Itinerario!$D$148:$W$178,18,FALSE)</f>
        <v>0</v>
      </c>
      <c r="E625" s="79">
        <f>VLOOKUP(C625,Itinerario!$D$148:$W$178,19,FALSE)</f>
        <v>0</v>
      </c>
      <c r="F625" s="79" t="e">
        <f>VLOOKUP(C625,Organización_Modular!$F$134:$G$164,2,FALSE)</f>
        <v>#N/A</v>
      </c>
    </row>
    <row r="626" spans="1:6" x14ac:dyDescent="0.2">
      <c r="A626" s="439"/>
      <c r="B626" s="440"/>
      <c r="C626" s="68"/>
      <c r="D626" s="78">
        <f>VLOOKUP(C626,Itinerario!$D$148:$W$178,18,FALSE)</f>
        <v>0</v>
      </c>
      <c r="E626" s="79">
        <f>VLOOKUP(C626,Itinerario!$D$148:$W$178,19,FALSE)</f>
        <v>0</v>
      </c>
      <c r="F626" s="79" t="e">
        <f>VLOOKUP(C626,Organización_Modular!$F$134:$G$164,2,FALSE)</f>
        <v>#N/A</v>
      </c>
    </row>
    <row r="627" spans="1:6" x14ac:dyDescent="0.2">
      <c r="A627" s="439"/>
      <c r="B627" s="440"/>
      <c r="C627" s="68"/>
      <c r="D627" s="78">
        <f>VLOOKUP(C627,Itinerario!$D$148:$W$178,18,FALSE)</f>
        <v>0</v>
      </c>
      <c r="E627" s="79">
        <f>VLOOKUP(C627,Itinerario!$D$148:$W$178,19,FALSE)</f>
        <v>0</v>
      </c>
      <c r="F627" s="79" t="e">
        <f>VLOOKUP(C627,Organización_Modular!$F$134:$G$164,2,FALSE)</f>
        <v>#N/A</v>
      </c>
    </row>
    <row r="628" spans="1:6" x14ac:dyDescent="0.2">
      <c r="A628" s="439"/>
      <c r="B628" s="440"/>
      <c r="C628" s="68"/>
      <c r="D628" s="78">
        <f>VLOOKUP(C628,Itinerario!$D$148:$W$178,18,FALSE)</f>
        <v>0</v>
      </c>
      <c r="E628" s="79">
        <f>VLOOKUP(C628,Itinerario!$D$148:$W$178,19,FALSE)</f>
        <v>0</v>
      </c>
      <c r="F628" s="79" t="e">
        <f>VLOOKUP(C628,Organización_Modular!$F$134:$G$164,2,FALSE)</f>
        <v>#N/A</v>
      </c>
    </row>
    <row r="629" spans="1:6" x14ac:dyDescent="0.2">
      <c r="A629" s="439"/>
      <c r="B629" s="440"/>
      <c r="C629" s="68"/>
      <c r="D629" s="78">
        <f>VLOOKUP(C629,Itinerario!$D$148:$W$178,18,FALSE)</f>
        <v>0</v>
      </c>
      <c r="E629" s="79">
        <f>VLOOKUP(C629,Itinerario!$D$148:$W$178,19,FALSE)</f>
        <v>0</v>
      </c>
      <c r="F629" s="79" t="e">
        <f>VLOOKUP(C629,Organización_Modular!$F$134:$G$164,2,FALSE)</f>
        <v>#N/A</v>
      </c>
    </row>
    <row r="630" spans="1:6" x14ac:dyDescent="0.2">
      <c r="A630" s="439"/>
      <c r="B630" s="440"/>
      <c r="C630" s="68"/>
      <c r="D630" s="78">
        <f>VLOOKUP(C630,Itinerario!$D$148:$W$178,18,FALSE)</f>
        <v>0</v>
      </c>
      <c r="E630" s="79">
        <f>VLOOKUP(C630,Itinerario!$D$148:$W$178,19,FALSE)</f>
        <v>0</v>
      </c>
      <c r="F630" s="79" t="e">
        <f>VLOOKUP(C630,Organización_Modular!$F$134:$G$164,2,FALSE)</f>
        <v>#N/A</v>
      </c>
    </row>
    <row r="631" spans="1:6" x14ac:dyDescent="0.2">
      <c r="A631" s="439"/>
      <c r="B631" s="440"/>
      <c r="C631" s="68"/>
      <c r="D631" s="78">
        <f>VLOOKUP(C631,Itinerario!$D$148:$W$178,18,FALSE)</f>
        <v>0</v>
      </c>
      <c r="E631" s="79">
        <f>VLOOKUP(C631,Itinerario!$D$148:$W$178,19,FALSE)</f>
        <v>0</v>
      </c>
      <c r="F631" s="79" t="e">
        <f>VLOOKUP(C631,Organización_Modular!$F$134:$G$164,2,FALSE)</f>
        <v>#N/A</v>
      </c>
    </row>
    <row r="632" spans="1:6" x14ac:dyDescent="0.2">
      <c r="A632" s="439"/>
      <c r="B632" s="440"/>
      <c r="C632" s="68"/>
      <c r="D632" s="78">
        <f>VLOOKUP(C632,Itinerario!$D$148:$W$178,18,FALSE)</f>
        <v>0</v>
      </c>
      <c r="E632" s="79">
        <f>VLOOKUP(C632,Itinerario!$D$148:$W$178,19,FALSE)</f>
        <v>0</v>
      </c>
      <c r="F632" s="79" t="e">
        <f>VLOOKUP(C632,Organización_Modular!$F$134:$G$164,2,FALSE)</f>
        <v>#N/A</v>
      </c>
    </row>
    <row r="633" spans="1:6" x14ac:dyDescent="0.2">
      <c r="A633" s="439"/>
      <c r="B633" s="440"/>
      <c r="C633" s="68"/>
      <c r="D633" s="78">
        <f>VLOOKUP(C633,Itinerario!$D$148:$W$178,18,FALSE)</f>
        <v>0</v>
      </c>
      <c r="E633" s="79">
        <f>VLOOKUP(C633,Itinerario!$D$148:$W$178,19,FALSE)</f>
        <v>0</v>
      </c>
      <c r="F633" s="79" t="e">
        <f>VLOOKUP(C633,Organización_Modular!$F$134:$G$164,2,FALSE)</f>
        <v>#N/A</v>
      </c>
    </row>
    <row r="634" spans="1:6" x14ac:dyDescent="0.2">
      <c r="A634" s="439"/>
      <c r="B634" s="440"/>
      <c r="C634" s="68"/>
      <c r="D634" s="78">
        <f>VLOOKUP(C634,Itinerario!$D$148:$W$178,18,FALSE)</f>
        <v>0</v>
      </c>
      <c r="E634" s="79">
        <f>VLOOKUP(C634,Itinerario!$D$148:$W$178,19,FALSE)</f>
        <v>0</v>
      </c>
      <c r="F634" s="79" t="e">
        <f>VLOOKUP(C634,Organización_Modular!$F$134:$G$164,2,FALSE)</f>
        <v>#N/A</v>
      </c>
    </row>
    <row r="635" spans="1:6" x14ac:dyDescent="0.2">
      <c r="A635" s="439"/>
      <c r="B635" s="440"/>
      <c r="C635" s="68"/>
      <c r="D635" s="78">
        <f>VLOOKUP(C635,Itinerario!$D$148:$W$178,18,FALSE)</f>
        <v>0</v>
      </c>
      <c r="E635" s="79">
        <f>VLOOKUP(C635,Itinerario!$D$148:$W$178,19,FALSE)</f>
        <v>0</v>
      </c>
      <c r="F635" s="79" t="e">
        <f>VLOOKUP(C635,Organización_Modular!$F$134:$G$164,2,FALSE)</f>
        <v>#N/A</v>
      </c>
    </row>
    <row r="636" spans="1:6" x14ac:dyDescent="0.2">
      <c r="A636" s="439"/>
      <c r="B636" s="440"/>
      <c r="C636" s="68"/>
      <c r="D636" s="78">
        <f>VLOOKUP(C636,Itinerario!$D$148:$W$178,18,FALSE)</f>
        <v>0</v>
      </c>
      <c r="E636" s="79">
        <f>VLOOKUP(C636,Itinerario!$D$148:$W$178,19,FALSE)</f>
        <v>0</v>
      </c>
      <c r="F636" s="79" t="e">
        <f>VLOOKUP(C636,Organización_Modular!$F$134:$G$164,2,FALSE)</f>
        <v>#N/A</v>
      </c>
    </row>
    <row r="637" spans="1:6" x14ac:dyDescent="0.2">
      <c r="A637" s="439"/>
      <c r="B637" s="440"/>
      <c r="C637" s="68"/>
      <c r="D637" s="78">
        <f>VLOOKUP(C637,Itinerario!$D$148:$W$178,18,FALSE)</f>
        <v>0</v>
      </c>
      <c r="E637" s="79">
        <f>VLOOKUP(C637,Itinerario!$D$148:$W$178,19,FALSE)</f>
        <v>0</v>
      </c>
      <c r="F637" s="79" t="e">
        <f>VLOOKUP(C637,Organización_Modular!$F$134:$G$164,2,FALSE)</f>
        <v>#N/A</v>
      </c>
    </row>
    <row r="638" spans="1:6" x14ac:dyDescent="0.2">
      <c r="A638" s="439"/>
      <c r="B638" s="440"/>
      <c r="C638" s="68"/>
      <c r="D638" s="78">
        <f>VLOOKUP(C638,Itinerario!$D$148:$W$178,18,FALSE)</f>
        <v>0</v>
      </c>
      <c r="E638" s="79">
        <f>VLOOKUP(C638,Itinerario!$D$148:$W$178,19,FALSE)</f>
        <v>0</v>
      </c>
      <c r="F638" s="79" t="e">
        <f>VLOOKUP(C638,Organización_Modular!$F$134:$G$164,2,FALSE)</f>
        <v>#N/A</v>
      </c>
    </row>
    <row r="639" spans="1:6" x14ac:dyDescent="0.2">
      <c r="A639" s="439"/>
      <c r="B639" s="440"/>
      <c r="C639" s="68"/>
      <c r="D639" s="78">
        <f>VLOOKUP(C639,Itinerario!$D$148:$W$178,18,FALSE)</f>
        <v>0</v>
      </c>
      <c r="E639" s="79">
        <f>VLOOKUP(C639,Itinerario!$D$148:$W$178,19,FALSE)</f>
        <v>0</v>
      </c>
      <c r="F639" s="79" t="e">
        <f>VLOOKUP(C639,Organización_Modular!$F$134:$G$164,2,FALSE)</f>
        <v>#N/A</v>
      </c>
    </row>
    <row r="640" spans="1:6" x14ac:dyDescent="0.2">
      <c r="A640" s="439"/>
      <c r="B640" s="440"/>
      <c r="C640" s="68"/>
      <c r="D640" s="78">
        <f>VLOOKUP(C640,Itinerario!$D$148:$W$178,18,FALSE)</f>
        <v>0</v>
      </c>
      <c r="E640" s="79">
        <f>VLOOKUP(C640,Itinerario!$D$148:$W$178,19,FALSE)</f>
        <v>0</v>
      </c>
      <c r="F640" s="79" t="e">
        <f>VLOOKUP(C640,Organización_Modular!$F$134:$G$164,2,FALSE)</f>
        <v>#N/A</v>
      </c>
    </row>
    <row r="641" spans="1:6" x14ac:dyDescent="0.2">
      <c r="A641" s="439"/>
      <c r="B641" s="440"/>
      <c r="C641" s="68"/>
      <c r="D641" s="78">
        <f>VLOOKUP(C641,Itinerario!$D$148:$W$178,18,FALSE)</f>
        <v>0</v>
      </c>
      <c r="E641" s="79">
        <f>VLOOKUP(C641,Itinerario!$D$148:$W$178,19,FALSE)</f>
        <v>0</v>
      </c>
      <c r="F641" s="79" t="e">
        <f>VLOOKUP(C641,Organización_Modular!$F$134:$G$164,2,FALSE)</f>
        <v>#N/A</v>
      </c>
    </row>
    <row r="642" spans="1:6" x14ac:dyDescent="0.2">
      <c r="A642" s="439"/>
      <c r="B642" s="440"/>
      <c r="C642" s="68"/>
      <c r="D642" s="78">
        <f>VLOOKUP(C642,Itinerario!$D$148:$W$178,18,FALSE)</f>
        <v>0</v>
      </c>
      <c r="E642" s="79">
        <f>VLOOKUP(C642,Itinerario!$D$148:$W$178,19,FALSE)</f>
        <v>0</v>
      </c>
      <c r="F642" s="79" t="e">
        <f>VLOOKUP(C642,Organización_Modular!$F$134:$G$164,2,FALSE)</f>
        <v>#N/A</v>
      </c>
    </row>
    <row r="643" spans="1:6" x14ac:dyDescent="0.2">
      <c r="A643" s="439"/>
      <c r="B643" s="440"/>
      <c r="C643" s="68"/>
      <c r="D643" s="78">
        <f>VLOOKUP(C643,Itinerario!$D$148:$W$178,18,FALSE)</f>
        <v>0</v>
      </c>
      <c r="E643" s="79">
        <f>VLOOKUP(C643,Itinerario!$D$148:$W$178,19,FALSE)</f>
        <v>0</v>
      </c>
      <c r="F643" s="79" t="e">
        <f>VLOOKUP(C643,Organización_Modular!$F$134:$G$164,2,FALSE)</f>
        <v>#N/A</v>
      </c>
    </row>
    <row r="644" spans="1:6" x14ac:dyDescent="0.2">
      <c r="A644" s="439"/>
      <c r="B644" s="440"/>
      <c r="C644" s="68"/>
      <c r="D644" s="78">
        <f>VLOOKUP(C644,Itinerario!$D$148:$W$178,18,FALSE)</f>
        <v>0</v>
      </c>
      <c r="E644" s="79">
        <f>VLOOKUP(C644,Itinerario!$D$148:$W$178,19,FALSE)</f>
        <v>0</v>
      </c>
      <c r="F644" s="79" t="e">
        <f>VLOOKUP(C644,Organización_Modular!$F$134:$G$164,2,FALSE)</f>
        <v>#N/A</v>
      </c>
    </row>
    <row r="645" spans="1:6" x14ac:dyDescent="0.2">
      <c r="A645" s="439"/>
      <c r="B645" s="440"/>
      <c r="C645" s="68"/>
      <c r="D645" s="78">
        <f>VLOOKUP(C645,Itinerario!$D$148:$W$178,18,FALSE)</f>
        <v>0</v>
      </c>
      <c r="E645" s="79">
        <f>VLOOKUP(C645,Itinerario!$D$148:$W$178,19,FALSE)</f>
        <v>0</v>
      </c>
      <c r="F645" s="79" t="e">
        <f>VLOOKUP(C645,Organización_Modular!$F$134:$G$164,2,FALSE)</f>
        <v>#N/A</v>
      </c>
    </row>
    <row r="646" spans="1:6" x14ac:dyDescent="0.2">
      <c r="A646" s="439"/>
      <c r="B646" s="440"/>
      <c r="C646" s="68"/>
      <c r="D646" s="78">
        <f>VLOOKUP(C646,Itinerario!$D$148:$W$178,18,FALSE)</f>
        <v>0</v>
      </c>
      <c r="E646" s="79">
        <f>VLOOKUP(C646,Itinerario!$D$148:$W$178,19,FALSE)</f>
        <v>0</v>
      </c>
      <c r="F646" s="79" t="e">
        <f>VLOOKUP(C646,Organización_Modular!$F$134:$G$164,2,FALSE)</f>
        <v>#N/A</v>
      </c>
    </row>
    <row r="647" spans="1:6" x14ac:dyDescent="0.2">
      <c r="A647" s="439"/>
      <c r="B647" s="440"/>
      <c r="C647" s="68"/>
      <c r="D647" s="78">
        <f>VLOOKUP(C647,Itinerario!$D$148:$W$178,18,FALSE)</f>
        <v>0</v>
      </c>
      <c r="E647" s="79">
        <f>VLOOKUP(C647,Itinerario!$D$148:$W$178,19,FALSE)</f>
        <v>0</v>
      </c>
      <c r="F647" s="79" t="e">
        <f>VLOOKUP(C647,Organización_Modular!$F$134:$G$164,2,FALSE)</f>
        <v>#N/A</v>
      </c>
    </row>
    <row r="648" spans="1:6" x14ac:dyDescent="0.2">
      <c r="A648" s="439"/>
      <c r="B648" s="440"/>
      <c r="C648" s="68"/>
      <c r="D648" s="78">
        <f>VLOOKUP(C648,Itinerario!$D$148:$W$178,18,FALSE)</f>
        <v>0</v>
      </c>
      <c r="E648" s="79">
        <f>VLOOKUP(C648,Itinerario!$D$148:$W$178,19,FALSE)</f>
        <v>0</v>
      </c>
      <c r="F648" s="79" t="e">
        <f>VLOOKUP(C648,Organización_Modular!$F$134:$G$164,2,FALSE)</f>
        <v>#N/A</v>
      </c>
    </row>
    <row r="649" spans="1:6" x14ac:dyDescent="0.2">
      <c r="A649" s="439"/>
      <c r="B649" s="440"/>
      <c r="C649" s="68"/>
      <c r="D649" s="78">
        <f>VLOOKUP(C649,Itinerario!$D$148:$W$178,18,FALSE)</f>
        <v>0</v>
      </c>
      <c r="E649" s="79">
        <f>VLOOKUP(C649,Itinerario!$D$148:$W$178,19,FALSE)</f>
        <v>0</v>
      </c>
      <c r="F649" s="79" t="e">
        <f>VLOOKUP(C649,Organización_Modular!$F$134:$G$164,2,FALSE)</f>
        <v>#N/A</v>
      </c>
    </row>
    <row r="650" spans="1:6" x14ac:dyDescent="0.2">
      <c r="A650" s="439"/>
      <c r="B650" s="440"/>
      <c r="C650" s="68"/>
      <c r="D650" s="78">
        <f>VLOOKUP(C650,Itinerario!$D$148:$W$178,18,FALSE)</f>
        <v>0</v>
      </c>
      <c r="E650" s="79">
        <f>VLOOKUP(C650,Itinerario!$D$148:$W$178,19,FALSE)</f>
        <v>0</v>
      </c>
      <c r="F650" s="79" t="e">
        <f>VLOOKUP(C650,Organización_Modular!$F$134:$G$164,2,FALSE)</f>
        <v>#N/A</v>
      </c>
    </row>
    <row r="651" spans="1:6" x14ac:dyDescent="0.2">
      <c r="A651" s="439"/>
      <c r="B651" s="440"/>
      <c r="C651" s="68"/>
      <c r="D651" s="78">
        <f>VLOOKUP(C651,Itinerario!$D$148:$W$178,18,FALSE)</f>
        <v>0</v>
      </c>
      <c r="E651" s="79">
        <f>VLOOKUP(C651,Itinerario!$D$148:$W$178,19,FALSE)</f>
        <v>0</v>
      </c>
      <c r="F651" s="79" t="e">
        <f>VLOOKUP(C651,Organización_Modular!$F$134:$G$164,2,FALSE)</f>
        <v>#N/A</v>
      </c>
    </row>
    <row r="652" spans="1:6" x14ac:dyDescent="0.2">
      <c r="A652" s="439"/>
      <c r="B652" s="440"/>
      <c r="C652" s="68"/>
      <c r="D652" s="78">
        <f>VLOOKUP(C652,Itinerario!$D$148:$W$178,18,FALSE)</f>
        <v>0</v>
      </c>
      <c r="E652" s="79">
        <f>VLOOKUP(C652,Itinerario!$D$148:$W$178,19,FALSE)</f>
        <v>0</v>
      </c>
      <c r="F652" s="79" t="e">
        <f>VLOOKUP(C652,Organización_Modular!$F$134:$G$164,2,FALSE)</f>
        <v>#N/A</v>
      </c>
    </row>
    <row r="653" spans="1:6" x14ac:dyDescent="0.2">
      <c r="A653" s="439"/>
      <c r="B653" s="440"/>
      <c r="C653" s="68"/>
      <c r="D653" s="78">
        <f>VLOOKUP(C653,Itinerario!$D$148:$W$178,18,FALSE)</f>
        <v>0</v>
      </c>
      <c r="E653" s="79">
        <f>VLOOKUP(C653,Itinerario!$D$148:$W$178,19,FALSE)</f>
        <v>0</v>
      </c>
      <c r="F653" s="79" t="e">
        <f>VLOOKUP(C653,Organización_Modular!$F$134:$G$164,2,FALSE)</f>
        <v>#N/A</v>
      </c>
    </row>
    <row r="654" spans="1:6" x14ac:dyDescent="0.2">
      <c r="A654" s="439"/>
      <c r="B654" s="440"/>
      <c r="C654" s="68"/>
      <c r="D654" s="78">
        <f>VLOOKUP(C654,Itinerario!$D$148:$W$178,18,FALSE)</f>
        <v>0</v>
      </c>
      <c r="E654" s="79">
        <f>VLOOKUP(C654,Itinerario!$D$148:$W$178,19,FALSE)</f>
        <v>0</v>
      </c>
      <c r="F654" s="79" t="e">
        <f>VLOOKUP(C654,Organización_Modular!$F$134:$G$164,2,FALSE)</f>
        <v>#N/A</v>
      </c>
    </row>
    <row r="655" spans="1:6" x14ac:dyDescent="0.2">
      <c r="A655" s="439"/>
      <c r="B655" s="440"/>
      <c r="C655" s="68"/>
      <c r="D655" s="78">
        <f>VLOOKUP(C655,Itinerario!$D$148:$W$178,18,FALSE)</f>
        <v>0</v>
      </c>
      <c r="E655" s="79">
        <f>VLOOKUP(C655,Itinerario!$D$148:$W$178,19,FALSE)</f>
        <v>0</v>
      </c>
      <c r="F655" s="79" t="e">
        <f>VLOOKUP(C655,Organización_Modular!$F$134:$G$164,2,FALSE)</f>
        <v>#N/A</v>
      </c>
    </row>
    <row r="656" spans="1:6" x14ac:dyDescent="0.2">
      <c r="A656" s="439"/>
      <c r="B656" s="440"/>
      <c r="C656" s="68"/>
      <c r="D656" s="78">
        <f>VLOOKUP(C656,Itinerario!$D$148:$W$178,18,FALSE)</f>
        <v>0</v>
      </c>
      <c r="E656" s="79">
        <f>VLOOKUP(C656,Itinerario!$D$148:$W$178,19,FALSE)</f>
        <v>0</v>
      </c>
      <c r="F656" s="79" t="e">
        <f>VLOOKUP(C656,Organización_Modular!$F$134:$G$164,2,FALSE)</f>
        <v>#N/A</v>
      </c>
    </row>
    <row r="657" spans="1:6" x14ac:dyDescent="0.2">
      <c r="A657" s="439"/>
      <c r="B657" s="440"/>
      <c r="C657" s="68"/>
      <c r="D657" s="78">
        <f>VLOOKUP(C657,Itinerario!$D$148:$W$178,18,FALSE)</f>
        <v>0</v>
      </c>
      <c r="E657" s="79">
        <f>VLOOKUP(C657,Itinerario!$D$148:$W$178,19,FALSE)</f>
        <v>0</v>
      </c>
      <c r="F657" s="79" t="e">
        <f>VLOOKUP(C657,Organización_Modular!$F$134:$G$164,2,FALSE)</f>
        <v>#N/A</v>
      </c>
    </row>
    <row r="658" spans="1:6" x14ac:dyDescent="0.2">
      <c r="A658" s="439"/>
      <c r="B658" s="440"/>
      <c r="C658" s="68"/>
      <c r="D658" s="78">
        <f>VLOOKUP(C658,Itinerario!$D$148:$W$178,18,FALSE)</f>
        <v>0</v>
      </c>
      <c r="E658" s="79">
        <f>VLOOKUP(C658,Itinerario!$D$148:$W$178,19,FALSE)</f>
        <v>0</v>
      </c>
      <c r="F658" s="79" t="e">
        <f>VLOOKUP(C658,Organización_Modular!$F$134:$G$164,2,FALSE)</f>
        <v>#N/A</v>
      </c>
    </row>
    <row r="659" spans="1:6" x14ac:dyDescent="0.2">
      <c r="A659" s="439"/>
      <c r="B659" s="440"/>
      <c r="C659" s="68"/>
      <c r="D659" s="78">
        <f>VLOOKUP(C659,Itinerario!$D$148:$W$178,18,FALSE)</f>
        <v>0</v>
      </c>
      <c r="E659" s="79">
        <f>VLOOKUP(C659,Itinerario!$D$148:$W$178,19,FALSE)</f>
        <v>0</v>
      </c>
      <c r="F659" s="79" t="e">
        <f>VLOOKUP(C659,Organización_Modular!$F$134:$G$164,2,FALSE)</f>
        <v>#N/A</v>
      </c>
    </row>
    <row r="660" spans="1:6" x14ac:dyDescent="0.2">
      <c r="A660" s="439"/>
      <c r="B660" s="440"/>
      <c r="C660" s="68"/>
      <c r="D660" s="78">
        <f>VLOOKUP(C660,Itinerario!$D$148:$W$178,18,FALSE)</f>
        <v>0</v>
      </c>
      <c r="E660" s="79">
        <f>VLOOKUP(C660,Itinerario!$D$148:$W$178,19,FALSE)</f>
        <v>0</v>
      </c>
      <c r="F660" s="79" t="e">
        <f>VLOOKUP(C660,Organización_Modular!$F$134:$G$164,2,FALSE)</f>
        <v>#N/A</v>
      </c>
    </row>
    <row r="661" spans="1:6" x14ac:dyDescent="0.2">
      <c r="A661" s="439"/>
      <c r="B661" s="440"/>
      <c r="C661" s="68"/>
      <c r="D661" s="78">
        <f>VLOOKUP(C661,Itinerario!$D$148:$W$178,18,FALSE)</f>
        <v>0</v>
      </c>
      <c r="E661" s="79">
        <f>VLOOKUP(C661,Itinerario!$D$148:$W$178,19,FALSE)</f>
        <v>0</v>
      </c>
      <c r="F661" s="79" t="e">
        <f>VLOOKUP(C661,Organización_Modular!$F$134:$G$164,2,FALSE)</f>
        <v>#N/A</v>
      </c>
    </row>
    <row r="662" spans="1:6" x14ac:dyDescent="0.2">
      <c r="A662" s="439"/>
      <c r="B662" s="440"/>
      <c r="C662" s="68"/>
      <c r="D662" s="78">
        <f>VLOOKUP(C662,Itinerario!$D$148:$W$178,18,FALSE)</f>
        <v>0</v>
      </c>
      <c r="E662" s="79">
        <f>VLOOKUP(C662,Itinerario!$D$148:$W$178,19,FALSE)</f>
        <v>0</v>
      </c>
      <c r="F662" s="79" t="e">
        <f>VLOOKUP(C662,Organización_Modular!$F$134:$G$164,2,FALSE)</f>
        <v>#N/A</v>
      </c>
    </row>
    <row r="663" spans="1:6" x14ac:dyDescent="0.2">
      <c r="A663" s="439"/>
      <c r="B663" s="440"/>
      <c r="C663" s="68"/>
      <c r="D663" s="78">
        <f>VLOOKUP(C663,Itinerario!$D$148:$W$178,18,FALSE)</f>
        <v>0</v>
      </c>
      <c r="E663" s="79">
        <f>VLOOKUP(C663,Itinerario!$D$148:$W$178,19,FALSE)</f>
        <v>0</v>
      </c>
      <c r="F663" s="79" t="e">
        <f>VLOOKUP(C663,Organización_Modular!$F$134:$G$164,2,FALSE)</f>
        <v>#N/A</v>
      </c>
    </row>
    <row r="664" spans="1:6" x14ac:dyDescent="0.2">
      <c r="A664" s="439"/>
      <c r="B664" s="440"/>
      <c r="C664" s="68"/>
      <c r="D664" s="78">
        <f>VLOOKUP(C664,Itinerario!$D$148:$W$178,18,FALSE)</f>
        <v>0</v>
      </c>
      <c r="E664" s="79">
        <f>VLOOKUP(C664,Itinerario!$D$148:$W$178,19,FALSE)</f>
        <v>0</v>
      </c>
      <c r="F664" s="79" t="e">
        <f>VLOOKUP(C664,Organización_Modular!$F$134:$G$164,2,FALSE)</f>
        <v>#N/A</v>
      </c>
    </row>
    <row r="665" spans="1:6" x14ac:dyDescent="0.2">
      <c r="A665" s="439"/>
      <c r="B665" s="440"/>
      <c r="C665" s="68"/>
      <c r="D665" s="78">
        <f>VLOOKUP(C665,Itinerario!$D$148:$W$178,18,FALSE)</f>
        <v>0</v>
      </c>
      <c r="E665" s="79">
        <f>VLOOKUP(C665,Itinerario!$D$148:$W$178,19,FALSE)</f>
        <v>0</v>
      </c>
      <c r="F665" s="79" t="e">
        <f>VLOOKUP(C665,Organización_Modular!$F$134:$G$164,2,FALSE)</f>
        <v>#N/A</v>
      </c>
    </row>
    <row r="666" spans="1:6" x14ac:dyDescent="0.2">
      <c r="A666" s="439"/>
      <c r="B666" s="440"/>
      <c r="C666" s="68"/>
      <c r="D666" s="78">
        <f>VLOOKUP(C666,Itinerario!$D$148:$W$178,18,FALSE)</f>
        <v>0</v>
      </c>
      <c r="E666" s="79">
        <f>VLOOKUP(C666,Itinerario!$D$148:$W$178,19,FALSE)</f>
        <v>0</v>
      </c>
      <c r="F666" s="79" t="e">
        <f>VLOOKUP(C666,Organización_Modular!$F$134:$G$164,2,FALSE)</f>
        <v>#N/A</v>
      </c>
    </row>
    <row r="667" spans="1:6" x14ac:dyDescent="0.2">
      <c r="A667" s="439"/>
      <c r="B667" s="440"/>
      <c r="C667" s="68"/>
      <c r="D667" s="78">
        <f>VLOOKUP(C667,Itinerario!$D$148:$W$178,18,FALSE)</f>
        <v>0</v>
      </c>
      <c r="E667" s="79">
        <f>VLOOKUP(C667,Itinerario!$D$148:$W$178,19,FALSE)</f>
        <v>0</v>
      </c>
      <c r="F667" s="79" t="e">
        <f>VLOOKUP(C667,Organización_Modular!$F$134:$G$164,2,FALSE)</f>
        <v>#N/A</v>
      </c>
    </row>
    <row r="668" spans="1:6" x14ac:dyDescent="0.2">
      <c r="A668" s="439"/>
      <c r="B668" s="440"/>
      <c r="C668" s="68"/>
      <c r="D668" s="78">
        <f>VLOOKUP(C668,Itinerario!$D$148:$W$178,18,FALSE)</f>
        <v>0</v>
      </c>
      <c r="E668" s="79">
        <f>VLOOKUP(C668,Itinerario!$D$148:$W$178,19,FALSE)</f>
        <v>0</v>
      </c>
      <c r="F668" s="79" t="e">
        <f>VLOOKUP(C668,Organización_Modular!$F$134:$G$164,2,FALSE)</f>
        <v>#N/A</v>
      </c>
    </row>
    <row r="669" spans="1:6" x14ac:dyDescent="0.2">
      <c r="A669" s="439"/>
      <c r="B669" s="440"/>
      <c r="C669" s="68"/>
      <c r="D669" s="78">
        <f>VLOOKUP(C669,Itinerario!$D$148:$W$178,18,FALSE)</f>
        <v>0</v>
      </c>
      <c r="E669" s="79">
        <f>VLOOKUP(C669,Itinerario!$D$148:$W$178,19,FALSE)</f>
        <v>0</v>
      </c>
      <c r="F669" s="79" t="e">
        <f>VLOOKUP(C669,Organización_Modular!$F$134:$G$164,2,FALSE)</f>
        <v>#N/A</v>
      </c>
    </row>
    <row r="670" spans="1:6" x14ac:dyDescent="0.2">
      <c r="A670" s="439"/>
      <c r="B670" s="440"/>
      <c r="C670" s="68"/>
      <c r="D670" s="78">
        <f>VLOOKUP(C670,Itinerario!$D$148:$W$178,18,FALSE)</f>
        <v>0</v>
      </c>
      <c r="E670" s="79">
        <f>VLOOKUP(C670,Itinerario!$D$148:$W$178,19,FALSE)</f>
        <v>0</v>
      </c>
      <c r="F670" s="79" t="e">
        <f>VLOOKUP(C670,Organización_Modular!$F$134:$G$164,2,FALSE)</f>
        <v>#N/A</v>
      </c>
    </row>
    <row r="671" spans="1:6" x14ac:dyDescent="0.2">
      <c r="A671" s="439"/>
      <c r="B671" s="440"/>
      <c r="C671" s="68"/>
      <c r="D671" s="78">
        <f>VLOOKUP(C671,Itinerario!$D$148:$W$178,18,FALSE)</f>
        <v>0</v>
      </c>
      <c r="E671" s="79">
        <f>VLOOKUP(C671,Itinerario!$D$148:$W$178,19,FALSE)</f>
        <v>0</v>
      </c>
      <c r="F671" s="79" t="e">
        <f>VLOOKUP(C671,Organización_Modular!$F$134:$G$164,2,FALSE)</f>
        <v>#N/A</v>
      </c>
    </row>
    <row r="672" spans="1:6" x14ac:dyDescent="0.2">
      <c r="A672" s="439"/>
      <c r="B672" s="440"/>
      <c r="C672" s="68"/>
      <c r="D672" s="78">
        <f>VLOOKUP(C672,Itinerario!$D$148:$W$178,18,FALSE)</f>
        <v>0</v>
      </c>
      <c r="E672" s="79">
        <f>VLOOKUP(C672,Itinerario!$D$148:$W$178,19,FALSE)</f>
        <v>0</v>
      </c>
      <c r="F672" s="79" t="e">
        <f>VLOOKUP(C672,Organización_Modular!$F$134:$G$164,2,FALSE)</f>
        <v>#N/A</v>
      </c>
    </row>
    <row r="673" spans="1:6" x14ac:dyDescent="0.2">
      <c r="A673" s="439"/>
      <c r="B673" s="440"/>
      <c r="C673" s="68"/>
      <c r="D673" s="78">
        <f>VLOOKUP(C673,Itinerario!$D$148:$W$178,18,FALSE)</f>
        <v>0</v>
      </c>
      <c r="E673" s="79">
        <f>VLOOKUP(C673,Itinerario!$D$148:$W$178,19,FALSE)</f>
        <v>0</v>
      </c>
      <c r="F673" s="79" t="e">
        <f>VLOOKUP(C673,Organización_Modular!$F$134:$G$164,2,FALSE)</f>
        <v>#N/A</v>
      </c>
    </row>
    <row r="674" spans="1:6" x14ac:dyDescent="0.2">
      <c r="A674" s="439"/>
      <c r="B674" s="440"/>
      <c r="C674" s="68"/>
      <c r="D674" s="78">
        <f>VLOOKUP(C674,Itinerario!$D$148:$W$178,18,FALSE)</f>
        <v>0</v>
      </c>
      <c r="E674" s="79">
        <f>VLOOKUP(C674,Itinerario!$D$148:$W$178,19,FALSE)</f>
        <v>0</v>
      </c>
      <c r="F674" s="79" t="e">
        <f>VLOOKUP(C674,Organización_Modular!$F$134:$G$164,2,FALSE)</f>
        <v>#N/A</v>
      </c>
    </row>
    <row r="675" spans="1:6" x14ac:dyDescent="0.2">
      <c r="A675" s="439"/>
      <c r="B675" s="440"/>
      <c r="C675" s="68"/>
      <c r="D675" s="78">
        <f>VLOOKUP(C675,Itinerario!$D$148:$W$178,18,FALSE)</f>
        <v>0</v>
      </c>
      <c r="E675" s="79">
        <f>VLOOKUP(C675,Itinerario!$D$148:$W$178,19,FALSE)</f>
        <v>0</v>
      </c>
      <c r="F675" s="79" t="e">
        <f>VLOOKUP(C675,Organización_Modular!$F$134:$G$164,2,FALSE)</f>
        <v>#N/A</v>
      </c>
    </row>
    <row r="676" spans="1:6" x14ac:dyDescent="0.2">
      <c r="A676" s="439"/>
      <c r="B676" s="440"/>
      <c r="C676" s="68"/>
      <c r="D676" s="78">
        <f>VLOOKUP(C676,Itinerario!$D$148:$W$178,18,FALSE)</f>
        <v>0</v>
      </c>
      <c r="E676" s="79">
        <f>VLOOKUP(C676,Itinerario!$D$148:$W$178,19,FALSE)</f>
        <v>0</v>
      </c>
      <c r="F676" s="79" t="e">
        <f>VLOOKUP(C676,Organización_Modular!$F$134:$G$164,2,FALSE)</f>
        <v>#N/A</v>
      </c>
    </row>
    <row r="677" spans="1:6" x14ac:dyDescent="0.2">
      <c r="A677" s="439"/>
      <c r="B677" s="440"/>
      <c r="C677" s="68"/>
      <c r="D677" s="78">
        <f>VLOOKUP(C677,Itinerario!$D$148:$W$178,18,FALSE)</f>
        <v>0</v>
      </c>
      <c r="E677" s="79">
        <f>VLOOKUP(C677,Itinerario!$D$148:$W$178,19,FALSE)</f>
        <v>0</v>
      </c>
      <c r="F677" s="79" t="e">
        <f>VLOOKUP(C677,Organización_Modular!$F$134:$G$164,2,FALSE)</f>
        <v>#N/A</v>
      </c>
    </row>
    <row r="678" spans="1:6" x14ac:dyDescent="0.2">
      <c r="A678" s="439"/>
      <c r="B678" s="440"/>
      <c r="C678" s="68"/>
      <c r="D678" s="78">
        <f>VLOOKUP(C678,Itinerario!$D$148:$W$178,18,FALSE)</f>
        <v>0</v>
      </c>
      <c r="E678" s="79">
        <f>VLOOKUP(C678,Itinerario!$D$148:$W$178,19,FALSE)</f>
        <v>0</v>
      </c>
      <c r="F678" s="79" t="e">
        <f>VLOOKUP(C678,Organización_Modular!$F$134:$G$164,2,FALSE)</f>
        <v>#N/A</v>
      </c>
    </row>
    <row r="679" spans="1:6" x14ac:dyDescent="0.2">
      <c r="A679" s="439"/>
      <c r="B679" s="440"/>
      <c r="C679" s="68"/>
      <c r="D679" s="78">
        <f>VLOOKUP(C679,Itinerario!$D$148:$W$178,18,FALSE)</f>
        <v>0</v>
      </c>
      <c r="E679" s="79">
        <f>VLOOKUP(C679,Itinerario!$D$148:$W$178,19,FALSE)</f>
        <v>0</v>
      </c>
      <c r="F679" s="79" t="e">
        <f>VLOOKUP(C679,Organización_Modular!$F$134:$G$164,2,FALSE)</f>
        <v>#N/A</v>
      </c>
    </row>
    <row r="680" spans="1:6" x14ac:dyDescent="0.2">
      <c r="A680" s="439"/>
      <c r="B680" s="440"/>
      <c r="C680" s="68"/>
      <c r="D680" s="78">
        <f>VLOOKUP(C680,Itinerario!$D$148:$W$178,18,FALSE)</f>
        <v>0</v>
      </c>
      <c r="E680" s="79">
        <f>VLOOKUP(C680,Itinerario!$D$148:$W$178,19,FALSE)</f>
        <v>0</v>
      </c>
      <c r="F680" s="79" t="e">
        <f>VLOOKUP(C680,Organización_Modular!$F$134:$G$164,2,FALSE)</f>
        <v>#N/A</v>
      </c>
    </row>
    <row r="681" spans="1:6" x14ac:dyDescent="0.2">
      <c r="A681" s="439"/>
      <c r="B681" s="440"/>
      <c r="C681" s="68"/>
      <c r="D681" s="78">
        <f>VLOOKUP(C681,Itinerario!$D$148:$W$178,18,FALSE)</f>
        <v>0</v>
      </c>
      <c r="E681" s="79">
        <f>VLOOKUP(C681,Itinerario!$D$148:$W$178,19,FALSE)</f>
        <v>0</v>
      </c>
      <c r="F681" s="79" t="e">
        <f>VLOOKUP(C681,Organización_Modular!$F$134:$G$164,2,FALSE)</f>
        <v>#N/A</v>
      </c>
    </row>
    <row r="682" spans="1:6" x14ac:dyDescent="0.2">
      <c r="A682" s="439"/>
      <c r="B682" s="440"/>
      <c r="C682" s="68"/>
      <c r="D682" s="78">
        <f>VLOOKUP(C682,Itinerario!$D$148:$W$178,18,FALSE)</f>
        <v>0</v>
      </c>
      <c r="E682" s="79">
        <f>VLOOKUP(C682,Itinerario!$D$148:$W$178,19,FALSE)</f>
        <v>0</v>
      </c>
      <c r="F682" s="79" t="e">
        <f>VLOOKUP(C682,Organización_Modular!$F$134:$G$164,2,FALSE)</f>
        <v>#N/A</v>
      </c>
    </row>
    <row r="683" spans="1:6" x14ac:dyDescent="0.2">
      <c r="A683" s="439"/>
      <c r="B683" s="440"/>
      <c r="C683" s="68"/>
      <c r="D683" s="78">
        <f>VLOOKUP(C683,Itinerario!$D$148:$W$178,18,FALSE)</f>
        <v>0</v>
      </c>
      <c r="E683" s="79">
        <f>VLOOKUP(C683,Itinerario!$D$148:$W$178,19,FALSE)</f>
        <v>0</v>
      </c>
      <c r="F683" s="79" t="e">
        <f>VLOOKUP(C683,Organización_Modular!$F$134:$G$164,2,FALSE)</f>
        <v>#N/A</v>
      </c>
    </row>
    <row r="684" spans="1:6" x14ac:dyDescent="0.2">
      <c r="A684" s="439"/>
      <c r="B684" s="440"/>
      <c r="C684" s="68"/>
      <c r="D684" s="78">
        <f>VLOOKUP(C684,Itinerario!$D$148:$W$178,18,FALSE)</f>
        <v>0</v>
      </c>
      <c r="E684" s="79">
        <f>VLOOKUP(C684,Itinerario!$D$148:$W$178,19,FALSE)</f>
        <v>0</v>
      </c>
      <c r="F684" s="79" t="e">
        <f>VLOOKUP(C684,Organización_Modular!$F$134:$G$164,2,FALSE)</f>
        <v>#N/A</v>
      </c>
    </row>
    <row r="685" spans="1:6" x14ac:dyDescent="0.2">
      <c r="A685" s="439"/>
      <c r="B685" s="440"/>
      <c r="C685" s="68"/>
      <c r="D685" s="78">
        <f>VLOOKUP(C685,Itinerario!$D$148:$W$178,18,FALSE)</f>
        <v>0</v>
      </c>
      <c r="E685" s="79">
        <f>VLOOKUP(C685,Itinerario!$D$148:$W$178,19,FALSE)</f>
        <v>0</v>
      </c>
      <c r="F685" s="79" t="e">
        <f>VLOOKUP(C685,Organización_Modular!$F$134:$G$164,2,FALSE)</f>
        <v>#N/A</v>
      </c>
    </row>
    <row r="686" spans="1:6" x14ac:dyDescent="0.2">
      <c r="A686" s="439"/>
      <c r="B686" s="440"/>
      <c r="C686" s="68"/>
      <c r="D686" s="78">
        <f>VLOOKUP(C686,Itinerario!$D$148:$W$178,18,FALSE)</f>
        <v>0</v>
      </c>
      <c r="E686" s="79">
        <f>VLOOKUP(C686,Itinerario!$D$148:$W$178,19,FALSE)</f>
        <v>0</v>
      </c>
      <c r="F686" s="79" t="e">
        <f>VLOOKUP(C686,Organización_Modular!$F$134:$G$164,2,FALSE)</f>
        <v>#N/A</v>
      </c>
    </row>
    <row r="687" spans="1:6" x14ac:dyDescent="0.2">
      <c r="A687" s="439"/>
      <c r="B687" s="440"/>
      <c r="C687" s="68"/>
      <c r="D687" s="78">
        <f>VLOOKUP(C687,Itinerario!$D$148:$W$178,18,FALSE)</f>
        <v>0</v>
      </c>
      <c r="E687" s="79">
        <f>VLOOKUP(C687,Itinerario!$D$148:$W$178,19,FALSE)</f>
        <v>0</v>
      </c>
      <c r="F687" s="79" t="e">
        <f>VLOOKUP(C687,Organización_Modular!$F$134:$G$164,2,FALSE)</f>
        <v>#N/A</v>
      </c>
    </row>
    <row r="688" spans="1:6" x14ac:dyDescent="0.2">
      <c r="A688" s="439"/>
      <c r="B688" s="440"/>
      <c r="C688" s="68"/>
      <c r="D688" s="78">
        <f>VLOOKUP(C688,Itinerario!$D$148:$W$178,18,FALSE)</f>
        <v>0</v>
      </c>
      <c r="E688" s="79">
        <f>VLOOKUP(C688,Itinerario!$D$148:$W$178,19,FALSE)</f>
        <v>0</v>
      </c>
      <c r="F688" s="79" t="e">
        <f>VLOOKUP(C688,Organización_Modular!$F$134:$G$164,2,FALSE)</f>
        <v>#N/A</v>
      </c>
    </row>
    <row r="689" spans="1:6" x14ac:dyDescent="0.2">
      <c r="A689" s="439"/>
      <c r="B689" s="440"/>
      <c r="C689" s="69"/>
      <c r="D689" s="78">
        <f>VLOOKUP(C689,Itinerario!$D$148:$W$178,18,FALSE)</f>
        <v>0</v>
      </c>
      <c r="E689" s="79">
        <f>VLOOKUP(C689,Itinerario!$D$148:$W$178,19,FALSE)</f>
        <v>0</v>
      </c>
      <c r="F689" s="79" t="e">
        <f>VLOOKUP(C689,Organización_Modular!$F$134:$G$164,2,FALSE)</f>
        <v>#N/A</v>
      </c>
    </row>
    <row r="690" spans="1:6" x14ac:dyDescent="0.2">
      <c r="A690" s="439"/>
      <c r="B690" s="440"/>
      <c r="C690" s="69"/>
      <c r="D690" s="78">
        <f>VLOOKUP(C690,Itinerario!$D$148:$W$178,18,FALSE)</f>
        <v>0</v>
      </c>
      <c r="E690" s="79">
        <f>VLOOKUP(C690,Itinerario!$D$148:$W$178,19,FALSE)</f>
        <v>0</v>
      </c>
      <c r="F690" s="79" t="e">
        <f>VLOOKUP(C690,Organización_Modular!$F$134:$G$164,2,FALSE)</f>
        <v>#N/A</v>
      </c>
    </row>
    <row r="691" spans="1:6" x14ac:dyDescent="0.2">
      <c r="A691" s="439"/>
      <c r="B691" s="440"/>
      <c r="C691" s="69"/>
      <c r="D691" s="78">
        <f>VLOOKUP(C691,Itinerario!$D$148:$W$178,18,FALSE)</f>
        <v>0</v>
      </c>
      <c r="E691" s="79">
        <f>VLOOKUP(C691,Itinerario!$D$148:$W$178,19,FALSE)</f>
        <v>0</v>
      </c>
      <c r="F691" s="79" t="e">
        <f>VLOOKUP(C691,Organización_Modular!$F$134:$G$164,2,FALSE)</f>
        <v>#N/A</v>
      </c>
    </row>
    <row r="692" spans="1:6" x14ac:dyDescent="0.2">
      <c r="A692" s="439"/>
      <c r="B692" s="440"/>
      <c r="C692" s="69"/>
      <c r="D692" s="78">
        <f>VLOOKUP(C692,Itinerario!$D$148:$W$178,18,FALSE)</f>
        <v>0</v>
      </c>
      <c r="E692" s="79">
        <f>VLOOKUP(C692,Itinerario!$D$148:$W$178,19,FALSE)</f>
        <v>0</v>
      </c>
      <c r="F692" s="79" t="e">
        <f>VLOOKUP(C692,Organización_Modular!$F$134:$G$164,2,FALSE)</f>
        <v>#N/A</v>
      </c>
    </row>
    <row r="693" spans="1:6" x14ac:dyDescent="0.2">
      <c r="A693" s="439"/>
      <c r="B693" s="440"/>
      <c r="C693" s="69"/>
      <c r="D693" s="78">
        <f>VLOOKUP(C693,Itinerario!$D$148:$W$178,18,FALSE)</f>
        <v>0</v>
      </c>
      <c r="E693" s="79">
        <f>VLOOKUP(C693,Itinerario!$D$148:$W$178,19,FALSE)</f>
        <v>0</v>
      </c>
      <c r="F693" s="79" t="e">
        <f>VLOOKUP(C693,Organización_Modular!$F$134:$G$164,2,FALSE)</f>
        <v>#N/A</v>
      </c>
    </row>
    <row r="694" spans="1:6" x14ac:dyDescent="0.2">
      <c r="A694" s="439"/>
      <c r="B694" s="440"/>
      <c r="C694" s="69"/>
      <c r="D694" s="78">
        <f>VLOOKUP(C694,Itinerario!$D$148:$W$178,18,FALSE)</f>
        <v>0</v>
      </c>
      <c r="E694" s="79">
        <f>VLOOKUP(C694,Itinerario!$D$148:$W$178,19,FALSE)</f>
        <v>0</v>
      </c>
      <c r="F694" s="79" t="e">
        <f>VLOOKUP(C694,Organización_Modular!$F$134:$G$164,2,FALSE)</f>
        <v>#N/A</v>
      </c>
    </row>
    <row r="695" spans="1:6" x14ac:dyDescent="0.2">
      <c r="A695" s="439"/>
      <c r="B695" s="440"/>
      <c r="C695" s="69"/>
      <c r="D695" s="78">
        <f>VLOOKUP(C695,Itinerario!$D$148:$W$178,18,FALSE)</f>
        <v>0</v>
      </c>
      <c r="E695" s="79">
        <f>VLOOKUP(C695,Itinerario!$D$148:$W$178,19,FALSE)</f>
        <v>0</v>
      </c>
      <c r="F695" s="79" t="e">
        <f>VLOOKUP(C695,Organización_Modular!$F$134:$G$164,2,FALSE)</f>
        <v>#N/A</v>
      </c>
    </row>
    <row r="696" spans="1:6" x14ac:dyDescent="0.2">
      <c r="A696" s="439"/>
      <c r="B696" s="440"/>
      <c r="C696" s="69"/>
      <c r="D696" s="78">
        <f>VLOOKUP(C696,Itinerario!$D$148:$W$178,18,FALSE)</f>
        <v>0</v>
      </c>
      <c r="E696" s="79">
        <f>VLOOKUP(C696,Itinerario!$D$148:$W$178,19,FALSE)</f>
        <v>0</v>
      </c>
      <c r="F696" s="79" t="e">
        <f>VLOOKUP(C696,Organización_Modular!$F$134:$G$164,2,FALSE)</f>
        <v>#N/A</v>
      </c>
    </row>
    <row r="697" spans="1:6" x14ac:dyDescent="0.2">
      <c r="A697" s="439"/>
      <c r="B697" s="440"/>
      <c r="C697" s="69"/>
      <c r="D697" s="78">
        <f>VLOOKUP(C697,Itinerario!$D$148:$W$178,18,FALSE)</f>
        <v>0</v>
      </c>
      <c r="E697" s="79">
        <f>VLOOKUP(C697,Itinerario!$D$148:$W$178,19,FALSE)</f>
        <v>0</v>
      </c>
      <c r="F697" s="79" t="e">
        <f>VLOOKUP(C697,Organización_Modular!$F$134:$G$164,2,FALSE)</f>
        <v>#N/A</v>
      </c>
    </row>
    <row r="698" spans="1:6" x14ac:dyDescent="0.2">
      <c r="A698" s="439"/>
      <c r="B698" s="440"/>
      <c r="C698" s="69"/>
      <c r="D698" s="78">
        <f>VLOOKUP(C698,Itinerario!$D$148:$W$178,18,FALSE)</f>
        <v>0</v>
      </c>
      <c r="E698" s="79">
        <f>VLOOKUP(C698,Itinerario!$D$148:$W$178,19,FALSE)</f>
        <v>0</v>
      </c>
      <c r="F698" s="79" t="e">
        <f>VLOOKUP(C698,Organización_Modular!$F$134:$G$164,2,FALSE)</f>
        <v>#N/A</v>
      </c>
    </row>
    <row r="699" spans="1:6" x14ac:dyDescent="0.2">
      <c r="A699" s="439"/>
      <c r="B699" s="440"/>
      <c r="C699" s="69"/>
      <c r="D699" s="78">
        <f>VLOOKUP(C699,Itinerario!$D$148:$W$178,18,FALSE)</f>
        <v>0</v>
      </c>
      <c r="E699" s="79">
        <f>VLOOKUP(C699,Itinerario!$D$148:$W$178,19,FALSE)</f>
        <v>0</v>
      </c>
      <c r="F699" s="79" t="e">
        <f>VLOOKUP(C699,Organización_Modular!$F$134:$G$164,2,FALSE)</f>
        <v>#N/A</v>
      </c>
    </row>
    <row r="700" spans="1:6" x14ac:dyDescent="0.2">
      <c r="A700" s="439"/>
      <c r="B700" s="440"/>
      <c r="C700" s="69"/>
      <c r="D700" s="78">
        <f>VLOOKUP(C700,Itinerario!$D$148:$W$178,18,FALSE)</f>
        <v>0</v>
      </c>
      <c r="E700" s="79">
        <f>VLOOKUP(C700,Itinerario!$D$148:$W$178,19,FALSE)</f>
        <v>0</v>
      </c>
      <c r="F700" s="79" t="e">
        <f>VLOOKUP(C700,Organización_Modular!$F$134:$G$164,2,FALSE)</f>
        <v>#N/A</v>
      </c>
    </row>
    <row r="701" spans="1:6" x14ac:dyDescent="0.2">
      <c r="A701" s="439"/>
      <c r="B701" s="440"/>
      <c r="C701" s="69"/>
      <c r="D701" s="78">
        <f>VLOOKUP(C701,Itinerario!$D$148:$W$178,18,FALSE)</f>
        <v>0</v>
      </c>
      <c r="E701" s="79">
        <f>VLOOKUP(C701,Itinerario!$D$148:$W$178,19,FALSE)</f>
        <v>0</v>
      </c>
      <c r="F701" s="79" t="e">
        <f>VLOOKUP(C701,Organización_Modular!$F$134:$G$164,2,FALSE)</f>
        <v>#N/A</v>
      </c>
    </row>
    <row r="702" spans="1:6" x14ac:dyDescent="0.2">
      <c r="A702" s="439"/>
      <c r="B702" s="440"/>
      <c r="C702" s="69"/>
      <c r="D702" s="78">
        <f>VLOOKUP(C702,Itinerario!$D$148:$W$178,18,FALSE)</f>
        <v>0</v>
      </c>
      <c r="E702" s="79">
        <f>VLOOKUP(C702,Itinerario!$D$148:$W$178,19,FALSE)</f>
        <v>0</v>
      </c>
      <c r="F702" s="79" t="e">
        <f>VLOOKUP(C702,Organización_Modular!$F$134:$G$164,2,FALSE)</f>
        <v>#N/A</v>
      </c>
    </row>
    <row r="703" spans="1:6" x14ac:dyDescent="0.2">
      <c r="A703" s="439"/>
      <c r="B703" s="440"/>
      <c r="C703" s="69"/>
      <c r="D703" s="78">
        <f>VLOOKUP(C703,Itinerario!$D$148:$W$178,18,FALSE)</f>
        <v>0</v>
      </c>
      <c r="E703" s="79">
        <f>VLOOKUP(C703,Itinerario!$D$148:$W$178,19,FALSE)</f>
        <v>0</v>
      </c>
      <c r="F703" s="79" t="e">
        <f>VLOOKUP(C703,Organización_Modular!$F$134:$G$164,2,FALSE)</f>
        <v>#N/A</v>
      </c>
    </row>
    <row r="704" spans="1:6" x14ac:dyDescent="0.2">
      <c r="A704" s="439"/>
      <c r="B704" s="440"/>
      <c r="C704" s="69"/>
      <c r="D704" s="78">
        <f>VLOOKUP(C704,Itinerario!$D$148:$W$178,18,FALSE)</f>
        <v>0</v>
      </c>
      <c r="E704" s="79">
        <f>VLOOKUP(C704,Itinerario!$D$148:$W$178,19,FALSE)</f>
        <v>0</v>
      </c>
      <c r="F704" s="79" t="e">
        <f>VLOOKUP(C704,Organización_Modular!$F$134:$G$164,2,FALSE)</f>
        <v>#N/A</v>
      </c>
    </row>
    <row r="705" spans="1:6" x14ac:dyDescent="0.2">
      <c r="A705" s="439"/>
      <c r="B705" s="440"/>
      <c r="C705" s="69"/>
      <c r="D705" s="78">
        <f>VLOOKUP(C705,Itinerario!$D$148:$W$178,18,FALSE)</f>
        <v>0</v>
      </c>
      <c r="E705" s="79">
        <f>VLOOKUP(C705,Itinerario!$D$148:$W$178,19,FALSE)</f>
        <v>0</v>
      </c>
      <c r="F705" s="79" t="e">
        <f>VLOOKUP(C705,Organización_Modular!$F$134:$G$164,2,FALSE)</f>
        <v>#N/A</v>
      </c>
    </row>
    <row r="706" spans="1:6" x14ac:dyDescent="0.2">
      <c r="A706" s="439"/>
      <c r="B706" s="440"/>
      <c r="C706" s="69"/>
      <c r="D706" s="78">
        <f>VLOOKUP(C706,Itinerario!$D$148:$W$178,18,FALSE)</f>
        <v>0</v>
      </c>
      <c r="E706" s="79">
        <f>VLOOKUP(C706,Itinerario!$D$148:$W$178,19,FALSE)</f>
        <v>0</v>
      </c>
      <c r="F706" s="79" t="e">
        <f>VLOOKUP(C706,Organización_Modular!$F$134:$G$164,2,FALSE)</f>
        <v>#N/A</v>
      </c>
    </row>
    <row r="707" spans="1:6" x14ac:dyDescent="0.2">
      <c r="A707" s="439"/>
      <c r="B707" s="440"/>
      <c r="C707" s="69"/>
      <c r="D707" s="78">
        <f>VLOOKUP(C707,Itinerario!$D$148:$W$178,18,FALSE)</f>
        <v>0</v>
      </c>
      <c r="E707" s="79">
        <f>VLOOKUP(C707,Itinerario!$D$148:$W$178,19,FALSE)</f>
        <v>0</v>
      </c>
      <c r="F707" s="79" t="e">
        <f>VLOOKUP(C707,Organización_Modular!$F$134:$G$164,2,FALSE)</f>
        <v>#N/A</v>
      </c>
    </row>
    <row r="708" spans="1:6" x14ac:dyDescent="0.2">
      <c r="A708" s="439"/>
      <c r="B708" s="440"/>
      <c r="C708" s="69"/>
      <c r="D708" s="78">
        <f>VLOOKUP(C708,Itinerario!$D$148:$W$178,18,FALSE)</f>
        <v>0</v>
      </c>
      <c r="E708" s="79">
        <f>VLOOKUP(C708,Itinerario!$D$148:$W$178,19,FALSE)</f>
        <v>0</v>
      </c>
      <c r="F708" s="79" t="e">
        <f>VLOOKUP(C708,Organización_Modular!$F$134:$G$164,2,FALSE)</f>
        <v>#N/A</v>
      </c>
    </row>
    <row r="709" spans="1:6" x14ac:dyDescent="0.2">
      <c r="A709" s="439"/>
      <c r="B709" s="440"/>
      <c r="C709" s="69"/>
      <c r="D709" s="78">
        <f>VLOOKUP(C709,Itinerario!$D$148:$W$178,18,FALSE)</f>
        <v>0</v>
      </c>
      <c r="E709" s="79">
        <f>VLOOKUP(C709,Itinerario!$D$148:$W$178,19,FALSE)</f>
        <v>0</v>
      </c>
      <c r="F709" s="79" t="e">
        <f>VLOOKUP(C709,Organización_Modular!$F$134:$G$164,2,FALSE)</f>
        <v>#N/A</v>
      </c>
    </row>
    <row r="710" spans="1:6" x14ac:dyDescent="0.2">
      <c r="A710" s="439"/>
      <c r="B710" s="440"/>
      <c r="C710" s="69"/>
      <c r="D710" s="78">
        <f>VLOOKUP(C710,Itinerario!$D$148:$W$178,18,FALSE)</f>
        <v>0</v>
      </c>
      <c r="E710" s="79">
        <f>VLOOKUP(C710,Itinerario!$D$148:$W$178,19,FALSE)</f>
        <v>0</v>
      </c>
      <c r="F710" s="79" t="e">
        <f>VLOOKUP(C710,Organización_Modular!$F$134:$G$164,2,FALSE)</f>
        <v>#N/A</v>
      </c>
    </row>
    <row r="711" spans="1:6" x14ac:dyDescent="0.2">
      <c r="A711" s="439"/>
      <c r="B711" s="440"/>
      <c r="C711" s="69"/>
      <c r="D711" s="78">
        <f>VLOOKUP(C711,Itinerario!$D$148:$W$178,18,FALSE)</f>
        <v>0</v>
      </c>
      <c r="E711" s="79">
        <f>VLOOKUP(C711,Itinerario!$D$148:$W$178,19,FALSE)</f>
        <v>0</v>
      </c>
      <c r="F711" s="79" t="e">
        <f>VLOOKUP(C711,Organización_Modular!$F$134:$G$164,2,FALSE)</f>
        <v>#N/A</v>
      </c>
    </row>
    <row r="712" spans="1:6" x14ac:dyDescent="0.2">
      <c r="A712" s="439"/>
      <c r="B712" s="440"/>
      <c r="C712" s="69"/>
      <c r="D712" s="78">
        <f>VLOOKUP(C712,Itinerario!$D$148:$W$178,18,FALSE)</f>
        <v>0</v>
      </c>
      <c r="E712" s="79">
        <f>VLOOKUP(C712,Itinerario!$D$148:$W$178,19,FALSE)</f>
        <v>0</v>
      </c>
      <c r="F712" s="79" t="e">
        <f>VLOOKUP(C712,Organización_Modular!$F$134:$G$164,2,FALSE)</f>
        <v>#N/A</v>
      </c>
    </row>
    <row r="713" spans="1:6" x14ac:dyDescent="0.2">
      <c r="A713" s="439"/>
      <c r="B713" s="440"/>
      <c r="C713" s="69"/>
      <c r="D713" s="78">
        <f>VLOOKUP(C713,Itinerario!$D$148:$W$178,18,FALSE)</f>
        <v>0</v>
      </c>
      <c r="E713" s="79">
        <f>VLOOKUP(C713,Itinerario!$D$148:$W$178,19,FALSE)</f>
        <v>0</v>
      </c>
      <c r="F713" s="79" t="e">
        <f>VLOOKUP(C713,Organización_Modular!$F$134:$G$164,2,FALSE)</f>
        <v>#N/A</v>
      </c>
    </row>
    <row r="714" spans="1:6" x14ac:dyDescent="0.2">
      <c r="A714" s="439"/>
      <c r="B714" s="440"/>
      <c r="C714" s="69"/>
      <c r="D714" s="78">
        <f>VLOOKUP(C714,Itinerario!$D$148:$W$178,18,FALSE)</f>
        <v>0</v>
      </c>
      <c r="E714" s="79">
        <f>VLOOKUP(C714,Itinerario!$D$148:$W$178,19,FALSE)</f>
        <v>0</v>
      </c>
      <c r="F714" s="79" t="e">
        <f>VLOOKUP(C714,Organización_Modular!$F$134:$G$164,2,FALSE)</f>
        <v>#N/A</v>
      </c>
    </row>
    <row r="715" spans="1:6" x14ac:dyDescent="0.2">
      <c r="A715" s="439"/>
      <c r="B715" s="440"/>
      <c r="C715" s="69"/>
      <c r="D715" s="78">
        <f>VLOOKUP(C715,Itinerario!$D$148:$W$178,18,FALSE)</f>
        <v>0</v>
      </c>
      <c r="E715" s="79">
        <f>VLOOKUP(C715,Itinerario!$D$148:$W$178,19,FALSE)</f>
        <v>0</v>
      </c>
      <c r="F715" s="79" t="e">
        <f>VLOOKUP(C715,Organización_Modular!$F$134:$G$164,2,FALSE)</f>
        <v>#N/A</v>
      </c>
    </row>
    <row r="716" spans="1:6" x14ac:dyDescent="0.2">
      <c r="A716" s="439"/>
      <c r="B716" s="440"/>
      <c r="C716" s="69"/>
      <c r="D716" s="78">
        <f>VLOOKUP(C716,Itinerario!$D$148:$W$178,18,FALSE)</f>
        <v>0</v>
      </c>
      <c r="E716" s="79">
        <f>VLOOKUP(C716,Itinerario!$D$148:$W$178,19,FALSE)</f>
        <v>0</v>
      </c>
      <c r="F716" s="79" t="e">
        <f>VLOOKUP(C716,Organización_Modular!$F$134:$G$164,2,FALSE)</f>
        <v>#N/A</v>
      </c>
    </row>
    <row r="717" spans="1:6" x14ac:dyDescent="0.2">
      <c r="A717" s="439"/>
      <c r="B717" s="440"/>
      <c r="C717" s="69"/>
      <c r="D717" s="78">
        <f>VLOOKUP(C717,Itinerario!$D$148:$W$178,18,FALSE)</f>
        <v>0</v>
      </c>
      <c r="E717" s="79">
        <f>VLOOKUP(C717,Itinerario!$D$148:$W$178,19,FALSE)</f>
        <v>0</v>
      </c>
      <c r="F717" s="79" t="e">
        <f>VLOOKUP(C717,Organización_Modular!$F$134:$G$164,2,FALSE)</f>
        <v>#N/A</v>
      </c>
    </row>
    <row r="718" spans="1:6" x14ac:dyDescent="0.2">
      <c r="A718" s="439"/>
      <c r="B718" s="440"/>
      <c r="C718" s="69"/>
      <c r="D718" s="78">
        <f>VLOOKUP(C718,Itinerario!$D$148:$W$178,18,FALSE)</f>
        <v>0</v>
      </c>
      <c r="E718" s="79">
        <f>VLOOKUP(C718,Itinerario!$D$148:$W$178,19,FALSE)</f>
        <v>0</v>
      </c>
      <c r="F718" s="79" t="e">
        <f>VLOOKUP(C718,Organización_Modular!$F$134:$G$164,2,FALSE)</f>
        <v>#N/A</v>
      </c>
    </row>
    <row r="719" spans="1:6" x14ac:dyDescent="0.2">
      <c r="A719" s="439"/>
      <c r="B719" s="440"/>
      <c r="C719" s="69"/>
      <c r="D719" s="78">
        <f>VLOOKUP(C719,Itinerario!$D$148:$W$178,18,FALSE)</f>
        <v>0</v>
      </c>
      <c r="E719" s="79">
        <f>VLOOKUP(C719,Itinerario!$D$148:$W$178,19,FALSE)</f>
        <v>0</v>
      </c>
      <c r="F719" s="79" t="e">
        <f>VLOOKUP(C719,Organización_Modular!$F$134:$G$164,2,FALSE)</f>
        <v>#N/A</v>
      </c>
    </row>
    <row r="720" spans="1:6" x14ac:dyDescent="0.2">
      <c r="A720" s="439"/>
      <c r="B720" s="440"/>
      <c r="C720" s="69"/>
      <c r="D720" s="78">
        <f>VLOOKUP(C720,Itinerario!$D$148:$W$178,18,FALSE)</f>
        <v>0</v>
      </c>
      <c r="E720" s="79">
        <f>VLOOKUP(C720,Itinerario!$D$148:$W$178,19,FALSE)</f>
        <v>0</v>
      </c>
      <c r="F720" s="79" t="e">
        <f>VLOOKUP(C720,Organización_Modular!$F$134:$G$164,2,FALSE)</f>
        <v>#N/A</v>
      </c>
    </row>
    <row r="721" spans="1:6" x14ac:dyDescent="0.2">
      <c r="A721" s="439"/>
      <c r="B721" s="440"/>
      <c r="C721" s="69"/>
      <c r="D721" s="78">
        <f>VLOOKUP(C721,Itinerario!$D$148:$W$178,18,FALSE)</f>
        <v>0</v>
      </c>
      <c r="E721" s="79">
        <f>VLOOKUP(C721,Itinerario!$D$148:$W$178,19,FALSE)</f>
        <v>0</v>
      </c>
      <c r="F721" s="79" t="e">
        <f>VLOOKUP(C721,Organización_Modular!$F$134:$G$164,2,FALSE)</f>
        <v>#N/A</v>
      </c>
    </row>
    <row r="722" spans="1:6" x14ac:dyDescent="0.2">
      <c r="A722" s="439"/>
      <c r="B722" s="440"/>
      <c r="C722" s="69"/>
      <c r="D722" s="78">
        <f>VLOOKUP(C722,Itinerario!$D$148:$W$178,18,FALSE)</f>
        <v>0</v>
      </c>
      <c r="E722" s="79">
        <f>VLOOKUP(C722,Itinerario!$D$148:$W$178,19,FALSE)</f>
        <v>0</v>
      </c>
      <c r="F722" s="79" t="e">
        <f>VLOOKUP(C722,Organización_Modular!$F$134:$G$164,2,FALSE)</f>
        <v>#N/A</v>
      </c>
    </row>
    <row r="723" spans="1:6" x14ac:dyDescent="0.2">
      <c r="A723" s="439"/>
      <c r="B723" s="440"/>
      <c r="C723" s="69"/>
      <c r="D723" s="78">
        <f>VLOOKUP(C723,Itinerario!$D$148:$W$178,18,FALSE)</f>
        <v>0</v>
      </c>
      <c r="E723" s="79">
        <f>VLOOKUP(C723,Itinerario!$D$148:$W$178,19,FALSE)</f>
        <v>0</v>
      </c>
      <c r="F723" s="79" t="e">
        <f>VLOOKUP(C723,Organización_Modular!$F$134:$G$164,2,FALSE)</f>
        <v>#N/A</v>
      </c>
    </row>
    <row r="724" spans="1:6" x14ac:dyDescent="0.2">
      <c r="A724" s="439"/>
      <c r="B724" s="440"/>
      <c r="C724" s="69"/>
      <c r="D724" s="78">
        <f>VLOOKUP(C724,Itinerario!$D$148:$W$178,18,FALSE)</f>
        <v>0</v>
      </c>
      <c r="E724" s="79">
        <f>VLOOKUP(C724,Itinerario!$D$148:$W$178,19,FALSE)</f>
        <v>0</v>
      </c>
      <c r="F724" s="79" t="e">
        <f>VLOOKUP(C724,Organización_Modular!$F$134:$G$164,2,FALSE)</f>
        <v>#N/A</v>
      </c>
    </row>
    <row r="725" spans="1:6" x14ac:dyDescent="0.2">
      <c r="A725" s="439"/>
      <c r="B725" s="440"/>
      <c r="C725" s="69"/>
      <c r="D725" s="78">
        <f>VLOOKUP(C725,Itinerario!$D$148:$W$178,18,FALSE)</f>
        <v>0</v>
      </c>
      <c r="E725" s="79">
        <f>VLOOKUP(C725,Itinerario!$D$148:$W$178,19,FALSE)</f>
        <v>0</v>
      </c>
      <c r="F725" s="79" t="e">
        <f>VLOOKUP(C725,Organización_Modular!$F$134:$G$164,2,FALSE)</f>
        <v>#N/A</v>
      </c>
    </row>
    <row r="726" spans="1:6" x14ac:dyDescent="0.2">
      <c r="A726" s="439"/>
      <c r="B726" s="440"/>
      <c r="C726" s="69"/>
      <c r="D726" s="78">
        <f>VLOOKUP(C726,Itinerario!$D$148:$W$178,18,FALSE)</f>
        <v>0</v>
      </c>
      <c r="E726" s="79">
        <f>VLOOKUP(C726,Itinerario!$D$148:$W$178,19,FALSE)</f>
        <v>0</v>
      </c>
      <c r="F726" s="79" t="e">
        <f>VLOOKUP(C726,Organización_Modular!$F$134:$G$164,2,FALSE)</f>
        <v>#N/A</v>
      </c>
    </row>
    <row r="727" spans="1:6" x14ac:dyDescent="0.2">
      <c r="A727" s="439"/>
      <c r="B727" s="440"/>
      <c r="C727" s="69"/>
      <c r="D727" s="78">
        <f>VLOOKUP(C727,Itinerario!$D$148:$W$178,18,FALSE)</f>
        <v>0</v>
      </c>
      <c r="E727" s="79">
        <f>VLOOKUP(C727,Itinerario!$D$148:$W$178,19,FALSE)</f>
        <v>0</v>
      </c>
      <c r="F727" s="79" t="e">
        <f>VLOOKUP(C727,Organización_Modular!$F$134:$G$164,2,FALSE)</f>
        <v>#N/A</v>
      </c>
    </row>
    <row r="728" spans="1:6" x14ac:dyDescent="0.2">
      <c r="A728" s="439"/>
      <c r="B728" s="440"/>
      <c r="C728" s="69"/>
      <c r="D728" s="78">
        <f>VLOOKUP(C728,Itinerario!$D$148:$W$178,18,FALSE)</f>
        <v>0</v>
      </c>
      <c r="E728" s="79">
        <f>VLOOKUP(C728,Itinerario!$D$148:$W$178,19,FALSE)</f>
        <v>0</v>
      </c>
      <c r="F728" s="79" t="e">
        <f>VLOOKUP(C728,Organización_Modular!$F$134:$G$164,2,FALSE)</f>
        <v>#N/A</v>
      </c>
    </row>
    <row r="729" spans="1:6" x14ac:dyDescent="0.2">
      <c r="A729" s="439"/>
      <c r="B729" s="440"/>
      <c r="C729" s="69"/>
      <c r="D729" s="78">
        <f>VLOOKUP(C729,Itinerario!$D$148:$W$178,18,FALSE)</f>
        <v>0</v>
      </c>
      <c r="E729" s="79">
        <f>VLOOKUP(C729,Itinerario!$D$148:$W$178,19,FALSE)</f>
        <v>0</v>
      </c>
      <c r="F729" s="79" t="e">
        <f>VLOOKUP(C729,Organización_Modular!$F$134:$G$164,2,FALSE)</f>
        <v>#N/A</v>
      </c>
    </row>
    <row r="730" spans="1:6" x14ac:dyDescent="0.2">
      <c r="A730" s="439"/>
      <c r="B730" s="440"/>
      <c r="C730" s="69"/>
      <c r="D730" s="78">
        <f>VLOOKUP(C730,Itinerario!$D$148:$W$178,18,FALSE)</f>
        <v>0</v>
      </c>
      <c r="E730" s="79">
        <f>VLOOKUP(C730,Itinerario!$D$148:$W$178,19,FALSE)</f>
        <v>0</v>
      </c>
      <c r="F730" s="79" t="e">
        <f>VLOOKUP(C730,Organización_Modular!$F$134:$G$164,2,FALSE)</f>
        <v>#N/A</v>
      </c>
    </row>
    <row r="731" spans="1:6" x14ac:dyDescent="0.2">
      <c r="A731" s="439"/>
      <c r="B731" s="440"/>
      <c r="C731" s="69"/>
      <c r="D731" s="78">
        <f>VLOOKUP(C731,Itinerario!$D$148:$W$178,18,FALSE)</f>
        <v>0</v>
      </c>
      <c r="E731" s="79">
        <f>VLOOKUP(C731,Itinerario!$D$148:$W$178,19,FALSE)</f>
        <v>0</v>
      </c>
      <c r="F731" s="79" t="e">
        <f>VLOOKUP(C731,Organización_Modular!$F$134:$G$164,2,FALSE)</f>
        <v>#N/A</v>
      </c>
    </row>
    <row r="732" spans="1:6" x14ac:dyDescent="0.2">
      <c r="A732" s="439"/>
      <c r="B732" s="440"/>
      <c r="C732" s="69"/>
      <c r="D732" s="78">
        <f>VLOOKUP(C732,Itinerario!$D$148:$W$178,18,FALSE)</f>
        <v>0</v>
      </c>
      <c r="E732" s="79">
        <f>VLOOKUP(C732,Itinerario!$D$148:$W$178,19,FALSE)</f>
        <v>0</v>
      </c>
      <c r="F732" s="79" t="e">
        <f>VLOOKUP(C732,Organización_Modular!$F$134:$G$164,2,FALSE)</f>
        <v>#N/A</v>
      </c>
    </row>
    <row r="733" spans="1:6" x14ac:dyDescent="0.2">
      <c r="A733" s="439"/>
      <c r="B733" s="440"/>
      <c r="C733" s="68"/>
      <c r="D733" s="78">
        <f>VLOOKUP(C733,Itinerario!$D$148:$W$178,18,FALSE)</f>
        <v>0</v>
      </c>
      <c r="E733" s="79">
        <f>VLOOKUP(C733,Itinerario!$D$148:$W$178,19,FALSE)</f>
        <v>0</v>
      </c>
      <c r="F733" s="79" t="e">
        <f>VLOOKUP(C733,Organización_Modular!$F$134:$G$164,2,FALSE)</f>
        <v>#N/A</v>
      </c>
    </row>
    <row r="734" spans="1:6" x14ac:dyDescent="0.2">
      <c r="A734" s="439"/>
      <c r="B734" s="440"/>
      <c r="C734" s="69"/>
      <c r="D734" s="78">
        <f>VLOOKUP(C734,Itinerario!$D$148:$W$178,18,FALSE)</f>
        <v>0</v>
      </c>
      <c r="E734" s="79">
        <f>VLOOKUP(C734,Itinerario!$D$148:$W$178,19,FALSE)</f>
        <v>0</v>
      </c>
      <c r="F734" s="79" t="e">
        <f>VLOOKUP(C734,Organización_Modular!$F$134:$G$164,2,FALSE)</f>
        <v>#N/A</v>
      </c>
    </row>
    <row r="735" spans="1:6" x14ac:dyDescent="0.2">
      <c r="A735" s="439"/>
      <c r="B735" s="440"/>
      <c r="C735" s="69"/>
      <c r="D735" s="78">
        <f>VLOOKUP(C735,Itinerario!$D$148:$W$178,18,FALSE)</f>
        <v>0</v>
      </c>
      <c r="E735" s="79">
        <f>VLOOKUP(C735,Itinerario!$D$148:$W$178,19,FALSE)</f>
        <v>0</v>
      </c>
      <c r="F735" s="79" t="e">
        <f>VLOOKUP(C735,Organización_Modular!$F$134:$G$164,2,FALSE)</f>
        <v>#N/A</v>
      </c>
    </row>
    <row r="736" spans="1:6" x14ac:dyDescent="0.2">
      <c r="A736" s="439"/>
      <c r="B736" s="440"/>
      <c r="C736" s="69"/>
      <c r="D736" s="78">
        <f>VLOOKUP(C736,Itinerario!$D$148:$W$178,18,FALSE)</f>
        <v>0</v>
      </c>
      <c r="E736" s="79">
        <f>VLOOKUP(C736,Itinerario!$D$148:$W$178,19,FALSE)</f>
        <v>0</v>
      </c>
      <c r="F736" s="79" t="e">
        <f>VLOOKUP(C736,Organización_Modular!$F$134:$G$164,2,FALSE)</f>
        <v>#N/A</v>
      </c>
    </row>
    <row r="737" spans="1:6" x14ac:dyDescent="0.2">
      <c r="A737" s="439"/>
      <c r="B737" s="440"/>
      <c r="C737" s="69"/>
      <c r="D737" s="78">
        <f>VLOOKUP(C737,Itinerario!$D$148:$W$178,18,FALSE)</f>
        <v>0</v>
      </c>
      <c r="E737" s="79">
        <f>VLOOKUP(C737,Itinerario!$D$148:$W$178,19,FALSE)</f>
        <v>0</v>
      </c>
      <c r="F737" s="79" t="e">
        <f>VLOOKUP(C737,Organización_Modular!$F$134:$G$164,2,FALSE)</f>
        <v>#N/A</v>
      </c>
    </row>
    <row r="738" spans="1:6" x14ac:dyDescent="0.2">
      <c r="A738" s="439"/>
      <c r="B738" s="440"/>
      <c r="C738" s="69"/>
      <c r="D738" s="78">
        <f>VLOOKUP(C738,Itinerario!$D$148:$W$178,18,FALSE)</f>
        <v>0</v>
      </c>
      <c r="E738" s="79">
        <f>VLOOKUP(C738,Itinerario!$D$148:$W$178,19,FALSE)</f>
        <v>0</v>
      </c>
      <c r="F738" s="79" t="e">
        <f>VLOOKUP(C738,Organización_Modular!$F$134:$G$164,2,FALSE)</f>
        <v>#N/A</v>
      </c>
    </row>
    <row r="739" spans="1:6" x14ac:dyDescent="0.2">
      <c r="A739" s="439"/>
      <c r="B739" s="440"/>
      <c r="C739" s="69"/>
      <c r="D739" s="78">
        <f>VLOOKUP(C739,Itinerario!$D$148:$W$178,18,FALSE)</f>
        <v>0</v>
      </c>
      <c r="E739" s="79">
        <f>VLOOKUP(C739,Itinerario!$D$148:$W$178,19,FALSE)</f>
        <v>0</v>
      </c>
      <c r="F739" s="79" t="e">
        <f>VLOOKUP(C739,Organización_Modular!$F$134:$G$164,2,FALSE)</f>
        <v>#N/A</v>
      </c>
    </row>
    <row r="740" spans="1:6" x14ac:dyDescent="0.2">
      <c r="A740" s="439"/>
      <c r="B740" s="440"/>
      <c r="C740" s="69"/>
      <c r="D740" s="78">
        <f>VLOOKUP(C740,Itinerario!$D$148:$W$178,18,FALSE)</f>
        <v>0</v>
      </c>
      <c r="E740" s="79">
        <f>VLOOKUP(C740,Itinerario!$D$148:$W$178,19,FALSE)</f>
        <v>0</v>
      </c>
      <c r="F740" s="79" t="e">
        <f>VLOOKUP(C740,Organización_Modular!$F$134:$G$164,2,FALSE)</f>
        <v>#N/A</v>
      </c>
    </row>
    <row r="741" spans="1:6" x14ac:dyDescent="0.2">
      <c r="A741" s="439"/>
      <c r="B741" s="440"/>
      <c r="C741" s="69"/>
      <c r="D741" s="78">
        <f>VLOOKUP(C741,Itinerario!$D$148:$W$178,18,FALSE)</f>
        <v>0</v>
      </c>
      <c r="E741" s="79">
        <f>VLOOKUP(C741,Itinerario!$D$148:$W$178,19,FALSE)</f>
        <v>0</v>
      </c>
      <c r="F741" s="79" t="e">
        <f>VLOOKUP(C741,Organización_Modular!$F$134:$G$164,2,FALSE)</f>
        <v>#N/A</v>
      </c>
    </row>
    <row r="742" spans="1:6" x14ac:dyDescent="0.2">
      <c r="A742" s="439"/>
      <c r="B742" s="440"/>
      <c r="C742" s="69"/>
      <c r="D742" s="78">
        <f>VLOOKUP(C742,Itinerario!$D$148:$W$178,18,FALSE)</f>
        <v>0</v>
      </c>
      <c r="E742" s="79">
        <f>VLOOKUP(C742,Itinerario!$D$148:$W$178,19,FALSE)</f>
        <v>0</v>
      </c>
      <c r="F742" s="79" t="e">
        <f>VLOOKUP(C742,Organización_Modular!$F$134:$G$164,2,FALSE)</f>
        <v>#N/A</v>
      </c>
    </row>
    <row r="743" spans="1:6" x14ac:dyDescent="0.2">
      <c r="A743" s="439"/>
      <c r="B743" s="440"/>
      <c r="C743" s="69"/>
      <c r="D743" s="78">
        <f>VLOOKUP(C743,Itinerario!$D$148:$W$178,18,FALSE)</f>
        <v>0</v>
      </c>
      <c r="E743" s="79">
        <f>VLOOKUP(C743,Itinerario!$D$148:$W$178,19,FALSE)</f>
        <v>0</v>
      </c>
      <c r="F743" s="79" t="e">
        <f>VLOOKUP(C743,Organización_Modular!$F$134:$G$164,2,FALSE)</f>
        <v>#N/A</v>
      </c>
    </row>
    <row r="744" spans="1:6" x14ac:dyDescent="0.2">
      <c r="A744" s="439"/>
      <c r="B744" s="440"/>
      <c r="C744" s="69"/>
      <c r="D744" s="78">
        <f>VLOOKUP(C744,Itinerario!$D$148:$W$178,18,FALSE)</f>
        <v>0</v>
      </c>
      <c r="E744" s="79">
        <f>VLOOKUP(C744,Itinerario!$D$148:$W$178,19,FALSE)</f>
        <v>0</v>
      </c>
      <c r="F744" s="79" t="e">
        <f>VLOOKUP(C744,Organización_Modular!$F$134:$G$164,2,FALSE)</f>
        <v>#N/A</v>
      </c>
    </row>
    <row r="745" spans="1:6" x14ac:dyDescent="0.2">
      <c r="A745" s="439"/>
      <c r="B745" s="440"/>
      <c r="C745" s="69"/>
      <c r="D745" s="78">
        <f>VLOOKUP(C745,Itinerario!$D$148:$W$178,18,FALSE)</f>
        <v>0</v>
      </c>
      <c r="E745" s="79">
        <f>VLOOKUP(C745,Itinerario!$D$148:$W$178,19,FALSE)</f>
        <v>0</v>
      </c>
      <c r="F745" s="79" t="e">
        <f>VLOOKUP(C745,Organización_Modular!$F$134:$G$164,2,FALSE)</f>
        <v>#N/A</v>
      </c>
    </row>
    <row r="746" spans="1:6" x14ac:dyDescent="0.2">
      <c r="A746" s="439"/>
      <c r="B746" s="440"/>
      <c r="C746" s="69"/>
      <c r="D746" s="78">
        <f>VLOOKUP(C746,Itinerario!$D$148:$W$178,18,FALSE)</f>
        <v>0</v>
      </c>
      <c r="E746" s="79">
        <f>VLOOKUP(C746,Itinerario!$D$148:$W$178,19,FALSE)</f>
        <v>0</v>
      </c>
      <c r="F746" s="79" t="e">
        <f>VLOOKUP(C746,Organización_Modular!$F$134:$G$164,2,FALSE)</f>
        <v>#N/A</v>
      </c>
    </row>
    <row r="747" spans="1:6" x14ac:dyDescent="0.2">
      <c r="A747" s="439"/>
      <c r="B747" s="440"/>
      <c r="C747" s="69"/>
      <c r="D747" s="78">
        <f>VLOOKUP(C747,Itinerario!$D$148:$W$178,18,FALSE)</f>
        <v>0</v>
      </c>
      <c r="E747" s="79">
        <f>VLOOKUP(C747,Itinerario!$D$148:$W$178,19,FALSE)</f>
        <v>0</v>
      </c>
      <c r="F747" s="79" t="e">
        <f>VLOOKUP(C747,Organización_Modular!$F$134:$G$164,2,FALSE)</f>
        <v>#N/A</v>
      </c>
    </row>
    <row r="748" spans="1:6" x14ac:dyDescent="0.2">
      <c r="A748" s="439"/>
      <c r="B748" s="440"/>
      <c r="C748" s="68"/>
      <c r="D748" s="78">
        <f>VLOOKUP(C748,Itinerario!$D$148:$W$178,18,FALSE)</f>
        <v>0</v>
      </c>
      <c r="E748" s="79">
        <f>VLOOKUP(C748,Itinerario!$D$148:$W$178,19,FALSE)</f>
        <v>0</v>
      </c>
      <c r="F748" s="79" t="e">
        <f>VLOOKUP(C748,Organización_Modular!$F$134:$G$164,2,FALSE)</f>
        <v>#N/A</v>
      </c>
    </row>
    <row r="749" spans="1:6" x14ac:dyDescent="0.2">
      <c r="A749" s="439"/>
      <c r="B749" s="440"/>
      <c r="C749" s="69"/>
      <c r="D749" s="78">
        <f>VLOOKUP(C749,Itinerario!$D$148:$W$178,18,FALSE)</f>
        <v>0</v>
      </c>
      <c r="E749" s="79">
        <f>VLOOKUP(C749,Itinerario!$D$148:$W$178,19,FALSE)</f>
        <v>0</v>
      </c>
      <c r="F749" s="79" t="e">
        <f>VLOOKUP(C749,Organización_Modular!$F$134:$G$164,2,FALSE)</f>
        <v>#N/A</v>
      </c>
    </row>
    <row r="750" spans="1:6" x14ac:dyDescent="0.2">
      <c r="A750" s="439"/>
      <c r="B750" s="440"/>
      <c r="C750" s="69"/>
      <c r="D750" s="78">
        <f>VLOOKUP(C750,Itinerario!$D$148:$W$178,18,FALSE)</f>
        <v>0</v>
      </c>
      <c r="E750" s="79">
        <f>VLOOKUP(C750,Itinerario!$D$148:$W$178,19,FALSE)</f>
        <v>0</v>
      </c>
      <c r="F750" s="79" t="e">
        <f>VLOOKUP(C750,Organización_Modular!$F$134:$G$164,2,FALSE)</f>
        <v>#N/A</v>
      </c>
    </row>
    <row r="751" spans="1:6" x14ac:dyDescent="0.2">
      <c r="A751" s="439"/>
      <c r="B751" s="440"/>
      <c r="C751" s="69"/>
      <c r="D751" s="78">
        <f>VLOOKUP(C751,Itinerario!$D$148:$W$178,18,FALSE)</f>
        <v>0</v>
      </c>
      <c r="E751" s="79">
        <f>VLOOKUP(C751,Itinerario!$D$148:$W$178,19,FALSE)</f>
        <v>0</v>
      </c>
      <c r="F751" s="79" t="e">
        <f>VLOOKUP(C751,Organización_Modular!$F$134:$G$164,2,FALSE)</f>
        <v>#N/A</v>
      </c>
    </row>
    <row r="752" spans="1:6" x14ac:dyDescent="0.2">
      <c r="A752" s="439"/>
      <c r="B752" s="440"/>
      <c r="C752" s="69"/>
      <c r="D752" s="78">
        <f>VLOOKUP(C752,Itinerario!$D$148:$W$178,18,FALSE)</f>
        <v>0</v>
      </c>
      <c r="E752" s="79">
        <f>VLOOKUP(C752,Itinerario!$D$148:$W$178,19,FALSE)</f>
        <v>0</v>
      </c>
      <c r="F752" s="79" t="e">
        <f>VLOOKUP(C752,Organización_Modular!$F$134:$G$164,2,FALSE)</f>
        <v>#N/A</v>
      </c>
    </row>
    <row r="753" spans="1:6" x14ac:dyDescent="0.2">
      <c r="A753" s="439"/>
      <c r="B753" s="440"/>
      <c r="C753" s="69"/>
      <c r="D753" s="78">
        <f>VLOOKUP(C753,Itinerario!$D$148:$W$178,18,FALSE)</f>
        <v>0</v>
      </c>
      <c r="E753" s="79">
        <f>VLOOKUP(C753,Itinerario!$D$148:$W$178,19,FALSE)</f>
        <v>0</v>
      </c>
      <c r="F753" s="79" t="e">
        <f>VLOOKUP(C753,Organización_Modular!$F$134:$G$164,2,FALSE)</f>
        <v>#N/A</v>
      </c>
    </row>
    <row r="754" spans="1:6" x14ac:dyDescent="0.2">
      <c r="A754" s="439"/>
      <c r="B754" s="440"/>
      <c r="C754" s="69"/>
      <c r="D754" s="78">
        <f>VLOOKUP(C754,Itinerario!$D$148:$W$178,18,FALSE)</f>
        <v>0</v>
      </c>
      <c r="E754" s="79">
        <f>VLOOKUP(C754,Itinerario!$D$148:$W$178,19,FALSE)</f>
        <v>0</v>
      </c>
      <c r="F754" s="79" t="e">
        <f>VLOOKUP(C754,Organización_Modular!$F$134:$G$164,2,FALSE)</f>
        <v>#N/A</v>
      </c>
    </row>
    <row r="755" spans="1:6" x14ac:dyDescent="0.2">
      <c r="A755" s="439"/>
      <c r="B755" s="440"/>
      <c r="C755" s="69"/>
      <c r="D755" s="78">
        <f>VLOOKUP(C755,Itinerario!$D$148:$W$178,18,FALSE)</f>
        <v>0</v>
      </c>
      <c r="E755" s="79">
        <f>VLOOKUP(C755,Itinerario!$D$148:$W$178,19,FALSE)</f>
        <v>0</v>
      </c>
      <c r="F755" s="79" t="e">
        <f>VLOOKUP(C755,Organización_Modular!$F$134:$G$164,2,FALSE)</f>
        <v>#N/A</v>
      </c>
    </row>
    <row r="756" spans="1:6" x14ac:dyDescent="0.2">
      <c r="A756" s="439"/>
      <c r="B756" s="440"/>
      <c r="C756" s="69"/>
      <c r="D756" s="78">
        <f>VLOOKUP(C756,Itinerario!$D$148:$W$178,18,FALSE)</f>
        <v>0</v>
      </c>
      <c r="E756" s="79">
        <f>VLOOKUP(C756,Itinerario!$D$148:$W$178,19,FALSE)</f>
        <v>0</v>
      </c>
      <c r="F756" s="79" t="e">
        <f>VLOOKUP(C756,Organización_Modular!$F$134:$G$164,2,FALSE)</f>
        <v>#N/A</v>
      </c>
    </row>
    <row r="757" spans="1:6" x14ac:dyDescent="0.2">
      <c r="A757" s="439"/>
      <c r="B757" s="440"/>
      <c r="C757" s="69"/>
      <c r="D757" s="78">
        <f>VLOOKUP(C757,Itinerario!$D$148:$W$178,18,FALSE)</f>
        <v>0</v>
      </c>
      <c r="E757" s="79">
        <f>VLOOKUP(C757,Itinerario!$D$148:$W$178,19,FALSE)</f>
        <v>0</v>
      </c>
      <c r="F757" s="79" t="e">
        <f>VLOOKUP(C757,Organización_Modular!$F$134:$G$164,2,FALSE)</f>
        <v>#N/A</v>
      </c>
    </row>
    <row r="758" spans="1:6" x14ac:dyDescent="0.2">
      <c r="A758" s="439"/>
      <c r="B758" s="440"/>
      <c r="C758" s="69"/>
      <c r="D758" s="78">
        <f>VLOOKUP(C758,Itinerario!$D$148:$W$178,18,FALSE)</f>
        <v>0</v>
      </c>
      <c r="E758" s="79">
        <f>VLOOKUP(C758,Itinerario!$D$148:$W$178,19,FALSE)</f>
        <v>0</v>
      </c>
      <c r="F758" s="79" t="e">
        <f>VLOOKUP(C758,Organización_Modular!$F$134:$G$164,2,FALSE)</f>
        <v>#N/A</v>
      </c>
    </row>
    <row r="759" spans="1:6" x14ac:dyDescent="0.2">
      <c r="A759" s="439"/>
      <c r="B759" s="440"/>
      <c r="C759" s="69"/>
      <c r="D759" s="78">
        <f>VLOOKUP(C759,Itinerario!$D$148:$W$178,18,FALSE)</f>
        <v>0</v>
      </c>
      <c r="E759" s="79">
        <f>VLOOKUP(C759,Itinerario!$D$148:$W$178,19,FALSE)</f>
        <v>0</v>
      </c>
      <c r="F759" s="79" t="e">
        <f>VLOOKUP(C759,Organización_Modular!$F$134:$G$164,2,FALSE)</f>
        <v>#N/A</v>
      </c>
    </row>
    <row r="760" spans="1:6" x14ac:dyDescent="0.2">
      <c r="A760" s="439"/>
      <c r="B760" s="440"/>
      <c r="C760" s="69"/>
      <c r="D760" s="78">
        <f>VLOOKUP(C760,Itinerario!$D$148:$W$178,18,FALSE)</f>
        <v>0</v>
      </c>
      <c r="E760" s="79">
        <f>VLOOKUP(C760,Itinerario!$D$148:$W$178,19,FALSE)</f>
        <v>0</v>
      </c>
      <c r="F760" s="79" t="e">
        <f>VLOOKUP(C760,Organización_Modular!$F$134:$G$164,2,FALSE)</f>
        <v>#N/A</v>
      </c>
    </row>
    <row r="761" spans="1:6" x14ac:dyDescent="0.2">
      <c r="A761" s="439"/>
      <c r="B761" s="440"/>
      <c r="C761" s="69"/>
      <c r="D761" s="78">
        <f>VLOOKUP(C761,Itinerario!$D$148:$W$178,18,FALSE)</f>
        <v>0</v>
      </c>
      <c r="E761" s="79">
        <f>VLOOKUP(C761,Itinerario!$D$148:$W$178,19,FALSE)</f>
        <v>0</v>
      </c>
      <c r="F761" s="79" t="e">
        <f>VLOOKUP(C761,Organización_Modular!$F$134:$G$164,2,FALSE)</f>
        <v>#N/A</v>
      </c>
    </row>
    <row r="762" spans="1:6" x14ac:dyDescent="0.2">
      <c r="A762" s="439"/>
      <c r="B762" s="440"/>
      <c r="C762" s="69"/>
      <c r="D762" s="78">
        <f>VLOOKUP(C762,Itinerario!$D$148:$W$178,18,FALSE)</f>
        <v>0</v>
      </c>
      <c r="E762" s="79">
        <f>VLOOKUP(C762,Itinerario!$D$148:$W$178,19,FALSE)</f>
        <v>0</v>
      </c>
      <c r="F762" s="79" t="e">
        <f>VLOOKUP(C762,Organización_Modular!$F$134:$G$164,2,FALSE)</f>
        <v>#N/A</v>
      </c>
    </row>
    <row r="763" spans="1:6" x14ac:dyDescent="0.2">
      <c r="A763" s="439"/>
      <c r="B763" s="440"/>
      <c r="C763" s="68"/>
      <c r="D763" s="78">
        <f>VLOOKUP(C763,Itinerario!$D$148:$W$178,18,FALSE)</f>
        <v>0</v>
      </c>
      <c r="E763" s="79">
        <f>VLOOKUP(C763,Itinerario!$D$148:$W$178,19,FALSE)</f>
        <v>0</v>
      </c>
      <c r="F763" s="79" t="e">
        <f>VLOOKUP(C763,Organización_Modular!$F$134:$G$164,2,FALSE)</f>
        <v>#N/A</v>
      </c>
    </row>
    <row r="764" spans="1:6" x14ac:dyDescent="0.2">
      <c r="A764" s="439">
        <f>Itinerario!A179</f>
        <v>0</v>
      </c>
      <c r="B764" s="440" t="str">
        <f>Ambiente_Equipamiento!$A$15</f>
        <v>Aula pedagógica</v>
      </c>
      <c r="C764" s="68"/>
      <c r="D764" s="78">
        <f>VLOOKUP(C764,Itinerario!$D$148:$W$178,18,FALSE)</f>
        <v>0</v>
      </c>
      <c r="E764" s="79">
        <f>VLOOKUP(C764,Itinerario!$D$148:$W$178,19,FALSE)</f>
        <v>0</v>
      </c>
      <c r="F764" s="79" t="e">
        <f>VLOOKUP(C764,Organización_Modular!$F$134:$G$164,2,FALSE)</f>
        <v>#N/A</v>
      </c>
    </row>
    <row r="765" spans="1:6" x14ac:dyDescent="0.2">
      <c r="A765" s="439"/>
      <c r="B765" s="440"/>
      <c r="C765" s="68"/>
      <c r="D765" s="78">
        <f>VLOOKUP(C765,Itinerario!$D$148:$W$178,18,FALSE)</f>
        <v>0</v>
      </c>
      <c r="E765" s="79">
        <f>VLOOKUP(C765,Itinerario!$D$148:$W$178,19,FALSE)</f>
        <v>0</v>
      </c>
      <c r="F765" s="79" t="e">
        <f>VLOOKUP(C765,Organización_Modular!$F$134:$G$164,2,FALSE)</f>
        <v>#N/A</v>
      </c>
    </row>
    <row r="766" spans="1:6" x14ac:dyDescent="0.2">
      <c r="A766" s="439"/>
      <c r="B766" s="440"/>
      <c r="C766" s="68"/>
      <c r="D766" s="78">
        <f>VLOOKUP(C766,Itinerario!$D$148:$W$178,18,FALSE)</f>
        <v>0</v>
      </c>
      <c r="E766" s="79">
        <f>VLOOKUP(C766,Itinerario!$D$148:$W$178,19,FALSE)</f>
        <v>0</v>
      </c>
      <c r="F766" s="79" t="e">
        <f>VLOOKUP(C766,Organización_Modular!$F$134:$G$164,2,FALSE)</f>
        <v>#N/A</v>
      </c>
    </row>
    <row r="767" spans="1:6" x14ac:dyDescent="0.2">
      <c r="A767" s="439"/>
      <c r="B767" s="440"/>
      <c r="C767" s="68"/>
      <c r="D767" s="78">
        <f>VLOOKUP(C767,Itinerario!$D$148:$W$178,18,FALSE)</f>
        <v>0</v>
      </c>
      <c r="E767" s="79">
        <f>VLOOKUP(C767,Itinerario!$D$148:$W$178,19,FALSE)</f>
        <v>0</v>
      </c>
      <c r="F767" s="79" t="e">
        <f>VLOOKUP(C767,Organización_Modular!$F$134:$G$164,2,FALSE)</f>
        <v>#N/A</v>
      </c>
    </row>
    <row r="768" spans="1:6" x14ac:dyDescent="0.2">
      <c r="A768" s="439"/>
      <c r="B768" s="440"/>
      <c r="C768" s="68"/>
      <c r="D768" s="78">
        <f>VLOOKUP(C768,Itinerario!$D$148:$W$178,18,FALSE)</f>
        <v>0</v>
      </c>
      <c r="E768" s="79">
        <f>VLOOKUP(C768,Itinerario!$D$148:$W$178,19,FALSE)</f>
        <v>0</v>
      </c>
      <c r="F768" s="79" t="e">
        <f>VLOOKUP(C768,Organización_Modular!$F$134:$G$164,2,FALSE)</f>
        <v>#N/A</v>
      </c>
    </row>
    <row r="769" spans="1:6" x14ac:dyDescent="0.2">
      <c r="A769" s="439"/>
      <c r="B769" s="440"/>
      <c r="C769" s="68"/>
      <c r="D769" s="78">
        <f>VLOOKUP(C769,Itinerario!$D$148:$W$178,18,FALSE)</f>
        <v>0</v>
      </c>
      <c r="E769" s="79">
        <f>VLOOKUP(C769,Itinerario!$D$148:$W$178,19,FALSE)</f>
        <v>0</v>
      </c>
      <c r="F769" s="79" t="e">
        <f>VLOOKUP(C769,Organización_Modular!$F$134:$G$164,2,FALSE)</f>
        <v>#N/A</v>
      </c>
    </row>
    <row r="770" spans="1:6" x14ac:dyDescent="0.2">
      <c r="A770" s="439"/>
      <c r="B770" s="440"/>
      <c r="C770" s="68"/>
      <c r="D770" s="78">
        <f>VLOOKUP(C770,Itinerario!$D$148:$W$178,18,FALSE)</f>
        <v>0</v>
      </c>
      <c r="E770" s="79">
        <f>VLOOKUP(C770,Itinerario!$D$148:$W$178,19,FALSE)</f>
        <v>0</v>
      </c>
      <c r="F770" s="79" t="e">
        <f>VLOOKUP(C770,Organización_Modular!$F$134:$G$164,2,FALSE)</f>
        <v>#N/A</v>
      </c>
    </row>
    <row r="771" spans="1:6" x14ac:dyDescent="0.2">
      <c r="A771" s="439"/>
      <c r="B771" s="440"/>
      <c r="C771" s="68"/>
      <c r="D771" s="78">
        <f>VLOOKUP(C771,Itinerario!$D$148:$W$178,18,FALSE)</f>
        <v>0</v>
      </c>
      <c r="E771" s="79">
        <f>VLOOKUP(C771,Itinerario!$D$148:$W$178,19,FALSE)</f>
        <v>0</v>
      </c>
      <c r="F771" s="79" t="e">
        <f>VLOOKUP(C771,Organización_Modular!$F$134:$G$164,2,FALSE)</f>
        <v>#N/A</v>
      </c>
    </row>
    <row r="772" spans="1:6" x14ac:dyDescent="0.2">
      <c r="A772" s="439"/>
      <c r="B772" s="440"/>
      <c r="C772" s="68"/>
      <c r="D772" s="78">
        <f>VLOOKUP(C772,Itinerario!$D$148:$W$178,18,FALSE)</f>
        <v>0</v>
      </c>
      <c r="E772" s="79">
        <f>VLOOKUP(C772,Itinerario!$D$148:$W$178,19,FALSE)</f>
        <v>0</v>
      </c>
      <c r="F772" s="79" t="e">
        <f>VLOOKUP(C772,Organización_Modular!$F$134:$G$164,2,FALSE)</f>
        <v>#N/A</v>
      </c>
    </row>
    <row r="773" spans="1:6" x14ac:dyDescent="0.2">
      <c r="A773" s="439"/>
      <c r="B773" s="440"/>
      <c r="C773" s="68"/>
      <c r="D773" s="78">
        <f>VLOOKUP(C773,Itinerario!$D$148:$W$178,18,FALSE)</f>
        <v>0</v>
      </c>
      <c r="E773" s="79">
        <f>VLOOKUP(C773,Itinerario!$D$148:$W$178,19,FALSE)</f>
        <v>0</v>
      </c>
      <c r="F773" s="79" t="e">
        <f>VLOOKUP(C773,Organización_Modular!$F$134:$G$164,2,FALSE)</f>
        <v>#N/A</v>
      </c>
    </row>
    <row r="774" spans="1:6" x14ac:dyDescent="0.2">
      <c r="A774" s="439"/>
      <c r="B774" s="440"/>
      <c r="C774" s="68"/>
      <c r="D774" s="78">
        <f>VLOOKUP(C774,Itinerario!$D$148:$W$178,18,FALSE)</f>
        <v>0</v>
      </c>
      <c r="E774" s="79">
        <f>VLOOKUP(C774,Itinerario!$D$148:$W$178,19,FALSE)</f>
        <v>0</v>
      </c>
      <c r="F774" s="79" t="e">
        <f>VLOOKUP(C774,Organización_Modular!$F$134:$G$164,2,FALSE)</f>
        <v>#N/A</v>
      </c>
    </row>
    <row r="775" spans="1:6" x14ac:dyDescent="0.2">
      <c r="A775" s="439"/>
      <c r="B775" s="440"/>
      <c r="C775" s="68"/>
      <c r="D775" s="78">
        <f>VLOOKUP(C775,Itinerario!$D$148:$W$178,18,FALSE)</f>
        <v>0</v>
      </c>
      <c r="E775" s="79">
        <f>VLOOKUP(C775,Itinerario!$D$148:$W$178,19,FALSE)</f>
        <v>0</v>
      </c>
      <c r="F775" s="79" t="e">
        <f>VLOOKUP(C775,Organización_Modular!$F$134:$G$164,2,FALSE)</f>
        <v>#N/A</v>
      </c>
    </row>
    <row r="776" spans="1:6" x14ac:dyDescent="0.2">
      <c r="A776" s="439"/>
      <c r="B776" s="440"/>
      <c r="C776" s="68"/>
      <c r="D776" s="78">
        <f>VLOOKUP(C776,Itinerario!$D$148:$W$178,18,FALSE)</f>
        <v>0</v>
      </c>
      <c r="E776" s="79">
        <f>VLOOKUP(C776,Itinerario!$D$148:$W$178,19,FALSE)</f>
        <v>0</v>
      </c>
      <c r="F776" s="79" t="e">
        <f>VLOOKUP(C776,Organización_Modular!$F$134:$G$164,2,FALSE)</f>
        <v>#N/A</v>
      </c>
    </row>
    <row r="777" spans="1:6" x14ac:dyDescent="0.2">
      <c r="A777" s="439"/>
      <c r="B777" s="440"/>
      <c r="C777" s="68"/>
      <c r="D777" s="78">
        <f>VLOOKUP(C777,Itinerario!$D$148:$W$178,18,FALSE)</f>
        <v>0</v>
      </c>
      <c r="E777" s="79">
        <f>VLOOKUP(C777,Itinerario!$D$148:$W$178,19,FALSE)</f>
        <v>0</v>
      </c>
      <c r="F777" s="79" t="e">
        <f>VLOOKUP(C777,Organización_Modular!$F$134:$G$164,2,FALSE)</f>
        <v>#N/A</v>
      </c>
    </row>
    <row r="778" spans="1:6" x14ac:dyDescent="0.2">
      <c r="A778" s="439"/>
      <c r="B778" s="440"/>
      <c r="C778" s="68"/>
      <c r="D778" s="78">
        <f>VLOOKUP(C778,Itinerario!$D$148:$W$178,18,FALSE)</f>
        <v>0</v>
      </c>
      <c r="E778" s="79">
        <f>VLOOKUP(C778,Itinerario!$D$148:$W$178,19,FALSE)</f>
        <v>0</v>
      </c>
      <c r="F778" s="79" t="e">
        <f>VLOOKUP(C778,Organización_Modular!$F$134:$G$164,2,FALSE)</f>
        <v>#N/A</v>
      </c>
    </row>
    <row r="779" spans="1:6" x14ac:dyDescent="0.2">
      <c r="A779" s="439"/>
      <c r="B779" s="440"/>
      <c r="C779" s="68"/>
      <c r="D779" s="78">
        <f>VLOOKUP(C779,Itinerario!$D$148:$W$178,18,FALSE)</f>
        <v>0</v>
      </c>
      <c r="E779" s="79">
        <f>VLOOKUP(C779,Itinerario!$D$148:$W$178,19,FALSE)</f>
        <v>0</v>
      </c>
      <c r="F779" s="79" t="e">
        <f>VLOOKUP(C779,Organización_Modular!$F$134:$G$164,2,FALSE)</f>
        <v>#N/A</v>
      </c>
    </row>
    <row r="780" spans="1:6" x14ac:dyDescent="0.2">
      <c r="A780" s="439"/>
      <c r="B780" s="440"/>
      <c r="C780" s="68"/>
      <c r="D780" s="78">
        <f>VLOOKUP(C780,Itinerario!$D$148:$W$178,18,FALSE)</f>
        <v>0</v>
      </c>
      <c r="E780" s="79">
        <f>VLOOKUP(C780,Itinerario!$D$148:$W$178,19,FALSE)</f>
        <v>0</v>
      </c>
      <c r="F780" s="79" t="e">
        <f>VLOOKUP(C780,Organización_Modular!$F$134:$G$164,2,FALSE)</f>
        <v>#N/A</v>
      </c>
    </row>
    <row r="781" spans="1:6" x14ac:dyDescent="0.2">
      <c r="A781" s="439"/>
      <c r="B781" s="440"/>
      <c r="C781" s="68"/>
      <c r="D781" s="78">
        <f>VLOOKUP(C781,Itinerario!$D$148:$W$178,18,FALSE)</f>
        <v>0</v>
      </c>
      <c r="E781" s="79">
        <f>VLOOKUP(C781,Itinerario!$D$148:$W$178,19,FALSE)</f>
        <v>0</v>
      </c>
      <c r="F781" s="79" t="e">
        <f>VLOOKUP(C781,Organización_Modular!$F$134:$G$164,2,FALSE)</f>
        <v>#N/A</v>
      </c>
    </row>
    <row r="782" spans="1:6" x14ac:dyDescent="0.2">
      <c r="A782" s="439"/>
      <c r="B782" s="440"/>
      <c r="C782" s="68"/>
      <c r="D782" s="78">
        <f>VLOOKUP(C782,Itinerario!$D$148:$W$178,18,FALSE)</f>
        <v>0</v>
      </c>
      <c r="E782" s="79">
        <f>VLOOKUP(C782,Itinerario!$D$148:$W$178,19,FALSE)</f>
        <v>0</v>
      </c>
      <c r="F782" s="79" t="e">
        <f>VLOOKUP(C782,Organización_Modular!$F$134:$G$164,2,FALSE)</f>
        <v>#N/A</v>
      </c>
    </row>
    <row r="783" spans="1:6" x14ac:dyDescent="0.2">
      <c r="A783" s="439"/>
      <c r="B783" s="440"/>
      <c r="C783" s="68"/>
      <c r="D783" s="78">
        <f>VLOOKUP(C783,Itinerario!$D$148:$W$178,18,FALSE)</f>
        <v>0</v>
      </c>
      <c r="E783" s="79">
        <f>VLOOKUP(C783,Itinerario!$D$148:$W$178,19,FALSE)</f>
        <v>0</v>
      </c>
      <c r="F783" s="79" t="e">
        <f>VLOOKUP(C783,Organización_Modular!$F$134:$G$164,2,FALSE)</f>
        <v>#N/A</v>
      </c>
    </row>
    <row r="784" spans="1:6" x14ac:dyDescent="0.2">
      <c r="A784" s="439"/>
      <c r="B784" s="440"/>
      <c r="C784" s="68"/>
      <c r="D784" s="78">
        <f>VLOOKUP(C784,Itinerario!$D$148:$W$178,18,FALSE)</f>
        <v>0</v>
      </c>
      <c r="E784" s="79">
        <f>VLOOKUP(C784,Itinerario!$D$148:$W$178,19,FALSE)</f>
        <v>0</v>
      </c>
      <c r="F784" s="79" t="e">
        <f>VLOOKUP(C784,Organización_Modular!$F$134:$G$164,2,FALSE)</f>
        <v>#N/A</v>
      </c>
    </row>
    <row r="785" spans="1:6" x14ac:dyDescent="0.2">
      <c r="A785" s="439"/>
      <c r="B785" s="440"/>
      <c r="C785" s="68"/>
      <c r="D785" s="78">
        <f>VLOOKUP(C785,Itinerario!$D$148:$W$178,18,FALSE)</f>
        <v>0</v>
      </c>
      <c r="E785" s="79">
        <f>VLOOKUP(C785,Itinerario!$D$148:$W$178,19,FALSE)</f>
        <v>0</v>
      </c>
      <c r="F785" s="79" t="e">
        <f>VLOOKUP(C785,Organización_Modular!$F$134:$G$164,2,FALSE)</f>
        <v>#N/A</v>
      </c>
    </row>
    <row r="786" spans="1:6" x14ac:dyDescent="0.2">
      <c r="A786" s="439"/>
      <c r="B786" s="440"/>
      <c r="C786" s="68"/>
      <c r="D786" s="78">
        <f>VLOOKUP(C786,Itinerario!$D$148:$W$178,18,FALSE)</f>
        <v>0</v>
      </c>
      <c r="E786" s="79">
        <f>VLOOKUP(C786,Itinerario!$D$148:$W$178,19,FALSE)</f>
        <v>0</v>
      </c>
      <c r="F786" s="79" t="e">
        <f>VLOOKUP(C786,Organización_Modular!$F$134:$G$164,2,FALSE)</f>
        <v>#N/A</v>
      </c>
    </row>
    <row r="787" spans="1:6" x14ac:dyDescent="0.2">
      <c r="A787" s="439"/>
      <c r="B787" s="440"/>
      <c r="C787" s="68"/>
      <c r="D787" s="78">
        <f>VLOOKUP(C787,Itinerario!$D$148:$W$178,18,FALSE)</f>
        <v>0</v>
      </c>
      <c r="E787" s="79">
        <f>VLOOKUP(C787,Itinerario!$D$148:$W$178,19,FALSE)</f>
        <v>0</v>
      </c>
      <c r="F787" s="79" t="e">
        <f>VLOOKUP(C787,Organización_Modular!$F$134:$G$164,2,FALSE)</f>
        <v>#N/A</v>
      </c>
    </row>
    <row r="788" spans="1:6" x14ac:dyDescent="0.2">
      <c r="A788" s="439"/>
      <c r="B788" s="440"/>
      <c r="C788" s="68"/>
      <c r="D788" s="78">
        <f>VLOOKUP(C788,Itinerario!$D$148:$W$178,18,FALSE)</f>
        <v>0</v>
      </c>
      <c r="E788" s="79">
        <f>VLOOKUP(C788,Itinerario!$D$148:$W$178,19,FALSE)</f>
        <v>0</v>
      </c>
      <c r="F788" s="79" t="e">
        <f>VLOOKUP(C788,Organización_Modular!$F$134:$G$164,2,FALSE)</f>
        <v>#N/A</v>
      </c>
    </row>
    <row r="789" spans="1:6" x14ac:dyDescent="0.2">
      <c r="A789" s="439"/>
      <c r="B789" s="440"/>
      <c r="C789" s="68"/>
      <c r="D789" s="78">
        <f>VLOOKUP(C789,Itinerario!$D$148:$W$178,18,FALSE)</f>
        <v>0</v>
      </c>
      <c r="E789" s="79">
        <f>VLOOKUP(C789,Itinerario!$D$148:$W$178,19,FALSE)</f>
        <v>0</v>
      </c>
      <c r="F789" s="79" t="e">
        <f>VLOOKUP(C789,Organización_Modular!$F$134:$G$164,2,FALSE)</f>
        <v>#N/A</v>
      </c>
    </row>
    <row r="790" spans="1:6" x14ac:dyDescent="0.2">
      <c r="A790" s="439"/>
      <c r="B790" s="440"/>
      <c r="C790" s="68"/>
      <c r="D790" s="78">
        <f>VLOOKUP(C790,Itinerario!$D$148:$W$178,18,FALSE)</f>
        <v>0</v>
      </c>
      <c r="E790" s="79">
        <f>VLOOKUP(C790,Itinerario!$D$148:$W$178,19,FALSE)</f>
        <v>0</v>
      </c>
      <c r="F790" s="79" t="e">
        <f>VLOOKUP(C790,Organización_Modular!$F$134:$G$164,2,FALSE)</f>
        <v>#N/A</v>
      </c>
    </row>
    <row r="791" spans="1:6" x14ac:dyDescent="0.2">
      <c r="A791" s="439"/>
      <c r="B791" s="440"/>
      <c r="C791" s="68"/>
      <c r="D791" s="78">
        <f>VLOOKUP(C791,Itinerario!$D$148:$W$178,18,FALSE)</f>
        <v>0</v>
      </c>
      <c r="E791" s="79">
        <f>VLOOKUP(C791,Itinerario!$D$148:$W$178,19,FALSE)</f>
        <v>0</v>
      </c>
      <c r="F791" s="79" t="e">
        <f>VLOOKUP(C791,Organización_Modular!$F$134:$G$164,2,FALSE)</f>
        <v>#N/A</v>
      </c>
    </row>
    <row r="792" spans="1:6" x14ac:dyDescent="0.2">
      <c r="A792" s="439"/>
      <c r="B792" s="440"/>
      <c r="C792" s="68"/>
      <c r="D792" s="78">
        <f>VLOOKUP(C792,Itinerario!$D$148:$W$178,18,FALSE)</f>
        <v>0</v>
      </c>
      <c r="E792" s="79">
        <f>VLOOKUP(C792,Itinerario!$D$148:$W$178,19,FALSE)</f>
        <v>0</v>
      </c>
      <c r="F792" s="79" t="e">
        <f>VLOOKUP(C792,Organización_Modular!$F$134:$G$164,2,FALSE)</f>
        <v>#N/A</v>
      </c>
    </row>
    <row r="793" spans="1:6" x14ac:dyDescent="0.2">
      <c r="A793" s="439"/>
      <c r="B793" s="440"/>
      <c r="C793" s="68"/>
      <c r="D793" s="78">
        <f>VLOOKUP(C793,Itinerario!$D$148:$W$178,18,FALSE)</f>
        <v>0</v>
      </c>
      <c r="E793" s="79">
        <f>VLOOKUP(C793,Itinerario!$D$148:$W$178,19,FALSE)</f>
        <v>0</v>
      </c>
      <c r="F793" s="79" t="e">
        <f>VLOOKUP(C793,Organización_Modular!$F$134:$G$164,2,FALSE)</f>
        <v>#N/A</v>
      </c>
    </row>
    <row r="794" spans="1:6" x14ac:dyDescent="0.2">
      <c r="A794" s="439"/>
      <c r="B794" s="440"/>
      <c r="C794" s="68"/>
      <c r="D794" s="78">
        <f>VLOOKUP(C794,Itinerario!$D$148:$W$178,18,FALSE)</f>
        <v>0</v>
      </c>
      <c r="E794" s="79">
        <f>VLOOKUP(C794,Itinerario!$D$148:$W$178,19,FALSE)</f>
        <v>0</v>
      </c>
      <c r="F794" s="79" t="e">
        <f>VLOOKUP(C794,Organización_Modular!$F$134:$G$164,2,FALSE)</f>
        <v>#N/A</v>
      </c>
    </row>
    <row r="795" spans="1:6" x14ac:dyDescent="0.2">
      <c r="A795" s="439"/>
      <c r="B795" s="440"/>
      <c r="C795" s="68"/>
      <c r="D795" s="78">
        <f>VLOOKUP(C795,Itinerario!$D$148:$W$178,18,FALSE)</f>
        <v>0</v>
      </c>
      <c r="E795" s="79">
        <f>VLOOKUP(C795,Itinerario!$D$148:$W$178,19,FALSE)</f>
        <v>0</v>
      </c>
      <c r="F795" s="79" t="e">
        <f>VLOOKUP(C795,Organización_Modular!$F$134:$G$164,2,FALSE)</f>
        <v>#N/A</v>
      </c>
    </row>
    <row r="796" spans="1:6" x14ac:dyDescent="0.2">
      <c r="A796" s="439"/>
      <c r="B796" s="440"/>
      <c r="C796" s="68"/>
      <c r="D796" s="78">
        <f>VLOOKUP(C796,Itinerario!$D$148:$W$178,18,FALSE)</f>
        <v>0</v>
      </c>
      <c r="E796" s="79">
        <f>VLOOKUP(C796,Itinerario!$D$148:$W$178,19,FALSE)</f>
        <v>0</v>
      </c>
      <c r="F796" s="79" t="e">
        <f>VLOOKUP(C796,Organización_Modular!$F$134:$G$164,2,FALSE)</f>
        <v>#N/A</v>
      </c>
    </row>
    <row r="797" spans="1:6" x14ac:dyDescent="0.2">
      <c r="A797" s="439"/>
      <c r="B797" s="440"/>
      <c r="C797" s="68"/>
      <c r="D797" s="78">
        <f>VLOOKUP(C797,Itinerario!$D$148:$W$178,18,FALSE)</f>
        <v>0</v>
      </c>
      <c r="E797" s="79">
        <f>VLOOKUP(C797,Itinerario!$D$148:$W$178,19,FALSE)</f>
        <v>0</v>
      </c>
      <c r="F797" s="79" t="e">
        <f>VLOOKUP(C797,Organización_Modular!$F$134:$G$164,2,FALSE)</f>
        <v>#N/A</v>
      </c>
    </row>
    <row r="798" spans="1:6" x14ac:dyDescent="0.2">
      <c r="A798" s="439"/>
      <c r="B798" s="440"/>
      <c r="C798" s="68"/>
      <c r="D798" s="78">
        <f>VLOOKUP(C798,Itinerario!$D$148:$W$178,18,FALSE)</f>
        <v>0</v>
      </c>
      <c r="E798" s="79">
        <f>VLOOKUP(C798,Itinerario!$D$148:$W$178,19,FALSE)</f>
        <v>0</v>
      </c>
      <c r="F798" s="79" t="e">
        <f>VLOOKUP(C798,Organización_Modular!$F$134:$G$164,2,FALSE)</f>
        <v>#N/A</v>
      </c>
    </row>
    <row r="799" spans="1:6" x14ac:dyDescent="0.2">
      <c r="A799" s="439"/>
      <c r="B799" s="440"/>
      <c r="C799" s="68"/>
      <c r="D799" s="78">
        <f>VLOOKUP(C799,Itinerario!$D$148:$W$178,18,FALSE)</f>
        <v>0</v>
      </c>
      <c r="E799" s="79">
        <f>VLOOKUP(C799,Itinerario!$D$148:$W$178,19,FALSE)</f>
        <v>0</v>
      </c>
      <c r="F799" s="79" t="e">
        <f>VLOOKUP(C799,Organización_Modular!$F$134:$G$164,2,FALSE)</f>
        <v>#N/A</v>
      </c>
    </row>
    <row r="800" spans="1:6" x14ac:dyDescent="0.2">
      <c r="A800" s="439"/>
      <c r="B800" s="440"/>
      <c r="C800" s="68"/>
      <c r="D800" s="78">
        <f>VLOOKUP(C800,Itinerario!$D$148:$W$178,18,FALSE)</f>
        <v>0</v>
      </c>
      <c r="E800" s="79">
        <f>VLOOKUP(C800,Itinerario!$D$148:$W$178,19,FALSE)</f>
        <v>0</v>
      </c>
      <c r="F800" s="79" t="e">
        <f>VLOOKUP(C800,Organización_Modular!$F$134:$G$164,2,FALSE)</f>
        <v>#N/A</v>
      </c>
    </row>
    <row r="801" spans="1:6" x14ac:dyDescent="0.2">
      <c r="A801" s="439"/>
      <c r="B801" s="440"/>
      <c r="C801" s="68"/>
      <c r="D801" s="78">
        <f>VLOOKUP(C801,Itinerario!$D$148:$W$178,18,FALSE)</f>
        <v>0</v>
      </c>
      <c r="E801" s="79">
        <f>VLOOKUP(C801,Itinerario!$D$148:$W$178,19,FALSE)</f>
        <v>0</v>
      </c>
      <c r="F801" s="79" t="e">
        <f>VLOOKUP(C801,Organización_Modular!$F$134:$G$164,2,FALSE)</f>
        <v>#N/A</v>
      </c>
    </row>
    <row r="802" spans="1:6" x14ac:dyDescent="0.2">
      <c r="A802" s="439"/>
      <c r="B802" s="440"/>
      <c r="C802" s="68"/>
      <c r="D802" s="78">
        <f>VLOOKUP(C802,Itinerario!$D$148:$W$178,18,FALSE)</f>
        <v>0</v>
      </c>
      <c r="E802" s="79">
        <f>VLOOKUP(C802,Itinerario!$D$148:$W$178,19,FALSE)</f>
        <v>0</v>
      </c>
      <c r="F802" s="79" t="e">
        <f>VLOOKUP(C802,Organización_Modular!$F$134:$G$164,2,FALSE)</f>
        <v>#N/A</v>
      </c>
    </row>
    <row r="803" spans="1:6" x14ac:dyDescent="0.2">
      <c r="A803" s="439"/>
      <c r="B803" s="440"/>
      <c r="C803" s="68"/>
      <c r="D803" s="78">
        <f>VLOOKUP(C803,Itinerario!$D$148:$W$178,18,FALSE)</f>
        <v>0</v>
      </c>
      <c r="E803" s="79">
        <f>VLOOKUP(C803,Itinerario!$D$148:$W$178,19,FALSE)</f>
        <v>0</v>
      </c>
      <c r="F803" s="79" t="e">
        <f>VLOOKUP(C803,Organización_Modular!$F$134:$G$164,2,FALSE)</f>
        <v>#N/A</v>
      </c>
    </row>
    <row r="804" spans="1:6" x14ac:dyDescent="0.2">
      <c r="A804" s="439"/>
      <c r="B804" s="440"/>
      <c r="C804" s="68"/>
      <c r="D804" s="78">
        <f>VLOOKUP(C804,Itinerario!$D$148:$W$178,18,FALSE)</f>
        <v>0</v>
      </c>
      <c r="E804" s="79">
        <f>VLOOKUP(C804,Itinerario!$D$148:$W$178,19,FALSE)</f>
        <v>0</v>
      </c>
      <c r="F804" s="79" t="e">
        <f>VLOOKUP(C804,Organización_Modular!$F$134:$G$164,2,FALSE)</f>
        <v>#N/A</v>
      </c>
    </row>
    <row r="805" spans="1:6" x14ac:dyDescent="0.2">
      <c r="A805" s="439"/>
      <c r="B805" s="440"/>
      <c r="C805" s="68"/>
      <c r="D805" s="78">
        <f>VLOOKUP(C805,Itinerario!$D$148:$W$178,18,FALSE)</f>
        <v>0</v>
      </c>
      <c r="E805" s="79">
        <f>VLOOKUP(C805,Itinerario!$D$148:$W$178,19,FALSE)</f>
        <v>0</v>
      </c>
      <c r="F805" s="79" t="e">
        <f>VLOOKUP(C805,Organización_Modular!$F$134:$G$164,2,FALSE)</f>
        <v>#N/A</v>
      </c>
    </row>
    <row r="806" spans="1:6" x14ac:dyDescent="0.2">
      <c r="A806" s="439"/>
      <c r="B806" s="440"/>
      <c r="C806" s="68"/>
      <c r="D806" s="78">
        <f>VLOOKUP(C806,Itinerario!$D$148:$W$178,18,FALSE)</f>
        <v>0</v>
      </c>
      <c r="E806" s="79">
        <f>VLOOKUP(C806,Itinerario!$D$148:$W$178,19,FALSE)</f>
        <v>0</v>
      </c>
      <c r="F806" s="79" t="e">
        <f>VLOOKUP(C806,Organización_Modular!$F$134:$G$164,2,FALSE)</f>
        <v>#N/A</v>
      </c>
    </row>
    <row r="807" spans="1:6" x14ac:dyDescent="0.2">
      <c r="A807" s="439"/>
      <c r="B807" s="440"/>
      <c r="C807" s="68"/>
      <c r="D807" s="78">
        <f>VLOOKUP(C807,Itinerario!$D$148:$W$178,18,FALSE)</f>
        <v>0</v>
      </c>
      <c r="E807" s="79">
        <f>VLOOKUP(C807,Itinerario!$D$148:$W$178,19,FALSE)</f>
        <v>0</v>
      </c>
      <c r="F807" s="79" t="e">
        <f>VLOOKUP(C807,Organización_Modular!$F$134:$G$164,2,FALSE)</f>
        <v>#N/A</v>
      </c>
    </row>
    <row r="808" spans="1:6" x14ac:dyDescent="0.2">
      <c r="A808" s="439"/>
      <c r="B808" s="440"/>
      <c r="C808" s="68"/>
      <c r="D808" s="78">
        <f>VLOOKUP(C808,Itinerario!$D$148:$W$178,18,FALSE)</f>
        <v>0</v>
      </c>
      <c r="E808" s="79">
        <f>VLOOKUP(C808,Itinerario!$D$148:$W$178,19,FALSE)</f>
        <v>0</v>
      </c>
      <c r="F808" s="79" t="e">
        <f>VLOOKUP(C808,Organización_Modular!$F$134:$G$164,2,FALSE)</f>
        <v>#N/A</v>
      </c>
    </row>
    <row r="809" spans="1:6" x14ac:dyDescent="0.2">
      <c r="A809" s="439"/>
      <c r="B809" s="440"/>
      <c r="C809" s="68"/>
      <c r="D809" s="78">
        <f>VLOOKUP(C809,Itinerario!$D$148:$W$178,18,FALSE)</f>
        <v>0</v>
      </c>
      <c r="E809" s="79">
        <f>VLOOKUP(C809,Itinerario!$D$148:$W$178,19,FALSE)</f>
        <v>0</v>
      </c>
      <c r="F809" s="79" t="e">
        <f>VLOOKUP(C809,Organización_Modular!$F$134:$G$164,2,FALSE)</f>
        <v>#N/A</v>
      </c>
    </row>
    <row r="810" spans="1:6" x14ac:dyDescent="0.2">
      <c r="A810" s="439"/>
      <c r="B810" s="440"/>
      <c r="C810" s="68"/>
      <c r="D810" s="78">
        <f>VLOOKUP(C810,Itinerario!$D$148:$W$178,18,FALSE)</f>
        <v>0</v>
      </c>
      <c r="E810" s="79">
        <f>VLOOKUP(C810,Itinerario!$D$148:$W$178,19,FALSE)</f>
        <v>0</v>
      </c>
      <c r="F810" s="79" t="e">
        <f>VLOOKUP(C810,Organización_Modular!$F$134:$G$164,2,FALSE)</f>
        <v>#N/A</v>
      </c>
    </row>
    <row r="811" spans="1:6" x14ac:dyDescent="0.2">
      <c r="A811" s="439"/>
      <c r="B811" s="440"/>
      <c r="C811" s="68"/>
      <c r="D811" s="78">
        <f>VLOOKUP(C811,Itinerario!$D$148:$W$178,18,FALSE)</f>
        <v>0</v>
      </c>
      <c r="E811" s="79">
        <f>VLOOKUP(C811,Itinerario!$D$148:$W$178,19,FALSE)</f>
        <v>0</v>
      </c>
      <c r="F811" s="79" t="e">
        <f>VLOOKUP(C811,Organización_Modular!$F$134:$G$164,2,FALSE)</f>
        <v>#N/A</v>
      </c>
    </row>
    <row r="812" spans="1:6" x14ac:dyDescent="0.2">
      <c r="A812" s="439"/>
      <c r="B812" s="440"/>
      <c r="C812" s="68"/>
      <c r="D812" s="78">
        <f>VLOOKUP(C812,Itinerario!$D$148:$W$178,18,FALSE)</f>
        <v>0</v>
      </c>
      <c r="E812" s="79">
        <f>VLOOKUP(C812,Itinerario!$D$148:$W$178,19,FALSE)</f>
        <v>0</v>
      </c>
      <c r="F812" s="79" t="e">
        <f>VLOOKUP(C812,Organización_Modular!$F$134:$G$164,2,FALSE)</f>
        <v>#N/A</v>
      </c>
    </row>
    <row r="813" spans="1:6" x14ac:dyDescent="0.2">
      <c r="A813" s="439"/>
      <c r="B813" s="440"/>
      <c r="C813" s="68"/>
      <c r="D813" s="78">
        <f>VLOOKUP(C813,Itinerario!$D$148:$W$178,18,FALSE)</f>
        <v>0</v>
      </c>
      <c r="E813" s="79">
        <f>VLOOKUP(C813,Itinerario!$D$148:$W$178,19,FALSE)</f>
        <v>0</v>
      </c>
      <c r="F813" s="79" t="e">
        <f>VLOOKUP(C813,Organización_Modular!$F$134:$G$164,2,FALSE)</f>
        <v>#N/A</v>
      </c>
    </row>
    <row r="814" spans="1:6" x14ac:dyDescent="0.2">
      <c r="A814" s="439"/>
      <c r="B814" s="440"/>
      <c r="C814" s="68"/>
      <c r="D814" s="78">
        <f>VLOOKUP(C814,Itinerario!$D$148:$W$178,18,FALSE)</f>
        <v>0</v>
      </c>
      <c r="E814" s="79">
        <f>VLOOKUP(C814,Itinerario!$D$148:$W$178,19,FALSE)</f>
        <v>0</v>
      </c>
      <c r="F814" s="79" t="e">
        <f>VLOOKUP(C814,Organización_Modular!$F$134:$G$164,2,FALSE)</f>
        <v>#N/A</v>
      </c>
    </row>
    <row r="815" spans="1:6" x14ac:dyDescent="0.2">
      <c r="A815" s="439"/>
      <c r="B815" s="440"/>
      <c r="C815" s="68"/>
      <c r="D815" s="78">
        <f>VLOOKUP(C815,Itinerario!$D$148:$W$178,18,FALSE)</f>
        <v>0</v>
      </c>
      <c r="E815" s="79">
        <f>VLOOKUP(C815,Itinerario!$D$148:$W$178,19,FALSE)</f>
        <v>0</v>
      </c>
      <c r="F815" s="79" t="e">
        <f>VLOOKUP(C815,Organización_Modular!$F$134:$G$164,2,FALSE)</f>
        <v>#N/A</v>
      </c>
    </row>
    <row r="816" spans="1:6" x14ac:dyDescent="0.2">
      <c r="A816" s="439"/>
      <c r="B816" s="440"/>
      <c r="C816" s="68"/>
      <c r="D816" s="78">
        <f>VLOOKUP(C816,Itinerario!$D$148:$W$178,18,FALSE)</f>
        <v>0</v>
      </c>
      <c r="E816" s="79">
        <f>VLOOKUP(C816,Itinerario!$D$148:$W$178,19,FALSE)</f>
        <v>0</v>
      </c>
      <c r="F816" s="79" t="e">
        <f>VLOOKUP(C816,Organización_Modular!$F$134:$G$164,2,FALSE)</f>
        <v>#N/A</v>
      </c>
    </row>
    <row r="817" spans="1:6" x14ac:dyDescent="0.2">
      <c r="A817" s="439"/>
      <c r="B817" s="440"/>
      <c r="C817" s="68"/>
      <c r="D817" s="78">
        <f>VLOOKUP(C817,Itinerario!$D$148:$W$178,18,FALSE)</f>
        <v>0</v>
      </c>
      <c r="E817" s="79">
        <f>VLOOKUP(C817,Itinerario!$D$148:$W$178,19,FALSE)</f>
        <v>0</v>
      </c>
      <c r="F817" s="79" t="e">
        <f>VLOOKUP(C817,Organización_Modular!$F$134:$G$164,2,FALSE)</f>
        <v>#N/A</v>
      </c>
    </row>
    <row r="818" spans="1:6" x14ac:dyDescent="0.2">
      <c r="A818" s="439"/>
      <c r="B818" s="440"/>
      <c r="C818" s="68"/>
      <c r="D818" s="78">
        <f>VLOOKUP(C818,Itinerario!$D$148:$W$178,18,FALSE)</f>
        <v>0</v>
      </c>
      <c r="E818" s="79">
        <f>VLOOKUP(C818,Itinerario!$D$148:$W$178,19,FALSE)</f>
        <v>0</v>
      </c>
      <c r="F818" s="79" t="e">
        <f>VLOOKUP(C818,Organización_Modular!$F$134:$G$164,2,FALSE)</f>
        <v>#N/A</v>
      </c>
    </row>
    <row r="819" spans="1:6" x14ac:dyDescent="0.2">
      <c r="A819" s="439"/>
      <c r="B819" s="440"/>
      <c r="C819" s="68"/>
      <c r="D819" s="78">
        <f>VLOOKUP(C819,Itinerario!$D$148:$W$178,18,FALSE)</f>
        <v>0</v>
      </c>
      <c r="E819" s="79">
        <f>VLOOKUP(C819,Itinerario!$D$148:$W$178,19,FALSE)</f>
        <v>0</v>
      </c>
      <c r="F819" s="79" t="e">
        <f>VLOOKUP(C819,Organización_Modular!$F$134:$G$164,2,FALSE)</f>
        <v>#N/A</v>
      </c>
    </row>
    <row r="820" spans="1:6" x14ac:dyDescent="0.2">
      <c r="A820" s="439"/>
      <c r="B820" s="440"/>
      <c r="C820" s="68"/>
      <c r="D820" s="78">
        <f>VLOOKUP(C820,Itinerario!$D$148:$W$178,18,FALSE)</f>
        <v>0</v>
      </c>
      <c r="E820" s="79">
        <f>VLOOKUP(C820,Itinerario!$D$148:$W$178,19,FALSE)</f>
        <v>0</v>
      </c>
      <c r="F820" s="79" t="e">
        <f>VLOOKUP(C820,Organización_Modular!$F$134:$G$164,2,FALSE)</f>
        <v>#N/A</v>
      </c>
    </row>
    <row r="821" spans="1:6" x14ac:dyDescent="0.2">
      <c r="A821" s="439"/>
      <c r="B821" s="440"/>
      <c r="C821" s="68"/>
      <c r="D821" s="78">
        <f>VLOOKUP(C821,Itinerario!$D$148:$W$178,18,FALSE)</f>
        <v>0</v>
      </c>
      <c r="E821" s="79">
        <f>VLOOKUP(C821,Itinerario!$D$148:$W$178,19,FALSE)</f>
        <v>0</v>
      </c>
      <c r="F821" s="79" t="e">
        <f>VLOOKUP(C821,Organización_Modular!$F$134:$G$164,2,FALSE)</f>
        <v>#N/A</v>
      </c>
    </row>
    <row r="822" spans="1:6" x14ac:dyDescent="0.2">
      <c r="A822" s="439"/>
      <c r="B822" s="440"/>
      <c r="C822" s="68"/>
      <c r="D822" s="78">
        <f>VLOOKUP(C822,Itinerario!$D$148:$W$178,18,FALSE)</f>
        <v>0</v>
      </c>
      <c r="E822" s="79">
        <f>VLOOKUP(C822,Itinerario!$D$148:$W$178,19,FALSE)</f>
        <v>0</v>
      </c>
      <c r="F822" s="79" t="e">
        <f>VLOOKUP(C822,Organización_Modular!$F$134:$G$164,2,FALSE)</f>
        <v>#N/A</v>
      </c>
    </row>
    <row r="823" spans="1:6" x14ac:dyDescent="0.2">
      <c r="A823" s="439"/>
      <c r="B823" s="440"/>
      <c r="C823" s="68"/>
      <c r="D823" s="78">
        <f>VLOOKUP(C823,Itinerario!$D$148:$W$178,18,FALSE)</f>
        <v>0</v>
      </c>
      <c r="E823" s="79">
        <f>VLOOKUP(C823,Itinerario!$D$148:$W$178,19,FALSE)</f>
        <v>0</v>
      </c>
      <c r="F823" s="79" t="e">
        <f>VLOOKUP(C823,Organización_Modular!$F$134:$G$164,2,FALSE)</f>
        <v>#N/A</v>
      </c>
    </row>
    <row r="824" spans="1:6" x14ac:dyDescent="0.2">
      <c r="A824" s="439"/>
      <c r="B824" s="440"/>
      <c r="C824" s="68"/>
      <c r="D824" s="78">
        <f>VLOOKUP(C824,Itinerario!$D$148:$W$178,18,FALSE)</f>
        <v>0</v>
      </c>
      <c r="E824" s="79">
        <f>VLOOKUP(C824,Itinerario!$D$148:$W$178,19,FALSE)</f>
        <v>0</v>
      </c>
      <c r="F824" s="79" t="e">
        <f>VLOOKUP(C824,Organización_Modular!$F$134:$G$164,2,FALSE)</f>
        <v>#N/A</v>
      </c>
    </row>
    <row r="825" spans="1:6" x14ac:dyDescent="0.2">
      <c r="A825" s="439"/>
      <c r="B825" s="440"/>
      <c r="C825" s="68"/>
      <c r="D825" s="78">
        <f>VLOOKUP(C825,Itinerario!$D$148:$W$178,18,FALSE)</f>
        <v>0</v>
      </c>
      <c r="E825" s="79">
        <f>VLOOKUP(C825,Itinerario!$D$148:$W$178,19,FALSE)</f>
        <v>0</v>
      </c>
      <c r="F825" s="79" t="e">
        <f>VLOOKUP(C825,Organización_Modular!$F$134:$G$164,2,FALSE)</f>
        <v>#N/A</v>
      </c>
    </row>
    <row r="826" spans="1:6" x14ac:dyDescent="0.2">
      <c r="A826" s="439"/>
      <c r="B826" s="440"/>
      <c r="C826" s="68"/>
      <c r="D826" s="78">
        <f>VLOOKUP(C826,Itinerario!$D$148:$W$178,18,FALSE)</f>
        <v>0</v>
      </c>
      <c r="E826" s="79">
        <f>VLOOKUP(C826,Itinerario!$D$148:$W$178,19,FALSE)</f>
        <v>0</v>
      </c>
      <c r="F826" s="79" t="e">
        <f>VLOOKUP(C826,Organización_Modular!$F$134:$G$164,2,FALSE)</f>
        <v>#N/A</v>
      </c>
    </row>
    <row r="827" spans="1:6" x14ac:dyDescent="0.2">
      <c r="A827" s="439"/>
      <c r="B827" s="440"/>
      <c r="C827" s="68"/>
      <c r="D827" s="78">
        <f>VLOOKUP(C827,Itinerario!$D$148:$W$178,18,FALSE)</f>
        <v>0</v>
      </c>
      <c r="E827" s="79">
        <f>VLOOKUP(C827,Itinerario!$D$148:$W$178,19,FALSE)</f>
        <v>0</v>
      </c>
      <c r="F827" s="79" t="e">
        <f>VLOOKUP(C827,Organización_Modular!$F$134:$G$164,2,FALSE)</f>
        <v>#N/A</v>
      </c>
    </row>
    <row r="828" spans="1:6" x14ac:dyDescent="0.2">
      <c r="A828" s="439"/>
      <c r="B828" s="440"/>
      <c r="C828" s="68"/>
      <c r="D828" s="78">
        <f>VLOOKUP(C828,Itinerario!$D$148:$W$178,18,FALSE)</f>
        <v>0</v>
      </c>
      <c r="E828" s="79">
        <f>VLOOKUP(C828,Itinerario!$D$148:$W$178,19,FALSE)</f>
        <v>0</v>
      </c>
      <c r="F828" s="79" t="e">
        <f>VLOOKUP(C828,Organización_Modular!$F$134:$G$164,2,FALSE)</f>
        <v>#N/A</v>
      </c>
    </row>
    <row r="829" spans="1:6" x14ac:dyDescent="0.2">
      <c r="A829" s="439"/>
      <c r="B829" s="440"/>
      <c r="C829" s="68"/>
      <c r="D829" s="78">
        <f>VLOOKUP(C829,Itinerario!$D$148:$W$178,18,FALSE)</f>
        <v>0</v>
      </c>
      <c r="E829" s="79">
        <f>VLOOKUP(C829,Itinerario!$D$148:$W$178,19,FALSE)</f>
        <v>0</v>
      </c>
      <c r="F829" s="79" t="e">
        <f>VLOOKUP(C829,Organización_Modular!$F$134:$G$164,2,FALSE)</f>
        <v>#N/A</v>
      </c>
    </row>
    <row r="830" spans="1:6" x14ac:dyDescent="0.2">
      <c r="A830" s="439"/>
      <c r="B830" s="440"/>
      <c r="C830" s="68"/>
      <c r="D830" s="78">
        <f>VLOOKUP(C830,Itinerario!$D$148:$W$178,18,FALSE)</f>
        <v>0</v>
      </c>
      <c r="E830" s="79">
        <f>VLOOKUP(C830,Itinerario!$D$148:$W$178,19,FALSE)</f>
        <v>0</v>
      </c>
      <c r="F830" s="79" t="e">
        <f>VLOOKUP(C830,Organización_Modular!$F$134:$G$164,2,FALSE)</f>
        <v>#N/A</v>
      </c>
    </row>
    <row r="831" spans="1:6" x14ac:dyDescent="0.2">
      <c r="A831" s="439"/>
      <c r="B831" s="440"/>
      <c r="C831" s="68"/>
      <c r="D831" s="78">
        <f>VLOOKUP(C831,Itinerario!$D$148:$W$178,18,FALSE)</f>
        <v>0</v>
      </c>
      <c r="E831" s="79">
        <f>VLOOKUP(C831,Itinerario!$D$148:$W$178,19,FALSE)</f>
        <v>0</v>
      </c>
      <c r="F831" s="79" t="e">
        <f>VLOOKUP(C831,Organización_Modular!$F$134:$G$164,2,FALSE)</f>
        <v>#N/A</v>
      </c>
    </row>
    <row r="832" spans="1:6" x14ac:dyDescent="0.2">
      <c r="A832" s="439"/>
      <c r="B832" s="440"/>
      <c r="C832" s="68"/>
      <c r="D832" s="78">
        <f>VLOOKUP(C832,Itinerario!$D$148:$W$178,18,FALSE)</f>
        <v>0</v>
      </c>
      <c r="E832" s="79">
        <f>VLOOKUP(C832,Itinerario!$D$148:$W$178,19,FALSE)</f>
        <v>0</v>
      </c>
      <c r="F832" s="79" t="e">
        <f>VLOOKUP(C832,Organización_Modular!$F$134:$G$164,2,FALSE)</f>
        <v>#N/A</v>
      </c>
    </row>
    <row r="833" spans="1:6" x14ac:dyDescent="0.2">
      <c r="A833" s="439"/>
      <c r="B833" s="440"/>
      <c r="C833" s="68"/>
      <c r="D833" s="78">
        <f>VLOOKUP(C833,Itinerario!$D$148:$W$178,18,FALSE)</f>
        <v>0</v>
      </c>
      <c r="E833" s="79">
        <f>VLOOKUP(C833,Itinerario!$D$148:$W$178,19,FALSE)</f>
        <v>0</v>
      </c>
      <c r="F833" s="79" t="e">
        <f>VLOOKUP(C833,Organización_Modular!$F$134:$G$164,2,FALSE)</f>
        <v>#N/A</v>
      </c>
    </row>
    <row r="834" spans="1:6" x14ac:dyDescent="0.2">
      <c r="A834" s="439"/>
      <c r="B834" s="440"/>
      <c r="C834" s="68"/>
      <c r="D834" s="78">
        <f>VLOOKUP(C834,Itinerario!$D$148:$W$178,18,FALSE)</f>
        <v>0</v>
      </c>
      <c r="E834" s="79">
        <f>VLOOKUP(C834,Itinerario!$D$148:$W$178,19,FALSE)</f>
        <v>0</v>
      </c>
      <c r="F834" s="79" t="e">
        <f>VLOOKUP(C834,Organización_Modular!$F$134:$G$164,2,FALSE)</f>
        <v>#N/A</v>
      </c>
    </row>
    <row r="835" spans="1:6" x14ac:dyDescent="0.2">
      <c r="A835" s="439"/>
      <c r="B835" s="440"/>
      <c r="C835" s="68"/>
      <c r="D835" s="78">
        <f>VLOOKUP(C835,Itinerario!$D$148:$W$178,18,FALSE)</f>
        <v>0</v>
      </c>
      <c r="E835" s="79">
        <f>VLOOKUP(C835,Itinerario!$D$148:$W$178,19,FALSE)</f>
        <v>0</v>
      </c>
      <c r="F835" s="79" t="e">
        <f>VLOOKUP(C835,Organización_Modular!$F$134:$G$164,2,FALSE)</f>
        <v>#N/A</v>
      </c>
    </row>
    <row r="836" spans="1:6" x14ac:dyDescent="0.2">
      <c r="A836" s="439"/>
      <c r="B836" s="440"/>
      <c r="C836" s="68"/>
      <c r="D836" s="78">
        <f>VLOOKUP(C836,Itinerario!$D$148:$W$178,18,FALSE)</f>
        <v>0</v>
      </c>
      <c r="E836" s="79">
        <f>VLOOKUP(C836,Itinerario!$D$148:$W$178,19,FALSE)</f>
        <v>0</v>
      </c>
      <c r="F836" s="79" t="e">
        <f>VLOOKUP(C836,Organización_Modular!$F$134:$G$164,2,FALSE)</f>
        <v>#N/A</v>
      </c>
    </row>
    <row r="837" spans="1:6" x14ac:dyDescent="0.2">
      <c r="A837" s="439"/>
      <c r="B837" s="440"/>
      <c r="C837" s="68"/>
      <c r="D837" s="78">
        <f>VLOOKUP(C837,Itinerario!$D$148:$W$178,18,FALSE)</f>
        <v>0</v>
      </c>
      <c r="E837" s="79">
        <f>VLOOKUP(C837,Itinerario!$D$148:$W$178,19,FALSE)</f>
        <v>0</v>
      </c>
      <c r="F837" s="79" t="e">
        <f>VLOOKUP(C837,Organización_Modular!$F$134:$G$164,2,FALSE)</f>
        <v>#N/A</v>
      </c>
    </row>
    <row r="838" spans="1:6" x14ac:dyDescent="0.2">
      <c r="A838" s="439"/>
      <c r="B838" s="440"/>
      <c r="C838" s="68"/>
      <c r="D838" s="78">
        <f>VLOOKUP(C838,Itinerario!$D$148:$W$178,18,FALSE)</f>
        <v>0</v>
      </c>
      <c r="E838" s="79">
        <f>VLOOKUP(C838,Itinerario!$D$148:$W$178,19,FALSE)</f>
        <v>0</v>
      </c>
      <c r="F838" s="79" t="e">
        <f>VLOOKUP(C838,Organización_Modular!$F$134:$G$164,2,FALSE)</f>
        <v>#N/A</v>
      </c>
    </row>
    <row r="839" spans="1:6" x14ac:dyDescent="0.2">
      <c r="A839" s="439"/>
      <c r="B839" s="440"/>
      <c r="C839" s="69"/>
      <c r="D839" s="78">
        <f>VLOOKUP(C839,Itinerario!$D$148:$W$178,18,FALSE)</f>
        <v>0</v>
      </c>
      <c r="E839" s="79">
        <f>VLOOKUP(C839,Itinerario!$D$148:$W$178,19,FALSE)</f>
        <v>0</v>
      </c>
      <c r="F839" s="79" t="e">
        <f>VLOOKUP(C839,Organización_Modular!$F$134:$G$164,2,FALSE)</f>
        <v>#N/A</v>
      </c>
    </row>
    <row r="840" spans="1:6" x14ac:dyDescent="0.2">
      <c r="A840" s="439"/>
      <c r="B840" s="440"/>
      <c r="C840" s="69"/>
      <c r="D840" s="78">
        <f>VLOOKUP(C840,Itinerario!$D$148:$W$178,18,FALSE)</f>
        <v>0</v>
      </c>
      <c r="E840" s="79">
        <f>VLOOKUP(C840,Itinerario!$D$148:$W$178,19,FALSE)</f>
        <v>0</v>
      </c>
      <c r="F840" s="79" t="e">
        <f>VLOOKUP(C840,Organización_Modular!$F$134:$G$164,2,FALSE)</f>
        <v>#N/A</v>
      </c>
    </row>
    <row r="841" spans="1:6" x14ac:dyDescent="0.2">
      <c r="A841" s="439"/>
      <c r="B841" s="440"/>
      <c r="C841" s="69"/>
      <c r="D841" s="78">
        <f>VLOOKUP(C841,Itinerario!$D$148:$W$178,18,FALSE)</f>
        <v>0</v>
      </c>
      <c r="E841" s="79">
        <f>VLOOKUP(C841,Itinerario!$D$148:$W$178,19,FALSE)</f>
        <v>0</v>
      </c>
      <c r="F841" s="79" t="e">
        <f>VLOOKUP(C841,Organización_Modular!$F$134:$G$164,2,FALSE)</f>
        <v>#N/A</v>
      </c>
    </row>
    <row r="842" spans="1:6" x14ac:dyDescent="0.2">
      <c r="A842" s="439"/>
      <c r="B842" s="440"/>
      <c r="C842" s="69"/>
      <c r="D842" s="78">
        <f>VLOOKUP(C842,Itinerario!$D$148:$W$178,18,FALSE)</f>
        <v>0</v>
      </c>
      <c r="E842" s="79">
        <f>VLOOKUP(C842,Itinerario!$D$148:$W$178,19,FALSE)</f>
        <v>0</v>
      </c>
      <c r="F842" s="79" t="e">
        <f>VLOOKUP(C842,Organización_Modular!$F$134:$G$164,2,FALSE)</f>
        <v>#N/A</v>
      </c>
    </row>
    <row r="843" spans="1:6" x14ac:dyDescent="0.2">
      <c r="A843" s="439"/>
      <c r="B843" s="440"/>
      <c r="C843" s="69"/>
      <c r="D843" s="78">
        <f>VLOOKUP(C843,Itinerario!$D$148:$W$178,18,FALSE)</f>
        <v>0</v>
      </c>
      <c r="E843" s="79">
        <f>VLOOKUP(C843,Itinerario!$D$148:$W$178,19,FALSE)</f>
        <v>0</v>
      </c>
      <c r="F843" s="79" t="e">
        <f>VLOOKUP(C843,Organización_Modular!$F$134:$G$164,2,FALSE)</f>
        <v>#N/A</v>
      </c>
    </row>
    <row r="844" spans="1:6" x14ac:dyDescent="0.2">
      <c r="A844" s="439"/>
      <c r="B844" s="440"/>
      <c r="C844" s="69"/>
      <c r="D844" s="78">
        <f>VLOOKUP(C844,Itinerario!$D$148:$W$178,18,FALSE)</f>
        <v>0</v>
      </c>
      <c r="E844" s="79">
        <f>VLOOKUP(C844,Itinerario!$D$148:$W$178,19,FALSE)</f>
        <v>0</v>
      </c>
      <c r="F844" s="79" t="e">
        <f>VLOOKUP(C844,Organización_Modular!$F$134:$G$164,2,FALSE)</f>
        <v>#N/A</v>
      </c>
    </row>
    <row r="845" spans="1:6" x14ac:dyDescent="0.2">
      <c r="A845" s="439"/>
      <c r="B845" s="440"/>
      <c r="C845" s="69"/>
      <c r="D845" s="78">
        <f>VLOOKUP(C845,Itinerario!$D$148:$W$178,18,FALSE)</f>
        <v>0</v>
      </c>
      <c r="E845" s="79">
        <f>VLOOKUP(C845,Itinerario!$D$148:$W$178,19,FALSE)</f>
        <v>0</v>
      </c>
      <c r="F845" s="79" t="e">
        <f>VLOOKUP(C845,Organización_Modular!$F$134:$G$164,2,FALSE)</f>
        <v>#N/A</v>
      </c>
    </row>
    <row r="846" spans="1:6" x14ac:dyDescent="0.2">
      <c r="A846" s="439"/>
      <c r="B846" s="440"/>
      <c r="C846" s="69"/>
      <c r="D846" s="78">
        <f>VLOOKUP(C846,Itinerario!$D$148:$W$178,18,FALSE)</f>
        <v>0</v>
      </c>
      <c r="E846" s="79">
        <f>VLOOKUP(C846,Itinerario!$D$148:$W$178,19,FALSE)</f>
        <v>0</v>
      </c>
      <c r="F846" s="79" t="e">
        <f>VLOOKUP(C846,Organización_Modular!$F$134:$G$164,2,FALSE)</f>
        <v>#N/A</v>
      </c>
    </row>
    <row r="847" spans="1:6" x14ac:dyDescent="0.2">
      <c r="A847" s="439"/>
      <c r="B847" s="440"/>
      <c r="C847" s="69"/>
      <c r="D847" s="78">
        <f>VLOOKUP(C847,Itinerario!$D$148:$W$178,18,FALSE)</f>
        <v>0</v>
      </c>
      <c r="E847" s="79">
        <f>VLOOKUP(C847,Itinerario!$D$148:$W$178,19,FALSE)</f>
        <v>0</v>
      </c>
      <c r="F847" s="79" t="e">
        <f>VLOOKUP(C847,Organización_Modular!$F$134:$G$164,2,FALSE)</f>
        <v>#N/A</v>
      </c>
    </row>
    <row r="848" spans="1:6" x14ac:dyDescent="0.2">
      <c r="A848" s="439"/>
      <c r="B848" s="440"/>
      <c r="C848" s="69"/>
      <c r="D848" s="78">
        <f>VLOOKUP(C848,Itinerario!$D$148:$W$178,18,FALSE)</f>
        <v>0</v>
      </c>
      <c r="E848" s="79">
        <f>VLOOKUP(C848,Itinerario!$D$148:$W$178,19,FALSE)</f>
        <v>0</v>
      </c>
      <c r="F848" s="79" t="e">
        <f>VLOOKUP(C848,Organización_Modular!$F$134:$G$164,2,FALSE)</f>
        <v>#N/A</v>
      </c>
    </row>
    <row r="849" spans="1:6" x14ac:dyDescent="0.2">
      <c r="A849" s="439"/>
      <c r="B849" s="440"/>
      <c r="C849" s="69"/>
      <c r="D849" s="78">
        <f>VLOOKUP(C849,Itinerario!$D$148:$W$178,18,FALSE)</f>
        <v>0</v>
      </c>
      <c r="E849" s="79">
        <f>VLOOKUP(C849,Itinerario!$D$148:$W$178,19,FALSE)</f>
        <v>0</v>
      </c>
      <c r="F849" s="79" t="e">
        <f>VLOOKUP(C849,Organización_Modular!$F$134:$G$164,2,FALSE)</f>
        <v>#N/A</v>
      </c>
    </row>
    <row r="850" spans="1:6" x14ac:dyDescent="0.2">
      <c r="A850" s="439"/>
      <c r="B850" s="440"/>
      <c r="C850" s="69"/>
      <c r="D850" s="78">
        <f>VLOOKUP(C850,Itinerario!$D$148:$W$178,18,FALSE)</f>
        <v>0</v>
      </c>
      <c r="E850" s="79">
        <f>VLOOKUP(C850,Itinerario!$D$148:$W$178,19,FALSE)</f>
        <v>0</v>
      </c>
      <c r="F850" s="79" t="e">
        <f>VLOOKUP(C850,Organización_Modular!$F$134:$G$164,2,FALSE)</f>
        <v>#N/A</v>
      </c>
    </row>
    <row r="851" spans="1:6" x14ac:dyDescent="0.2">
      <c r="A851" s="439"/>
      <c r="B851" s="440"/>
      <c r="C851" s="69"/>
      <c r="D851" s="78">
        <f>VLOOKUP(C851,Itinerario!$D$148:$W$178,18,FALSE)</f>
        <v>0</v>
      </c>
      <c r="E851" s="79">
        <f>VLOOKUP(C851,Itinerario!$D$148:$W$178,19,FALSE)</f>
        <v>0</v>
      </c>
      <c r="F851" s="79" t="e">
        <f>VLOOKUP(C851,Organización_Modular!$F$134:$G$164,2,FALSE)</f>
        <v>#N/A</v>
      </c>
    </row>
    <row r="852" spans="1:6" x14ac:dyDescent="0.2">
      <c r="A852" s="439"/>
      <c r="B852" s="440"/>
      <c r="C852" s="69"/>
      <c r="D852" s="78">
        <f>VLOOKUP(C852,Itinerario!$D$148:$W$178,18,FALSE)</f>
        <v>0</v>
      </c>
      <c r="E852" s="79">
        <f>VLOOKUP(C852,Itinerario!$D$148:$W$178,19,FALSE)</f>
        <v>0</v>
      </c>
      <c r="F852" s="79" t="e">
        <f>VLOOKUP(C852,Organización_Modular!$F$134:$G$164,2,FALSE)</f>
        <v>#N/A</v>
      </c>
    </row>
    <row r="853" spans="1:6" x14ac:dyDescent="0.2">
      <c r="A853" s="439"/>
      <c r="B853" s="440"/>
      <c r="C853" s="69"/>
      <c r="D853" s="78">
        <f>VLOOKUP(C853,Itinerario!$D$148:$W$178,18,FALSE)</f>
        <v>0</v>
      </c>
      <c r="E853" s="79">
        <f>VLOOKUP(C853,Itinerario!$D$148:$W$178,19,FALSE)</f>
        <v>0</v>
      </c>
      <c r="F853" s="79" t="e">
        <f>VLOOKUP(C853,Organización_Modular!$F$134:$G$164,2,FALSE)</f>
        <v>#N/A</v>
      </c>
    </row>
    <row r="854" spans="1:6" x14ac:dyDescent="0.2">
      <c r="A854" s="439"/>
      <c r="B854" s="440"/>
      <c r="C854" s="69"/>
      <c r="D854" s="78">
        <f>VLOOKUP(C854,Itinerario!$D$148:$W$178,18,FALSE)</f>
        <v>0</v>
      </c>
      <c r="E854" s="79">
        <f>VLOOKUP(C854,Itinerario!$D$148:$W$178,19,FALSE)</f>
        <v>0</v>
      </c>
      <c r="F854" s="79" t="e">
        <f>VLOOKUP(C854,Organización_Modular!$F$134:$G$164,2,FALSE)</f>
        <v>#N/A</v>
      </c>
    </row>
    <row r="855" spans="1:6" x14ac:dyDescent="0.2">
      <c r="A855" s="439"/>
      <c r="B855" s="440"/>
      <c r="C855" s="69"/>
      <c r="D855" s="78">
        <f>VLOOKUP(C855,Itinerario!$D$148:$W$178,18,FALSE)</f>
        <v>0</v>
      </c>
      <c r="E855" s="79">
        <f>VLOOKUP(C855,Itinerario!$D$148:$W$178,19,FALSE)</f>
        <v>0</v>
      </c>
      <c r="F855" s="79" t="e">
        <f>VLOOKUP(C855,Organización_Modular!$F$134:$G$164,2,FALSE)</f>
        <v>#N/A</v>
      </c>
    </row>
    <row r="856" spans="1:6" x14ac:dyDescent="0.2">
      <c r="A856" s="439"/>
      <c r="B856" s="440"/>
      <c r="C856" s="69"/>
      <c r="D856" s="78">
        <f>VLOOKUP(C856,Itinerario!$D$148:$W$178,18,FALSE)</f>
        <v>0</v>
      </c>
      <c r="E856" s="79">
        <f>VLOOKUP(C856,Itinerario!$D$148:$W$178,19,FALSE)</f>
        <v>0</v>
      </c>
      <c r="F856" s="79" t="e">
        <f>VLOOKUP(C856,Organización_Modular!$F$134:$G$164,2,FALSE)</f>
        <v>#N/A</v>
      </c>
    </row>
    <row r="857" spans="1:6" x14ac:dyDescent="0.2">
      <c r="A857" s="439"/>
      <c r="B857" s="440"/>
      <c r="C857" s="69"/>
      <c r="D857" s="78">
        <f>VLOOKUP(C857,Itinerario!$D$148:$W$178,18,FALSE)</f>
        <v>0</v>
      </c>
      <c r="E857" s="79">
        <f>VLOOKUP(C857,Itinerario!$D$148:$W$178,19,FALSE)</f>
        <v>0</v>
      </c>
      <c r="F857" s="79" t="e">
        <f>VLOOKUP(C857,Organización_Modular!$F$134:$G$164,2,FALSE)</f>
        <v>#N/A</v>
      </c>
    </row>
    <row r="858" spans="1:6" x14ac:dyDescent="0.2">
      <c r="A858" s="439"/>
      <c r="B858" s="440"/>
      <c r="C858" s="69"/>
      <c r="D858" s="78">
        <f>VLOOKUP(C858,Itinerario!$D$148:$W$178,18,FALSE)</f>
        <v>0</v>
      </c>
      <c r="E858" s="79">
        <f>VLOOKUP(C858,Itinerario!$D$148:$W$178,19,FALSE)</f>
        <v>0</v>
      </c>
      <c r="F858" s="79" t="e">
        <f>VLOOKUP(C858,Organización_Modular!$F$134:$G$164,2,FALSE)</f>
        <v>#N/A</v>
      </c>
    </row>
    <row r="859" spans="1:6" x14ac:dyDescent="0.2">
      <c r="A859" s="439"/>
      <c r="B859" s="440"/>
      <c r="C859" s="69"/>
      <c r="D859" s="78">
        <f>VLOOKUP(C859,Itinerario!$D$148:$W$178,18,FALSE)</f>
        <v>0</v>
      </c>
      <c r="E859" s="79">
        <f>VLOOKUP(C859,Itinerario!$D$148:$W$178,19,FALSE)</f>
        <v>0</v>
      </c>
      <c r="F859" s="79" t="e">
        <f>VLOOKUP(C859,Organización_Modular!$F$134:$G$164,2,FALSE)</f>
        <v>#N/A</v>
      </c>
    </row>
    <row r="860" spans="1:6" x14ac:dyDescent="0.2">
      <c r="A860" s="439"/>
      <c r="B860" s="440"/>
      <c r="C860" s="69"/>
      <c r="D860" s="78">
        <f>VLOOKUP(C860,Itinerario!$D$148:$W$178,18,FALSE)</f>
        <v>0</v>
      </c>
      <c r="E860" s="79">
        <f>VLOOKUP(C860,Itinerario!$D$148:$W$178,19,FALSE)</f>
        <v>0</v>
      </c>
      <c r="F860" s="79" t="e">
        <f>VLOOKUP(C860,Organización_Modular!$F$134:$G$164,2,FALSE)</f>
        <v>#N/A</v>
      </c>
    </row>
    <row r="861" spans="1:6" x14ac:dyDescent="0.2">
      <c r="A861" s="439"/>
      <c r="B861" s="440"/>
      <c r="C861" s="69"/>
      <c r="D861" s="78">
        <f>VLOOKUP(C861,Itinerario!$D$148:$W$178,18,FALSE)</f>
        <v>0</v>
      </c>
      <c r="E861" s="79">
        <f>VLOOKUP(C861,Itinerario!$D$148:$W$178,19,FALSE)</f>
        <v>0</v>
      </c>
      <c r="F861" s="79" t="e">
        <f>VLOOKUP(C861,Organización_Modular!$F$134:$G$164,2,FALSE)</f>
        <v>#N/A</v>
      </c>
    </row>
    <row r="862" spans="1:6" x14ac:dyDescent="0.2">
      <c r="A862" s="439"/>
      <c r="B862" s="440"/>
      <c r="C862" s="69"/>
      <c r="D862" s="78">
        <f>VLOOKUP(C862,Itinerario!$D$148:$W$178,18,FALSE)</f>
        <v>0</v>
      </c>
      <c r="E862" s="79">
        <f>VLOOKUP(C862,Itinerario!$D$148:$W$178,19,FALSE)</f>
        <v>0</v>
      </c>
      <c r="F862" s="79" t="e">
        <f>VLOOKUP(C862,Organización_Modular!$F$134:$G$164,2,FALSE)</f>
        <v>#N/A</v>
      </c>
    </row>
    <row r="863" spans="1:6" x14ac:dyDescent="0.2">
      <c r="A863" s="439"/>
      <c r="B863" s="440"/>
      <c r="C863" s="69"/>
      <c r="D863" s="78">
        <f>VLOOKUP(C863,Itinerario!$D$148:$W$178,18,FALSE)</f>
        <v>0</v>
      </c>
      <c r="E863" s="79">
        <f>VLOOKUP(C863,Itinerario!$D$148:$W$178,19,FALSE)</f>
        <v>0</v>
      </c>
      <c r="F863" s="79" t="e">
        <f>VLOOKUP(C863,Organización_Modular!$F$134:$G$164,2,FALSE)</f>
        <v>#N/A</v>
      </c>
    </row>
    <row r="864" spans="1:6" x14ac:dyDescent="0.2">
      <c r="A864" s="439"/>
      <c r="B864" s="440"/>
      <c r="C864" s="69"/>
      <c r="D864" s="78">
        <f>VLOOKUP(C864,Itinerario!$D$148:$W$178,18,FALSE)</f>
        <v>0</v>
      </c>
      <c r="E864" s="79">
        <f>VLOOKUP(C864,Itinerario!$D$148:$W$178,19,FALSE)</f>
        <v>0</v>
      </c>
      <c r="F864" s="79" t="e">
        <f>VLOOKUP(C864,Organización_Modular!$F$134:$G$164,2,FALSE)</f>
        <v>#N/A</v>
      </c>
    </row>
    <row r="865" spans="1:6" x14ac:dyDescent="0.2">
      <c r="A865" s="439"/>
      <c r="B865" s="440"/>
      <c r="C865" s="69"/>
      <c r="D865" s="78">
        <f>VLOOKUP(C865,Itinerario!$D$148:$W$178,18,FALSE)</f>
        <v>0</v>
      </c>
      <c r="E865" s="79">
        <f>VLOOKUP(C865,Itinerario!$D$148:$W$178,19,FALSE)</f>
        <v>0</v>
      </c>
      <c r="F865" s="79" t="e">
        <f>VLOOKUP(C865,Organización_Modular!$F$134:$G$164,2,FALSE)</f>
        <v>#N/A</v>
      </c>
    </row>
    <row r="866" spans="1:6" x14ac:dyDescent="0.2">
      <c r="A866" s="439"/>
      <c r="B866" s="440"/>
      <c r="C866" s="69"/>
      <c r="D866" s="78">
        <f>VLOOKUP(C866,Itinerario!$D$148:$W$178,18,FALSE)</f>
        <v>0</v>
      </c>
      <c r="E866" s="79">
        <f>VLOOKUP(C866,Itinerario!$D$148:$W$178,19,FALSE)</f>
        <v>0</v>
      </c>
      <c r="F866" s="79" t="e">
        <f>VLOOKUP(C866,Organización_Modular!$F$134:$G$164,2,FALSE)</f>
        <v>#N/A</v>
      </c>
    </row>
    <row r="867" spans="1:6" x14ac:dyDescent="0.2">
      <c r="A867" s="439"/>
      <c r="B867" s="440"/>
      <c r="C867" s="69"/>
      <c r="D867" s="78">
        <f>VLOOKUP(C867,Itinerario!$D$148:$W$178,18,FALSE)</f>
        <v>0</v>
      </c>
      <c r="E867" s="79">
        <f>VLOOKUP(C867,Itinerario!$D$148:$W$178,19,FALSE)</f>
        <v>0</v>
      </c>
      <c r="F867" s="79" t="e">
        <f>VLOOKUP(C867,Organización_Modular!$F$134:$G$164,2,FALSE)</f>
        <v>#N/A</v>
      </c>
    </row>
    <row r="868" spans="1:6" x14ac:dyDescent="0.2">
      <c r="A868" s="439"/>
      <c r="B868" s="440"/>
      <c r="C868" s="69"/>
      <c r="D868" s="78">
        <f>VLOOKUP(C868,Itinerario!$D$148:$W$178,18,FALSE)</f>
        <v>0</v>
      </c>
      <c r="E868" s="79">
        <f>VLOOKUP(C868,Itinerario!$D$148:$W$178,19,FALSE)</f>
        <v>0</v>
      </c>
      <c r="F868" s="79" t="e">
        <f>VLOOKUP(C868,Organización_Modular!$F$134:$G$164,2,FALSE)</f>
        <v>#N/A</v>
      </c>
    </row>
    <row r="869" spans="1:6" x14ac:dyDescent="0.2">
      <c r="A869" s="439"/>
      <c r="B869" s="440"/>
      <c r="C869" s="69"/>
      <c r="D869" s="78">
        <f>VLOOKUP(C869,Itinerario!$D$148:$W$178,18,FALSE)</f>
        <v>0</v>
      </c>
      <c r="E869" s="79">
        <f>VLOOKUP(C869,Itinerario!$D$148:$W$178,19,FALSE)</f>
        <v>0</v>
      </c>
      <c r="F869" s="79" t="e">
        <f>VLOOKUP(C869,Organización_Modular!$F$134:$G$164,2,FALSE)</f>
        <v>#N/A</v>
      </c>
    </row>
    <row r="870" spans="1:6" x14ac:dyDescent="0.2">
      <c r="A870" s="439"/>
      <c r="B870" s="440"/>
      <c r="C870" s="69"/>
      <c r="D870" s="78">
        <f>VLOOKUP(C870,Itinerario!$D$148:$W$178,18,FALSE)</f>
        <v>0</v>
      </c>
      <c r="E870" s="79">
        <f>VLOOKUP(C870,Itinerario!$D$148:$W$178,19,FALSE)</f>
        <v>0</v>
      </c>
      <c r="F870" s="79" t="e">
        <f>VLOOKUP(C870,Organización_Modular!$F$134:$G$164,2,FALSE)</f>
        <v>#N/A</v>
      </c>
    </row>
    <row r="871" spans="1:6" x14ac:dyDescent="0.2">
      <c r="A871" s="439"/>
      <c r="B871" s="440"/>
      <c r="C871" s="69"/>
      <c r="D871" s="78">
        <f>VLOOKUP(C871,Itinerario!$D$148:$W$178,18,FALSE)</f>
        <v>0</v>
      </c>
      <c r="E871" s="79">
        <f>VLOOKUP(C871,Itinerario!$D$148:$W$178,19,FALSE)</f>
        <v>0</v>
      </c>
      <c r="F871" s="79" t="e">
        <f>VLOOKUP(C871,Organización_Modular!$F$134:$G$164,2,FALSE)</f>
        <v>#N/A</v>
      </c>
    </row>
    <row r="872" spans="1:6" x14ac:dyDescent="0.2">
      <c r="A872" s="439"/>
      <c r="B872" s="440"/>
      <c r="C872" s="69"/>
      <c r="D872" s="78">
        <f>VLOOKUP(C872,Itinerario!$D$148:$W$178,18,FALSE)</f>
        <v>0</v>
      </c>
      <c r="E872" s="79">
        <f>VLOOKUP(C872,Itinerario!$D$148:$W$178,19,FALSE)</f>
        <v>0</v>
      </c>
      <c r="F872" s="79" t="e">
        <f>VLOOKUP(C872,Organización_Modular!$F$134:$G$164,2,FALSE)</f>
        <v>#N/A</v>
      </c>
    </row>
    <row r="873" spans="1:6" x14ac:dyDescent="0.2">
      <c r="A873" s="439"/>
      <c r="B873" s="440"/>
      <c r="C873" s="69"/>
      <c r="D873" s="78">
        <f>VLOOKUP(C873,Itinerario!$D$148:$W$178,18,FALSE)</f>
        <v>0</v>
      </c>
      <c r="E873" s="79">
        <f>VLOOKUP(C873,Itinerario!$D$148:$W$178,19,FALSE)</f>
        <v>0</v>
      </c>
      <c r="F873" s="79" t="e">
        <f>VLOOKUP(C873,Organización_Modular!$F$134:$G$164,2,FALSE)</f>
        <v>#N/A</v>
      </c>
    </row>
    <row r="874" spans="1:6" x14ac:dyDescent="0.2">
      <c r="A874" s="439"/>
      <c r="B874" s="440"/>
      <c r="C874" s="69"/>
      <c r="D874" s="78">
        <f>VLOOKUP(C874,Itinerario!$D$148:$W$178,18,FALSE)</f>
        <v>0</v>
      </c>
      <c r="E874" s="79">
        <f>VLOOKUP(C874,Itinerario!$D$148:$W$178,19,FALSE)</f>
        <v>0</v>
      </c>
      <c r="F874" s="79" t="e">
        <f>VLOOKUP(C874,Organización_Modular!$F$134:$G$164,2,FALSE)</f>
        <v>#N/A</v>
      </c>
    </row>
    <row r="875" spans="1:6" x14ac:dyDescent="0.2">
      <c r="A875" s="439"/>
      <c r="B875" s="440"/>
      <c r="C875" s="69"/>
      <c r="D875" s="78">
        <f>VLOOKUP(C875,Itinerario!$D$148:$W$178,18,FALSE)</f>
        <v>0</v>
      </c>
      <c r="E875" s="79">
        <f>VLOOKUP(C875,Itinerario!$D$148:$W$178,19,FALSE)</f>
        <v>0</v>
      </c>
      <c r="F875" s="79" t="e">
        <f>VLOOKUP(C875,Organización_Modular!$F$134:$G$164,2,FALSE)</f>
        <v>#N/A</v>
      </c>
    </row>
    <row r="876" spans="1:6" x14ac:dyDescent="0.2">
      <c r="A876" s="439"/>
      <c r="B876" s="440"/>
      <c r="C876" s="69"/>
      <c r="D876" s="78">
        <f>VLOOKUP(C876,Itinerario!$D$148:$W$178,18,FALSE)</f>
        <v>0</v>
      </c>
      <c r="E876" s="79">
        <f>VLOOKUP(C876,Itinerario!$D$148:$W$178,19,FALSE)</f>
        <v>0</v>
      </c>
      <c r="F876" s="79" t="e">
        <f>VLOOKUP(C876,Organización_Modular!$F$134:$G$164,2,FALSE)</f>
        <v>#N/A</v>
      </c>
    </row>
    <row r="877" spans="1:6" x14ac:dyDescent="0.2">
      <c r="A877" s="439"/>
      <c r="B877" s="440"/>
      <c r="C877" s="69"/>
      <c r="D877" s="78">
        <f>VLOOKUP(C877,Itinerario!$D$148:$W$178,18,FALSE)</f>
        <v>0</v>
      </c>
      <c r="E877" s="79">
        <f>VLOOKUP(C877,Itinerario!$D$148:$W$178,19,FALSE)</f>
        <v>0</v>
      </c>
      <c r="F877" s="79" t="e">
        <f>VLOOKUP(C877,Organización_Modular!$F$134:$G$164,2,FALSE)</f>
        <v>#N/A</v>
      </c>
    </row>
    <row r="878" spans="1:6" x14ac:dyDescent="0.2">
      <c r="A878" s="439"/>
      <c r="B878" s="440"/>
      <c r="C878" s="69"/>
      <c r="D878" s="78">
        <f>VLOOKUP(C878,Itinerario!$D$148:$W$178,18,FALSE)</f>
        <v>0</v>
      </c>
      <c r="E878" s="79">
        <f>VLOOKUP(C878,Itinerario!$D$148:$W$178,19,FALSE)</f>
        <v>0</v>
      </c>
      <c r="F878" s="79" t="e">
        <f>VLOOKUP(C878,Organización_Modular!$F$134:$G$164,2,FALSE)</f>
        <v>#N/A</v>
      </c>
    </row>
    <row r="879" spans="1:6" x14ac:dyDescent="0.2">
      <c r="A879" s="439"/>
      <c r="B879" s="440"/>
      <c r="C879" s="69"/>
      <c r="D879" s="78">
        <f>VLOOKUP(C879,Itinerario!$D$148:$W$178,18,FALSE)</f>
        <v>0</v>
      </c>
      <c r="E879" s="79">
        <f>VLOOKUP(C879,Itinerario!$D$148:$W$178,19,FALSE)</f>
        <v>0</v>
      </c>
      <c r="F879" s="79" t="e">
        <f>VLOOKUP(C879,Organización_Modular!$F$134:$G$164,2,FALSE)</f>
        <v>#N/A</v>
      </c>
    </row>
    <row r="880" spans="1:6" x14ac:dyDescent="0.2">
      <c r="A880" s="439"/>
      <c r="B880" s="440"/>
      <c r="C880" s="69"/>
      <c r="D880" s="78">
        <f>VLOOKUP(C880,Itinerario!$D$148:$W$178,18,FALSE)</f>
        <v>0</v>
      </c>
      <c r="E880" s="79">
        <f>VLOOKUP(C880,Itinerario!$D$148:$W$178,19,FALSE)</f>
        <v>0</v>
      </c>
      <c r="F880" s="79" t="e">
        <f>VLOOKUP(C880,Organización_Modular!$F$134:$G$164,2,FALSE)</f>
        <v>#N/A</v>
      </c>
    </row>
    <row r="881" spans="1:6" x14ac:dyDescent="0.2">
      <c r="A881" s="439"/>
      <c r="B881" s="440"/>
      <c r="C881" s="69"/>
      <c r="D881" s="78">
        <f>VLOOKUP(C881,Itinerario!$D$148:$W$178,18,FALSE)</f>
        <v>0</v>
      </c>
      <c r="E881" s="79">
        <f>VLOOKUP(C881,Itinerario!$D$148:$W$178,19,FALSE)</f>
        <v>0</v>
      </c>
      <c r="F881" s="79" t="e">
        <f>VLOOKUP(C881,Organización_Modular!$F$134:$G$164,2,FALSE)</f>
        <v>#N/A</v>
      </c>
    </row>
    <row r="882" spans="1:6" x14ac:dyDescent="0.2">
      <c r="A882" s="439"/>
      <c r="B882" s="440"/>
      <c r="C882" s="69"/>
      <c r="D882" s="78">
        <f>VLOOKUP(C882,Itinerario!$D$148:$W$178,18,FALSE)</f>
        <v>0</v>
      </c>
      <c r="E882" s="79">
        <f>VLOOKUP(C882,Itinerario!$D$148:$W$178,19,FALSE)</f>
        <v>0</v>
      </c>
      <c r="F882" s="79" t="e">
        <f>VLOOKUP(C882,Organización_Modular!$F$134:$G$164,2,FALSE)</f>
        <v>#N/A</v>
      </c>
    </row>
    <row r="883" spans="1:6" x14ac:dyDescent="0.2">
      <c r="A883" s="439"/>
      <c r="B883" s="440"/>
      <c r="C883" s="68"/>
      <c r="D883" s="78">
        <f>VLOOKUP(C883,Itinerario!$D$148:$W$178,18,FALSE)</f>
        <v>0</v>
      </c>
      <c r="E883" s="79">
        <f>VLOOKUP(C883,Itinerario!$D$148:$W$178,19,FALSE)</f>
        <v>0</v>
      </c>
      <c r="F883" s="79" t="e">
        <f>VLOOKUP(C883,Organización_Modular!$F$134:$G$164,2,FALSE)</f>
        <v>#N/A</v>
      </c>
    </row>
    <row r="884" spans="1:6" x14ac:dyDescent="0.2">
      <c r="A884" s="439"/>
      <c r="B884" s="440"/>
      <c r="C884" s="69"/>
      <c r="D884" s="78">
        <f>VLOOKUP(C884,Itinerario!$D$148:$W$178,18,FALSE)</f>
        <v>0</v>
      </c>
      <c r="E884" s="79">
        <f>VLOOKUP(C884,Itinerario!$D$148:$W$178,19,FALSE)</f>
        <v>0</v>
      </c>
      <c r="F884" s="79" t="e">
        <f>VLOOKUP(C884,Organización_Modular!$F$134:$G$164,2,FALSE)</f>
        <v>#N/A</v>
      </c>
    </row>
    <row r="885" spans="1:6" x14ac:dyDescent="0.2">
      <c r="A885" s="439"/>
      <c r="B885" s="440"/>
      <c r="C885" s="69"/>
      <c r="D885" s="78">
        <f>VLOOKUP(C885,Itinerario!$D$148:$W$178,18,FALSE)</f>
        <v>0</v>
      </c>
      <c r="E885" s="79">
        <f>VLOOKUP(C885,Itinerario!$D$148:$W$178,19,FALSE)</f>
        <v>0</v>
      </c>
      <c r="F885" s="79" t="e">
        <f>VLOOKUP(C885,Organización_Modular!$F$134:$G$164,2,FALSE)</f>
        <v>#N/A</v>
      </c>
    </row>
    <row r="886" spans="1:6" x14ac:dyDescent="0.2">
      <c r="A886" s="439"/>
      <c r="B886" s="440"/>
      <c r="C886" s="69"/>
      <c r="D886" s="78">
        <f>VLOOKUP(C886,Itinerario!$D$148:$W$178,18,FALSE)</f>
        <v>0</v>
      </c>
      <c r="E886" s="79">
        <f>VLOOKUP(C886,Itinerario!$D$148:$W$178,19,FALSE)</f>
        <v>0</v>
      </c>
      <c r="F886" s="79" t="e">
        <f>VLOOKUP(C886,Organización_Modular!$F$134:$G$164,2,FALSE)</f>
        <v>#N/A</v>
      </c>
    </row>
    <row r="887" spans="1:6" x14ac:dyDescent="0.2">
      <c r="A887" s="439"/>
      <c r="B887" s="440"/>
      <c r="C887" s="69"/>
      <c r="D887" s="78">
        <f>VLOOKUP(C887,Itinerario!$D$148:$W$178,18,FALSE)</f>
        <v>0</v>
      </c>
      <c r="E887" s="79">
        <f>VLOOKUP(C887,Itinerario!$D$148:$W$178,19,FALSE)</f>
        <v>0</v>
      </c>
      <c r="F887" s="79" t="e">
        <f>VLOOKUP(C887,Organización_Modular!$F$134:$G$164,2,FALSE)</f>
        <v>#N/A</v>
      </c>
    </row>
    <row r="888" spans="1:6" x14ac:dyDescent="0.2">
      <c r="A888" s="439"/>
      <c r="B888" s="440"/>
      <c r="C888" s="69"/>
      <c r="D888" s="78">
        <f>VLOOKUP(C888,Itinerario!$D$148:$W$178,18,FALSE)</f>
        <v>0</v>
      </c>
      <c r="E888" s="79">
        <f>VLOOKUP(C888,Itinerario!$D$148:$W$178,19,FALSE)</f>
        <v>0</v>
      </c>
      <c r="F888" s="79" t="e">
        <f>VLOOKUP(C888,Organización_Modular!$F$134:$G$164,2,FALSE)</f>
        <v>#N/A</v>
      </c>
    </row>
    <row r="889" spans="1:6" x14ac:dyDescent="0.2">
      <c r="A889" s="439"/>
      <c r="B889" s="440"/>
      <c r="C889" s="69"/>
      <c r="D889" s="78">
        <f>VLOOKUP(C889,Itinerario!$D$148:$W$178,18,FALSE)</f>
        <v>0</v>
      </c>
      <c r="E889" s="79">
        <f>VLOOKUP(C889,Itinerario!$D$148:$W$178,19,FALSE)</f>
        <v>0</v>
      </c>
      <c r="F889" s="79" t="e">
        <f>VLOOKUP(C889,Organización_Modular!$F$134:$G$164,2,FALSE)</f>
        <v>#N/A</v>
      </c>
    </row>
    <row r="890" spans="1:6" x14ac:dyDescent="0.2">
      <c r="A890" s="439"/>
      <c r="B890" s="440"/>
      <c r="C890" s="69"/>
      <c r="D890" s="78">
        <f>VLOOKUP(C890,Itinerario!$D$148:$W$178,18,FALSE)</f>
        <v>0</v>
      </c>
      <c r="E890" s="79">
        <f>VLOOKUP(C890,Itinerario!$D$148:$W$178,19,FALSE)</f>
        <v>0</v>
      </c>
      <c r="F890" s="79" t="e">
        <f>VLOOKUP(C890,Organización_Modular!$F$134:$G$164,2,FALSE)</f>
        <v>#N/A</v>
      </c>
    </row>
    <row r="891" spans="1:6" x14ac:dyDescent="0.2">
      <c r="A891" s="439"/>
      <c r="B891" s="440"/>
      <c r="C891" s="69"/>
      <c r="D891" s="78">
        <f>VLOOKUP(C891,Itinerario!$D$148:$W$178,18,FALSE)</f>
        <v>0</v>
      </c>
      <c r="E891" s="79">
        <f>VLOOKUP(C891,Itinerario!$D$148:$W$178,19,FALSE)</f>
        <v>0</v>
      </c>
      <c r="F891" s="79" t="e">
        <f>VLOOKUP(C891,Organización_Modular!$F$134:$G$164,2,FALSE)</f>
        <v>#N/A</v>
      </c>
    </row>
    <row r="892" spans="1:6" x14ac:dyDescent="0.2">
      <c r="A892" s="439"/>
      <c r="B892" s="440"/>
      <c r="C892" s="69"/>
      <c r="D892" s="78">
        <f>VLOOKUP(C892,Itinerario!$D$148:$W$178,18,FALSE)</f>
        <v>0</v>
      </c>
      <c r="E892" s="79">
        <f>VLOOKUP(C892,Itinerario!$D$148:$W$178,19,FALSE)</f>
        <v>0</v>
      </c>
      <c r="F892" s="79" t="e">
        <f>VLOOKUP(C892,Organización_Modular!$F$134:$G$164,2,FALSE)</f>
        <v>#N/A</v>
      </c>
    </row>
    <row r="893" spans="1:6" x14ac:dyDescent="0.2">
      <c r="A893" s="439"/>
      <c r="B893" s="440"/>
      <c r="C893" s="69"/>
      <c r="D893" s="78">
        <f>VLOOKUP(C893,Itinerario!$D$148:$W$178,18,FALSE)</f>
        <v>0</v>
      </c>
      <c r="E893" s="79">
        <f>VLOOKUP(C893,Itinerario!$D$148:$W$178,19,FALSE)</f>
        <v>0</v>
      </c>
      <c r="F893" s="79" t="e">
        <f>VLOOKUP(C893,Organización_Modular!$F$134:$G$164,2,FALSE)</f>
        <v>#N/A</v>
      </c>
    </row>
    <row r="894" spans="1:6" x14ac:dyDescent="0.2">
      <c r="A894" s="439"/>
      <c r="B894" s="440"/>
      <c r="C894" s="69"/>
      <c r="D894" s="78">
        <f>VLOOKUP(C894,Itinerario!$D$148:$W$178,18,FALSE)</f>
        <v>0</v>
      </c>
      <c r="E894" s="79">
        <f>VLOOKUP(C894,Itinerario!$D$148:$W$178,19,FALSE)</f>
        <v>0</v>
      </c>
      <c r="F894" s="79" t="e">
        <f>VLOOKUP(C894,Organización_Modular!$F$134:$G$164,2,FALSE)</f>
        <v>#N/A</v>
      </c>
    </row>
    <row r="895" spans="1:6" x14ac:dyDescent="0.2">
      <c r="A895" s="439"/>
      <c r="B895" s="440"/>
      <c r="C895" s="69"/>
      <c r="D895" s="78">
        <f>VLOOKUP(C895,Itinerario!$D$148:$W$178,18,FALSE)</f>
        <v>0</v>
      </c>
      <c r="E895" s="79">
        <f>VLOOKUP(C895,Itinerario!$D$148:$W$178,19,FALSE)</f>
        <v>0</v>
      </c>
      <c r="F895" s="79" t="e">
        <f>VLOOKUP(C895,Organización_Modular!$F$134:$G$164,2,FALSE)</f>
        <v>#N/A</v>
      </c>
    </row>
    <row r="896" spans="1:6" x14ac:dyDescent="0.2">
      <c r="A896" s="439"/>
      <c r="B896" s="440"/>
      <c r="C896" s="69"/>
      <c r="D896" s="78">
        <f>VLOOKUP(C896,Itinerario!$D$148:$W$178,18,FALSE)</f>
        <v>0</v>
      </c>
      <c r="E896" s="79">
        <f>VLOOKUP(C896,Itinerario!$D$148:$W$178,19,FALSE)</f>
        <v>0</v>
      </c>
      <c r="F896" s="79" t="e">
        <f>VLOOKUP(C896,Organización_Modular!$F$134:$G$164,2,FALSE)</f>
        <v>#N/A</v>
      </c>
    </row>
    <row r="897" spans="1:6" x14ac:dyDescent="0.2">
      <c r="A897" s="439"/>
      <c r="B897" s="440"/>
      <c r="C897" s="69"/>
      <c r="D897" s="78">
        <f>VLOOKUP(C897,Itinerario!$D$148:$W$178,18,FALSE)</f>
        <v>0</v>
      </c>
      <c r="E897" s="79">
        <f>VLOOKUP(C897,Itinerario!$D$148:$W$178,19,FALSE)</f>
        <v>0</v>
      </c>
      <c r="F897" s="79" t="e">
        <f>VLOOKUP(C897,Organización_Modular!$F$134:$G$164,2,FALSE)</f>
        <v>#N/A</v>
      </c>
    </row>
    <row r="898" spans="1:6" x14ac:dyDescent="0.2">
      <c r="A898" s="439"/>
      <c r="B898" s="440"/>
      <c r="C898" s="68"/>
      <c r="D898" s="78">
        <f>VLOOKUP(C898,Itinerario!$D$148:$W$178,18,FALSE)</f>
        <v>0</v>
      </c>
      <c r="E898" s="79">
        <f>VLOOKUP(C898,Itinerario!$D$148:$W$178,19,FALSE)</f>
        <v>0</v>
      </c>
      <c r="F898" s="79" t="e">
        <f>VLOOKUP(C898,Organización_Modular!$F$134:$G$164,2,FALSE)</f>
        <v>#N/A</v>
      </c>
    </row>
    <row r="899" spans="1:6" x14ac:dyDescent="0.2">
      <c r="A899" s="439"/>
      <c r="B899" s="440"/>
      <c r="C899" s="69"/>
      <c r="D899" s="78">
        <f>VLOOKUP(C899,Itinerario!$D$148:$W$178,18,FALSE)</f>
        <v>0</v>
      </c>
      <c r="E899" s="79">
        <f>VLOOKUP(C899,Itinerario!$D$148:$W$178,19,FALSE)</f>
        <v>0</v>
      </c>
      <c r="F899" s="79" t="e">
        <f>VLOOKUP(C899,Organización_Modular!$F$134:$G$164,2,FALSE)</f>
        <v>#N/A</v>
      </c>
    </row>
    <row r="900" spans="1:6" x14ac:dyDescent="0.2">
      <c r="A900" s="439"/>
      <c r="B900" s="440"/>
      <c r="C900" s="69"/>
      <c r="D900" s="78">
        <f>VLOOKUP(C900,Itinerario!$D$148:$W$178,18,FALSE)</f>
        <v>0</v>
      </c>
      <c r="E900" s="79">
        <f>VLOOKUP(C900,Itinerario!$D$148:$W$178,19,FALSE)</f>
        <v>0</v>
      </c>
      <c r="F900" s="79" t="e">
        <f>VLOOKUP(C900,Organización_Modular!$F$134:$G$164,2,FALSE)</f>
        <v>#N/A</v>
      </c>
    </row>
    <row r="901" spans="1:6" x14ac:dyDescent="0.2">
      <c r="A901" s="439"/>
      <c r="B901" s="440"/>
      <c r="C901" s="69"/>
      <c r="D901" s="78">
        <f>VLOOKUP(C901,Itinerario!$D$148:$W$178,18,FALSE)</f>
        <v>0</v>
      </c>
      <c r="E901" s="79">
        <f>VLOOKUP(C901,Itinerario!$D$148:$W$178,19,FALSE)</f>
        <v>0</v>
      </c>
      <c r="F901" s="79" t="e">
        <f>VLOOKUP(C901,Organización_Modular!$F$134:$G$164,2,FALSE)</f>
        <v>#N/A</v>
      </c>
    </row>
    <row r="902" spans="1:6" x14ac:dyDescent="0.2">
      <c r="A902" s="439"/>
      <c r="B902" s="440"/>
      <c r="C902" s="69"/>
      <c r="D902" s="78">
        <f>VLOOKUP(C902,Itinerario!$D$148:$W$178,18,FALSE)</f>
        <v>0</v>
      </c>
      <c r="E902" s="79">
        <f>VLOOKUP(C902,Itinerario!$D$148:$W$178,19,FALSE)</f>
        <v>0</v>
      </c>
      <c r="F902" s="79" t="e">
        <f>VLOOKUP(C902,Organización_Modular!$F$134:$G$164,2,FALSE)</f>
        <v>#N/A</v>
      </c>
    </row>
    <row r="903" spans="1:6" x14ac:dyDescent="0.2">
      <c r="A903" s="439"/>
      <c r="B903" s="440"/>
      <c r="C903" s="69"/>
      <c r="D903" s="78">
        <f>VLOOKUP(C903,Itinerario!$D$148:$W$178,18,FALSE)</f>
        <v>0</v>
      </c>
      <c r="E903" s="79">
        <f>VLOOKUP(C903,Itinerario!$D$148:$W$178,19,FALSE)</f>
        <v>0</v>
      </c>
      <c r="F903" s="79" t="e">
        <f>VLOOKUP(C903,Organización_Modular!$F$134:$G$164,2,FALSE)</f>
        <v>#N/A</v>
      </c>
    </row>
    <row r="904" spans="1:6" x14ac:dyDescent="0.2">
      <c r="A904" s="439"/>
      <c r="B904" s="440"/>
      <c r="C904" s="69"/>
      <c r="D904" s="78">
        <f>VLOOKUP(C904,Itinerario!$D$148:$W$178,18,FALSE)</f>
        <v>0</v>
      </c>
      <c r="E904" s="79">
        <f>VLOOKUP(C904,Itinerario!$D$148:$W$178,19,FALSE)</f>
        <v>0</v>
      </c>
      <c r="F904" s="79" t="e">
        <f>VLOOKUP(C904,Organización_Modular!$F$134:$G$164,2,FALSE)</f>
        <v>#N/A</v>
      </c>
    </row>
    <row r="905" spans="1:6" x14ac:dyDescent="0.2">
      <c r="A905" s="439"/>
      <c r="B905" s="440"/>
      <c r="C905" s="69"/>
      <c r="D905" s="78">
        <f>VLOOKUP(C905,Itinerario!$D$148:$W$178,18,FALSE)</f>
        <v>0</v>
      </c>
      <c r="E905" s="79">
        <f>VLOOKUP(C905,Itinerario!$D$148:$W$178,19,FALSE)</f>
        <v>0</v>
      </c>
      <c r="F905" s="79" t="e">
        <f>VLOOKUP(C905,Organización_Modular!$F$134:$G$164,2,FALSE)</f>
        <v>#N/A</v>
      </c>
    </row>
    <row r="906" spans="1:6" x14ac:dyDescent="0.2">
      <c r="A906" s="439"/>
      <c r="B906" s="440"/>
      <c r="C906" s="69"/>
      <c r="D906" s="78">
        <f>VLOOKUP(C906,Itinerario!$D$148:$W$178,18,FALSE)</f>
        <v>0</v>
      </c>
      <c r="E906" s="79">
        <f>VLOOKUP(C906,Itinerario!$D$148:$W$178,19,FALSE)</f>
        <v>0</v>
      </c>
      <c r="F906" s="79" t="e">
        <f>VLOOKUP(C906,Organización_Modular!$F$134:$G$164,2,FALSE)</f>
        <v>#N/A</v>
      </c>
    </row>
    <row r="907" spans="1:6" x14ac:dyDescent="0.2">
      <c r="A907" s="439"/>
      <c r="B907" s="440"/>
      <c r="C907" s="69"/>
      <c r="D907" s="78">
        <f>VLOOKUP(C907,Itinerario!$D$148:$W$178,18,FALSE)</f>
        <v>0</v>
      </c>
      <c r="E907" s="79">
        <f>VLOOKUP(C907,Itinerario!$D$148:$W$178,19,FALSE)</f>
        <v>0</v>
      </c>
      <c r="F907" s="79" t="e">
        <f>VLOOKUP(C907,Organización_Modular!$F$134:$G$164,2,FALSE)</f>
        <v>#N/A</v>
      </c>
    </row>
    <row r="908" spans="1:6" x14ac:dyDescent="0.2">
      <c r="A908" s="439"/>
      <c r="B908" s="440"/>
      <c r="C908" s="69"/>
      <c r="D908" s="78">
        <f>VLOOKUP(C908,Itinerario!$D$148:$W$178,18,FALSE)</f>
        <v>0</v>
      </c>
      <c r="E908" s="79">
        <f>VLOOKUP(C908,Itinerario!$D$148:$W$178,19,FALSE)</f>
        <v>0</v>
      </c>
      <c r="F908" s="79" t="e">
        <f>VLOOKUP(C908,Organización_Modular!$F$134:$G$164,2,FALSE)</f>
        <v>#N/A</v>
      </c>
    </row>
    <row r="909" spans="1:6" x14ac:dyDescent="0.2">
      <c r="A909" s="439"/>
      <c r="B909" s="440"/>
      <c r="C909" s="69"/>
      <c r="D909" s="78">
        <f>VLOOKUP(C909,Itinerario!$D$148:$W$178,18,FALSE)</f>
        <v>0</v>
      </c>
      <c r="E909" s="79">
        <f>VLOOKUP(C909,Itinerario!$D$148:$W$178,19,FALSE)</f>
        <v>0</v>
      </c>
      <c r="F909" s="79" t="e">
        <f>VLOOKUP(C909,Organización_Modular!$F$134:$G$164,2,FALSE)</f>
        <v>#N/A</v>
      </c>
    </row>
    <row r="910" spans="1:6" x14ac:dyDescent="0.2">
      <c r="A910" s="439"/>
      <c r="B910" s="440"/>
      <c r="C910" s="69"/>
      <c r="D910" s="78">
        <f>VLOOKUP(C910,Itinerario!$D$148:$W$178,18,FALSE)</f>
        <v>0</v>
      </c>
      <c r="E910" s="79">
        <f>VLOOKUP(C910,Itinerario!$D$148:$W$178,19,FALSE)</f>
        <v>0</v>
      </c>
      <c r="F910" s="79" t="e">
        <f>VLOOKUP(C910,Organización_Modular!$F$134:$G$164,2,FALSE)</f>
        <v>#N/A</v>
      </c>
    </row>
    <row r="911" spans="1:6" x14ac:dyDescent="0.2">
      <c r="A911" s="439"/>
      <c r="B911" s="440"/>
      <c r="C911" s="69"/>
      <c r="D911" s="78">
        <f>VLOOKUP(C911,Itinerario!$D$148:$W$178,18,FALSE)</f>
        <v>0</v>
      </c>
      <c r="E911" s="79">
        <f>VLOOKUP(C911,Itinerario!$D$148:$W$178,19,FALSE)</f>
        <v>0</v>
      </c>
      <c r="F911" s="79" t="e">
        <f>VLOOKUP(C911,Organización_Modular!$F$134:$G$164,2,FALSE)</f>
        <v>#N/A</v>
      </c>
    </row>
    <row r="912" spans="1:6" x14ac:dyDescent="0.2">
      <c r="A912" s="439"/>
      <c r="B912" s="440"/>
      <c r="C912" s="69"/>
      <c r="D912" s="78">
        <f>VLOOKUP(C912,Itinerario!$D$148:$W$178,18,FALSE)</f>
        <v>0</v>
      </c>
      <c r="E912" s="79">
        <f>VLOOKUP(C912,Itinerario!$D$148:$W$178,19,FALSE)</f>
        <v>0</v>
      </c>
      <c r="F912" s="79" t="e">
        <f>VLOOKUP(C912,Organización_Modular!$F$134:$G$164,2,FALSE)</f>
        <v>#N/A</v>
      </c>
    </row>
    <row r="913" spans="1:6" x14ac:dyDescent="0.2">
      <c r="A913" s="439"/>
      <c r="B913" s="440"/>
      <c r="C913" s="68"/>
      <c r="D913" s="78">
        <f>VLOOKUP(C913,Itinerario!$D$148:$W$178,18,FALSE)</f>
        <v>0</v>
      </c>
      <c r="E913" s="79">
        <f>VLOOKUP(C913,Itinerario!$D$148:$W$178,19,FALSE)</f>
        <v>0</v>
      </c>
      <c r="F913" s="79" t="e">
        <f>VLOOKUP(C913,Organización_Modular!$F$134:$G$164,2,FALSE)</f>
        <v>#N/A</v>
      </c>
    </row>
    <row r="914" spans="1:6" ht="96" customHeight="1" x14ac:dyDescent="0.2">
      <c r="A914" s="436" t="s">
        <v>48</v>
      </c>
      <c r="B914" s="436"/>
      <c r="C914" s="436"/>
      <c r="D914" s="436"/>
      <c r="E914" s="436"/>
      <c r="F914" s="436"/>
    </row>
  </sheetData>
  <autoFilter ref="A13:F914" xr:uid="{00000000-0009-0000-0000-00000C000000}"/>
  <mergeCells count="71">
    <mergeCell ref="A764:A913"/>
    <mergeCell ref="B764:B778"/>
    <mergeCell ref="B779:B793"/>
    <mergeCell ref="B794:B808"/>
    <mergeCell ref="B809:B823"/>
    <mergeCell ref="B824:B838"/>
    <mergeCell ref="B839:B853"/>
    <mergeCell ref="B854:B868"/>
    <mergeCell ref="B869:B883"/>
    <mergeCell ref="B884:B898"/>
    <mergeCell ref="B899:B913"/>
    <mergeCell ref="B134:B148"/>
    <mergeCell ref="B119:B133"/>
    <mergeCell ref="B284:B298"/>
    <mergeCell ref="B269:B283"/>
    <mergeCell ref="B11:C11"/>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299:B313"/>
    <mergeCell ref="B404:B418"/>
    <mergeCell ref="B449:B463"/>
    <mergeCell ref="B179:B193"/>
    <mergeCell ref="B194:B208"/>
    <mergeCell ref="B209:B223"/>
    <mergeCell ref="B224:B238"/>
    <mergeCell ref="B239:B253"/>
    <mergeCell ref="B434:B448"/>
    <mergeCell ref="B419:B433"/>
    <mergeCell ref="A314:A463"/>
    <mergeCell ref="B314:B328"/>
    <mergeCell ref="B329:B343"/>
    <mergeCell ref="B344:B358"/>
    <mergeCell ref="B359:B373"/>
    <mergeCell ref="B374:B388"/>
    <mergeCell ref="B389:B403"/>
    <mergeCell ref="A464:A613"/>
    <mergeCell ref="B464:B478"/>
    <mergeCell ref="B479:B493"/>
    <mergeCell ref="B494:B508"/>
    <mergeCell ref="B509:B523"/>
    <mergeCell ref="B524:B538"/>
    <mergeCell ref="B539:B553"/>
    <mergeCell ref="B554:B568"/>
    <mergeCell ref="B599:B613"/>
    <mergeCell ref="B584:B598"/>
    <mergeCell ref="B569:B583"/>
    <mergeCell ref="A614:A763"/>
    <mergeCell ref="B614:B628"/>
    <mergeCell ref="B629:B643"/>
    <mergeCell ref="B644:B658"/>
    <mergeCell ref="B659:B673"/>
    <mergeCell ref="B674:B688"/>
    <mergeCell ref="B689:B703"/>
    <mergeCell ref="B704:B718"/>
    <mergeCell ref="B749:B763"/>
    <mergeCell ref="B734:B748"/>
    <mergeCell ref="B719:B733"/>
  </mergeCells>
  <conditionalFormatting sqref="B14:C913">
    <cfRule type="containsBlanks" dxfId="0"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70C0"/>
  </sheetPr>
  <dimension ref="A1:B5"/>
  <sheetViews>
    <sheetView workbookViewId="0">
      <selection activeCell="H8" sqref="H8"/>
    </sheetView>
  </sheetViews>
  <sheetFormatPr baseColWidth="10" defaultColWidth="10.7109375" defaultRowHeight="15" x14ac:dyDescent="0.25"/>
  <cols>
    <col min="1" max="1" width="17.5703125" bestFit="1" customWidth="1"/>
    <col min="2" max="2" width="9.85546875" customWidth="1"/>
  </cols>
  <sheetData>
    <row r="1" spans="1:2" x14ac:dyDescent="0.25">
      <c r="A1" s="102" t="s">
        <v>61</v>
      </c>
      <c r="B1" t="s">
        <v>133</v>
      </c>
    </row>
    <row r="3" spans="1:2" x14ac:dyDescent="0.25">
      <c r="A3" s="102" t="s">
        <v>130</v>
      </c>
    </row>
    <row r="4" spans="1:2" x14ac:dyDescent="0.25">
      <c r="A4" s="103" t="s">
        <v>131</v>
      </c>
    </row>
    <row r="5" spans="1:2" x14ac:dyDescent="0.25">
      <c r="A5" s="103" t="s">
        <v>132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70C0"/>
  </sheetPr>
  <dimension ref="A3:A6"/>
  <sheetViews>
    <sheetView workbookViewId="0">
      <selection activeCell="G25" sqref="G25"/>
    </sheetView>
  </sheetViews>
  <sheetFormatPr baseColWidth="10" defaultColWidth="10.7109375" defaultRowHeight="15" x14ac:dyDescent="0.25"/>
  <cols>
    <col min="1" max="1" width="17.5703125" bestFit="1" customWidth="1"/>
    <col min="2" max="2" width="9.85546875" customWidth="1"/>
  </cols>
  <sheetData>
    <row r="3" spans="1:1" x14ac:dyDescent="0.25">
      <c r="A3" s="102" t="s">
        <v>130</v>
      </c>
    </row>
    <row r="4" spans="1:1" x14ac:dyDescent="0.25">
      <c r="A4" s="103" t="s">
        <v>114</v>
      </c>
    </row>
    <row r="5" spans="1:1" x14ac:dyDescent="0.25">
      <c r="A5" s="103" t="s">
        <v>131</v>
      </c>
    </row>
    <row r="6" spans="1:1" x14ac:dyDescent="0.25">
      <c r="A6" s="103"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CETPRO</cp:lastModifiedBy>
  <cp:lastPrinted>2025-01-27T18:15:14Z</cp:lastPrinted>
  <dcterms:created xsi:type="dcterms:W3CDTF">2017-10-11T14:49:30Z</dcterms:created>
  <dcterms:modified xsi:type="dcterms:W3CDTF">2026-08-19T21:13:42Z</dcterms:modified>
</cp:coreProperties>
</file>