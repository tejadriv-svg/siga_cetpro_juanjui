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F5CDD715-3A32-4BF7-B1AB-AFC3E2D2BDE3}" xr6:coauthVersionLast="46" xr6:coauthVersionMax="46" xr10:uidLastSave="{00000000-0000-0000-0000-000000000000}"/>
  <bookViews>
    <workbookView xWindow="-120" yWindow="-120" windowWidth="29040" windowHeight="15720" tabRatio="740" activeTab="10"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state="hidden" r:id="rId7"/>
    <sheet name="M4" sheetId="61" state="hidden" r:id="rId8"/>
    <sheet name="M5" sheetId="62" state="hidden" r:id="rId9"/>
    <sheet name="M6" sheetId="65" state="hidden" r:id="rId10"/>
    <sheet name="Itinerario" sheetId="51" r:id="rId11"/>
  </sheets>
  <definedNames>
    <definedName name="_xlnm._FilterDatabase" localSheetId="2" hidden="1">Capacidades!$A$9:$M$1814</definedName>
    <definedName name="_xlnm._FilterDatabase" localSheetId="10" hidden="1">Itinerario!$A$21:$X$211</definedName>
    <definedName name="_xlnm._FilterDatabase" localSheetId="4" hidden="1">'M1'!$A$16:$M$367</definedName>
    <definedName name="_xlnm._FilterDatabase" localSheetId="5" hidden="1">'M2'!$A$16:$M$361</definedName>
    <definedName name="_xlnm._FilterDatabase" localSheetId="6" hidden="1">'M3'!$A$16:$M$361</definedName>
    <definedName name="_xlnm._FilterDatabase" localSheetId="7" hidden="1">'M4'!$A$16:$M$361</definedName>
    <definedName name="_xlnm._FilterDatabase" localSheetId="8" hidden="1">'M5'!$A$16:$M$361</definedName>
    <definedName name="_xlnm._FilterDatabase" localSheetId="9" hidden="1">'M6'!$A$16:$M$367</definedName>
    <definedName name="_xlnm._FilterDatabase" localSheetId="3" hidden="1">Organización_Modular!$A$9:$J$196</definedName>
    <definedName name="_xlnm._FilterDatabase" localSheetId="0" hidden="1">Perfil_Egreso!$A$16:$F$44</definedName>
    <definedName name="_xlnm._FilterDatabase" localSheetId="1" hidden="1">Programa_Estudio!$A$14:$G$228</definedName>
    <definedName name="_xlnm.Print_Area" localSheetId="10">Itinerario!$A$1:$AJ$210</definedName>
    <definedName name="_xlnm.Print_Area" localSheetId="3">Organización_Modular!$A$1:$J$196</definedName>
    <definedName name="_xlnm.Print_Area" localSheetId="0">Perfil_Egreso!$A$1:$E$44</definedName>
    <definedName name="_xlnm.Print_Area" localSheetId="1">Programa_Estudio!$A$1:$F$228</definedName>
    <definedName name="_xlnm.Print_Titles" localSheetId="1">Programa_Estudio!$1:$6</definedName>
  </definedNames>
  <calcPr calcId="18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3" l="1"/>
  <c r="J62" i="49" l="1"/>
  <c r="J61" i="49"/>
  <c r="J46" i="49"/>
  <c r="J45" i="49"/>
  <c r="J44" i="49"/>
  <c r="J43" i="49"/>
  <c r="J42" i="49"/>
  <c r="J41" i="49"/>
  <c r="J31" i="49"/>
  <c r="J30" i="49"/>
  <c r="J12" i="49"/>
  <c r="J11" i="49"/>
  <c r="J10" i="49"/>
  <c r="L147" i="51" l="1"/>
  <c r="M147" i="51" s="1"/>
  <c r="J116" i="51"/>
  <c r="K116" i="51" s="1"/>
  <c r="H85" i="51"/>
  <c r="I85" i="51" s="1"/>
  <c r="F54" i="51"/>
  <c r="G54" i="51" s="1"/>
  <c r="M512" i="53" l="1"/>
  <c r="M513" i="53"/>
  <c r="M514" i="53"/>
  <c r="M511" i="53"/>
  <c r="L511" i="53"/>
  <c r="D61" i="49" s="1"/>
  <c r="D18" i="55" l="1"/>
  <c r="E18" i="55"/>
  <c r="F18" i="55"/>
  <c r="I18" i="55" s="1"/>
  <c r="G18" i="55"/>
  <c r="J18" i="55" s="1"/>
  <c r="B7" i="3"/>
  <c r="H18" i="55" l="1"/>
  <c r="C7" i="51"/>
  <c r="I7" i="65"/>
  <c r="I7" i="62"/>
  <c r="I7" i="61"/>
  <c r="I7" i="60"/>
  <c r="I7" i="59"/>
  <c r="I7" i="55"/>
  <c r="F27" i="41" l="1"/>
  <c r="F26" i="41"/>
  <c r="A150" i="3"/>
  <c r="A135" i="3"/>
  <c r="A120" i="3"/>
  <c r="G164" i="3"/>
  <c r="G158" i="3"/>
  <c r="G157" i="3"/>
  <c r="G156" i="3"/>
  <c r="G155" i="3"/>
  <c r="G154" i="3"/>
  <c r="G153" i="3"/>
  <c r="G152" i="3"/>
  <c r="G151" i="3"/>
  <c r="G150" i="3"/>
  <c r="G149" i="3"/>
  <c r="G143" i="3"/>
  <c r="G142" i="3"/>
  <c r="G141" i="3"/>
  <c r="G140" i="3"/>
  <c r="G139" i="3"/>
  <c r="G138" i="3"/>
  <c r="G137" i="3"/>
  <c r="G136" i="3"/>
  <c r="G135" i="3"/>
  <c r="E11" i="3" l="1"/>
  <c r="F7" i="3"/>
  <c r="A361" i="65" l="1"/>
  <c r="A361" i="62"/>
  <c r="A361" i="61"/>
  <c r="A361" i="60"/>
  <c r="A361" i="59"/>
  <c r="L358" i="65" l="1"/>
  <c r="K358" i="65"/>
  <c r="C358" i="65"/>
  <c r="B358" i="65"/>
  <c r="A358" i="65"/>
  <c r="A357" i="65"/>
  <c r="L358" i="62"/>
  <c r="K358" i="62"/>
  <c r="C358" i="62"/>
  <c r="B358" i="62"/>
  <c r="A358" i="62"/>
  <c r="A357" i="62"/>
  <c r="L358" i="61"/>
  <c r="K358" i="61"/>
  <c r="C358" i="61"/>
  <c r="B358" i="61"/>
  <c r="A358" i="61"/>
  <c r="A357" i="61"/>
  <c r="L358" i="60"/>
  <c r="K358" i="60"/>
  <c r="C358" i="60"/>
  <c r="B358" i="60"/>
  <c r="A358" i="60"/>
  <c r="A357" i="60"/>
  <c r="L358" i="59"/>
  <c r="K358" i="59"/>
  <c r="C358" i="59"/>
  <c r="B358" i="59"/>
  <c r="A358" i="59"/>
  <c r="A357" i="59"/>
  <c r="J196" i="49" l="1"/>
  <c r="I196" i="49"/>
  <c r="J14" i="49"/>
  <c r="J15" i="49"/>
  <c r="J16" i="49"/>
  <c r="J17" i="49"/>
  <c r="J18" i="49"/>
  <c r="J19" i="49"/>
  <c r="J20" i="49"/>
  <c r="J21" i="49"/>
  <c r="J22" i="49"/>
  <c r="J23" i="49"/>
  <c r="J24" i="49"/>
  <c r="J25" i="49"/>
  <c r="J26" i="49"/>
  <c r="J27" i="49"/>
  <c r="J28" i="49"/>
  <c r="J29" i="49"/>
  <c r="J32" i="49"/>
  <c r="J33" i="49"/>
  <c r="J34" i="49"/>
  <c r="J35" i="49"/>
  <c r="J36" i="49"/>
  <c r="J37" i="49"/>
  <c r="J38" i="49"/>
  <c r="J39" i="49"/>
  <c r="J47" i="49"/>
  <c r="J48" i="49"/>
  <c r="J49" i="49"/>
  <c r="J50" i="49"/>
  <c r="J51" i="49"/>
  <c r="J52" i="49"/>
  <c r="J53" i="49"/>
  <c r="J54" i="49"/>
  <c r="J55" i="49"/>
  <c r="J56" i="49"/>
  <c r="J57" i="49"/>
  <c r="J58" i="49"/>
  <c r="J59" i="49"/>
  <c r="J60" i="49"/>
  <c r="J63" i="49"/>
  <c r="J64" i="49"/>
  <c r="J65" i="49"/>
  <c r="J66" i="49"/>
  <c r="J67" i="49"/>
  <c r="J68" i="49"/>
  <c r="J69" i="49"/>
  <c r="J70" i="49"/>
  <c r="J76" i="49"/>
  <c r="J77" i="49"/>
  <c r="J78" i="49"/>
  <c r="J79" i="49"/>
  <c r="J80" i="49"/>
  <c r="J81" i="49"/>
  <c r="J82" i="49"/>
  <c r="J83" i="49"/>
  <c r="J84" i="49"/>
  <c r="J85" i="49"/>
  <c r="J86" i="49"/>
  <c r="J87" i="49"/>
  <c r="J88" i="49"/>
  <c r="J89" i="49"/>
  <c r="J90" i="49"/>
  <c r="J91" i="49"/>
  <c r="J93" i="49"/>
  <c r="J94" i="49"/>
  <c r="J95" i="49"/>
  <c r="J96" i="49"/>
  <c r="J97" i="49"/>
  <c r="J98" i="49"/>
  <c r="J99" i="49"/>
  <c r="J100" i="49"/>
  <c r="J101" i="49"/>
  <c r="J106" i="49"/>
  <c r="J107" i="49"/>
  <c r="J108" i="49"/>
  <c r="J109" i="49"/>
  <c r="J110" i="49"/>
  <c r="J111" i="49"/>
  <c r="J112" i="49"/>
  <c r="J113" i="49"/>
  <c r="J114" i="49"/>
  <c r="J115" i="49"/>
  <c r="J116" i="49"/>
  <c r="J117" i="49"/>
  <c r="J118" i="49"/>
  <c r="J119" i="49"/>
  <c r="J120" i="49"/>
  <c r="J121" i="49"/>
  <c r="J122" i="49"/>
  <c r="J124" i="49"/>
  <c r="J125" i="49"/>
  <c r="J126" i="49"/>
  <c r="J127" i="49"/>
  <c r="J128" i="49"/>
  <c r="J129" i="49"/>
  <c r="J130" i="49"/>
  <c r="J131" i="49"/>
  <c r="J132"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A1" i="59"/>
  <c r="A1" i="60" s="1"/>
  <c r="A1" i="61" s="1"/>
  <c r="A1" i="62" s="1"/>
  <c r="A1" i="65" s="1"/>
  <c r="I11" i="65"/>
  <c r="F11" i="65"/>
  <c r="B11" i="65"/>
  <c r="A11" i="65"/>
  <c r="B9" i="65"/>
  <c r="A9" i="65"/>
  <c r="B7" i="65"/>
  <c r="A7" i="65"/>
  <c r="I5" i="65"/>
  <c r="D5" i="65"/>
  <c r="B5" i="65"/>
  <c r="I3" i="65"/>
  <c r="B3" i="65"/>
  <c r="I11" i="62"/>
  <c r="F11" i="62"/>
  <c r="B11" i="62"/>
  <c r="A11" i="62"/>
  <c r="B9" i="62"/>
  <c r="A9" i="62"/>
  <c r="B7" i="62"/>
  <c r="A7" i="62"/>
  <c r="I5" i="62"/>
  <c r="D5" i="62"/>
  <c r="B5" i="62"/>
  <c r="I3" i="62"/>
  <c r="B3" i="62"/>
  <c r="I11" i="61"/>
  <c r="F11" i="61"/>
  <c r="B11" i="61"/>
  <c r="A11" i="61"/>
  <c r="B9" i="61"/>
  <c r="A9" i="61"/>
  <c r="B7" i="61"/>
  <c r="A7" i="61"/>
  <c r="I5" i="61"/>
  <c r="D5" i="61"/>
  <c r="B5" i="61"/>
  <c r="I3" i="61"/>
  <c r="B3" i="61"/>
  <c r="I11" i="60"/>
  <c r="F11" i="60"/>
  <c r="B11" i="60"/>
  <c r="A11" i="60"/>
  <c r="B9" i="60"/>
  <c r="A9" i="60"/>
  <c r="B7" i="60"/>
  <c r="A7" i="60"/>
  <c r="I5" i="60"/>
  <c r="D5" i="60"/>
  <c r="B5" i="60"/>
  <c r="I3" i="60"/>
  <c r="B3" i="60"/>
  <c r="I11" i="59"/>
  <c r="F11" i="59"/>
  <c r="B11" i="59"/>
  <c r="A11" i="59"/>
  <c r="B9" i="59"/>
  <c r="A9" i="59"/>
  <c r="B7" i="59"/>
  <c r="A7" i="59"/>
  <c r="I5" i="59"/>
  <c r="D5" i="59"/>
  <c r="B5" i="59"/>
  <c r="I3" i="59"/>
  <c r="B3" i="59"/>
  <c r="B7" i="55"/>
  <c r="F7" i="49"/>
  <c r="C7" i="49"/>
  <c r="A7" i="49"/>
  <c r="G5" i="49"/>
  <c r="C5" i="49" l="1"/>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D262" i="65"/>
  <c r="E252" i="65"/>
  <c r="F252" i="65"/>
  <c r="G252" i="65"/>
  <c r="D252" i="65"/>
  <c r="C11" i="51"/>
  <c r="G9" i="51"/>
  <c r="C9" i="51"/>
  <c r="F44" i="41"/>
  <c r="A7" i="55"/>
  <c r="I11" i="55"/>
  <c r="F11" i="55"/>
  <c r="B11" i="55"/>
  <c r="A11" i="55"/>
  <c r="B9" i="55"/>
  <c r="A9" i="55"/>
  <c r="H262" i="65" l="1"/>
  <c r="D3" i="3"/>
  <c r="A3" i="3"/>
  <c r="F31" i="41" l="1"/>
  <c r="F32" i="41"/>
  <c r="F33" i="41"/>
  <c r="F34" i="41"/>
  <c r="F35" i="41"/>
  <c r="F36" i="41"/>
  <c r="F37" i="41"/>
  <c r="F38" i="41"/>
  <c r="F39" i="41"/>
  <c r="F40" i="41"/>
  <c r="F41" i="41"/>
  <c r="M361" i="62" l="1"/>
  <c r="M361" i="55"/>
  <c r="M360" i="55"/>
  <c r="A222" i="3" l="1"/>
  <c r="A217" i="3"/>
  <c r="A212" i="3"/>
  <c r="G226" i="3"/>
  <c r="G224" i="3"/>
  <c r="G223" i="3"/>
  <c r="G222" i="3"/>
  <c r="G221" i="3"/>
  <c r="G219" i="3"/>
  <c r="G218" i="3"/>
  <c r="G217" i="3"/>
  <c r="X211" i="51" l="1"/>
  <c r="M361" i="65" l="1"/>
  <c r="M360" i="65"/>
  <c r="M359" i="65"/>
  <c r="M360" i="62"/>
  <c r="M359" i="62"/>
  <c r="M361" i="61"/>
  <c r="M360" i="61"/>
  <c r="M359" i="61"/>
  <c r="M361" i="60"/>
  <c r="M360" i="60"/>
  <c r="M359" i="60"/>
  <c r="M361" i="59"/>
  <c r="M360" i="59"/>
  <c r="M359" i="59"/>
  <c r="M359" i="55"/>
  <c r="G74" i="3" l="1"/>
  <c r="G68" i="3"/>
  <c r="G67" i="3"/>
  <c r="G66" i="3"/>
  <c r="G65" i="3"/>
  <c r="G64" i="3"/>
  <c r="G59" i="3"/>
  <c r="G53" i="3"/>
  <c r="G52" i="3"/>
  <c r="G51" i="3"/>
  <c r="G60" i="3"/>
  <c r="G61" i="3"/>
  <c r="G62" i="3"/>
  <c r="X22" i="51" l="1"/>
  <c r="X23" i="51"/>
  <c r="X210" i="51"/>
  <c r="G168" i="3"/>
  <c r="G169" i="3"/>
  <c r="G171" i="3"/>
  <c r="G172" i="3"/>
  <c r="G173" i="3"/>
  <c r="G174" i="3"/>
  <c r="G176" i="3"/>
  <c r="G177" i="3"/>
  <c r="G181" i="3"/>
  <c r="G182" i="3"/>
  <c r="G183" i="3"/>
  <c r="G184" i="3"/>
  <c r="G186" i="3"/>
  <c r="G187" i="3"/>
  <c r="G188" i="3"/>
  <c r="G189" i="3"/>
  <c r="G191" i="3"/>
  <c r="G192" i="3"/>
  <c r="G193" i="3"/>
  <c r="G194" i="3"/>
  <c r="G196" i="3"/>
  <c r="G197" i="3"/>
  <c r="G198" i="3"/>
  <c r="G199" i="3"/>
  <c r="G201" i="3"/>
  <c r="G202" i="3"/>
  <c r="G203" i="3"/>
  <c r="G204" i="3"/>
  <c r="G206" i="3"/>
  <c r="G207" i="3"/>
  <c r="G208" i="3"/>
  <c r="G209" i="3"/>
  <c r="G211" i="3"/>
  <c r="G212" i="3"/>
  <c r="G213" i="3"/>
  <c r="G214" i="3"/>
  <c r="G216" i="3"/>
  <c r="A207" i="3"/>
  <c r="A202" i="3" l="1"/>
  <c r="A197" i="3"/>
  <c r="A192" i="3"/>
  <c r="A187" i="3"/>
  <c r="A182" i="3"/>
  <c r="A177" i="3"/>
  <c r="A172" i="3"/>
  <c r="A167" i="3"/>
  <c r="A105" i="3" l="1"/>
  <c r="A90" i="3"/>
  <c r="A75" i="3"/>
  <c r="A60" i="3"/>
  <c r="A45" i="3"/>
  <c r="A30" i="3"/>
  <c r="A15" i="3"/>
  <c r="B54" i="51"/>
  <c r="B209" i="51" s="1"/>
  <c r="B44" i="51"/>
  <c r="B199" i="51" s="1"/>
  <c r="B24" i="51"/>
  <c r="B148" i="51" s="1"/>
  <c r="B41" i="49"/>
  <c r="B61" i="49"/>
  <c r="B71" i="49"/>
  <c r="B72" i="49"/>
  <c r="B92" i="49"/>
  <c r="B102" i="49"/>
  <c r="B103" i="49"/>
  <c r="B123" i="49"/>
  <c r="B133" i="49"/>
  <c r="B134" i="49"/>
  <c r="B154" i="49"/>
  <c r="B164" i="49"/>
  <c r="B165" i="49"/>
  <c r="B185" i="49"/>
  <c r="B195" i="49"/>
  <c r="B137" i="51" l="1"/>
  <c r="B55" i="51"/>
  <c r="B75" i="51"/>
  <c r="B168" i="51"/>
  <c r="B86" i="51"/>
  <c r="B179" i="51"/>
  <c r="B106" i="51"/>
  <c r="B147" i="51"/>
  <c r="B117" i="51"/>
  <c r="B178" i="51"/>
  <c r="B85" i="51"/>
  <c r="B116" i="51"/>
  <c r="L10" i="53" l="1"/>
  <c r="V209" i="51" l="1"/>
  <c r="R209" i="51"/>
  <c r="S208" i="51"/>
  <c r="V208" i="51" s="1"/>
  <c r="R208" i="51"/>
  <c r="D208" i="51"/>
  <c r="S207" i="51"/>
  <c r="V207" i="51" s="1"/>
  <c r="R207" i="51"/>
  <c r="U207" i="51" s="1"/>
  <c r="D207" i="51"/>
  <c r="S206" i="51"/>
  <c r="V206" i="51" s="1"/>
  <c r="R206" i="51"/>
  <c r="U206" i="51" s="1"/>
  <c r="D206" i="51"/>
  <c r="S205" i="51"/>
  <c r="V205" i="51" s="1"/>
  <c r="R205" i="51"/>
  <c r="U205" i="51" s="1"/>
  <c r="D205" i="51"/>
  <c r="S204" i="51"/>
  <c r="V204" i="51" s="1"/>
  <c r="R204" i="51"/>
  <c r="U204" i="51" s="1"/>
  <c r="D204" i="51"/>
  <c r="S203" i="51"/>
  <c r="V203" i="51" s="1"/>
  <c r="R203" i="51"/>
  <c r="U203" i="51" s="1"/>
  <c r="D203" i="51"/>
  <c r="S202" i="51"/>
  <c r="V202" i="51" s="1"/>
  <c r="R202" i="51"/>
  <c r="U202" i="51" s="1"/>
  <c r="D202" i="51"/>
  <c r="S201" i="51"/>
  <c r="V201" i="51" s="1"/>
  <c r="R201" i="51"/>
  <c r="U201" i="51" s="1"/>
  <c r="D201" i="51"/>
  <c r="S200" i="51"/>
  <c r="V200" i="51" s="1"/>
  <c r="R200" i="51"/>
  <c r="D200" i="51"/>
  <c r="S199" i="51"/>
  <c r="V199" i="51" s="1"/>
  <c r="R199" i="51"/>
  <c r="U199" i="51" s="1"/>
  <c r="D199" i="51"/>
  <c r="C199" i="51"/>
  <c r="S198" i="51"/>
  <c r="V198" i="51" s="1"/>
  <c r="R198" i="51"/>
  <c r="U198" i="51" s="1"/>
  <c r="D198" i="51"/>
  <c r="S197" i="51"/>
  <c r="V197" i="51" s="1"/>
  <c r="R197" i="51"/>
  <c r="U197" i="51" s="1"/>
  <c r="D197" i="51"/>
  <c r="S196" i="51"/>
  <c r="V196" i="51" s="1"/>
  <c r="R196" i="51"/>
  <c r="U196" i="51" s="1"/>
  <c r="D196" i="51"/>
  <c r="S195" i="51"/>
  <c r="V195" i="51" s="1"/>
  <c r="R195" i="51"/>
  <c r="U195" i="51" s="1"/>
  <c r="D195" i="51"/>
  <c r="S194" i="51"/>
  <c r="V194" i="51" s="1"/>
  <c r="R194" i="51"/>
  <c r="U194" i="51" s="1"/>
  <c r="D194" i="51"/>
  <c r="S193" i="51"/>
  <c r="V193" i="51" s="1"/>
  <c r="R193" i="51"/>
  <c r="U193" i="51" s="1"/>
  <c r="D193" i="51"/>
  <c r="S192" i="51"/>
  <c r="V192" i="51" s="1"/>
  <c r="R192" i="51"/>
  <c r="U192" i="51" s="1"/>
  <c r="D192" i="51"/>
  <c r="S191" i="51"/>
  <c r="V191" i="51" s="1"/>
  <c r="R191" i="51"/>
  <c r="U191" i="51" s="1"/>
  <c r="D191" i="51"/>
  <c r="S190" i="51"/>
  <c r="V190" i="51" s="1"/>
  <c r="R190" i="51"/>
  <c r="U190" i="51" s="1"/>
  <c r="D190" i="51"/>
  <c r="S189" i="51"/>
  <c r="V189" i="51" s="1"/>
  <c r="R189" i="51"/>
  <c r="U189" i="51" s="1"/>
  <c r="D189" i="51"/>
  <c r="S188" i="51"/>
  <c r="V188" i="51" s="1"/>
  <c r="R188" i="51"/>
  <c r="U188" i="51" s="1"/>
  <c r="D188" i="51"/>
  <c r="S187" i="51"/>
  <c r="V187" i="51" s="1"/>
  <c r="R187" i="51"/>
  <c r="U187" i="51" s="1"/>
  <c r="D187" i="51"/>
  <c r="S186" i="51"/>
  <c r="V186" i="51" s="1"/>
  <c r="R186" i="51"/>
  <c r="U186" i="51" s="1"/>
  <c r="D186" i="51"/>
  <c r="S185" i="51"/>
  <c r="V185" i="51" s="1"/>
  <c r="R185" i="51"/>
  <c r="U185" i="51" s="1"/>
  <c r="D185" i="51"/>
  <c r="S184" i="51"/>
  <c r="V184" i="51" s="1"/>
  <c r="R184" i="51"/>
  <c r="U184" i="51" s="1"/>
  <c r="D184" i="51"/>
  <c r="S183" i="51"/>
  <c r="V183" i="51" s="1"/>
  <c r="R183" i="51"/>
  <c r="D183" i="51"/>
  <c r="S182" i="51"/>
  <c r="V182" i="51" s="1"/>
  <c r="R182" i="51"/>
  <c r="U182" i="51" s="1"/>
  <c r="D182" i="51"/>
  <c r="S181" i="51"/>
  <c r="V181" i="51" s="1"/>
  <c r="R181" i="51"/>
  <c r="U181" i="51" s="1"/>
  <c r="D181" i="51"/>
  <c r="S180" i="51"/>
  <c r="V180" i="51" s="1"/>
  <c r="R180" i="51"/>
  <c r="U180" i="51" s="1"/>
  <c r="D180" i="51"/>
  <c r="S179" i="51"/>
  <c r="V179" i="51" s="1"/>
  <c r="R179" i="51"/>
  <c r="U179" i="51" s="1"/>
  <c r="D179" i="51"/>
  <c r="C179" i="51"/>
  <c r="A179" i="51"/>
  <c r="I312" i="65"/>
  <c r="J302" i="65"/>
  <c r="I292" i="65"/>
  <c r="J282" i="65"/>
  <c r="I272" i="65"/>
  <c r="J262" i="65"/>
  <c r="I252" i="65"/>
  <c r="J252" i="65"/>
  <c r="E242" i="65"/>
  <c r="F242" i="65"/>
  <c r="G242" i="65"/>
  <c r="J242" i="65" s="1"/>
  <c r="E232" i="65"/>
  <c r="F232" i="65"/>
  <c r="I232" i="65" s="1"/>
  <c r="G232" i="65"/>
  <c r="D242" i="65"/>
  <c r="D232" i="65"/>
  <c r="E222" i="65"/>
  <c r="F222" i="65"/>
  <c r="I222" i="65" s="1"/>
  <c r="G222" i="65"/>
  <c r="J222" i="65" s="1"/>
  <c r="D222" i="65"/>
  <c r="E208" i="65"/>
  <c r="F208" i="65"/>
  <c r="I208" i="65" s="1"/>
  <c r="G208" i="65"/>
  <c r="E198" i="65"/>
  <c r="F198" i="65"/>
  <c r="I198" i="65" s="1"/>
  <c r="G198" i="65"/>
  <c r="E188" i="65"/>
  <c r="F188" i="65"/>
  <c r="G188" i="65"/>
  <c r="J188" i="65" s="1"/>
  <c r="E178" i="65"/>
  <c r="F178" i="65"/>
  <c r="I178" i="65" s="1"/>
  <c r="G178" i="65"/>
  <c r="J178" i="65" s="1"/>
  <c r="E168" i="65"/>
  <c r="F168" i="65"/>
  <c r="G168" i="65"/>
  <c r="E158" i="65"/>
  <c r="F158" i="65"/>
  <c r="I158" i="65" s="1"/>
  <c r="G158" i="65"/>
  <c r="E148" i="65"/>
  <c r="F148" i="65"/>
  <c r="I148" i="65" s="1"/>
  <c r="G148" i="65"/>
  <c r="J148" i="65" s="1"/>
  <c r="E138" i="65"/>
  <c r="F138" i="65"/>
  <c r="I138" i="65" s="1"/>
  <c r="G138" i="65"/>
  <c r="J138" i="65" s="1"/>
  <c r="E128" i="65"/>
  <c r="F128" i="65"/>
  <c r="G128" i="65"/>
  <c r="J128" i="65" s="1"/>
  <c r="E118" i="65"/>
  <c r="F118" i="65"/>
  <c r="I118" i="65" s="1"/>
  <c r="G118" i="65"/>
  <c r="E108" i="65"/>
  <c r="F108" i="65"/>
  <c r="I108" i="65" s="1"/>
  <c r="G108" i="65"/>
  <c r="J108" i="65" s="1"/>
  <c r="E98" i="65"/>
  <c r="F98" i="65"/>
  <c r="I98" i="65" s="1"/>
  <c r="G98" i="65"/>
  <c r="J98" i="65" s="1"/>
  <c r="E88" i="65"/>
  <c r="F88" i="65"/>
  <c r="G88" i="65"/>
  <c r="J88" i="65" s="1"/>
  <c r="E78" i="65"/>
  <c r="F78" i="65"/>
  <c r="I78" i="65" s="1"/>
  <c r="G78" i="65"/>
  <c r="J78" i="65" s="1"/>
  <c r="E68" i="65"/>
  <c r="F68" i="65"/>
  <c r="I68" i="65" s="1"/>
  <c r="G68" i="65"/>
  <c r="J68" i="65" s="1"/>
  <c r="E58" i="65"/>
  <c r="F58" i="65"/>
  <c r="G58" i="65"/>
  <c r="J58" i="65" s="1"/>
  <c r="E48" i="65"/>
  <c r="F48" i="65"/>
  <c r="I48" i="65" s="1"/>
  <c r="G48" i="65"/>
  <c r="E38" i="65"/>
  <c r="F38" i="65"/>
  <c r="I38" i="65" s="1"/>
  <c r="G38" i="65"/>
  <c r="J38" i="65" s="1"/>
  <c r="E28" i="65"/>
  <c r="F28" i="65"/>
  <c r="I28" i="65" s="1"/>
  <c r="G28" i="65"/>
  <c r="J28" i="65" s="1"/>
  <c r="E18" i="65"/>
  <c r="F18" i="65"/>
  <c r="I18" i="65" s="1"/>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s="1"/>
  <c r="M321" i="65" s="1"/>
  <c r="M1813" i="53"/>
  <c r="B320" i="65" s="1"/>
  <c r="M320" i="65" s="1"/>
  <c r="M1812" i="53"/>
  <c r="B319" i="65" s="1"/>
  <c r="M319" i="65" s="1"/>
  <c r="M1811" i="53"/>
  <c r="B318" i="65" s="1"/>
  <c r="M318" i="65" s="1"/>
  <c r="M1810" i="53"/>
  <c r="B317" i="65" s="1"/>
  <c r="M317" i="65" s="1"/>
  <c r="M1809" i="53"/>
  <c r="B316" i="65" s="1"/>
  <c r="M316" i="65" s="1"/>
  <c r="M1808" i="53"/>
  <c r="B315" i="65" s="1"/>
  <c r="M315" i="65" s="1"/>
  <c r="M1807" i="53"/>
  <c r="B314" i="65" s="1"/>
  <c r="M314" i="65" s="1"/>
  <c r="M1806" i="53"/>
  <c r="B313" i="65" s="1"/>
  <c r="M313" i="65" s="1"/>
  <c r="M1805" i="53"/>
  <c r="B312" i="65" s="1"/>
  <c r="M312" i="65" s="1"/>
  <c r="L1805" i="53"/>
  <c r="M1804" i="53"/>
  <c r="B311" i="65" s="1"/>
  <c r="M311" i="65" s="1"/>
  <c r="M1803" i="53"/>
  <c r="B310" i="65" s="1"/>
  <c r="M310" i="65" s="1"/>
  <c r="M1802" i="53"/>
  <c r="B309" i="65" s="1"/>
  <c r="M309" i="65" s="1"/>
  <c r="M1801" i="53"/>
  <c r="B308" i="65" s="1"/>
  <c r="M308" i="65" s="1"/>
  <c r="M1800" i="53"/>
  <c r="B307" i="65" s="1"/>
  <c r="M307" i="65" s="1"/>
  <c r="M1799" i="53"/>
  <c r="B306" i="65" s="1"/>
  <c r="M306" i="65" s="1"/>
  <c r="M1798" i="53"/>
  <c r="B305" i="65" s="1"/>
  <c r="M305" i="65" s="1"/>
  <c r="M1797" i="53"/>
  <c r="B304" i="65" s="1"/>
  <c r="M304" i="65" s="1"/>
  <c r="M1796" i="53"/>
  <c r="B303" i="65" s="1"/>
  <c r="M303" i="65" s="1"/>
  <c r="M1795" i="53"/>
  <c r="B302" i="65" s="1"/>
  <c r="M302" i="65" s="1"/>
  <c r="L1795" i="53"/>
  <c r="A302" i="65" s="1"/>
  <c r="M1794" i="53"/>
  <c r="B301" i="65" s="1"/>
  <c r="M301" i="65" s="1"/>
  <c r="M1793" i="53"/>
  <c r="B300" i="65" s="1"/>
  <c r="M300" i="65" s="1"/>
  <c r="M1792" i="53"/>
  <c r="B299" i="65" s="1"/>
  <c r="M299" i="65" s="1"/>
  <c r="M1791" i="53"/>
  <c r="B298" i="65" s="1"/>
  <c r="M298" i="65" s="1"/>
  <c r="M1790" i="53"/>
  <c r="B297" i="65" s="1"/>
  <c r="M297" i="65" s="1"/>
  <c r="M1789" i="53"/>
  <c r="B296" i="65" s="1"/>
  <c r="M296" i="65" s="1"/>
  <c r="M1788" i="53"/>
  <c r="B295" i="65" s="1"/>
  <c r="M295" i="65" s="1"/>
  <c r="M1787" i="53"/>
  <c r="B294" i="65" s="1"/>
  <c r="M294" i="65" s="1"/>
  <c r="M1786" i="53"/>
  <c r="B293" i="65" s="1"/>
  <c r="M293" i="65" s="1"/>
  <c r="M1785" i="53"/>
  <c r="B292" i="65" s="1"/>
  <c r="M292" i="65" s="1"/>
  <c r="L1785" i="53"/>
  <c r="M1784" i="53"/>
  <c r="B291" i="65" s="1"/>
  <c r="M291" i="65" s="1"/>
  <c r="M1783" i="53"/>
  <c r="B290" i="65" s="1"/>
  <c r="M290" i="65" s="1"/>
  <c r="M1782" i="53"/>
  <c r="B289" i="65" s="1"/>
  <c r="M289" i="65" s="1"/>
  <c r="M1781" i="53"/>
  <c r="B288" i="65" s="1"/>
  <c r="M288" i="65" s="1"/>
  <c r="M1780" i="53"/>
  <c r="B287" i="65" s="1"/>
  <c r="M287" i="65" s="1"/>
  <c r="M1779" i="53"/>
  <c r="B286" i="65" s="1"/>
  <c r="M286" i="65" s="1"/>
  <c r="M1778" i="53"/>
  <c r="B285" i="65" s="1"/>
  <c r="M285" i="65" s="1"/>
  <c r="M1777" i="53"/>
  <c r="B284" i="65" s="1"/>
  <c r="M284" i="65" s="1"/>
  <c r="M1776" i="53"/>
  <c r="B283" i="65" s="1"/>
  <c r="M283" i="65" s="1"/>
  <c r="M1775" i="53"/>
  <c r="B282" i="65" s="1"/>
  <c r="M282" i="65" s="1"/>
  <c r="L1775" i="53"/>
  <c r="M1774" i="53"/>
  <c r="B281" i="65" s="1"/>
  <c r="M281" i="65" s="1"/>
  <c r="M1773" i="53"/>
  <c r="B280" i="65" s="1"/>
  <c r="M280" i="65" s="1"/>
  <c r="M1772" i="53"/>
  <c r="B279" i="65" s="1"/>
  <c r="M279" i="65" s="1"/>
  <c r="M1771" i="53"/>
  <c r="B278" i="65" s="1"/>
  <c r="M278" i="65" s="1"/>
  <c r="M1770" i="53"/>
  <c r="B277" i="65" s="1"/>
  <c r="M277" i="65" s="1"/>
  <c r="M1769" i="53"/>
  <c r="B276" i="65" s="1"/>
  <c r="M276" i="65" s="1"/>
  <c r="M1768" i="53"/>
  <c r="B275" i="65" s="1"/>
  <c r="M275" i="65" s="1"/>
  <c r="M1767" i="53"/>
  <c r="B274" i="65" s="1"/>
  <c r="M274" i="65" s="1"/>
  <c r="M1766" i="53"/>
  <c r="B273" i="65" s="1"/>
  <c r="M273" i="65" s="1"/>
  <c r="M1765" i="53"/>
  <c r="B272" i="65" s="1"/>
  <c r="M272" i="65" s="1"/>
  <c r="L1765" i="53"/>
  <c r="M1764" i="53"/>
  <c r="B271" i="65" s="1"/>
  <c r="M271" i="65" s="1"/>
  <c r="M1763" i="53"/>
  <c r="B270" i="65" s="1"/>
  <c r="M270" i="65" s="1"/>
  <c r="M1762" i="53"/>
  <c r="B269" i="65" s="1"/>
  <c r="M269" i="65" s="1"/>
  <c r="M1761" i="53"/>
  <c r="B268" i="65" s="1"/>
  <c r="M268" i="65" s="1"/>
  <c r="M1760" i="53"/>
  <c r="B267" i="65" s="1"/>
  <c r="M267" i="65" s="1"/>
  <c r="M1759" i="53"/>
  <c r="B266" i="65" s="1"/>
  <c r="M266" i="65" s="1"/>
  <c r="M1758" i="53"/>
  <c r="B265" i="65" s="1"/>
  <c r="M265" i="65" s="1"/>
  <c r="M1757" i="53"/>
  <c r="B264" i="65" s="1"/>
  <c r="M264" i="65" s="1"/>
  <c r="M1756" i="53"/>
  <c r="B263" i="65" s="1"/>
  <c r="M263" i="65" s="1"/>
  <c r="M1755" i="53"/>
  <c r="B262" i="65" s="1"/>
  <c r="M262" i="65" s="1"/>
  <c r="L1755" i="53"/>
  <c r="M1754" i="53"/>
  <c r="B261" i="65" s="1"/>
  <c r="M261" i="65" s="1"/>
  <c r="M1753" i="53"/>
  <c r="B260" i="65" s="1"/>
  <c r="M260" i="65" s="1"/>
  <c r="M1752" i="53"/>
  <c r="B259" i="65" s="1"/>
  <c r="M259" i="65" s="1"/>
  <c r="M1751" i="53"/>
  <c r="B258" i="65" s="1"/>
  <c r="M258" i="65" s="1"/>
  <c r="M1750" i="53"/>
  <c r="B257" i="65" s="1"/>
  <c r="M257" i="65" s="1"/>
  <c r="M1749" i="53"/>
  <c r="B256" i="65" s="1"/>
  <c r="M256" i="65" s="1"/>
  <c r="M1748" i="53"/>
  <c r="B255" i="65" s="1"/>
  <c r="M255" i="65" s="1"/>
  <c r="M1747" i="53"/>
  <c r="B254" i="65" s="1"/>
  <c r="M254" i="65" s="1"/>
  <c r="M1746" i="53"/>
  <c r="B253" i="65" s="1"/>
  <c r="M253" i="65" s="1"/>
  <c r="M1745" i="53"/>
  <c r="B252" i="65" s="1"/>
  <c r="M252" i="65" s="1"/>
  <c r="L1745" i="53"/>
  <c r="M1744" i="53"/>
  <c r="B251" i="65" s="1"/>
  <c r="M251" i="65" s="1"/>
  <c r="M1743" i="53"/>
  <c r="B250" i="65" s="1"/>
  <c r="M250" i="65" s="1"/>
  <c r="M1742" i="53"/>
  <c r="B249" i="65" s="1"/>
  <c r="M249" i="65" s="1"/>
  <c r="M1741" i="53"/>
  <c r="B248" i="65" s="1"/>
  <c r="M248" i="65" s="1"/>
  <c r="M1740" i="53"/>
  <c r="B247" i="65" s="1"/>
  <c r="M247" i="65" s="1"/>
  <c r="M1739" i="53"/>
  <c r="B246" i="65" s="1"/>
  <c r="M246" i="65" s="1"/>
  <c r="M1738" i="53"/>
  <c r="B245" i="65" s="1"/>
  <c r="M245" i="65" s="1"/>
  <c r="M1737" i="53"/>
  <c r="B244" i="65" s="1"/>
  <c r="M244" i="65" s="1"/>
  <c r="M1736" i="53"/>
  <c r="B243" i="65" s="1"/>
  <c r="M243" i="65" s="1"/>
  <c r="M1735" i="53"/>
  <c r="B242" i="65" s="1"/>
  <c r="M242" i="65" s="1"/>
  <c r="L1735" i="53"/>
  <c r="M1734" i="53"/>
  <c r="B241" i="65" s="1"/>
  <c r="M241" i="65" s="1"/>
  <c r="M1733" i="53"/>
  <c r="B240" i="65" s="1"/>
  <c r="M240" i="65" s="1"/>
  <c r="M1732" i="53"/>
  <c r="B239" i="65" s="1"/>
  <c r="M239" i="65" s="1"/>
  <c r="M1731" i="53"/>
  <c r="B238" i="65" s="1"/>
  <c r="M238" i="65" s="1"/>
  <c r="M1730" i="53"/>
  <c r="B237" i="65" s="1"/>
  <c r="M237" i="65" s="1"/>
  <c r="M1729" i="53"/>
  <c r="B236" i="65" s="1"/>
  <c r="M236" i="65" s="1"/>
  <c r="M1728" i="53"/>
  <c r="B235" i="65" s="1"/>
  <c r="M235" i="65" s="1"/>
  <c r="M1727" i="53"/>
  <c r="B234" i="65" s="1"/>
  <c r="M234" i="65" s="1"/>
  <c r="M1726" i="53"/>
  <c r="B233" i="65" s="1"/>
  <c r="M233" i="65" s="1"/>
  <c r="M1725" i="53"/>
  <c r="B232" i="65" s="1"/>
  <c r="M232" i="65" s="1"/>
  <c r="L1725" i="53"/>
  <c r="M1724" i="53"/>
  <c r="B231" i="65" s="1"/>
  <c r="M231" i="65" s="1"/>
  <c r="M1723" i="53"/>
  <c r="B230" i="65" s="1"/>
  <c r="M230" i="65" s="1"/>
  <c r="M1722" i="53"/>
  <c r="B229" i="65" s="1"/>
  <c r="M229" i="65" s="1"/>
  <c r="M1721" i="53"/>
  <c r="B228" i="65" s="1"/>
  <c r="M228" i="65" s="1"/>
  <c r="M1720" i="53"/>
  <c r="B227" i="65" s="1"/>
  <c r="M227" i="65" s="1"/>
  <c r="M1719" i="53"/>
  <c r="B226" i="65" s="1"/>
  <c r="M226" i="65" s="1"/>
  <c r="M1718" i="53"/>
  <c r="B225" i="65" s="1"/>
  <c r="M225" i="65" s="1"/>
  <c r="M1717" i="53"/>
  <c r="B224" i="65" s="1"/>
  <c r="M224" i="65" s="1"/>
  <c r="M1716" i="53"/>
  <c r="B223" i="65" s="1"/>
  <c r="M223" i="65" s="1"/>
  <c r="M1715" i="53"/>
  <c r="B222" i="65" s="1"/>
  <c r="M222" i="65" s="1"/>
  <c r="L1715" i="53"/>
  <c r="D185" i="49" s="1"/>
  <c r="M1714" i="53"/>
  <c r="B217" i="65" s="1"/>
  <c r="M217" i="65" s="1"/>
  <c r="M1713" i="53"/>
  <c r="B216" i="65" s="1"/>
  <c r="M216" i="65" s="1"/>
  <c r="M1712" i="53"/>
  <c r="B215" i="65" s="1"/>
  <c r="M215" i="65" s="1"/>
  <c r="M1711" i="53"/>
  <c r="B214" i="65" s="1"/>
  <c r="M214" i="65" s="1"/>
  <c r="M1710" i="53"/>
  <c r="B213" i="65" s="1"/>
  <c r="M213" i="65" s="1"/>
  <c r="M1709" i="53"/>
  <c r="B212" i="65" s="1"/>
  <c r="M212" i="65" s="1"/>
  <c r="M1708" i="53"/>
  <c r="B211" i="65" s="1"/>
  <c r="M211" i="65" s="1"/>
  <c r="M1707" i="53"/>
  <c r="B210" i="65" s="1"/>
  <c r="M210" i="65" s="1"/>
  <c r="M1706" i="53"/>
  <c r="B209" i="65" s="1"/>
  <c r="M209" i="65" s="1"/>
  <c r="M1705" i="53"/>
  <c r="B208" i="65" s="1"/>
  <c r="M208" i="65" s="1"/>
  <c r="L1705" i="53"/>
  <c r="M1704" i="53"/>
  <c r="B207" i="65" s="1"/>
  <c r="M207" i="65" s="1"/>
  <c r="M1703" i="53"/>
  <c r="B206" i="65" s="1"/>
  <c r="M206" i="65" s="1"/>
  <c r="M1702" i="53"/>
  <c r="B205" i="65" s="1"/>
  <c r="M205" i="65" s="1"/>
  <c r="M1701" i="53"/>
  <c r="B204" i="65" s="1"/>
  <c r="M204" i="65" s="1"/>
  <c r="M1700" i="53"/>
  <c r="B203" i="65" s="1"/>
  <c r="M203" i="65" s="1"/>
  <c r="M1699" i="53"/>
  <c r="B202" i="65" s="1"/>
  <c r="M202" i="65" s="1"/>
  <c r="M1698" i="53"/>
  <c r="B201" i="65" s="1"/>
  <c r="M201" i="65" s="1"/>
  <c r="M1697" i="53"/>
  <c r="B200" i="65" s="1"/>
  <c r="M200" i="65" s="1"/>
  <c r="M1696" i="53"/>
  <c r="B199" i="65" s="1"/>
  <c r="M199" i="65" s="1"/>
  <c r="M1695" i="53"/>
  <c r="B198" i="65" s="1"/>
  <c r="M198" i="65" s="1"/>
  <c r="L1695" i="53"/>
  <c r="M1694" i="53"/>
  <c r="B197" i="65" s="1"/>
  <c r="M197" i="65" s="1"/>
  <c r="M1693" i="53"/>
  <c r="B196" i="65" s="1"/>
  <c r="M196" i="65" s="1"/>
  <c r="M1692" i="53"/>
  <c r="B195" i="65" s="1"/>
  <c r="M195" i="65" s="1"/>
  <c r="M1691" i="53"/>
  <c r="B194" i="65" s="1"/>
  <c r="M194" i="65" s="1"/>
  <c r="M1690" i="53"/>
  <c r="B193" i="65" s="1"/>
  <c r="M1689" i="53"/>
  <c r="B192" i="65" s="1"/>
  <c r="M192" i="65" s="1"/>
  <c r="M1688" i="53"/>
  <c r="B191" i="65" s="1"/>
  <c r="M191" i="65" s="1"/>
  <c r="M1687" i="53"/>
  <c r="B190" i="65" s="1"/>
  <c r="M190" i="65" s="1"/>
  <c r="M1686" i="53"/>
  <c r="B189" i="65" s="1"/>
  <c r="M189" i="65" s="1"/>
  <c r="M1685" i="53"/>
  <c r="B188" i="65" s="1"/>
  <c r="M188" i="65" s="1"/>
  <c r="L1685" i="53"/>
  <c r="M1684" i="53"/>
  <c r="B187" i="65" s="1"/>
  <c r="M187" i="65" s="1"/>
  <c r="M1683" i="53"/>
  <c r="B186" i="65" s="1"/>
  <c r="M186" i="65" s="1"/>
  <c r="M1682" i="53"/>
  <c r="B185" i="65" s="1"/>
  <c r="M185" i="65" s="1"/>
  <c r="M1681" i="53"/>
  <c r="B184" i="65" s="1"/>
  <c r="M184" i="65" s="1"/>
  <c r="M1680" i="53"/>
  <c r="B183" i="65" s="1"/>
  <c r="M183" i="65" s="1"/>
  <c r="M1679" i="53"/>
  <c r="B182" i="65" s="1"/>
  <c r="M182" i="65" s="1"/>
  <c r="M1678" i="53"/>
  <c r="B181" i="65" s="1"/>
  <c r="M181" i="65" s="1"/>
  <c r="M1677" i="53"/>
  <c r="B180" i="65" s="1"/>
  <c r="M180" i="65" s="1"/>
  <c r="M1676" i="53"/>
  <c r="B179" i="65" s="1"/>
  <c r="M179" i="65" s="1"/>
  <c r="M1675" i="53"/>
  <c r="B178" i="65" s="1"/>
  <c r="M178" i="65" s="1"/>
  <c r="L1675" i="53"/>
  <c r="M1674" i="53"/>
  <c r="B177" i="65" s="1"/>
  <c r="M177" i="65" s="1"/>
  <c r="M1673" i="53"/>
  <c r="B176" i="65" s="1"/>
  <c r="M176" i="65" s="1"/>
  <c r="M1672" i="53"/>
  <c r="B175" i="65" s="1"/>
  <c r="M175" i="65" s="1"/>
  <c r="M1671" i="53"/>
  <c r="B174" i="65" s="1"/>
  <c r="M174" i="65" s="1"/>
  <c r="M1670" i="53"/>
  <c r="B173" i="65" s="1"/>
  <c r="M173" i="65" s="1"/>
  <c r="M1669" i="53"/>
  <c r="B172" i="65" s="1"/>
  <c r="M172" i="65" s="1"/>
  <c r="M1668" i="53"/>
  <c r="B171" i="65" s="1"/>
  <c r="M171" i="65" s="1"/>
  <c r="M1667" i="53"/>
  <c r="B170" i="65" s="1"/>
  <c r="M170" i="65" s="1"/>
  <c r="M1666" i="53"/>
  <c r="B169" i="65" s="1"/>
  <c r="M169" i="65" s="1"/>
  <c r="M1665" i="53"/>
  <c r="B168" i="65" s="1"/>
  <c r="M168" i="65" s="1"/>
  <c r="L1665" i="53"/>
  <c r="M1664" i="53"/>
  <c r="B167" i="65" s="1"/>
  <c r="M167" i="65" s="1"/>
  <c r="M1663" i="53"/>
  <c r="B166" i="65" s="1"/>
  <c r="M166" i="65" s="1"/>
  <c r="M1662" i="53"/>
  <c r="B165" i="65" s="1"/>
  <c r="M165" i="65" s="1"/>
  <c r="M1661" i="53"/>
  <c r="B164" i="65" s="1"/>
  <c r="M164" i="65" s="1"/>
  <c r="M1660" i="53"/>
  <c r="B163" i="65" s="1"/>
  <c r="M163" i="65" s="1"/>
  <c r="M1659" i="53"/>
  <c r="B162" i="65" s="1"/>
  <c r="M162" i="65" s="1"/>
  <c r="M1658" i="53"/>
  <c r="B161" i="65" s="1"/>
  <c r="M161" i="65" s="1"/>
  <c r="M1657" i="53"/>
  <c r="B160" i="65" s="1"/>
  <c r="M160" i="65" s="1"/>
  <c r="M1656" i="53"/>
  <c r="B159" i="65" s="1"/>
  <c r="M159" i="65" s="1"/>
  <c r="M1655" i="53"/>
  <c r="B158" i="65" s="1"/>
  <c r="M158" i="65" s="1"/>
  <c r="L1655" i="53"/>
  <c r="A158" i="65" s="1"/>
  <c r="M1654" i="53"/>
  <c r="B157" i="65" s="1"/>
  <c r="M157" i="65" s="1"/>
  <c r="M1653" i="53"/>
  <c r="B156" i="65" s="1"/>
  <c r="M156" i="65" s="1"/>
  <c r="M1652" i="53"/>
  <c r="B155" i="65" s="1"/>
  <c r="M155" i="65" s="1"/>
  <c r="M1651" i="53"/>
  <c r="B154" i="65" s="1"/>
  <c r="M154" i="65" s="1"/>
  <c r="M1650" i="53"/>
  <c r="B153" i="65" s="1"/>
  <c r="M153" i="65" s="1"/>
  <c r="M1649" i="53"/>
  <c r="B152" i="65" s="1"/>
  <c r="M152" i="65" s="1"/>
  <c r="M1648" i="53"/>
  <c r="B151" i="65" s="1"/>
  <c r="M151" i="65" s="1"/>
  <c r="M1647" i="53"/>
  <c r="B150" i="65" s="1"/>
  <c r="M150" i="65" s="1"/>
  <c r="M1646" i="53"/>
  <c r="B149" i="65" s="1"/>
  <c r="M149" i="65" s="1"/>
  <c r="M1645" i="53"/>
  <c r="B148" i="65" s="1"/>
  <c r="M148" i="65" s="1"/>
  <c r="L1645" i="53"/>
  <c r="M1644" i="53"/>
  <c r="B147" i="65" s="1"/>
  <c r="M147" i="65" s="1"/>
  <c r="M1643" i="53"/>
  <c r="B146" i="65" s="1"/>
  <c r="M146" i="65" s="1"/>
  <c r="M1642" i="53"/>
  <c r="B145" i="65" s="1"/>
  <c r="M145" i="65" s="1"/>
  <c r="M1641" i="53"/>
  <c r="B144" i="65" s="1"/>
  <c r="M144" i="65" s="1"/>
  <c r="M1640" i="53"/>
  <c r="B143" i="65" s="1"/>
  <c r="M143" i="65" s="1"/>
  <c r="M1639" i="53"/>
  <c r="B142" i="65" s="1"/>
  <c r="M142" i="65" s="1"/>
  <c r="M1638" i="53"/>
  <c r="B141" i="65" s="1"/>
  <c r="M141" i="65" s="1"/>
  <c r="M1637" i="53"/>
  <c r="B140" i="65" s="1"/>
  <c r="M140" i="65" s="1"/>
  <c r="M1636" i="53"/>
  <c r="B139" i="65" s="1"/>
  <c r="M139" i="65" s="1"/>
  <c r="M1635" i="53"/>
  <c r="B138" i="65" s="1"/>
  <c r="M138" i="65" s="1"/>
  <c r="L1635" i="53"/>
  <c r="A138" i="65" s="1"/>
  <c r="M1634" i="53"/>
  <c r="B137" i="65" s="1"/>
  <c r="M137" i="65" s="1"/>
  <c r="M1633" i="53"/>
  <c r="B136" i="65" s="1"/>
  <c r="M136" i="65" s="1"/>
  <c r="M1632" i="53"/>
  <c r="B135" i="65" s="1"/>
  <c r="M135" i="65" s="1"/>
  <c r="M1631" i="53"/>
  <c r="B134" i="65" s="1"/>
  <c r="M134" i="65" s="1"/>
  <c r="M1630" i="53"/>
  <c r="B133" i="65" s="1"/>
  <c r="M133" i="65" s="1"/>
  <c r="M1629" i="53"/>
  <c r="B132" i="65" s="1"/>
  <c r="M132" i="65" s="1"/>
  <c r="M1628" i="53"/>
  <c r="B131" i="65" s="1"/>
  <c r="M131" i="65" s="1"/>
  <c r="M1627" i="53"/>
  <c r="B130" i="65" s="1"/>
  <c r="M130" i="65" s="1"/>
  <c r="M1626" i="53"/>
  <c r="B129" i="65" s="1"/>
  <c r="M129" i="65" s="1"/>
  <c r="M1625" i="53"/>
  <c r="B128" i="65" s="1"/>
  <c r="M128" i="65" s="1"/>
  <c r="L1625" i="53"/>
  <c r="M1624" i="53"/>
  <c r="B127" i="65" s="1"/>
  <c r="M127" i="65" s="1"/>
  <c r="M1623" i="53"/>
  <c r="B126" i="65" s="1"/>
  <c r="M126" i="65" s="1"/>
  <c r="M1622" i="53"/>
  <c r="B125" i="65" s="1"/>
  <c r="M125" i="65" s="1"/>
  <c r="M1621" i="53"/>
  <c r="B124" i="65" s="1"/>
  <c r="M124" i="65" s="1"/>
  <c r="M1620" i="53"/>
  <c r="B123" i="65" s="1"/>
  <c r="M123" i="65" s="1"/>
  <c r="M1619" i="53"/>
  <c r="B122" i="65" s="1"/>
  <c r="M122" i="65" s="1"/>
  <c r="M1618" i="53"/>
  <c r="B121" i="65" s="1"/>
  <c r="M121" i="65" s="1"/>
  <c r="M1617" i="53"/>
  <c r="B120" i="65" s="1"/>
  <c r="M120" i="65" s="1"/>
  <c r="M1616" i="53"/>
  <c r="B119" i="65" s="1"/>
  <c r="M119" i="65" s="1"/>
  <c r="M1615" i="53"/>
  <c r="B118" i="65" s="1"/>
  <c r="M118" i="65" s="1"/>
  <c r="L1615" i="53"/>
  <c r="M1614" i="53"/>
  <c r="B117" i="65" s="1"/>
  <c r="M117" i="65" s="1"/>
  <c r="M1613" i="53"/>
  <c r="B116" i="65" s="1"/>
  <c r="M116" i="65" s="1"/>
  <c r="M1612" i="53"/>
  <c r="B115" i="65" s="1"/>
  <c r="M115" i="65" s="1"/>
  <c r="M1611" i="53"/>
  <c r="B114" i="65" s="1"/>
  <c r="M114" i="65" s="1"/>
  <c r="M1610" i="53"/>
  <c r="B113" i="65" s="1"/>
  <c r="M113" i="65" s="1"/>
  <c r="M1609" i="53"/>
  <c r="B112" i="65" s="1"/>
  <c r="M112" i="65" s="1"/>
  <c r="M1608" i="53"/>
  <c r="B111" i="65" s="1"/>
  <c r="M111" i="65" s="1"/>
  <c r="M1607" i="53"/>
  <c r="B110" i="65" s="1"/>
  <c r="M110" i="65" s="1"/>
  <c r="M1606" i="53"/>
  <c r="B109" i="65" s="1"/>
  <c r="M109" i="65" s="1"/>
  <c r="M1605" i="53"/>
  <c r="B108" i="65" s="1"/>
  <c r="M108" i="65" s="1"/>
  <c r="L1605" i="53"/>
  <c r="M1604" i="53"/>
  <c r="B107" i="65" s="1"/>
  <c r="M107" i="65" s="1"/>
  <c r="M1603" i="53"/>
  <c r="B106" i="65" s="1"/>
  <c r="M106" i="65" s="1"/>
  <c r="M1602" i="53"/>
  <c r="B105" i="65" s="1"/>
  <c r="M105" i="65" s="1"/>
  <c r="M1601" i="53"/>
  <c r="B104" i="65" s="1"/>
  <c r="M104" i="65" s="1"/>
  <c r="M1600" i="53"/>
  <c r="B103" i="65" s="1"/>
  <c r="M103" i="65" s="1"/>
  <c r="M1599" i="53"/>
  <c r="B102" i="65" s="1"/>
  <c r="M102" i="65" s="1"/>
  <c r="M1598" i="53"/>
  <c r="B101" i="65" s="1"/>
  <c r="M101" i="65" s="1"/>
  <c r="M1597" i="53"/>
  <c r="B100" i="65" s="1"/>
  <c r="M100" i="65" s="1"/>
  <c r="M1596" i="53"/>
  <c r="B99" i="65" s="1"/>
  <c r="M99" i="65" s="1"/>
  <c r="M1595" i="53"/>
  <c r="B98" i="65" s="1"/>
  <c r="M98" i="65" s="1"/>
  <c r="L1595" i="53"/>
  <c r="M1594" i="53"/>
  <c r="B97" i="65" s="1"/>
  <c r="M97" i="65" s="1"/>
  <c r="M1593" i="53"/>
  <c r="B96" i="65" s="1"/>
  <c r="M96" i="65" s="1"/>
  <c r="M1592" i="53"/>
  <c r="B95" i="65" s="1"/>
  <c r="M95" i="65" s="1"/>
  <c r="M1591" i="53"/>
  <c r="B94" i="65" s="1"/>
  <c r="M94" i="65" s="1"/>
  <c r="M1590" i="53"/>
  <c r="B93" i="65" s="1"/>
  <c r="M93" i="65" s="1"/>
  <c r="M1589" i="53"/>
  <c r="B92" i="65" s="1"/>
  <c r="M92" i="65" s="1"/>
  <c r="M1588" i="53"/>
  <c r="B91" i="65" s="1"/>
  <c r="M91" i="65" s="1"/>
  <c r="M1587" i="53"/>
  <c r="B90" i="65" s="1"/>
  <c r="M90" i="65" s="1"/>
  <c r="M1586" i="53"/>
  <c r="B89" i="65" s="1"/>
  <c r="M89" i="65" s="1"/>
  <c r="M1585" i="53"/>
  <c r="B88" i="65" s="1"/>
  <c r="M88" i="65" s="1"/>
  <c r="L1585" i="53"/>
  <c r="M1584" i="53"/>
  <c r="B87" i="65" s="1"/>
  <c r="M87" i="65" s="1"/>
  <c r="M1583" i="53"/>
  <c r="B86" i="65" s="1"/>
  <c r="M86" i="65" s="1"/>
  <c r="M1582" i="53"/>
  <c r="B85" i="65" s="1"/>
  <c r="M85" i="65" s="1"/>
  <c r="M1581" i="53"/>
  <c r="B84" i="65" s="1"/>
  <c r="M84" i="65" s="1"/>
  <c r="M1580" i="53"/>
  <c r="B83" i="65" s="1"/>
  <c r="M83" i="65" s="1"/>
  <c r="M1579" i="53"/>
  <c r="B82" i="65" s="1"/>
  <c r="M82" i="65" s="1"/>
  <c r="M1578" i="53"/>
  <c r="B81" i="65" s="1"/>
  <c r="M81" i="65" s="1"/>
  <c r="M1577" i="53"/>
  <c r="B80" i="65" s="1"/>
  <c r="M80" i="65" s="1"/>
  <c r="M1576" i="53"/>
  <c r="B79" i="65" s="1"/>
  <c r="M79" i="65" s="1"/>
  <c r="M1575" i="53"/>
  <c r="B78" i="65" s="1"/>
  <c r="M78" i="65" s="1"/>
  <c r="L1575" i="53"/>
  <c r="A78" i="65" s="1"/>
  <c r="M1574" i="53"/>
  <c r="B77" i="65" s="1"/>
  <c r="M77" i="65" s="1"/>
  <c r="M1573" i="53"/>
  <c r="B76" i="65" s="1"/>
  <c r="M76" i="65" s="1"/>
  <c r="M1572" i="53"/>
  <c r="B75" i="65" s="1"/>
  <c r="M75" i="65" s="1"/>
  <c r="M1571" i="53"/>
  <c r="B74" i="65" s="1"/>
  <c r="M74" i="65" s="1"/>
  <c r="M1570" i="53"/>
  <c r="B73" i="65" s="1"/>
  <c r="M73" i="65" s="1"/>
  <c r="M1569" i="53"/>
  <c r="B72" i="65" s="1"/>
  <c r="M72" i="65" s="1"/>
  <c r="M1568" i="53"/>
  <c r="B71" i="65" s="1"/>
  <c r="M71" i="65" s="1"/>
  <c r="M1567" i="53"/>
  <c r="B70" i="65" s="1"/>
  <c r="M70" i="65" s="1"/>
  <c r="M1566" i="53"/>
  <c r="B69" i="65" s="1"/>
  <c r="M69" i="65" s="1"/>
  <c r="M1565" i="53"/>
  <c r="B68" i="65" s="1"/>
  <c r="M68" i="65" s="1"/>
  <c r="L1565" i="53"/>
  <c r="M1564" i="53"/>
  <c r="B67" i="65" s="1"/>
  <c r="M67" i="65" s="1"/>
  <c r="M1563" i="53"/>
  <c r="B66" i="65" s="1"/>
  <c r="M66" i="65" s="1"/>
  <c r="M1562" i="53"/>
  <c r="B65" i="65" s="1"/>
  <c r="M65" i="65" s="1"/>
  <c r="M1561" i="53"/>
  <c r="B64" i="65" s="1"/>
  <c r="M64" i="65" s="1"/>
  <c r="M1560" i="53"/>
  <c r="B63" i="65" s="1"/>
  <c r="M63" i="65" s="1"/>
  <c r="M1559" i="53"/>
  <c r="B62" i="65" s="1"/>
  <c r="M62" i="65" s="1"/>
  <c r="M1558" i="53"/>
  <c r="B61" i="65" s="1"/>
  <c r="M61" i="65" s="1"/>
  <c r="M1557" i="53"/>
  <c r="B60" i="65" s="1"/>
  <c r="M60" i="65" s="1"/>
  <c r="M1556" i="53"/>
  <c r="B59" i="65" s="1"/>
  <c r="M59" i="65" s="1"/>
  <c r="M1555" i="53"/>
  <c r="B58" i="65" s="1"/>
  <c r="M58" i="65" s="1"/>
  <c r="L1555" i="53"/>
  <c r="A58" i="65" s="1"/>
  <c r="M1554" i="53"/>
  <c r="B57" i="65" s="1"/>
  <c r="M57" i="65" s="1"/>
  <c r="M1553" i="53"/>
  <c r="B56" i="65" s="1"/>
  <c r="M56" i="65" s="1"/>
  <c r="M1552" i="53"/>
  <c r="B55" i="65" s="1"/>
  <c r="M55" i="65" s="1"/>
  <c r="M1551" i="53"/>
  <c r="B54" i="65" s="1"/>
  <c r="M54" i="65" s="1"/>
  <c r="M1550" i="53"/>
  <c r="B53" i="65" s="1"/>
  <c r="M53" i="65" s="1"/>
  <c r="M1549" i="53"/>
  <c r="B52" i="65" s="1"/>
  <c r="M52" i="65" s="1"/>
  <c r="M1548" i="53"/>
  <c r="B51" i="65" s="1"/>
  <c r="M51" i="65" s="1"/>
  <c r="M1547" i="53"/>
  <c r="B50" i="65" s="1"/>
  <c r="M50" i="65" s="1"/>
  <c r="M1546" i="53"/>
  <c r="B49" i="65" s="1"/>
  <c r="M49" i="65" s="1"/>
  <c r="M1545" i="53"/>
  <c r="B48" i="65" s="1"/>
  <c r="M48" i="65" s="1"/>
  <c r="L1545" i="53"/>
  <c r="M1544" i="53"/>
  <c r="B47" i="65" s="1"/>
  <c r="M47" i="65" s="1"/>
  <c r="M1543" i="53"/>
  <c r="B46" i="65" s="1"/>
  <c r="M46" i="65" s="1"/>
  <c r="M1542" i="53"/>
  <c r="B45" i="65" s="1"/>
  <c r="M45" i="65" s="1"/>
  <c r="M1541" i="53"/>
  <c r="B44" i="65" s="1"/>
  <c r="M44" i="65" s="1"/>
  <c r="M1540" i="53"/>
  <c r="B43" i="65" s="1"/>
  <c r="M43" i="65" s="1"/>
  <c r="M1539" i="53"/>
  <c r="B42" i="65" s="1"/>
  <c r="M42" i="65" s="1"/>
  <c r="M1538" i="53"/>
  <c r="B41" i="65" s="1"/>
  <c r="M41" i="65" s="1"/>
  <c r="M1537" i="53"/>
  <c r="B40" i="65" s="1"/>
  <c r="M40" i="65" s="1"/>
  <c r="M1536" i="53"/>
  <c r="B39" i="65" s="1"/>
  <c r="M39" i="65" s="1"/>
  <c r="M1535" i="53"/>
  <c r="B38" i="65" s="1"/>
  <c r="M38" i="65" s="1"/>
  <c r="L1535" i="53"/>
  <c r="M1534" i="53"/>
  <c r="B37" i="65" s="1"/>
  <c r="M37" i="65" s="1"/>
  <c r="M1533" i="53"/>
  <c r="B36" i="65" s="1"/>
  <c r="M36" i="65" s="1"/>
  <c r="M1532" i="53"/>
  <c r="B35" i="65" s="1"/>
  <c r="M35" i="65" s="1"/>
  <c r="M1531" i="53"/>
  <c r="B34" i="65" s="1"/>
  <c r="M34" i="65" s="1"/>
  <c r="M1530" i="53"/>
  <c r="B33" i="65" s="1"/>
  <c r="M33" i="65" s="1"/>
  <c r="M1529" i="53"/>
  <c r="B32" i="65" s="1"/>
  <c r="M32" i="65" s="1"/>
  <c r="M1528" i="53"/>
  <c r="B31" i="65" s="1"/>
  <c r="M31" i="65" s="1"/>
  <c r="M1527" i="53"/>
  <c r="B30" i="65" s="1"/>
  <c r="M30" i="65" s="1"/>
  <c r="M1526" i="53"/>
  <c r="B29" i="65" s="1"/>
  <c r="M29" i="65" s="1"/>
  <c r="M1525" i="53"/>
  <c r="B28" i="65" s="1"/>
  <c r="M28" i="65" s="1"/>
  <c r="L1525" i="53"/>
  <c r="M1524" i="53"/>
  <c r="B27" i="65" s="1"/>
  <c r="M27" i="65" s="1"/>
  <c r="M1523" i="53"/>
  <c r="B26" i="65" s="1"/>
  <c r="M26" i="65" s="1"/>
  <c r="M1522" i="53"/>
  <c r="B25" i="65" s="1"/>
  <c r="M25" i="65" s="1"/>
  <c r="M1521" i="53"/>
  <c r="B24" i="65" s="1"/>
  <c r="M24" i="65" s="1"/>
  <c r="M1520" i="53"/>
  <c r="B23" i="65" s="1"/>
  <c r="M23" i="65" s="1"/>
  <c r="M1519" i="53"/>
  <c r="B22" i="65" s="1"/>
  <c r="M22" i="65" s="1"/>
  <c r="M1518" i="53"/>
  <c r="B21" i="65" s="1"/>
  <c r="M21" i="65" s="1"/>
  <c r="M1517" i="53"/>
  <c r="B20" i="65" s="1"/>
  <c r="M20" i="65" s="1"/>
  <c r="M1516" i="53"/>
  <c r="B19" i="65" s="1"/>
  <c r="M19" i="65" s="1"/>
  <c r="M1515" i="53"/>
  <c r="B18" i="65" s="1"/>
  <c r="M18" i="65" s="1"/>
  <c r="L1515" i="53"/>
  <c r="A18" i="65" s="1"/>
  <c r="A327" i="65" s="1"/>
  <c r="M327" i="65" s="1"/>
  <c r="M1514" i="53"/>
  <c r="K359" i="65"/>
  <c r="L359" i="65" s="1"/>
  <c r="M358" i="65"/>
  <c r="M357" i="65"/>
  <c r="M326" i="65"/>
  <c r="M322" i="65"/>
  <c r="J312" i="65"/>
  <c r="I302" i="65"/>
  <c r="J292" i="65"/>
  <c r="I282" i="65"/>
  <c r="I262" i="65"/>
  <c r="J232" i="65"/>
  <c r="H222" i="65"/>
  <c r="M221" i="65"/>
  <c r="M220" i="65"/>
  <c r="M218" i="65"/>
  <c r="J208" i="65"/>
  <c r="M193" i="65"/>
  <c r="J168" i="65"/>
  <c r="J158" i="65"/>
  <c r="J48" i="65"/>
  <c r="B15" i="65"/>
  <c r="A14" i="65"/>
  <c r="U209" i="51" l="1"/>
  <c r="T209" i="51"/>
  <c r="H188" i="65"/>
  <c r="H158" i="65"/>
  <c r="K148" i="65"/>
  <c r="K252" i="65"/>
  <c r="T192" i="51"/>
  <c r="H128" i="65"/>
  <c r="H98" i="65"/>
  <c r="H18" i="65"/>
  <c r="T200" i="51"/>
  <c r="T208" i="51"/>
  <c r="H108" i="65"/>
  <c r="W206" i="51"/>
  <c r="X206" i="51" s="1"/>
  <c r="J18" i="65"/>
  <c r="K18" i="65" s="1"/>
  <c r="W180" i="51"/>
  <c r="X180" i="51" s="1"/>
  <c r="T183" i="51"/>
  <c r="W181" i="51"/>
  <c r="X181" i="51" s="1"/>
  <c r="U183" i="51"/>
  <c r="W183" i="51" s="1"/>
  <c r="X183" i="51" s="1"/>
  <c r="K98" i="65"/>
  <c r="K28" i="65"/>
  <c r="H28" i="65"/>
  <c r="H68" i="65"/>
  <c r="H252" i="65"/>
  <c r="H302" i="65"/>
  <c r="K38" i="65"/>
  <c r="T189" i="51"/>
  <c r="W196" i="51"/>
  <c r="X196" i="51" s="1"/>
  <c r="K222" i="65"/>
  <c r="K68" i="65"/>
  <c r="T184" i="51"/>
  <c r="T196" i="51"/>
  <c r="T197" i="51"/>
  <c r="W202" i="51"/>
  <c r="X202" i="51" s="1"/>
  <c r="K232" i="65"/>
  <c r="T191" i="51"/>
  <c r="W205" i="51"/>
  <c r="X205" i="51" s="1"/>
  <c r="W182" i="51"/>
  <c r="X182" i="51" s="1"/>
  <c r="W184" i="51"/>
  <c r="X184" i="51" s="1"/>
  <c r="W203" i="51"/>
  <c r="X203" i="51" s="1"/>
  <c r="W207" i="51"/>
  <c r="X207" i="51" s="1"/>
  <c r="W199" i="51"/>
  <c r="X199" i="51" s="1"/>
  <c r="T180" i="51"/>
  <c r="T181" i="51"/>
  <c r="W186" i="51"/>
  <c r="X186" i="51" s="1"/>
  <c r="W190" i="51"/>
  <c r="X190" i="51" s="1"/>
  <c r="W192" i="51"/>
  <c r="X192" i="51" s="1"/>
  <c r="U200" i="51"/>
  <c r="W200" i="51" s="1"/>
  <c r="X200" i="51" s="1"/>
  <c r="T201" i="51"/>
  <c r="T205" i="51"/>
  <c r="T206" i="51"/>
  <c r="W201" i="51"/>
  <c r="X201" i="51" s="1"/>
  <c r="W209" i="51"/>
  <c r="T188" i="51"/>
  <c r="W191" i="51"/>
  <c r="X191" i="51" s="1"/>
  <c r="W194" i="51"/>
  <c r="X194" i="51" s="1"/>
  <c r="W195" i="51"/>
  <c r="X195" i="51" s="1"/>
  <c r="W198" i="51"/>
  <c r="X198" i="51" s="1"/>
  <c r="U208" i="51"/>
  <c r="W208" i="51" s="1"/>
  <c r="X208" i="51" s="1"/>
  <c r="D187" i="49"/>
  <c r="A242" i="65"/>
  <c r="A349" i="65" s="1"/>
  <c r="M349" i="65" s="1"/>
  <c r="A28" i="65"/>
  <c r="A328" i="65" s="1"/>
  <c r="M328" i="65" s="1"/>
  <c r="D174" i="49"/>
  <c r="A108" i="65"/>
  <c r="A336" i="65" s="1"/>
  <c r="M336" i="65" s="1"/>
  <c r="A188" i="65"/>
  <c r="A344" i="65" s="1"/>
  <c r="M344" i="65" s="1"/>
  <c r="D190" i="49"/>
  <c r="A272" i="65"/>
  <c r="A352" i="65" s="1"/>
  <c r="M352" i="65" s="1"/>
  <c r="D172" i="49"/>
  <c r="A88" i="65"/>
  <c r="D180" i="49"/>
  <c r="A168" i="65"/>
  <c r="A342" i="65" s="1"/>
  <c r="M342" i="65" s="1"/>
  <c r="A252" i="65"/>
  <c r="A350" i="65" s="1"/>
  <c r="M350" i="65" s="1"/>
  <c r="D167" i="49"/>
  <c r="A38" i="65"/>
  <c r="A329" i="65" s="1"/>
  <c r="M329" i="65" s="1"/>
  <c r="D175" i="49"/>
  <c r="A118" i="65"/>
  <c r="A337" i="65" s="1"/>
  <c r="M337" i="65" s="1"/>
  <c r="D183" i="49"/>
  <c r="A198" i="65"/>
  <c r="A345" i="65" s="1"/>
  <c r="M345" i="65" s="1"/>
  <c r="A282" i="65"/>
  <c r="A353" i="65" s="1"/>
  <c r="M353" i="65" s="1"/>
  <c r="D170" i="49"/>
  <c r="A68" i="65"/>
  <c r="A332" i="65" s="1"/>
  <c r="M332" i="65" s="1"/>
  <c r="D178" i="49"/>
  <c r="A148" i="65"/>
  <c r="A340" i="65" s="1"/>
  <c r="M340" i="65" s="1"/>
  <c r="D186" i="49"/>
  <c r="A232" i="65"/>
  <c r="A348" i="65" s="1"/>
  <c r="M348" i="65" s="1"/>
  <c r="D194" i="49"/>
  <c r="A312" i="65"/>
  <c r="A356" i="65" s="1"/>
  <c r="M356" i="65" s="1"/>
  <c r="D173" i="49"/>
  <c r="A98" i="65"/>
  <c r="A335" i="65" s="1"/>
  <c r="M335" i="65" s="1"/>
  <c r="D181" i="49"/>
  <c r="A178" i="65"/>
  <c r="A343" i="65" s="1"/>
  <c r="M343" i="65" s="1"/>
  <c r="D189" i="49"/>
  <c r="A262" i="65"/>
  <c r="A351" i="65" s="1"/>
  <c r="M351" i="65" s="1"/>
  <c r="D168" i="49"/>
  <c r="A48" i="65"/>
  <c r="A330" i="65" s="1"/>
  <c r="M330" i="65" s="1"/>
  <c r="D176" i="49"/>
  <c r="A128" i="65"/>
  <c r="A338" i="65" s="1"/>
  <c r="M338" i="65" s="1"/>
  <c r="A208" i="65"/>
  <c r="A346" i="65" s="1"/>
  <c r="M346" i="65" s="1"/>
  <c r="D192" i="49"/>
  <c r="A292" i="65"/>
  <c r="A354" i="65" s="1"/>
  <c r="M354" i="65" s="1"/>
  <c r="A334" i="65"/>
  <c r="M334" i="65" s="1"/>
  <c r="D191" i="49"/>
  <c r="D182" i="49"/>
  <c r="A331" i="65"/>
  <c r="M331" i="65" s="1"/>
  <c r="D169" i="49"/>
  <c r="D177" i="49"/>
  <c r="A339" i="65"/>
  <c r="M339" i="65" s="1"/>
  <c r="A333" i="65"/>
  <c r="M333" i="65" s="1"/>
  <c r="D171" i="49"/>
  <c r="A341" i="65"/>
  <c r="M341" i="65" s="1"/>
  <c r="D179" i="49"/>
  <c r="D193" i="49"/>
  <c r="A355" i="65"/>
  <c r="M355" i="65" s="1"/>
  <c r="D165" i="49"/>
  <c r="D188" i="49"/>
  <c r="D184" i="49"/>
  <c r="W179" i="51"/>
  <c r="X179" i="51" s="1"/>
  <c r="W204" i="51"/>
  <c r="X204" i="51" s="1"/>
  <c r="W187" i="51"/>
  <c r="X187" i="51" s="1"/>
  <c r="W185" i="51"/>
  <c r="X185" i="51" s="1"/>
  <c r="W189" i="51"/>
  <c r="X189" i="51" s="1"/>
  <c r="W188" i="51"/>
  <c r="X188" i="51" s="1"/>
  <c r="W193" i="51"/>
  <c r="X193" i="51" s="1"/>
  <c r="W197" i="51"/>
  <c r="X197" i="51" s="1"/>
  <c r="T179" i="51"/>
  <c r="T187" i="51"/>
  <c r="T195" i="51"/>
  <c r="T204" i="51"/>
  <c r="T186" i="51"/>
  <c r="T194" i="51"/>
  <c r="T203" i="51"/>
  <c r="T185" i="51"/>
  <c r="T193" i="51"/>
  <c r="T202" i="51"/>
  <c r="T182" i="51"/>
  <c r="T190" i="51"/>
  <c r="T198" i="51"/>
  <c r="T199" i="51"/>
  <c r="T207" i="51"/>
  <c r="A222" i="65"/>
  <c r="A347" i="65" s="1"/>
  <c r="M347" i="65" s="1"/>
  <c r="D166" i="49"/>
  <c r="K302" i="65"/>
  <c r="K282" i="65"/>
  <c r="K178" i="65"/>
  <c r="K48" i="65"/>
  <c r="H148" i="65"/>
  <c r="K208" i="65"/>
  <c r="H78" i="65"/>
  <c r="K138" i="65"/>
  <c r="H232" i="65"/>
  <c r="K78" i="65"/>
  <c r="H48" i="65"/>
  <c r="K108" i="65"/>
  <c r="H282" i="65"/>
  <c r="K312" i="65"/>
  <c r="K158" i="65"/>
  <c r="H38" i="65"/>
  <c r="I128" i="65"/>
  <c r="K128" i="65" s="1"/>
  <c r="H178" i="65"/>
  <c r="I188" i="65"/>
  <c r="K188" i="65" s="1"/>
  <c r="H208" i="65"/>
  <c r="H312" i="65"/>
  <c r="I88" i="65"/>
  <c r="K88" i="65" s="1"/>
  <c r="H88" i="65"/>
  <c r="I168" i="65"/>
  <c r="K168" i="65" s="1"/>
  <c r="H168" i="65"/>
  <c r="H198" i="65"/>
  <c r="J198" i="65"/>
  <c r="K198" i="65" s="1"/>
  <c r="I58" i="65"/>
  <c r="K58" i="65" s="1"/>
  <c r="H58" i="65"/>
  <c r="I242" i="65"/>
  <c r="K242" i="65" s="1"/>
  <c r="H242" i="65"/>
  <c r="J272" i="65"/>
  <c r="K272" i="65" s="1"/>
  <c r="H272" i="65"/>
  <c r="J118" i="65"/>
  <c r="K118" i="65" s="1"/>
  <c r="H118" i="65"/>
  <c r="K262" i="65"/>
  <c r="K292" i="65"/>
  <c r="H138" i="65"/>
  <c r="H292" i="65"/>
  <c r="O187" i="51"/>
  <c r="G194" i="51"/>
  <c r="L198" i="51"/>
  <c r="Q203" i="51"/>
  <c r="F179" i="51"/>
  <c r="M183" i="51"/>
  <c r="K185" i="51"/>
  <c r="N191" i="51"/>
  <c r="P192" i="51"/>
  <c r="M197" i="51"/>
  <c r="N202" i="51"/>
  <c r="H206" i="51"/>
  <c r="K189" i="51"/>
  <c r="Q190" i="51"/>
  <c r="P196" i="51"/>
  <c r="M205" i="51"/>
  <c r="Q186" i="51"/>
  <c r="L207" i="51"/>
  <c r="I188" i="51"/>
  <c r="G195" i="51"/>
  <c r="P200" i="51"/>
  <c r="M208" i="51"/>
  <c r="F180" i="51"/>
  <c r="N187" i="51"/>
  <c r="F198" i="51"/>
  <c r="K199" i="51"/>
  <c r="H203" i="51"/>
  <c r="O183" i="51"/>
  <c r="P184" i="51"/>
  <c r="F185" i="51"/>
  <c r="Q192" i="51"/>
  <c r="G193" i="51"/>
  <c r="H197" i="51"/>
  <c r="Q206" i="51"/>
  <c r="H182" i="51"/>
  <c r="L189" i="51"/>
  <c r="Q196" i="51"/>
  <c r="G201" i="51"/>
  <c r="H205" i="51"/>
  <c r="Q207" i="51"/>
  <c r="I181" i="51"/>
  <c r="L188" i="51"/>
  <c r="Q200" i="51"/>
  <c r="G204" i="51"/>
  <c r="L208" i="51"/>
  <c r="G187" i="51"/>
  <c r="J194" i="51"/>
  <c r="O198" i="51"/>
  <c r="I203" i="51"/>
  <c r="Q179" i="51"/>
  <c r="N183" i="51"/>
  <c r="H185" i="51"/>
  <c r="K191" i="51"/>
  <c r="H192" i="51"/>
  <c r="F197" i="51"/>
  <c r="K202" i="51"/>
  <c r="P206" i="51"/>
  <c r="H189" i="51"/>
  <c r="M190" i="51"/>
  <c r="H196" i="51"/>
  <c r="F205" i="51"/>
  <c r="M186" i="51"/>
  <c r="H207" i="51"/>
  <c r="K188" i="51"/>
  <c r="J195" i="51"/>
  <c r="H200" i="51"/>
  <c r="F208" i="51"/>
  <c r="J180" i="51"/>
  <c r="M187" i="51"/>
  <c r="M198" i="51"/>
  <c r="N199" i="51"/>
  <c r="L203" i="51"/>
  <c r="G183" i="51"/>
  <c r="N184" i="51"/>
  <c r="P185" i="51"/>
  <c r="I192" i="51"/>
  <c r="J193" i="51"/>
  <c r="O197" i="51"/>
  <c r="I196" i="51"/>
  <c r="I207" i="51"/>
  <c r="J204" i="51"/>
  <c r="O180" i="51"/>
  <c r="L187" i="51"/>
  <c r="L194" i="51"/>
  <c r="Q199" i="51"/>
  <c r="G203" i="51"/>
  <c r="M179" i="51"/>
  <c r="K184" i="51"/>
  <c r="I185" i="51"/>
  <c r="L191" i="51"/>
  <c r="M193" i="51"/>
  <c r="N197" i="51"/>
  <c r="H202" i="51"/>
  <c r="K182" i="51"/>
  <c r="I189" i="51"/>
  <c r="N190" i="51"/>
  <c r="M201" i="51"/>
  <c r="N205" i="51"/>
  <c r="N186" i="51"/>
  <c r="G181" i="51"/>
  <c r="F188" i="51"/>
  <c r="P195" i="51"/>
  <c r="M204" i="51"/>
  <c r="N208" i="51"/>
  <c r="M180" i="51"/>
  <c r="F194" i="51"/>
  <c r="K198" i="51"/>
  <c r="H199" i="51"/>
  <c r="O179" i="51"/>
  <c r="L183" i="51"/>
  <c r="M184" i="51"/>
  <c r="Q191" i="51"/>
  <c r="G192" i="51"/>
  <c r="P193" i="51"/>
  <c r="Q202" i="51"/>
  <c r="G206" i="51"/>
  <c r="P182" i="51"/>
  <c r="O190" i="51"/>
  <c r="G196" i="51"/>
  <c r="H201" i="51"/>
  <c r="O186" i="51"/>
  <c r="G207" i="51"/>
  <c r="F181" i="51"/>
  <c r="F195" i="51"/>
  <c r="G200" i="51"/>
  <c r="L204" i="51"/>
  <c r="G180" i="51"/>
  <c r="P187" i="51"/>
  <c r="O194" i="51"/>
  <c r="I199" i="51"/>
  <c r="J203" i="51"/>
  <c r="N179" i="51"/>
  <c r="I184" i="51"/>
  <c r="J185" i="51"/>
  <c r="H191" i="51"/>
  <c r="F193" i="51"/>
  <c r="K197" i="51"/>
  <c r="P202" i="51"/>
  <c r="F182" i="51"/>
  <c r="J189" i="51"/>
  <c r="P190" i="51"/>
  <c r="F201" i="51"/>
  <c r="K205" i="51"/>
  <c r="P186" i="51"/>
  <c r="O181" i="51"/>
  <c r="J188" i="51"/>
  <c r="O195" i="51"/>
  <c r="F204" i="51"/>
  <c r="K208" i="51"/>
  <c r="Q180" i="51"/>
  <c r="M194" i="51"/>
  <c r="N198" i="51"/>
  <c r="L199" i="51"/>
  <c r="G179" i="51"/>
  <c r="P183" i="51"/>
  <c r="L184" i="51"/>
  <c r="I191" i="51"/>
  <c r="J192" i="51"/>
  <c r="O193" i="51"/>
  <c r="I202" i="51"/>
  <c r="J206" i="51"/>
  <c r="I182" i="51"/>
  <c r="G190" i="51"/>
  <c r="J196" i="51"/>
  <c r="O201" i="51"/>
  <c r="G186" i="51"/>
  <c r="J207" i="51"/>
  <c r="Q181" i="51"/>
  <c r="M195" i="51"/>
  <c r="J200" i="51"/>
  <c r="O204" i="51"/>
  <c r="P189" i="51"/>
  <c r="J201" i="51"/>
  <c r="H188" i="51"/>
  <c r="P180" i="51"/>
  <c r="I187" i="51"/>
  <c r="Q198" i="51"/>
  <c r="G199" i="51"/>
  <c r="P203" i="51"/>
  <c r="K183" i="51"/>
  <c r="J184" i="51"/>
  <c r="Q185" i="51"/>
  <c r="M192" i="51"/>
  <c r="N193" i="51"/>
  <c r="P197" i="51"/>
  <c r="M206" i="51"/>
  <c r="Q182" i="51"/>
  <c r="Q189" i="51"/>
  <c r="M196" i="51"/>
  <c r="N201" i="51"/>
  <c r="P205" i="51"/>
  <c r="M207" i="51"/>
  <c r="M181" i="51"/>
  <c r="M188" i="51"/>
  <c r="M200" i="51"/>
  <c r="N204" i="51"/>
  <c r="P208" i="51"/>
  <c r="J187" i="51"/>
  <c r="K194" i="51"/>
  <c r="P198" i="51"/>
  <c r="F203" i="51"/>
  <c r="L179" i="51"/>
  <c r="I183" i="51"/>
  <c r="O185" i="51"/>
  <c r="G191" i="51"/>
  <c r="L192" i="51"/>
  <c r="Q197" i="51"/>
  <c r="G202" i="51"/>
  <c r="L206" i="51"/>
  <c r="O189" i="51"/>
  <c r="H190" i="51"/>
  <c r="L196" i="51"/>
  <c r="Q205" i="51"/>
  <c r="H186" i="51"/>
  <c r="P207" i="51"/>
  <c r="G188" i="51"/>
  <c r="K195" i="51"/>
  <c r="L200" i="51"/>
  <c r="Q208" i="51"/>
  <c r="N180" i="51"/>
  <c r="H187" i="51"/>
  <c r="I198" i="51"/>
  <c r="J199" i="51"/>
  <c r="O203" i="51"/>
  <c r="J183" i="51"/>
  <c r="F184" i="51"/>
  <c r="L185" i="51"/>
  <c r="F192" i="51"/>
  <c r="K193" i="51"/>
  <c r="L197" i="51"/>
  <c r="F206" i="51"/>
  <c r="M182" i="51"/>
  <c r="F189" i="51"/>
  <c r="F196" i="51"/>
  <c r="K201" i="51"/>
  <c r="L205" i="51"/>
  <c r="F207" i="51"/>
  <c r="N181" i="51"/>
  <c r="Q188" i="51"/>
  <c r="F200" i="51"/>
  <c r="K204" i="51"/>
  <c r="H208" i="51"/>
  <c r="K187" i="51"/>
  <c r="N194" i="51"/>
  <c r="H198" i="51"/>
  <c r="M203" i="51"/>
  <c r="P179" i="51"/>
  <c r="H183" i="51"/>
  <c r="G185" i="51"/>
  <c r="J191" i="51"/>
  <c r="O192" i="51"/>
  <c r="I197" i="51"/>
  <c r="J202" i="51"/>
  <c r="O206" i="51"/>
  <c r="G189" i="51"/>
  <c r="L190" i="51"/>
  <c r="O196" i="51"/>
  <c r="I205" i="51"/>
  <c r="L186" i="51"/>
  <c r="O207" i="51"/>
  <c r="O188" i="51"/>
  <c r="N195" i="51"/>
  <c r="O200" i="51"/>
  <c r="I208" i="51"/>
  <c r="L182" i="51"/>
  <c r="O205" i="51"/>
  <c r="I200" i="51"/>
  <c r="H180" i="51"/>
  <c r="Q194" i="51"/>
  <c r="G198" i="51"/>
  <c r="P199" i="51"/>
  <c r="K179" i="51"/>
  <c r="F183" i="51"/>
  <c r="Q184" i="51"/>
  <c r="M191" i="51"/>
  <c r="N192" i="51"/>
  <c r="H193" i="51"/>
  <c r="M202" i="51"/>
  <c r="N206" i="51"/>
  <c r="N182" i="51"/>
  <c r="K190" i="51"/>
  <c r="N196" i="51"/>
  <c r="P201" i="51"/>
  <c r="K186" i="51"/>
  <c r="N207" i="51"/>
  <c r="P181" i="51"/>
  <c r="Q195" i="51"/>
  <c r="N200" i="51"/>
  <c r="P204" i="51"/>
  <c r="I180" i="51"/>
  <c r="Q187" i="51"/>
  <c r="P194" i="51"/>
  <c r="F199" i="51"/>
  <c r="K203" i="51"/>
  <c r="I179" i="51"/>
  <c r="O184" i="51"/>
  <c r="N185" i="51"/>
  <c r="P191" i="51"/>
  <c r="Q193" i="51"/>
  <c r="G197" i="51"/>
  <c r="L202" i="51"/>
  <c r="O182" i="51"/>
  <c r="N189" i="51"/>
  <c r="J190" i="51"/>
  <c r="Q201" i="51"/>
  <c r="G205" i="51"/>
  <c r="J186" i="51"/>
  <c r="K181" i="51"/>
  <c r="N188" i="51"/>
  <c r="H195" i="51"/>
  <c r="Q204" i="51"/>
  <c r="G208" i="51"/>
  <c r="L180" i="51"/>
  <c r="I194" i="51"/>
  <c r="J198" i="51"/>
  <c r="O199" i="51"/>
  <c r="J179" i="51"/>
  <c r="Q183" i="51"/>
  <c r="H184" i="51"/>
  <c r="F191" i="51"/>
  <c r="K192" i="51"/>
  <c r="L193" i="51"/>
  <c r="F202" i="51"/>
  <c r="K206" i="51"/>
  <c r="J182" i="51"/>
  <c r="F190" i="51"/>
  <c r="K196" i="51"/>
  <c r="L201" i="51"/>
  <c r="F186" i="51"/>
  <c r="K207" i="51"/>
  <c r="L181" i="51"/>
  <c r="I195" i="51"/>
  <c r="K200" i="51"/>
  <c r="H204" i="51"/>
  <c r="K180" i="51"/>
  <c r="F187" i="51"/>
  <c r="H194" i="51"/>
  <c r="M199" i="51"/>
  <c r="N203" i="51"/>
  <c r="H179" i="51"/>
  <c r="G184" i="51"/>
  <c r="M185" i="51"/>
  <c r="O191" i="51"/>
  <c r="I193" i="51"/>
  <c r="J197" i="51"/>
  <c r="O202" i="51"/>
  <c r="G182" i="51"/>
  <c r="M189" i="51"/>
  <c r="I190" i="51"/>
  <c r="I201" i="51"/>
  <c r="J205" i="51"/>
  <c r="I186" i="51"/>
  <c r="H181" i="51"/>
  <c r="P188" i="51"/>
  <c r="L195" i="51"/>
  <c r="I204" i="51"/>
  <c r="J208" i="51"/>
  <c r="I206" i="51"/>
  <c r="J181" i="51"/>
  <c r="O208" i="51"/>
  <c r="X209" i="51" l="1"/>
  <c r="F29" i="41" l="1"/>
  <c r="F30" i="41"/>
  <c r="F42" i="41"/>
  <c r="F43" i="41"/>
  <c r="F28" i="41"/>
  <c r="F19" i="41"/>
  <c r="F20" i="41"/>
  <c r="F21" i="41"/>
  <c r="F22" i="41"/>
  <c r="F23" i="41"/>
  <c r="F24" i="41"/>
  <c r="F25" i="41"/>
  <c r="F17" i="41"/>
  <c r="F18" i="41"/>
  <c r="D38" i="55" l="1"/>
  <c r="E38" i="55"/>
  <c r="F38" i="55"/>
  <c r="I38" i="55" s="1"/>
  <c r="G38" i="55"/>
  <c r="D48" i="55"/>
  <c r="E48" i="55"/>
  <c r="F48" i="55"/>
  <c r="G48" i="55"/>
  <c r="J48" i="55" s="1"/>
  <c r="G228" i="3"/>
  <c r="G227" i="3"/>
  <c r="H38" i="55" l="1"/>
  <c r="H48" i="55"/>
  <c r="I48" i="55"/>
  <c r="K48" i="55" s="1"/>
  <c r="J38" i="55"/>
  <c r="K38" i="55" s="1"/>
  <c r="E28" i="55"/>
  <c r="E58" i="55"/>
  <c r="E68" i="55"/>
  <c r="E78" i="55"/>
  <c r="E88" i="55"/>
  <c r="E98" i="55"/>
  <c r="E108" i="55"/>
  <c r="E118" i="55"/>
  <c r="E128" i="55"/>
  <c r="E138" i="55"/>
  <c r="E148" i="55"/>
  <c r="E158" i="55"/>
  <c r="E168" i="55"/>
  <c r="E178" i="55"/>
  <c r="E188" i="55"/>
  <c r="E198" i="55"/>
  <c r="E208" i="55"/>
  <c r="E222" i="55"/>
  <c r="E232" i="55"/>
  <c r="E242" i="55"/>
  <c r="E252" i="55"/>
  <c r="E262" i="55"/>
  <c r="E272" i="55"/>
  <c r="E282" i="55"/>
  <c r="E292" i="55"/>
  <c r="E302" i="55"/>
  <c r="E312" i="55"/>
  <c r="G165" i="3"/>
  <c r="G166" i="3"/>
  <c r="G16" i="3"/>
  <c r="G17" i="3"/>
  <c r="G18" i="3"/>
  <c r="G19" i="3"/>
  <c r="G20" i="3"/>
  <c r="G21" i="3"/>
  <c r="G22" i="3"/>
  <c r="G23" i="3"/>
  <c r="G29" i="3"/>
  <c r="G30" i="3"/>
  <c r="G31" i="3"/>
  <c r="G32" i="3"/>
  <c r="G33" i="3"/>
  <c r="G34" i="3"/>
  <c r="G35" i="3"/>
  <c r="G36" i="3"/>
  <c r="G37" i="3"/>
  <c r="G38" i="3"/>
  <c r="G44" i="3"/>
  <c r="G45" i="3"/>
  <c r="G46" i="3"/>
  <c r="G47" i="3"/>
  <c r="G48" i="3"/>
  <c r="G49" i="3"/>
  <c r="G50" i="3"/>
  <c r="G63" i="3"/>
  <c r="G75" i="3"/>
  <c r="G76" i="3"/>
  <c r="G77" i="3"/>
  <c r="G78" i="3"/>
  <c r="G79" i="3"/>
  <c r="G80" i="3"/>
  <c r="G81" i="3"/>
  <c r="G82" i="3"/>
  <c r="G83" i="3"/>
  <c r="G89" i="3"/>
  <c r="G90" i="3"/>
  <c r="G91" i="3"/>
  <c r="G92" i="3"/>
  <c r="G93" i="3"/>
  <c r="G94" i="3"/>
  <c r="G95" i="3"/>
  <c r="G96" i="3"/>
  <c r="G97" i="3"/>
  <c r="G98" i="3"/>
  <c r="G104" i="3"/>
  <c r="G105" i="3"/>
  <c r="G106" i="3"/>
  <c r="G107" i="3"/>
  <c r="G108" i="3"/>
  <c r="G109" i="3"/>
  <c r="G110" i="3"/>
  <c r="G111" i="3"/>
  <c r="G112" i="3"/>
  <c r="G113" i="3"/>
  <c r="G119" i="3"/>
  <c r="G120" i="3"/>
  <c r="G121" i="3"/>
  <c r="G122" i="3"/>
  <c r="G123" i="3"/>
  <c r="G124" i="3"/>
  <c r="G125" i="3"/>
  <c r="G126" i="3"/>
  <c r="G127" i="3"/>
  <c r="G128" i="3"/>
  <c r="G134" i="3"/>
  <c r="G167" i="3"/>
  <c r="G15" i="3"/>
  <c r="A324" i="59" l="1"/>
  <c r="C327" i="59"/>
  <c r="C327" i="61" s="1"/>
  <c r="C327" i="62" s="1"/>
  <c r="C327" i="65" s="1"/>
  <c r="M358" i="59" l="1"/>
  <c r="M357" i="59"/>
  <c r="M326" i="59"/>
  <c r="M324" i="59"/>
  <c r="M322" i="59"/>
  <c r="M221" i="59"/>
  <c r="M220" i="59"/>
  <c r="M218" i="59"/>
  <c r="M358" i="62"/>
  <c r="M357" i="62"/>
  <c r="M326" i="62"/>
  <c r="M322" i="62"/>
  <c r="M221" i="62"/>
  <c r="M220" i="62"/>
  <c r="M218" i="62"/>
  <c r="M358" i="61"/>
  <c r="M357" i="61"/>
  <c r="M326" i="61"/>
  <c r="M322" i="61"/>
  <c r="M221" i="61"/>
  <c r="M220" i="61"/>
  <c r="M218" i="61"/>
  <c r="M358" i="60"/>
  <c r="M357" i="60"/>
  <c r="M326" i="60"/>
  <c r="M322" i="60"/>
  <c r="M221" i="60"/>
  <c r="M220" i="60"/>
  <c r="M218" i="60"/>
  <c r="M357" i="55"/>
  <c r="M358" i="55"/>
  <c r="M326" i="55"/>
  <c r="M323" i="55"/>
  <c r="M324" i="55"/>
  <c r="M325" i="55"/>
  <c r="M322" i="55"/>
  <c r="M221" i="55"/>
  <c r="M220" i="55"/>
  <c r="M218" i="55"/>
  <c r="K359" i="59"/>
  <c r="L359" i="59" s="1"/>
  <c r="A324" i="60"/>
  <c r="A324" i="61" s="1"/>
  <c r="A324" i="62" s="1"/>
  <c r="A325" i="60"/>
  <c r="A325" i="61" s="1"/>
  <c r="A325" i="62" s="1"/>
  <c r="A323" i="59"/>
  <c r="A323" i="60" s="1"/>
  <c r="A323" i="62" l="1"/>
  <c r="M325" i="62"/>
  <c r="A325" i="65"/>
  <c r="M325" i="65" s="1"/>
  <c r="M324" i="62"/>
  <c r="A324" i="65"/>
  <c r="M324" i="65" s="1"/>
  <c r="M325" i="59"/>
  <c r="M323" i="60"/>
  <c r="M325" i="60"/>
  <c r="M323" i="59"/>
  <c r="M325" i="61"/>
  <c r="M324" i="61"/>
  <c r="M324" i="60"/>
  <c r="M10" i="53"/>
  <c r="M11" i="53"/>
  <c r="M12" i="53"/>
  <c r="M13" i="53"/>
  <c r="B21" i="55" s="1"/>
  <c r="M21" i="55" s="1"/>
  <c r="M14" i="53"/>
  <c r="B22" i="55" s="1"/>
  <c r="M22" i="55" s="1"/>
  <c r="M15" i="53"/>
  <c r="B23" i="55" s="1"/>
  <c r="M23" i="55" s="1"/>
  <c r="M16" i="53"/>
  <c r="B24" i="55" s="1"/>
  <c r="M24" i="55" s="1"/>
  <c r="M17" i="53"/>
  <c r="B25" i="55" s="1"/>
  <c r="M25" i="55" s="1"/>
  <c r="M18" i="53"/>
  <c r="B26" i="55" s="1"/>
  <c r="M26" i="55" s="1"/>
  <c r="M19" i="53"/>
  <c r="B27" i="55" s="1"/>
  <c r="M27" i="55" s="1"/>
  <c r="M20" i="53"/>
  <c r="M21" i="53"/>
  <c r="M22" i="53"/>
  <c r="B30" i="55" s="1"/>
  <c r="M23" i="53"/>
  <c r="M24" i="53"/>
  <c r="B32" i="55" s="1"/>
  <c r="M32" i="55" s="1"/>
  <c r="M25" i="53"/>
  <c r="B33" i="55" s="1"/>
  <c r="M33" i="55" s="1"/>
  <c r="M26" i="53"/>
  <c r="B34" i="55" s="1"/>
  <c r="M34" i="55" s="1"/>
  <c r="M27" i="53"/>
  <c r="B35" i="55" s="1"/>
  <c r="M35" i="55" s="1"/>
  <c r="M28" i="53"/>
  <c r="B36" i="55" s="1"/>
  <c r="M36" i="55" s="1"/>
  <c r="M29" i="53"/>
  <c r="B37" i="55" s="1"/>
  <c r="M37" i="55" s="1"/>
  <c r="M30" i="53"/>
  <c r="B38" i="55" s="1"/>
  <c r="M38" i="55" s="1"/>
  <c r="M31" i="53"/>
  <c r="B39" i="55" s="1"/>
  <c r="M39" i="55" s="1"/>
  <c r="M32" i="53"/>
  <c r="B40" i="55" s="1"/>
  <c r="M40" i="55" s="1"/>
  <c r="M33" i="53"/>
  <c r="B41" i="55" s="1"/>
  <c r="M34" i="53"/>
  <c r="M42" i="55" s="1"/>
  <c r="M35" i="53"/>
  <c r="B43" i="55" s="1"/>
  <c r="M43" i="55" s="1"/>
  <c r="M36" i="53"/>
  <c r="B44" i="55" s="1"/>
  <c r="M44" i="55" s="1"/>
  <c r="M37" i="53"/>
  <c r="B45" i="55" s="1"/>
  <c r="M45" i="55" s="1"/>
  <c r="M38" i="53"/>
  <c r="B46" i="55" s="1"/>
  <c r="M46" i="55" s="1"/>
  <c r="M39" i="53"/>
  <c r="B47" i="55" s="1"/>
  <c r="M47" i="55" s="1"/>
  <c r="M40" i="53"/>
  <c r="B48" i="55" s="1"/>
  <c r="M48" i="55" s="1"/>
  <c r="M41" i="53"/>
  <c r="B49" i="55" s="1"/>
  <c r="M49" i="55" s="1"/>
  <c r="M42" i="53"/>
  <c r="B50" i="55" s="1"/>
  <c r="M50" i="55" s="1"/>
  <c r="M43" i="53"/>
  <c r="B51" i="55" s="1"/>
  <c r="M51" i="55" s="1"/>
  <c r="M44" i="53"/>
  <c r="B52" i="55" s="1"/>
  <c r="M52" i="55" s="1"/>
  <c r="M45" i="53"/>
  <c r="B53" i="55" s="1"/>
  <c r="M53" i="55" s="1"/>
  <c r="M46" i="53"/>
  <c r="B54" i="55" s="1"/>
  <c r="M54" i="55" s="1"/>
  <c r="M47" i="53"/>
  <c r="B55" i="55" s="1"/>
  <c r="M55" i="55" s="1"/>
  <c r="M48" i="53"/>
  <c r="B56" i="55" s="1"/>
  <c r="M56" i="55" s="1"/>
  <c r="M49" i="53"/>
  <c r="B57" i="55" s="1"/>
  <c r="M57" i="55" s="1"/>
  <c r="M50" i="53"/>
  <c r="M51" i="53"/>
  <c r="M52" i="53"/>
  <c r="M53" i="53"/>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M211" i="53"/>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B19" i="59" s="1"/>
  <c r="M19" i="59" s="1"/>
  <c r="M313" i="53"/>
  <c r="B20" i="59" s="1"/>
  <c r="M20" i="59" s="1"/>
  <c r="M314" i="53"/>
  <c r="B21" i="59" s="1"/>
  <c r="M21" i="59" s="1"/>
  <c r="M315" i="53"/>
  <c r="B22" i="59" s="1"/>
  <c r="M22" i="59" s="1"/>
  <c r="M316" i="53"/>
  <c r="B23" i="59" s="1"/>
  <c r="M23" i="59" s="1"/>
  <c r="M317" i="53"/>
  <c r="B24" i="59" s="1"/>
  <c r="M24" i="59" s="1"/>
  <c r="M318" i="53"/>
  <c r="B25" i="59" s="1"/>
  <c r="M25" i="59" s="1"/>
  <c r="M319" i="53"/>
  <c r="B26" i="59" s="1"/>
  <c r="M26" i="59" s="1"/>
  <c r="M320" i="53"/>
  <c r="B27" i="59" s="1"/>
  <c r="M27" i="59" s="1"/>
  <c r="M321" i="53"/>
  <c r="B28" i="59" s="1"/>
  <c r="M28" i="59" s="1"/>
  <c r="M322" i="53"/>
  <c r="B29" i="59" s="1"/>
  <c r="M29" i="59" s="1"/>
  <c r="M323" i="53"/>
  <c r="B30" i="59" s="1"/>
  <c r="M30" i="59" s="1"/>
  <c r="M324" i="53"/>
  <c r="B31" i="59" s="1"/>
  <c r="M31" i="59" s="1"/>
  <c r="M325" i="53"/>
  <c r="B32" i="59" s="1"/>
  <c r="M32" i="59" s="1"/>
  <c r="M326" i="53"/>
  <c r="B33" i="59" s="1"/>
  <c r="M33" i="59" s="1"/>
  <c r="M327" i="53"/>
  <c r="B34" i="59" s="1"/>
  <c r="M34" i="59" s="1"/>
  <c r="M328" i="53"/>
  <c r="B35" i="59" s="1"/>
  <c r="M35" i="59" s="1"/>
  <c r="M329" i="53"/>
  <c r="B36" i="59" s="1"/>
  <c r="M36" i="59" s="1"/>
  <c r="M330" i="53"/>
  <c r="B37" i="59" s="1"/>
  <c r="M37" i="59" s="1"/>
  <c r="M331" i="53"/>
  <c r="B38" i="59" s="1"/>
  <c r="M38" i="59" s="1"/>
  <c r="M332" i="53"/>
  <c r="B39" i="59" s="1"/>
  <c r="M39" i="59" s="1"/>
  <c r="M333" i="53"/>
  <c r="M334" i="53"/>
  <c r="M335" i="53"/>
  <c r="B42" i="59" s="1"/>
  <c r="M42" i="59" s="1"/>
  <c r="M336" i="53"/>
  <c r="B43" i="59" s="1"/>
  <c r="M43" i="59" s="1"/>
  <c r="M337" i="53"/>
  <c r="B44" i="59" s="1"/>
  <c r="M44" i="59" s="1"/>
  <c r="M338" i="53"/>
  <c r="B45" i="59" s="1"/>
  <c r="M45" i="59" s="1"/>
  <c r="M339" i="53"/>
  <c r="B46" i="59" s="1"/>
  <c r="M46" i="59" s="1"/>
  <c r="M340" i="53"/>
  <c r="B47" i="59" s="1"/>
  <c r="M47" i="59" s="1"/>
  <c r="M341" i="53"/>
  <c r="B48" i="59" s="1"/>
  <c r="M48" i="59" s="1"/>
  <c r="M342" i="53"/>
  <c r="B49" i="59" s="1"/>
  <c r="M49" i="59" s="1"/>
  <c r="M343" i="53"/>
  <c r="B50" i="59" s="1"/>
  <c r="M50" i="59" s="1"/>
  <c r="M344" i="53"/>
  <c r="B51" i="59" s="1"/>
  <c r="M51" i="59" s="1"/>
  <c r="M345" i="53"/>
  <c r="B52" i="59" s="1"/>
  <c r="M52" i="59" s="1"/>
  <c r="M346" i="53"/>
  <c r="B53" i="59" s="1"/>
  <c r="M53" i="59" s="1"/>
  <c r="M347" i="53"/>
  <c r="B54" i="59" s="1"/>
  <c r="M54" i="59" s="1"/>
  <c r="M348" i="53"/>
  <c r="B55" i="59" s="1"/>
  <c r="M55" i="59" s="1"/>
  <c r="M349" i="53"/>
  <c r="B56" i="59" s="1"/>
  <c r="M56" i="59" s="1"/>
  <c r="M350" i="53"/>
  <c r="B57" i="59" s="1"/>
  <c r="M57" i="59" s="1"/>
  <c r="M351" i="53"/>
  <c r="B58" i="59" s="1"/>
  <c r="M58" i="59" s="1"/>
  <c r="M352" i="53"/>
  <c r="B59" i="59" s="1"/>
  <c r="M59" i="59" s="1"/>
  <c r="M353" i="53"/>
  <c r="B60" i="59" s="1"/>
  <c r="M60" i="59" s="1"/>
  <c r="M354" i="53"/>
  <c r="B61" i="59" s="1"/>
  <c r="M61" i="59" s="1"/>
  <c r="M355" i="53"/>
  <c r="B62" i="59" s="1"/>
  <c r="M62" i="59" s="1"/>
  <c r="M356" i="53"/>
  <c r="B63" i="59" s="1"/>
  <c r="M63" i="59" s="1"/>
  <c r="M357" i="53"/>
  <c r="B64" i="59" s="1"/>
  <c r="M64" i="59" s="1"/>
  <c r="M358" i="53"/>
  <c r="B65" i="59" s="1"/>
  <c r="M65" i="59" s="1"/>
  <c r="M359" i="53"/>
  <c r="B66" i="59" s="1"/>
  <c r="M66" i="59" s="1"/>
  <c r="M360" i="53"/>
  <c r="B67" i="59" s="1"/>
  <c r="M67" i="59" s="1"/>
  <c r="M361" i="53"/>
  <c r="B68" i="59" s="1"/>
  <c r="M68" i="59" s="1"/>
  <c r="M362" i="53"/>
  <c r="B69" i="59" s="1"/>
  <c r="M69" i="59" s="1"/>
  <c r="M363" i="53"/>
  <c r="B70" i="59" s="1"/>
  <c r="M70" i="59" s="1"/>
  <c r="M364" i="53"/>
  <c r="B71" i="59" s="1"/>
  <c r="M71" i="59" s="1"/>
  <c r="M365" i="53"/>
  <c r="B72" i="59" s="1"/>
  <c r="M72" i="59" s="1"/>
  <c r="M366" i="53"/>
  <c r="B73" i="59" s="1"/>
  <c r="M73" i="59" s="1"/>
  <c r="M367" i="53"/>
  <c r="B74" i="59" s="1"/>
  <c r="M74" i="59" s="1"/>
  <c r="M368" i="53"/>
  <c r="B75" i="59" s="1"/>
  <c r="M75" i="59" s="1"/>
  <c r="M369" i="53"/>
  <c r="B76" i="59" s="1"/>
  <c r="M76" i="59" s="1"/>
  <c r="M370" i="53"/>
  <c r="B77" i="59" s="1"/>
  <c r="M77" i="59" s="1"/>
  <c r="M371" i="53"/>
  <c r="B78" i="59" s="1"/>
  <c r="M78" i="59" s="1"/>
  <c r="M372" i="53"/>
  <c r="B79" i="59" s="1"/>
  <c r="M79" i="59" s="1"/>
  <c r="M373" i="53"/>
  <c r="B80" i="59" s="1"/>
  <c r="M80" i="59" s="1"/>
  <c r="M374" i="53"/>
  <c r="B81" i="59" s="1"/>
  <c r="M81" i="59" s="1"/>
  <c r="M375" i="53"/>
  <c r="B82" i="59" s="1"/>
  <c r="M82" i="59" s="1"/>
  <c r="M376" i="53"/>
  <c r="B83" i="59" s="1"/>
  <c r="M83" i="59" s="1"/>
  <c r="M377" i="53"/>
  <c r="B84" i="59" s="1"/>
  <c r="M84" i="59" s="1"/>
  <c r="M378" i="53"/>
  <c r="B85" i="59" s="1"/>
  <c r="M85" i="59" s="1"/>
  <c r="M379" i="53"/>
  <c r="B86" i="59" s="1"/>
  <c r="M86" i="59" s="1"/>
  <c r="M380" i="53"/>
  <c r="B87" i="59" s="1"/>
  <c r="M87" i="59" s="1"/>
  <c r="M381" i="53"/>
  <c r="B88" i="59" s="1"/>
  <c r="M88" i="59" s="1"/>
  <c r="M382" i="53"/>
  <c r="B89" i="59" s="1"/>
  <c r="M89" i="59" s="1"/>
  <c r="M383" i="53"/>
  <c r="B90" i="59" s="1"/>
  <c r="M90" i="59" s="1"/>
  <c r="M384" i="53"/>
  <c r="B91" i="59" s="1"/>
  <c r="M91" i="59" s="1"/>
  <c r="M385" i="53"/>
  <c r="B92" i="59" s="1"/>
  <c r="M92" i="59" s="1"/>
  <c r="M386" i="53"/>
  <c r="B93" i="59" s="1"/>
  <c r="M93" i="59" s="1"/>
  <c r="M387" i="53"/>
  <c r="B94" i="59" s="1"/>
  <c r="M94" i="59" s="1"/>
  <c r="M388" i="53"/>
  <c r="B95" i="59" s="1"/>
  <c r="M95" i="59" s="1"/>
  <c r="M389" i="53"/>
  <c r="B96" i="59" s="1"/>
  <c r="M96" i="59" s="1"/>
  <c r="M390" i="53"/>
  <c r="B97" i="59" s="1"/>
  <c r="M97" i="59" s="1"/>
  <c r="M391" i="53"/>
  <c r="B98" i="59" s="1"/>
  <c r="M98" i="59" s="1"/>
  <c r="M392" i="53"/>
  <c r="B99" i="59" s="1"/>
  <c r="M99" i="59" s="1"/>
  <c r="M393" i="53"/>
  <c r="B100" i="59" s="1"/>
  <c r="M100" i="59" s="1"/>
  <c r="M394" i="53"/>
  <c r="B101" i="59" s="1"/>
  <c r="M101" i="59" s="1"/>
  <c r="M395" i="53"/>
  <c r="B102" i="59" s="1"/>
  <c r="M102" i="59" s="1"/>
  <c r="M396" i="53"/>
  <c r="B103" i="59" s="1"/>
  <c r="M103" i="59" s="1"/>
  <c r="M397" i="53"/>
  <c r="B104" i="59" s="1"/>
  <c r="M104" i="59" s="1"/>
  <c r="M398" i="53"/>
  <c r="B105" i="59" s="1"/>
  <c r="M105" i="59" s="1"/>
  <c r="M399" i="53"/>
  <c r="B106" i="59" s="1"/>
  <c r="M106" i="59" s="1"/>
  <c r="M400" i="53"/>
  <c r="B107" i="59" s="1"/>
  <c r="M107" i="59" s="1"/>
  <c r="M401" i="53"/>
  <c r="B108" i="59" s="1"/>
  <c r="M108" i="59" s="1"/>
  <c r="M402" i="53"/>
  <c r="B109" i="59" s="1"/>
  <c r="M109" i="59" s="1"/>
  <c r="M403" i="53"/>
  <c r="B110" i="59" s="1"/>
  <c r="M110" i="59" s="1"/>
  <c r="M404" i="53"/>
  <c r="B111" i="59" s="1"/>
  <c r="M111" i="59" s="1"/>
  <c r="M405" i="53"/>
  <c r="B112" i="59" s="1"/>
  <c r="M112" i="59" s="1"/>
  <c r="M406" i="53"/>
  <c r="B113" i="59" s="1"/>
  <c r="M113" i="59" s="1"/>
  <c r="M407" i="53"/>
  <c r="B114" i="59" s="1"/>
  <c r="M114" i="59" s="1"/>
  <c r="M408" i="53"/>
  <c r="B115" i="59" s="1"/>
  <c r="M115" i="59" s="1"/>
  <c r="M409" i="53"/>
  <c r="B116" i="59" s="1"/>
  <c r="M116" i="59" s="1"/>
  <c r="M410" i="53"/>
  <c r="B117" i="59" s="1"/>
  <c r="M117" i="59" s="1"/>
  <c r="M411" i="53"/>
  <c r="B118" i="59" s="1"/>
  <c r="M118" i="59" s="1"/>
  <c r="M412" i="53"/>
  <c r="B119" i="59" s="1"/>
  <c r="M119" i="59" s="1"/>
  <c r="M413" i="53"/>
  <c r="B120" i="59" s="1"/>
  <c r="M120" i="59" s="1"/>
  <c r="M414" i="53"/>
  <c r="B121" i="59" s="1"/>
  <c r="M121" i="59" s="1"/>
  <c r="M415" i="53"/>
  <c r="B122" i="59" s="1"/>
  <c r="M122" i="59" s="1"/>
  <c r="M416" i="53"/>
  <c r="B123" i="59" s="1"/>
  <c r="M123" i="59" s="1"/>
  <c r="M417" i="53"/>
  <c r="B124" i="59" s="1"/>
  <c r="M124" i="59" s="1"/>
  <c r="M418" i="53"/>
  <c r="B125" i="59" s="1"/>
  <c r="M125" i="59" s="1"/>
  <c r="M419" i="53"/>
  <c r="B126" i="59" s="1"/>
  <c r="M126" i="59" s="1"/>
  <c r="M420" i="53"/>
  <c r="B127" i="59" s="1"/>
  <c r="M127" i="59" s="1"/>
  <c r="M421" i="53"/>
  <c r="B128" i="59" s="1"/>
  <c r="M128" i="59" s="1"/>
  <c r="M422" i="53"/>
  <c r="B129" i="59" s="1"/>
  <c r="M129" i="59" s="1"/>
  <c r="M423" i="53"/>
  <c r="B130" i="59" s="1"/>
  <c r="M130" i="59" s="1"/>
  <c r="M424" i="53"/>
  <c r="B131" i="59" s="1"/>
  <c r="M131" i="59" s="1"/>
  <c r="M425" i="53"/>
  <c r="B132" i="59" s="1"/>
  <c r="M132" i="59" s="1"/>
  <c r="M426" i="53"/>
  <c r="B133" i="59" s="1"/>
  <c r="M133" i="59" s="1"/>
  <c r="M427" i="53"/>
  <c r="B134" i="59" s="1"/>
  <c r="M134" i="59" s="1"/>
  <c r="M428" i="53"/>
  <c r="B135" i="59" s="1"/>
  <c r="M135" i="59" s="1"/>
  <c r="M429" i="53"/>
  <c r="B136" i="59" s="1"/>
  <c r="M136" i="59" s="1"/>
  <c r="M430" i="53"/>
  <c r="B137" i="59" s="1"/>
  <c r="M137" i="59" s="1"/>
  <c r="M431" i="53"/>
  <c r="B138" i="59" s="1"/>
  <c r="M138" i="59" s="1"/>
  <c r="M432" i="53"/>
  <c r="B139" i="59" s="1"/>
  <c r="M139" i="59" s="1"/>
  <c r="M433" i="53"/>
  <c r="B140" i="59" s="1"/>
  <c r="M140" i="59" s="1"/>
  <c r="M434" i="53"/>
  <c r="B141" i="59" s="1"/>
  <c r="M141" i="59" s="1"/>
  <c r="M435" i="53"/>
  <c r="B142" i="59" s="1"/>
  <c r="M142" i="59" s="1"/>
  <c r="M436" i="53"/>
  <c r="B143" i="59" s="1"/>
  <c r="M143" i="59" s="1"/>
  <c r="M437" i="53"/>
  <c r="B144" i="59" s="1"/>
  <c r="M144" i="59" s="1"/>
  <c r="M438" i="53"/>
  <c r="B145" i="59" s="1"/>
  <c r="M145" i="59" s="1"/>
  <c r="M439" i="53"/>
  <c r="B146" i="59" s="1"/>
  <c r="M146" i="59" s="1"/>
  <c r="M440" i="53"/>
  <c r="B147" i="59" s="1"/>
  <c r="M147" i="59" s="1"/>
  <c r="M441" i="53"/>
  <c r="B148" i="59" s="1"/>
  <c r="M148" i="59" s="1"/>
  <c r="M442" i="53"/>
  <c r="B149" i="59" s="1"/>
  <c r="M149" i="59" s="1"/>
  <c r="M443" i="53"/>
  <c r="B150" i="59" s="1"/>
  <c r="M150" i="59" s="1"/>
  <c r="M444" i="53"/>
  <c r="B151" i="59" s="1"/>
  <c r="M151" i="59" s="1"/>
  <c r="M445" i="53"/>
  <c r="B152" i="59" s="1"/>
  <c r="M152" i="59" s="1"/>
  <c r="M446" i="53"/>
  <c r="B153" i="59" s="1"/>
  <c r="M153" i="59" s="1"/>
  <c r="M447" i="53"/>
  <c r="B154" i="59" s="1"/>
  <c r="M154" i="59" s="1"/>
  <c r="M448" i="53"/>
  <c r="B155" i="59" s="1"/>
  <c r="M155" i="59" s="1"/>
  <c r="M449" i="53"/>
  <c r="B156" i="59" s="1"/>
  <c r="M156" i="59" s="1"/>
  <c r="M450" i="53"/>
  <c r="B157" i="59" s="1"/>
  <c r="M157" i="59" s="1"/>
  <c r="M451" i="53"/>
  <c r="B158" i="59" s="1"/>
  <c r="M158" i="59" s="1"/>
  <c r="M452" i="53"/>
  <c r="B159" i="59" s="1"/>
  <c r="M159" i="59" s="1"/>
  <c r="M453" i="53"/>
  <c r="B160" i="59" s="1"/>
  <c r="M160" i="59" s="1"/>
  <c r="M454" i="53"/>
  <c r="B161" i="59" s="1"/>
  <c r="M161" i="59" s="1"/>
  <c r="M455" i="53"/>
  <c r="B162" i="59" s="1"/>
  <c r="M162" i="59" s="1"/>
  <c r="M456" i="53"/>
  <c r="B163" i="59" s="1"/>
  <c r="M163" i="59" s="1"/>
  <c r="M457" i="53"/>
  <c r="B164" i="59" s="1"/>
  <c r="M164" i="59" s="1"/>
  <c r="M458" i="53"/>
  <c r="B165" i="59" s="1"/>
  <c r="M165" i="59" s="1"/>
  <c r="M459" i="53"/>
  <c r="B166" i="59" s="1"/>
  <c r="M166" i="59" s="1"/>
  <c r="M460" i="53"/>
  <c r="B167" i="59" s="1"/>
  <c r="M167" i="59" s="1"/>
  <c r="M461" i="53"/>
  <c r="B168" i="59" s="1"/>
  <c r="M168" i="59" s="1"/>
  <c r="M462" i="53"/>
  <c r="B169" i="59" s="1"/>
  <c r="M169" i="59" s="1"/>
  <c r="M463" i="53"/>
  <c r="B170" i="59" s="1"/>
  <c r="M170" i="59" s="1"/>
  <c r="M464" i="53"/>
  <c r="B171" i="59" s="1"/>
  <c r="M171" i="59" s="1"/>
  <c r="M465" i="53"/>
  <c r="B172" i="59" s="1"/>
  <c r="M172" i="59" s="1"/>
  <c r="M466" i="53"/>
  <c r="B173" i="59" s="1"/>
  <c r="M173" i="59" s="1"/>
  <c r="M467" i="53"/>
  <c r="B174" i="59" s="1"/>
  <c r="M174" i="59" s="1"/>
  <c r="M468" i="53"/>
  <c r="B175" i="59" s="1"/>
  <c r="M175" i="59" s="1"/>
  <c r="M469" i="53"/>
  <c r="B176" i="59" s="1"/>
  <c r="M176" i="59" s="1"/>
  <c r="M470" i="53"/>
  <c r="B177" i="59" s="1"/>
  <c r="M177" i="59" s="1"/>
  <c r="M471" i="53"/>
  <c r="B178" i="59" s="1"/>
  <c r="M178" i="59" s="1"/>
  <c r="M472" i="53"/>
  <c r="B179" i="59" s="1"/>
  <c r="M179" i="59" s="1"/>
  <c r="M473" i="53"/>
  <c r="B180" i="59" s="1"/>
  <c r="M180" i="59" s="1"/>
  <c r="M474" i="53"/>
  <c r="B181" i="59" s="1"/>
  <c r="M181" i="59" s="1"/>
  <c r="M475" i="53"/>
  <c r="B182" i="59" s="1"/>
  <c r="M182" i="59" s="1"/>
  <c r="M476" i="53"/>
  <c r="B183" i="59" s="1"/>
  <c r="M183" i="59" s="1"/>
  <c r="M477" i="53"/>
  <c r="B184" i="59" s="1"/>
  <c r="M184" i="59" s="1"/>
  <c r="M478" i="53"/>
  <c r="B185" i="59" s="1"/>
  <c r="M185" i="59" s="1"/>
  <c r="M479" i="53"/>
  <c r="B186" i="59" s="1"/>
  <c r="M186" i="59" s="1"/>
  <c r="M480" i="53"/>
  <c r="B187" i="59" s="1"/>
  <c r="M187" i="59" s="1"/>
  <c r="M481" i="53"/>
  <c r="B188" i="59" s="1"/>
  <c r="M188" i="59" s="1"/>
  <c r="M482" i="53"/>
  <c r="B189" i="59" s="1"/>
  <c r="M189" i="59" s="1"/>
  <c r="M483" i="53"/>
  <c r="B190" i="59" s="1"/>
  <c r="M190" i="59" s="1"/>
  <c r="M484" i="53"/>
  <c r="B191" i="59" s="1"/>
  <c r="M191" i="59" s="1"/>
  <c r="M485" i="53"/>
  <c r="B192" i="59" s="1"/>
  <c r="M192" i="59" s="1"/>
  <c r="M486" i="53"/>
  <c r="B193" i="59" s="1"/>
  <c r="M193" i="59" s="1"/>
  <c r="M487" i="53"/>
  <c r="B194" i="59" s="1"/>
  <c r="M194" i="59" s="1"/>
  <c r="M488" i="53"/>
  <c r="B195" i="59" s="1"/>
  <c r="M195" i="59" s="1"/>
  <c r="M489" i="53"/>
  <c r="B196" i="59" s="1"/>
  <c r="M196" i="59" s="1"/>
  <c r="M490" i="53"/>
  <c r="B197" i="59" s="1"/>
  <c r="M197" i="59" s="1"/>
  <c r="M491" i="53"/>
  <c r="B198" i="59" s="1"/>
  <c r="M198" i="59" s="1"/>
  <c r="M492" i="53"/>
  <c r="B199" i="59" s="1"/>
  <c r="M199" i="59" s="1"/>
  <c r="M493" i="53"/>
  <c r="B200" i="59" s="1"/>
  <c r="M200" i="59" s="1"/>
  <c r="M494" i="53"/>
  <c r="B201" i="59" s="1"/>
  <c r="M201" i="59" s="1"/>
  <c r="M495" i="53"/>
  <c r="B202" i="59" s="1"/>
  <c r="M202" i="59" s="1"/>
  <c r="M496" i="53"/>
  <c r="B203" i="59" s="1"/>
  <c r="M203" i="59" s="1"/>
  <c r="M497" i="53"/>
  <c r="B204" i="59" s="1"/>
  <c r="M204" i="59" s="1"/>
  <c r="M498" i="53"/>
  <c r="B205" i="59" s="1"/>
  <c r="M205" i="59" s="1"/>
  <c r="M499" i="53"/>
  <c r="B206" i="59" s="1"/>
  <c r="M206" i="59" s="1"/>
  <c r="M500" i="53"/>
  <c r="B207" i="59" s="1"/>
  <c r="M207" i="59" s="1"/>
  <c r="M501" i="53"/>
  <c r="B208" i="59" s="1"/>
  <c r="M208" i="59" s="1"/>
  <c r="M502" i="53"/>
  <c r="B209" i="59" s="1"/>
  <c r="M209" i="59" s="1"/>
  <c r="M503" i="53"/>
  <c r="B210" i="59" s="1"/>
  <c r="M210" i="59" s="1"/>
  <c r="M504" i="53"/>
  <c r="B211" i="59" s="1"/>
  <c r="M211" i="59" s="1"/>
  <c r="M505" i="53"/>
  <c r="B212" i="59" s="1"/>
  <c r="M212" i="59" s="1"/>
  <c r="M506" i="53"/>
  <c r="B213" i="59" s="1"/>
  <c r="M213" i="59" s="1"/>
  <c r="M507" i="53"/>
  <c r="B214" i="59" s="1"/>
  <c r="M214" i="59" s="1"/>
  <c r="M508" i="53"/>
  <c r="B215" i="59" s="1"/>
  <c r="M215" i="59" s="1"/>
  <c r="M509" i="53"/>
  <c r="B216" i="59" s="1"/>
  <c r="M216" i="59" s="1"/>
  <c r="M510" i="53"/>
  <c r="B217" i="59" s="1"/>
  <c r="M217" i="59" s="1"/>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M615" i="53"/>
  <c r="M616" i="53"/>
  <c r="M617" i="53"/>
  <c r="M618" i="53"/>
  <c r="M619" i="53"/>
  <c r="M620" i="53"/>
  <c r="M621" i="53"/>
  <c r="M622" i="53"/>
  <c r="M623" i="53"/>
  <c r="M624" i="53"/>
  <c r="M625" i="53"/>
  <c r="M626" i="53"/>
  <c r="M627" i="53"/>
  <c r="M628" i="53"/>
  <c r="M629" i="53"/>
  <c r="M630" i="53"/>
  <c r="M631" i="53"/>
  <c r="M632" i="53"/>
  <c r="M633" i="53"/>
  <c r="M634" i="53"/>
  <c r="M635" i="53"/>
  <c r="M636" i="53"/>
  <c r="M637" i="53"/>
  <c r="M638" i="53"/>
  <c r="M639" i="53"/>
  <c r="M640" i="53"/>
  <c r="M641" i="53"/>
  <c r="M642" i="53"/>
  <c r="M643" i="53"/>
  <c r="M644" i="53"/>
  <c r="M645" i="53"/>
  <c r="M646" i="53"/>
  <c r="B52" i="60" s="1"/>
  <c r="M647" i="53"/>
  <c r="M648" i="53"/>
  <c r="M649" i="53"/>
  <c r="M650" i="53"/>
  <c r="M651" i="53"/>
  <c r="M652" i="53"/>
  <c r="M653" i="53"/>
  <c r="M654" i="53"/>
  <c r="M655" i="53"/>
  <c r="M656" i="53"/>
  <c r="M657" i="53"/>
  <c r="M658" i="53"/>
  <c r="M659" i="53"/>
  <c r="M660" i="53"/>
  <c r="M661" i="53"/>
  <c r="M662" i="53"/>
  <c r="M663" i="53"/>
  <c r="M664" i="53"/>
  <c r="M665" i="53"/>
  <c r="M666" i="53"/>
  <c r="M667" i="53"/>
  <c r="M668" i="53"/>
  <c r="M669" i="53"/>
  <c r="M670" i="53"/>
  <c r="M671" i="53"/>
  <c r="M672" i="53"/>
  <c r="M673" i="53"/>
  <c r="M674" i="53"/>
  <c r="M675" i="53"/>
  <c r="M676" i="53"/>
  <c r="M677" i="53"/>
  <c r="M678" i="53"/>
  <c r="M679" i="53"/>
  <c r="M680" i="53"/>
  <c r="M681" i="53"/>
  <c r="M682" i="53"/>
  <c r="M683" i="53"/>
  <c r="M684" i="53"/>
  <c r="M685" i="53"/>
  <c r="M686" i="53"/>
  <c r="M687" i="53"/>
  <c r="M688" i="53"/>
  <c r="M689" i="53"/>
  <c r="M690" i="53"/>
  <c r="M691" i="53"/>
  <c r="M692" i="53"/>
  <c r="M693" i="53"/>
  <c r="M694" i="53"/>
  <c r="M695" i="53"/>
  <c r="M696" i="53"/>
  <c r="M697" i="53"/>
  <c r="M698" i="53"/>
  <c r="M699" i="53"/>
  <c r="M700" i="53"/>
  <c r="M701" i="53"/>
  <c r="M702" i="53"/>
  <c r="M703" i="53"/>
  <c r="M704" i="53"/>
  <c r="M705" i="53"/>
  <c r="M706" i="53"/>
  <c r="M707" i="53"/>
  <c r="M708" i="53"/>
  <c r="M709" i="53"/>
  <c r="M710" i="53"/>
  <c r="M711" i="53"/>
  <c r="M712" i="53"/>
  <c r="M713" i="53"/>
  <c r="M714" i="53"/>
  <c r="M715" i="53"/>
  <c r="M716" i="53"/>
  <c r="M717" i="53"/>
  <c r="M718" i="53"/>
  <c r="M719" i="53"/>
  <c r="M720" i="53"/>
  <c r="M721" i="53"/>
  <c r="M722" i="53"/>
  <c r="M723" i="53"/>
  <c r="M724" i="53"/>
  <c r="M725" i="53"/>
  <c r="M726" i="53"/>
  <c r="M727" i="53"/>
  <c r="M728" i="53"/>
  <c r="M729" i="53"/>
  <c r="M730" i="53"/>
  <c r="M731" i="53"/>
  <c r="M732" i="53"/>
  <c r="M733" i="53"/>
  <c r="M734" i="53"/>
  <c r="M735" i="53"/>
  <c r="M736" i="53"/>
  <c r="M737" i="53"/>
  <c r="M738" i="53"/>
  <c r="M739" i="53"/>
  <c r="M740" i="53"/>
  <c r="M741" i="53"/>
  <c r="M742" i="53"/>
  <c r="M743" i="53"/>
  <c r="M744" i="53"/>
  <c r="M745" i="53"/>
  <c r="M746" i="53"/>
  <c r="M747" i="53"/>
  <c r="M748" i="53"/>
  <c r="M749" i="53"/>
  <c r="M750" i="53"/>
  <c r="M751" i="53"/>
  <c r="M752" i="53"/>
  <c r="M753" i="53"/>
  <c r="M754" i="53"/>
  <c r="M755" i="53"/>
  <c r="M756" i="53"/>
  <c r="M757" i="53"/>
  <c r="M758" i="53"/>
  <c r="M759" i="53"/>
  <c r="M760" i="53"/>
  <c r="M761" i="53"/>
  <c r="M762" i="53"/>
  <c r="M763" i="53"/>
  <c r="M764" i="53"/>
  <c r="M765" i="53"/>
  <c r="M766" i="53"/>
  <c r="M767" i="53"/>
  <c r="M768" i="53"/>
  <c r="M769" i="53"/>
  <c r="M770" i="53"/>
  <c r="M771" i="53"/>
  <c r="M772" i="53"/>
  <c r="M773" i="53"/>
  <c r="M774" i="53"/>
  <c r="M775" i="53"/>
  <c r="M776" i="53"/>
  <c r="M777" i="53"/>
  <c r="M778" i="53"/>
  <c r="M779" i="53"/>
  <c r="M780" i="53"/>
  <c r="M781" i="53"/>
  <c r="M782" i="53"/>
  <c r="M783" i="53"/>
  <c r="M784" i="53"/>
  <c r="M785" i="53"/>
  <c r="M786" i="53"/>
  <c r="M787" i="53"/>
  <c r="M788" i="53"/>
  <c r="M789" i="53"/>
  <c r="M790" i="53"/>
  <c r="M791" i="53"/>
  <c r="M792" i="53"/>
  <c r="M793" i="53"/>
  <c r="M794" i="53"/>
  <c r="M795" i="53"/>
  <c r="M796" i="53"/>
  <c r="M797" i="53"/>
  <c r="M798" i="53"/>
  <c r="M799" i="53"/>
  <c r="M800" i="53"/>
  <c r="M801" i="53"/>
  <c r="M802" i="53"/>
  <c r="M803" i="53"/>
  <c r="M804" i="53"/>
  <c r="M805" i="53"/>
  <c r="M806" i="53"/>
  <c r="M807" i="53"/>
  <c r="M808" i="53"/>
  <c r="M809" i="53"/>
  <c r="M810" i="53"/>
  <c r="M811" i="53"/>
  <c r="M812" i="53"/>
  <c r="M813" i="53"/>
  <c r="M814" i="53"/>
  <c r="M815" i="53"/>
  <c r="M816" i="53"/>
  <c r="M817" i="53"/>
  <c r="M818" i="53"/>
  <c r="M819" i="53"/>
  <c r="M820" i="53"/>
  <c r="M821" i="53"/>
  <c r="M822" i="53"/>
  <c r="M823" i="53"/>
  <c r="M824" i="53"/>
  <c r="M825" i="53"/>
  <c r="M826" i="53"/>
  <c r="M827" i="53"/>
  <c r="M828" i="53"/>
  <c r="M829" i="53"/>
  <c r="M830" i="53"/>
  <c r="M831" i="53"/>
  <c r="M832" i="53"/>
  <c r="M833" i="53"/>
  <c r="M834" i="53"/>
  <c r="M835" i="53"/>
  <c r="M836" i="53"/>
  <c r="M837" i="53"/>
  <c r="M838" i="53"/>
  <c r="M839" i="53"/>
  <c r="M840" i="53"/>
  <c r="M841" i="53"/>
  <c r="M842" i="53"/>
  <c r="M843" i="53"/>
  <c r="M844" i="53"/>
  <c r="M845" i="53"/>
  <c r="M846" i="53"/>
  <c r="M847" i="53"/>
  <c r="M848" i="53"/>
  <c r="M849" i="53"/>
  <c r="M850" i="53"/>
  <c r="M851" i="53"/>
  <c r="M852" i="53"/>
  <c r="M853" i="53"/>
  <c r="M854" i="53"/>
  <c r="M855" i="53"/>
  <c r="M856" i="53"/>
  <c r="M857" i="53"/>
  <c r="M858" i="53"/>
  <c r="M859" i="53"/>
  <c r="M860" i="53"/>
  <c r="M861" i="53"/>
  <c r="M862" i="53"/>
  <c r="M863" i="53"/>
  <c r="M864" i="53"/>
  <c r="M865" i="53"/>
  <c r="M866" i="53"/>
  <c r="M867" i="53"/>
  <c r="M868" i="53"/>
  <c r="M869" i="53"/>
  <c r="M870" i="53"/>
  <c r="M871" i="53"/>
  <c r="M872" i="53"/>
  <c r="M873" i="53"/>
  <c r="M874" i="53"/>
  <c r="M875" i="53"/>
  <c r="M876" i="53"/>
  <c r="M877" i="53"/>
  <c r="M878" i="53"/>
  <c r="M879" i="53"/>
  <c r="M880" i="53"/>
  <c r="M881" i="53"/>
  <c r="M882" i="53"/>
  <c r="M883" i="53"/>
  <c r="M884" i="53"/>
  <c r="M885" i="53"/>
  <c r="M886" i="53"/>
  <c r="M887" i="53"/>
  <c r="M888" i="53"/>
  <c r="M889" i="53"/>
  <c r="M890" i="53"/>
  <c r="M891" i="53"/>
  <c r="M892" i="53"/>
  <c r="M893" i="53"/>
  <c r="M894" i="53"/>
  <c r="M895" i="53"/>
  <c r="M896" i="53"/>
  <c r="M897" i="53"/>
  <c r="M898" i="53"/>
  <c r="M899" i="53"/>
  <c r="M900" i="53"/>
  <c r="M901" i="53"/>
  <c r="M902" i="53"/>
  <c r="M903" i="53"/>
  <c r="M904" i="53"/>
  <c r="M905" i="53"/>
  <c r="M906" i="53"/>
  <c r="M907" i="53"/>
  <c r="M908" i="53"/>
  <c r="M909" i="53"/>
  <c r="M910" i="53"/>
  <c r="M911" i="53"/>
  <c r="M912" i="53"/>
  <c r="M913" i="53"/>
  <c r="B18" i="61" s="1"/>
  <c r="M914" i="53"/>
  <c r="M915" i="53"/>
  <c r="M916" i="53"/>
  <c r="M917" i="53"/>
  <c r="M918" i="53"/>
  <c r="M919" i="53"/>
  <c r="M920" i="53"/>
  <c r="M921" i="53"/>
  <c r="M922" i="53"/>
  <c r="M923" i="53"/>
  <c r="B28" i="61" s="1"/>
  <c r="M924" i="53"/>
  <c r="M925" i="53"/>
  <c r="M926" i="53"/>
  <c r="M927" i="53"/>
  <c r="M928" i="53"/>
  <c r="M929" i="53"/>
  <c r="M930" i="53"/>
  <c r="M931" i="53"/>
  <c r="M932" i="53"/>
  <c r="M933" i="53"/>
  <c r="M934" i="53"/>
  <c r="M935" i="53"/>
  <c r="M936" i="53"/>
  <c r="M937" i="53"/>
  <c r="M938" i="53"/>
  <c r="M939" i="53"/>
  <c r="M940" i="53"/>
  <c r="M941" i="53"/>
  <c r="M942" i="53"/>
  <c r="M943" i="53"/>
  <c r="M944" i="53"/>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B222" i="61" s="1"/>
  <c r="M1114" i="53"/>
  <c r="M1115" i="53"/>
  <c r="M1116" i="53"/>
  <c r="M1117" i="53"/>
  <c r="M1118" i="53"/>
  <c r="M1119" i="53"/>
  <c r="M1120" i="53"/>
  <c r="M1121" i="53"/>
  <c r="M1122" i="53"/>
  <c r="M1123" i="53"/>
  <c r="M1124" i="53"/>
  <c r="M1125" i="53"/>
  <c r="M1126" i="53"/>
  <c r="M1127" i="53"/>
  <c r="M1128" i="53"/>
  <c r="M1129" i="53"/>
  <c r="M1130" i="53"/>
  <c r="M1131" i="53"/>
  <c r="M1132" i="53"/>
  <c r="M1133" i="53"/>
  <c r="M1134" i="53"/>
  <c r="M1135" i="53"/>
  <c r="M1136" i="53"/>
  <c r="M1137" i="53"/>
  <c r="M1138" i="53"/>
  <c r="M1139" i="53"/>
  <c r="M1140" i="53"/>
  <c r="M1141" i="53"/>
  <c r="M1142" i="53"/>
  <c r="M1143" i="53"/>
  <c r="M1144" i="53"/>
  <c r="M1145" i="53"/>
  <c r="M1146" i="53"/>
  <c r="M1147" i="53"/>
  <c r="M1148" i="53"/>
  <c r="M1149" i="53"/>
  <c r="M1150" i="53"/>
  <c r="M1151" i="53"/>
  <c r="M1152" i="53"/>
  <c r="M1153" i="53"/>
  <c r="M1154" i="53"/>
  <c r="M1155" i="53"/>
  <c r="M1156" i="53"/>
  <c r="M1157" i="53"/>
  <c r="M1158" i="53"/>
  <c r="M1159" i="53"/>
  <c r="M1160" i="53"/>
  <c r="M1161" i="53"/>
  <c r="M1162" i="53"/>
  <c r="M1163" i="53"/>
  <c r="M1164" i="53"/>
  <c r="M1165" i="53"/>
  <c r="M1166" i="53"/>
  <c r="M1167" i="53"/>
  <c r="M1168" i="53"/>
  <c r="M1169" i="53"/>
  <c r="M1170" i="53"/>
  <c r="M1171" i="53"/>
  <c r="M1172" i="53"/>
  <c r="M1173" i="53"/>
  <c r="M1174" i="53"/>
  <c r="M1175" i="53"/>
  <c r="M1176" i="53"/>
  <c r="M1177" i="53"/>
  <c r="M1178" i="53"/>
  <c r="M1179" i="53"/>
  <c r="M1180" i="53"/>
  <c r="M1181" i="53"/>
  <c r="M1182" i="53"/>
  <c r="M1183" i="53"/>
  <c r="M1184" i="53"/>
  <c r="M1185" i="53"/>
  <c r="M1186" i="53"/>
  <c r="M1187" i="53"/>
  <c r="M1188" i="53"/>
  <c r="M1189" i="53"/>
  <c r="M1190" i="53"/>
  <c r="M1191" i="53"/>
  <c r="M1192" i="53"/>
  <c r="M1193" i="53"/>
  <c r="M1194" i="53"/>
  <c r="M1195" i="53"/>
  <c r="M1196" i="53"/>
  <c r="M1197" i="53"/>
  <c r="M1198" i="53"/>
  <c r="M1199" i="53"/>
  <c r="M1200" i="53"/>
  <c r="M1201" i="53"/>
  <c r="M1202" i="53"/>
  <c r="M1203" i="53"/>
  <c r="M1204" i="53"/>
  <c r="M1205" i="53"/>
  <c r="M1206" i="53"/>
  <c r="M1207" i="53"/>
  <c r="M1208" i="53"/>
  <c r="M1209" i="53"/>
  <c r="M1210" i="53"/>
  <c r="M1211" i="53"/>
  <c r="M1212" i="53"/>
  <c r="M1213" i="53"/>
  <c r="M1214" i="53"/>
  <c r="M1215" i="53"/>
  <c r="M1216" i="53"/>
  <c r="M1217" i="53"/>
  <c r="M1218" i="53"/>
  <c r="M1219" i="53"/>
  <c r="M1220" i="53"/>
  <c r="M1221" i="53"/>
  <c r="M1222" i="53"/>
  <c r="M1223" i="53"/>
  <c r="M1224" i="53"/>
  <c r="M1225" i="53"/>
  <c r="M1226" i="53"/>
  <c r="M1227" i="53"/>
  <c r="M1228" i="53"/>
  <c r="M1229" i="53"/>
  <c r="M1230" i="53"/>
  <c r="M1231" i="53"/>
  <c r="M1232" i="53"/>
  <c r="M1233" i="53"/>
  <c r="M1234" i="53"/>
  <c r="M1235" i="53"/>
  <c r="M1236" i="53"/>
  <c r="M1237" i="53"/>
  <c r="M1238" i="53"/>
  <c r="M1239" i="53"/>
  <c r="M1240" i="53"/>
  <c r="M1241" i="53"/>
  <c r="M1242" i="53"/>
  <c r="M1243" i="53"/>
  <c r="M1244" i="53"/>
  <c r="M1245" i="53"/>
  <c r="M1246" i="53"/>
  <c r="M1247" i="53"/>
  <c r="M1248" i="53"/>
  <c r="M1249" i="53"/>
  <c r="M1250" i="53"/>
  <c r="M1251" i="53"/>
  <c r="M1252" i="53"/>
  <c r="M1253" i="53"/>
  <c r="M1254" i="53"/>
  <c r="M1255" i="53"/>
  <c r="M1256" i="53"/>
  <c r="M1257" i="53"/>
  <c r="M1258" i="53"/>
  <c r="M1259" i="53"/>
  <c r="M1260" i="53"/>
  <c r="M1261" i="53"/>
  <c r="M1262" i="53"/>
  <c r="M1263" i="53"/>
  <c r="M1264" i="53"/>
  <c r="M1265" i="53"/>
  <c r="M1266" i="53"/>
  <c r="M1267" i="53"/>
  <c r="M1268" i="53"/>
  <c r="M1269" i="53"/>
  <c r="M1270" i="53"/>
  <c r="M1271" i="53"/>
  <c r="M1272" i="53"/>
  <c r="M1273" i="53"/>
  <c r="M1274" i="53"/>
  <c r="M1275" i="53"/>
  <c r="M1276" i="53"/>
  <c r="M1277" i="53"/>
  <c r="M1278" i="53"/>
  <c r="M1279" i="53"/>
  <c r="M1280" i="53"/>
  <c r="M1281" i="53"/>
  <c r="M1282" i="53"/>
  <c r="M1283" i="53"/>
  <c r="M1284" i="53"/>
  <c r="M1285" i="53"/>
  <c r="M1286" i="53"/>
  <c r="M1287" i="53"/>
  <c r="M1288" i="53"/>
  <c r="M1289" i="53"/>
  <c r="M1290" i="53"/>
  <c r="M1291" i="53"/>
  <c r="M1292" i="53"/>
  <c r="M1293" i="53"/>
  <c r="M1294" i="53"/>
  <c r="M1295" i="53"/>
  <c r="M1296" i="53"/>
  <c r="M1297" i="53"/>
  <c r="M1298" i="53"/>
  <c r="M1299" i="53"/>
  <c r="M1300" i="53"/>
  <c r="M1301" i="53"/>
  <c r="M1302" i="53"/>
  <c r="M1303" i="53"/>
  <c r="M1304" i="53"/>
  <c r="M1305" i="53"/>
  <c r="M1306" i="53"/>
  <c r="M1307" i="53"/>
  <c r="M1308" i="53"/>
  <c r="M1309" i="53"/>
  <c r="M1310" i="53"/>
  <c r="M1311" i="53"/>
  <c r="M1312" i="53"/>
  <c r="M1313" i="53"/>
  <c r="M1314" i="53"/>
  <c r="M1315" i="53"/>
  <c r="M1316" i="53"/>
  <c r="M1317" i="53"/>
  <c r="M1318" i="53"/>
  <c r="M1319" i="53"/>
  <c r="M1320" i="53"/>
  <c r="M1321" i="53"/>
  <c r="M1322" i="53"/>
  <c r="M1323" i="53"/>
  <c r="M1324" i="53"/>
  <c r="M1325" i="53"/>
  <c r="M1326" i="53"/>
  <c r="M1327" i="53"/>
  <c r="M1328" i="53"/>
  <c r="M1329" i="53"/>
  <c r="M1330" i="53"/>
  <c r="M1331" i="53"/>
  <c r="M1332" i="53"/>
  <c r="M1333" i="53"/>
  <c r="M1334" i="53"/>
  <c r="M1335" i="53"/>
  <c r="M1336" i="53"/>
  <c r="M1337" i="53"/>
  <c r="M1338" i="53"/>
  <c r="M1339" i="53"/>
  <c r="M1340" i="53"/>
  <c r="M1341" i="53"/>
  <c r="M1342" i="53"/>
  <c r="M1343" i="53"/>
  <c r="M1344" i="53"/>
  <c r="M1345" i="53"/>
  <c r="M1346" i="53"/>
  <c r="M1347" i="53"/>
  <c r="M1348" i="53"/>
  <c r="M1349" i="53"/>
  <c r="M1350" i="53"/>
  <c r="M1351" i="53"/>
  <c r="M1352" i="53"/>
  <c r="M1353" i="53"/>
  <c r="M1354" i="53"/>
  <c r="M1355" i="53"/>
  <c r="M1356" i="53"/>
  <c r="M1357" i="53"/>
  <c r="M1358" i="53"/>
  <c r="M1359" i="53"/>
  <c r="M1360" i="53"/>
  <c r="M1361" i="53"/>
  <c r="M1362" i="53"/>
  <c r="M1363" i="53"/>
  <c r="M1364" i="53"/>
  <c r="M1365" i="53"/>
  <c r="M1366" i="53"/>
  <c r="M1367" i="53"/>
  <c r="M1368" i="53"/>
  <c r="M1369" i="53"/>
  <c r="M1370" i="53"/>
  <c r="M1371" i="53"/>
  <c r="M1372" i="53"/>
  <c r="M1373" i="53"/>
  <c r="M1374" i="53"/>
  <c r="M1375" i="53"/>
  <c r="M1376" i="53"/>
  <c r="M1377" i="53"/>
  <c r="M1378" i="53"/>
  <c r="M1379" i="53"/>
  <c r="M1380" i="53"/>
  <c r="M1381" i="53"/>
  <c r="M1382" i="53"/>
  <c r="M1383" i="53"/>
  <c r="M1384" i="53"/>
  <c r="M1385" i="53"/>
  <c r="M1386" i="53"/>
  <c r="M1387" i="53"/>
  <c r="M1388" i="53"/>
  <c r="M1389" i="53"/>
  <c r="M1390" i="53"/>
  <c r="M1391" i="53"/>
  <c r="M1392" i="53"/>
  <c r="M1393" i="53"/>
  <c r="M1394" i="53"/>
  <c r="M1395" i="53"/>
  <c r="M1396" i="53"/>
  <c r="M1397" i="53"/>
  <c r="M1398" i="53"/>
  <c r="M1399" i="53"/>
  <c r="M1400" i="53"/>
  <c r="M1401" i="53"/>
  <c r="M1402" i="53"/>
  <c r="M1403" i="53"/>
  <c r="M1404" i="53"/>
  <c r="M1405" i="53"/>
  <c r="M1406" i="53"/>
  <c r="M1407" i="53"/>
  <c r="M1408" i="53"/>
  <c r="M1409" i="53"/>
  <c r="M1410" i="53"/>
  <c r="M1411" i="53"/>
  <c r="M1412" i="53"/>
  <c r="M1413" i="53"/>
  <c r="M1414" i="53"/>
  <c r="M1415" i="53"/>
  <c r="M1416" i="53"/>
  <c r="M1417" i="53"/>
  <c r="M1418" i="53"/>
  <c r="M1419" i="53"/>
  <c r="M1420" i="53"/>
  <c r="M1421" i="53"/>
  <c r="M1422" i="53"/>
  <c r="M1423" i="53"/>
  <c r="M1424" i="53"/>
  <c r="M1425" i="53"/>
  <c r="M1426" i="53"/>
  <c r="M1427" i="53"/>
  <c r="M1428" i="53"/>
  <c r="M1429" i="53"/>
  <c r="M1430" i="53"/>
  <c r="M1431" i="53"/>
  <c r="M1432" i="53"/>
  <c r="M1433" i="53"/>
  <c r="M1434" i="53"/>
  <c r="M1435" i="53"/>
  <c r="M1436" i="53"/>
  <c r="M1437" i="53"/>
  <c r="M1438" i="53"/>
  <c r="M1439" i="53"/>
  <c r="M1440" i="53"/>
  <c r="M1441" i="53"/>
  <c r="M1442" i="53"/>
  <c r="M1443" i="53"/>
  <c r="M1444" i="53"/>
  <c r="M1445" i="53"/>
  <c r="M1446" i="53"/>
  <c r="M1447" i="53"/>
  <c r="M1448" i="53"/>
  <c r="M1449" i="53"/>
  <c r="M1450" i="53"/>
  <c r="M1451" i="53"/>
  <c r="M1452" i="53"/>
  <c r="M1453" i="53"/>
  <c r="M1454" i="53"/>
  <c r="M1455" i="53"/>
  <c r="M1456" i="53"/>
  <c r="M1457" i="53"/>
  <c r="M1458" i="53"/>
  <c r="M1459" i="53"/>
  <c r="M1460" i="53"/>
  <c r="M1461" i="53"/>
  <c r="M1462" i="53"/>
  <c r="M1463" i="53"/>
  <c r="M1464" i="53"/>
  <c r="M1465" i="53"/>
  <c r="M1466" i="53"/>
  <c r="M1467" i="53"/>
  <c r="M1468" i="53"/>
  <c r="M1469" i="53"/>
  <c r="M1470" i="53"/>
  <c r="M1471" i="53"/>
  <c r="M1472" i="53"/>
  <c r="M1473" i="53"/>
  <c r="M1474" i="53"/>
  <c r="M1475" i="53"/>
  <c r="M1476" i="53"/>
  <c r="M1477" i="53"/>
  <c r="M1478" i="53"/>
  <c r="M1479" i="53"/>
  <c r="M1480" i="53"/>
  <c r="M1481" i="53"/>
  <c r="M1482" i="53"/>
  <c r="M1483" i="53"/>
  <c r="M1484" i="53"/>
  <c r="M1485" i="53"/>
  <c r="M1486" i="53"/>
  <c r="M1487" i="53"/>
  <c r="M1488" i="53"/>
  <c r="M1489" i="53"/>
  <c r="M1490" i="53"/>
  <c r="M1491" i="53"/>
  <c r="M1492" i="53"/>
  <c r="M1493" i="53"/>
  <c r="M1494" i="53"/>
  <c r="M1495" i="53"/>
  <c r="M1496" i="53"/>
  <c r="M1497" i="53"/>
  <c r="M1498" i="53"/>
  <c r="M1499" i="53"/>
  <c r="M1500" i="53"/>
  <c r="M1501" i="53"/>
  <c r="M1502" i="53"/>
  <c r="M1503" i="53"/>
  <c r="M1504" i="53"/>
  <c r="M1505" i="53"/>
  <c r="M1506" i="53"/>
  <c r="M1507" i="53"/>
  <c r="M1508" i="53"/>
  <c r="M1509" i="53"/>
  <c r="M1510" i="53"/>
  <c r="M1511" i="53"/>
  <c r="M1512" i="53"/>
  <c r="M1513" i="53"/>
  <c r="B40" i="59" l="1"/>
  <c r="M40" i="59" s="1"/>
  <c r="B41" i="59"/>
  <c r="M41" i="59" s="1"/>
  <c r="B29" i="55"/>
  <c r="M29" i="55" s="1"/>
  <c r="M30" i="55"/>
  <c r="B31" i="55"/>
  <c r="M31" i="55" s="1"/>
  <c r="M41" i="55"/>
  <c r="M323" i="61"/>
  <c r="M323" i="62"/>
  <c r="A323" i="65"/>
  <c r="M323" i="65" s="1"/>
  <c r="B223" i="62"/>
  <c r="M223" i="62" s="1"/>
  <c r="B224" i="62"/>
  <c r="M224" i="62" s="1"/>
  <c r="B225" i="62"/>
  <c r="M225" i="62" s="1"/>
  <c r="B226" i="62"/>
  <c r="M226" i="62" s="1"/>
  <c r="B227" i="62"/>
  <c r="M227" i="62" s="1"/>
  <c r="B228" i="62"/>
  <c r="M228" i="62" s="1"/>
  <c r="B229" i="62"/>
  <c r="M229" i="62" s="1"/>
  <c r="B230" i="62"/>
  <c r="M230" i="62" s="1"/>
  <c r="B231" i="62"/>
  <c r="M231" i="62" s="1"/>
  <c r="B232" i="62"/>
  <c r="M232" i="62" s="1"/>
  <c r="B233" i="62"/>
  <c r="M233" i="62" s="1"/>
  <c r="B234" i="62"/>
  <c r="M234" i="62" s="1"/>
  <c r="B235" i="62"/>
  <c r="M235" i="62" s="1"/>
  <c r="B236" i="62"/>
  <c r="M236" i="62" s="1"/>
  <c r="B237" i="62"/>
  <c r="M237" i="62" s="1"/>
  <c r="B238" i="62"/>
  <c r="M238" i="62" s="1"/>
  <c r="B239" i="62"/>
  <c r="M239" i="62" s="1"/>
  <c r="B240" i="62"/>
  <c r="M240" i="62" s="1"/>
  <c r="B241" i="62"/>
  <c r="M241" i="62" s="1"/>
  <c r="B242" i="62"/>
  <c r="M242" i="62" s="1"/>
  <c r="B243" i="62"/>
  <c r="M243" i="62" s="1"/>
  <c r="B244" i="62"/>
  <c r="M244" i="62" s="1"/>
  <c r="B245" i="62"/>
  <c r="M245" i="62" s="1"/>
  <c r="B246" i="62"/>
  <c r="M246" i="62" s="1"/>
  <c r="B247" i="62"/>
  <c r="M247" i="62" s="1"/>
  <c r="B248" i="62"/>
  <c r="M248" i="62" s="1"/>
  <c r="B249" i="62"/>
  <c r="M249" i="62" s="1"/>
  <c r="B250" i="62"/>
  <c r="M250" i="62" s="1"/>
  <c r="B251" i="62"/>
  <c r="M251" i="62" s="1"/>
  <c r="B252" i="62"/>
  <c r="M252" i="62" s="1"/>
  <c r="B253" i="62"/>
  <c r="M253" i="62" s="1"/>
  <c r="B254" i="62"/>
  <c r="M254" i="62" s="1"/>
  <c r="B255" i="62"/>
  <c r="M255" i="62" s="1"/>
  <c r="B256" i="62"/>
  <c r="M256" i="62" s="1"/>
  <c r="B257" i="62"/>
  <c r="M257" i="62" s="1"/>
  <c r="B258" i="62"/>
  <c r="M258" i="62" s="1"/>
  <c r="B259" i="62"/>
  <c r="M259" i="62" s="1"/>
  <c r="B260" i="62"/>
  <c r="M260" i="62" s="1"/>
  <c r="B261" i="62"/>
  <c r="M261" i="62" s="1"/>
  <c r="B262" i="62"/>
  <c r="M262" i="62" s="1"/>
  <c r="B263" i="62"/>
  <c r="M263" i="62" s="1"/>
  <c r="B264" i="62"/>
  <c r="M264" i="62" s="1"/>
  <c r="B265" i="62"/>
  <c r="M265" i="62" s="1"/>
  <c r="B266" i="62"/>
  <c r="M266" i="62" s="1"/>
  <c r="B267" i="62"/>
  <c r="M267" i="62" s="1"/>
  <c r="B268" i="62"/>
  <c r="M268" i="62" s="1"/>
  <c r="B269" i="62"/>
  <c r="M269" i="62" s="1"/>
  <c r="B270" i="62"/>
  <c r="M270" i="62" s="1"/>
  <c r="B271" i="62"/>
  <c r="M271" i="62" s="1"/>
  <c r="B272" i="62"/>
  <c r="M272" i="62" s="1"/>
  <c r="B273" i="62"/>
  <c r="M273" i="62" s="1"/>
  <c r="B274" i="62"/>
  <c r="M274" i="62" s="1"/>
  <c r="B275" i="62"/>
  <c r="M275" i="62" s="1"/>
  <c r="B276" i="62"/>
  <c r="M276" i="62" s="1"/>
  <c r="B277" i="62"/>
  <c r="M277" i="62" s="1"/>
  <c r="B278" i="62"/>
  <c r="M278" i="62" s="1"/>
  <c r="B279" i="62"/>
  <c r="M279" i="62" s="1"/>
  <c r="B280" i="62"/>
  <c r="M280" i="62" s="1"/>
  <c r="B281" i="62"/>
  <c r="M281" i="62" s="1"/>
  <c r="B282" i="62"/>
  <c r="M282" i="62" s="1"/>
  <c r="B283" i="62"/>
  <c r="M283" i="62" s="1"/>
  <c r="B284" i="62"/>
  <c r="M284" i="62" s="1"/>
  <c r="B285" i="62"/>
  <c r="M285" i="62" s="1"/>
  <c r="B286" i="62"/>
  <c r="M286" i="62" s="1"/>
  <c r="B287" i="62"/>
  <c r="M287" i="62" s="1"/>
  <c r="B288" i="62"/>
  <c r="M288" i="62" s="1"/>
  <c r="B289" i="62"/>
  <c r="M289" i="62" s="1"/>
  <c r="B290" i="62"/>
  <c r="M290" i="62" s="1"/>
  <c r="B291" i="62"/>
  <c r="M291" i="62" s="1"/>
  <c r="B292" i="62"/>
  <c r="M292" i="62" s="1"/>
  <c r="B293" i="62"/>
  <c r="M293" i="62" s="1"/>
  <c r="B294" i="62"/>
  <c r="M294" i="62" s="1"/>
  <c r="B295" i="62"/>
  <c r="M295" i="62" s="1"/>
  <c r="B296" i="62"/>
  <c r="M296" i="62" s="1"/>
  <c r="B297" i="62"/>
  <c r="M297" i="62" s="1"/>
  <c r="B298" i="62"/>
  <c r="M298" i="62" s="1"/>
  <c r="B299" i="62"/>
  <c r="M299" i="62" s="1"/>
  <c r="B300" i="62"/>
  <c r="M300" i="62" s="1"/>
  <c r="B301" i="62"/>
  <c r="M301" i="62" s="1"/>
  <c r="B302" i="62"/>
  <c r="M302" i="62" s="1"/>
  <c r="B303" i="62"/>
  <c r="M303" i="62" s="1"/>
  <c r="B304" i="62"/>
  <c r="M304" i="62" s="1"/>
  <c r="B305" i="62"/>
  <c r="M305" i="62" s="1"/>
  <c r="B306" i="62"/>
  <c r="M306" i="62" s="1"/>
  <c r="B307" i="62"/>
  <c r="M307" i="62" s="1"/>
  <c r="B308" i="62"/>
  <c r="M308" i="62" s="1"/>
  <c r="B309" i="62"/>
  <c r="M309" i="62" s="1"/>
  <c r="B310" i="62"/>
  <c r="M310" i="62" s="1"/>
  <c r="B311" i="62"/>
  <c r="M311" i="62" s="1"/>
  <c r="B312" i="62"/>
  <c r="M312" i="62" s="1"/>
  <c r="B313" i="62"/>
  <c r="M313" i="62" s="1"/>
  <c r="B314" i="62"/>
  <c r="M314" i="62" s="1"/>
  <c r="B315" i="62"/>
  <c r="M315" i="62" s="1"/>
  <c r="B316" i="62"/>
  <c r="M316" i="62" s="1"/>
  <c r="B317" i="62"/>
  <c r="M317" i="62" s="1"/>
  <c r="B318" i="62"/>
  <c r="M318" i="62" s="1"/>
  <c r="B319" i="62"/>
  <c r="M319" i="62" s="1"/>
  <c r="B320" i="62"/>
  <c r="M320" i="62" s="1"/>
  <c r="B321" i="62"/>
  <c r="M321" i="62" s="1"/>
  <c r="B19" i="62"/>
  <c r="M19" i="62" s="1"/>
  <c r="B20" i="62"/>
  <c r="M20" i="62" s="1"/>
  <c r="B21" i="62"/>
  <c r="M21" i="62" s="1"/>
  <c r="B22" i="62"/>
  <c r="M22" i="62" s="1"/>
  <c r="B23" i="62"/>
  <c r="M23" i="62" s="1"/>
  <c r="B24" i="62"/>
  <c r="M24" i="62" s="1"/>
  <c r="B25" i="62"/>
  <c r="M25" i="62" s="1"/>
  <c r="B26" i="62"/>
  <c r="M26" i="62" s="1"/>
  <c r="B27" i="62"/>
  <c r="M27" i="62" s="1"/>
  <c r="B28" i="62"/>
  <c r="M28" i="62" s="1"/>
  <c r="B29" i="62"/>
  <c r="M29" i="62" s="1"/>
  <c r="B30" i="62"/>
  <c r="M30" i="62" s="1"/>
  <c r="B31" i="62"/>
  <c r="M31" i="62" s="1"/>
  <c r="B32" i="62"/>
  <c r="M32" i="62" s="1"/>
  <c r="B33" i="62"/>
  <c r="M33" i="62" s="1"/>
  <c r="B34" i="62"/>
  <c r="M34" i="62" s="1"/>
  <c r="B35" i="62"/>
  <c r="M35" i="62" s="1"/>
  <c r="B36" i="62"/>
  <c r="M36" i="62" s="1"/>
  <c r="B37" i="62"/>
  <c r="M37" i="62" s="1"/>
  <c r="B38" i="62"/>
  <c r="M38" i="62" s="1"/>
  <c r="B39" i="62"/>
  <c r="M39" i="62" s="1"/>
  <c r="B40" i="62"/>
  <c r="M40" i="62" s="1"/>
  <c r="B41" i="62"/>
  <c r="M41" i="62" s="1"/>
  <c r="B42" i="62"/>
  <c r="M42" i="62" s="1"/>
  <c r="B43" i="62"/>
  <c r="M43" i="62" s="1"/>
  <c r="B44" i="62"/>
  <c r="M44" i="62" s="1"/>
  <c r="B45" i="62"/>
  <c r="M45" i="62" s="1"/>
  <c r="B46" i="62"/>
  <c r="M46" i="62" s="1"/>
  <c r="B47" i="62"/>
  <c r="M47" i="62" s="1"/>
  <c r="B48" i="62"/>
  <c r="M48" i="62" s="1"/>
  <c r="B49" i="62"/>
  <c r="M49" i="62" s="1"/>
  <c r="B50" i="62"/>
  <c r="M50" i="62" s="1"/>
  <c r="B51" i="62"/>
  <c r="M51" i="62" s="1"/>
  <c r="B52" i="62"/>
  <c r="M52" i="62" s="1"/>
  <c r="B53" i="62"/>
  <c r="M53" i="62" s="1"/>
  <c r="B54" i="62"/>
  <c r="M54" i="62" s="1"/>
  <c r="B55" i="62"/>
  <c r="M55" i="62" s="1"/>
  <c r="B56" i="62"/>
  <c r="M56" i="62" s="1"/>
  <c r="B57" i="62"/>
  <c r="M57" i="62" s="1"/>
  <c r="B58" i="62"/>
  <c r="M58" i="62" s="1"/>
  <c r="B59" i="62"/>
  <c r="M59" i="62" s="1"/>
  <c r="B60" i="62"/>
  <c r="M60" i="62" s="1"/>
  <c r="B61" i="62"/>
  <c r="M61" i="62" s="1"/>
  <c r="B62" i="62"/>
  <c r="M62" i="62" s="1"/>
  <c r="B63" i="62"/>
  <c r="M63" i="62" s="1"/>
  <c r="B64" i="62"/>
  <c r="M64" i="62" s="1"/>
  <c r="B65" i="62"/>
  <c r="M65" i="62" s="1"/>
  <c r="B66" i="62"/>
  <c r="M66" i="62" s="1"/>
  <c r="B67" i="62"/>
  <c r="M67" i="62" s="1"/>
  <c r="B68" i="62"/>
  <c r="M68" i="62" s="1"/>
  <c r="B69" i="62"/>
  <c r="M69" i="62" s="1"/>
  <c r="B70" i="62"/>
  <c r="M70" i="62" s="1"/>
  <c r="B71" i="62"/>
  <c r="M71" i="62" s="1"/>
  <c r="B72" i="62"/>
  <c r="M72" i="62" s="1"/>
  <c r="B73" i="62"/>
  <c r="M73" i="62" s="1"/>
  <c r="B74" i="62"/>
  <c r="M74" i="62" s="1"/>
  <c r="B75" i="62"/>
  <c r="M75" i="62" s="1"/>
  <c r="B76" i="62"/>
  <c r="M76" i="62" s="1"/>
  <c r="B77" i="62"/>
  <c r="M77" i="62" s="1"/>
  <c r="B78" i="62"/>
  <c r="M78" i="62" s="1"/>
  <c r="B79" i="62"/>
  <c r="M79" i="62" s="1"/>
  <c r="B80" i="62"/>
  <c r="M80" i="62" s="1"/>
  <c r="B81" i="62"/>
  <c r="M81" i="62" s="1"/>
  <c r="B82" i="62"/>
  <c r="M82" i="62" s="1"/>
  <c r="B83" i="62"/>
  <c r="M83" i="62" s="1"/>
  <c r="B84" i="62"/>
  <c r="M84" i="62" s="1"/>
  <c r="B85" i="62"/>
  <c r="M85" i="62" s="1"/>
  <c r="B86" i="62"/>
  <c r="M86" i="62" s="1"/>
  <c r="B87" i="62"/>
  <c r="M87" i="62" s="1"/>
  <c r="B88" i="62"/>
  <c r="M88" i="62" s="1"/>
  <c r="B89" i="62"/>
  <c r="M89" i="62" s="1"/>
  <c r="B90" i="62"/>
  <c r="M90" i="62" s="1"/>
  <c r="B91" i="62"/>
  <c r="M91" i="62" s="1"/>
  <c r="B92" i="62"/>
  <c r="M92" i="62" s="1"/>
  <c r="B93" i="62"/>
  <c r="M93" i="62" s="1"/>
  <c r="B94" i="62"/>
  <c r="M94" i="62" s="1"/>
  <c r="B95" i="62"/>
  <c r="M95" i="62" s="1"/>
  <c r="B96" i="62"/>
  <c r="M96" i="62" s="1"/>
  <c r="B97" i="62"/>
  <c r="M97" i="62" s="1"/>
  <c r="B98" i="62"/>
  <c r="M98" i="62" s="1"/>
  <c r="B99" i="62"/>
  <c r="M99" i="62" s="1"/>
  <c r="B100" i="62"/>
  <c r="M100" i="62" s="1"/>
  <c r="B101" i="62"/>
  <c r="M101" i="62" s="1"/>
  <c r="B102" i="62"/>
  <c r="M102" i="62" s="1"/>
  <c r="B103" i="62"/>
  <c r="M103" i="62" s="1"/>
  <c r="B104" i="62"/>
  <c r="M104" i="62" s="1"/>
  <c r="B105" i="62"/>
  <c r="M105" i="62" s="1"/>
  <c r="B106" i="62"/>
  <c r="M106" i="62" s="1"/>
  <c r="B107" i="62"/>
  <c r="M107" i="62" s="1"/>
  <c r="B108" i="62"/>
  <c r="M108" i="62" s="1"/>
  <c r="B109" i="62"/>
  <c r="M109" i="62" s="1"/>
  <c r="B110" i="62"/>
  <c r="M110" i="62" s="1"/>
  <c r="B111" i="62"/>
  <c r="M111" i="62" s="1"/>
  <c r="B112" i="62"/>
  <c r="M112" i="62" s="1"/>
  <c r="B113" i="62"/>
  <c r="M113" i="62" s="1"/>
  <c r="B114" i="62"/>
  <c r="M114" i="62" s="1"/>
  <c r="B115" i="62"/>
  <c r="M115" i="62" s="1"/>
  <c r="B116" i="62"/>
  <c r="M116" i="62" s="1"/>
  <c r="B117" i="62"/>
  <c r="M117" i="62" s="1"/>
  <c r="B118" i="62"/>
  <c r="M118" i="62" s="1"/>
  <c r="B119" i="62"/>
  <c r="M119" i="62" s="1"/>
  <c r="B120" i="62"/>
  <c r="M120" i="62" s="1"/>
  <c r="B121" i="62"/>
  <c r="M121" i="62" s="1"/>
  <c r="B122" i="62"/>
  <c r="M122" i="62" s="1"/>
  <c r="B123" i="62"/>
  <c r="M123" i="62" s="1"/>
  <c r="B124" i="62"/>
  <c r="M124" i="62" s="1"/>
  <c r="B125" i="62"/>
  <c r="M125" i="62" s="1"/>
  <c r="B126" i="62"/>
  <c r="M126" i="62" s="1"/>
  <c r="B127" i="62"/>
  <c r="M127" i="62" s="1"/>
  <c r="B128" i="62"/>
  <c r="M128" i="62" s="1"/>
  <c r="B129" i="62"/>
  <c r="M129" i="62" s="1"/>
  <c r="B130" i="62"/>
  <c r="M130" i="62" s="1"/>
  <c r="B131" i="62"/>
  <c r="M131" i="62" s="1"/>
  <c r="B132" i="62"/>
  <c r="M132" i="62" s="1"/>
  <c r="B133" i="62"/>
  <c r="M133" i="62" s="1"/>
  <c r="B134" i="62"/>
  <c r="M134" i="62" s="1"/>
  <c r="B135" i="62"/>
  <c r="M135" i="62" s="1"/>
  <c r="B136" i="62"/>
  <c r="M136" i="62" s="1"/>
  <c r="B137" i="62"/>
  <c r="M137" i="62" s="1"/>
  <c r="B138" i="62"/>
  <c r="M138" i="62" s="1"/>
  <c r="B139" i="62"/>
  <c r="M139" i="62" s="1"/>
  <c r="B140" i="62"/>
  <c r="M140" i="62" s="1"/>
  <c r="B141" i="62"/>
  <c r="M141" i="62" s="1"/>
  <c r="B142" i="62"/>
  <c r="M142" i="62" s="1"/>
  <c r="B143" i="62"/>
  <c r="M143" i="62" s="1"/>
  <c r="B144" i="62"/>
  <c r="M144" i="62" s="1"/>
  <c r="B145" i="62"/>
  <c r="M145" i="62" s="1"/>
  <c r="B146" i="62"/>
  <c r="M146" i="62" s="1"/>
  <c r="B147" i="62"/>
  <c r="M147" i="62" s="1"/>
  <c r="B148" i="62"/>
  <c r="M148" i="62" s="1"/>
  <c r="B149" i="62"/>
  <c r="M149" i="62" s="1"/>
  <c r="B150" i="62"/>
  <c r="M150" i="62" s="1"/>
  <c r="B151" i="62"/>
  <c r="M151" i="62" s="1"/>
  <c r="B152" i="62"/>
  <c r="M152" i="62" s="1"/>
  <c r="B153" i="62"/>
  <c r="M153" i="62" s="1"/>
  <c r="B154" i="62"/>
  <c r="M154" i="62" s="1"/>
  <c r="B155" i="62"/>
  <c r="M155" i="62" s="1"/>
  <c r="B156" i="62"/>
  <c r="M156" i="62" s="1"/>
  <c r="B157" i="62"/>
  <c r="M157" i="62" s="1"/>
  <c r="B158" i="62"/>
  <c r="M158" i="62" s="1"/>
  <c r="B159" i="62"/>
  <c r="M159" i="62" s="1"/>
  <c r="B160" i="62"/>
  <c r="M160" i="62" s="1"/>
  <c r="B161" i="62"/>
  <c r="M161" i="62" s="1"/>
  <c r="B162" i="62"/>
  <c r="M162" i="62" s="1"/>
  <c r="B163" i="62"/>
  <c r="M163" i="62" s="1"/>
  <c r="B164" i="62"/>
  <c r="M164" i="62" s="1"/>
  <c r="B165" i="62"/>
  <c r="M165" i="62" s="1"/>
  <c r="B166" i="62"/>
  <c r="M166" i="62" s="1"/>
  <c r="B167" i="62"/>
  <c r="M167" i="62" s="1"/>
  <c r="B168" i="62"/>
  <c r="M168" i="62" s="1"/>
  <c r="B169" i="62"/>
  <c r="M169" i="62" s="1"/>
  <c r="B170" i="62"/>
  <c r="M170" i="62" s="1"/>
  <c r="B171" i="62"/>
  <c r="M171" i="62" s="1"/>
  <c r="B172" i="62"/>
  <c r="M172" i="62" s="1"/>
  <c r="B173" i="62"/>
  <c r="M173" i="62" s="1"/>
  <c r="B174" i="62"/>
  <c r="M174" i="62" s="1"/>
  <c r="B175" i="62"/>
  <c r="M175" i="62" s="1"/>
  <c r="B176" i="62"/>
  <c r="M176" i="62" s="1"/>
  <c r="B177" i="62"/>
  <c r="M177" i="62" s="1"/>
  <c r="B178" i="62"/>
  <c r="M178" i="62" s="1"/>
  <c r="B179" i="62"/>
  <c r="M179" i="62" s="1"/>
  <c r="B180" i="62"/>
  <c r="M180" i="62" s="1"/>
  <c r="B181" i="62"/>
  <c r="M181" i="62" s="1"/>
  <c r="B182" i="62"/>
  <c r="M182" i="62" s="1"/>
  <c r="B183" i="62"/>
  <c r="M183" i="62" s="1"/>
  <c r="B184" i="62"/>
  <c r="M184" i="62" s="1"/>
  <c r="B185" i="62"/>
  <c r="M185" i="62" s="1"/>
  <c r="B186" i="62"/>
  <c r="M186" i="62" s="1"/>
  <c r="B187" i="62"/>
  <c r="M187" i="62" s="1"/>
  <c r="B188" i="62"/>
  <c r="M188" i="62" s="1"/>
  <c r="B189" i="62"/>
  <c r="M189" i="62" s="1"/>
  <c r="B190" i="62"/>
  <c r="M190" i="62" s="1"/>
  <c r="B191" i="62"/>
  <c r="M191" i="62" s="1"/>
  <c r="B192" i="62"/>
  <c r="M192" i="62" s="1"/>
  <c r="B193" i="62"/>
  <c r="M193" i="62" s="1"/>
  <c r="B194" i="62"/>
  <c r="M194" i="62" s="1"/>
  <c r="B195" i="62"/>
  <c r="M195" i="62" s="1"/>
  <c r="B196" i="62"/>
  <c r="M196" i="62" s="1"/>
  <c r="B197" i="62"/>
  <c r="M197" i="62" s="1"/>
  <c r="B198" i="62"/>
  <c r="M198" i="62" s="1"/>
  <c r="B199" i="62"/>
  <c r="M199" i="62" s="1"/>
  <c r="B200" i="62"/>
  <c r="M200" i="62" s="1"/>
  <c r="B201" i="62"/>
  <c r="M201" i="62" s="1"/>
  <c r="B202" i="62"/>
  <c r="M202" i="62" s="1"/>
  <c r="B203" i="62"/>
  <c r="M203" i="62" s="1"/>
  <c r="B204" i="62"/>
  <c r="M204" i="62" s="1"/>
  <c r="B205" i="62"/>
  <c r="M205" i="62" s="1"/>
  <c r="B206" i="62"/>
  <c r="M206" i="62" s="1"/>
  <c r="B207" i="62"/>
  <c r="M207" i="62" s="1"/>
  <c r="B208" i="62"/>
  <c r="M208" i="62" s="1"/>
  <c r="B209" i="62"/>
  <c r="M209" i="62" s="1"/>
  <c r="B210" i="62"/>
  <c r="M210" i="62" s="1"/>
  <c r="B211" i="62"/>
  <c r="M211" i="62" s="1"/>
  <c r="B212" i="62"/>
  <c r="M212" i="62" s="1"/>
  <c r="B213" i="62"/>
  <c r="M213" i="62" s="1"/>
  <c r="B214" i="62"/>
  <c r="M214" i="62" s="1"/>
  <c r="B215" i="62"/>
  <c r="M215" i="62" s="1"/>
  <c r="B216" i="62"/>
  <c r="M216" i="62" s="1"/>
  <c r="B217" i="62"/>
  <c r="M217" i="62" s="1"/>
  <c r="B223" i="61"/>
  <c r="M223" i="61" s="1"/>
  <c r="B224" i="61"/>
  <c r="M224" i="61" s="1"/>
  <c r="B225" i="61"/>
  <c r="M225" i="61" s="1"/>
  <c r="B226" i="61"/>
  <c r="M226" i="61" s="1"/>
  <c r="B227" i="61"/>
  <c r="M227" i="61" s="1"/>
  <c r="B228" i="61"/>
  <c r="M228" i="61" s="1"/>
  <c r="B229" i="61"/>
  <c r="M229" i="61" s="1"/>
  <c r="B230" i="61"/>
  <c r="M230" i="61" s="1"/>
  <c r="B231" i="61"/>
  <c r="M231" i="61" s="1"/>
  <c r="B232" i="61"/>
  <c r="M232" i="61" s="1"/>
  <c r="B233" i="61"/>
  <c r="M233" i="61" s="1"/>
  <c r="B234" i="61"/>
  <c r="M234" i="61" s="1"/>
  <c r="B235" i="61"/>
  <c r="M235" i="61" s="1"/>
  <c r="B236" i="61"/>
  <c r="M236" i="61" s="1"/>
  <c r="B237" i="61"/>
  <c r="M237" i="61" s="1"/>
  <c r="B238" i="61"/>
  <c r="M238" i="61" s="1"/>
  <c r="B239" i="61"/>
  <c r="M239" i="61" s="1"/>
  <c r="B240" i="61"/>
  <c r="M240" i="61" s="1"/>
  <c r="B241" i="61"/>
  <c r="M241" i="61" s="1"/>
  <c r="B242" i="61"/>
  <c r="M242" i="61" s="1"/>
  <c r="B243" i="61"/>
  <c r="M243" i="61" s="1"/>
  <c r="B244" i="61"/>
  <c r="M244" i="61" s="1"/>
  <c r="B245" i="61"/>
  <c r="M245" i="61" s="1"/>
  <c r="B246" i="61"/>
  <c r="M246" i="61" s="1"/>
  <c r="B247" i="61"/>
  <c r="M247" i="61" s="1"/>
  <c r="B248" i="61"/>
  <c r="M248" i="61" s="1"/>
  <c r="B249" i="61"/>
  <c r="M249" i="61" s="1"/>
  <c r="B250" i="61"/>
  <c r="M250" i="61" s="1"/>
  <c r="B251" i="61"/>
  <c r="M251" i="61" s="1"/>
  <c r="B252" i="61"/>
  <c r="M252"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s="1"/>
  <c r="B268" i="61"/>
  <c r="M268" i="61" s="1"/>
  <c r="B269" i="61"/>
  <c r="M269" i="61" s="1"/>
  <c r="B270" i="61"/>
  <c r="M270" i="61" s="1"/>
  <c r="B271" i="61"/>
  <c r="M271" i="61" s="1"/>
  <c r="B272" i="61"/>
  <c r="M272" i="61" s="1"/>
  <c r="B273" i="61"/>
  <c r="M273" i="61" s="1"/>
  <c r="B274" i="61"/>
  <c r="M274" i="61" s="1"/>
  <c r="B275" i="61"/>
  <c r="M275" i="61" s="1"/>
  <c r="B276" i="61"/>
  <c r="M276" i="61" s="1"/>
  <c r="B277" i="61"/>
  <c r="M277" i="61" s="1"/>
  <c r="B278" i="61"/>
  <c r="M278" i="61" s="1"/>
  <c r="B279" i="61"/>
  <c r="M279" i="61" s="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s="1"/>
  <c r="B296" i="61"/>
  <c r="M296" i="61" s="1"/>
  <c r="B297" i="61"/>
  <c r="M297" i="61" s="1"/>
  <c r="B298" i="61"/>
  <c r="M298" i="61" s="1"/>
  <c r="B299" i="61"/>
  <c r="M299" i="61" s="1"/>
  <c r="B300" i="61"/>
  <c r="M300" i="61" s="1"/>
  <c r="B301" i="61"/>
  <c r="M301" i="61" s="1"/>
  <c r="B302" i="61"/>
  <c r="M302" i="61" s="1"/>
  <c r="B303" i="61"/>
  <c r="M303" i="61" s="1"/>
  <c r="B304" i="61"/>
  <c r="M304" i="61" s="1"/>
  <c r="B305" i="61"/>
  <c r="M305" i="61" s="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B19" i="61"/>
  <c r="M19" i="61" s="1"/>
  <c r="B20" i="61"/>
  <c r="M20" i="61" s="1"/>
  <c r="B21" i="61"/>
  <c r="M21" i="61" s="1"/>
  <c r="B22" i="61"/>
  <c r="M22" i="61" s="1"/>
  <c r="B23" i="61"/>
  <c r="M23" i="61" s="1"/>
  <c r="B24" i="61"/>
  <c r="M24" i="61" s="1"/>
  <c r="B25" i="61"/>
  <c r="M25" i="61" s="1"/>
  <c r="B26" i="61"/>
  <c r="M26" i="61" s="1"/>
  <c r="B27" i="61"/>
  <c r="M27" i="61" s="1"/>
  <c r="M28" i="61"/>
  <c r="B29" i="61"/>
  <c r="M29" i="61" s="1"/>
  <c r="B30" i="61"/>
  <c r="M30" i="61" s="1"/>
  <c r="B31" i="61"/>
  <c r="M31" i="61" s="1"/>
  <c r="B32" i="61"/>
  <c r="M32" i="61" s="1"/>
  <c r="B33" i="61"/>
  <c r="M33" i="61" s="1"/>
  <c r="B34" i="61"/>
  <c r="M34" i="61" s="1"/>
  <c r="B35" i="61"/>
  <c r="M35" i="61" s="1"/>
  <c r="B36" i="61"/>
  <c r="M36" i="61" s="1"/>
  <c r="B37" i="61"/>
  <c r="M37" i="61" s="1"/>
  <c r="B38" i="61"/>
  <c r="M38" i="61" s="1"/>
  <c r="B39" i="61"/>
  <c r="M39" i="61" s="1"/>
  <c r="B40" i="61"/>
  <c r="M40" i="61" s="1"/>
  <c r="B41" i="61"/>
  <c r="M41" i="61" s="1"/>
  <c r="B42" i="61"/>
  <c r="M42" i="61" s="1"/>
  <c r="B43" i="61"/>
  <c r="M43" i="61" s="1"/>
  <c r="B44" i="61"/>
  <c r="M44" i="61" s="1"/>
  <c r="B45" i="61"/>
  <c r="M45" i="61" s="1"/>
  <c r="B46" i="61"/>
  <c r="M46" i="61" s="1"/>
  <c r="B47" i="61"/>
  <c r="M47" i="61" s="1"/>
  <c r="B48" i="61"/>
  <c r="M48" i="61" s="1"/>
  <c r="B49" i="61"/>
  <c r="M49" i="61" s="1"/>
  <c r="B50" i="61"/>
  <c r="M50" i="61" s="1"/>
  <c r="B51" i="61"/>
  <c r="M51" i="61" s="1"/>
  <c r="B52" i="61"/>
  <c r="M52" i="61" s="1"/>
  <c r="B53" i="61"/>
  <c r="M53" i="61" s="1"/>
  <c r="B54" i="61"/>
  <c r="M54" i="61" s="1"/>
  <c r="B55" i="61"/>
  <c r="M55" i="61" s="1"/>
  <c r="B56" i="61"/>
  <c r="M56" i="61" s="1"/>
  <c r="B57" i="61"/>
  <c r="M57" i="61" s="1"/>
  <c r="B58" i="61"/>
  <c r="M58" i="61" s="1"/>
  <c r="B59" i="61"/>
  <c r="M59" i="61" s="1"/>
  <c r="B60" i="61"/>
  <c r="M60" i="61" s="1"/>
  <c r="B61" i="61"/>
  <c r="M61" i="61" s="1"/>
  <c r="B62" i="61"/>
  <c r="M62" i="61" s="1"/>
  <c r="B63" i="61"/>
  <c r="M63" i="61" s="1"/>
  <c r="B64" i="61"/>
  <c r="M64" i="61" s="1"/>
  <c r="B65" i="61"/>
  <c r="M65" i="61" s="1"/>
  <c r="B66" i="61"/>
  <c r="M66" i="61" s="1"/>
  <c r="B67" i="61"/>
  <c r="M67" i="61" s="1"/>
  <c r="B68" i="61"/>
  <c r="M68" i="61" s="1"/>
  <c r="B69" i="61"/>
  <c r="M69" i="61" s="1"/>
  <c r="B70" i="61"/>
  <c r="M70" i="61" s="1"/>
  <c r="B71" i="61"/>
  <c r="M71" i="61" s="1"/>
  <c r="B72" i="61"/>
  <c r="M72" i="61" s="1"/>
  <c r="B73" i="61"/>
  <c r="M73" i="61" s="1"/>
  <c r="B74" i="61"/>
  <c r="M74" i="61" s="1"/>
  <c r="B75" i="61"/>
  <c r="M75" i="61" s="1"/>
  <c r="B76" i="61"/>
  <c r="M76" i="61" s="1"/>
  <c r="B77" i="61"/>
  <c r="M77" i="61" s="1"/>
  <c r="B78" i="61"/>
  <c r="M78" i="61" s="1"/>
  <c r="B79" i="61"/>
  <c r="M79" i="61" s="1"/>
  <c r="B80" i="61"/>
  <c r="M80" i="61" s="1"/>
  <c r="B81" i="61"/>
  <c r="M81" i="61" s="1"/>
  <c r="B82" i="61"/>
  <c r="M82" i="61" s="1"/>
  <c r="B83" i="61"/>
  <c r="M83" i="61" s="1"/>
  <c r="B84" i="61"/>
  <c r="M84" i="61" s="1"/>
  <c r="B85" i="61"/>
  <c r="M85" i="61" s="1"/>
  <c r="B86" i="61"/>
  <c r="M86" i="61" s="1"/>
  <c r="B87" i="61"/>
  <c r="M87" i="61" s="1"/>
  <c r="B88" i="61"/>
  <c r="M88" i="61" s="1"/>
  <c r="B89" i="61"/>
  <c r="M89" i="61" s="1"/>
  <c r="B90" i="61"/>
  <c r="M90" i="61" s="1"/>
  <c r="B91" i="61"/>
  <c r="M91" i="61" s="1"/>
  <c r="B92" i="61"/>
  <c r="M92" i="61" s="1"/>
  <c r="B93" i="61"/>
  <c r="M93" i="61" s="1"/>
  <c r="B94" i="61"/>
  <c r="M94" i="61" s="1"/>
  <c r="B95" i="61"/>
  <c r="M95" i="61" s="1"/>
  <c r="B96" i="61"/>
  <c r="M96" i="61" s="1"/>
  <c r="B97" i="61"/>
  <c r="M97" i="61" s="1"/>
  <c r="B98" i="61"/>
  <c r="M98" i="61" s="1"/>
  <c r="B99" i="61"/>
  <c r="M99" i="61" s="1"/>
  <c r="B100" i="61"/>
  <c r="M100" i="61" s="1"/>
  <c r="B101" i="61"/>
  <c r="M101" i="61" s="1"/>
  <c r="B102" i="61"/>
  <c r="M102" i="61" s="1"/>
  <c r="B103" i="61"/>
  <c r="M103" i="61" s="1"/>
  <c r="B104" i="61"/>
  <c r="M104" i="61" s="1"/>
  <c r="B105" i="61"/>
  <c r="M105" i="61" s="1"/>
  <c r="B106" i="61"/>
  <c r="M106" i="61" s="1"/>
  <c r="B107" i="61"/>
  <c r="M107" i="61" s="1"/>
  <c r="B108" i="61"/>
  <c r="M108" i="61" s="1"/>
  <c r="B109" i="61"/>
  <c r="M109" i="61" s="1"/>
  <c r="B110" i="61"/>
  <c r="M110" i="61" s="1"/>
  <c r="B111" i="61"/>
  <c r="M111" i="61" s="1"/>
  <c r="B112" i="61"/>
  <c r="M112" i="61" s="1"/>
  <c r="B113" i="61"/>
  <c r="M113" i="61" s="1"/>
  <c r="B114" i="61"/>
  <c r="M114" i="61" s="1"/>
  <c r="B115" i="61"/>
  <c r="M115" i="61" s="1"/>
  <c r="B116" i="61"/>
  <c r="M116" i="61" s="1"/>
  <c r="B117" i="61"/>
  <c r="M117" i="61" s="1"/>
  <c r="B118" i="61"/>
  <c r="M118" i="61" s="1"/>
  <c r="B119" i="61"/>
  <c r="M119" i="61" s="1"/>
  <c r="B120" i="61"/>
  <c r="M120" i="61" s="1"/>
  <c r="B121" i="61"/>
  <c r="M121" i="61" s="1"/>
  <c r="B122" i="61"/>
  <c r="M122" i="61" s="1"/>
  <c r="B123" i="61"/>
  <c r="M123" i="61" s="1"/>
  <c r="B124" i="61"/>
  <c r="M124" i="61" s="1"/>
  <c r="B125" i="61"/>
  <c r="M125" i="61" s="1"/>
  <c r="B126" i="61"/>
  <c r="M126" i="61" s="1"/>
  <c r="B127" i="61"/>
  <c r="M127" i="61" s="1"/>
  <c r="B128" i="61"/>
  <c r="M128" i="61" s="1"/>
  <c r="B129" i="61"/>
  <c r="M129" i="61" s="1"/>
  <c r="B130" i="61"/>
  <c r="M130" i="61" s="1"/>
  <c r="B131" i="61"/>
  <c r="M131" i="61" s="1"/>
  <c r="B132" i="61"/>
  <c r="M132" i="61" s="1"/>
  <c r="B133" i="61"/>
  <c r="M133" i="61" s="1"/>
  <c r="B134" i="61"/>
  <c r="M134" i="61" s="1"/>
  <c r="B135" i="61"/>
  <c r="M135" i="61" s="1"/>
  <c r="B136" i="61"/>
  <c r="M136" i="61" s="1"/>
  <c r="B137" i="61"/>
  <c r="M137" i="61" s="1"/>
  <c r="B138" i="61"/>
  <c r="M138" i="61" s="1"/>
  <c r="B139" i="61"/>
  <c r="M139" i="61" s="1"/>
  <c r="B140" i="61"/>
  <c r="M140" i="61" s="1"/>
  <c r="B141" i="61"/>
  <c r="M141" i="61" s="1"/>
  <c r="B142" i="61"/>
  <c r="M142" i="61" s="1"/>
  <c r="B143" i="61"/>
  <c r="M143" i="61" s="1"/>
  <c r="B144" i="61"/>
  <c r="M144" i="61" s="1"/>
  <c r="B145" i="61"/>
  <c r="M145" i="61" s="1"/>
  <c r="B146" i="61"/>
  <c r="M146" i="61" s="1"/>
  <c r="B147" i="61"/>
  <c r="M147" i="61" s="1"/>
  <c r="B148" i="61"/>
  <c r="M148" i="61" s="1"/>
  <c r="B149" i="61"/>
  <c r="M149" i="61" s="1"/>
  <c r="B150" i="61"/>
  <c r="M150" i="61" s="1"/>
  <c r="B151" i="61"/>
  <c r="M151" i="61" s="1"/>
  <c r="B152" i="61"/>
  <c r="M152" i="61" s="1"/>
  <c r="B153" i="61"/>
  <c r="M153" i="61" s="1"/>
  <c r="B154" i="61"/>
  <c r="M154" i="61" s="1"/>
  <c r="B155" i="61"/>
  <c r="M155" i="61" s="1"/>
  <c r="B156" i="61"/>
  <c r="M156" i="61" s="1"/>
  <c r="B157" i="61"/>
  <c r="M157" i="61" s="1"/>
  <c r="B158" i="61"/>
  <c r="M158" i="61" s="1"/>
  <c r="B159" i="61"/>
  <c r="M159" i="61" s="1"/>
  <c r="B160" i="61"/>
  <c r="M160" i="61" s="1"/>
  <c r="B161" i="61"/>
  <c r="M161" i="61" s="1"/>
  <c r="B162" i="61"/>
  <c r="M162" i="61" s="1"/>
  <c r="B163" i="61"/>
  <c r="M163" i="61" s="1"/>
  <c r="B164" i="61"/>
  <c r="M164" i="61" s="1"/>
  <c r="B165" i="61"/>
  <c r="M165" i="61" s="1"/>
  <c r="B166" i="61"/>
  <c r="M166" i="61" s="1"/>
  <c r="B167" i="61"/>
  <c r="M167" i="61" s="1"/>
  <c r="B168" i="61"/>
  <c r="M168" i="61" s="1"/>
  <c r="B169" i="61"/>
  <c r="M169" i="61" s="1"/>
  <c r="B170" i="61"/>
  <c r="M170" i="61" s="1"/>
  <c r="B171" i="61"/>
  <c r="M171" i="61" s="1"/>
  <c r="B172" i="61"/>
  <c r="M172" i="61" s="1"/>
  <c r="B173" i="61"/>
  <c r="M173" i="61" s="1"/>
  <c r="B174" i="61"/>
  <c r="M174" i="61" s="1"/>
  <c r="B175" i="61"/>
  <c r="M175" i="61" s="1"/>
  <c r="B176" i="61"/>
  <c r="M176" i="61" s="1"/>
  <c r="B177" i="61"/>
  <c r="M177" i="61" s="1"/>
  <c r="B178" i="61"/>
  <c r="M178" i="61" s="1"/>
  <c r="B179" i="61"/>
  <c r="M179" i="61" s="1"/>
  <c r="B180" i="61"/>
  <c r="M180" i="61" s="1"/>
  <c r="B181" i="61"/>
  <c r="M181" i="61" s="1"/>
  <c r="B182" i="61"/>
  <c r="M182" i="61" s="1"/>
  <c r="B183" i="61"/>
  <c r="M183" i="61" s="1"/>
  <c r="B184" i="61"/>
  <c r="M184" i="61" s="1"/>
  <c r="B185" i="61"/>
  <c r="M185" i="61" s="1"/>
  <c r="B186" i="61"/>
  <c r="M186" i="61" s="1"/>
  <c r="B187" i="61"/>
  <c r="M187" i="61" s="1"/>
  <c r="B188" i="61"/>
  <c r="M188" i="61" s="1"/>
  <c r="B189" i="61"/>
  <c r="M189" i="61" s="1"/>
  <c r="B190" i="61"/>
  <c r="M190" i="61" s="1"/>
  <c r="B191" i="61"/>
  <c r="M191" i="61" s="1"/>
  <c r="B192" i="61"/>
  <c r="M192" i="61" s="1"/>
  <c r="B193" i="61"/>
  <c r="M193" i="61" s="1"/>
  <c r="B194" i="61"/>
  <c r="M194" i="61" s="1"/>
  <c r="B195" i="61"/>
  <c r="M195" i="61" s="1"/>
  <c r="B196" i="61"/>
  <c r="M196" i="61" s="1"/>
  <c r="B197" i="61"/>
  <c r="M197" i="61" s="1"/>
  <c r="B198" i="61"/>
  <c r="M198" i="61" s="1"/>
  <c r="B199" i="61"/>
  <c r="M199" i="61" s="1"/>
  <c r="B200" i="61"/>
  <c r="M200" i="61" s="1"/>
  <c r="B201" i="61"/>
  <c r="M201" i="61" s="1"/>
  <c r="B202" i="61"/>
  <c r="M202" i="61" s="1"/>
  <c r="B203" i="61"/>
  <c r="M203" i="61" s="1"/>
  <c r="B204" i="61"/>
  <c r="M204" i="61" s="1"/>
  <c r="B205" i="61"/>
  <c r="M205" i="61" s="1"/>
  <c r="B206" i="61"/>
  <c r="M206" i="61" s="1"/>
  <c r="B207" i="61"/>
  <c r="M207" i="61" s="1"/>
  <c r="B208" i="61"/>
  <c r="M208" i="61" s="1"/>
  <c r="B209" i="61"/>
  <c r="M209" i="61" s="1"/>
  <c r="B210" i="61"/>
  <c r="M210" i="61" s="1"/>
  <c r="B211" i="61"/>
  <c r="M211" i="61" s="1"/>
  <c r="B212" i="61"/>
  <c r="M212" i="61" s="1"/>
  <c r="B213" i="61"/>
  <c r="M213" i="61" s="1"/>
  <c r="B214" i="61"/>
  <c r="M214" i="61" s="1"/>
  <c r="B215" i="61"/>
  <c r="M215" i="61" s="1"/>
  <c r="B216" i="61"/>
  <c r="M216" i="61" s="1"/>
  <c r="B217" i="61"/>
  <c r="M217" i="61" s="1"/>
  <c r="B223" i="60"/>
  <c r="M223" i="60" s="1"/>
  <c r="B224" i="60"/>
  <c r="M224" i="60" s="1"/>
  <c r="B225" i="60"/>
  <c r="M225" i="60" s="1"/>
  <c r="B226" i="60"/>
  <c r="M226" i="60" s="1"/>
  <c r="B227" i="60"/>
  <c r="M227" i="60" s="1"/>
  <c r="B228" i="60"/>
  <c r="M228" i="60" s="1"/>
  <c r="B229" i="60"/>
  <c r="M229" i="60" s="1"/>
  <c r="B230" i="60"/>
  <c r="M230" i="60" s="1"/>
  <c r="B231" i="60"/>
  <c r="M231" i="60" s="1"/>
  <c r="B232" i="60"/>
  <c r="M232" i="60" s="1"/>
  <c r="B233" i="60"/>
  <c r="M233" i="60" s="1"/>
  <c r="B234" i="60"/>
  <c r="M234" i="60" s="1"/>
  <c r="B235" i="60"/>
  <c r="M235" i="60" s="1"/>
  <c r="B236" i="60"/>
  <c r="M236" i="60" s="1"/>
  <c r="B237" i="60"/>
  <c r="M237" i="60" s="1"/>
  <c r="B238" i="60"/>
  <c r="M238" i="60" s="1"/>
  <c r="B239" i="60"/>
  <c r="M239" i="60" s="1"/>
  <c r="B240" i="60"/>
  <c r="M240" i="60" s="1"/>
  <c r="B241" i="60"/>
  <c r="M241" i="60" s="1"/>
  <c r="B242" i="60"/>
  <c r="M242" i="60" s="1"/>
  <c r="B243" i="60"/>
  <c r="M243" i="60" s="1"/>
  <c r="B244" i="60"/>
  <c r="M244" i="60" s="1"/>
  <c r="B245" i="60"/>
  <c r="M245" i="60" s="1"/>
  <c r="B246" i="60"/>
  <c r="M246" i="60" s="1"/>
  <c r="B247" i="60"/>
  <c r="M247" i="60" s="1"/>
  <c r="B248" i="60"/>
  <c r="M248" i="60" s="1"/>
  <c r="B249" i="60"/>
  <c r="M249" i="60" s="1"/>
  <c r="B250" i="60"/>
  <c r="M250" i="60" s="1"/>
  <c r="B251" i="60"/>
  <c r="M251" i="60" s="1"/>
  <c r="B252" i="60"/>
  <c r="M252" i="60" s="1"/>
  <c r="B253" i="60"/>
  <c r="M253" i="60" s="1"/>
  <c r="B254" i="60"/>
  <c r="M254" i="60" s="1"/>
  <c r="B255" i="60"/>
  <c r="M255" i="60" s="1"/>
  <c r="B256" i="60"/>
  <c r="M256" i="60" s="1"/>
  <c r="B257" i="60"/>
  <c r="M257" i="60" s="1"/>
  <c r="B258" i="60"/>
  <c r="M258" i="60" s="1"/>
  <c r="B259" i="60"/>
  <c r="M259" i="60" s="1"/>
  <c r="B260" i="60"/>
  <c r="M260" i="60" s="1"/>
  <c r="B261" i="60"/>
  <c r="M261" i="60" s="1"/>
  <c r="B262" i="60"/>
  <c r="M262" i="60" s="1"/>
  <c r="B263" i="60"/>
  <c r="M263" i="60" s="1"/>
  <c r="B264" i="60"/>
  <c r="M264" i="60" s="1"/>
  <c r="B265" i="60"/>
  <c r="M265" i="60" s="1"/>
  <c r="B266" i="60"/>
  <c r="M266" i="60" s="1"/>
  <c r="B267" i="60"/>
  <c r="M267" i="60" s="1"/>
  <c r="B268" i="60"/>
  <c r="M268" i="60" s="1"/>
  <c r="B269" i="60"/>
  <c r="M269" i="60" s="1"/>
  <c r="B270" i="60"/>
  <c r="M270" i="60" s="1"/>
  <c r="B271" i="60"/>
  <c r="M271" i="60" s="1"/>
  <c r="B272" i="60"/>
  <c r="M272" i="60" s="1"/>
  <c r="B273" i="60"/>
  <c r="M273" i="60" s="1"/>
  <c r="B274" i="60"/>
  <c r="M274" i="60" s="1"/>
  <c r="B275" i="60"/>
  <c r="M275" i="60" s="1"/>
  <c r="B276" i="60"/>
  <c r="M276" i="60" s="1"/>
  <c r="B277" i="60"/>
  <c r="M277" i="60" s="1"/>
  <c r="B278" i="60"/>
  <c r="M278" i="60" s="1"/>
  <c r="B279" i="60"/>
  <c r="M279" i="60" s="1"/>
  <c r="B280" i="60"/>
  <c r="M280" i="60" s="1"/>
  <c r="B281" i="60"/>
  <c r="M281" i="60" s="1"/>
  <c r="B282" i="60"/>
  <c r="M282" i="60" s="1"/>
  <c r="B283" i="60"/>
  <c r="M283" i="60" s="1"/>
  <c r="B284" i="60"/>
  <c r="M284" i="60" s="1"/>
  <c r="B285" i="60"/>
  <c r="M285" i="60" s="1"/>
  <c r="B286" i="60"/>
  <c r="M286" i="60" s="1"/>
  <c r="B287" i="60"/>
  <c r="M287" i="60" s="1"/>
  <c r="B288" i="60"/>
  <c r="M288" i="60" s="1"/>
  <c r="B289" i="60"/>
  <c r="M289" i="60" s="1"/>
  <c r="B290" i="60"/>
  <c r="M290" i="60" s="1"/>
  <c r="B291" i="60"/>
  <c r="M291" i="60" s="1"/>
  <c r="B292" i="60"/>
  <c r="M292" i="60" s="1"/>
  <c r="B293" i="60"/>
  <c r="M293" i="60" s="1"/>
  <c r="B294" i="60"/>
  <c r="M294" i="60" s="1"/>
  <c r="B295" i="60"/>
  <c r="M295" i="60" s="1"/>
  <c r="B296" i="60"/>
  <c r="M296" i="60" s="1"/>
  <c r="B297" i="60"/>
  <c r="M297" i="60" s="1"/>
  <c r="B298" i="60"/>
  <c r="M298" i="60" s="1"/>
  <c r="B299" i="60"/>
  <c r="M299" i="60" s="1"/>
  <c r="B300" i="60"/>
  <c r="M300" i="60" s="1"/>
  <c r="B301" i="60"/>
  <c r="M301" i="60" s="1"/>
  <c r="B302" i="60"/>
  <c r="M302" i="60" s="1"/>
  <c r="B303" i="60"/>
  <c r="M303" i="60" s="1"/>
  <c r="B304" i="60"/>
  <c r="M304" i="60" s="1"/>
  <c r="B305" i="60"/>
  <c r="M305" i="60" s="1"/>
  <c r="B306" i="60"/>
  <c r="M306" i="60" s="1"/>
  <c r="B307" i="60"/>
  <c r="M307" i="60" s="1"/>
  <c r="B308" i="60"/>
  <c r="M308" i="60" s="1"/>
  <c r="B309" i="60"/>
  <c r="M309" i="60" s="1"/>
  <c r="B310" i="60"/>
  <c r="M310" i="60" s="1"/>
  <c r="B311" i="60"/>
  <c r="M311" i="60" s="1"/>
  <c r="B312" i="60"/>
  <c r="M312" i="60" s="1"/>
  <c r="B313" i="60"/>
  <c r="M313" i="60" s="1"/>
  <c r="B314" i="60"/>
  <c r="M314" i="60" s="1"/>
  <c r="B315" i="60"/>
  <c r="M315" i="60" s="1"/>
  <c r="B316" i="60"/>
  <c r="M316" i="60" s="1"/>
  <c r="B317" i="60"/>
  <c r="M317" i="60" s="1"/>
  <c r="B318" i="60"/>
  <c r="M318" i="60" s="1"/>
  <c r="B319" i="60"/>
  <c r="M319" i="60" s="1"/>
  <c r="B320" i="60"/>
  <c r="M320" i="60" s="1"/>
  <c r="B321" i="60"/>
  <c r="M321" i="60" s="1"/>
  <c r="B19" i="60"/>
  <c r="M19" i="60" s="1"/>
  <c r="B20" i="60"/>
  <c r="M20" i="60" s="1"/>
  <c r="B21" i="60"/>
  <c r="M21" i="60" s="1"/>
  <c r="B22" i="60"/>
  <c r="M22" i="60" s="1"/>
  <c r="B23" i="60"/>
  <c r="M23" i="60" s="1"/>
  <c r="B24" i="60"/>
  <c r="M24" i="60" s="1"/>
  <c r="B25" i="60"/>
  <c r="M25" i="60" s="1"/>
  <c r="B26" i="60"/>
  <c r="M26" i="60" s="1"/>
  <c r="B27" i="60"/>
  <c r="M27" i="60" s="1"/>
  <c r="B28" i="60"/>
  <c r="M28" i="60" s="1"/>
  <c r="B29" i="60"/>
  <c r="M29" i="60" s="1"/>
  <c r="B30" i="60"/>
  <c r="M30" i="60" s="1"/>
  <c r="B31" i="60"/>
  <c r="M31" i="60" s="1"/>
  <c r="B32" i="60"/>
  <c r="M32" i="60" s="1"/>
  <c r="B33" i="60"/>
  <c r="M33" i="60" s="1"/>
  <c r="B34" i="60"/>
  <c r="M34" i="60" s="1"/>
  <c r="B35" i="60"/>
  <c r="M35" i="60" s="1"/>
  <c r="B36" i="60"/>
  <c r="M36" i="60" s="1"/>
  <c r="B37" i="60"/>
  <c r="M37" i="60" s="1"/>
  <c r="B38" i="60"/>
  <c r="M38" i="60" s="1"/>
  <c r="B39" i="60"/>
  <c r="M39" i="60" s="1"/>
  <c r="B40" i="60"/>
  <c r="M40" i="60" s="1"/>
  <c r="B41" i="60"/>
  <c r="M41" i="60" s="1"/>
  <c r="B42" i="60"/>
  <c r="M42" i="60" s="1"/>
  <c r="B43" i="60"/>
  <c r="M43" i="60" s="1"/>
  <c r="B44" i="60"/>
  <c r="M44" i="60" s="1"/>
  <c r="B45" i="60"/>
  <c r="M45" i="60" s="1"/>
  <c r="B46" i="60"/>
  <c r="M46" i="60" s="1"/>
  <c r="B47" i="60"/>
  <c r="M47" i="60" s="1"/>
  <c r="B48" i="60"/>
  <c r="M48" i="60" s="1"/>
  <c r="B49" i="60"/>
  <c r="M49" i="60" s="1"/>
  <c r="B50" i="60"/>
  <c r="M50" i="60" s="1"/>
  <c r="B51" i="60"/>
  <c r="M51" i="60" s="1"/>
  <c r="M52" i="60"/>
  <c r="B53" i="60"/>
  <c r="M53" i="60" s="1"/>
  <c r="B54" i="60"/>
  <c r="M54" i="60" s="1"/>
  <c r="B55" i="60"/>
  <c r="M55" i="60" s="1"/>
  <c r="B56" i="60"/>
  <c r="M56" i="60" s="1"/>
  <c r="B57" i="60"/>
  <c r="M57" i="60" s="1"/>
  <c r="B58" i="60"/>
  <c r="M58" i="60" s="1"/>
  <c r="B59" i="60"/>
  <c r="M59" i="60" s="1"/>
  <c r="B60" i="60"/>
  <c r="M60" i="60" s="1"/>
  <c r="B61" i="60"/>
  <c r="M61" i="60" s="1"/>
  <c r="B62" i="60"/>
  <c r="M62" i="60" s="1"/>
  <c r="B63" i="60"/>
  <c r="M63" i="60" s="1"/>
  <c r="B64" i="60"/>
  <c r="M64" i="60" s="1"/>
  <c r="B65" i="60"/>
  <c r="M65" i="60" s="1"/>
  <c r="B66" i="60"/>
  <c r="M66" i="60" s="1"/>
  <c r="B67" i="60"/>
  <c r="M67" i="60" s="1"/>
  <c r="B68" i="60"/>
  <c r="M68" i="60" s="1"/>
  <c r="B69" i="60"/>
  <c r="M69" i="60" s="1"/>
  <c r="B70" i="60"/>
  <c r="M70" i="60" s="1"/>
  <c r="B71" i="60"/>
  <c r="M71" i="60" s="1"/>
  <c r="B72" i="60"/>
  <c r="M72" i="60" s="1"/>
  <c r="B73" i="60"/>
  <c r="M73" i="60" s="1"/>
  <c r="B74" i="60"/>
  <c r="M74" i="60" s="1"/>
  <c r="B75" i="60"/>
  <c r="M75" i="60" s="1"/>
  <c r="B76" i="60"/>
  <c r="M76" i="60" s="1"/>
  <c r="B77" i="60"/>
  <c r="M77" i="60" s="1"/>
  <c r="B78" i="60"/>
  <c r="M78" i="60" s="1"/>
  <c r="B79" i="60"/>
  <c r="M79" i="60" s="1"/>
  <c r="B80" i="60"/>
  <c r="M80" i="60" s="1"/>
  <c r="B81" i="60"/>
  <c r="M81" i="60" s="1"/>
  <c r="B82" i="60"/>
  <c r="M82" i="60" s="1"/>
  <c r="B83" i="60"/>
  <c r="M83" i="60" s="1"/>
  <c r="B84" i="60"/>
  <c r="M84" i="60" s="1"/>
  <c r="B85" i="60"/>
  <c r="M85" i="60" s="1"/>
  <c r="B86" i="60"/>
  <c r="M86" i="60" s="1"/>
  <c r="B87" i="60"/>
  <c r="M87" i="60" s="1"/>
  <c r="B88" i="60"/>
  <c r="M88" i="60" s="1"/>
  <c r="B89" i="60"/>
  <c r="M89" i="60" s="1"/>
  <c r="B90" i="60"/>
  <c r="M90" i="60" s="1"/>
  <c r="B91" i="60"/>
  <c r="M91" i="60" s="1"/>
  <c r="B92" i="60"/>
  <c r="M92" i="60" s="1"/>
  <c r="B93" i="60"/>
  <c r="M93" i="60" s="1"/>
  <c r="B94" i="60"/>
  <c r="M94" i="60" s="1"/>
  <c r="B95" i="60"/>
  <c r="M95" i="60" s="1"/>
  <c r="B96" i="60"/>
  <c r="M96" i="60" s="1"/>
  <c r="B97" i="60"/>
  <c r="M97" i="60" s="1"/>
  <c r="B98" i="60"/>
  <c r="M98" i="60" s="1"/>
  <c r="B99" i="60"/>
  <c r="M99" i="60" s="1"/>
  <c r="B100" i="60"/>
  <c r="M100" i="60" s="1"/>
  <c r="B101" i="60"/>
  <c r="M101" i="60" s="1"/>
  <c r="B102" i="60"/>
  <c r="M102" i="60" s="1"/>
  <c r="B103" i="60"/>
  <c r="M103" i="60" s="1"/>
  <c r="B104" i="60"/>
  <c r="M104" i="60" s="1"/>
  <c r="B105" i="60"/>
  <c r="M105" i="60" s="1"/>
  <c r="B106" i="60"/>
  <c r="M106" i="60" s="1"/>
  <c r="B107" i="60"/>
  <c r="M107" i="60" s="1"/>
  <c r="B108" i="60"/>
  <c r="M108" i="60" s="1"/>
  <c r="B109" i="60"/>
  <c r="M109" i="60" s="1"/>
  <c r="B110" i="60"/>
  <c r="M110" i="60" s="1"/>
  <c r="B111" i="60"/>
  <c r="M111" i="60" s="1"/>
  <c r="B112" i="60"/>
  <c r="M112" i="60" s="1"/>
  <c r="B113" i="60"/>
  <c r="M113" i="60" s="1"/>
  <c r="B114" i="60"/>
  <c r="M114" i="60" s="1"/>
  <c r="B115" i="60"/>
  <c r="M115" i="60" s="1"/>
  <c r="B116" i="60"/>
  <c r="M116" i="60" s="1"/>
  <c r="B117" i="60"/>
  <c r="M117" i="60" s="1"/>
  <c r="B118" i="60"/>
  <c r="M118" i="60" s="1"/>
  <c r="B119" i="60"/>
  <c r="M119" i="60" s="1"/>
  <c r="B120" i="60"/>
  <c r="M120" i="60" s="1"/>
  <c r="B121" i="60"/>
  <c r="M121" i="60" s="1"/>
  <c r="B122" i="60"/>
  <c r="M122" i="60" s="1"/>
  <c r="B123" i="60"/>
  <c r="M123" i="60" s="1"/>
  <c r="B124" i="60"/>
  <c r="M124" i="60" s="1"/>
  <c r="B125" i="60"/>
  <c r="M125" i="60" s="1"/>
  <c r="B126" i="60"/>
  <c r="M126" i="60" s="1"/>
  <c r="B127" i="60"/>
  <c r="M127" i="60" s="1"/>
  <c r="B128" i="60"/>
  <c r="M128" i="60" s="1"/>
  <c r="B129" i="60"/>
  <c r="M129" i="60" s="1"/>
  <c r="B130" i="60"/>
  <c r="M130" i="60" s="1"/>
  <c r="B131" i="60"/>
  <c r="M131" i="60" s="1"/>
  <c r="B132" i="60"/>
  <c r="M132" i="60" s="1"/>
  <c r="B133" i="60"/>
  <c r="M133" i="60" s="1"/>
  <c r="B134" i="60"/>
  <c r="M134" i="60" s="1"/>
  <c r="B135" i="60"/>
  <c r="M135" i="60" s="1"/>
  <c r="B136" i="60"/>
  <c r="M136" i="60" s="1"/>
  <c r="B137" i="60"/>
  <c r="M137" i="60" s="1"/>
  <c r="B138" i="60"/>
  <c r="M138" i="60" s="1"/>
  <c r="B139" i="60"/>
  <c r="M139" i="60" s="1"/>
  <c r="B140" i="60"/>
  <c r="M140" i="60" s="1"/>
  <c r="B141" i="60"/>
  <c r="M141" i="60" s="1"/>
  <c r="B142" i="60"/>
  <c r="M142" i="60" s="1"/>
  <c r="B143" i="60"/>
  <c r="M143" i="60" s="1"/>
  <c r="B144" i="60"/>
  <c r="M144" i="60" s="1"/>
  <c r="B145" i="60"/>
  <c r="M145" i="60" s="1"/>
  <c r="B146" i="60"/>
  <c r="M146" i="60" s="1"/>
  <c r="B147" i="60"/>
  <c r="M147" i="60" s="1"/>
  <c r="B148" i="60"/>
  <c r="M148" i="60" s="1"/>
  <c r="B149" i="60"/>
  <c r="M149" i="60" s="1"/>
  <c r="B150" i="60"/>
  <c r="M150" i="60" s="1"/>
  <c r="B151" i="60"/>
  <c r="M151" i="60" s="1"/>
  <c r="B152" i="60"/>
  <c r="M152" i="60" s="1"/>
  <c r="B153" i="60"/>
  <c r="M153" i="60" s="1"/>
  <c r="B154" i="60"/>
  <c r="M154" i="60" s="1"/>
  <c r="B155" i="60"/>
  <c r="M155" i="60" s="1"/>
  <c r="B156" i="60"/>
  <c r="M156" i="60" s="1"/>
  <c r="B157" i="60"/>
  <c r="M157" i="60" s="1"/>
  <c r="B158" i="60"/>
  <c r="M158" i="60" s="1"/>
  <c r="B159" i="60"/>
  <c r="M159" i="60" s="1"/>
  <c r="B160" i="60"/>
  <c r="M160" i="60" s="1"/>
  <c r="B161" i="60"/>
  <c r="M161" i="60" s="1"/>
  <c r="B162" i="60"/>
  <c r="M162" i="60" s="1"/>
  <c r="B163" i="60"/>
  <c r="M163" i="60" s="1"/>
  <c r="B164" i="60"/>
  <c r="M164" i="60" s="1"/>
  <c r="B165" i="60"/>
  <c r="M165" i="60" s="1"/>
  <c r="B166" i="60"/>
  <c r="M166" i="60" s="1"/>
  <c r="B167" i="60"/>
  <c r="M167" i="60" s="1"/>
  <c r="B168" i="60"/>
  <c r="M168" i="60" s="1"/>
  <c r="B169" i="60"/>
  <c r="M169" i="60" s="1"/>
  <c r="B170" i="60"/>
  <c r="M170" i="60" s="1"/>
  <c r="B171" i="60"/>
  <c r="M171" i="60" s="1"/>
  <c r="B172" i="60"/>
  <c r="M172" i="60" s="1"/>
  <c r="B173" i="60"/>
  <c r="M173" i="60" s="1"/>
  <c r="B174" i="60"/>
  <c r="M174" i="60" s="1"/>
  <c r="B175" i="60"/>
  <c r="M175" i="60" s="1"/>
  <c r="B176" i="60"/>
  <c r="M176" i="60" s="1"/>
  <c r="B177" i="60"/>
  <c r="M177" i="60" s="1"/>
  <c r="B178" i="60"/>
  <c r="M178" i="60" s="1"/>
  <c r="B179" i="60"/>
  <c r="M179" i="60" s="1"/>
  <c r="B180" i="60"/>
  <c r="M180" i="60" s="1"/>
  <c r="B181" i="60"/>
  <c r="M181" i="60" s="1"/>
  <c r="B182" i="60"/>
  <c r="M182" i="60" s="1"/>
  <c r="B183" i="60"/>
  <c r="M183" i="60" s="1"/>
  <c r="B184" i="60"/>
  <c r="M184" i="60" s="1"/>
  <c r="B185" i="60"/>
  <c r="M185" i="60" s="1"/>
  <c r="B186" i="60"/>
  <c r="M186" i="60" s="1"/>
  <c r="B187" i="60"/>
  <c r="M187" i="60" s="1"/>
  <c r="B188" i="60"/>
  <c r="M188" i="60" s="1"/>
  <c r="B189" i="60"/>
  <c r="M189" i="60" s="1"/>
  <c r="B190" i="60"/>
  <c r="M190" i="60" s="1"/>
  <c r="B191" i="60"/>
  <c r="M191" i="60" s="1"/>
  <c r="B192" i="60"/>
  <c r="M192" i="60" s="1"/>
  <c r="B193" i="60"/>
  <c r="M193" i="60" s="1"/>
  <c r="B194" i="60"/>
  <c r="M194" i="60" s="1"/>
  <c r="B195" i="60"/>
  <c r="M195" i="60" s="1"/>
  <c r="B196" i="60"/>
  <c r="M196" i="60" s="1"/>
  <c r="B197" i="60"/>
  <c r="M197" i="60" s="1"/>
  <c r="B198" i="60"/>
  <c r="M198" i="60" s="1"/>
  <c r="B199" i="60"/>
  <c r="M199" i="60" s="1"/>
  <c r="B200" i="60"/>
  <c r="M200" i="60" s="1"/>
  <c r="B201" i="60"/>
  <c r="M201" i="60" s="1"/>
  <c r="B202" i="60"/>
  <c r="M202" i="60" s="1"/>
  <c r="B203" i="60"/>
  <c r="M203" i="60" s="1"/>
  <c r="B204" i="60"/>
  <c r="M204" i="60" s="1"/>
  <c r="B205" i="60"/>
  <c r="M205" i="60" s="1"/>
  <c r="B206" i="60"/>
  <c r="M206" i="60" s="1"/>
  <c r="B207" i="60"/>
  <c r="M207" i="60" s="1"/>
  <c r="B208" i="60"/>
  <c r="M208" i="60" s="1"/>
  <c r="B209" i="60"/>
  <c r="M209" i="60" s="1"/>
  <c r="B210" i="60"/>
  <c r="M210" i="60" s="1"/>
  <c r="B211" i="60"/>
  <c r="M211" i="60" s="1"/>
  <c r="B212" i="60"/>
  <c r="M212" i="60" s="1"/>
  <c r="B213" i="60"/>
  <c r="M213" i="60" s="1"/>
  <c r="B214" i="60"/>
  <c r="M214" i="60" s="1"/>
  <c r="B215" i="60"/>
  <c r="M215" i="60" s="1"/>
  <c r="B216" i="60"/>
  <c r="M216" i="60" s="1"/>
  <c r="B217" i="60"/>
  <c r="M217" i="60" s="1"/>
  <c r="B223" i="59"/>
  <c r="M223" i="59" s="1"/>
  <c r="B224" i="59"/>
  <c r="M224" i="59" s="1"/>
  <c r="B225" i="59"/>
  <c r="M225" i="59" s="1"/>
  <c r="B226" i="59"/>
  <c r="M226" i="59" s="1"/>
  <c r="B227" i="59"/>
  <c r="M227" i="59" s="1"/>
  <c r="B228" i="59"/>
  <c r="M228" i="59" s="1"/>
  <c r="B229" i="59"/>
  <c r="M229" i="59" s="1"/>
  <c r="B230" i="59"/>
  <c r="M230" i="59" s="1"/>
  <c r="B231" i="59"/>
  <c r="M231" i="59" s="1"/>
  <c r="B232" i="59"/>
  <c r="M232" i="59" s="1"/>
  <c r="B233" i="59"/>
  <c r="M233" i="59" s="1"/>
  <c r="B234" i="59"/>
  <c r="M234" i="59" s="1"/>
  <c r="B235" i="59"/>
  <c r="M235" i="59" s="1"/>
  <c r="B236" i="59"/>
  <c r="M236" i="59" s="1"/>
  <c r="B237" i="59"/>
  <c r="M237" i="59" s="1"/>
  <c r="B238" i="59"/>
  <c r="M238" i="59" s="1"/>
  <c r="B239" i="59"/>
  <c r="M239" i="59" s="1"/>
  <c r="B240" i="59"/>
  <c r="M240" i="59" s="1"/>
  <c r="B241" i="59"/>
  <c r="M241" i="59" s="1"/>
  <c r="M242" i="59"/>
  <c r="M243" i="59"/>
  <c r="M244" i="59"/>
  <c r="M245" i="59"/>
  <c r="M246" i="59"/>
  <c r="M247" i="59"/>
  <c r="M248" i="59"/>
  <c r="M249" i="59"/>
  <c r="M250" i="59"/>
  <c r="M251" i="59"/>
  <c r="M252" i="59"/>
  <c r="M253" i="59"/>
  <c r="M254" i="59"/>
  <c r="M255" i="59"/>
  <c r="M256" i="59"/>
  <c r="M257" i="59"/>
  <c r="M258" i="59"/>
  <c r="M259" i="59"/>
  <c r="M260" i="59"/>
  <c r="M261" i="59"/>
  <c r="M262" i="59"/>
  <c r="M263" i="59"/>
  <c r="M264" i="59"/>
  <c r="M265" i="59"/>
  <c r="M266" i="59"/>
  <c r="M267" i="59"/>
  <c r="M268" i="59"/>
  <c r="M269" i="59"/>
  <c r="M270" i="59"/>
  <c r="M271" i="59"/>
  <c r="B272" i="59"/>
  <c r="M272" i="59" s="1"/>
  <c r="B273" i="59"/>
  <c r="M273" i="59" s="1"/>
  <c r="B274" i="59"/>
  <c r="M274" i="59" s="1"/>
  <c r="B275" i="59"/>
  <c r="M275" i="59" s="1"/>
  <c r="B276" i="59"/>
  <c r="M276" i="59" s="1"/>
  <c r="B277" i="59"/>
  <c r="M277" i="59" s="1"/>
  <c r="B278" i="59"/>
  <c r="M278" i="59" s="1"/>
  <c r="B279" i="59"/>
  <c r="M279" i="59" s="1"/>
  <c r="B280" i="59"/>
  <c r="M280" i="59" s="1"/>
  <c r="B281" i="59"/>
  <c r="M281" i="59" s="1"/>
  <c r="B282" i="59"/>
  <c r="M282" i="59" s="1"/>
  <c r="B283" i="59"/>
  <c r="M283" i="59" s="1"/>
  <c r="B284" i="59"/>
  <c r="M284" i="59" s="1"/>
  <c r="B285" i="59"/>
  <c r="M285" i="59" s="1"/>
  <c r="B286" i="59"/>
  <c r="M286" i="59" s="1"/>
  <c r="B287" i="59"/>
  <c r="M287" i="59" s="1"/>
  <c r="B288" i="59"/>
  <c r="M288" i="59" s="1"/>
  <c r="B289" i="59"/>
  <c r="M289" i="59" s="1"/>
  <c r="B290" i="59"/>
  <c r="M290" i="59" s="1"/>
  <c r="B291" i="59"/>
  <c r="M291" i="59" s="1"/>
  <c r="B292" i="59"/>
  <c r="M292" i="59" s="1"/>
  <c r="B293" i="59"/>
  <c r="M293" i="59" s="1"/>
  <c r="B294" i="59"/>
  <c r="M294" i="59" s="1"/>
  <c r="B295" i="59"/>
  <c r="M295" i="59" s="1"/>
  <c r="B296" i="59"/>
  <c r="M296" i="59" s="1"/>
  <c r="B297" i="59"/>
  <c r="M297" i="59" s="1"/>
  <c r="B298" i="59"/>
  <c r="M298" i="59" s="1"/>
  <c r="B299" i="59"/>
  <c r="M299" i="59" s="1"/>
  <c r="B300" i="59"/>
  <c r="M300" i="59" s="1"/>
  <c r="B301" i="59"/>
  <c r="M301" i="59" s="1"/>
  <c r="B302" i="59"/>
  <c r="M302" i="59" s="1"/>
  <c r="B303" i="59"/>
  <c r="M303" i="59" s="1"/>
  <c r="B304" i="59"/>
  <c r="M304" i="59" s="1"/>
  <c r="B305" i="59"/>
  <c r="M305" i="59" s="1"/>
  <c r="B306" i="59"/>
  <c r="M306" i="59" s="1"/>
  <c r="B307" i="59"/>
  <c r="M307" i="59" s="1"/>
  <c r="B308" i="59"/>
  <c r="M308" i="59" s="1"/>
  <c r="B309" i="59"/>
  <c r="M309" i="59" s="1"/>
  <c r="B310" i="59"/>
  <c r="M310" i="59" s="1"/>
  <c r="B311" i="59"/>
  <c r="M311" i="59" s="1"/>
  <c r="B312" i="59"/>
  <c r="M312" i="59" s="1"/>
  <c r="B313" i="59"/>
  <c r="M313" i="59" s="1"/>
  <c r="B314" i="59"/>
  <c r="M314" i="59" s="1"/>
  <c r="B315" i="59"/>
  <c r="M315" i="59" s="1"/>
  <c r="B316" i="59"/>
  <c r="M316" i="59" s="1"/>
  <c r="B317" i="59"/>
  <c r="M317" i="59" s="1"/>
  <c r="B318" i="59"/>
  <c r="M318" i="59" s="1"/>
  <c r="B319" i="59"/>
  <c r="M319" i="59" s="1"/>
  <c r="B320" i="59"/>
  <c r="M320" i="59" s="1"/>
  <c r="B321" i="59"/>
  <c r="M321" i="59" s="1"/>
  <c r="B223" i="55"/>
  <c r="M223" i="55" s="1"/>
  <c r="B224" i="55"/>
  <c r="M224" i="55" s="1"/>
  <c r="B225" i="55"/>
  <c r="M225" i="55" s="1"/>
  <c r="B226" i="55"/>
  <c r="M226" i="55" s="1"/>
  <c r="B227" i="55"/>
  <c r="M227" i="55" s="1"/>
  <c r="B228" i="55"/>
  <c r="M228" i="55" s="1"/>
  <c r="B229" i="55"/>
  <c r="M229" i="55" s="1"/>
  <c r="B230" i="55"/>
  <c r="M230" i="55" s="1"/>
  <c r="B231" i="55"/>
  <c r="M231" i="55" s="1"/>
  <c r="B232" i="55"/>
  <c r="M232" i="55" s="1"/>
  <c r="B233" i="55"/>
  <c r="M233" i="55" s="1"/>
  <c r="B234" i="55"/>
  <c r="M234" i="55" s="1"/>
  <c r="B235" i="55"/>
  <c r="M235" i="55" s="1"/>
  <c r="B236" i="55"/>
  <c r="M236" i="55" s="1"/>
  <c r="B237" i="55"/>
  <c r="M237" i="55" s="1"/>
  <c r="B238" i="55"/>
  <c r="M238" i="55" s="1"/>
  <c r="B239" i="55"/>
  <c r="M239" i="55" s="1"/>
  <c r="B240" i="55"/>
  <c r="M240" i="55" s="1"/>
  <c r="B241" i="55"/>
  <c r="M241" i="55" s="1"/>
  <c r="B242" i="55"/>
  <c r="M242" i="55" s="1"/>
  <c r="B243" i="55"/>
  <c r="M243" i="55" s="1"/>
  <c r="B244" i="55"/>
  <c r="M244" i="55" s="1"/>
  <c r="B245" i="55"/>
  <c r="M245" i="55" s="1"/>
  <c r="B246" i="55"/>
  <c r="M246" i="55" s="1"/>
  <c r="B247" i="55"/>
  <c r="M247" i="55" s="1"/>
  <c r="B248" i="55"/>
  <c r="M248" i="55" s="1"/>
  <c r="B249" i="55"/>
  <c r="M249" i="55" s="1"/>
  <c r="B250" i="55"/>
  <c r="M250" i="55" s="1"/>
  <c r="B251" i="55"/>
  <c r="M251" i="55" s="1"/>
  <c r="B252" i="55"/>
  <c r="M252" i="55" s="1"/>
  <c r="B253" i="55"/>
  <c r="M253" i="55" s="1"/>
  <c r="B254" i="55"/>
  <c r="M254" i="55" s="1"/>
  <c r="B255" i="55"/>
  <c r="M255" i="55" s="1"/>
  <c r="B256" i="55"/>
  <c r="M256" i="55" s="1"/>
  <c r="B257" i="55"/>
  <c r="M257" i="55" s="1"/>
  <c r="B258" i="55"/>
  <c r="M258" i="55" s="1"/>
  <c r="B259" i="55"/>
  <c r="M259" i="55" s="1"/>
  <c r="B260" i="55"/>
  <c r="M260" i="55" s="1"/>
  <c r="B261" i="55"/>
  <c r="M261" i="55" s="1"/>
  <c r="B262" i="55"/>
  <c r="M262" i="55" s="1"/>
  <c r="B263" i="55"/>
  <c r="M263" i="55" s="1"/>
  <c r="B264" i="55"/>
  <c r="M264" i="55" s="1"/>
  <c r="B265" i="55"/>
  <c r="M265" i="55" s="1"/>
  <c r="B266" i="55"/>
  <c r="M266" i="55" s="1"/>
  <c r="B267" i="55"/>
  <c r="M267" i="55" s="1"/>
  <c r="B268" i="55"/>
  <c r="M268" i="55" s="1"/>
  <c r="B269" i="55"/>
  <c r="M269" i="55" s="1"/>
  <c r="B270" i="55"/>
  <c r="M270" i="55" s="1"/>
  <c r="B271" i="55"/>
  <c r="M271" i="55" s="1"/>
  <c r="B272" i="55"/>
  <c r="M272" i="55" s="1"/>
  <c r="B273" i="55"/>
  <c r="M273" i="55" s="1"/>
  <c r="B274" i="55"/>
  <c r="M274" i="55" s="1"/>
  <c r="B275" i="55"/>
  <c r="M275" i="55" s="1"/>
  <c r="B276" i="55"/>
  <c r="M276" i="55" s="1"/>
  <c r="B277" i="55"/>
  <c r="M277" i="55" s="1"/>
  <c r="B278" i="55"/>
  <c r="M278" i="55" s="1"/>
  <c r="B279" i="55"/>
  <c r="M279" i="55" s="1"/>
  <c r="B280" i="55"/>
  <c r="M280" i="55" s="1"/>
  <c r="B281" i="55"/>
  <c r="M281" i="55" s="1"/>
  <c r="B282" i="55"/>
  <c r="M282" i="55" s="1"/>
  <c r="B283" i="55"/>
  <c r="M283" i="55" s="1"/>
  <c r="B284" i="55"/>
  <c r="M284" i="55" s="1"/>
  <c r="B285" i="55"/>
  <c r="M285" i="55" s="1"/>
  <c r="B286" i="55"/>
  <c r="M286" i="55" s="1"/>
  <c r="B287" i="55"/>
  <c r="M287" i="55" s="1"/>
  <c r="B288" i="55"/>
  <c r="M288" i="55" s="1"/>
  <c r="B289" i="55"/>
  <c r="M289" i="55" s="1"/>
  <c r="B290" i="55"/>
  <c r="M290" i="55" s="1"/>
  <c r="B291" i="55"/>
  <c r="M291" i="55" s="1"/>
  <c r="B292" i="55"/>
  <c r="M292" i="55" s="1"/>
  <c r="B293" i="55"/>
  <c r="M293" i="55" s="1"/>
  <c r="B294" i="55"/>
  <c r="M294" i="55" s="1"/>
  <c r="B295" i="55"/>
  <c r="M295" i="55" s="1"/>
  <c r="B296" i="55"/>
  <c r="M296" i="55" s="1"/>
  <c r="B297" i="55"/>
  <c r="M297" i="55" s="1"/>
  <c r="B298" i="55"/>
  <c r="M298" i="55" s="1"/>
  <c r="B299" i="55"/>
  <c r="M299" i="55" s="1"/>
  <c r="B300" i="55"/>
  <c r="M300" i="55" s="1"/>
  <c r="B301" i="55"/>
  <c r="M301" i="55" s="1"/>
  <c r="B302" i="55"/>
  <c r="M302" i="55" s="1"/>
  <c r="B303" i="55"/>
  <c r="M303" i="55" s="1"/>
  <c r="B304" i="55"/>
  <c r="M304" i="55" s="1"/>
  <c r="B305" i="55"/>
  <c r="M305" i="55" s="1"/>
  <c r="B306" i="55"/>
  <c r="M306" i="55" s="1"/>
  <c r="B307" i="55"/>
  <c r="M307" i="55" s="1"/>
  <c r="B308" i="55"/>
  <c r="M308" i="55" s="1"/>
  <c r="B309" i="55"/>
  <c r="M309" i="55" s="1"/>
  <c r="B310" i="55"/>
  <c r="M310" i="55" s="1"/>
  <c r="B311" i="55"/>
  <c r="M311" i="55" s="1"/>
  <c r="B312" i="55"/>
  <c r="M312" i="55" s="1"/>
  <c r="B313" i="55"/>
  <c r="M313" i="55" s="1"/>
  <c r="B314" i="55"/>
  <c r="M314" i="55" s="1"/>
  <c r="B315" i="55"/>
  <c r="M315" i="55" s="1"/>
  <c r="B316" i="55"/>
  <c r="M316" i="55" s="1"/>
  <c r="B317" i="55"/>
  <c r="M317" i="55" s="1"/>
  <c r="B318" i="55"/>
  <c r="M318" i="55" s="1"/>
  <c r="B319" i="55"/>
  <c r="M319" i="55" s="1"/>
  <c r="B320" i="55"/>
  <c r="M320" i="55" s="1"/>
  <c r="B321" i="55"/>
  <c r="M321" i="55" s="1"/>
  <c r="B19" i="55"/>
  <c r="M19" i="55" s="1"/>
  <c r="B20" i="55"/>
  <c r="M20" i="55" s="1"/>
  <c r="B28" i="55"/>
  <c r="M28" i="55" s="1"/>
  <c r="B58" i="55"/>
  <c r="M58" i="55" s="1"/>
  <c r="B59" i="55"/>
  <c r="M59" i="55" s="1"/>
  <c r="B60" i="55"/>
  <c r="M60" i="55" s="1"/>
  <c r="B61" i="55"/>
  <c r="M61" i="55" s="1"/>
  <c r="B62" i="55"/>
  <c r="M62" i="55" s="1"/>
  <c r="B63" i="55"/>
  <c r="M63" i="55" s="1"/>
  <c r="B64" i="55"/>
  <c r="M64" i="55" s="1"/>
  <c r="B65" i="55"/>
  <c r="M65" i="55" s="1"/>
  <c r="B66" i="55"/>
  <c r="M66" i="55" s="1"/>
  <c r="B67" i="55"/>
  <c r="M67" i="55" s="1"/>
  <c r="B68" i="55"/>
  <c r="M68" i="55" s="1"/>
  <c r="B69" i="55"/>
  <c r="M69" i="55" s="1"/>
  <c r="B70" i="55"/>
  <c r="M70" i="55" s="1"/>
  <c r="B71" i="55"/>
  <c r="M71" i="55" s="1"/>
  <c r="B72" i="55"/>
  <c r="M72" i="55" s="1"/>
  <c r="B73" i="55"/>
  <c r="M73" i="55" s="1"/>
  <c r="B74" i="55"/>
  <c r="M74" i="55" s="1"/>
  <c r="B75" i="55"/>
  <c r="M75" i="55" s="1"/>
  <c r="B76" i="55"/>
  <c r="M76" i="55" s="1"/>
  <c r="B77" i="55"/>
  <c r="M77" i="55" s="1"/>
  <c r="B78" i="55"/>
  <c r="M78" i="55" s="1"/>
  <c r="B79" i="55"/>
  <c r="M79" i="55" s="1"/>
  <c r="B80" i="55"/>
  <c r="M80" i="55" s="1"/>
  <c r="B81" i="55"/>
  <c r="M81" i="55" s="1"/>
  <c r="B82" i="55"/>
  <c r="M82" i="55" s="1"/>
  <c r="B83" i="55"/>
  <c r="M83" i="55" s="1"/>
  <c r="B84" i="55"/>
  <c r="M84" i="55" s="1"/>
  <c r="B85" i="55"/>
  <c r="M85" i="55" s="1"/>
  <c r="B86" i="55"/>
  <c r="M86" i="55" s="1"/>
  <c r="B87" i="55"/>
  <c r="M87" i="55" s="1"/>
  <c r="B88" i="55"/>
  <c r="M88" i="55" s="1"/>
  <c r="B89" i="55"/>
  <c r="M89" i="55" s="1"/>
  <c r="B90" i="55"/>
  <c r="M90" i="55" s="1"/>
  <c r="B91" i="55"/>
  <c r="M91" i="55" s="1"/>
  <c r="B92" i="55"/>
  <c r="M92" i="55" s="1"/>
  <c r="B93" i="55"/>
  <c r="M93" i="55" s="1"/>
  <c r="B94" i="55"/>
  <c r="M94" i="55" s="1"/>
  <c r="B95" i="55"/>
  <c r="M95" i="55" s="1"/>
  <c r="B96" i="55"/>
  <c r="M96" i="55" s="1"/>
  <c r="B97" i="55"/>
  <c r="M97" i="55" s="1"/>
  <c r="B98" i="55"/>
  <c r="M98" i="55" s="1"/>
  <c r="B99" i="55"/>
  <c r="M99" i="55" s="1"/>
  <c r="B100" i="55"/>
  <c r="M100" i="55" s="1"/>
  <c r="B101" i="55"/>
  <c r="M101" i="55" s="1"/>
  <c r="B102" i="55"/>
  <c r="M102" i="55" s="1"/>
  <c r="B103" i="55"/>
  <c r="M103" i="55" s="1"/>
  <c r="B104" i="55"/>
  <c r="M104" i="55" s="1"/>
  <c r="B105" i="55"/>
  <c r="M105" i="55" s="1"/>
  <c r="B106" i="55"/>
  <c r="M106" i="55" s="1"/>
  <c r="B107" i="55"/>
  <c r="M107" i="55" s="1"/>
  <c r="B108" i="55"/>
  <c r="M108" i="55" s="1"/>
  <c r="B109" i="55"/>
  <c r="M109" i="55" s="1"/>
  <c r="B110" i="55"/>
  <c r="M110" i="55" s="1"/>
  <c r="B111" i="55"/>
  <c r="M111" i="55" s="1"/>
  <c r="B112" i="55"/>
  <c r="M112" i="55" s="1"/>
  <c r="B113" i="55"/>
  <c r="M113" i="55" s="1"/>
  <c r="B114" i="55"/>
  <c r="M114" i="55" s="1"/>
  <c r="B115" i="55"/>
  <c r="M115" i="55" s="1"/>
  <c r="B116" i="55"/>
  <c r="M116" i="55" s="1"/>
  <c r="B117" i="55"/>
  <c r="M117" i="55" s="1"/>
  <c r="B118" i="55"/>
  <c r="M118" i="55" s="1"/>
  <c r="B119" i="55"/>
  <c r="M119" i="55" s="1"/>
  <c r="B120" i="55"/>
  <c r="M120" i="55" s="1"/>
  <c r="B121" i="55"/>
  <c r="M121" i="55" s="1"/>
  <c r="B122" i="55"/>
  <c r="M122" i="55" s="1"/>
  <c r="B123" i="55"/>
  <c r="M123" i="55" s="1"/>
  <c r="B124" i="55"/>
  <c r="M124" i="55" s="1"/>
  <c r="B125" i="55"/>
  <c r="M125" i="55" s="1"/>
  <c r="B126" i="55"/>
  <c r="M126" i="55" s="1"/>
  <c r="B127" i="55"/>
  <c r="M127" i="55" s="1"/>
  <c r="B128" i="55"/>
  <c r="M128" i="55" s="1"/>
  <c r="B129" i="55"/>
  <c r="M129" i="55" s="1"/>
  <c r="B130" i="55"/>
  <c r="M130" i="55" s="1"/>
  <c r="B131" i="55"/>
  <c r="M131" i="55" s="1"/>
  <c r="B132" i="55"/>
  <c r="M132" i="55" s="1"/>
  <c r="B133" i="55"/>
  <c r="M133" i="55" s="1"/>
  <c r="B134" i="55"/>
  <c r="M134" i="55" s="1"/>
  <c r="B135" i="55"/>
  <c r="M135" i="55" s="1"/>
  <c r="B136" i="55"/>
  <c r="M136" i="55" s="1"/>
  <c r="B137" i="55"/>
  <c r="M137" i="55" s="1"/>
  <c r="B138" i="55"/>
  <c r="M138" i="55" s="1"/>
  <c r="B139" i="55"/>
  <c r="M139" i="55" s="1"/>
  <c r="B140" i="55"/>
  <c r="M140" i="55" s="1"/>
  <c r="B141" i="55"/>
  <c r="M141" i="55" s="1"/>
  <c r="B142" i="55"/>
  <c r="M142" i="55" s="1"/>
  <c r="B143" i="55"/>
  <c r="M143" i="55" s="1"/>
  <c r="B144" i="55"/>
  <c r="M144" i="55" s="1"/>
  <c r="B145" i="55"/>
  <c r="M145" i="55" s="1"/>
  <c r="B146" i="55"/>
  <c r="M146" i="55" s="1"/>
  <c r="B147" i="55"/>
  <c r="M147" i="55" s="1"/>
  <c r="B148" i="55"/>
  <c r="M148" i="55" s="1"/>
  <c r="B149" i="55"/>
  <c r="M149" i="55" s="1"/>
  <c r="B150" i="55"/>
  <c r="M150" i="55" s="1"/>
  <c r="B151" i="55"/>
  <c r="M151" i="55" s="1"/>
  <c r="B152" i="55"/>
  <c r="M152" i="55" s="1"/>
  <c r="B153" i="55"/>
  <c r="M153" i="55" s="1"/>
  <c r="B154" i="55"/>
  <c r="M154" i="55" s="1"/>
  <c r="B155" i="55"/>
  <c r="M155" i="55" s="1"/>
  <c r="B156" i="55"/>
  <c r="M156" i="55" s="1"/>
  <c r="B157" i="55"/>
  <c r="M157" i="55" s="1"/>
  <c r="B158" i="55"/>
  <c r="M158" i="55" s="1"/>
  <c r="B159" i="55"/>
  <c r="M159" i="55" s="1"/>
  <c r="B160" i="55"/>
  <c r="M160" i="55" s="1"/>
  <c r="B161" i="55"/>
  <c r="M161" i="55" s="1"/>
  <c r="B162" i="55"/>
  <c r="M162" i="55" s="1"/>
  <c r="B163" i="55"/>
  <c r="M163" i="55" s="1"/>
  <c r="B164" i="55"/>
  <c r="M164" i="55" s="1"/>
  <c r="B165" i="55"/>
  <c r="M165" i="55" s="1"/>
  <c r="B166" i="55"/>
  <c r="M166" i="55" s="1"/>
  <c r="B167" i="55"/>
  <c r="M167" i="55" s="1"/>
  <c r="B168" i="55"/>
  <c r="M168" i="55" s="1"/>
  <c r="B169" i="55"/>
  <c r="M169" i="55" s="1"/>
  <c r="B170" i="55"/>
  <c r="M170" i="55" s="1"/>
  <c r="B171" i="55"/>
  <c r="M171" i="55" s="1"/>
  <c r="B172" i="55"/>
  <c r="M172" i="55" s="1"/>
  <c r="B173" i="55"/>
  <c r="M173" i="55" s="1"/>
  <c r="B174" i="55"/>
  <c r="M174" i="55" s="1"/>
  <c r="B175" i="55"/>
  <c r="M175" i="55" s="1"/>
  <c r="B176" i="55"/>
  <c r="M176" i="55" s="1"/>
  <c r="B177" i="55"/>
  <c r="M177" i="55" s="1"/>
  <c r="B178" i="55"/>
  <c r="M178" i="55" s="1"/>
  <c r="B179" i="55"/>
  <c r="M179" i="55" s="1"/>
  <c r="B180" i="55"/>
  <c r="M180" i="55" s="1"/>
  <c r="B181" i="55"/>
  <c r="M181" i="55" s="1"/>
  <c r="B182" i="55"/>
  <c r="M182" i="55" s="1"/>
  <c r="B183" i="55"/>
  <c r="M183" i="55" s="1"/>
  <c r="B184" i="55"/>
  <c r="M184" i="55" s="1"/>
  <c r="B185" i="55"/>
  <c r="M185" i="55" s="1"/>
  <c r="B186" i="55"/>
  <c r="M186" i="55" s="1"/>
  <c r="B187" i="55"/>
  <c r="M187" i="55" s="1"/>
  <c r="B188" i="55"/>
  <c r="M188" i="55" s="1"/>
  <c r="B189" i="55"/>
  <c r="M189" i="55" s="1"/>
  <c r="B190" i="55"/>
  <c r="M190" i="55" s="1"/>
  <c r="B191" i="55"/>
  <c r="M191" i="55" s="1"/>
  <c r="B192" i="55"/>
  <c r="M192" i="55" s="1"/>
  <c r="B193" i="55"/>
  <c r="M193" i="55" s="1"/>
  <c r="B194" i="55"/>
  <c r="M194" i="55" s="1"/>
  <c r="B195" i="55"/>
  <c r="M195" i="55" s="1"/>
  <c r="B196" i="55"/>
  <c r="M196" i="55" s="1"/>
  <c r="B197" i="55"/>
  <c r="M197" i="55" s="1"/>
  <c r="B198" i="55"/>
  <c r="M198" i="55" s="1"/>
  <c r="B199" i="55"/>
  <c r="M199" i="55" s="1"/>
  <c r="B200" i="55"/>
  <c r="M200" i="55" s="1"/>
  <c r="B201" i="55"/>
  <c r="M201" i="55" s="1"/>
  <c r="B202" i="55"/>
  <c r="M202" i="55" s="1"/>
  <c r="B203" i="55"/>
  <c r="M203" i="55" s="1"/>
  <c r="B204" i="55"/>
  <c r="M204" i="55" s="1"/>
  <c r="B205" i="55"/>
  <c r="M205" i="55" s="1"/>
  <c r="B206" i="55"/>
  <c r="M206" i="55" s="1"/>
  <c r="B207" i="55"/>
  <c r="M207" i="55" s="1"/>
  <c r="B208" i="55"/>
  <c r="M208" i="55" s="1"/>
  <c r="B209" i="55"/>
  <c r="M209" i="55" s="1"/>
  <c r="B210" i="55"/>
  <c r="M210" i="55" s="1"/>
  <c r="B211" i="55"/>
  <c r="M211" i="55" s="1"/>
  <c r="B212" i="55"/>
  <c r="M212" i="55" s="1"/>
  <c r="B213" i="55"/>
  <c r="M213" i="55" s="1"/>
  <c r="B214" i="55"/>
  <c r="M214" i="55" s="1"/>
  <c r="B215" i="55"/>
  <c r="M215" i="55" s="1"/>
  <c r="B216" i="55"/>
  <c r="M216" i="55" s="1"/>
  <c r="B217" i="55"/>
  <c r="M217" i="55" s="1"/>
  <c r="E18" i="62" l="1"/>
  <c r="F18" i="62"/>
  <c r="I18" i="62" s="1"/>
  <c r="G18" i="62"/>
  <c r="J18" i="62" s="1"/>
  <c r="E28" i="62"/>
  <c r="F28" i="62"/>
  <c r="G28" i="62"/>
  <c r="J28" i="62" s="1"/>
  <c r="E38" i="62"/>
  <c r="F38" i="62"/>
  <c r="I38" i="62" s="1"/>
  <c r="G38" i="62"/>
  <c r="J38" i="62" s="1"/>
  <c r="E48" i="62"/>
  <c r="F48" i="62"/>
  <c r="I48" i="62" s="1"/>
  <c r="G48" i="62"/>
  <c r="J48" i="62" s="1"/>
  <c r="E58" i="62"/>
  <c r="F58" i="62"/>
  <c r="I58" i="62" s="1"/>
  <c r="G58" i="62"/>
  <c r="J58" i="62" s="1"/>
  <c r="E68" i="62"/>
  <c r="F68" i="62"/>
  <c r="G68" i="62"/>
  <c r="J68" i="62" s="1"/>
  <c r="E78" i="62"/>
  <c r="F78" i="62"/>
  <c r="G78" i="62"/>
  <c r="J78" i="62" s="1"/>
  <c r="E88" i="62"/>
  <c r="F88" i="62"/>
  <c r="I88" i="62" s="1"/>
  <c r="G88" i="62"/>
  <c r="J88" i="62" s="1"/>
  <c r="E98" i="62"/>
  <c r="F98" i="62"/>
  <c r="I98" i="62" s="1"/>
  <c r="G98" i="62"/>
  <c r="J98" i="62" s="1"/>
  <c r="E108" i="62"/>
  <c r="F108" i="62"/>
  <c r="I108" i="62" s="1"/>
  <c r="G108" i="62"/>
  <c r="J108" i="62" s="1"/>
  <c r="E118" i="62"/>
  <c r="F118" i="62"/>
  <c r="I118" i="62" s="1"/>
  <c r="G118" i="62"/>
  <c r="J118" i="62" s="1"/>
  <c r="E128" i="62"/>
  <c r="F128" i="62"/>
  <c r="I128" i="62" s="1"/>
  <c r="G128" i="62"/>
  <c r="J128" i="62" s="1"/>
  <c r="E138" i="62"/>
  <c r="F138" i="62"/>
  <c r="I138" i="62" s="1"/>
  <c r="G138" i="62"/>
  <c r="J138" i="62" s="1"/>
  <c r="E148" i="62"/>
  <c r="F148" i="62"/>
  <c r="G148" i="62"/>
  <c r="J148" i="62" s="1"/>
  <c r="E158" i="62"/>
  <c r="F158" i="62"/>
  <c r="G158" i="62"/>
  <c r="J158" i="62" s="1"/>
  <c r="E168" i="62"/>
  <c r="F168" i="62"/>
  <c r="I168" i="62" s="1"/>
  <c r="G168" i="62"/>
  <c r="J168" i="62" s="1"/>
  <c r="E178" i="62"/>
  <c r="F178" i="62"/>
  <c r="I178" i="62" s="1"/>
  <c r="G178" i="62"/>
  <c r="J178" i="62" s="1"/>
  <c r="E188" i="62"/>
  <c r="F188" i="62"/>
  <c r="I188" i="62" s="1"/>
  <c r="G188" i="62"/>
  <c r="J188" i="62" s="1"/>
  <c r="E198" i="62"/>
  <c r="F198" i="62"/>
  <c r="G198" i="62"/>
  <c r="J198" i="62" s="1"/>
  <c r="E208" i="62"/>
  <c r="F208" i="62"/>
  <c r="I208" i="62" s="1"/>
  <c r="G208" i="62"/>
  <c r="J208" i="62" s="1"/>
  <c r="K359" i="62"/>
  <c r="E222" i="62"/>
  <c r="F222" i="62"/>
  <c r="I222" i="62" s="1"/>
  <c r="G222" i="62"/>
  <c r="J222" i="62" s="1"/>
  <c r="E232" i="62"/>
  <c r="F232" i="62"/>
  <c r="I232" i="62" s="1"/>
  <c r="G232" i="62"/>
  <c r="J232" i="62" s="1"/>
  <c r="E242" i="62"/>
  <c r="F242" i="62"/>
  <c r="I242" i="62" s="1"/>
  <c r="G242" i="62"/>
  <c r="E252" i="62"/>
  <c r="F252" i="62"/>
  <c r="I252" i="62" s="1"/>
  <c r="G252" i="62"/>
  <c r="E262" i="62"/>
  <c r="F262" i="62"/>
  <c r="I262" i="62" s="1"/>
  <c r="G262" i="62"/>
  <c r="J262" i="62" s="1"/>
  <c r="E272" i="62"/>
  <c r="F272" i="62"/>
  <c r="G272" i="62"/>
  <c r="J272" i="62" s="1"/>
  <c r="E282" i="62"/>
  <c r="F282" i="62"/>
  <c r="I282" i="62" s="1"/>
  <c r="G282" i="62"/>
  <c r="J282" i="62" s="1"/>
  <c r="E292" i="62"/>
  <c r="F292" i="62"/>
  <c r="G292" i="62"/>
  <c r="J292" i="62" s="1"/>
  <c r="E302" i="62"/>
  <c r="F302" i="62"/>
  <c r="I302" i="62" s="1"/>
  <c r="G302" i="62"/>
  <c r="J302" i="62" s="1"/>
  <c r="E312" i="62"/>
  <c r="F312" i="62"/>
  <c r="I312" i="62" s="1"/>
  <c r="G312" i="62"/>
  <c r="J312" i="62" s="1"/>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s="1"/>
  <c r="B15" i="62"/>
  <c r="A14" i="62"/>
  <c r="L359" i="62"/>
  <c r="I272" i="62"/>
  <c r="E18" i="61"/>
  <c r="F18" i="61"/>
  <c r="I18" i="61" s="1"/>
  <c r="G18" i="61"/>
  <c r="J18" i="61" s="1"/>
  <c r="E28" i="61"/>
  <c r="F28" i="61"/>
  <c r="G28" i="61"/>
  <c r="J28" i="61" s="1"/>
  <c r="E38" i="61"/>
  <c r="F38" i="61"/>
  <c r="I38" i="61" s="1"/>
  <c r="G38" i="61"/>
  <c r="J38" i="61" s="1"/>
  <c r="E48" i="61"/>
  <c r="F48" i="61"/>
  <c r="I48" i="61" s="1"/>
  <c r="G48" i="61"/>
  <c r="J48" i="61" s="1"/>
  <c r="E58" i="61"/>
  <c r="F58" i="61"/>
  <c r="I58" i="61" s="1"/>
  <c r="G58" i="61"/>
  <c r="J58" i="61" s="1"/>
  <c r="E68" i="61"/>
  <c r="F68" i="61"/>
  <c r="G68" i="61"/>
  <c r="J68" i="61" s="1"/>
  <c r="E78" i="61"/>
  <c r="F78" i="61"/>
  <c r="I78" i="61" s="1"/>
  <c r="G78" i="61"/>
  <c r="J78" i="61" s="1"/>
  <c r="E88" i="61"/>
  <c r="F88" i="61"/>
  <c r="I88" i="61" s="1"/>
  <c r="G88" i="61"/>
  <c r="J88" i="61" s="1"/>
  <c r="E98" i="61"/>
  <c r="F98" i="61"/>
  <c r="I98" i="61" s="1"/>
  <c r="G98" i="61"/>
  <c r="J98" i="61" s="1"/>
  <c r="E108" i="61"/>
  <c r="F108" i="61"/>
  <c r="I108" i="61" s="1"/>
  <c r="G108" i="61"/>
  <c r="J108" i="61" s="1"/>
  <c r="E118" i="61"/>
  <c r="F118" i="61"/>
  <c r="G118" i="61"/>
  <c r="J118" i="61" s="1"/>
  <c r="E128" i="61"/>
  <c r="F128" i="61"/>
  <c r="I128" i="61" s="1"/>
  <c r="G128" i="61"/>
  <c r="J128" i="61" s="1"/>
  <c r="E138" i="61"/>
  <c r="F138" i="61"/>
  <c r="I138" i="61" s="1"/>
  <c r="G138" i="61"/>
  <c r="J138" i="61" s="1"/>
  <c r="E148" i="61"/>
  <c r="F148" i="61"/>
  <c r="I148" i="61" s="1"/>
  <c r="G148" i="61"/>
  <c r="J148" i="61" s="1"/>
  <c r="E158" i="61"/>
  <c r="F158" i="61"/>
  <c r="I158" i="61" s="1"/>
  <c r="G158" i="61"/>
  <c r="J158" i="61" s="1"/>
  <c r="E168" i="61"/>
  <c r="F168" i="61"/>
  <c r="I168" i="61" s="1"/>
  <c r="G168" i="61"/>
  <c r="J168" i="61" s="1"/>
  <c r="E178" i="61"/>
  <c r="F178" i="61"/>
  <c r="I178" i="61" s="1"/>
  <c r="G178" i="61"/>
  <c r="J178" i="61" s="1"/>
  <c r="E188" i="61"/>
  <c r="F188" i="61"/>
  <c r="G188" i="61"/>
  <c r="J188" i="61" s="1"/>
  <c r="E198" i="61"/>
  <c r="F198" i="61"/>
  <c r="G198" i="61"/>
  <c r="J198" i="61" s="1"/>
  <c r="E208" i="61"/>
  <c r="F208" i="61"/>
  <c r="I208" i="61" s="1"/>
  <c r="G208" i="61"/>
  <c r="J208" i="61" s="1"/>
  <c r="E222" i="61"/>
  <c r="F222" i="61"/>
  <c r="I222" i="61" s="1"/>
  <c r="G222" i="61"/>
  <c r="J222" i="61" s="1"/>
  <c r="E232" i="61"/>
  <c r="F232" i="61"/>
  <c r="I232" i="61" s="1"/>
  <c r="G232" i="61"/>
  <c r="J232" i="61" s="1"/>
  <c r="E242" i="61"/>
  <c r="F242" i="61"/>
  <c r="I242" i="61" s="1"/>
  <c r="G242" i="61"/>
  <c r="J242" i="61" s="1"/>
  <c r="E252" i="61"/>
  <c r="F252" i="61"/>
  <c r="G252" i="61"/>
  <c r="J252" i="61" s="1"/>
  <c r="E262" i="61"/>
  <c r="F262" i="61"/>
  <c r="I262" i="61" s="1"/>
  <c r="G262" i="61"/>
  <c r="J262" i="61" s="1"/>
  <c r="E272" i="61"/>
  <c r="F272" i="61"/>
  <c r="I272" i="61" s="1"/>
  <c r="G272" i="61"/>
  <c r="J272" i="61" s="1"/>
  <c r="E282" i="61"/>
  <c r="F282" i="61"/>
  <c r="I282" i="61" s="1"/>
  <c r="G282" i="61"/>
  <c r="J282" i="61" s="1"/>
  <c r="E292" i="61"/>
  <c r="F292" i="61"/>
  <c r="I292" i="61" s="1"/>
  <c r="G292" i="61"/>
  <c r="E302" i="61"/>
  <c r="F302" i="61"/>
  <c r="I302" i="61" s="1"/>
  <c r="G302" i="61"/>
  <c r="J302" i="61" s="1"/>
  <c r="E312" i="61"/>
  <c r="F312" i="61"/>
  <c r="I312" i="61" s="1"/>
  <c r="G312" i="61"/>
  <c r="J312" i="61" s="1"/>
  <c r="D312" i="61"/>
  <c r="D302" i="61"/>
  <c r="D292" i="61"/>
  <c r="D282" i="61"/>
  <c r="D272" i="61"/>
  <c r="D262" i="61"/>
  <c r="D252" i="61"/>
  <c r="D242" i="61"/>
  <c r="D232" i="61"/>
  <c r="D222" i="61"/>
  <c r="A219" i="61"/>
  <c r="M219" i="61" s="1"/>
  <c r="D208" i="61"/>
  <c r="D198" i="61"/>
  <c r="D188" i="61"/>
  <c r="D178" i="61"/>
  <c r="D168" i="61"/>
  <c r="D158" i="61"/>
  <c r="D148" i="61"/>
  <c r="D138" i="61"/>
  <c r="D128" i="61"/>
  <c r="D118" i="61"/>
  <c r="D108" i="61"/>
  <c r="D98" i="61"/>
  <c r="D88" i="61"/>
  <c r="D78" i="61"/>
  <c r="D68" i="61"/>
  <c r="D58" i="61"/>
  <c r="D48" i="61"/>
  <c r="D38" i="61"/>
  <c r="D28" i="61"/>
  <c r="D18" i="61"/>
  <c r="K359" i="61"/>
  <c r="L359" i="61" s="1"/>
  <c r="B15" i="61"/>
  <c r="A14" i="61"/>
  <c r="E222" i="60"/>
  <c r="F222" i="60"/>
  <c r="G222" i="60"/>
  <c r="E232" i="60"/>
  <c r="F232" i="60"/>
  <c r="G232" i="60"/>
  <c r="E242" i="60"/>
  <c r="F242" i="60"/>
  <c r="G242" i="60"/>
  <c r="E252" i="60"/>
  <c r="F252" i="60"/>
  <c r="G252" i="60"/>
  <c r="E262" i="60"/>
  <c r="F262" i="60"/>
  <c r="G262" i="60"/>
  <c r="E272" i="60"/>
  <c r="F272" i="60"/>
  <c r="G272" i="60"/>
  <c r="E282" i="60"/>
  <c r="F282" i="60"/>
  <c r="G282" i="60"/>
  <c r="E292" i="60"/>
  <c r="F292" i="60"/>
  <c r="G292" i="60"/>
  <c r="E302" i="60"/>
  <c r="F302" i="60"/>
  <c r="G302" i="60"/>
  <c r="E312" i="60"/>
  <c r="F312" i="60"/>
  <c r="G312" i="60"/>
  <c r="E148" i="60"/>
  <c r="F148" i="60"/>
  <c r="G148" i="60"/>
  <c r="E158" i="60"/>
  <c r="F158" i="60"/>
  <c r="G158" i="60"/>
  <c r="E168" i="60"/>
  <c r="F168" i="60"/>
  <c r="G168" i="60"/>
  <c r="E178" i="60"/>
  <c r="F178" i="60"/>
  <c r="G178" i="60"/>
  <c r="E188" i="60"/>
  <c r="F188" i="60"/>
  <c r="G188" i="60"/>
  <c r="E198" i="60"/>
  <c r="F198" i="60"/>
  <c r="G198" i="60"/>
  <c r="E208" i="60"/>
  <c r="F208" i="60"/>
  <c r="G208" i="60"/>
  <c r="E138" i="60"/>
  <c r="F138" i="60"/>
  <c r="G138" i="60"/>
  <c r="E128" i="60"/>
  <c r="F128" i="60"/>
  <c r="G128" i="60"/>
  <c r="E118" i="60"/>
  <c r="F118" i="60"/>
  <c r="G118" i="60"/>
  <c r="E108" i="60"/>
  <c r="F108" i="60"/>
  <c r="G108" i="60"/>
  <c r="E98" i="60"/>
  <c r="F98" i="60"/>
  <c r="G98" i="60"/>
  <c r="E88" i="60"/>
  <c r="F88" i="60"/>
  <c r="G88" i="60"/>
  <c r="E78" i="60"/>
  <c r="F78" i="60"/>
  <c r="G78" i="60"/>
  <c r="E68" i="60"/>
  <c r="F68" i="60"/>
  <c r="G68" i="60"/>
  <c r="E58" i="60"/>
  <c r="F58" i="60"/>
  <c r="G58" i="60"/>
  <c r="E48" i="60"/>
  <c r="F48" i="60"/>
  <c r="G48" i="60"/>
  <c r="E38" i="60"/>
  <c r="F38" i="60"/>
  <c r="G38" i="60"/>
  <c r="E28" i="60"/>
  <c r="F28" i="60"/>
  <c r="G28" i="60"/>
  <c r="E18" i="60"/>
  <c r="F18" i="60"/>
  <c r="G18" i="60"/>
  <c r="D312" i="60"/>
  <c r="D302" i="60"/>
  <c r="D292" i="60"/>
  <c r="D282" i="60"/>
  <c r="D272" i="60"/>
  <c r="D262" i="60"/>
  <c r="D252" i="60"/>
  <c r="D242" i="60"/>
  <c r="D232" i="60"/>
  <c r="D222" i="60"/>
  <c r="D208" i="60"/>
  <c r="D198" i="60"/>
  <c r="D188" i="60"/>
  <c r="D178" i="60"/>
  <c r="D168" i="60"/>
  <c r="D158" i="60"/>
  <c r="D148" i="60"/>
  <c r="D138" i="60"/>
  <c r="D128" i="60"/>
  <c r="D118" i="60"/>
  <c r="D108" i="60"/>
  <c r="D98" i="60"/>
  <c r="D88" i="60"/>
  <c r="D78" i="60"/>
  <c r="D68" i="60"/>
  <c r="D58" i="60"/>
  <c r="D48" i="60"/>
  <c r="D38" i="60"/>
  <c r="D28" i="60"/>
  <c r="D18" i="60"/>
  <c r="A219" i="60"/>
  <c r="M219" i="60" s="1"/>
  <c r="K272" i="61" l="1"/>
  <c r="H242" i="62"/>
  <c r="H188" i="61"/>
  <c r="H68" i="61"/>
  <c r="H28" i="61"/>
  <c r="H118" i="62"/>
  <c r="H188" i="62"/>
  <c r="K138" i="62"/>
  <c r="J242" i="62"/>
  <c r="K242" i="62" s="1"/>
  <c r="H108" i="62"/>
  <c r="K272" i="62"/>
  <c r="K188" i="62"/>
  <c r="H28" i="62"/>
  <c r="H252" i="61"/>
  <c r="H292" i="61"/>
  <c r="I28" i="61"/>
  <c r="K28" i="61" s="1"/>
  <c r="I68" i="61"/>
  <c r="K68" i="61" s="1"/>
  <c r="H282" i="61"/>
  <c r="H38" i="61"/>
  <c r="K232" i="61"/>
  <c r="H108" i="61"/>
  <c r="K98" i="61"/>
  <c r="K312" i="61"/>
  <c r="H148" i="61"/>
  <c r="K302" i="61"/>
  <c r="K222" i="61"/>
  <c r="K58" i="61"/>
  <c r="I28" i="62"/>
  <c r="K28" i="62" s="1"/>
  <c r="K222" i="62"/>
  <c r="K178" i="61"/>
  <c r="K108" i="62"/>
  <c r="H38" i="62"/>
  <c r="H292" i="62"/>
  <c r="H158" i="62"/>
  <c r="H78" i="62"/>
  <c r="K312" i="62"/>
  <c r="H198" i="61"/>
  <c r="H118" i="61"/>
  <c r="H252" i="62"/>
  <c r="H148" i="62"/>
  <c r="H68" i="62"/>
  <c r="I158" i="62"/>
  <c r="K158" i="62" s="1"/>
  <c r="I78" i="62"/>
  <c r="K78" i="62" s="1"/>
  <c r="K58" i="62"/>
  <c r="H198" i="62"/>
  <c r="K208" i="62"/>
  <c r="K158" i="61"/>
  <c r="I148" i="62"/>
  <c r="K148" i="62" s="1"/>
  <c r="I292" i="62"/>
  <c r="K292" i="62" s="1"/>
  <c r="K48" i="62"/>
  <c r="K282" i="62"/>
  <c r="H282" i="62"/>
  <c r="I188" i="61"/>
  <c r="K188" i="61" s="1"/>
  <c r="I68" i="62"/>
  <c r="K68" i="62" s="1"/>
  <c r="I252" i="61"/>
  <c r="K252" i="61" s="1"/>
  <c r="K178" i="62"/>
  <c r="K18" i="61"/>
  <c r="K148" i="61"/>
  <c r="K282" i="61"/>
  <c r="K128" i="62"/>
  <c r="K98" i="62"/>
  <c r="I198" i="62"/>
  <c r="K198" i="62" s="1"/>
  <c r="K88" i="62"/>
  <c r="K168" i="62"/>
  <c r="J252" i="62"/>
  <c r="K252" i="62" s="1"/>
  <c r="K302" i="62"/>
  <c r="K262" i="62"/>
  <c r="K38" i="62"/>
  <c r="K18" i="62"/>
  <c r="K118" i="62"/>
  <c r="K232" i="62"/>
  <c r="H18" i="62"/>
  <c r="H58" i="62"/>
  <c r="H98" i="62"/>
  <c r="H138" i="62"/>
  <c r="H178" i="62"/>
  <c r="H232" i="62"/>
  <c r="H272" i="62"/>
  <c r="H312" i="62"/>
  <c r="H48" i="62"/>
  <c r="H88" i="62"/>
  <c r="H128" i="62"/>
  <c r="H168" i="62"/>
  <c r="H208" i="62"/>
  <c r="H222" i="62"/>
  <c r="H262" i="62"/>
  <c r="H302" i="62"/>
  <c r="K88" i="61"/>
  <c r="H78" i="61"/>
  <c r="I118" i="61"/>
  <c r="K118" i="61" s="1"/>
  <c r="H158" i="61"/>
  <c r="I198" i="61"/>
  <c r="K198" i="61" s="1"/>
  <c r="K48" i="61"/>
  <c r="K128" i="61"/>
  <c r="K208" i="61"/>
  <c r="K168" i="61"/>
  <c r="H242" i="61"/>
  <c r="K262" i="61"/>
  <c r="J292" i="61"/>
  <c r="K292" i="61" s="1"/>
  <c r="K78" i="61"/>
  <c r="K38" i="61"/>
  <c r="K108" i="61"/>
  <c r="K138" i="61"/>
  <c r="K242" i="61"/>
  <c r="H18" i="61"/>
  <c r="H58" i="61"/>
  <c r="H98" i="61"/>
  <c r="H138" i="61"/>
  <c r="H178" i="61"/>
  <c r="H232" i="61"/>
  <c r="H272" i="61"/>
  <c r="H312" i="61"/>
  <c r="H48" i="61"/>
  <c r="H88" i="61"/>
  <c r="H128" i="61"/>
  <c r="H168" i="61"/>
  <c r="H208" i="61"/>
  <c r="H222" i="61"/>
  <c r="H262" i="61"/>
  <c r="H302" i="61"/>
  <c r="B222" i="62" l="1"/>
  <c r="M222" i="62" s="1"/>
  <c r="M222" i="61"/>
  <c r="B222" i="60"/>
  <c r="M222" i="60" s="1"/>
  <c r="B15" i="60" l="1"/>
  <c r="A14" i="60"/>
  <c r="J312" i="60"/>
  <c r="I312" i="60"/>
  <c r="J302" i="60"/>
  <c r="I302" i="60"/>
  <c r="I292" i="60"/>
  <c r="J292" i="60"/>
  <c r="I282" i="60"/>
  <c r="H282" i="60"/>
  <c r="J282" i="60"/>
  <c r="J272" i="60"/>
  <c r="I272" i="60"/>
  <c r="J262" i="60"/>
  <c r="I262" i="60"/>
  <c r="I252" i="60"/>
  <c r="J252" i="60"/>
  <c r="J242" i="60"/>
  <c r="I242" i="60"/>
  <c r="J232" i="60"/>
  <c r="I232" i="60"/>
  <c r="J222" i="60"/>
  <c r="I222" i="60"/>
  <c r="J208" i="60"/>
  <c r="I208" i="60"/>
  <c r="I198" i="60"/>
  <c r="J198" i="60"/>
  <c r="H198" i="60"/>
  <c r="H188" i="60"/>
  <c r="J188" i="60"/>
  <c r="I188" i="60"/>
  <c r="J178" i="60"/>
  <c r="I178" i="60"/>
  <c r="J168" i="60"/>
  <c r="I168" i="60"/>
  <c r="I158" i="60"/>
  <c r="J158" i="60"/>
  <c r="H158" i="60"/>
  <c r="H148" i="60"/>
  <c r="J148" i="60"/>
  <c r="I148" i="60"/>
  <c r="J138" i="60"/>
  <c r="I138" i="60"/>
  <c r="J128" i="60"/>
  <c r="I128" i="60"/>
  <c r="H118" i="60"/>
  <c r="I118" i="60"/>
  <c r="H108" i="60"/>
  <c r="J108" i="60"/>
  <c r="I108" i="60"/>
  <c r="I98" i="60"/>
  <c r="J98" i="60"/>
  <c r="H98" i="60"/>
  <c r="J88" i="60"/>
  <c r="I88" i="60"/>
  <c r="I78" i="60"/>
  <c r="J78" i="60"/>
  <c r="H78" i="60"/>
  <c r="H68" i="60"/>
  <c r="J68" i="60"/>
  <c r="I68" i="60"/>
  <c r="J58" i="60"/>
  <c r="I58" i="60"/>
  <c r="J48" i="60"/>
  <c r="I48" i="60"/>
  <c r="I38" i="60"/>
  <c r="J38" i="60"/>
  <c r="H38" i="60"/>
  <c r="H28" i="60"/>
  <c r="J28" i="60"/>
  <c r="I28" i="60"/>
  <c r="J18" i="60"/>
  <c r="I18" i="60"/>
  <c r="B15" i="59"/>
  <c r="E312" i="59"/>
  <c r="F312" i="59"/>
  <c r="I312" i="59" s="1"/>
  <c r="G312" i="59"/>
  <c r="J312" i="59" s="1"/>
  <c r="E302" i="59"/>
  <c r="F302" i="59"/>
  <c r="I302" i="59" s="1"/>
  <c r="G302" i="59"/>
  <c r="J302" i="59" s="1"/>
  <c r="E292" i="59"/>
  <c r="F292" i="59"/>
  <c r="I292" i="59" s="1"/>
  <c r="G292" i="59"/>
  <c r="J292" i="59" s="1"/>
  <c r="E282" i="59"/>
  <c r="F282" i="59"/>
  <c r="G282" i="59"/>
  <c r="E272" i="59"/>
  <c r="F272" i="59"/>
  <c r="I272" i="59" s="1"/>
  <c r="G272" i="59"/>
  <c r="J272" i="59" s="1"/>
  <c r="E232" i="59"/>
  <c r="F232" i="59"/>
  <c r="I232" i="59" s="1"/>
  <c r="G232" i="59"/>
  <c r="J232" i="59" s="1"/>
  <c r="E222" i="59"/>
  <c r="F222" i="59"/>
  <c r="I222" i="59" s="1"/>
  <c r="G222" i="59"/>
  <c r="J222" i="59" s="1"/>
  <c r="E208" i="59"/>
  <c r="F208" i="59"/>
  <c r="I208" i="59" s="1"/>
  <c r="G208" i="59"/>
  <c r="J208" i="59" s="1"/>
  <c r="E198" i="59"/>
  <c r="F198" i="59"/>
  <c r="I198" i="59" s="1"/>
  <c r="G198" i="59"/>
  <c r="E188" i="59"/>
  <c r="F188" i="59"/>
  <c r="I188" i="59" s="1"/>
  <c r="G188" i="59"/>
  <c r="E178" i="59"/>
  <c r="F178" i="59"/>
  <c r="I178" i="59" s="1"/>
  <c r="G178" i="59"/>
  <c r="J178" i="59" s="1"/>
  <c r="E168" i="59"/>
  <c r="F168" i="59"/>
  <c r="I168" i="59" s="1"/>
  <c r="G168" i="59"/>
  <c r="J168" i="59" s="1"/>
  <c r="E158" i="59"/>
  <c r="F158" i="59"/>
  <c r="I158" i="59" s="1"/>
  <c r="G158" i="59"/>
  <c r="J158" i="59" s="1"/>
  <c r="E148" i="59"/>
  <c r="F148" i="59"/>
  <c r="I148" i="59" s="1"/>
  <c r="G148" i="59"/>
  <c r="E138" i="59"/>
  <c r="F138" i="59"/>
  <c r="I138" i="59" s="1"/>
  <c r="G138" i="59"/>
  <c r="J138" i="59" s="1"/>
  <c r="E128" i="59"/>
  <c r="F128" i="59"/>
  <c r="I128" i="59" s="1"/>
  <c r="G128" i="59"/>
  <c r="J128" i="59" s="1"/>
  <c r="E118" i="59"/>
  <c r="F118" i="59"/>
  <c r="G118" i="59"/>
  <c r="J118" i="59" s="1"/>
  <c r="E108" i="59"/>
  <c r="F108" i="59"/>
  <c r="I108" i="59" s="1"/>
  <c r="G108" i="59"/>
  <c r="E98" i="59"/>
  <c r="F98" i="59"/>
  <c r="I98" i="59" s="1"/>
  <c r="G98" i="59"/>
  <c r="J98" i="59" s="1"/>
  <c r="E88" i="59"/>
  <c r="F88" i="59"/>
  <c r="I88" i="59" s="1"/>
  <c r="G88" i="59"/>
  <c r="J88" i="59" s="1"/>
  <c r="E78" i="59"/>
  <c r="F78" i="59"/>
  <c r="I78" i="59" s="1"/>
  <c r="G78" i="59"/>
  <c r="J78" i="59" s="1"/>
  <c r="E68" i="59"/>
  <c r="F68" i="59"/>
  <c r="I68" i="59" s="1"/>
  <c r="G68" i="59"/>
  <c r="J68" i="59" s="1"/>
  <c r="E58" i="59"/>
  <c r="F58" i="59"/>
  <c r="I58" i="59" s="1"/>
  <c r="G58" i="59"/>
  <c r="J58" i="59" s="1"/>
  <c r="E48" i="59"/>
  <c r="F48" i="59"/>
  <c r="I48" i="59" s="1"/>
  <c r="G48" i="59"/>
  <c r="J48" i="59" s="1"/>
  <c r="E38" i="59"/>
  <c r="F38" i="59"/>
  <c r="G38" i="59"/>
  <c r="J38" i="59" s="1"/>
  <c r="E28" i="59"/>
  <c r="F28" i="59"/>
  <c r="I28" i="59" s="1"/>
  <c r="G28" i="59"/>
  <c r="E18" i="59"/>
  <c r="F18" i="59"/>
  <c r="I18" i="59" s="1"/>
  <c r="G18" i="59"/>
  <c r="J18" i="59" s="1"/>
  <c r="D312" i="59"/>
  <c r="D302" i="59"/>
  <c r="D292" i="59"/>
  <c r="D282" i="59"/>
  <c r="D272" i="59"/>
  <c r="D232" i="59"/>
  <c r="D222" i="59"/>
  <c r="D208" i="59"/>
  <c r="D198" i="59"/>
  <c r="D188" i="59"/>
  <c r="D178" i="59"/>
  <c r="D168" i="59"/>
  <c r="D158" i="59"/>
  <c r="D148" i="59"/>
  <c r="D138" i="59"/>
  <c r="D128" i="59"/>
  <c r="D118" i="59"/>
  <c r="D108" i="59"/>
  <c r="D98" i="59"/>
  <c r="D88" i="59"/>
  <c r="D78" i="59"/>
  <c r="D68" i="59"/>
  <c r="D58" i="59"/>
  <c r="D48" i="59"/>
  <c r="D38" i="59"/>
  <c r="D28" i="59"/>
  <c r="D18" i="59"/>
  <c r="A219" i="59"/>
  <c r="M219" i="59" s="1"/>
  <c r="A14" i="59"/>
  <c r="I282" i="59"/>
  <c r="J282" i="59"/>
  <c r="B3" i="3"/>
  <c r="E3" i="3"/>
  <c r="B5" i="3"/>
  <c r="D5" i="3"/>
  <c r="F5" i="3"/>
  <c r="I5" i="55"/>
  <c r="D5" i="55"/>
  <c r="B5" i="55"/>
  <c r="I3" i="55"/>
  <c r="B3" i="55"/>
  <c r="F312" i="55"/>
  <c r="G312" i="55"/>
  <c r="F302" i="55"/>
  <c r="G302" i="55"/>
  <c r="F292" i="55"/>
  <c r="G292" i="55"/>
  <c r="F282" i="55"/>
  <c r="G282" i="55"/>
  <c r="F272" i="55"/>
  <c r="G272" i="55"/>
  <c r="F262" i="55"/>
  <c r="G262" i="55"/>
  <c r="F252" i="55"/>
  <c r="G252" i="55"/>
  <c r="F242" i="55"/>
  <c r="G242" i="55"/>
  <c r="F232" i="55"/>
  <c r="G232" i="55"/>
  <c r="F222" i="55"/>
  <c r="G222" i="55"/>
  <c r="D312" i="55"/>
  <c r="D302" i="55"/>
  <c r="D292" i="55"/>
  <c r="D282" i="55"/>
  <c r="D272" i="55"/>
  <c r="D262" i="55"/>
  <c r="D252" i="55"/>
  <c r="D242" i="55"/>
  <c r="D232" i="55"/>
  <c r="D222" i="55"/>
  <c r="F208" i="55"/>
  <c r="G208" i="55"/>
  <c r="F198" i="55"/>
  <c r="G198" i="55"/>
  <c r="F188" i="55"/>
  <c r="G188" i="55"/>
  <c r="F178" i="55"/>
  <c r="G178" i="55"/>
  <c r="F168" i="55"/>
  <c r="G168" i="55"/>
  <c r="F158" i="55"/>
  <c r="G158" i="55"/>
  <c r="F148" i="55"/>
  <c r="G148" i="55"/>
  <c r="F138" i="55"/>
  <c r="G138" i="55"/>
  <c r="F128" i="55"/>
  <c r="G128" i="55"/>
  <c r="F118" i="55"/>
  <c r="G118" i="55"/>
  <c r="F108" i="55"/>
  <c r="G108" i="55"/>
  <c r="F98" i="55"/>
  <c r="G98" i="55"/>
  <c r="F88" i="55"/>
  <c r="G88" i="55"/>
  <c r="F78" i="55"/>
  <c r="G78" i="55"/>
  <c r="F68" i="55"/>
  <c r="G68" i="55"/>
  <c r="F58" i="55"/>
  <c r="G58" i="55"/>
  <c r="F28" i="55"/>
  <c r="G28" i="55"/>
  <c r="D208" i="55"/>
  <c r="D198" i="55"/>
  <c r="D188" i="55"/>
  <c r="D178" i="55"/>
  <c r="D168" i="55"/>
  <c r="D158" i="55"/>
  <c r="D148" i="55"/>
  <c r="D138" i="55"/>
  <c r="D128" i="55"/>
  <c r="D118" i="55"/>
  <c r="D108" i="55"/>
  <c r="D98" i="55"/>
  <c r="D88" i="55"/>
  <c r="D78" i="55"/>
  <c r="D68" i="55"/>
  <c r="D58" i="55"/>
  <c r="D28" i="55"/>
  <c r="K359" i="55"/>
  <c r="K48" i="60" l="1"/>
  <c r="K188" i="60"/>
  <c r="K88" i="59"/>
  <c r="H198" i="59"/>
  <c r="H28" i="59"/>
  <c r="H108" i="59"/>
  <c r="H188" i="59"/>
  <c r="H68" i="59"/>
  <c r="J198" i="59"/>
  <c r="K198" i="59" s="1"/>
  <c r="H292" i="59"/>
  <c r="H38" i="59"/>
  <c r="H118" i="59"/>
  <c r="H148" i="59"/>
  <c r="H282" i="59"/>
  <c r="K292" i="59"/>
  <c r="K168" i="59"/>
  <c r="K282" i="60"/>
  <c r="K252" i="60"/>
  <c r="K198" i="60"/>
  <c r="K148" i="60"/>
  <c r="K78" i="60"/>
  <c r="K18" i="60"/>
  <c r="I38" i="59"/>
  <c r="K38" i="59" s="1"/>
  <c r="H78" i="59"/>
  <c r="J108" i="59"/>
  <c r="K108" i="59" s="1"/>
  <c r="I118" i="59"/>
  <c r="K118" i="59" s="1"/>
  <c r="H158" i="59"/>
  <c r="J188" i="59"/>
  <c r="K188" i="59" s="1"/>
  <c r="K242" i="60"/>
  <c r="K272" i="59"/>
  <c r="K292" i="60"/>
  <c r="J28" i="59"/>
  <c r="K28" i="59" s="1"/>
  <c r="J148" i="59"/>
  <c r="K148" i="59" s="1"/>
  <c r="K232" i="59"/>
  <c r="K88" i="60"/>
  <c r="K108" i="60"/>
  <c r="K208" i="60"/>
  <c r="K222" i="60"/>
  <c r="K262" i="60"/>
  <c r="H292" i="60"/>
  <c r="K158" i="60"/>
  <c r="K98" i="60"/>
  <c r="K128" i="60"/>
  <c r="K168" i="60"/>
  <c r="H242" i="60"/>
  <c r="H252" i="60"/>
  <c r="K302" i="60"/>
  <c r="K312" i="60"/>
  <c r="K18" i="59"/>
  <c r="K38" i="60"/>
  <c r="K68" i="60"/>
  <c r="K28" i="60"/>
  <c r="K58" i="60"/>
  <c r="K138" i="60"/>
  <c r="K178" i="60"/>
  <c r="K232" i="60"/>
  <c r="K272" i="60"/>
  <c r="H18" i="60"/>
  <c r="H58" i="60"/>
  <c r="J118" i="60"/>
  <c r="K118" i="60" s="1"/>
  <c r="H138" i="60"/>
  <c r="H178" i="60"/>
  <c r="H232" i="60"/>
  <c r="H272" i="60"/>
  <c r="H312" i="60"/>
  <c r="H48" i="60"/>
  <c r="H88" i="60"/>
  <c r="H128" i="60"/>
  <c r="H168" i="60"/>
  <c r="H208" i="60"/>
  <c r="H222" i="60"/>
  <c r="H262" i="60"/>
  <c r="H302" i="60"/>
  <c r="K302" i="59"/>
  <c r="K222" i="59"/>
  <c r="K138" i="59"/>
  <c r="K58" i="59"/>
  <c r="K282" i="59"/>
  <c r="K48" i="59"/>
  <c r="K68" i="59"/>
  <c r="K98" i="59"/>
  <c r="K128" i="59"/>
  <c r="K178" i="59"/>
  <c r="K208" i="59"/>
  <c r="K78" i="59"/>
  <c r="K158" i="59"/>
  <c r="K312" i="59"/>
  <c r="H18" i="59"/>
  <c r="H58" i="59"/>
  <c r="H98" i="59"/>
  <c r="H138" i="59"/>
  <c r="H178" i="59"/>
  <c r="H232" i="59"/>
  <c r="H272" i="59"/>
  <c r="H312" i="59"/>
  <c r="H48" i="59"/>
  <c r="H88" i="59"/>
  <c r="H128" i="59"/>
  <c r="H168" i="59"/>
  <c r="H208" i="59"/>
  <c r="H222" i="59"/>
  <c r="H302" i="59"/>
  <c r="B222" i="55" l="1"/>
  <c r="M222" i="55" s="1"/>
  <c r="J312" i="55"/>
  <c r="I312" i="55"/>
  <c r="H312" i="55"/>
  <c r="J302" i="55"/>
  <c r="I302" i="55"/>
  <c r="H302" i="55"/>
  <c r="J292" i="55"/>
  <c r="I292" i="55"/>
  <c r="H292" i="55"/>
  <c r="J282" i="55"/>
  <c r="I282" i="55"/>
  <c r="H282" i="55"/>
  <c r="J272" i="55"/>
  <c r="I272" i="55"/>
  <c r="H272" i="55"/>
  <c r="J262" i="55"/>
  <c r="I262" i="55"/>
  <c r="H262" i="55"/>
  <c r="J252" i="55"/>
  <c r="I252" i="55"/>
  <c r="H252" i="55"/>
  <c r="J242" i="55"/>
  <c r="I242" i="55"/>
  <c r="H242" i="55"/>
  <c r="J232" i="55"/>
  <c r="I232" i="55"/>
  <c r="H232" i="55"/>
  <c r="I208" i="55"/>
  <c r="J208" i="55"/>
  <c r="H208" i="55"/>
  <c r="A219" i="55"/>
  <c r="M219" i="55" s="1"/>
  <c r="B15" i="55"/>
  <c r="J198" i="55"/>
  <c r="I198" i="55"/>
  <c r="H198" i="55"/>
  <c r="J188" i="55"/>
  <c r="I188" i="55"/>
  <c r="H188" i="55"/>
  <c r="J178" i="55"/>
  <c r="I178" i="55"/>
  <c r="H178" i="55"/>
  <c r="J168" i="55"/>
  <c r="I168" i="55"/>
  <c r="H168" i="55"/>
  <c r="J158" i="55"/>
  <c r="I158" i="55"/>
  <c r="H158" i="55"/>
  <c r="J148" i="55"/>
  <c r="I148" i="55"/>
  <c r="H148" i="55"/>
  <c r="J138" i="55"/>
  <c r="I138" i="55"/>
  <c r="H138" i="55"/>
  <c r="J128" i="55"/>
  <c r="I128" i="55"/>
  <c r="H128" i="55"/>
  <c r="J118" i="55"/>
  <c r="I118" i="55"/>
  <c r="H118" i="55"/>
  <c r="J108" i="55"/>
  <c r="I108" i="55"/>
  <c r="H108" i="55"/>
  <c r="J98" i="55"/>
  <c r="I98" i="55"/>
  <c r="H98" i="55"/>
  <c r="J88" i="55"/>
  <c r="I88" i="55"/>
  <c r="H88" i="55"/>
  <c r="J78" i="55"/>
  <c r="I78" i="55"/>
  <c r="H78" i="55"/>
  <c r="J68" i="55"/>
  <c r="I68" i="55"/>
  <c r="H68" i="55"/>
  <c r="J58" i="55"/>
  <c r="I58" i="55"/>
  <c r="H58" i="55"/>
  <c r="J28" i="55"/>
  <c r="I28" i="55"/>
  <c r="H28" i="55"/>
  <c r="A14" i="55"/>
  <c r="H222" i="55"/>
  <c r="I222" i="55"/>
  <c r="J222" i="55"/>
  <c r="L359" i="55"/>
  <c r="K178" i="55" l="1"/>
  <c r="K18" i="55"/>
  <c r="K208" i="55"/>
  <c r="K232" i="55"/>
  <c r="K242" i="55"/>
  <c r="K252" i="55"/>
  <c r="K262" i="55"/>
  <c r="K272" i="55"/>
  <c r="K282" i="55"/>
  <c r="K292" i="55"/>
  <c r="K302" i="55"/>
  <c r="K312" i="55"/>
  <c r="K58" i="55"/>
  <c r="K28" i="55"/>
  <c r="K168" i="55"/>
  <c r="K222" i="55"/>
  <c r="K188" i="55"/>
  <c r="K198" i="55"/>
  <c r="K88" i="55"/>
  <c r="K98" i="55"/>
  <c r="K108" i="55"/>
  <c r="K118" i="55"/>
  <c r="K128" i="55"/>
  <c r="K138" i="55"/>
  <c r="K148" i="55"/>
  <c r="K158" i="55"/>
  <c r="K68" i="55"/>
  <c r="K78" i="55"/>
  <c r="A18" i="55" l="1"/>
  <c r="D10" i="49"/>
  <c r="A327" i="55" l="1"/>
  <c r="L1504" i="53" l="1"/>
  <c r="L1494" i="53"/>
  <c r="L1484" i="53"/>
  <c r="L1474" i="53"/>
  <c r="L1464" i="53"/>
  <c r="L1454" i="53"/>
  <c r="L1444" i="53"/>
  <c r="L1434" i="53"/>
  <c r="L1424" i="53"/>
  <c r="L1414" i="53"/>
  <c r="D154" i="49" s="1"/>
  <c r="L1404" i="53"/>
  <c r="L1394" i="53"/>
  <c r="L1384" i="53"/>
  <c r="L1374" i="53"/>
  <c r="L1364" i="53"/>
  <c r="L1354" i="53"/>
  <c r="L1344" i="53"/>
  <c r="L1334" i="53"/>
  <c r="L1324" i="53"/>
  <c r="L1314" i="53"/>
  <c r="L1304" i="53"/>
  <c r="L1294" i="53"/>
  <c r="L1284" i="53"/>
  <c r="L1274" i="53"/>
  <c r="L1264" i="53"/>
  <c r="L1254" i="53"/>
  <c r="L1244" i="53"/>
  <c r="L1234" i="53"/>
  <c r="L1224" i="53"/>
  <c r="B18" i="62"/>
  <c r="M18" i="62" s="1"/>
  <c r="L1214" i="53"/>
  <c r="D134" i="49" s="1"/>
  <c r="L1203" i="53"/>
  <c r="L1193" i="53"/>
  <c r="L1183" i="53"/>
  <c r="L1173" i="53"/>
  <c r="L1163" i="53"/>
  <c r="L1153" i="53"/>
  <c r="L1143" i="53"/>
  <c r="L1133" i="53"/>
  <c r="L1123" i="53"/>
  <c r="L1113" i="53"/>
  <c r="D123" i="49" s="1"/>
  <c r="L1103" i="53"/>
  <c r="D122" i="49" s="1"/>
  <c r="L1093" i="53"/>
  <c r="D121" i="49" s="1"/>
  <c r="L1083" i="53"/>
  <c r="D120" i="49" s="1"/>
  <c r="L1073" i="53"/>
  <c r="D119" i="49" s="1"/>
  <c r="L1063" i="53"/>
  <c r="D118" i="49" s="1"/>
  <c r="L1053" i="53"/>
  <c r="D117" i="49" s="1"/>
  <c r="L1043" i="53"/>
  <c r="D116" i="49" s="1"/>
  <c r="L1033" i="53"/>
  <c r="D115" i="49" s="1"/>
  <c r="L1023" i="53"/>
  <c r="D114" i="49" s="1"/>
  <c r="L1013" i="53"/>
  <c r="D113" i="49" s="1"/>
  <c r="L1003" i="53"/>
  <c r="D112" i="49" s="1"/>
  <c r="L993" i="53"/>
  <c r="D111" i="49" s="1"/>
  <c r="L983" i="53"/>
  <c r="D110" i="49" s="1"/>
  <c r="L973" i="53"/>
  <c r="D109" i="49" s="1"/>
  <c r="L963" i="53"/>
  <c r="D108" i="49" s="1"/>
  <c r="L953" i="53"/>
  <c r="D107" i="49" s="1"/>
  <c r="L943" i="53"/>
  <c r="D106" i="49" s="1"/>
  <c r="L933" i="53"/>
  <c r="L923" i="53"/>
  <c r="D104" i="49" s="1"/>
  <c r="M18" i="61"/>
  <c r="L913" i="53"/>
  <c r="D103" i="49" s="1"/>
  <c r="L902" i="53"/>
  <c r="L892" i="53"/>
  <c r="L882" i="53"/>
  <c r="L872" i="53"/>
  <c r="L862" i="53"/>
  <c r="L852" i="53"/>
  <c r="L842" i="53"/>
  <c r="L832" i="53"/>
  <c r="L822" i="53"/>
  <c r="L812" i="53"/>
  <c r="D92" i="49" s="1"/>
  <c r="L802" i="53"/>
  <c r="L792" i="53"/>
  <c r="L782" i="53"/>
  <c r="L772" i="53"/>
  <c r="L762" i="53"/>
  <c r="L752" i="53"/>
  <c r="L742" i="53"/>
  <c r="L732" i="53"/>
  <c r="L722" i="53"/>
  <c r="L712" i="53"/>
  <c r="L702" i="53"/>
  <c r="L692" i="53"/>
  <c r="L682" i="53"/>
  <c r="L672" i="53"/>
  <c r="L662" i="53"/>
  <c r="L652" i="53"/>
  <c r="L642" i="53"/>
  <c r="L632" i="53"/>
  <c r="L622" i="53"/>
  <c r="B18" i="60"/>
  <c r="M18" i="60" s="1"/>
  <c r="L612" i="53"/>
  <c r="D72" i="49" s="1"/>
  <c r="L601" i="53"/>
  <c r="L591" i="53"/>
  <c r="L581" i="53"/>
  <c r="L571" i="53"/>
  <c r="L561" i="53"/>
  <c r="L551" i="53"/>
  <c r="L541" i="53"/>
  <c r="L531" i="53"/>
  <c r="L521" i="53"/>
  <c r="L501" i="53"/>
  <c r="L491" i="53"/>
  <c r="L481" i="53"/>
  <c r="L471" i="53"/>
  <c r="L461" i="53"/>
  <c r="L451" i="53"/>
  <c r="L441" i="53"/>
  <c r="L431" i="53"/>
  <c r="L421" i="53"/>
  <c r="L411" i="53"/>
  <c r="L401" i="53"/>
  <c r="L391" i="53"/>
  <c r="L381" i="53"/>
  <c r="L371" i="53"/>
  <c r="L361" i="53"/>
  <c r="L351" i="53"/>
  <c r="L341" i="53"/>
  <c r="L331" i="53"/>
  <c r="L321" i="53"/>
  <c r="L311" i="53"/>
  <c r="D41" i="49" s="1"/>
  <c r="L200" i="53"/>
  <c r="A208" i="55" s="1"/>
  <c r="L190" i="53"/>
  <c r="A198" i="55" s="1"/>
  <c r="L180" i="53"/>
  <c r="A188" i="55" s="1"/>
  <c r="L170" i="53"/>
  <c r="A178" i="55" s="1"/>
  <c r="L160" i="53"/>
  <c r="A168" i="55" s="1"/>
  <c r="L150" i="53"/>
  <c r="A158" i="55" s="1"/>
  <c r="L140" i="53"/>
  <c r="A148" i="55" s="1"/>
  <c r="L130" i="53"/>
  <c r="A138" i="55" s="1"/>
  <c r="L120" i="53"/>
  <c r="A128" i="55" s="1"/>
  <c r="L110" i="53"/>
  <c r="A118" i="55" s="1"/>
  <c r="L100" i="53"/>
  <c r="A108" i="55" s="1"/>
  <c r="L90" i="53"/>
  <c r="A98" i="55" s="1"/>
  <c r="L80" i="53"/>
  <c r="A88" i="55" s="1"/>
  <c r="L70" i="53"/>
  <c r="A78" i="55" s="1"/>
  <c r="L60" i="53"/>
  <c r="A68" i="55" s="1"/>
  <c r="L50" i="53"/>
  <c r="L40" i="53"/>
  <c r="A48" i="55" s="1"/>
  <c r="L30" i="53"/>
  <c r="A38" i="55" s="1"/>
  <c r="A329" i="55" s="1"/>
  <c r="L20" i="53"/>
  <c r="A28" i="55" s="1"/>
  <c r="D105" i="49" l="1"/>
  <c r="A38" i="61"/>
  <c r="D124" i="49"/>
  <c r="A232" i="61"/>
  <c r="D128" i="49"/>
  <c r="A272" i="61"/>
  <c r="D132" i="49"/>
  <c r="A312" i="61"/>
  <c r="D136" i="49"/>
  <c r="A38" i="62"/>
  <c r="D140" i="49"/>
  <c r="A78" i="62"/>
  <c r="D144" i="49"/>
  <c r="A118" i="62"/>
  <c r="D148" i="49"/>
  <c r="A158" i="62"/>
  <c r="D152" i="49"/>
  <c r="A198" i="62"/>
  <c r="D156" i="49"/>
  <c r="A242" i="62"/>
  <c r="D160" i="49"/>
  <c r="A282" i="62"/>
  <c r="D125" i="49"/>
  <c r="A242" i="61"/>
  <c r="D129" i="49"/>
  <c r="A282" i="61"/>
  <c r="D137" i="49"/>
  <c r="A48" i="62"/>
  <c r="D141" i="49"/>
  <c r="A88" i="62"/>
  <c r="D145" i="49"/>
  <c r="A128" i="62"/>
  <c r="D149" i="49"/>
  <c r="A168" i="62"/>
  <c r="D153" i="49"/>
  <c r="A208" i="62"/>
  <c r="D157" i="49"/>
  <c r="A252" i="62"/>
  <c r="D161" i="49"/>
  <c r="A292" i="62"/>
  <c r="D126" i="49"/>
  <c r="A252" i="61"/>
  <c r="D130" i="49"/>
  <c r="A292" i="61"/>
  <c r="D138" i="49"/>
  <c r="A58" i="62"/>
  <c r="D142" i="49"/>
  <c r="A98" i="62"/>
  <c r="D146" i="49"/>
  <c r="A138" i="62"/>
  <c r="D150" i="49"/>
  <c r="A178" i="62"/>
  <c r="D158" i="49"/>
  <c r="A262" i="62"/>
  <c r="D162" i="49"/>
  <c r="A302" i="62"/>
  <c r="D127" i="49"/>
  <c r="A262" i="61"/>
  <c r="D131" i="49"/>
  <c r="A302" i="61"/>
  <c r="D135" i="49"/>
  <c r="A28" i="62"/>
  <c r="D139" i="49"/>
  <c r="A68" i="62"/>
  <c r="D143" i="49"/>
  <c r="A108" i="62"/>
  <c r="D147" i="49"/>
  <c r="A148" i="62"/>
  <c r="D151" i="49"/>
  <c r="A188" i="62"/>
  <c r="D155" i="49"/>
  <c r="A232" i="62"/>
  <c r="D159" i="49"/>
  <c r="A272" i="62"/>
  <c r="D163" i="49"/>
  <c r="A312" i="62"/>
  <c r="D70" i="49"/>
  <c r="A312" i="59"/>
  <c r="D51" i="49"/>
  <c r="A118" i="59"/>
  <c r="D75" i="49"/>
  <c r="A48" i="60"/>
  <c r="D83" i="49"/>
  <c r="A128" i="60"/>
  <c r="D99" i="49"/>
  <c r="A292" i="60"/>
  <c r="D44" i="49"/>
  <c r="A48" i="59"/>
  <c r="D52" i="49"/>
  <c r="A128" i="59"/>
  <c r="D60" i="49"/>
  <c r="A208" i="59"/>
  <c r="D68" i="49"/>
  <c r="A292" i="59"/>
  <c r="D76" i="49"/>
  <c r="A58" i="60"/>
  <c r="D84" i="49"/>
  <c r="A138" i="60"/>
  <c r="D100" i="49"/>
  <c r="A302" i="60"/>
  <c r="D78" i="49"/>
  <c r="A78" i="60"/>
  <c r="D94" i="49"/>
  <c r="A242" i="60"/>
  <c r="D43" i="49"/>
  <c r="A38" i="59"/>
  <c r="D59" i="49"/>
  <c r="A198" i="59"/>
  <c r="D45" i="49"/>
  <c r="A58" i="59"/>
  <c r="D53" i="49"/>
  <c r="A138" i="59"/>
  <c r="D69" i="49"/>
  <c r="A302" i="59"/>
  <c r="D77" i="49"/>
  <c r="A68" i="60"/>
  <c r="D85" i="49"/>
  <c r="A148" i="60"/>
  <c r="D93" i="49"/>
  <c r="A232" i="60"/>
  <c r="D101" i="49"/>
  <c r="A312" i="60"/>
  <c r="D62" i="49"/>
  <c r="A232" i="59"/>
  <c r="D47" i="49"/>
  <c r="A78" i="59"/>
  <c r="D55" i="49"/>
  <c r="A158" i="59"/>
  <c r="D63" i="49"/>
  <c r="D79" i="49"/>
  <c r="A88" i="60"/>
  <c r="D87" i="49"/>
  <c r="A168" i="60"/>
  <c r="D95" i="49"/>
  <c r="A252" i="60"/>
  <c r="D54" i="49"/>
  <c r="A148" i="59"/>
  <c r="D56" i="49"/>
  <c r="A168" i="59"/>
  <c r="D88" i="49"/>
  <c r="A178" i="60"/>
  <c r="D49" i="49"/>
  <c r="A98" i="59"/>
  <c r="D57" i="49"/>
  <c r="A178" i="59"/>
  <c r="D65" i="49"/>
  <c r="D73" i="49"/>
  <c r="A28" i="60"/>
  <c r="D81" i="49"/>
  <c r="A108" i="60"/>
  <c r="D89" i="49"/>
  <c r="A188" i="60"/>
  <c r="D97" i="49"/>
  <c r="A272" i="60"/>
  <c r="D86" i="49"/>
  <c r="A158" i="60"/>
  <c r="D48" i="49"/>
  <c r="A88" i="59"/>
  <c r="D64" i="49"/>
  <c r="D80" i="49"/>
  <c r="A98" i="60"/>
  <c r="D96" i="49"/>
  <c r="A262" i="60"/>
  <c r="D42" i="49"/>
  <c r="A28" i="59"/>
  <c r="D50" i="49"/>
  <c r="A108" i="59"/>
  <c r="D58" i="49"/>
  <c r="A188" i="59"/>
  <c r="D66" i="49"/>
  <c r="A272" i="59"/>
  <c r="D74" i="49"/>
  <c r="A38" i="60"/>
  <c r="D82" i="49"/>
  <c r="A118" i="60"/>
  <c r="D90" i="49"/>
  <c r="A198" i="60"/>
  <c r="D98" i="49"/>
  <c r="A282" i="60"/>
  <c r="D46" i="49"/>
  <c r="A68" i="59"/>
  <c r="D67" i="49"/>
  <c r="A282" i="59"/>
  <c r="D91" i="49"/>
  <c r="A208" i="60"/>
  <c r="D14" i="49"/>
  <c r="A58" i="55"/>
  <c r="D13" i="49"/>
  <c r="D26" i="49"/>
  <c r="D15" i="49"/>
  <c r="D27" i="49"/>
  <c r="D16" i="49"/>
  <c r="D17" i="49"/>
  <c r="D21" i="49"/>
  <c r="D25" i="49"/>
  <c r="D29" i="49"/>
  <c r="D18" i="49"/>
  <c r="D22" i="49"/>
  <c r="D23" i="49"/>
  <c r="D11" i="49"/>
  <c r="D19" i="49"/>
  <c r="D12" i="49"/>
  <c r="D20" i="49"/>
  <c r="D24" i="49"/>
  <c r="D28" i="49"/>
  <c r="A78" i="61"/>
  <c r="A18" i="62"/>
  <c r="A18" i="61"/>
  <c r="A88" i="61"/>
  <c r="A168" i="61"/>
  <c r="A18" i="60"/>
  <c r="A148" i="61"/>
  <c r="A98" i="61"/>
  <c r="A28" i="61"/>
  <c r="A108" i="61"/>
  <c r="A188" i="61"/>
  <c r="A68" i="61"/>
  <c r="A178" i="61"/>
  <c r="A118" i="61"/>
  <c r="A198" i="61"/>
  <c r="A48" i="61"/>
  <c r="A128" i="61"/>
  <c r="A208" i="61"/>
  <c r="A222" i="62"/>
  <c r="A158" i="61"/>
  <c r="A58" i="61"/>
  <c r="A138" i="61"/>
  <c r="A222" i="61"/>
  <c r="A222" i="60"/>
  <c r="A18" i="59"/>
  <c r="B222" i="59"/>
  <c r="M222" i="59" s="1"/>
  <c r="B18" i="59"/>
  <c r="M18" i="59" s="1"/>
  <c r="A222" i="59"/>
  <c r="L300" i="53"/>
  <c r="D39" i="49" s="1"/>
  <c r="L290" i="53"/>
  <c r="D38" i="49" s="1"/>
  <c r="L280" i="53"/>
  <c r="D37" i="49" s="1"/>
  <c r="L270" i="53"/>
  <c r="D36" i="49" s="1"/>
  <c r="L260" i="53"/>
  <c r="D35" i="49" s="1"/>
  <c r="L250" i="53"/>
  <c r="D34" i="49" s="1"/>
  <c r="L240" i="53"/>
  <c r="D33" i="49" s="1"/>
  <c r="L230" i="53"/>
  <c r="D32" i="49" s="1"/>
  <c r="L220" i="53"/>
  <c r="L210" i="53"/>
  <c r="D30" i="49" s="1"/>
  <c r="B18" i="55"/>
  <c r="M18" i="55" s="1"/>
  <c r="D31" i="49" l="1"/>
  <c r="A232" i="55"/>
  <c r="A337" i="59"/>
  <c r="M337" i="59" s="1"/>
  <c r="A351" i="59"/>
  <c r="M351" i="59" s="1"/>
  <c r="A355" i="60"/>
  <c r="M355" i="60" s="1"/>
  <c r="A329" i="60"/>
  <c r="M329" i="60" s="1"/>
  <c r="A340" i="60"/>
  <c r="M340" i="60" s="1"/>
  <c r="A351" i="62"/>
  <c r="M351" i="62" s="1"/>
  <c r="A356" i="61"/>
  <c r="M356" i="61" s="1"/>
  <c r="A340" i="59"/>
  <c r="M340" i="59" s="1"/>
  <c r="A354" i="60"/>
  <c r="M354" i="60" s="1"/>
  <c r="A331" i="62"/>
  <c r="M331" i="62" s="1"/>
  <c r="A330" i="62"/>
  <c r="M330" i="62" s="1"/>
  <c r="A329" i="61"/>
  <c r="M329" i="61" s="1"/>
  <c r="A337" i="62"/>
  <c r="M337" i="62" s="1"/>
  <c r="A335" i="60"/>
  <c r="M335" i="60" s="1"/>
  <c r="A342" i="61"/>
  <c r="M342" i="61" s="1"/>
  <c r="A334" i="62"/>
  <c r="M334" i="62" s="1"/>
  <c r="A343" i="59"/>
  <c r="M343" i="59" s="1"/>
  <c r="A329" i="59"/>
  <c r="M329" i="59" s="1"/>
  <c r="A332" i="59"/>
  <c r="M332" i="59" s="1"/>
  <c r="A342" i="59"/>
  <c r="M342" i="59" s="1"/>
  <c r="A341" i="59"/>
  <c r="M341" i="59" s="1"/>
  <c r="A344" i="59"/>
  <c r="M344" i="59" s="1"/>
  <c r="A341" i="62"/>
  <c r="M341" i="62" s="1"/>
  <c r="A348" i="62"/>
  <c r="M348" i="62" s="1"/>
  <c r="A347" i="61"/>
  <c r="M347" i="61" s="1"/>
  <c r="A346" i="60"/>
  <c r="M346" i="60" s="1"/>
  <c r="A350" i="60"/>
  <c r="M350" i="60" s="1"/>
  <c r="A355" i="62"/>
  <c r="M355" i="62" s="1"/>
  <c r="A354" i="61"/>
  <c r="M354" i="61" s="1"/>
  <c r="A353" i="60"/>
  <c r="M353" i="60" s="1"/>
  <c r="A351" i="61"/>
  <c r="M351" i="61" s="1"/>
  <c r="A354" i="62"/>
  <c r="M354" i="62" s="1"/>
  <c r="A353" i="61"/>
  <c r="M353" i="61" s="1"/>
  <c r="A352" i="60"/>
  <c r="M352" i="60" s="1"/>
  <c r="A344" i="62"/>
  <c r="M344" i="62" s="1"/>
  <c r="A332" i="61"/>
  <c r="M332" i="61" s="1"/>
  <c r="A329" i="62"/>
  <c r="M329" i="62" s="1"/>
  <c r="A328" i="61"/>
  <c r="M328" i="61" s="1"/>
  <c r="A352" i="62"/>
  <c r="M352" i="62" s="1"/>
  <c r="A327" i="60"/>
  <c r="M327" i="60" s="1"/>
  <c r="A343" i="62"/>
  <c r="M343" i="62" s="1"/>
  <c r="A334" i="61"/>
  <c r="M334" i="61" s="1"/>
  <c r="A333" i="60"/>
  <c r="M333" i="60" s="1"/>
  <c r="A327" i="62"/>
  <c r="M327" i="62" s="1"/>
  <c r="A331" i="60"/>
  <c r="M331" i="60" s="1"/>
  <c r="A331" i="59"/>
  <c r="M331" i="59" s="1"/>
  <c r="A330" i="59"/>
  <c r="M330" i="59" s="1"/>
  <c r="A356" i="62"/>
  <c r="M356" i="62" s="1"/>
  <c r="A328" i="62"/>
  <c r="M328" i="62" s="1"/>
  <c r="A330" i="61"/>
  <c r="M330" i="61" s="1"/>
  <c r="A348" i="61"/>
  <c r="M348" i="61" s="1"/>
  <c r="A328" i="60"/>
  <c r="M328" i="60" s="1"/>
  <c r="A336" i="61"/>
  <c r="M336" i="61" s="1"/>
  <c r="A340" i="61"/>
  <c r="M340" i="61" s="1"/>
  <c r="A341" i="60"/>
  <c r="M341" i="60" s="1"/>
  <c r="A354" i="59"/>
  <c r="M354" i="59" s="1"/>
  <c r="A339" i="59"/>
  <c r="M339" i="59" s="1"/>
  <c r="A353" i="59"/>
  <c r="M353" i="59" s="1"/>
  <c r="A338" i="59"/>
  <c r="M338" i="59" s="1"/>
  <c r="A333" i="59"/>
  <c r="M333" i="59" s="1"/>
  <c r="A336" i="59"/>
  <c r="M336" i="59" s="1"/>
  <c r="A333" i="62"/>
  <c r="M333" i="62" s="1"/>
  <c r="A340" i="62"/>
  <c r="M340" i="62" s="1"/>
  <c r="A339" i="61"/>
  <c r="M339" i="61" s="1"/>
  <c r="A338" i="60"/>
  <c r="M338" i="60" s="1"/>
  <c r="A341" i="61"/>
  <c r="M341" i="61" s="1"/>
  <c r="A347" i="62"/>
  <c r="M347" i="62" s="1"/>
  <c r="A346" i="61"/>
  <c r="M346" i="61" s="1"/>
  <c r="A345" i="60"/>
  <c r="M345" i="60" s="1"/>
  <c r="A334" i="60"/>
  <c r="M334" i="60" s="1"/>
  <c r="A346" i="62"/>
  <c r="M346" i="62" s="1"/>
  <c r="A345" i="61"/>
  <c r="M345" i="61" s="1"/>
  <c r="A344" i="60"/>
  <c r="M344" i="60" s="1"/>
  <c r="A343" i="61"/>
  <c r="M343" i="61" s="1"/>
  <c r="A353" i="62"/>
  <c r="M353" i="62" s="1"/>
  <c r="A352" i="61"/>
  <c r="M352" i="61" s="1"/>
  <c r="A351" i="60"/>
  <c r="M351" i="60" s="1"/>
  <c r="A336" i="62"/>
  <c r="M336" i="62" s="1"/>
  <c r="A332" i="60"/>
  <c r="M332" i="60" s="1"/>
  <c r="A335" i="62"/>
  <c r="M335" i="62" s="1"/>
  <c r="A327" i="61"/>
  <c r="M327" i="61" s="1"/>
  <c r="A350" i="62"/>
  <c r="M350" i="62" s="1"/>
  <c r="A349" i="61"/>
  <c r="M349" i="61" s="1"/>
  <c r="A349" i="62"/>
  <c r="M349" i="62" s="1"/>
  <c r="A355" i="61"/>
  <c r="M355" i="61" s="1"/>
  <c r="A350" i="59"/>
  <c r="M350" i="59" s="1"/>
  <c r="A335" i="59"/>
  <c r="M335" i="59" s="1"/>
  <c r="A349" i="59"/>
  <c r="M349" i="59" s="1"/>
  <c r="A334" i="59"/>
  <c r="M334" i="59" s="1"/>
  <c r="A352" i="59"/>
  <c r="M352" i="59" s="1"/>
  <c r="A328" i="59"/>
  <c r="M328" i="59" s="1"/>
  <c r="A347" i="60"/>
  <c r="M347" i="60" s="1"/>
  <c r="A332" i="62"/>
  <c r="M332" i="62" s="1"/>
  <c r="A331" i="61"/>
  <c r="M331" i="61" s="1"/>
  <c r="A330" i="60"/>
  <c r="M330" i="60" s="1"/>
  <c r="A348" i="60"/>
  <c r="M348" i="60" s="1"/>
  <c r="A339" i="62"/>
  <c r="M339" i="62" s="1"/>
  <c r="A338" i="61"/>
  <c r="M338" i="61" s="1"/>
  <c r="A337" i="60"/>
  <c r="M337" i="60" s="1"/>
  <c r="A356" i="60"/>
  <c r="M356" i="60" s="1"/>
  <c r="A338" i="62"/>
  <c r="M338" i="62" s="1"/>
  <c r="A337" i="61"/>
  <c r="M337" i="61" s="1"/>
  <c r="A336" i="60"/>
  <c r="M336" i="60" s="1"/>
  <c r="A342" i="60"/>
  <c r="M342" i="60" s="1"/>
  <c r="A345" i="62"/>
  <c r="M345" i="62" s="1"/>
  <c r="A344" i="61"/>
  <c r="M344" i="61" s="1"/>
  <c r="A343" i="60"/>
  <c r="M343" i="60" s="1"/>
  <c r="A335" i="61"/>
  <c r="M335" i="61" s="1"/>
  <c r="A339" i="60"/>
  <c r="M339" i="60" s="1"/>
  <c r="A350" i="61"/>
  <c r="M350" i="61" s="1"/>
  <c r="A349" i="60"/>
  <c r="M349" i="60" s="1"/>
  <c r="A342" i="62"/>
  <c r="M342" i="62" s="1"/>
  <c r="A333" i="61"/>
  <c r="M333" i="61" s="1"/>
  <c r="A345" i="59"/>
  <c r="M345" i="59" s="1"/>
  <c r="A348" i="59"/>
  <c r="M348" i="59" s="1"/>
  <c r="A355" i="59"/>
  <c r="M355" i="59" s="1"/>
  <c r="A356" i="59"/>
  <c r="M356" i="59" s="1"/>
  <c r="A347" i="59"/>
  <c r="M347" i="59" s="1"/>
  <c r="A346" i="59"/>
  <c r="M346" i="59" s="1"/>
  <c r="A327" i="59"/>
  <c r="M327" i="59" s="1"/>
  <c r="A341" i="55"/>
  <c r="M341" i="55" s="1"/>
  <c r="A346" i="55"/>
  <c r="M346" i="55" s="1"/>
  <c r="A345" i="55"/>
  <c r="M345" i="55" s="1"/>
  <c r="A342" i="55"/>
  <c r="M342" i="55" s="1"/>
  <c r="A344" i="55"/>
  <c r="M344" i="55" s="1"/>
  <c r="A343" i="55"/>
  <c r="M343" i="55" s="1"/>
  <c r="A340" i="55"/>
  <c r="M340" i="55" s="1"/>
  <c r="A339" i="55"/>
  <c r="M339" i="55" s="1"/>
  <c r="A338" i="55"/>
  <c r="M338" i="55" s="1"/>
  <c r="A337" i="55"/>
  <c r="M337" i="55" s="1"/>
  <c r="A336" i="55"/>
  <c r="M336" i="55" s="1"/>
  <c r="A335" i="55"/>
  <c r="M335" i="55" s="1"/>
  <c r="A334" i="55"/>
  <c r="M334" i="55" s="1"/>
  <c r="A333" i="55"/>
  <c r="M333" i="55" s="1"/>
  <c r="A332" i="55"/>
  <c r="M332" i="55" s="1"/>
  <c r="A331" i="55"/>
  <c r="M331" i="55" s="1"/>
  <c r="A330" i="55"/>
  <c r="M330" i="55" s="1"/>
  <c r="M329" i="55"/>
  <c r="A328" i="55"/>
  <c r="M328" i="55" s="1"/>
  <c r="A312" i="55"/>
  <c r="A356" i="55" s="1"/>
  <c r="A282" i="55"/>
  <c r="A252" i="55"/>
  <c r="A292" i="55"/>
  <c r="A272" i="55"/>
  <c r="A242" i="55"/>
  <c r="A222" i="55"/>
  <c r="A262" i="55"/>
  <c r="A302" i="55"/>
  <c r="S178" i="51"/>
  <c r="R178" i="51"/>
  <c r="S177" i="51"/>
  <c r="R177" i="51"/>
  <c r="D177" i="51"/>
  <c r="S176" i="51"/>
  <c r="R176" i="51"/>
  <c r="D176" i="51"/>
  <c r="S175" i="51"/>
  <c r="R175" i="51"/>
  <c r="D175" i="51"/>
  <c r="S174" i="51"/>
  <c r="R174" i="51"/>
  <c r="D174" i="51"/>
  <c r="S173" i="51"/>
  <c r="R173" i="51"/>
  <c r="D173" i="51"/>
  <c r="S172" i="51"/>
  <c r="R172" i="51"/>
  <c r="D172" i="51"/>
  <c r="S171" i="51"/>
  <c r="R171" i="51"/>
  <c r="D171" i="51"/>
  <c r="S170" i="51"/>
  <c r="R170" i="51"/>
  <c r="D170" i="51"/>
  <c r="S169" i="51"/>
  <c r="R169" i="51"/>
  <c r="D169" i="51"/>
  <c r="S168" i="51"/>
  <c r="R168" i="51"/>
  <c r="D168" i="51"/>
  <c r="C168" i="51"/>
  <c r="S167" i="51"/>
  <c r="R167" i="51"/>
  <c r="D167" i="51"/>
  <c r="S166" i="51"/>
  <c r="R166" i="51"/>
  <c r="D166" i="51"/>
  <c r="S165" i="51"/>
  <c r="R165" i="51"/>
  <c r="D165" i="51"/>
  <c r="S164" i="51"/>
  <c r="R164" i="51"/>
  <c r="D164" i="51"/>
  <c r="S163" i="51"/>
  <c r="R163" i="51"/>
  <c r="D163" i="51"/>
  <c r="S162" i="51"/>
  <c r="R162" i="51"/>
  <c r="D162" i="51"/>
  <c r="S161" i="51"/>
  <c r="R161" i="51"/>
  <c r="D161" i="51"/>
  <c r="S160" i="51"/>
  <c r="R160" i="51"/>
  <c r="D160" i="51"/>
  <c r="S159" i="51"/>
  <c r="R159" i="51"/>
  <c r="D159" i="51"/>
  <c r="S158" i="51"/>
  <c r="R158" i="51"/>
  <c r="D158" i="51"/>
  <c r="S157" i="51"/>
  <c r="R157" i="51"/>
  <c r="D157" i="51"/>
  <c r="S156" i="51"/>
  <c r="R156" i="51"/>
  <c r="D156" i="51"/>
  <c r="S155" i="51"/>
  <c r="R155" i="51"/>
  <c r="D155" i="51"/>
  <c r="S154" i="51"/>
  <c r="R154" i="51"/>
  <c r="D154" i="51"/>
  <c r="S153" i="51"/>
  <c r="R153" i="51"/>
  <c r="D153" i="51"/>
  <c r="S152" i="51"/>
  <c r="R152" i="51"/>
  <c r="D152" i="51"/>
  <c r="S151" i="51"/>
  <c r="R151" i="51"/>
  <c r="D151" i="51"/>
  <c r="S150" i="51"/>
  <c r="R150" i="51"/>
  <c r="D150" i="51"/>
  <c r="S149" i="51"/>
  <c r="R149" i="51"/>
  <c r="D149" i="51"/>
  <c r="S148" i="51"/>
  <c r="R148" i="51"/>
  <c r="D148" i="51"/>
  <c r="C148" i="51"/>
  <c r="A148" i="51"/>
  <c r="R147" i="51"/>
  <c r="S146" i="51"/>
  <c r="R146" i="51"/>
  <c r="D146" i="51"/>
  <c r="S145" i="51"/>
  <c r="R145" i="51"/>
  <c r="D145" i="51"/>
  <c r="S144" i="51"/>
  <c r="R144" i="51"/>
  <c r="D144" i="51"/>
  <c r="S143" i="51"/>
  <c r="R143" i="51"/>
  <c r="D143" i="51"/>
  <c r="S142" i="51"/>
  <c r="R142" i="51"/>
  <c r="D142" i="51"/>
  <c r="S141" i="51"/>
  <c r="R141" i="51"/>
  <c r="D141" i="51"/>
  <c r="S140" i="51"/>
  <c r="R140" i="51"/>
  <c r="D140" i="51"/>
  <c r="S139" i="51"/>
  <c r="R139" i="51"/>
  <c r="D139" i="51"/>
  <c r="S138" i="51"/>
  <c r="R138" i="51"/>
  <c r="D138" i="51"/>
  <c r="S137" i="51"/>
  <c r="R137" i="51"/>
  <c r="D137" i="51"/>
  <c r="C137" i="51"/>
  <c r="S136" i="51"/>
  <c r="R136" i="51"/>
  <c r="D136" i="51"/>
  <c r="S135" i="51"/>
  <c r="R135" i="51"/>
  <c r="D135" i="51"/>
  <c r="S134" i="51"/>
  <c r="R134" i="51"/>
  <c r="D134" i="51"/>
  <c r="S133" i="51"/>
  <c r="R133" i="51"/>
  <c r="U133" i="51" s="1"/>
  <c r="D133" i="51"/>
  <c r="S132" i="51"/>
  <c r="R132" i="51"/>
  <c r="D132" i="51"/>
  <c r="S131" i="51"/>
  <c r="R131" i="51"/>
  <c r="D131" i="51"/>
  <c r="S130" i="51"/>
  <c r="R130" i="51"/>
  <c r="D130" i="51"/>
  <c r="S129" i="51"/>
  <c r="R129" i="51"/>
  <c r="D129" i="51"/>
  <c r="S128" i="51"/>
  <c r="R128" i="51"/>
  <c r="U128" i="51" s="1"/>
  <c r="D128" i="51"/>
  <c r="S127" i="51"/>
  <c r="R127" i="51"/>
  <c r="D127" i="51"/>
  <c r="S126" i="51"/>
  <c r="R126" i="51"/>
  <c r="D126" i="51"/>
  <c r="S125" i="51"/>
  <c r="R125" i="51"/>
  <c r="D125" i="51"/>
  <c r="S124" i="51"/>
  <c r="R124" i="51"/>
  <c r="D124" i="51"/>
  <c r="S123" i="51"/>
  <c r="R123" i="51"/>
  <c r="D123" i="51"/>
  <c r="S122" i="51"/>
  <c r="R122" i="51"/>
  <c r="D122" i="51"/>
  <c r="S121" i="51"/>
  <c r="R121" i="51"/>
  <c r="D121" i="51"/>
  <c r="S120" i="51"/>
  <c r="R120" i="51"/>
  <c r="D120" i="51"/>
  <c r="S119" i="51"/>
  <c r="R119" i="51"/>
  <c r="U119" i="51" s="1"/>
  <c r="D119" i="51"/>
  <c r="S118" i="51"/>
  <c r="R118" i="51"/>
  <c r="D118" i="51"/>
  <c r="S117" i="51"/>
  <c r="R117" i="51"/>
  <c r="U117" i="51" s="1"/>
  <c r="D117" i="51"/>
  <c r="C117" i="51"/>
  <c r="S116" i="51"/>
  <c r="R116" i="51"/>
  <c r="U116" i="51" s="1"/>
  <c r="S115" i="51"/>
  <c r="R115" i="51"/>
  <c r="D115" i="51"/>
  <c r="S114" i="51"/>
  <c r="R114" i="51"/>
  <c r="D114" i="51"/>
  <c r="S113" i="51"/>
  <c r="R113" i="51"/>
  <c r="D113" i="51"/>
  <c r="S112" i="51"/>
  <c r="R112" i="51"/>
  <c r="D112" i="51"/>
  <c r="S111" i="51"/>
  <c r="R111" i="51"/>
  <c r="U111" i="51" s="1"/>
  <c r="D111" i="51"/>
  <c r="S110" i="51"/>
  <c r="R110" i="51"/>
  <c r="D110" i="51"/>
  <c r="S109" i="51"/>
  <c r="R109" i="51"/>
  <c r="D109" i="51"/>
  <c r="S108" i="51"/>
  <c r="R108" i="51"/>
  <c r="D108" i="51"/>
  <c r="S107" i="51"/>
  <c r="R107" i="51"/>
  <c r="D107" i="51"/>
  <c r="S106" i="51"/>
  <c r="R106" i="51"/>
  <c r="D106" i="51"/>
  <c r="C106" i="51"/>
  <c r="S105" i="51"/>
  <c r="R105" i="51"/>
  <c r="D105" i="51"/>
  <c r="S104" i="51"/>
  <c r="R104" i="51"/>
  <c r="D104" i="51"/>
  <c r="S103" i="51"/>
  <c r="R103" i="51"/>
  <c r="D103" i="51"/>
  <c r="S102" i="51"/>
  <c r="R102" i="51"/>
  <c r="D102" i="51"/>
  <c r="S101" i="51"/>
  <c r="R101" i="51"/>
  <c r="D101" i="51"/>
  <c r="S100" i="51"/>
  <c r="R100" i="51"/>
  <c r="U100" i="51" s="1"/>
  <c r="D100" i="51"/>
  <c r="S99" i="51"/>
  <c r="R99" i="51"/>
  <c r="D99" i="51"/>
  <c r="S98" i="51"/>
  <c r="R98" i="51"/>
  <c r="D98" i="51"/>
  <c r="S97" i="51"/>
  <c r="R97" i="51"/>
  <c r="D97" i="51"/>
  <c r="S96" i="51"/>
  <c r="R96" i="51"/>
  <c r="D96" i="51"/>
  <c r="S95" i="51"/>
  <c r="R95" i="51"/>
  <c r="D95" i="51"/>
  <c r="S94" i="51"/>
  <c r="R94" i="51"/>
  <c r="D94" i="51"/>
  <c r="S93" i="51"/>
  <c r="R93" i="51"/>
  <c r="D93" i="51"/>
  <c r="S92" i="51"/>
  <c r="R92" i="51"/>
  <c r="D92" i="51"/>
  <c r="S91" i="51"/>
  <c r="R91" i="51"/>
  <c r="U91" i="51" s="1"/>
  <c r="D91" i="51"/>
  <c r="S90" i="51"/>
  <c r="R90" i="51"/>
  <c r="D90" i="51"/>
  <c r="S89" i="51"/>
  <c r="R89" i="51"/>
  <c r="D89" i="51"/>
  <c r="S88" i="51"/>
  <c r="R88" i="51"/>
  <c r="D88" i="51"/>
  <c r="S87" i="51"/>
  <c r="R87" i="51"/>
  <c r="D87" i="51"/>
  <c r="S86" i="51"/>
  <c r="R86" i="51"/>
  <c r="D86" i="51"/>
  <c r="C86" i="51"/>
  <c r="A86" i="51"/>
  <c r="S85" i="51"/>
  <c r="R85" i="51"/>
  <c r="S83" i="51"/>
  <c r="R83" i="51"/>
  <c r="D83" i="51"/>
  <c r="S82" i="51"/>
  <c r="R82" i="51"/>
  <c r="D82" i="51"/>
  <c r="S81" i="51"/>
  <c r="R81" i="51"/>
  <c r="D81" i="51"/>
  <c r="S80" i="51"/>
  <c r="R80" i="51"/>
  <c r="D80" i="51"/>
  <c r="S79" i="51"/>
  <c r="R79" i="51"/>
  <c r="U79" i="51" s="1"/>
  <c r="D79" i="51"/>
  <c r="S78" i="51"/>
  <c r="R78" i="51"/>
  <c r="D78" i="51"/>
  <c r="S76" i="51"/>
  <c r="R76" i="51"/>
  <c r="D76" i="51"/>
  <c r="S75" i="51"/>
  <c r="R75" i="51"/>
  <c r="D75" i="51"/>
  <c r="C75" i="51"/>
  <c r="S74" i="51"/>
  <c r="R74" i="51"/>
  <c r="U74" i="51" s="1"/>
  <c r="D74" i="51"/>
  <c r="S73" i="51"/>
  <c r="R73" i="51"/>
  <c r="D73" i="51"/>
  <c r="S72" i="51"/>
  <c r="R72" i="51"/>
  <c r="D72" i="51"/>
  <c r="S71" i="51"/>
  <c r="R71" i="51"/>
  <c r="D71" i="51"/>
  <c r="S70" i="51"/>
  <c r="R70" i="51"/>
  <c r="D70" i="51"/>
  <c r="S69" i="51"/>
  <c r="R69" i="51"/>
  <c r="U69" i="51" s="1"/>
  <c r="D69" i="51"/>
  <c r="S68" i="51"/>
  <c r="R68" i="51"/>
  <c r="D68" i="51"/>
  <c r="S67" i="51"/>
  <c r="R67" i="51"/>
  <c r="D67" i="51"/>
  <c r="S66" i="51"/>
  <c r="R66" i="51"/>
  <c r="D66" i="51"/>
  <c r="S65" i="51"/>
  <c r="R65" i="51"/>
  <c r="D65" i="51"/>
  <c r="S64" i="51"/>
  <c r="R64" i="51"/>
  <c r="D64" i="51"/>
  <c r="S63" i="51"/>
  <c r="R63" i="51"/>
  <c r="D63" i="51"/>
  <c r="S62" i="51"/>
  <c r="R62" i="51"/>
  <c r="D62" i="51"/>
  <c r="S60" i="51"/>
  <c r="R60" i="51"/>
  <c r="U60" i="51" s="1"/>
  <c r="D60" i="51"/>
  <c r="S59" i="51"/>
  <c r="R59" i="51"/>
  <c r="D59" i="51"/>
  <c r="S58" i="51"/>
  <c r="R58" i="51"/>
  <c r="D58" i="51"/>
  <c r="S57" i="51"/>
  <c r="R57" i="51"/>
  <c r="D57" i="51"/>
  <c r="S56" i="51"/>
  <c r="R56" i="51"/>
  <c r="D56" i="51"/>
  <c r="S55" i="51"/>
  <c r="R55" i="51"/>
  <c r="D55" i="51"/>
  <c r="C55" i="51"/>
  <c r="A55" i="51"/>
  <c r="S54" i="51"/>
  <c r="S16" i="51" s="1"/>
  <c r="R54" i="51"/>
  <c r="U54" i="51" s="1"/>
  <c r="S53" i="51"/>
  <c r="R53" i="51"/>
  <c r="D53" i="51"/>
  <c r="S52" i="51"/>
  <c r="R52" i="51"/>
  <c r="D52" i="51"/>
  <c r="G52" i="51" s="1"/>
  <c r="S51" i="51"/>
  <c r="R51" i="51"/>
  <c r="U51" i="51" s="1"/>
  <c r="D51" i="51"/>
  <c r="S50" i="51"/>
  <c r="R50" i="51"/>
  <c r="D50" i="51"/>
  <c r="S49" i="51"/>
  <c r="R49" i="51"/>
  <c r="D49" i="51"/>
  <c r="G49" i="51" s="1"/>
  <c r="S48" i="51"/>
  <c r="R48" i="51"/>
  <c r="D48" i="51"/>
  <c r="G48" i="51" s="1"/>
  <c r="S47" i="51"/>
  <c r="R47" i="51"/>
  <c r="U47" i="51" s="1"/>
  <c r="D47" i="51"/>
  <c r="S46" i="51"/>
  <c r="R46" i="51"/>
  <c r="D46" i="51"/>
  <c r="S45" i="51"/>
  <c r="R45" i="51"/>
  <c r="U45" i="51" s="1"/>
  <c r="D45" i="51"/>
  <c r="S44" i="51"/>
  <c r="R44" i="51"/>
  <c r="D44" i="51"/>
  <c r="C44" i="51"/>
  <c r="S43" i="51"/>
  <c r="R43" i="51"/>
  <c r="D43" i="51"/>
  <c r="G43" i="51" s="1"/>
  <c r="S42" i="51"/>
  <c r="R42" i="51"/>
  <c r="D42" i="51"/>
  <c r="S41" i="51"/>
  <c r="R41" i="51"/>
  <c r="D41" i="51"/>
  <c r="S40" i="51"/>
  <c r="R40" i="51"/>
  <c r="D40" i="51"/>
  <c r="S39" i="51"/>
  <c r="R39" i="51"/>
  <c r="D39" i="51"/>
  <c r="G39" i="51" s="1"/>
  <c r="S38" i="51"/>
  <c r="R38" i="51"/>
  <c r="D38" i="51"/>
  <c r="S37" i="51"/>
  <c r="R37" i="51"/>
  <c r="D37" i="51"/>
  <c r="S36" i="51"/>
  <c r="R36" i="51"/>
  <c r="D36" i="51"/>
  <c r="S35" i="51"/>
  <c r="R35" i="51"/>
  <c r="D35" i="51"/>
  <c r="S34" i="51"/>
  <c r="R34" i="51"/>
  <c r="D34" i="51"/>
  <c r="S33" i="51"/>
  <c r="R33" i="51"/>
  <c r="U33" i="51" s="1"/>
  <c r="D33" i="51"/>
  <c r="S32" i="51"/>
  <c r="R32" i="51"/>
  <c r="D32" i="51"/>
  <c r="S31" i="51"/>
  <c r="R31" i="51"/>
  <c r="D31" i="51"/>
  <c r="S30" i="51"/>
  <c r="R30" i="51"/>
  <c r="D30" i="51"/>
  <c r="S29" i="51"/>
  <c r="R29" i="51"/>
  <c r="D29" i="51"/>
  <c r="S28" i="51"/>
  <c r="R28" i="51"/>
  <c r="D28" i="51"/>
  <c r="S27" i="51"/>
  <c r="R27" i="51"/>
  <c r="D27" i="51"/>
  <c r="S26" i="51"/>
  <c r="R26" i="51"/>
  <c r="D26" i="51"/>
  <c r="S25" i="51"/>
  <c r="R25" i="51"/>
  <c r="D25" i="51"/>
  <c r="S24" i="51"/>
  <c r="R24" i="51"/>
  <c r="D24" i="51"/>
  <c r="C24" i="51"/>
  <c r="A24" i="51"/>
  <c r="T5" i="51"/>
  <c r="G5" i="51"/>
  <c r="C5" i="51"/>
  <c r="S3" i="51"/>
  <c r="C3" i="51"/>
  <c r="E5" i="49"/>
  <c r="G3" i="49"/>
  <c r="C3" i="49"/>
  <c r="E5" i="53"/>
  <c r="G53" i="51"/>
  <c r="G50" i="51"/>
  <c r="G51" i="51"/>
  <c r="G47" i="51"/>
  <c r="G40" i="51"/>
  <c r="G42" i="51"/>
  <c r="T16" i="51" l="1"/>
  <c r="U42" i="51"/>
  <c r="R14" i="51"/>
  <c r="U14" i="51" s="1"/>
  <c r="S14" i="51"/>
  <c r="V14" i="51" s="1"/>
  <c r="S15" i="51"/>
  <c r="V15" i="51" s="1"/>
  <c r="R15" i="51"/>
  <c r="U15" i="51" s="1"/>
  <c r="T41" i="51"/>
  <c r="T106" i="51"/>
  <c r="A351" i="55"/>
  <c r="M351" i="55" s="1"/>
  <c r="A348" i="55"/>
  <c r="M348" i="55" s="1"/>
  <c r="A352" i="55"/>
  <c r="M352" i="55" s="1"/>
  <c r="A353" i="55"/>
  <c r="M353" i="55" s="1"/>
  <c r="A347" i="55"/>
  <c r="M347" i="55" s="1"/>
  <c r="A354" i="55"/>
  <c r="M354" i="55" s="1"/>
  <c r="A350" i="55"/>
  <c r="M350" i="55" s="1"/>
  <c r="A355" i="55"/>
  <c r="M355" i="55" s="1"/>
  <c r="A349" i="55"/>
  <c r="M349" i="55" s="1"/>
  <c r="M356" i="55"/>
  <c r="V164" i="51"/>
  <c r="T82" i="51"/>
  <c r="V97" i="51"/>
  <c r="U102" i="51"/>
  <c r="U166" i="51"/>
  <c r="V166" i="51"/>
  <c r="U165" i="51"/>
  <c r="T127" i="51"/>
  <c r="U127" i="51"/>
  <c r="U125" i="51"/>
  <c r="U123" i="51"/>
  <c r="U130" i="51"/>
  <c r="T37" i="51"/>
  <c r="V150" i="51"/>
  <c r="U121" i="51"/>
  <c r="V123" i="51"/>
  <c r="V148" i="51"/>
  <c r="T121" i="51"/>
  <c r="V126" i="51"/>
  <c r="U28" i="51"/>
  <c r="U59" i="51"/>
  <c r="V66" i="51"/>
  <c r="U71" i="51"/>
  <c r="U90" i="51"/>
  <c r="U92" i="51"/>
  <c r="V93" i="51"/>
  <c r="U104" i="51"/>
  <c r="T75" i="51"/>
  <c r="T86" i="51"/>
  <c r="V108" i="51"/>
  <c r="U113" i="51"/>
  <c r="T115" i="51"/>
  <c r="U147" i="51"/>
  <c r="V172" i="51"/>
  <c r="V32" i="51"/>
  <c r="U86" i="51"/>
  <c r="V113" i="51"/>
  <c r="U115" i="51"/>
  <c r="V132" i="51"/>
  <c r="V138" i="51"/>
  <c r="V154" i="51"/>
  <c r="U155" i="51"/>
  <c r="U161" i="51"/>
  <c r="V176" i="51"/>
  <c r="U24" i="51"/>
  <c r="V25" i="51"/>
  <c r="V26" i="51"/>
  <c r="U27" i="51"/>
  <c r="T28" i="51"/>
  <c r="V30" i="51"/>
  <c r="T44" i="51"/>
  <c r="T48" i="51"/>
  <c r="V62" i="51"/>
  <c r="T65" i="51"/>
  <c r="U73" i="51"/>
  <c r="T96" i="51"/>
  <c r="T109" i="51"/>
  <c r="U149" i="51"/>
  <c r="U150" i="51"/>
  <c r="U152" i="51"/>
  <c r="U159" i="51"/>
  <c r="T49" i="51"/>
  <c r="T55" i="51"/>
  <c r="V57" i="51"/>
  <c r="V71" i="51"/>
  <c r="V73" i="51"/>
  <c r="V80" i="51"/>
  <c r="U81" i="51"/>
  <c r="U83" i="51"/>
  <c r="T85" i="51"/>
  <c r="V88" i="51"/>
  <c r="V102" i="51"/>
  <c r="V104" i="51"/>
  <c r="V143" i="51"/>
  <c r="U144" i="51"/>
  <c r="U145" i="51"/>
  <c r="V147" i="51"/>
  <c r="T161" i="51"/>
  <c r="T33" i="51"/>
  <c r="V36" i="51"/>
  <c r="U37" i="51"/>
  <c r="U39" i="51"/>
  <c r="T40" i="51"/>
  <c r="V41" i="51"/>
  <c r="V43" i="51"/>
  <c r="T45" i="51"/>
  <c r="F45" i="51" s="1"/>
  <c r="U55" i="51"/>
  <c r="T62" i="51"/>
  <c r="V65" i="51"/>
  <c r="T66" i="51"/>
  <c r="V81" i="51"/>
  <c r="V83" i="51"/>
  <c r="U85" i="51"/>
  <c r="V86" i="51"/>
  <c r="V96" i="51"/>
  <c r="T97" i="51"/>
  <c r="V117" i="51"/>
  <c r="U118" i="51"/>
  <c r="V119" i="51"/>
  <c r="W119" i="51" s="1"/>
  <c r="X119" i="51" s="1"/>
  <c r="T120" i="51"/>
  <c r="U138" i="51"/>
  <c r="T140" i="51"/>
  <c r="V145" i="51"/>
  <c r="V159" i="51"/>
  <c r="V171" i="51"/>
  <c r="T173" i="51"/>
  <c r="V175" i="51"/>
  <c r="T177" i="51"/>
  <c r="U178" i="51"/>
  <c r="T24" i="51"/>
  <c r="U32" i="51"/>
  <c r="V37" i="51"/>
  <c r="T58" i="51"/>
  <c r="U66" i="51"/>
  <c r="U97" i="51"/>
  <c r="T103" i="51"/>
  <c r="V110" i="51"/>
  <c r="V112" i="51"/>
  <c r="T113" i="51"/>
  <c r="T114" i="51"/>
  <c r="U120" i="51"/>
  <c r="T130" i="51"/>
  <c r="U132" i="51"/>
  <c r="U134" i="51"/>
  <c r="U135" i="51"/>
  <c r="U140" i="51"/>
  <c r="T152" i="51"/>
  <c r="U154" i="51"/>
  <c r="U173" i="51"/>
  <c r="U177" i="51"/>
  <c r="V46" i="51"/>
  <c r="V139" i="51"/>
  <c r="V146" i="51"/>
  <c r="V28" i="51"/>
  <c r="U29" i="51"/>
  <c r="V33" i="51"/>
  <c r="W33" i="51" s="1"/>
  <c r="X33" i="51" s="1"/>
  <c r="V34" i="51"/>
  <c r="U35" i="51"/>
  <c r="T36" i="51"/>
  <c r="U40" i="51"/>
  <c r="V47" i="51"/>
  <c r="W47" i="51" s="1"/>
  <c r="X47" i="51" s="1"/>
  <c r="U49" i="51"/>
  <c r="V50" i="51"/>
  <c r="T53" i="51"/>
  <c r="V55" i="51"/>
  <c r="V56" i="51"/>
  <c r="T57" i="51"/>
  <c r="V67" i="51"/>
  <c r="T68" i="51"/>
  <c r="V75" i="51"/>
  <c r="U76" i="51"/>
  <c r="T78" i="51"/>
  <c r="V85" i="51"/>
  <c r="V87" i="51"/>
  <c r="T88" i="51"/>
  <c r="V98" i="51"/>
  <c r="T99" i="51"/>
  <c r="V106" i="51"/>
  <c r="U107" i="51"/>
  <c r="T108" i="51"/>
  <c r="V128" i="51"/>
  <c r="W128" i="51" s="1"/>
  <c r="X128" i="51" s="1"/>
  <c r="V135" i="51"/>
  <c r="U136" i="51"/>
  <c r="V155" i="51"/>
  <c r="U156" i="51"/>
  <c r="U157" i="51"/>
  <c r="U168" i="51"/>
  <c r="U169" i="51"/>
  <c r="V173" i="51"/>
  <c r="V174" i="51"/>
  <c r="T175" i="51"/>
  <c r="V177" i="51"/>
  <c r="V38" i="51"/>
  <c r="V133" i="51"/>
  <c r="W133" i="51" s="1"/>
  <c r="X133" i="51" s="1"/>
  <c r="V151" i="51"/>
  <c r="V160" i="51"/>
  <c r="V167" i="51"/>
  <c r="V24" i="51"/>
  <c r="U25" i="51"/>
  <c r="V29" i="51"/>
  <c r="U31" i="51"/>
  <c r="T32" i="51"/>
  <c r="U36" i="51"/>
  <c r="V40" i="51"/>
  <c r="U41" i="51"/>
  <c r="V51" i="51"/>
  <c r="W51" i="51" s="1"/>
  <c r="X51" i="51" s="1"/>
  <c r="U53" i="51"/>
  <c r="U57" i="51"/>
  <c r="T59" i="51"/>
  <c r="V64" i="51"/>
  <c r="U68" i="51"/>
  <c r="U70" i="51"/>
  <c r="T71" i="51"/>
  <c r="U78" i="51"/>
  <c r="T81" i="51"/>
  <c r="U88" i="51"/>
  <c r="T90" i="51"/>
  <c r="V95" i="51"/>
  <c r="U99" i="51"/>
  <c r="U101" i="51"/>
  <c r="T102" i="51"/>
  <c r="U108" i="51"/>
  <c r="U110" i="51"/>
  <c r="T118" i="51"/>
  <c r="V121" i="51"/>
  <c r="V122" i="51"/>
  <c r="T123" i="51"/>
  <c r="T125" i="51"/>
  <c r="V130" i="51"/>
  <c r="W130" i="51" s="1"/>
  <c r="X130" i="51" s="1"/>
  <c r="V131" i="51"/>
  <c r="T132" i="51"/>
  <c r="U137" i="51"/>
  <c r="T138" i="51"/>
  <c r="V140" i="51"/>
  <c r="V141" i="51"/>
  <c r="U142" i="51"/>
  <c r="U143" i="51"/>
  <c r="U148" i="51"/>
  <c r="V152" i="51"/>
  <c r="V153" i="51"/>
  <c r="T154" i="51"/>
  <c r="V157" i="51"/>
  <c r="U158" i="51"/>
  <c r="T159" i="51"/>
  <c r="V161" i="51"/>
  <c r="V162" i="51"/>
  <c r="U163" i="51"/>
  <c r="U164" i="51"/>
  <c r="V169" i="51"/>
  <c r="U170" i="51"/>
  <c r="U171" i="51"/>
  <c r="U175" i="51"/>
  <c r="U43" i="51"/>
  <c r="T63" i="51"/>
  <c r="T67" i="51"/>
  <c r="V70" i="51"/>
  <c r="U87" i="51"/>
  <c r="T98" i="51"/>
  <c r="V107" i="51"/>
  <c r="U112" i="51"/>
  <c r="V124" i="51"/>
  <c r="V137" i="51"/>
  <c r="T137" i="51"/>
  <c r="U153" i="51"/>
  <c r="T153" i="51"/>
  <c r="V156" i="51"/>
  <c r="T156" i="51"/>
  <c r="U174" i="51"/>
  <c r="T174" i="51"/>
  <c r="V178" i="51"/>
  <c r="T178" i="51"/>
  <c r="U52" i="51"/>
  <c r="U72" i="51"/>
  <c r="U89" i="51"/>
  <c r="V165" i="51"/>
  <c r="T165" i="51"/>
  <c r="T35" i="51"/>
  <c r="T39" i="51"/>
  <c r="U56" i="51"/>
  <c r="V76" i="51"/>
  <c r="U80" i="51"/>
  <c r="V92" i="51"/>
  <c r="T93" i="51"/>
  <c r="T94" i="51"/>
  <c r="V101" i="51"/>
  <c r="T105" i="51"/>
  <c r="T126" i="51"/>
  <c r="T30" i="51"/>
  <c r="T34" i="51"/>
  <c r="T38" i="51"/>
  <c r="V42" i="51"/>
  <c r="W42" i="51" s="1"/>
  <c r="X42" i="51" s="1"/>
  <c r="T46" i="51"/>
  <c r="T47" i="51"/>
  <c r="T50" i="51"/>
  <c r="T51" i="51"/>
  <c r="T52" i="51"/>
  <c r="V54" i="51"/>
  <c r="W54" i="51" s="1"/>
  <c r="V60" i="51"/>
  <c r="W60" i="51" s="1"/>
  <c r="X60" i="51" s="1"/>
  <c r="V63" i="51"/>
  <c r="T64" i="51"/>
  <c r="U65" i="51"/>
  <c r="V69" i="51"/>
  <c r="W69" i="51" s="1"/>
  <c r="X69" i="51" s="1"/>
  <c r="T70" i="51"/>
  <c r="T72" i="51"/>
  <c r="V74" i="51"/>
  <c r="W74" i="51" s="1"/>
  <c r="X74" i="51" s="1"/>
  <c r="U75" i="51"/>
  <c r="T76" i="51"/>
  <c r="V79" i="51"/>
  <c r="W79" i="51" s="1"/>
  <c r="X79" i="51" s="1"/>
  <c r="X84" i="51"/>
  <c r="T89" i="51"/>
  <c r="V91" i="51"/>
  <c r="T92" i="51"/>
  <c r="V94" i="51"/>
  <c r="T95" i="51"/>
  <c r="U96" i="51"/>
  <c r="V100" i="51"/>
  <c r="W100" i="51" s="1"/>
  <c r="X100" i="51" s="1"/>
  <c r="T101" i="51"/>
  <c r="V105" i="51"/>
  <c r="U106" i="51"/>
  <c r="T107" i="51"/>
  <c r="V111" i="51"/>
  <c r="W111" i="51" s="1"/>
  <c r="X111" i="51" s="1"/>
  <c r="V116" i="51"/>
  <c r="W116" i="51" s="1"/>
  <c r="T117" i="51"/>
  <c r="V120" i="51"/>
  <c r="V129" i="51"/>
  <c r="U131" i="51"/>
  <c r="T131" i="51"/>
  <c r="V134" i="51"/>
  <c r="T134" i="51"/>
  <c r="V142" i="51"/>
  <c r="T142" i="51"/>
  <c r="V158" i="51"/>
  <c r="T158" i="51"/>
  <c r="U162" i="51"/>
  <c r="T162" i="51"/>
  <c r="V168" i="51"/>
  <c r="T168" i="51"/>
  <c r="U44" i="51"/>
  <c r="U48" i="51"/>
  <c r="U58" i="51"/>
  <c r="U82" i="51"/>
  <c r="U103" i="51"/>
  <c r="U109" i="51"/>
  <c r="U114" i="51"/>
  <c r="V118" i="51"/>
  <c r="T119" i="51"/>
  <c r="U129" i="51"/>
  <c r="T129" i="51"/>
  <c r="T133" i="51"/>
  <c r="U160" i="51"/>
  <c r="T160" i="51"/>
  <c r="U167" i="51"/>
  <c r="T167" i="51"/>
  <c r="T27" i="51"/>
  <c r="T31" i="51"/>
  <c r="T74" i="51"/>
  <c r="U122" i="51"/>
  <c r="T122" i="51"/>
  <c r="V125" i="51"/>
  <c r="U141" i="51"/>
  <c r="T141" i="51"/>
  <c r="T26" i="51"/>
  <c r="T25" i="51"/>
  <c r="U26" i="51"/>
  <c r="V27" i="51"/>
  <c r="T29" i="51"/>
  <c r="U30" i="51"/>
  <c r="V31" i="51"/>
  <c r="U34" i="51"/>
  <c r="V35" i="51"/>
  <c r="U38" i="51"/>
  <c r="V39" i="51"/>
  <c r="T42" i="51"/>
  <c r="T43" i="51"/>
  <c r="V44" i="51"/>
  <c r="V45" i="51"/>
  <c r="W45" i="51" s="1"/>
  <c r="G45" i="51" s="1"/>
  <c r="U46" i="51"/>
  <c r="V48" i="51"/>
  <c r="V49" i="51"/>
  <c r="U50" i="51"/>
  <c r="V52" i="51"/>
  <c r="V53" i="51"/>
  <c r="T54" i="51"/>
  <c r="T56" i="51"/>
  <c r="V58" i="51"/>
  <c r="V59" i="51"/>
  <c r="T60" i="51"/>
  <c r="U62" i="51"/>
  <c r="U63" i="51"/>
  <c r="U64" i="51"/>
  <c r="U67" i="51"/>
  <c r="V68" i="51"/>
  <c r="T69" i="51"/>
  <c r="V72" i="51"/>
  <c r="T73" i="51"/>
  <c r="V78" i="51"/>
  <c r="T79" i="51"/>
  <c r="T80" i="51"/>
  <c r="V82" i="51"/>
  <c r="T83" i="51"/>
  <c r="T87" i="51"/>
  <c r="V89" i="51"/>
  <c r="V90" i="51"/>
  <c r="T91" i="51"/>
  <c r="U93" i="51"/>
  <c r="U94" i="51"/>
  <c r="U95" i="51"/>
  <c r="U98" i="51"/>
  <c r="V99" i="51"/>
  <c r="T100" i="51"/>
  <c r="V103" i="51"/>
  <c r="T104" i="51"/>
  <c r="U105" i="51"/>
  <c r="V109" i="51"/>
  <c r="T110" i="51"/>
  <c r="T111" i="51"/>
  <c r="T112" i="51"/>
  <c r="V114" i="51"/>
  <c r="V115" i="51"/>
  <c r="T116" i="51"/>
  <c r="U124" i="51"/>
  <c r="T124" i="51"/>
  <c r="U126" i="51"/>
  <c r="V127" i="51"/>
  <c r="T128" i="51"/>
  <c r="V136" i="51"/>
  <c r="T136" i="51"/>
  <c r="U139" i="51"/>
  <c r="T139" i="51"/>
  <c r="V144" i="51"/>
  <c r="T144" i="51"/>
  <c r="U146" i="51"/>
  <c r="T146" i="51"/>
  <c r="V149" i="51"/>
  <c r="T149" i="51"/>
  <c r="U151" i="51"/>
  <c r="T151" i="51"/>
  <c r="V163" i="51"/>
  <c r="T163" i="51"/>
  <c r="V170" i="51"/>
  <c r="T170" i="51"/>
  <c r="U172" i="51"/>
  <c r="T172" i="51"/>
  <c r="U176" i="51"/>
  <c r="T135" i="51"/>
  <c r="T143" i="51"/>
  <c r="T145" i="51"/>
  <c r="T148" i="51"/>
  <c r="T150" i="51"/>
  <c r="T155" i="51"/>
  <c r="T157" i="51"/>
  <c r="T164" i="51"/>
  <c r="T166" i="51"/>
  <c r="T169" i="51"/>
  <c r="T171" i="51"/>
  <c r="T176" i="51"/>
  <c r="W171" i="51" l="1"/>
  <c r="X171" i="51" s="1"/>
  <c r="V16" i="51"/>
  <c r="W16" i="51" s="1"/>
  <c r="X45" i="51"/>
  <c r="W15" i="51"/>
  <c r="S17" i="51"/>
  <c r="V17" i="51"/>
  <c r="U17" i="51"/>
  <c r="W14" i="51"/>
  <c r="T14" i="51"/>
  <c r="X116" i="51"/>
  <c r="X54" i="51"/>
  <c r="T15" i="51"/>
  <c r="W27" i="51"/>
  <c r="W164" i="51"/>
  <c r="X164" i="51" s="1"/>
  <c r="W71" i="51"/>
  <c r="X71" i="51" s="1"/>
  <c r="W154" i="51"/>
  <c r="X154" i="51" s="1"/>
  <c r="W159" i="51"/>
  <c r="X159" i="51" s="1"/>
  <c r="W149" i="51"/>
  <c r="X149" i="51" s="1"/>
  <c r="W138" i="51"/>
  <c r="X138" i="51" s="1"/>
  <c r="W102" i="51"/>
  <c r="X102" i="51" s="1"/>
  <c r="W150" i="51"/>
  <c r="X150" i="51" s="1"/>
  <c r="W146" i="51"/>
  <c r="X146" i="51" s="1"/>
  <c r="W175" i="51"/>
  <c r="X175" i="51" s="1"/>
  <c r="W97" i="51"/>
  <c r="X97" i="51" s="1"/>
  <c r="W136" i="51"/>
  <c r="X136" i="51" s="1"/>
  <c r="W59" i="51"/>
  <c r="W137" i="51"/>
  <c r="X137" i="51" s="1"/>
  <c r="W151" i="51"/>
  <c r="X151" i="51" s="1"/>
  <c r="W67" i="51"/>
  <c r="X67" i="51" s="1"/>
  <c r="W141" i="51"/>
  <c r="X141" i="51" s="1"/>
  <c r="W168" i="51"/>
  <c r="X168" i="51" s="1"/>
  <c r="W134" i="51"/>
  <c r="X134" i="51" s="1"/>
  <c r="W123" i="51"/>
  <c r="X123" i="51" s="1"/>
  <c r="W120" i="51"/>
  <c r="X120" i="51" s="1"/>
  <c r="W63" i="51"/>
  <c r="W144" i="51"/>
  <c r="X144" i="51" s="1"/>
  <c r="W126" i="51"/>
  <c r="X126" i="51" s="1"/>
  <c r="W93" i="51"/>
  <c r="W26" i="51"/>
  <c r="X26" i="51" s="1"/>
  <c r="W135" i="51"/>
  <c r="X135" i="51" s="1"/>
  <c r="W147" i="51"/>
  <c r="W172" i="51"/>
  <c r="X172" i="51" s="1"/>
  <c r="W124" i="51"/>
  <c r="X124" i="51" s="1"/>
  <c r="W49" i="51"/>
  <c r="X49" i="51" s="1"/>
  <c r="W101" i="51"/>
  <c r="X101" i="51" s="1"/>
  <c r="W131" i="51"/>
  <c r="X131" i="51" s="1"/>
  <c r="W165" i="51"/>
  <c r="X165" i="51" s="1"/>
  <c r="W36" i="51"/>
  <c r="W25" i="51"/>
  <c r="W73" i="51"/>
  <c r="X73" i="51" s="1"/>
  <c r="W125" i="51"/>
  <c r="X125" i="51" s="1"/>
  <c r="W76" i="51"/>
  <c r="I76" i="51" s="1"/>
  <c r="W104" i="51"/>
  <c r="X104" i="51" s="1"/>
  <c r="W50" i="51"/>
  <c r="X50" i="51" s="1"/>
  <c r="W166" i="51"/>
  <c r="X166" i="51" s="1"/>
  <c r="W174" i="51"/>
  <c r="X174" i="51" s="1"/>
  <c r="W118" i="51"/>
  <c r="X118" i="51" s="1"/>
  <c r="W87" i="51"/>
  <c r="W127" i="51"/>
  <c r="X127" i="51" s="1"/>
  <c r="W28" i="51"/>
  <c r="W139" i="51"/>
  <c r="X139" i="51" s="1"/>
  <c r="W132" i="51"/>
  <c r="X132" i="51" s="1"/>
  <c r="W66" i="51"/>
  <c r="X66" i="51" s="1"/>
  <c r="W88" i="51"/>
  <c r="W57" i="51"/>
  <c r="W162" i="51"/>
  <c r="X162" i="51" s="1"/>
  <c r="W178" i="51"/>
  <c r="W140" i="51"/>
  <c r="X140" i="51" s="1"/>
  <c r="W122" i="51"/>
  <c r="X122" i="51" s="1"/>
  <c r="W108" i="51"/>
  <c r="W43" i="51"/>
  <c r="X43" i="51" s="1"/>
  <c r="W153" i="51"/>
  <c r="X153" i="51" s="1"/>
  <c r="W152" i="51"/>
  <c r="X152" i="51" s="1"/>
  <c r="W155" i="51"/>
  <c r="X155" i="51" s="1"/>
  <c r="W163" i="51"/>
  <c r="X163" i="51" s="1"/>
  <c r="W157" i="51"/>
  <c r="X157" i="51" s="1"/>
  <c r="W121" i="51"/>
  <c r="X121" i="51" s="1"/>
  <c r="W95" i="51"/>
  <c r="W96" i="51"/>
  <c r="X96" i="51" s="1"/>
  <c r="W92" i="51"/>
  <c r="W106" i="51"/>
  <c r="W107" i="51"/>
  <c r="W110" i="51"/>
  <c r="X110" i="51" s="1"/>
  <c r="W86" i="51"/>
  <c r="W64" i="51"/>
  <c r="X64" i="51" s="1"/>
  <c r="W78" i="51"/>
  <c r="W41" i="51"/>
  <c r="W30" i="51"/>
  <c r="W90" i="51"/>
  <c r="W62" i="51"/>
  <c r="W38" i="51"/>
  <c r="W167" i="51"/>
  <c r="X167" i="51" s="1"/>
  <c r="W56" i="51"/>
  <c r="W161" i="51"/>
  <c r="X161" i="51" s="1"/>
  <c r="W113" i="51"/>
  <c r="X113" i="51" s="1"/>
  <c r="W170" i="51"/>
  <c r="X170" i="51" s="1"/>
  <c r="W35" i="51"/>
  <c r="W31" i="51"/>
  <c r="W75" i="51"/>
  <c r="W70" i="51"/>
  <c r="X70" i="51" s="1"/>
  <c r="W46" i="51"/>
  <c r="W158" i="51"/>
  <c r="X158" i="51" s="1"/>
  <c r="W156" i="51"/>
  <c r="X156" i="51" s="1"/>
  <c r="W148" i="51"/>
  <c r="X148" i="51" s="1"/>
  <c r="W24" i="51"/>
  <c r="W176" i="51"/>
  <c r="X176" i="51" s="1"/>
  <c r="W32" i="51"/>
  <c r="W85" i="51"/>
  <c r="W80" i="51"/>
  <c r="X80" i="51" s="1"/>
  <c r="W105" i="51"/>
  <c r="X105" i="51" s="1"/>
  <c r="W98" i="51"/>
  <c r="X98" i="51" s="1"/>
  <c r="W94" i="51"/>
  <c r="W112" i="51"/>
  <c r="X112" i="51" s="1"/>
  <c r="W40" i="51"/>
  <c r="X40" i="51" s="1"/>
  <c r="W173" i="51"/>
  <c r="X173" i="51" s="1"/>
  <c r="W117" i="51"/>
  <c r="X117" i="51" s="1"/>
  <c r="W37" i="51"/>
  <c r="W169" i="51"/>
  <c r="X169" i="51" s="1"/>
  <c r="W177" i="51"/>
  <c r="X177" i="51" s="1"/>
  <c r="W34" i="51"/>
  <c r="W72" i="51"/>
  <c r="X72" i="51" s="1"/>
  <c r="W29" i="51"/>
  <c r="W55" i="51"/>
  <c r="I55" i="51" s="1"/>
  <c r="W145" i="51"/>
  <c r="X145" i="51" s="1"/>
  <c r="W83" i="51"/>
  <c r="X83" i="51" s="1"/>
  <c r="W39" i="51"/>
  <c r="X39" i="51" s="1"/>
  <c r="W160" i="51"/>
  <c r="X160" i="51" s="1"/>
  <c r="W65" i="51"/>
  <c r="X65" i="51" s="1"/>
  <c r="W143" i="51"/>
  <c r="X143" i="51" s="1"/>
  <c r="W81" i="51"/>
  <c r="X81" i="51" s="1"/>
  <c r="W99" i="51"/>
  <c r="X99" i="51" s="1"/>
  <c r="W53" i="51"/>
  <c r="X53" i="51" s="1"/>
  <c r="W91" i="51"/>
  <c r="W142" i="51"/>
  <c r="X142" i="51" s="1"/>
  <c r="W58" i="51"/>
  <c r="I58" i="51" s="1"/>
  <c r="W48" i="51"/>
  <c r="X48" i="51" s="1"/>
  <c r="W68" i="51"/>
  <c r="X68" i="51" s="1"/>
  <c r="W115" i="51"/>
  <c r="X115" i="51" s="1"/>
  <c r="R17" i="51"/>
  <c r="W114" i="51"/>
  <c r="X114" i="51" s="1"/>
  <c r="W89" i="51"/>
  <c r="W52" i="51"/>
  <c r="X52" i="51" s="1"/>
  <c r="W129" i="51"/>
  <c r="X129" i="51" s="1"/>
  <c r="W109" i="51"/>
  <c r="X109" i="51" s="1"/>
  <c r="W103" i="51"/>
  <c r="X103" i="51" s="1"/>
  <c r="W82" i="51"/>
  <c r="X82" i="51" s="1"/>
  <c r="W44" i="51"/>
  <c r="F67" i="51"/>
  <c r="M80" i="51"/>
  <c r="J97" i="51"/>
  <c r="H135" i="51"/>
  <c r="M140" i="51"/>
  <c r="Q153" i="51"/>
  <c r="G174" i="51"/>
  <c r="K32" i="51"/>
  <c r="N40" i="51"/>
  <c r="P45" i="51"/>
  <c r="K53" i="51"/>
  <c r="F62" i="51"/>
  <c r="L66" i="51"/>
  <c r="G70" i="51"/>
  <c r="F75" i="51"/>
  <c r="H83" i="51"/>
  <c r="K88" i="51"/>
  <c r="M96" i="51"/>
  <c r="N100" i="51"/>
  <c r="H109" i="51"/>
  <c r="M113" i="51"/>
  <c r="N118" i="51"/>
  <c r="H126" i="51"/>
  <c r="M130" i="51"/>
  <c r="N134" i="51"/>
  <c r="H143" i="51"/>
  <c r="L148" i="51"/>
  <c r="Q152" i="51"/>
  <c r="G160" i="51"/>
  <c r="M164" i="51"/>
  <c r="I169" i="51"/>
  <c r="G177" i="51"/>
  <c r="I67" i="51"/>
  <c r="G80" i="51"/>
  <c r="L127" i="51"/>
  <c r="Q135" i="51"/>
  <c r="G140" i="51"/>
  <c r="K170" i="51"/>
  <c r="F174" i="51"/>
  <c r="N36" i="51"/>
  <c r="I40" i="51"/>
  <c r="K49" i="51"/>
  <c r="P53" i="51"/>
  <c r="O62" i="51"/>
  <c r="Q66" i="51"/>
  <c r="I74" i="51"/>
  <c r="L79" i="51"/>
  <c r="Q83" i="51"/>
  <c r="L92" i="51"/>
  <c r="G96" i="51"/>
  <c r="L104" i="51"/>
  <c r="N109" i="51"/>
  <c r="K113" i="51"/>
  <c r="L122" i="51"/>
  <c r="Q126" i="51"/>
  <c r="K130" i="51"/>
  <c r="L139" i="51"/>
  <c r="Q143" i="51"/>
  <c r="J148" i="51"/>
  <c r="K156" i="51"/>
  <c r="M160" i="51"/>
  <c r="F164" i="51"/>
  <c r="K173" i="51"/>
  <c r="K63" i="51"/>
  <c r="K67" i="51"/>
  <c r="P97" i="51"/>
  <c r="F127" i="51"/>
  <c r="G135" i="51"/>
  <c r="O153" i="51"/>
  <c r="L170" i="51"/>
  <c r="N174" i="51"/>
  <c r="L36" i="51"/>
  <c r="J45" i="51"/>
  <c r="P49" i="51"/>
  <c r="G58" i="51"/>
  <c r="F66" i="51"/>
  <c r="M70" i="51"/>
  <c r="N74" i="51"/>
  <c r="F79" i="51"/>
  <c r="O83" i="51"/>
  <c r="G92" i="51"/>
  <c r="P100" i="51"/>
  <c r="K104" i="51"/>
  <c r="F109" i="51"/>
  <c r="P118" i="51"/>
  <c r="J63" i="51"/>
  <c r="Q67" i="51"/>
  <c r="O80" i="51"/>
  <c r="I127" i="51"/>
  <c r="J135" i="51"/>
  <c r="O140" i="51"/>
  <c r="J170" i="51"/>
  <c r="Q174" i="51"/>
  <c r="O36" i="51"/>
  <c r="L40" i="51"/>
  <c r="L49" i="51"/>
  <c r="Q53" i="51"/>
  <c r="P62" i="51"/>
  <c r="L70" i="51"/>
  <c r="Q74" i="51"/>
  <c r="I79" i="51"/>
  <c r="F83" i="51"/>
  <c r="M92" i="51"/>
  <c r="J96" i="51"/>
  <c r="I104" i="51"/>
  <c r="O109" i="51"/>
  <c r="G113" i="51"/>
  <c r="I122" i="51"/>
  <c r="J126" i="51"/>
  <c r="G130" i="51"/>
  <c r="P67" i="51"/>
  <c r="N80" i="51"/>
  <c r="H127" i="51"/>
  <c r="M135" i="51"/>
  <c r="N140" i="51"/>
  <c r="G170" i="51"/>
  <c r="P174" i="51"/>
  <c r="J36" i="51"/>
  <c r="P40" i="51"/>
  <c r="N49" i="51"/>
  <c r="H53" i="51"/>
  <c r="K62" i="51"/>
  <c r="I66" i="51"/>
  <c r="P74" i="51"/>
  <c r="H79" i="51"/>
  <c r="M83" i="51"/>
  <c r="H92" i="51"/>
  <c r="N96" i="51"/>
  <c r="H104" i="51"/>
  <c r="G109" i="51"/>
  <c r="N113" i="51"/>
  <c r="H122" i="51"/>
  <c r="M126" i="51"/>
  <c r="N130" i="51"/>
  <c r="H139" i="51"/>
  <c r="M143" i="51"/>
  <c r="Q148" i="51"/>
  <c r="G156" i="51"/>
  <c r="F160" i="51"/>
  <c r="P164" i="51"/>
  <c r="G173" i="51"/>
  <c r="G63" i="51"/>
  <c r="N67" i="51"/>
  <c r="L97" i="51"/>
  <c r="Q127" i="51"/>
  <c r="O135" i="51"/>
  <c r="K153" i="51"/>
  <c r="F170" i="51"/>
  <c r="M174" i="51"/>
  <c r="Q36" i="51"/>
  <c r="H49" i="51"/>
  <c r="N58" i="51"/>
  <c r="Q62" i="51"/>
  <c r="I70" i="51"/>
  <c r="J74" i="51"/>
  <c r="Q79" i="51"/>
  <c r="G83" i="51"/>
  <c r="F92" i="51"/>
  <c r="L100" i="51"/>
  <c r="Q104" i="51"/>
  <c r="P109" i="51"/>
  <c r="L118" i="51"/>
  <c r="Q122" i="51"/>
  <c r="K126" i="51"/>
  <c r="L134" i="51"/>
  <c r="Q139" i="51"/>
  <c r="O143" i="51"/>
  <c r="K152" i="51"/>
  <c r="P156" i="51"/>
  <c r="P160" i="51"/>
  <c r="K169" i="51"/>
  <c r="Q173" i="51"/>
  <c r="I63" i="51"/>
  <c r="P80" i="51"/>
  <c r="G97" i="51"/>
  <c r="G127" i="51"/>
  <c r="P140" i="51"/>
  <c r="I153" i="51"/>
  <c r="I170" i="51"/>
  <c r="J32" i="51"/>
  <c r="F40" i="51"/>
  <c r="L45" i="51"/>
  <c r="J53" i="51"/>
  <c r="K66" i="51"/>
  <c r="N70" i="51"/>
  <c r="P75" i="51"/>
  <c r="K79" i="51"/>
  <c r="I88" i="51"/>
  <c r="P96" i="51"/>
  <c r="K100" i="51"/>
  <c r="O104" i="51"/>
  <c r="P113" i="51"/>
  <c r="F118" i="51"/>
  <c r="O63" i="51"/>
  <c r="O67" i="51"/>
  <c r="I97" i="51"/>
  <c r="J127" i="51"/>
  <c r="K135" i="51"/>
  <c r="H153" i="51"/>
  <c r="Q170" i="51"/>
  <c r="I174" i="51"/>
  <c r="P36" i="51"/>
  <c r="N45" i="51"/>
  <c r="I49" i="51"/>
  <c r="O58" i="51"/>
  <c r="J66" i="51"/>
  <c r="Q70" i="51"/>
  <c r="O74" i="51"/>
  <c r="J79" i="51"/>
  <c r="J83" i="51"/>
  <c r="J92" i="51"/>
  <c r="I100" i="51"/>
  <c r="F104" i="51"/>
  <c r="L109" i="51"/>
  <c r="I118" i="51"/>
  <c r="J122" i="51"/>
  <c r="G126" i="51"/>
  <c r="I134" i="51"/>
  <c r="J139" i="51"/>
  <c r="K143" i="51"/>
  <c r="H152" i="51"/>
  <c r="M156" i="51"/>
  <c r="Q160" i="51"/>
  <c r="F169" i="51"/>
  <c r="M173" i="51"/>
  <c r="P134" i="51"/>
  <c r="I156" i="51"/>
  <c r="F177" i="51"/>
  <c r="P33" i="51"/>
  <c r="P55" i="51"/>
  <c r="N76" i="51"/>
  <c r="L89" i="51"/>
  <c r="K101" i="51"/>
  <c r="K161" i="51"/>
  <c r="N63" i="51"/>
  <c r="J67" i="51"/>
  <c r="H97" i="51"/>
  <c r="M127" i="51"/>
  <c r="N135" i="51"/>
  <c r="G153" i="51"/>
  <c r="P170" i="51"/>
  <c r="H174" i="51"/>
  <c r="I36" i="51"/>
  <c r="M40" i="51"/>
  <c r="M49" i="51"/>
  <c r="F58" i="51"/>
  <c r="I62" i="51"/>
  <c r="P70" i="51"/>
  <c r="F74" i="51"/>
  <c r="M79" i="51"/>
  <c r="N83" i="51"/>
  <c r="K92" i="51"/>
  <c r="H100" i="51"/>
  <c r="M104" i="51"/>
  <c r="K109" i="51"/>
  <c r="H118" i="51"/>
  <c r="M122" i="51"/>
  <c r="N126" i="51"/>
  <c r="H134" i="51"/>
  <c r="M139" i="51"/>
  <c r="N143" i="51"/>
  <c r="G152" i="51"/>
  <c r="L156" i="51"/>
  <c r="J160" i="51"/>
  <c r="G169" i="51"/>
  <c r="L173" i="51"/>
  <c r="P63" i="51"/>
  <c r="L80" i="51"/>
  <c r="Q97" i="51"/>
  <c r="O127" i="51"/>
  <c r="L140" i="51"/>
  <c r="P153" i="51"/>
  <c r="M170" i="51"/>
  <c r="Q32" i="51"/>
  <c r="H36" i="51"/>
  <c r="O45" i="51"/>
  <c r="F53" i="51"/>
  <c r="P58" i="51"/>
  <c r="G66" i="51"/>
  <c r="J70" i="51"/>
  <c r="K74" i="51"/>
  <c r="G79" i="51"/>
  <c r="L88" i="51"/>
  <c r="L96" i="51"/>
  <c r="Q100" i="51"/>
  <c r="G104" i="51"/>
  <c r="L113" i="51"/>
  <c r="Q118" i="51"/>
  <c r="K122" i="51"/>
  <c r="L130" i="51"/>
  <c r="Q134" i="51"/>
  <c r="O139" i="51"/>
  <c r="K148" i="51"/>
  <c r="P152" i="51"/>
  <c r="J156" i="51"/>
  <c r="K164" i="51"/>
  <c r="Q169" i="51"/>
  <c r="N173" i="51"/>
  <c r="H67" i="51"/>
  <c r="F80" i="51"/>
  <c r="F97" i="51"/>
  <c r="P135" i="51"/>
  <c r="F140" i="51"/>
  <c r="F153" i="51"/>
  <c r="O174" i="51"/>
  <c r="L32" i="51"/>
  <c r="O40" i="51"/>
  <c r="F49" i="51"/>
  <c r="L53" i="51"/>
  <c r="N62" i="51"/>
  <c r="H66" i="51"/>
  <c r="H74" i="51"/>
  <c r="G75" i="51"/>
  <c r="P83" i="51"/>
  <c r="G88" i="51"/>
  <c r="K96" i="51"/>
  <c r="O100" i="51"/>
  <c r="M109" i="51"/>
  <c r="F113" i="51"/>
  <c r="O118" i="51"/>
  <c r="Q63" i="51"/>
  <c r="I80" i="51"/>
  <c r="O97" i="51"/>
  <c r="K127" i="51"/>
  <c r="I140" i="51"/>
  <c r="M153" i="51"/>
  <c r="N170" i="51"/>
  <c r="N32" i="51"/>
  <c r="J40" i="51"/>
  <c r="M45" i="51"/>
  <c r="N53" i="51"/>
  <c r="Q58" i="51"/>
  <c r="O66" i="51"/>
  <c r="O70" i="51"/>
  <c r="Q75" i="51"/>
  <c r="O79" i="51"/>
  <c r="M88" i="51"/>
  <c r="I96" i="51"/>
  <c r="F100" i="51"/>
  <c r="J104" i="51"/>
  <c r="I113" i="51"/>
  <c r="J118" i="51"/>
  <c r="G122" i="51"/>
  <c r="I130" i="51"/>
  <c r="J134" i="51"/>
  <c r="K139" i="51"/>
  <c r="H148" i="51"/>
  <c r="M152" i="51"/>
  <c r="F156" i="51"/>
  <c r="H164" i="51"/>
  <c r="M169" i="51"/>
  <c r="P173" i="51"/>
  <c r="F139" i="51"/>
  <c r="L160" i="51"/>
  <c r="M177" i="51"/>
  <c r="O37" i="51"/>
  <c r="N59" i="51"/>
  <c r="J89" i="51"/>
  <c r="L105" i="51"/>
  <c r="Q161" i="51"/>
  <c r="H63" i="51"/>
  <c r="H80" i="51"/>
  <c r="M97" i="51"/>
  <c r="N127" i="51"/>
  <c r="H140" i="51"/>
  <c r="L153" i="51"/>
  <c r="H170" i="51"/>
  <c r="M32" i="51"/>
  <c r="M36" i="51"/>
  <c r="K45" i="51"/>
  <c r="Q49" i="51"/>
  <c r="H58" i="51"/>
  <c r="N66" i="51"/>
  <c r="F70" i="51"/>
  <c r="G74" i="51"/>
  <c r="N79" i="51"/>
  <c r="H88" i="51"/>
  <c r="H96" i="51"/>
  <c r="M100" i="51"/>
  <c r="N104" i="51"/>
  <c r="H113" i="51"/>
  <c r="M118" i="51"/>
  <c r="N122" i="51"/>
  <c r="H130" i="51"/>
  <c r="M134" i="51"/>
  <c r="N139" i="51"/>
  <c r="G148" i="51"/>
  <c r="L152" i="51"/>
  <c r="Q156" i="51"/>
  <c r="G164" i="51"/>
  <c r="L169" i="51"/>
  <c r="I173" i="51"/>
  <c r="G67" i="51"/>
  <c r="Q80" i="51"/>
  <c r="K97" i="51"/>
  <c r="L135" i="51"/>
  <c r="Q140" i="51"/>
  <c r="N153" i="51"/>
  <c r="K174" i="51"/>
  <c r="O32" i="51"/>
  <c r="K40" i="51"/>
  <c r="Q45" i="51"/>
  <c r="O53" i="51"/>
  <c r="J62" i="51"/>
  <c r="M66" i="51"/>
  <c r="K70" i="51"/>
  <c r="N75" i="51"/>
  <c r="L83" i="51"/>
  <c r="F88" i="51"/>
  <c r="Q96" i="51"/>
  <c r="G100" i="51"/>
  <c r="I109" i="51"/>
  <c r="Q113" i="51"/>
  <c r="K118" i="51"/>
  <c r="L126" i="51"/>
  <c r="Q130" i="51"/>
  <c r="K134" i="51"/>
  <c r="L143" i="51"/>
  <c r="P148" i="51"/>
  <c r="J152" i="51"/>
  <c r="K160" i="51"/>
  <c r="I164" i="51"/>
  <c r="N169" i="51"/>
  <c r="F63" i="51"/>
  <c r="M67" i="51"/>
  <c r="K80" i="51"/>
  <c r="P127" i="51"/>
  <c r="F135" i="51"/>
  <c r="K140" i="51"/>
  <c r="O170" i="51"/>
  <c r="L174" i="51"/>
  <c r="K36" i="51"/>
  <c r="Q40" i="51"/>
  <c r="O49" i="51"/>
  <c r="I53" i="51"/>
  <c r="H62" i="51"/>
  <c r="H70" i="51"/>
  <c r="M74" i="51"/>
  <c r="P79" i="51"/>
  <c r="K83" i="51"/>
  <c r="I92" i="51"/>
  <c r="O96" i="51"/>
  <c r="P104" i="51"/>
  <c r="J109" i="51"/>
  <c r="O113" i="51"/>
  <c r="P122" i="51"/>
  <c r="L67" i="51"/>
  <c r="J80" i="51"/>
  <c r="N97" i="51"/>
  <c r="I135" i="51"/>
  <c r="J140" i="51"/>
  <c r="J153" i="51"/>
  <c r="J174" i="51"/>
  <c r="P32" i="51"/>
  <c r="H40" i="51"/>
  <c r="J49" i="51"/>
  <c r="M53" i="51"/>
  <c r="G62" i="51"/>
  <c r="P66" i="51"/>
  <c r="L74" i="51"/>
  <c r="O75" i="51"/>
  <c r="I83" i="51"/>
  <c r="J88" i="51"/>
  <c r="F96" i="51"/>
  <c r="J100" i="51"/>
  <c r="Q109" i="51"/>
  <c r="J113" i="51"/>
  <c r="G118" i="51"/>
  <c r="I126" i="51"/>
  <c r="J130" i="51"/>
  <c r="G134" i="51"/>
  <c r="I143" i="51"/>
  <c r="M148" i="51"/>
  <c r="F152" i="51"/>
  <c r="H160" i="51"/>
  <c r="J164" i="51"/>
  <c r="P169" i="51"/>
  <c r="F122" i="51"/>
  <c r="G143" i="51"/>
  <c r="O169" i="51"/>
  <c r="J177" i="51"/>
  <c r="I37" i="51"/>
  <c r="P59" i="51"/>
  <c r="L101" i="51"/>
  <c r="Q105" i="51"/>
  <c r="N161" i="51"/>
  <c r="I139" i="51"/>
  <c r="N160" i="51"/>
  <c r="O152" i="51"/>
  <c r="P76" i="51"/>
  <c r="Q31" i="51"/>
  <c r="J39" i="51"/>
  <c r="M43" i="51"/>
  <c r="K48" i="51"/>
  <c r="Q52" i="51"/>
  <c r="P61" i="51"/>
  <c r="L69" i="51"/>
  <c r="Q73" i="51"/>
  <c r="K78" i="51"/>
  <c r="M87" i="51"/>
  <c r="L95" i="51"/>
  <c r="O99" i="51"/>
  <c r="F103" i="51"/>
  <c r="Q112" i="51"/>
  <c r="G117" i="51"/>
  <c r="L125" i="51"/>
  <c r="Q129" i="51"/>
  <c r="G133" i="51"/>
  <c r="L142" i="51"/>
  <c r="O146" i="51"/>
  <c r="F151" i="51"/>
  <c r="K159" i="51"/>
  <c r="J163" i="51"/>
  <c r="F134" i="51"/>
  <c r="N156" i="51"/>
  <c r="L177" i="51"/>
  <c r="J37" i="51"/>
  <c r="G76" i="51"/>
  <c r="I89" i="51"/>
  <c r="F101" i="51"/>
  <c r="O161" i="51"/>
  <c r="P31" i="51"/>
  <c r="M39" i="51"/>
  <c r="J44" i="51"/>
  <c r="Q48" i="51"/>
  <c r="G57" i="51"/>
  <c r="N65" i="51"/>
  <c r="F69" i="51"/>
  <c r="O73" i="51"/>
  <c r="M82" i="51"/>
  <c r="H91" i="51"/>
  <c r="J95" i="51"/>
  <c r="H103" i="51"/>
  <c r="K108" i="51"/>
  <c r="K112" i="51"/>
  <c r="P121" i="51"/>
  <c r="F125" i="51"/>
  <c r="K129" i="51"/>
  <c r="P138" i="51"/>
  <c r="F142" i="51"/>
  <c r="G146" i="51"/>
  <c r="O155" i="51"/>
  <c r="I159" i="51"/>
  <c r="H163" i="51"/>
  <c r="P143" i="51"/>
  <c r="N164" i="51"/>
  <c r="N177" i="51"/>
  <c r="H37" i="51"/>
  <c r="O59" i="51"/>
  <c r="F89" i="51"/>
  <c r="I105" i="51"/>
  <c r="M161" i="51"/>
  <c r="O35" i="51"/>
  <c r="F43" i="51"/>
  <c r="Q44" i="51"/>
  <c r="N52" i="51"/>
  <c r="Q57" i="51"/>
  <c r="P65" i="51"/>
  <c r="G69" i="51"/>
  <c r="Q78" i="51"/>
  <c r="K82" i="51"/>
  <c r="O91" i="51"/>
  <c r="L99" i="51"/>
  <c r="Q103" i="51"/>
  <c r="J108" i="51"/>
  <c r="I117" i="51"/>
  <c r="J121" i="51"/>
  <c r="O125" i="51"/>
  <c r="I133" i="51"/>
  <c r="J138" i="51"/>
  <c r="G142" i="51"/>
  <c r="H151" i="51"/>
  <c r="M155" i="51"/>
  <c r="Q159" i="51"/>
  <c r="F126" i="51"/>
  <c r="N148" i="51"/>
  <c r="O173" i="51"/>
  <c r="J33" i="51"/>
  <c r="F55" i="51"/>
  <c r="H76" i="51"/>
  <c r="M101" i="51"/>
  <c r="J105" i="51"/>
  <c r="M31" i="51"/>
  <c r="F39" i="51"/>
  <c r="L43" i="51"/>
  <c r="N48" i="51"/>
  <c r="I52" i="51"/>
  <c r="H61" i="51"/>
  <c r="H69" i="51"/>
  <c r="J143" i="51"/>
  <c r="Q164" i="51"/>
  <c r="H173" i="51"/>
  <c r="O31" i="51"/>
  <c r="L39" i="51"/>
  <c r="I43" i="51"/>
  <c r="I48" i="51"/>
  <c r="N57" i="51"/>
  <c r="J65" i="51"/>
  <c r="Q69" i="51"/>
  <c r="K73" i="51"/>
  <c r="I82" i="51"/>
  <c r="F87" i="51"/>
  <c r="O95" i="51"/>
  <c r="N99" i="51"/>
  <c r="Q108" i="51"/>
  <c r="G112" i="51"/>
  <c r="L121" i="51"/>
  <c r="Q125" i="51"/>
  <c r="G129" i="51"/>
  <c r="L138" i="51"/>
  <c r="Q142" i="51"/>
  <c r="Q146" i="51"/>
  <c r="K155" i="51"/>
  <c r="P159" i="51"/>
  <c r="Q163" i="51"/>
  <c r="G139" i="51"/>
  <c r="O164" i="51"/>
  <c r="I177" i="51"/>
  <c r="M37" i="51"/>
  <c r="G59" i="51"/>
  <c r="K89" i="51"/>
  <c r="P105" i="51"/>
  <c r="H161" i="51"/>
  <c r="K35" i="51"/>
  <c r="Q39" i="51"/>
  <c r="P44" i="51"/>
  <c r="J52" i="51"/>
  <c r="I57" i="51"/>
  <c r="H65" i="51"/>
  <c r="O69" i="51"/>
  <c r="I78" i="51"/>
  <c r="J82" i="51"/>
  <c r="G91" i="51"/>
  <c r="H99" i="51"/>
  <c r="M103" i="51"/>
  <c r="O108" i="51"/>
  <c r="P117" i="51"/>
  <c r="F121" i="51"/>
  <c r="K125" i="51"/>
  <c r="P133" i="51"/>
  <c r="F138" i="51"/>
  <c r="O142" i="51"/>
  <c r="O151" i="51"/>
  <c r="I155" i="51"/>
  <c r="N159" i="51"/>
  <c r="P126" i="51"/>
  <c r="I148" i="51"/>
  <c r="J169" i="51"/>
  <c r="Q33" i="51"/>
  <c r="L37" i="51"/>
  <c r="Q59" i="51"/>
  <c r="I101" i="51"/>
  <c r="O105" i="51"/>
  <c r="J161" i="51"/>
  <c r="Q35" i="51"/>
  <c r="O43" i="51"/>
  <c r="J48" i="51"/>
  <c r="P52" i="51"/>
  <c r="O61" i="51"/>
  <c r="M65" i="51"/>
  <c r="I73" i="51"/>
  <c r="O78" i="51"/>
  <c r="L87" i="51"/>
  <c r="N91" i="51"/>
  <c r="Q99" i="51"/>
  <c r="K103" i="51"/>
  <c r="I112" i="51"/>
  <c r="J117" i="51"/>
  <c r="O121" i="51"/>
  <c r="I129" i="51"/>
  <c r="J133" i="51"/>
  <c r="G138" i="51"/>
  <c r="J146" i="51"/>
  <c r="M151" i="51"/>
  <c r="N155" i="51"/>
  <c r="I163" i="51"/>
  <c r="O130" i="51"/>
  <c r="O156" i="51"/>
  <c r="O177" i="51"/>
  <c r="L33" i="51"/>
  <c r="H55" i="51"/>
  <c r="F76" i="51"/>
  <c r="H89" i="51"/>
  <c r="J101" i="51"/>
  <c r="G161" i="51"/>
  <c r="K31" i="51"/>
  <c r="O39" i="51"/>
  <c r="Q43" i="51"/>
  <c r="P48" i="51"/>
  <c r="F57" i="51"/>
  <c r="F65" i="51"/>
  <c r="M69" i="51"/>
  <c r="N73" i="51"/>
  <c r="P82" i="51"/>
  <c r="K87" i="51"/>
  <c r="G95" i="51"/>
  <c r="F99" i="51"/>
  <c r="I108" i="51"/>
  <c r="N112" i="51"/>
  <c r="H121" i="51"/>
  <c r="M125" i="51"/>
  <c r="N129" i="51"/>
  <c r="H138" i="51"/>
  <c r="M142" i="51"/>
  <c r="L146" i="51"/>
  <c r="G155" i="51"/>
  <c r="L159" i="51"/>
  <c r="L163" i="51"/>
  <c r="Q167" i="51"/>
  <c r="K172" i="51"/>
  <c r="I176" i="51"/>
  <c r="Q41" i="51"/>
  <c r="H50" i="51"/>
  <c r="F148" i="51"/>
  <c r="F173" i="51"/>
  <c r="N33" i="51"/>
  <c r="Q101" i="51"/>
  <c r="N35" i="51"/>
  <c r="I39" i="51"/>
  <c r="O44" i="51"/>
  <c r="F52" i="51"/>
  <c r="P57" i="51"/>
  <c r="O65" i="51"/>
  <c r="K69" i="51"/>
  <c r="P78" i="51"/>
  <c r="O82" i="51"/>
  <c r="M91" i="51"/>
  <c r="F95" i="51"/>
  <c r="I103" i="51"/>
  <c r="G108" i="51"/>
  <c r="L117" i="51"/>
  <c r="Q121" i="51"/>
  <c r="G125" i="51"/>
  <c r="L133" i="51"/>
  <c r="Q138" i="51"/>
  <c r="K142" i="51"/>
  <c r="K151" i="51"/>
  <c r="P155" i="51"/>
  <c r="J159" i="51"/>
  <c r="O122" i="51"/>
  <c r="O148" i="51"/>
  <c r="H169" i="51"/>
  <c r="M33" i="51"/>
  <c r="Q37" i="51"/>
  <c r="I59" i="51"/>
  <c r="P101" i="51"/>
  <c r="G105" i="51"/>
  <c r="P161" i="51"/>
  <c r="L35" i="51"/>
  <c r="K43" i="51"/>
  <c r="F48" i="51"/>
  <c r="H52" i="51"/>
  <c r="G61" i="51"/>
  <c r="L65" i="51"/>
  <c r="P73" i="51"/>
  <c r="N78" i="51"/>
  <c r="H87" i="51"/>
  <c r="F91" i="51"/>
  <c r="M99" i="51"/>
  <c r="J103" i="51"/>
  <c r="P112" i="51"/>
  <c r="F117" i="51"/>
  <c r="K121" i="51"/>
  <c r="P129" i="51"/>
  <c r="F133" i="51"/>
  <c r="O138" i="51"/>
  <c r="F146" i="51"/>
  <c r="I151" i="51"/>
  <c r="J155" i="51"/>
  <c r="O163" i="51"/>
  <c r="F130" i="51"/>
  <c r="N152" i="51"/>
  <c r="K177" i="51"/>
  <c r="O33" i="51"/>
  <c r="O55" i="51"/>
  <c r="Q76" i="51"/>
  <c r="O101" i="51"/>
  <c r="N105" i="51"/>
  <c r="N31" i="51"/>
  <c r="K39" i="51"/>
  <c r="P43" i="51"/>
  <c r="H48" i="51"/>
  <c r="M52" i="51"/>
  <c r="Q61" i="51"/>
  <c r="I69" i="51"/>
  <c r="J73" i="51"/>
  <c r="L82" i="51"/>
  <c r="J87" i="51"/>
  <c r="M95" i="51"/>
  <c r="K99" i="51"/>
  <c r="P108" i="51"/>
  <c r="J112" i="51"/>
  <c r="O117" i="51"/>
  <c r="I125" i="51"/>
  <c r="J129" i="51"/>
  <c r="O133" i="51"/>
  <c r="I142" i="51"/>
  <c r="P146" i="51"/>
  <c r="N151" i="51"/>
  <c r="H159" i="51"/>
  <c r="F163" i="51"/>
  <c r="P139" i="51"/>
  <c r="I160" i="51"/>
  <c r="H177" i="51"/>
  <c r="K37" i="51"/>
  <c r="F59" i="51"/>
  <c r="G89" i="51"/>
  <c r="H105" i="51"/>
  <c r="L161" i="51"/>
  <c r="J35" i="51"/>
  <c r="P39" i="51"/>
  <c r="K44" i="51"/>
  <c r="M48" i="51"/>
  <c r="H57" i="51"/>
  <c r="K65" i="51"/>
  <c r="N69" i="51"/>
  <c r="H78" i="51"/>
  <c r="G82" i="51"/>
  <c r="I91" i="51"/>
  <c r="N95" i="51"/>
  <c r="P103" i="51"/>
  <c r="N108" i="51"/>
  <c r="H117" i="51"/>
  <c r="M121" i="51"/>
  <c r="N125" i="51"/>
  <c r="H133" i="51"/>
  <c r="M138" i="51"/>
  <c r="N142" i="51"/>
  <c r="G151" i="51"/>
  <c r="L155" i="51"/>
  <c r="F159" i="51"/>
  <c r="G167" i="51"/>
  <c r="K168" i="51"/>
  <c r="I172" i="51"/>
  <c r="L176" i="51"/>
  <c r="O46" i="51"/>
  <c r="L50" i="51"/>
  <c r="H156" i="51"/>
  <c r="O126" i="51"/>
  <c r="N55" i="51"/>
  <c r="K105" i="51"/>
  <c r="P35" i="51"/>
  <c r="N43" i="51"/>
  <c r="M44" i="51"/>
  <c r="O52" i="51"/>
  <c r="N61" i="51"/>
  <c r="Q65" i="51"/>
  <c r="L73" i="51"/>
  <c r="J78" i="51"/>
  <c r="N82" i="51"/>
  <c r="K91" i="51"/>
  <c r="I99" i="51"/>
  <c r="O103" i="51"/>
  <c r="L112" i="51"/>
  <c r="Q117" i="51"/>
  <c r="G121" i="51"/>
  <c r="L129" i="51"/>
  <c r="Q133" i="51"/>
  <c r="K138" i="51"/>
  <c r="M146" i="51"/>
  <c r="P151" i="51"/>
  <c r="F155" i="51"/>
  <c r="K163" i="51"/>
  <c r="P130" i="51"/>
  <c r="I152" i="51"/>
  <c r="J173" i="51"/>
  <c r="K33" i="51"/>
  <c r="G55" i="51"/>
  <c r="G101" i="51"/>
  <c r="F105" i="51"/>
  <c r="J31" i="51"/>
  <c r="N39" i="51"/>
  <c r="H43" i="51"/>
  <c r="O48" i="51"/>
  <c r="L52" i="51"/>
  <c r="I61" i="51"/>
  <c r="P69" i="51"/>
  <c r="F73" i="51"/>
  <c r="H82" i="51"/>
  <c r="G87" i="51"/>
  <c r="I95" i="51"/>
  <c r="J99" i="51"/>
  <c r="H108" i="51"/>
  <c r="F112" i="51"/>
  <c r="K117" i="51"/>
  <c r="P125" i="51"/>
  <c r="F129" i="51"/>
  <c r="K133" i="51"/>
  <c r="P142" i="51"/>
  <c r="K146" i="51"/>
  <c r="J151" i="51"/>
  <c r="O159" i="51"/>
  <c r="P163" i="51"/>
  <c r="O134" i="51"/>
  <c r="O160" i="51"/>
  <c r="Q177" i="51"/>
  <c r="N37" i="51"/>
  <c r="Q55" i="51"/>
  <c r="O76" i="51"/>
  <c r="M89" i="51"/>
  <c r="N101" i="51"/>
  <c r="F161" i="51"/>
  <c r="L31" i="51"/>
  <c r="H39" i="51"/>
  <c r="N44" i="51"/>
  <c r="L48" i="51"/>
  <c r="O57" i="51"/>
  <c r="G65" i="51"/>
  <c r="J69" i="51"/>
  <c r="G73" i="51"/>
  <c r="Q82" i="51"/>
  <c r="L91" i="51"/>
  <c r="K95" i="51"/>
  <c r="L103" i="51"/>
  <c r="F108" i="51"/>
  <c r="O112" i="51"/>
  <c r="I121" i="51"/>
  <c r="J125" i="51"/>
  <c r="O129" i="51"/>
  <c r="I138" i="51"/>
  <c r="J142" i="51"/>
  <c r="N146" i="51"/>
  <c r="H155" i="51"/>
  <c r="M159" i="51"/>
  <c r="M163" i="51"/>
  <c r="F143" i="51"/>
  <c r="L164" i="51"/>
  <c r="P177" i="51"/>
  <c r="P37" i="51"/>
  <c r="H59" i="51"/>
  <c r="H101" i="51"/>
  <c r="M105" i="51"/>
  <c r="I161" i="51"/>
  <c r="M35" i="51"/>
  <c r="J43" i="51"/>
  <c r="L44" i="51"/>
  <c r="K52" i="51"/>
  <c r="F61" i="51"/>
  <c r="I65" i="51"/>
  <c r="H73" i="51"/>
  <c r="F78" i="51"/>
  <c r="F82" i="51"/>
  <c r="J91" i="51"/>
  <c r="P99" i="51"/>
  <c r="G103" i="51"/>
  <c r="H112" i="51"/>
  <c r="M117" i="51"/>
  <c r="N121" i="51"/>
  <c r="H129" i="51"/>
  <c r="M133" i="51"/>
  <c r="N138" i="51"/>
  <c r="I146" i="51"/>
  <c r="L151" i="51"/>
  <c r="Q155" i="51"/>
  <c r="G163" i="51"/>
  <c r="K167" i="51"/>
  <c r="I168" i="51"/>
  <c r="Q172" i="51"/>
  <c r="N41" i="51"/>
  <c r="Q46" i="51"/>
  <c r="P71" i="51"/>
  <c r="M73" i="51"/>
  <c r="G99" i="51"/>
  <c r="H125" i="51"/>
  <c r="H146" i="51"/>
  <c r="J167" i="51"/>
  <c r="J50" i="51"/>
  <c r="K93" i="51"/>
  <c r="Q110" i="51"/>
  <c r="G114" i="51"/>
  <c r="P123" i="51"/>
  <c r="F131" i="51"/>
  <c r="K144" i="51"/>
  <c r="O157" i="51"/>
  <c r="H165" i="51"/>
  <c r="N38" i="51"/>
  <c r="L42" i="51"/>
  <c r="L51" i="51"/>
  <c r="F60" i="51"/>
  <c r="M64" i="51"/>
  <c r="O68" i="51"/>
  <c r="I77" i="51"/>
  <c r="N81" i="51"/>
  <c r="M90" i="51"/>
  <c r="H98" i="51"/>
  <c r="M102" i="51"/>
  <c r="H111" i="51"/>
  <c r="M115" i="51"/>
  <c r="N120" i="51"/>
  <c r="H128" i="51"/>
  <c r="M132" i="51"/>
  <c r="N136" i="51"/>
  <c r="H141" i="51"/>
  <c r="P167" i="51"/>
  <c r="L168" i="51"/>
  <c r="O176" i="51"/>
  <c r="H41" i="51"/>
  <c r="N50" i="51"/>
  <c r="J71" i="51"/>
  <c r="M106" i="51"/>
  <c r="K110" i="51"/>
  <c r="I119" i="51"/>
  <c r="J123" i="51"/>
  <c r="K131" i="51"/>
  <c r="H149" i="51"/>
  <c r="M157" i="51"/>
  <c r="J165" i="51"/>
  <c r="I38" i="51"/>
  <c r="K47" i="51"/>
  <c r="I51" i="51"/>
  <c r="H60" i="51"/>
  <c r="H68" i="51"/>
  <c r="M72" i="51"/>
  <c r="O77" i="51"/>
  <c r="P86" i="51"/>
  <c r="J90" i="51"/>
  <c r="Q98" i="51"/>
  <c r="G102" i="51"/>
  <c r="Q111" i="51"/>
  <c r="G115" i="51"/>
  <c r="L124" i="51"/>
  <c r="Q128" i="51"/>
  <c r="G132" i="51"/>
  <c r="L137" i="51"/>
  <c r="Q141" i="51"/>
  <c r="F167" i="51"/>
  <c r="Q168" i="51"/>
  <c r="H176" i="51"/>
  <c r="P41" i="51"/>
  <c r="K50" i="51"/>
  <c r="N71" i="51"/>
  <c r="K106" i="51"/>
  <c r="H114" i="51"/>
  <c r="M119" i="51"/>
  <c r="N123" i="51"/>
  <c r="H144" i="51"/>
  <c r="L149" i="51"/>
  <c r="Q157" i="51"/>
  <c r="M34" i="51"/>
  <c r="Q38" i="51"/>
  <c r="O47" i="51"/>
  <c r="F56" i="51"/>
  <c r="P60" i="51"/>
  <c r="L68" i="51"/>
  <c r="Q72" i="51"/>
  <c r="G77" i="51"/>
  <c r="I86" i="51"/>
  <c r="H94" i="51"/>
  <c r="K98" i="51"/>
  <c r="O102" i="51"/>
  <c r="F111" i="51"/>
  <c r="N167" i="51"/>
  <c r="P168" i="51"/>
  <c r="G176" i="51"/>
  <c r="L41" i="51"/>
  <c r="F50" i="51"/>
  <c r="Q71" i="51"/>
  <c r="L106" i="51"/>
  <c r="O110" i="51"/>
  <c r="L119" i="51"/>
  <c r="Q123" i="51"/>
  <c r="O131" i="51"/>
  <c r="K149" i="51"/>
  <c r="P157" i="51"/>
  <c r="N165" i="51"/>
  <c r="H38" i="51"/>
  <c r="J47" i="51"/>
  <c r="P51" i="51"/>
  <c r="K60" i="51"/>
  <c r="I64" i="51"/>
  <c r="P72" i="51"/>
  <c r="F77" i="51"/>
  <c r="H86" i="51"/>
  <c r="N90" i="51"/>
  <c r="I98" i="51"/>
  <c r="F102" i="51"/>
  <c r="I111" i="51"/>
  <c r="J115" i="51"/>
  <c r="O120" i="51"/>
  <c r="I128" i="51"/>
  <c r="J132" i="51"/>
  <c r="O136" i="51"/>
  <c r="I141" i="51"/>
  <c r="P124" i="51"/>
  <c r="F141" i="51"/>
  <c r="H150" i="51"/>
  <c r="M154" i="51"/>
  <c r="N158" i="51"/>
  <c r="G78" i="51"/>
  <c r="N103" i="51"/>
  <c r="M129" i="51"/>
  <c r="Q151" i="51"/>
  <c r="F168" i="51"/>
  <c r="F71" i="51"/>
  <c r="I106" i="51"/>
  <c r="F110" i="51"/>
  <c r="P119" i="51"/>
  <c r="F123" i="51"/>
  <c r="G131" i="51"/>
  <c r="O149" i="51"/>
  <c r="I157" i="51"/>
  <c r="P165" i="51"/>
  <c r="P38" i="51"/>
  <c r="N47" i="51"/>
  <c r="Q51" i="51"/>
  <c r="O60" i="51"/>
  <c r="Q64" i="51"/>
  <c r="I72" i="51"/>
  <c r="N77" i="51"/>
  <c r="L86" i="51"/>
  <c r="G90" i="51"/>
  <c r="M98" i="51"/>
  <c r="N102" i="51"/>
  <c r="M111" i="51"/>
  <c r="N115" i="51"/>
  <c r="H124" i="51"/>
  <c r="M128" i="51"/>
  <c r="N132" i="51"/>
  <c r="H137" i="51"/>
  <c r="M141" i="51"/>
  <c r="M167" i="51"/>
  <c r="O172" i="51"/>
  <c r="N176" i="51"/>
  <c r="J46" i="51"/>
  <c r="P50" i="51"/>
  <c r="O71" i="51"/>
  <c r="J106" i="51"/>
  <c r="I114" i="51"/>
  <c r="J119" i="51"/>
  <c r="K123" i="51"/>
  <c r="I144" i="51"/>
  <c r="M149" i="51"/>
  <c r="J157" i="51"/>
  <c r="N34" i="51"/>
  <c r="F42" i="51"/>
  <c r="P47" i="51"/>
  <c r="O56" i="51"/>
  <c r="F64" i="51"/>
  <c r="M68" i="51"/>
  <c r="N72" i="51"/>
  <c r="P81" i="51"/>
  <c r="K86" i="51"/>
  <c r="M94" i="51"/>
  <c r="G98" i="51"/>
  <c r="L107" i="51"/>
  <c r="G111" i="51"/>
  <c r="L120" i="51"/>
  <c r="Q124" i="51"/>
  <c r="G128" i="51"/>
  <c r="L136" i="51"/>
  <c r="Q137" i="51"/>
  <c r="G141" i="51"/>
  <c r="H167" i="51"/>
  <c r="H172" i="51"/>
  <c r="J176" i="51"/>
  <c r="N46" i="51"/>
  <c r="I50" i="51"/>
  <c r="H93" i="51"/>
  <c r="I110" i="51"/>
  <c r="M114" i="51"/>
  <c r="N119" i="51"/>
  <c r="H131" i="51"/>
  <c r="M144" i="51"/>
  <c r="Q149" i="51"/>
  <c r="G165" i="51"/>
  <c r="K34" i="51"/>
  <c r="J42" i="51"/>
  <c r="Q47" i="51"/>
  <c r="L56" i="51"/>
  <c r="J64" i="51"/>
  <c r="Q68" i="51"/>
  <c r="G72" i="51"/>
  <c r="I81" i="51"/>
  <c r="F86" i="51"/>
  <c r="K94" i="51"/>
  <c r="O98" i="51"/>
  <c r="I107" i="51"/>
  <c r="K111" i="51"/>
  <c r="L167" i="51"/>
  <c r="G172" i="51"/>
  <c r="M176" i="51"/>
  <c r="I41" i="51"/>
  <c r="O50" i="51"/>
  <c r="G71" i="51"/>
  <c r="F106" i="51"/>
  <c r="L114" i="51"/>
  <c r="Q119" i="51"/>
  <c r="O123" i="51"/>
  <c r="L144" i="51"/>
  <c r="P149" i="51"/>
  <c r="N157" i="51"/>
  <c r="Q34" i="51"/>
  <c r="L38" i="51"/>
  <c r="L47" i="51"/>
  <c r="N56" i="51"/>
  <c r="Q60" i="51"/>
  <c r="P68" i="51"/>
  <c r="F72" i="51"/>
  <c r="H81" i="51"/>
  <c r="M86" i="51"/>
  <c r="L94" i="51"/>
  <c r="F98" i="51"/>
  <c r="J102" i="51"/>
  <c r="J111" i="51"/>
  <c r="O115" i="51"/>
  <c r="I124" i="51"/>
  <c r="J128" i="51"/>
  <c r="O132" i="51"/>
  <c r="I137" i="51"/>
  <c r="J141" i="51"/>
  <c r="F128" i="51"/>
  <c r="I145" i="51"/>
  <c r="M150" i="51"/>
  <c r="N154" i="51"/>
  <c r="J162" i="51"/>
  <c r="Q166" i="51"/>
  <c r="M171" i="51"/>
  <c r="M30" i="51"/>
  <c r="O29" i="51"/>
  <c r="P24" i="51"/>
  <c r="I27" i="51"/>
  <c r="L75" i="51"/>
  <c r="J77" i="51"/>
  <c r="P92" i="51"/>
  <c r="P91" i="51"/>
  <c r="F124" i="51"/>
  <c r="K141" i="51"/>
  <c r="L150" i="51"/>
  <c r="Q154" i="51"/>
  <c r="G162" i="51"/>
  <c r="P166" i="51"/>
  <c r="L171" i="51"/>
  <c r="J30" i="51"/>
  <c r="J29" i="51"/>
  <c r="Q24" i="51"/>
  <c r="H27" i="51"/>
  <c r="N86" i="51"/>
  <c r="L108" i="51"/>
  <c r="H47" i="51"/>
  <c r="I87" i="51"/>
  <c r="M112" i="51"/>
  <c r="N133" i="51"/>
  <c r="G159" i="51"/>
  <c r="K176" i="51"/>
  <c r="K71" i="51"/>
  <c r="G106" i="51"/>
  <c r="P114" i="51"/>
  <c r="F119" i="51"/>
  <c r="G123" i="51"/>
  <c r="P144" i="51"/>
  <c r="I149" i="51"/>
  <c r="F157" i="51"/>
  <c r="J34" i="51"/>
  <c r="M38" i="51"/>
  <c r="M47" i="51"/>
  <c r="G56" i="51"/>
  <c r="I60" i="51"/>
  <c r="I68" i="51"/>
  <c r="J72" i="51"/>
  <c r="L81" i="51"/>
  <c r="Q86" i="51"/>
  <c r="I94" i="51"/>
  <c r="N98" i="51"/>
  <c r="H107" i="51"/>
  <c r="N111" i="51"/>
  <c r="H120" i="51"/>
  <c r="M124" i="51"/>
  <c r="N128" i="51"/>
  <c r="H136" i="51"/>
  <c r="M137" i="51"/>
  <c r="N141" i="51"/>
  <c r="O168" i="51"/>
  <c r="N172" i="51"/>
  <c r="F176" i="51"/>
  <c r="H46" i="51"/>
  <c r="M50" i="51"/>
  <c r="M93" i="51"/>
  <c r="P110" i="51"/>
  <c r="J114" i="51"/>
  <c r="K119" i="51"/>
  <c r="I131" i="51"/>
  <c r="J144" i="51"/>
  <c r="F149" i="51"/>
  <c r="F165" i="51"/>
  <c r="L34" i="51"/>
  <c r="O42" i="51"/>
  <c r="N51" i="51"/>
  <c r="P56" i="51"/>
  <c r="K64" i="51"/>
  <c r="N68" i="51"/>
  <c r="H77" i="51"/>
  <c r="F81" i="51"/>
  <c r="H90" i="51"/>
  <c r="G94" i="51"/>
  <c r="L102" i="51"/>
  <c r="J107" i="51"/>
  <c r="L115" i="51"/>
  <c r="Q120" i="51"/>
  <c r="G124" i="51"/>
  <c r="L132" i="51"/>
  <c r="Q136" i="51"/>
  <c r="G137" i="51"/>
  <c r="L145" i="51"/>
  <c r="H168" i="51"/>
  <c r="J172" i="51"/>
  <c r="Q176" i="51"/>
  <c r="P46" i="51"/>
  <c r="H71" i="51"/>
  <c r="G93" i="51"/>
  <c r="H110" i="51"/>
  <c r="N114" i="51"/>
  <c r="H123" i="51"/>
  <c r="M131" i="51"/>
  <c r="N144" i="51"/>
  <c r="G157" i="51"/>
  <c r="L165" i="51"/>
  <c r="F38" i="51"/>
  <c r="P42" i="51"/>
  <c r="K51" i="51"/>
  <c r="I56" i="51"/>
  <c r="O64" i="51"/>
  <c r="G68" i="51"/>
  <c r="L77" i="51"/>
  <c r="J81" i="51"/>
  <c r="L90" i="51"/>
  <c r="O94" i="51"/>
  <c r="P102" i="51"/>
  <c r="K107" i="51"/>
  <c r="P115" i="51"/>
  <c r="G168" i="51"/>
  <c r="M172" i="51"/>
  <c r="P176" i="51"/>
  <c r="K46" i="51"/>
  <c r="Q50" i="51"/>
  <c r="L93" i="51"/>
  <c r="G110" i="51"/>
  <c r="Q114" i="51"/>
  <c r="O119" i="51"/>
  <c r="L131" i="51"/>
  <c r="Q144" i="51"/>
  <c r="N149" i="51"/>
  <c r="K165" i="51"/>
  <c r="O34" i="51"/>
  <c r="N42" i="51"/>
  <c r="F51" i="51"/>
  <c r="M56" i="51"/>
  <c r="N64" i="51"/>
  <c r="F68" i="51"/>
  <c r="K72" i="51"/>
  <c r="M81" i="51"/>
  <c r="G86" i="51"/>
  <c r="F94" i="51"/>
  <c r="J98" i="51"/>
  <c r="M107" i="51"/>
  <c r="O111" i="51"/>
  <c r="I120" i="51"/>
  <c r="J124" i="51"/>
  <c r="O128" i="51"/>
  <c r="I136" i="51"/>
  <c r="J137" i="51"/>
  <c r="O141" i="51"/>
  <c r="K132" i="51"/>
  <c r="J145" i="51"/>
  <c r="N150" i="51"/>
  <c r="H158" i="51"/>
  <c r="Q162" i="51"/>
  <c r="N166" i="51"/>
  <c r="I175" i="51"/>
  <c r="Q30" i="51"/>
  <c r="M29" i="51"/>
  <c r="K24" i="51"/>
  <c r="J27" i="51"/>
  <c r="L62" i="51"/>
  <c r="P94" i="51"/>
  <c r="N107" i="51"/>
  <c r="J76" i="51"/>
  <c r="K128" i="51"/>
  <c r="M145" i="51"/>
  <c r="Q150" i="51"/>
  <c r="G158" i="51"/>
  <c r="P162" i="51"/>
  <c r="H166" i="51"/>
  <c r="G175" i="51"/>
  <c r="O30" i="51"/>
  <c r="Q29" i="51"/>
  <c r="L24" i="51"/>
  <c r="M27" i="51"/>
  <c r="L28" i="51"/>
  <c r="L63" i="51"/>
  <c r="H25" i="51"/>
  <c r="H95" i="51"/>
  <c r="N117" i="51"/>
  <c r="H142" i="51"/>
  <c r="N163" i="51"/>
  <c r="M41" i="51"/>
  <c r="I93" i="51"/>
  <c r="L110" i="51"/>
  <c r="F114" i="51"/>
  <c r="G119" i="51"/>
  <c r="P131" i="51"/>
  <c r="F144" i="51"/>
  <c r="J149" i="51"/>
  <c r="O165" i="51"/>
  <c r="P34" i="51"/>
  <c r="K42" i="51"/>
  <c r="J51" i="51"/>
  <c r="H56" i="51"/>
  <c r="G64" i="51"/>
  <c r="J68" i="51"/>
  <c r="O72" i="51"/>
  <c r="Q81" i="51"/>
  <c r="J86" i="51"/>
  <c r="N94" i="51"/>
  <c r="H102" i="51"/>
  <c r="G107" i="51"/>
  <c r="H115" i="51"/>
  <c r="M120" i="51"/>
  <c r="N124" i="51"/>
  <c r="H132" i="51"/>
  <c r="M136" i="51"/>
  <c r="N137" i="51"/>
  <c r="O167" i="51"/>
  <c r="N168" i="51"/>
  <c r="L172" i="51"/>
  <c r="K41" i="51"/>
  <c r="L46" i="51"/>
  <c r="I71" i="51"/>
  <c r="F93" i="51"/>
  <c r="J110" i="51"/>
  <c r="K114" i="51"/>
  <c r="I123" i="51"/>
  <c r="J131" i="51"/>
  <c r="O144" i="51"/>
  <c r="H157" i="51"/>
  <c r="M165" i="51"/>
  <c r="K38" i="51"/>
  <c r="M42" i="51"/>
  <c r="M51" i="51"/>
  <c r="N60" i="51"/>
  <c r="H64" i="51"/>
  <c r="H72" i="51"/>
  <c r="M77" i="51"/>
  <c r="O81" i="51"/>
  <c r="K90" i="51"/>
  <c r="L98" i="51"/>
  <c r="Q102" i="51"/>
  <c r="L111" i="51"/>
  <c r="Q115" i="51"/>
  <c r="G120" i="51"/>
  <c r="L128" i="51"/>
  <c r="Q132" i="51"/>
  <c r="G136" i="51"/>
  <c r="L141" i="51"/>
  <c r="I167" i="51"/>
  <c r="J168" i="51"/>
  <c r="F172" i="51"/>
  <c r="O41" i="51"/>
  <c r="M46" i="51"/>
  <c r="M71" i="51"/>
  <c r="H106" i="51"/>
  <c r="N110" i="51"/>
  <c r="H119" i="51"/>
  <c r="M123" i="51"/>
  <c r="N131" i="51"/>
  <c r="G149" i="51"/>
  <c r="L157" i="51"/>
  <c r="I165" i="51"/>
  <c r="O38" i="51"/>
  <c r="F47" i="51"/>
  <c r="H51" i="51"/>
  <c r="G60" i="51"/>
  <c r="P64" i="51"/>
  <c r="L72" i="51"/>
  <c r="Q77" i="51"/>
  <c r="G81" i="51"/>
  <c r="F90" i="51"/>
  <c r="P98" i="51"/>
  <c r="K102" i="51"/>
  <c r="P111" i="51"/>
  <c r="F115" i="51"/>
  <c r="M168" i="51"/>
  <c r="P172" i="51"/>
  <c r="J41" i="51"/>
  <c r="I46" i="51"/>
  <c r="L71" i="51"/>
  <c r="J93" i="51"/>
  <c r="M110" i="51"/>
  <c r="O114" i="51"/>
  <c r="L123" i="51"/>
  <c r="Q131" i="51"/>
  <c r="G144" i="51"/>
  <c r="K157" i="51"/>
  <c r="Q165" i="51"/>
  <c r="J38" i="51"/>
  <c r="Q42" i="51"/>
  <c r="O51" i="51"/>
  <c r="Q56" i="51"/>
  <c r="L64" i="51"/>
  <c r="K68" i="51"/>
  <c r="P77" i="51"/>
  <c r="K81" i="51"/>
  <c r="I90" i="51"/>
  <c r="J94" i="51"/>
  <c r="I102" i="51"/>
  <c r="F107" i="51"/>
  <c r="I115" i="51"/>
  <c r="J120" i="51"/>
  <c r="O124" i="51"/>
  <c r="I132" i="51"/>
  <c r="J136" i="51"/>
  <c r="O137" i="51"/>
  <c r="K115" i="51"/>
  <c r="P137" i="51"/>
  <c r="O145" i="51"/>
  <c r="H154" i="51"/>
  <c r="M158" i="51"/>
  <c r="N162" i="51"/>
  <c r="I171" i="51"/>
  <c r="F175" i="51"/>
  <c r="O25" i="51"/>
  <c r="K26" i="51"/>
  <c r="O28" i="51"/>
  <c r="F41" i="51"/>
  <c r="N88" i="51"/>
  <c r="H30" i="51"/>
  <c r="L61" i="51"/>
  <c r="H42" i="51"/>
  <c r="P136" i="51"/>
  <c r="N145" i="51"/>
  <c r="G154" i="51"/>
  <c r="L158" i="51"/>
  <c r="H162" i="51"/>
  <c r="G171" i="51"/>
  <c r="N175" i="51"/>
  <c r="J25" i="51"/>
  <c r="L26" i="51"/>
  <c r="N24" i="51"/>
  <c r="N27" i="51"/>
  <c r="L58" i="51"/>
  <c r="H35" i="51"/>
  <c r="L60" i="51"/>
  <c r="J166" i="51"/>
  <c r="O26" i="51"/>
  <c r="F46" i="51"/>
  <c r="G150" i="51"/>
  <c r="N171" i="51"/>
  <c r="K28" i="51"/>
  <c r="F120" i="51"/>
  <c r="P154" i="51"/>
  <c r="K166" i="51"/>
  <c r="J26" i="51"/>
  <c r="L59" i="51"/>
  <c r="I166" i="51"/>
  <c r="Q27" i="51"/>
  <c r="F171" i="51"/>
  <c r="Q28" i="51"/>
  <c r="H29" i="51"/>
  <c r="L154" i="51"/>
  <c r="L175" i="51"/>
  <c r="P106" i="51"/>
  <c r="J57" i="51"/>
  <c r="K124" i="51"/>
  <c r="H145" i="51"/>
  <c r="P150" i="51"/>
  <c r="F154" i="51"/>
  <c r="K162" i="51"/>
  <c r="F166" i="51"/>
  <c r="Q171" i="51"/>
  <c r="N30" i="51"/>
  <c r="N29" i="51"/>
  <c r="M24" i="51"/>
  <c r="L27" i="51"/>
  <c r="F24" i="51"/>
  <c r="J56" i="51"/>
  <c r="H26" i="51"/>
  <c r="K136" i="51"/>
  <c r="K145" i="51"/>
  <c r="O154" i="51"/>
  <c r="I158" i="51"/>
  <c r="I162" i="51"/>
  <c r="O171" i="51"/>
  <c r="P175" i="51"/>
  <c r="K25" i="51"/>
  <c r="M26" i="51"/>
  <c r="N28" i="51"/>
  <c r="H44" i="51"/>
  <c r="K150" i="51"/>
  <c r="J171" i="51"/>
  <c r="J28" i="51"/>
  <c r="F132" i="51"/>
  <c r="O158" i="51"/>
  <c r="P30" i="51"/>
  <c r="M175" i="51"/>
  <c r="F37" i="51"/>
  <c r="P120" i="51"/>
  <c r="Q158" i="51"/>
  <c r="M25" i="51"/>
  <c r="L78" i="51"/>
  <c r="P90" i="51"/>
  <c r="P132" i="51"/>
  <c r="Q145" i="51"/>
  <c r="F150" i="51"/>
  <c r="K158" i="51"/>
  <c r="F162" i="51"/>
  <c r="M166" i="51"/>
  <c r="K175" i="51"/>
  <c r="L30" i="51"/>
  <c r="L29" i="51"/>
  <c r="H24" i="51"/>
  <c r="O27" i="51"/>
  <c r="N89" i="51"/>
  <c r="J55" i="51"/>
  <c r="K120" i="51"/>
  <c r="P141" i="51"/>
  <c r="O150" i="51"/>
  <c r="I154" i="51"/>
  <c r="J158" i="51"/>
  <c r="O166" i="51"/>
  <c r="P171" i="51"/>
  <c r="H175" i="51"/>
  <c r="P25" i="51"/>
  <c r="N26" i="51"/>
  <c r="P28" i="51"/>
  <c r="H33" i="51"/>
  <c r="K137" i="51"/>
  <c r="Q175" i="51"/>
  <c r="H45" i="51"/>
  <c r="F145" i="51"/>
  <c r="L162" i="51"/>
  <c r="P29" i="51"/>
  <c r="Q25" i="51"/>
  <c r="H32" i="51"/>
  <c r="F137" i="51"/>
  <c r="G166" i="51"/>
  <c r="Q26" i="51"/>
  <c r="H34" i="51"/>
  <c r="H31" i="51"/>
  <c r="F136" i="51"/>
  <c r="G145" i="51"/>
  <c r="K154" i="51"/>
  <c r="P158" i="51"/>
  <c r="M162" i="51"/>
  <c r="K171" i="51"/>
  <c r="J175" i="51"/>
  <c r="N25" i="51"/>
  <c r="P26" i="51"/>
  <c r="J24" i="51"/>
  <c r="K27" i="51"/>
  <c r="P95" i="51"/>
  <c r="F36" i="51"/>
  <c r="P128" i="51"/>
  <c r="P145" i="51"/>
  <c r="I150" i="51"/>
  <c r="J154" i="51"/>
  <c r="O162" i="51"/>
  <c r="L166" i="51"/>
  <c r="H171" i="51"/>
  <c r="K30" i="51"/>
  <c r="K29" i="51"/>
  <c r="I24" i="51"/>
  <c r="P27" i="51"/>
  <c r="N93" i="51"/>
  <c r="P87" i="51"/>
  <c r="F158" i="51"/>
  <c r="L25" i="51"/>
  <c r="F27" i="51"/>
  <c r="J150" i="51"/>
  <c r="O175" i="51"/>
  <c r="O24" i="51"/>
  <c r="F35" i="51"/>
  <c r="Q107" i="51"/>
  <c r="G35" i="51"/>
  <c r="M55" i="51"/>
  <c r="G33" i="51"/>
  <c r="L57" i="51"/>
  <c r="G34" i="51"/>
  <c r="J60" i="51"/>
  <c r="F26" i="51"/>
  <c r="O90" i="51"/>
  <c r="F33" i="51"/>
  <c r="J61" i="51"/>
  <c r="F44" i="51"/>
  <c r="I29" i="51"/>
  <c r="F29" i="51"/>
  <c r="N106" i="51"/>
  <c r="Q88" i="51"/>
  <c r="O106" i="51"/>
  <c r="G25" i="51"/>
  <c r="J59" i="51"/>
  <c r="L55" i="51"/>
  <c r="P93" i="51"/>
  <c r="J75" i="51"/>
  <c r="F25" i="51"/>
  <c r="H75" i="51"/>
  <c r="K59" i="51"/>
  <c r="G32" i="51"/>
  <c r="F30" i="51"/>
  <c r="P89" i="51"/>
  <c r="I47" i="51"/>
  <c r="Q89" i="51"/>
  <c r="F34" i="51"/>
  <c r="N87" i="51"/>
  <c r="O92" i="51"/>
  <c r="G44" i="51"/>
  <c r="L76" i="51"/>
  <c r="G30" i="51"/>
  <c r="K58" i="51"/>
  <c r="H28" i="51"/>
  <c r="F32" i="51"/>
  <c r="F28" i="51"/>
  <c r="F31" i="51"/>
  <c r="I45" i="51"/>
  <c r="O87" i="51"/>
  <c r="M57" i="51"/>
  <c r="I42" i="51"/>
  <c r="J58" i="51"/>
  <c r="Q93" i="51"/>
  <c r="K61" i="51"/>
  <c r="P88" i="51"/>
  <c r="I33" i="51"/>
  <c r="G31" i="51"/>
  <c r="N92" i="51"/>
  <c r="M60" i="51"/>
  <c r="P107" i="51"/>
  <c r="M76" i="51"/>
  <c r="AC118" i="51" l="1"/>
  <c r="AE17" i="51"/>
  <c r="AA17" i="51"/>
  <c r="Y17" i="51"/>
  <c r="AC17" i="51"/>
  <c r="AD14" i="51"/>
  <c r="AG17" i="51"/>
  <c r="X37" i="51"/>
  <c r="X38" i="51"/>
  <c r="X36" i="51"/>
  <c r="AI17" i="51"/>
  <c r="X41" i="51"/>
  <c r="W17" i="51"/>
  <c r="P9" i="51" s="1"/>
  <c r="T17" i="51"/>
  <c r="X63" i="51"/>
  <c r="X85" i="51"/>
  <c r="X78" i="51"/>
  <c r="X178" i="51"/>
  <c r="X147" i="51"/>
  <c r="X93" i="51"/>
  <c r="X95" i="51"/>
  <c r="X108" i="51"/>
  <c r="X94" i="51"/>
  <c r="X56" i="51"/>
  <c r="X57" i="51"/>
  <c r="X46" i="51"/>
  <c r="X29" i="51"/>
  <c r="X27" i="51"/>
  <c r="X58" i="51"/>
  <c r="X34" i="51"/>
  <c r="X77" i="51"/>
  <c r="X31" i="51"/>
  <c r="X89" i="51"/>
  <c r="X91" i="51"/>
  <c r="X35" i="51"/>
  <c r="X62" i="51"/>
  <c r="X32" i="51"/>
  <c r="X90" i="51"/>
  <c r="X59" i="51"/>
  <c r="X30" i="51"/>
  <c r="X61" i="51"/>
  <c r="X92" i="51"/>
  <c r="X88" i="51"/>
  <c r="X76" i="51"/>
  <c r="X44" i="51"/>
  <c r="X107" i="51"/>
  <c r="X87" i="51"/>
  <c r="X75" i="51"/>
  <c r="X106" i="51"/>
  <c r="X25" i="51"/>
  <c r="X55" i="51"/>
  <c r="X24" i="51"/>
  <c r="X86" i="51"/>
  <c r="X28" i="51"/>
  <c r="Q95" i="51"/>
  <c r="G27" i="51"/>
  <c r="Q92" i="51"/>
  <c r="Q87" i="51"/>
  <c r="I26" i="51"/>
  <c r="M61" i="51"/>
  <c r="M78" i="51"/>
  <c r="K57" i="51"/>
  <c r="M59" i="51"/>
  <c r="O107" i="51"/>
  <c r="M28" i="51"/>
  <c r="K76" i="51"/>
  <c r="K75" i="51"/>
  <c r="G36" i="51"/>
  <c r="M63" i="51"/>
  <c r="Q94" i="51"/>
  <c r="I34" i="51"/>
  <c r="I44" i="51"/>
  <c r="Q106" i="51"/>
  <c r="M58" i="51"/>
  <c r="I28" i="51"/>
  <c r="O93" i="51"/>
  <c r="G29" i="51"/>
  <c r="O88" i="51"/>
  <c r="M75" i="51"/>
  <c r="I31" i="51"/>
  <c r="G26" i="51"/>
  <c r="Q90" i="51"/>
  <c r="I32" i="51"/>
  <c r="I35" i="51"/>
  <c r="I30" i="51"/>
  <c r="K56" i="51"/>
  <c r="Q91" i="51"/>
  <c r="G28" i="51"/>
  <c r="K55" i="51"/>
  <c r="O89" i="51"/>
  <c r="G37" i="51"/>
  <c r="M108" i="51"/>
  <c r="K77" i="51"/>
  <c r="G41" i="51"/>
  <c r="I25" i="51"/>
  <c r="M62" i="51"/>
  <c r="G38" i="51"/>
  <c r="G46" i="51"/>
  <c r="O86" i="51"/>
  <c r="I75" i="51"/>
  <c r="G24" i="51"/>
  <c r="AB17" i="51" l="1"/>
  <c r="Z17" i="51"/>
  <c r="AD17" i="51"/>
  <c r="AF17" i="51"/>
  <c r="AH17" i="51"/>
  <c r="AJ17" i="51"/>
  <c r="D9" i="62"/>
  <c r="D9" i="61"/>
  <c r="D9" i="65"/>
  <c r="D9" i="60"/>
  <c r="D9" i="59"/>
  <c r="I9" i="65"/>
  <c r="I9" i="61"/>
  <c r="I9" i="59"/>
  <c r="I9" i="62"/>
  <c r="I9" i="60"/>
  <c r="C17" i="51"/>
  <c r="U9" i="51"/>
  <c r="D9" i="55"/>
  <c r="D9" i="3"/>
  <c r="F9" i="3"/>
  <c r="I9" i="55"/>
  <c r="M327" i="55" l="1"/>
</calcChain>
</file>

<file path=xl/sharedStrings.xml><?xml version="1.0" encoding="utf-8"?>
<sst xmlns="http://schemas.openxmlformats.org/spreadsheetml/2006/main" count="1322" uniqueCount="513">
  <si>
    <t>UNIDAD DIDÁCTICA</t>
  </si>
  <si>
    <t>Horas</t>
  </si>
  <si>
    <t>MÓDULO</t>
  </si>
  <si>
    <t>CAPACIDADES</t>
  </si>
  <si>
    <t>COMPETENCIAS PARA LA EMPLEABILIDAD</t>
  </si>
  <si>
    <t>N°. HORAS:</t>
  </si>
  <si>
    <t>DESCRIPCIÓN DEL PERFIL DE EGRESO</t>
  </si>
  <si>
    <t>ÁMBITOS DE DESEMPEÑO</t>
  </si>
  <si>
    <t>UNIDAD DE COMPETENCIA</t>
  </si>
  <si>
    <t>INDICADORES DE LOGRO DE LA COMPETENCIA</t>
  </si>
  <si>
    <t>Competencias técnicas o específicas</t>
  </si>
  <si>
    <t>Competencias para la empleabilidad</t>
  </si>
  <si>
    <t>Créd. T</t>
  </si>
  <si>
    <t>Créd. P</t>
  </si>
  <si>
    <t>Total créditos</t>
  </si>
  <si>
    <t>HT</t>
  </si>
  <si>
    <t>HP</t>
  </si>
  <si>
    <t>Total horas</t>
  </si>
  <si>
    <t>PERIODO ACADÉMICO</t>
  </si>
  <si>
    <t>EFSRT</t>
  </si>
  <si>
    <t>% de créditos prácticos respecto del total de créditos:</t>
  </si>
  <si>
    <t>Periodos Académicos (créditos y horas)</t>
  </si>
  <si>
    <t>II (c)</t>
  </si>
  <si>
    <t>II (h)</t>
  </si>
  <si>
    <t>III (h)</t>
  </si>
  <si>
    <t>IV (c)</t>
  </si>
  <si>
    <t>IV (h)</t>
  </si>
  <si>
    <t>V (c)</t>
  </si>
  <si>
    <t>V (h)</t>
  </si>
  <si>
    <t>Teóricos</t>
  </si>
  <si>
    <t>Prácticos</t>
  </si>
  <si>
    <t>Total</t>
  </si>
  <si>
    <t>De teoría</t>
  </si>
  <si>
    <t>Prácticas</t>
  </si>
  <si>
    <t>N° CRÉDITOS:</t>
  </si>
  <si>
    <t>COMPETENCIA</t>
  </si>
  <si>
    <t>DENOMINACIÓN DE LA INSTITUCIÓN</t>
  </si>
  <si>
    <t>ORGANIZACIÓN MODULAR</t>
  </si>
  <si>
    <t>DESCRIPCION DE LA COMPETENCIA</t>
  </si>
  <si>
    <t>NIVEL FORMATIVO</t>
  </si>
  <si>
    <t>SECTOR ECONÓMICO</t>
  </si>
  <si>
    <t>FAMILIA PRODUCTIVA</t>
  </si>
  <si>
    <t>ACTIVIDAD ECONÓMICA</t>
  </si>
  <si>
    <t>MODALIDAD DEL SERVICIO EDUCATIVO</t>
  </si>
  <si>
    <t>CÓDIGO *</t>
  </si>
  <si>
    <t>COMPONENTES CURRICULARES</t>
  </si>
  <si>
    <t>TOTALES</t>
  </si>
  <si>
    <t>VI (c)</t>
  </si>
  <si>
    <t>VI (h)</t>
  </si>
  <si>
    <t>CÓDIGO MODULAR</t>
  </si>
  <si>
    <t>Periodo</t>
  </si>
  <si>
    <t>CÓDIGO MODULAR DEL INSTITUTO</t>
  </si>
  <si>
    <t>Crédito teórico</t>
  </si>
  <si>
    <t>Crédito práctico</t>
  </si>
  <si>
    <t>Equivalencia de un (1) crédito:(4)</t>
  </si>
  <si>
    <t>Módulo I</t>
  </si>
  <si>
    <t>Condición</t>
  </si>
  <si>
    <t>Objeto</t>
  </si>
  <si>
    <t>Verbo</t>
  </si>
  <si>
    <t>Capacidades</t>
  </si>
  <si>
    <t>MÓDULOS</t>
  </si>
  <si>
    <t>Indicadores</t>
  </si>
  <si>
    <t>Indicadores de la Capacidad</t>
  </si>
  <si>
    <t>Capacidades asociadas a la Unidad de Competencia Específica y de Empleabilidad</t>
  </si>
  <si>
    <t>RESUMEN</t>
  </si>
  <si>
    <t>Programa de estudios:</t>
  </si>
  <si>
    <t>Módulo II</t>
  </si>
  <si>
    <t>Módulo III</t>
  </si>
  <si>
    <t>Módulo IV</t>
  </si>
  <si>
    <t>Módulo V</t>
  </si>
  <si>
    <t>HORAS (P)</t>
  </si>
  <si>
    <t>CRÉDITOS</t>
  </si>
  <si>
    <t>ESTRATEGIAS DE REALIZACIÓN</t>
  </si>
  <si>
    <t>CAPACIDADES A FORTALECER</t>
  </si>
  <si>
    <t>Práctica</t>
  </si>
  <si>
    <t>Teórico</t>
  </si>
  <si>
    <t xml:space="preserve">PERFIL DOCENTE </t>
  </si>
  <si>
    <t>HORAS</t>
  </si>
  <si>
    <t>CONTENIDOS</t>
  </si>
  <si>
    <t>INDICADORES DE LOGRO DE  LA CAPACIDAD</t>
  </si>
  <si>
    <t>CAPACIDADES DE EMPLEABILIDAD</t>
  </si>
  <si>
    <t xml:space="preserve">PERFIL DOCENTE  </t>
  </si>
  <si>
    <t>INDICADORES DE LOGRO DE LA CAPACIDAD</t>
  </si>
  <si>
    <t>CAPACIDADES TÉCNICAS O ESPECÍFICAS</t>
  </si>
  <si>
    <t>DENOMINACIÓN DEL MÓDULO</t>
  </si>
  <si>
    <t>UNIDAD DE COMPETENCIA DEL CATÁLOGO NACIONAL DE LA OFERTA FORMATIVA</t>
  </si>
  <si>
    <t>COMPETENCIAS PARA LA EMPLEABILIDAD INCORPORADAS MEDIANTE UNIDAD DIDÁCTICA</t>
  </si>
  <si>
    <r>
      <t xml:space="preserve">COMPETENCIAS PARA LA EMPLEABILIDAD INCORPORADAS COMO CONTENIDO  TRANSVERSAL </t>
    </r>
    <r>
      <rPr>
        <b/>
        <u/>
        <sz val="10"/>
        <color indexed="8"/>
        <rFont val="Arial"/>
        <family val="2"/>
      </rPr>
      <t/>
    </r>
  </si>
  <si>
    <t>Capacidad técnica</t>
  </si>
  <si>
    <t>Capacidad Empleabilidad</t>
  </si>
  <si>
    <t>Filtro</t>
  </si>
  <si>
    <t>Filtrar</t>
  </si>
  <si>
    <t>Código
Capacidad</t>
  </si>
  <si>
    <t>Código Indicador</t>
  </si>
  <si>
    <t>Tipo de capacidad</t>
  </si>
  <si>
    <t>DENOMINACIÓN DE LA INSTITUCIÓN EDUCATIVA</t>
  </si>
  <si>
    <t>CÓDIGO DE SER EL CASO *</t>
  </si>
  <si>
    <t>III (c)</t>
  </si>
  <si>
    <t>Observaciones de los facilitadores opcional</t>
  </si>
  <si>
    <t>Créditos Académicos</t>
  </si>
  <si>
    <t>EXPERIENCIAS FORMATIVAS EN SITUACIONES REALES DE TRABAJO (EFSRT)</t>
  </si>
  <si>
    <t>Módulo VI</t>
  </si>
  <si>
    <t>I</t>
  </si>
  <si>
    <t>II</t>
  </si>
  <si>
    <t>III</t>
  </si>
  <si>
    <t>IV</t>
  </si>
  <si>
    <t>V</t>
  </si>
  <si>
    <t>VI</t>
  </si>
  <si>
    <t>I(c)</t>
  </si>
  <si>
    <t>I(h)</t>
  </si>
  <si>
    <t>c</t>
  </si>
  <si>
    <t>h</t>
  </si>
  <si>
    <t>Centros laborales (empresas, organizaciones u otras instituciones)</t>
  </si>
  <si>
    <t>DESCRIPCIÓN DE LA COMPETENCIA</t>
  </si>
  <si>
    <t>Competencias técnicas (Unidad de competencia)</t>
  </si>
  <si>
    <t xml:space="preserve">Actividades productivas de bienes en el IES
</t>
  </si>
  <si>
    <t xml:space="preserve">Actividades productivas de servicios en el IES
</t>
  </si>
  <si>
    <t xml:space="preserve">Actividades productivas de bienes en los centros de producción
</t>
  </si>
  <si>
    <t xml:space="preserve">Actividades productivas de servicios en los centros de producción
</t>
  </si>
  <si>
    <t xml:space="preserve">Actividades productivas de bienes y servicios en el IES
</t>
  </si>
  <si>
    <t xml:space="preserve">Actividades productivas de bienes y  servicios en los centros de producción
</t>
  </si>
  <si>
    <t>DENOMINACIÓN DEL PROGRAMA DE ESTUDIOS SEGÚN CNOF (según corresponda)</t>
  </si>
  <si>
    <t>FORMACIÓN**</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</si>
  <si>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t>
  </si>
  <si>
    <t>COMPETENCIAS ESPECÍFICAS (UNIDAD DE COMPETENCIA)</t>
  </si>
  <si>
    <t>COMPETENCIAS ESPECÍFICAS  (UNIDAD DE COMPETENCIA)</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</si>
  <si>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</si>
  <si>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t>N° HORAS:</t>
  </si>
  <si>
    <t>N° de créditos en forma virtual (**)</t>
  </si>
  <si>
    <t>% de créditos en forma virtual (**)</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</si>
  <si>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</si>
  <si>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Información solo de proceso</t>
  </si>
  <si>
    <t>T.créditos
(Filtrar)</t>
  </si>
  <si>
    <t>DESCRIPCIÓN DE LA ESTRATEGIA DE REALIZACIÓN</t>
  </si>
  <si>
    <t>AMBIENTES/ÁREAS (1)</t>
  </si>
  <si>
    <t>DESCRIPCIÓN DE LA ESTRATEGIA PARA LA IMPLEMENTACIÓN DE LA EFSRT (2)</t>
  </si>
  <si>
    <t>LUGAR PARA EL DESARROLLO DE LA EFSRT</t>
  </si>
  <si>
    <t>Total horas (UD)</t>
  </si>
  <si>
    <t xml:space="preserve">Ayuda para verificar - f(x) criterios </t>
  </si>
  <si>
    <t>ORGANIZACIÓN DE LOS ELEMENTOS DEL MÓDULO</t>
  </si>
  <si>
    <t>FORMATO DE PROCESO - FORMULACIÓN DE CAPACIDADES E INDICADORES POR UNIDAD DE COMPETENCIA</t>
  </si>
  <si>
    <t>Experiencias formativas en situaciones reales de trabajo (ESRT)</t>
  </si>
  <si>
    <t>CÓDIGO MODULAR DEL CETPRO</t>
  </si>
  <si>
    <t>ANEXO Nº9 
PERFIL DE EGRESO CETPRO</t>
  </si>
  <si>
    <t>ANEXO Nº 8
PROGRAMA DE ESTUDIOS CETPRO</t>
  </si>
  <si>
    <t>ANEXO Nº10A
ITINERARIO FORMATIVO IES</t>
  </si>
  <si>
    <t>En el CETPRO</t>
  </si>
  <si>
    <t>PRESENCIAL</t>
  </si>
  <si>
    <t>1. Utiliza estrategias de escucha activa y asertiva en contextos sociales y laborales, sin estereotipos de género u otro.</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</si>
  <si>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</si>
  <si>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</si>
  <si>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</si>
  <si>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 Actúa con honestidad, honradez, integridad y ética en los múltiples roles que asume, fomentando una cultura transparente, orientada al bien común, en contextos sociales y laborales.</t>
  </si>
  <si>
    <t>2. Contribuye al establecimiento de relaciones justas, basadas en el respeto de los derechos de la persona y cumplimiento de las obligaciones y de las normas que aseguren una convivencia democrática.</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</si>
  <si>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</si>
  <si>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</si>
  <si>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1. Identifica sus fortalezas y debilidades, mostrando disposición a las recomendaciones y evaluaciones de los otros.</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</si>
  <si>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</si>
  <si>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</si>
  <si>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t>MÓDULO II: 
COCINA NACIONAL E INTERNACIONAL</t>
  </si>
  <si>
    <t>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t>
  </si>
  <si>
    <t>Utilizar</t>
  </si>
  <si>
    <t xml:space="preserve">Clasifica </t>
  </si>
  <si>
    <t xml:space="preserve">Explica </t>
  </si>
  <si>
    <t xml:space="preserve">Realizar </t>
  </si>
  <si>
    <t xml:space="preserve">Identifica </t>
  </si>
  <si>
    <t xml:space="preserve">Ejecutar </t>
  </si>
  <si>
    <t>Aplica</t>
  </si>
  <si>
    <t xml:space="preserve">Elabora </t>
  </si>
  <si>
    <t xml:space="preserve">las ideas principales del texto </t>
  </si>
  <si>
    <t>C1 I2</t>
  </si>
  <si>
    <t>formulando preguntas frente a aquello que no se entiende.</t>
  </si>
  <si>
    <t>C2 I2</t>
  </si>
  <si>
    <t>de manera responsable y técnica.</t>
  </si>
  <si>
    <t xml:space="preserve">Realiza </t>
  </si>
  <si>
    <t>Identifica</t>
  </si>
  <si>
    <t xml:space="preserve">Ejecuta </t>
  </si>
  <si>
    <t xml:space="preserve">Emplea </t>
  </si>
  <si>
    <t>Emplea</t>
  </si>
  <si>
    <t xml:space="preserve">una cultura ética, transparente y de anticorrupción en su contexto social y laboral </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</si>
  <si>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</si>
  <si>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r>
      <rPr>
        <b/>
        <sz val="9"/>
        <rFont val="Calibri"/>
        <family val="2"/>
        <scheme val="minor"/>
      </rPr>
      <t>De organización</t>
    </r>
    <r>
      <rPr>
        <sz val="9"/>
        <rFont val="Calibri"/>
        <family val="2"/>
        <scheme val="minor"/>
      </rPr>
      <t xml:space="preserve">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y la empresa/ institución. 
</t>
    </r>
    <r>
      <rPr>
        <b/>
        <sz val="9"/>
        <rFont val="Calibri"/>
        <family val="2"/>
        <scheme val="minor"/>
      </rPr>
      <t>De acompañamiento y Monitoreo</t>
    </r>
    <r>
      <rPr>
        <sz val="9"/>
        <rFont val="Calibri"/>
        <family val="2"/>
        <scheme val="minor"/>
      </rPr>
      <t xml:space="preserve">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r>
  </si>
  <si>
    <r>
      <rPr>
        <b/>
        <sz val="9"/>
        <rFont val="Calibri"/>
        <family val="2"/>
        <scheme val="minor"/>
      </rPr>
      <t>PROYECTOS PRODUCTIVOS DE BIENES Y SERVICIOS
De organización</t>
    </r>
    <r>
      <rPr>
        <sz val="9"/>
        <rFont val="Calibri"/>
        <family val="2"/>
        <scheme val="minor"/>
      </rPr>
      <t xml:space="preserve">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en coordinación con el Programa de estudios. 
</t>
    </r>
    <r>
      <rPr>
        <b/>
        <sz val="9"/>
        <rFont val="Calibri"/>
        <family val="2"/>
        <scheme val="minor"/>
      </rPr>
      <t>De acompañamiento y Monitoreo</t>
    </r>
    <r>
      <rPr>
        <sz val="9"/>
        <rFont val="Calibri"/>
        <family val="2"/>
        <scheme val="minor"/>
      </rPr>
      <t xml:space="preserve">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r>
  </si>
  <si>
    <t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</si>
  <si>
    <t>En taller del CETPRO</t>
  </si>
  <si>
    <t xml:space="preserve">Cocina del restaurant </t>
  </si>
  <si>
    <t>Actividades profesionales, científicas y técnicas</t>
  </si>
  <si>
    <t>Servicios prestados a empresas</t>
  </si>
  <si>
    <t>Actividades administrativas y de apoyo de oficina y otras actividades de
apoyo a las empresas</t>
  </si>
  <si>
    <t>APOYO ADMINISTRATIVO</t>
  </si>
  <si>
    <t>M2982-1-002</t>
  </si>
  <si>
    <t>AUXILIAR TÉCNICO</t>
  </si>
  <si>
    <t>UC1. Proveer información, según políticas y procedimientos de la organización, y normativa correspondiente.</t>
  </si>
  <si>
    <t>UC2. Procesar la documentación de las distintas áreas de la organización, en función a sus políticas y normativa correspondiente.</t>
  </si>
  <si>
    <t xml:space="preserve">UC3. Custodiar la documentación, según políticas  y procedimientos de la organización, y normativa correspondiente.
</t>
  </si>
  <si>
    <t>CE1 Comunicación efectiva.- Expresar  de manera clara los conceptos, ideas, sentimientos, hechos y opiniones en forma oral y escrita para comunicarse e interactuar con otras personas en contextos sociales y laborales diversos. (UD)</t>
  </si>
  <si>
    <t>CE2 Tecnologías de la información.- Manejar herramientas informáticas  de las TIC para buscar y analizar información, comunicarse y realizar procedimientos o tareas vinculadas al área profesional, de acuerdo a los requerimientos de su entorno laboral.(UD)</t>
  </si>
  <si>
    <t>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</si>
  <si>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 xml:space="preserve">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</si>
  <si>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CE5 Liderazgo personal y profesional.- Articular recursos y potencialidades de cada integrante de su equipo logrando un trabajo comprometido, colaborativo, creativo, ético, sensible a su contexto social y ambiente, en pro del bien común. (T)</t>
  </si>
  <si>
    <t>CE6 Cultura ambiental.- Convivir de manera ética, autónoma, responsable y sostenible, previniendo, reduciendo y controlando permanente y progresivamente los impactos ambientales. (T)</t>
  </si>
  <si>
    <t>Desarrolla su actividad en las siguientes áreas:
- Area administrativa.
- Área de atención al cliente o usuario.
- Área de archivo de documentos.
- Area administrativa de Call Center.
-Area de información 
-Area de recepción  
-Area de lógistica y almacén
-Mesa de partes
-Area de digitalización</t>
  </si>
  <si>
    <t>1. Recopila datos o documentación, según políticas, procedimientos, y normativa de la organización.</t>
  </si>
  <si>
    <t>2. Prepara datos o documentación, según políticas, procedimientos y normativa de la organización.</t>
  </si>
  <si>
    <t>3. Realiza el trámite de datos y documentos, según políticas, procedimientos y normativa de la organización.</t>
  </si>
  <si>
    <t>1. Recepciona y atiende los documentos, en función a los objetivos de la organización y procedimientos establecidos.</t>
  </si>
  <si>
    <t>2. Realiza actividades administrativas de apoyo2, en función de los objetivos de la organización y el área asignada.</t>
  </si>
  <si>
    <t>3. Atiende las comunicaciones y/o centro de atención virtual, en función a los objetivos de la organización y procedimientos establecidos.</t>
  </si>
  <si>
    <t>4. Atiende los consultas, según los procedimientos establecidos y normativa correspondiente.</t>
  </si>
  <si>
    <t>5. Revisa la información, en función a los requerimientos de la organización y procedimientos establecidos.</t>
  </si>
  <si>
    <t>1. Cataloga datos de los documentos, según políticas, procedimientos de la organización, y normativa correspondiente.</t>
  </si>
  <si>
    <t>2. Archiva los documentos, según políticas y procedimientos de la organización, y normativa correspondiente.</t>
  </si>
  <si>
    <t>UC1 Proveer información, según políticas y procedimientos de la organización, y normativa correspondiente.</t>
  </si>
  <si>
    <t>Organización del área de trabajo</t>
  </si>
  <si>
    <t>Redacción de documentos</t>
  </si>
  <si>
    <t>Trámite documentario</t>
  </si>
  <si>
    <t>Comunicación para el desarrollo personal y profesional</t>
  </si>
  <si>
    <t>Aplicaciones de herramientas informáticas</t>
  </si>
  <si>
    <r>
      <t xml:space="preserve">MÓDULO I:    </t>
    </r>
    <r>
      <rPr>
        <sz val="10"/>
        <color theme="1"/>
        <rFont val="Calibri"/>
        <family val="2"/>
        <scheme val="minor"/>
      </rPr>
      <t>REDACCIÓN Y TRÁMITE DOCUMENTARIO</t>
    </r>
  </si>
  <si>
    <t>UC2 Procesar la documentación de las distintas áreas de la organización, en función a sus políticas y normativa correspondiente.
UC3 Custodiar la documentación, según políticas  y procedimientos de la organización, y normativa correspondiente.</t>
  </si>
  <si>
    <t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t>
  </si>
  <si>
    <t>Organizar</t>
  </si>
  <si>
    <t>el área de trabajo, equipos y materiales</t>
  </si>
  <si>
    <t>teniendo en cuenta las normas de seguridad laboral y ambiental.</t>
  </si>
  <si>
    <t>C1 I1</t>
  </si>
  <si>
    <t>la estructura organizacional de  la empresa</t>
  </si>
  <si>
    <t>de acuerdo a los manuales internos de organización.</t>
  </si>
  <si>
    <t xml:space="preserve">los ambientes de trabajo, equipos y materiales </t>
  </si>
  <si>
    <t>tomando en cuenta sus características y funcionalidad.</t>
  </si>
  <si>
    <t>C1 I3</t>
  </si>
  <si>
    <t>Opera</t>
  </si>
  <si>
    <t>los equipos de oficina</t>
  </si>
  <si>
    <t>de acuerdo al manual de operaciones.</t>
  </si>
  <si>
    <t>C1 I4</t>
  </si>
  <si>
    <t>Realiza</t>
  </si>
  <si>
    <t xml:space="preserve">la organización del ambiente de trabajo, equipos y materiales, </t>
  </si>
  <si>
    <t xml:space="preserve">teniendo en cuenta las normas de seguridad e higiene y protocolos de bioseguridad </t>
  </si>
  <si>
    <t>Elaborar</t>
  </si>
  <si>
    <t>C2 I1</t>
  </si>
  <si>
    <t>los diverso tipos de documentos administrativos</t>
  </si>
  <si>
    <t>de acuerdo a las políticas y normativas de la organización.</t>
  </si>
  <si>
    <t>Redacta</t>
  </si>
  <si>
    <t xml:space="preserve">los documentos administrativos </t>
  </si>
  <si>
    <t>C2 I3</t>
  </si>
  <si>
    <t>C2 I4</t>
  </si>
  <si>
    <t>Verifica</t>
  </si>
  <si>
    <t>UC1 C2</t>
  </si>
  <si>
    <t>UC1 C1</t>
  </si>
  <si>
    <t>UC1 C3</t>
  </si>
  <si>
    <t xml:space="preserve">el trámite de datos y documentos, </t>
  </si>
  <si>
    <t>de acuerdo a los procedimientos, normativa vigente y políticas de la organización.</t>
  </si>
  <si>
    <t>C3 I1</t>
  </si>
  <si>
    <t>un diagrama de flujo documentario</t>
  </si>
  <si>
    <t>C3 I2</t>
  </si>
  <si>
    <t>Organiza</t>
  </si>
  <si>
    <t xml:space="preserve">el procedimiento de registro y recepción del flujo documentario </t>
  </si>
  <si>
    <t>C3 I3</t>
  </si>
  <si>
    <t>la organización y traslado de expedientes</t>
  </si>
  <si>
    <t>C3 I4</t>
  </si>
  <si>
    <t xml:space="preserve">Efectúa </t>
  </si>
  <si>
    <t>C3 I5</t>
  </si>
  <si>
    <t>Informa</t>
  </si>
  <si>
    <t xml:space="preserve">al usuario sobre el trámite documentario </t>
  </si>
  <si>
    <t>CE1 C1</t>
  </si>
  <si>
    <t>Comunicar</t>
  </si>
  <si>
    <t xml:space="preserve">conceptos, ideas, opiniones, sentimientos y hechos </t>
  </si>
  <si>
    <t>en forma oral en situaciones relacionadas a su entorno personal y profesional.</t>
  </si>
  <si>
    <t>C1  I1</t>
  </si>
  <si>
    <t xml:space="preserve">Participa </t>
  </si>
  <si>
    <t>en diálogos</t>
  </si>
  <si>
    <t>planteando sus opiniones, proponiendo ideas, compartiendo saberes y escuchando a los demás.</t>
  </si>
  <si>
    <t xml:space="preserve">
CE1 C2</t>
  </si>
  <si>
    <t>Transmitir</t>
  </si>
  <si>
    <t>conceptos, ideas, opiniones, sentimientos y hechos</t>
  </si>
  <si>
    <t>en forma escrita en situaciones relacionadas a su entorno social y laboral.</t>
  </si>
  <si>
    <t>C1  I2</t>
  </si>
  <si>
    <t xml:space="preserve">información de situaciones vinculadas a su entorno personal y laboral </t>
  </si>
  <si>
    <t>C2  I1</t>
  </si>
  <si>
    <t>utilizando estrategias de comprensión lectora.</t>
  </si>
  <si>
    <t>C2  I2</t>
  </si>
  <si>
    <t>Escribe</t>
  </si>
  <si>
    <t xml:space="preserve">textos y documentos variados </t>
  </si>
  <si>
    <t>con claridad, brevedad, cortesía, integridad, cohesión y corrección, considerando las etapas del proceso de redacción y la estructura de los documentos.</t>
  </si>
  <si>
    <t>CE2 C1</t>
  </si>
  <si>
    <t>aplicaciones y herramientas informáticas de las TIC</t>
  </si>
  <si>
    <t>aplicaciones de internet para publicar</t>
  </si>
  <si>
    <t>respetando la propiedad intelectual.</t>
  </si>
  <si>
    <t xml:space="preserve">
CE2 C2</t>
  </si>
  <si>
    <t>Emplear</t>
  </si>
  <si>
    <t xml:space="preserve">software </t>
  </si>
  <si>
    <t>en la realización de tareas y requerimientos vinculados a su programa de estudios.</t>
  </si>
  <si>
    <t>Maneja</t>
  </si>
  <si>
    <t>herramientas tecnológicas que permite a los usuarios interactuar y colaborar en la creación de documentos para mejorar el servicio de la empresa</t>
  </si>
  <si>
    <t>facilitando el trabajo colaborativo y las habilidades informáticas.</t>
  </si>
  <si>
    <t>procesador de textos</t>
  </si>
  <si>
    <t>en la elaboración de documentos, teniendo en cuenta los requerimientos del contexto laboral y los formatos vinculados a la normativa de la organización.</t>
  </si>
  <si>
    <t>la hoja de cálculo y presentaciones</t>
  </si>
  <si>
    <t>en la elaboración de base de datos y diapositivas, teniendo en cuenta los requerimientos del contexto laboral y los formatos vinculados a la normativa de la empresa.</t>
  </si>
  <si>
    <t>UC2 C1</t>
  </si>
  <si>
    <t>Realizar</t>
  </si>
  <si>
    <t>el procesamiento y transmisión de la información y/o documentación,</t>
  </si>
  <si>
    <t>teniendo en cuenta los medios adecuados,  la confiabilidad,  en función a los objetivos de la organización y procedimientos establecidos.</t>
  </si>
  <si>
    <t xml:space="preserve">el flujo de información </t>
  </si>
  <si>
    <t>en función a los objetivos de la organización y procedimientos establecidos.</t>
  </si>
  <si>
    <t xml:space="preserve">Procesa </t>
  </si>
  <si>
    <t xml:space="preserve">la información </t>
  </si>
  <si>
    <t>utilizando los medios electrónicos y digitales, teniendo en la confiabilidad  y procedimientos establecidos.</t>
  </si>
  <si>
    <t>Transmite</t>
  </si>
  <si>
    <t xml:space="preserve"> la información y/o documentación</t>
  </si>
  <si>
    <t xml:space="preserve">el control de la información </t>
  </si>
  <si>
    <t>UC2 C2</t>
  </si>
  <si>
    <t xml:space="preserve">actividades administrativas de apoyo2, </t>
  </si>
  <si>
    <t>en función de los objetivos de la organización, los procedimientos establecidos y el área asignada.</t>
  </si>
  <si>
    <t>Notifica</t>
  </si>
  <si>
    <t xml:space="preserve">la culminación del trámite  documentario  </t>
  </si>
  <si>
    <t xml:space="preserve">Digita </t>
  </si>
  <si>
    <t>los documentos administrativos y/o comerciales</t>
  </si>
  <si>
    <t>Imprime</t>
  </si>
  <si>
    <t>el fotocopiado los documentos administrativos y/o comerciales</t>
  </si>
  <si>
    <t>C2 I5</t>
  </si>
  <si>
    <t xml:space="preserve">el mantenimiento e higienes de los ambientes </t>
  </si>
  <si>
    <t>UC2 C3</t>
  </si>
  <si>
    <t>Atender</t>
  </si>
  <si>
    <t xml:space="preserve">las comunicaciones, consultas, y/o centro de atención virtual, </t>
  </si>
  <si>
    <t>utilizando los medios adecuados y protocolos de la organización.</t>
  </si>
  <si>
    <t xml:space="preserve">la tipología del cliente </t>
  </si>
  <si>
    <t xml:space="preserve">considerando las caracteríscas personales  y los protocolos de atención la organización </t>
  </si>
  <si>
    <t xml:space="preserve">Maneja </t>
  </si>
  <si>
    <t>los protocolos de atención al cliente</t>
  </si>
  <si>
    <t xml:space="preserve">según las políticas de la organización. </t>
  </si>
  <si>
    <t>Recibe</t>
  </si>
  <si>
    <t>las llamadas telefónicas</t>
  </si>
  <si>
    <t>teniendo en cuenta las normas de cortesía.</t>
  </si>
  <si>
    <t>de acuerdo los protocolos establecidos y en función  a los objetivos de la organización.</t>
  </si>
  <si>
    <t>la atención al cliente</t>
  </si>
  <si>
    <t>considerando la imagen y protocolos de la organización.</t>
  </si>
  <si>
    <t>UC2 C4</t>
  </si>
  <si>
    <t xml:space="preserve">la revisisón de información y/o documentación </t>
  </si>
  <si>
    <t>en función a los requerimientos de la organización y procedimientos establecidos.</t>
  </si>
  <si>
    <t>la documentación (recibida y remitida) y la atención brindada</t>
  </si>
  <si>
    <t xml:space="preserve">según los procedimientos y  políticas de la organización. </t>
  </si>
  <si>
    <t>Revisa</t>
  </si>
  <si>
    <t xml:space="preserve">la información y/o documentación </t>
  </si>
  <si>
    <t xml:space="preserve">el registro de la atención brindada </t>
  </si>
  <si>
    <t>UC3 C1</t>
  </si>
  <si>
    <t xml:space="preserve">Organizar </t>
  </si>
  <si>
    <t>el sistema de gestión de archivos</t>
  </si>
  <si>
    <t>según políticas de la organización y normativa vigente.</t>
  </si>
  <si>
    <t>el sistema de gestión de archivos, tipos y características del sistema de archivo y flujo de archivos de gestión</t>
  </si>
  <si>
    <t>según políticas de la organización.</t>
  </si>
  <si>
    <t>UC3 C2</t>
  </si>
  <si>
    <t>la clasificación de documentos</t>
  </si>
  <si>
    <t xml:space="preserve">los equipos y materiales, elementos de bioseguridad </t>
  </si>
  <si>
    <t>empleados en los sistemas de archivos</t>
  </si>
  <si>
    <t>Utiliza</t>
  </si>
  <si>
    <t>los equipos y materiales</t>
  </si>
  <si>
    <t>para un determinado sistema de archivo según los requerimientos de la organización.</t>
  </si>
  <si>
    <t xml:space="preserve">la organización del sistema de gestión de archivo </t>
  </si>
  <si>
    <t xml:space="preserve">aplicando normas de bioseguridad. </t>
  </si>
  <si>
    <t xml:space="preserve">la identificación y ordenamiento de la documentación </t>
  </si>
  <si>
    <t>Codifica</t>
  </si>
  <si>
    <t>la documentación y/o archivos</t>
  </si>
  <si>
    <t>según el sistema de archivo de la organización y normativa vigente.</t>
  </si>
  <si>
    <t>UC3 C3</t>
  </si>
  <si>
    <t>Archivar</t>
  </si>
  <si>
    <t xml:space="preserve">los documentos de gestión </t>
  </si>
  <si>
    <t xml:space="preserve">Rotula </t>
  </si>
  <si>
    <t>UC3 C4</t>
  </si>
  <si>
    <t>el empastado o cocido de achivos documentarios</t>
  </si>
  <si>
    <t>de acuerdo a los procedimientos de la organización.</t>
  </si>
  <si>
    <t>el archivo, mantenimiento y conservación de los documentos</t>
  </si>
  <si>
    <t>Archiva</t>
  </si>
  <si>
    <t>teniendo en cuenta los criterios establecidos en la organización.</t>
  </si>
  <si>
    <t>la consulta y localización de los documentos</t>
  </si>
  <si>
    <t>teniendo en cuenta la información almacenada.</t>
  </si>
  <si>
    <t>C4 I1</t>
  </si>
  <si>
    <t>Explica</t>
  </si>
  <si>
    <t>el procedimiento de conservación y mantenimiento de los archivos documentarios</t>
  </si>
  <si>
    <t>C4 I2</t>
  </si>
  <si>
    <t>CE3 C1</t>
  </si>
  <si>
    <t>metodologías para identificar oportunidades de negocio</t>
  </si>
  <si>
    <t xml:space="preserve">tomando en cuenta el programa de estudios y las necesidades del mercado. </t>
  </si>
  <si>
    <t>Describe</t>
  </si>
  <si>
    <t>las metodologías del emprendimiento y la innovación a utilizarse</t>
  </si>
  <si>
    <t>de acuerdo al proceso de elaboración del plan de negocio.</t>
  </si>
  <si>
    <t xml:space="preserve">
CE3 C2</t>
  </si>
  <si>
    <t>Formular</t>
  </si>
  <si>
    <t xml:space="preserve">planes de negocio innovadores vinculados al programa de estudio </t>
  </si>
  <si>
    <t>considerando un proceso metodológico que genere valor, sea sostenible y preserve el ambiente.</t>
  </si>
  <si>
    <t>métodos y técnicas para identificar oportunidades de negocios innovadores</t>
  </si>
  <si>
    <t xml:space="preserve">según el programa de estudios y las necesidades del mercado. </t>
  </si>
  <si>
    <t>estrategias de marketing</t>
  </si>
  <si>
    <t>CE4 C1</t>
  </si>
  <si>
    <t>Practicar</t>
  </si>
  <si>
    <t>las relaciones interpersonales democráticas,</t>
  </si>
  <si>
    <t>teniendo en cuenta los principios y valores éticos, la dignidad de las personas, la convivencia social y la gestión efectiva de los conflictos en su contexto social y laboral.</t>
  </si>
  <si>
    <t>Ejerce</t>
  </si>
  <si>
    <t>los principios de la democracia</t>
  </si>
  <si>
    <t>tomando en cuenta la optimización de sus relaciones interpersonales.</t>
  </si>
  <si>
    <t>CE4 C2</t>
  </si>
  <si>
    <t>Promover</t>
  </si>
  <si>
    <t xml:space="preserve">fomentando el bien común, la diversidad y la dignidad de las personas.    </t>
  </si>
  <si>
    <t xml:space="preserve">valores éticos </t>
  </si>
  <si>
    <t>en el marco de sus relaciones laborales.</t>
  </si>
  <si>
    <t>Actúa</t>
  </si>
  <si>
    <t xml:space="preserve">de manera ética </t>
  </si>
  <si>
    <t>desde los múltiples roles que asume en su vida cotidiana y laboral fomentando una cultura transparente y de anticorrupción, orientada al bien común y a la ética profesional.</t>
  </si>
  <si>
    <t xml:space="preserve">un código de ética </t>
  </si>
  <si>
    <t xml:space="preserve">para su quehacer laboral orientado al bien común y a la dignidad de las personas. </t>
  </si>
  <si>
    <t>Taller del programa       "Apoyo administrativo"</t>
  </si>
  <si>
    <t>Recepción y procesamiento de la información</t>
  </si>
  <si>
    <t xml:space="preserve">Actividades administrativas </t>
  </si>
  <si>
    <t>Atención al público</t>
  </si>
  <si>
    <t>Control y registro documentario</t>
  </si>
  <si>
    <t>Organización del sistema de gestión de archivos</t>
  </si>
  <si>
    <t>Plan de Negocios</t>
  </si>
  <si>
    <t>Comportamiento ético</t>
  </si>
  <si>
    <t xml:space="preserve">Empresa. Tipos de Empresa. 
Instituciones gubernamentales, no gubernamentales.- Estructura organizacional:
 - Organigramas, tipos.  
</t>
  </si>
  <si>
    <r>
      <t xml:space="preserve"> -  Organización del ambiente, muebles, equipos, herramientas y materiales.
 - normas de seguridad laboral y ambiental.
 - La PC, aplicaciones y dispositivos.
 - Entorno Windows.
 - Herramientas digitales.
</t>
    </r>
    <r>
      <rPr>
        <sz val="9"/>
        <color indexed="10"/>
        <rFont val="Calibri"/>
        <family val="2"/>
      </rPr>
      <t xml:space="preserve">
</t>
    </r>
    <r>
      <rPr>
        <sz val="9"/>
        <rFont val="Calibri"/>
        <family val="2"/>
      </rPr>
      <t xml:space="preserve">  </t>
    </r>
  </si>
  <si>
    <t xml:space="preserve">Equipo manuales. Tipos. Características. Funcionalidad.
Equipos electrónicos. Tipos. Características. Funcionalidad.
</t>
  </si>
  <si>
    <t xml:space="preserve">Diagrama de flujo documentario según el tipo de organización
Ley 27444, Ley del Procedimiento Administativo General 
Orientación del sistema de trámite documentario en línea
</t>
  </si>
  <si>
    <t xml:space="preserve"> - Lectura y estrategias de comprensión lectora
</t>
  </si>
  <si>
    <t xml:space="preserve"> - Internet.
 - Navegadores.
 - Aplicaciones.
 - Derechos intelectuales.</t>
  </si>
  <si>
    <t xml:space="preserve"> - Herramientas web.
 - Redes sociales.
 - Correos electrónicos. 
 - Comunidades de aprendizaje.</t>
  </si>
  <si>
    <t xml:space="preserve"> - Procesador de textos.
   * Configuración. 
  * Formatos.
  * Impresión.</t>
  </si>
  <si>
    <t>Hojas de cálculo
 - Configuración.
 - Herramientas.
 - Formatos 
Presentador de diapositivas
- Configuración. 
- Herramientas.
- Animación y transición.</t>
  </si>
  <si>
    <t>CE5  Liderazgo Personal y Profesional:
 Articular recursos y potencialidades de cada integrante de su equipo logrando un trabajo comprometido, colaborativo, creativo, ético, sensible a su contexto social y ambiente, en pro del bien común.</t>
  </si>
  <si>
    <t>CE6  Cultura ambiental.- Convivir de manera ética, autónoma, responsable y sostenible, previniendo, reduciendo y controlando permanente y progresivamente los impactos ambientales.</t>
  </si>
  <si>
    <t xml:space="preserve">CE5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CE6 Cultura Ambiental:
1. Establecer como política institucional la práctica de la cultura ambiental, buscando el punto de equilibrio entre las actividades humanas y el medio ambiente. 
2. Implementar normas institucionales para laS buenas práctica educativas   manera paulatina. </t>
  </si>
  <si>
    <t>Oficina administrativa</t>
  </si>
  <si>
    <t>Ejemplo:
- Oficinas administrativas.
- Área de atención al cliente.
- Área de archivo de documentos.
- Call Center.
- Mesa de partes.
- Digitación.</t>
  </si>
  <si>
    <t xml:space="preserve"> - Flujo de la información
 - Tratamiento de la información de salida.
 - Protocolos de bioseguridad.
 - Confiabilidad
 -Confidencialidad</t>
  </si>
  <si>
    <t xml:space="preserve">Procesamiento de documentos
Operaciones con el sotfwar especializado.
</t>
  </si>
  <si>
    <t xml:space="preserve">Distribución interna y externa de las comunicaciones. 
Formatos de transmisión.
Proveido/nota de proveido.
Hoja de ruta
</t>
  </si>
  <si>
    <t xml:space="preserve">Procedimientos para el control de la información
Elaboración de la estructura de almacenamiento.
Formatos para la impresión.
Comunicación  de la información </t>
  </si>
  <si>
    <t xml:space="preserve">.Notificaciones administrativas. Tipo de notificaciones.
.Procedimiento de notificaciones:
-Organización de documentación según el lugar de entrega
-Registro de la notificación
-Entrega de la fichas de notificaciones
-Informe diario de noticiaciones
-Culminación del trámite  </t>
  </si>
  <si>
    <t xml:space="preserve">Técnicas de digitación. Importancia.
Prácticas de digitación.
Scaner. Operación de scaner. </t>
  </si>
  <si>
    <t xml:space="preserve"> Impresiones. Características. funcionalidad.
Operaciones de impresiones</t>
  </si>
  <si>
    <t>Fotocopiadoras. Características. funcionalidad.
Operaciones de fotocopiado</t>
  </si>
  <si>
    <t>Normas de higiene y salud laboral
Mantenimineto de los ambientes</t>
  </si>
  <si>
    <t>Normas técnicas para la gestión de calidad para el servicio al cliente. 
Protocolos de la comunicación de la empresa.
Aplicación de protocolos.
Agendar y confirmar citas.</t>
  </si>
  <si>
    <t>Uso del teléfono.
Atención de llamadas telefónicas.
Registro de llamadas.
Aplicación de protocolos de la comunicación de la empresa.(Cualidades de la voz. Cortesías telefónicas)
Asertividad en el tratamiento de la información vía telefónica.</t>
  </si>
  <si>
    <t xml:space="preserve">Técnicas de comunicación.
Medios de comunicación. </t>
  </si>
  <si>
    <t xml:space="preserve"> - Resolución de conflictos.
 - Objeción de los clientes.
 - Libro de reclamaciones.
 - Negociación con los clientes.</t>
  </si>
  <si>
    <t>Clasificación de los documentos recepcionados y remitidos. 
Métodos y técnicas de clasificación.</t>
  </si>
  <si>
    <t xml:space="preserve"> Manual de organización y funciones.
 Manual de procedimientos administrativos. Flujograma. 
 Reglamento interno de la organización.
TUPA
</t>
  </si>
  <si>
    <r>
      <t xml:space="preserve">Registro de información.  
</t>
    </r>
    <r>
      <rPr>
        <sz val="9"/>
        <rFont val="Calibri"/>
        <family val="2"/>
      </rPr>
      <t>Base de datos.</t>
    </r>
  </si>
  <si>
    <t xml:space="preserve"> Sistema de gestión de archivos.
Características de sistema de gestión de archivo. 
Flujo de archivos de gestión. 
Sistema Nacional de Archivos (SNA).</t>
  </si>
  <si>
    <t xml:space="preserve"> 
Equipos, materiales y herramientas de archivo. 
Elementos de bioseguridad
Métodos de archivo.</t>
  </si>
  <si>
    <t xml:space="preserve">Equipos, materiales y herramientas de archivo. Tipos, características y funcionalidad. 
Seguridad y control de equipos, materiales y herramientas de archivo.
</t>
  </si>
  <si>
    <t xml:space="preserve">
Identificación de agentes noscivos para la salud.
Normas de bioseguridad.
</t>
  </si>
  <si>
    <t>Clasificación de los archivos por ciclo de vida.
Políticas institucionales de conservación de los archivos documentario.</t>
  </si>
  <si>
    <t>Técnicas de codificación de la documentación y/ archivos</t>
  </si>
  <si>
    <t>Técnicas de foliación de archivos
Técnica de depuración de archivos.</t>
  </si>
  <si>
    <t>Técnicas de rotulación de documentos y archivos.
Organización de documentos por áreas.
Formulario de ingreso y salida de documentos.</t>
  </si>
  <si>
    <t xml:space="preserve">Técnicas para el empastado y cocido.
</t>
  </si>
  <si>
    <t xml:space="preserve">Criterios técnicos para el archivo documentario. 
Archivo documentario. 
</t>
  </si>
  <si>
    <t>Técnicas de conservación y mantenimiento de archivos.
Normas de seguridad e higiene documentaria. 
Mantenimiento preventivo de conservación de los archivos.</t>
  </si>
  <si>
    <t>Prácticas de conservación y mantenimiento de los archivos documentarios.</t>
  </si>
  <si>
    <r>
      <rPr>
        <sz val="9"/>
        <rFont val="Calibri"/>
        <family val="2"/>
        <scheme val="minor"/>
      </rPr>
      <t>Búsqueda de los documentos.</t>
    </r>
    <r>
      <rPr>
        <u/>
        <sz val="9"/>
        <rFont val="Calibri"/>
        <family val="2"/>
        <scheme val="minor"/>
      </rPr>
      <t xml:space="preserve">
</t>
    </r>
    <r>
      <rPr>
        <sz val="9"/>
        <rFont val="Calibri"/>
        <family val="2"/>
      </rPr>
      <t>Registro de préstamo de documentos. 
Transferencia física y/o digital de documentos.
Devolución de archivos documentario</t>
    </r>
  </si>
  <si>
    <t xml:space="preserve"> - Relaciones interpersonales en democracia.
 * Vivir en democracia para el desarrollo personal y profesional.
 * Normas de convivencia y relaciones laborales.
 * Respeto y valoracion de la opinión de sus compañeros y con los demás.
 *  Resolución de conflictos.
 *  Trabajo en equipo.
</t>
  </si>
  <si>
    <t xml:space="preserve"> - Valores para el desarrollo profesional: 
  * Puntualidad.
 * Honestidad.
 * Solidaridad y bien comun. 
 * Lealtad.
 * Responsabilidad.
 * Perseverancia.
 * Tolerancia.
* Proactividad.
 - Casos aplicativos.</t>
  </si>
  <si>
    <t xml:space="preserve"> - Corrupción: 
  * Concepto.
  * Formas.
  * Niveles.
 - Cultura de transparencia.
 - Relación con los principios eticos, causas y consecuencias de la corrupción.
 - Casos aplicativos. 
</t>
  </si>
  <si>
    <t xml:space="preserve"> - Código de ética.
 - Casos aplicativos.</t>
  </si>
  <si>
    <t xml:space="preserve">Taller de programa apoyo administrativo.
Estrategia: proyectos productivos.
De organización
PROYECTOS PRODUCTIVOS DE BIENES Y SERVICIOS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</si>
  <si>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</si>
  <si>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t>Oficina Administrativa</t>
  </si>
  <si>
    <t>Archivos, mantenimiento y conservación de documentos</t>
  </si>
  <si>
    <r>
      <t>la foliación y/</t>
    </r>
    <r>
      <rPr>
        <sz val="10"/>
        <rFont val="Calibri"/>
        <family val="2"/>
      </rPr>
      <t xml:space="preserve">o depuración de la documentación </t>
    </r>
  </si>
  <si>
    <r>
      <t>según el sistema de archivo</t>
    </r>
    <r>
      <rPr>
        <sz val="10"/>
        <rFont val="Calibri"/>
        <family val="2"/>
      </rPr>
      <t xml:space="preserve">  de la organización y normativa vigente.</t>
    </r>
  </si>
  <si>
    <t>documentos administrativos y/o mercantiles</t>
  </si>
  <si>
    <t>el llenado de los documentos administrativos y/o mercantiles</t>
  </si>
  <si>
    <t>la calidad de los documentos administrativos y/o mercantiles</t>
  </si>
  <si>
    <t xml:space="preserve">Documento  empresarial.
Comprobantes de pago: 
Boleta, recibo por  honorarios profesionales, factura, 
guías de remisión.
Nota de pedido de compra y venta.
FUT
</t>
  </si>
  <si>
    <t>aplicando las técnicas de redacción, reglas ortográficas y gramaticales, de acuerdo a las políticas y normativas de la organización.</t>
  </si>
  <si>
    <t>aplicando reglas ortográficas y gramaticales, de acuerdo a las políticas y normativas de la organización.</t>
  </si>
  <si>
    <t xml:space="preserve">de  acuerdo a las características y estructuras de las mismas, aplicando técnicas de redacción, reglas ortográficas y gramaticales . </t>
  </si>
  <si>
    <t>Técnicas de redacción. 
Reglas ortográficas y gramaticales
Redacción de documentos administrativos
Combinar correspondencia.
Impresión de documentos</t>
  </si>
  <si>
    <t>de acuerdo a la información correspondiente, aplicando reglas ortográficas y gramaticales.</t>
  </si>
  <si>
    <t xml:space="preserve">Técnicas de revisión de documentos
Prácticas de revisión de documentos </t>
  </si>
  <si>
    <t xml:space="preserve">Registro de ingreso y salida de documentos.
Hoja de envío y hoja de ruta
</t>
  </si>
  <si>
    <t>el control del traslado de los expedientes y/o documentos</t>
  </si>
  <si>
    <t>Hoja, cuaderno o registro de control de cargo
Formato digital de control del traslado documentario</t>
  </si>
  <si>
    <t>la identificación del mensaje recibido y la transmisión del mismo</t>
  </si>
  <si>
    <t>MÓDULO II: PROCESAMIENTO Y ARCHIVO DOCUMENTARIO</t>
  </si>
  <si>
    <t xml:space="preserve">Distribución de equipos, materiales en el ambiente de trabajo 
Señalización
Normas de seguridad e higiene
Protocolos de bioseguridad
</t>
  </si>
  <si>
    <t xml:space="preserve">Documentos administrativos. Tipos
Estructuras y diseños de documentos administrativos
Carta, oficio, certificados, constancias, informes, memorándums, actas, avisos, solicitudes, entre otros.
 </t>
  </si>
  <si>
    <t xml:space="preserve">Sistema de gestión administrativa
Procedimiento de Recepción documentario
Procedimiento de Registro documentario
Prodimientos de Tramitación 
Procedimientos de notificación y  entrega del documento.
</t>
  </si>
  <si>
    <t xml:space="preserve"> Cliente. Tipología del cliente. 
Atención al cliente. Características de atención. Importancia.
Protocolos de atención al cliente. 
</t>
  </si>
  <si>
    <t xml:space="preserve">El Auxiliar Técnico de Apoyo administrativo es capaz de proveer información, procesar documentación de las distintas áreas de la organización, custodiar la documentación, según políticas  y procedimientos de la organización, y normativa correspondiente. Asimismo, se comunica con otros en forma efectiva, busca y analiza información  haciendo uso de herramientas informáticas, desarrolla y lidera proyectos o negocios que generen valor y sean sostenibles; estableciendo relaciones con respeto y justicia en el ámbito personal y colectivo, contribuyendo a una convivencia democrática, orientada al bien común, promoviendo prácticas orientadas al cuidado del medio ambiente.  </t>
  </si>
  <si>
    <t>C4 I3</t>
  </si>
  <si>
    <t xml:space="preserve">CETPRO JUANJUI </t>
  </si>
  <si>
    <t>AUXILIAR TECNICO</t>
  </si>
  <si>
    <t>0533836</t>
  </si>
  <si>
    <t>Ea</t>
  </si>
  <si>
    <t xml:space="preserve">aneja </t>
  </si>
  <si>
    <t xml:space="preserve">3. Maneja estrategias de marketing, ventas y atención y servicio al cliente para la sosteniblidad y escalamiento de su emprendimiento. </t>
  </si>
  <si>
    <r>
      <t xml:space="preserve">1. Identifica </t>
    </r>
    <r>
      <rPr>
        <sz val="9"/>
        <color theme="1"/>
        <rFont val="Calibri"/>
        <family val="2"/>
      </rPr>
      <t>oportunidades que generen ideas de proyectos o negocios nuevos, mejoras en procesos, productos o servicios ya existentes, de manera ética, utilizando metodologías que promuevan la creatividad e innovación.</t>
    </r>
  </si>
  <si>
    <r>
      <t xml:space="preserve">2.  </t>
    </r>
    <r>
      <rPr>
        <sz val="9"/>
        <rFont val="Calibri"/>
        <family val="2"/>
      </rPr>
      <t>Elabora</t>
    </r>
    <r>
      <rPr>
        <sz val="9"/>
        <color rgb="FFFF0000"/>
        <rFont val="Calibri"/>
        <family val="2"/>
      </rPr>
      <t xml:space="preserve"> </t>
    </r>
    <r>
      <rPr>
        <sz val="9"/>
        <color theme="1"/>
        <rFont val="Calibri"/>
        <family val="2"/>
      </rPr>
      <t xml:space="preserve">el plan de acción del emprendimiento, asumiendo su rol de liderazgo y tomando en cuenta principios éticos, obligaciones tributarias y contables, normas establecidas para la protección de la propiedad. </t>
    </r>
  </si>
  <si>
    <t>2. Expresa de manera clara conceptos, ideas, sentimientos y hechos en forma oral y escrita, de manera empatica e inclusiva, a través de distintos medios, incluyendo los medios virtuales, utilizando el lenguaje de acuerdo a los contextos sociales y laborales, sin estereotipos de género u otro.</t>
  </si>
  <si>
    <t xml:space="preserve">2. Comprende los tipos de corrupción y sus implicanacias acorde a la legislación vigente. </t>
  </si>
  <si>
    <t>3 Establece relaciones justas, basadas en el respeto de los derechos de la persona y cumplimiento de las obligaciones y de las normas que aseguren una convivencia democrática.</t>
  </si>
  <si>
    <t>2. Demuestra valores de  una cultura organizacional de respeto por la dignidad de la persona y la equidad.</t>
  </si>
  <si>
    <t>3. Desarrolla acciones eco-eficientes con conciencia ambiental, como el reciclaje, el uso eficiente de la energía y de los recursos naturales desde la perspectiva del cambio climático, de acuerdo a su contexto social y laboral.</t>
  </si>
  <si>
    <t xml:space="preserve"> - Ortografía y redacción de documentos. </t>
  </si>
  <si>
    <t xml:space="preserve"> - Presentaciones orales académicas.
 - Comunicación persuasiva al cliente.
 - Técnicas de presentación.</t>
  </si>
  <si>
    <t xml:space="preserve"> </t>
  </si>
  <si>
    <t>de acuerdo a la idea de negocio definida que genere valor y conserve el ambiente.</t>
  </si>
  <si>
    <t xml:space="preserve"> - Estrategias marketing (publicidad y promoción).
- Estrategias de venta (producto, precio y venta).                    -Estrategias de atención y servicio al cliente.   
- Estrategias para el cuidado del ambiente.</t>
  </si>
  <si>
    <t xml:space="preserve"> - Estructura de un perfil de negocios.
 - Definición de los objetivos
 - Visión y Misión del negocio.
 - FODA
- Elaboracion del perfil de negocio </t>
  </si>
  <si>
    <t>TECNICO PROFESIONAL EN ADMINISTRACION DE EMPRESAS, CONTABILIDAD Y PROFESIONAL EN PEDAGOGIA</t>
  </si>
  <si>
    <t xml:space="preserve"> - Elementos y proceso de la comunicación.
 - Tipos de comunicación.
 - Asertividad en la comunicación.
 - Inferencias e interpretación del discurso oral.
 - Estrategias de escucha activa.                                                                                                 - Expresión oral y corporal</t>
  </si>
  <si>
    <t xml:space="preserve"> - Capacidades emprendedoras.                                                 
 - Identificacion de la oportunidad                                                      - observacion.                                                                         - Entrevistas y casos de éxito                                                                                 - Tecnicas de ideacion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</si>
</sst>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sz val="10"/>
      <color rgb="FFBDDEFF"/>
      <name val="Calibri"/>
      <family val="2"/>
      <scheme val="minor"/>
    </font>
    <font>
      <sz val="9"/>
      <color theme="1"/>
      <name val="Calibri"/>
      <family val="2"/>
    </font>
    <font>
      <sz val="9"/>
      <color rgb="FFFF0000"/>
      <name val="Calibri"/>
      <family val="2"/>
      <scheme val="minor"/>
    </font>
    <font>
      <sz val="8"/>
      <name val="Calibri"/>
      <family val="2"/>
      <scheme val="minor"/>
    </font>
    <font>
      <b/>
      <sz val="8"/>
      <color theme="0"/>
      <name val="Calibri"/>
      <family val="2"/>
      <scheme val="minor"/>
    </font>
    <font>
      <sz val="9"/>
      <name val="Calibri"/>
      <family val="2"/>
    </font>
    <font>
      <sz val="10"/>
      <color rgb="FFFF0000"/>
      <name val="Calibri"/>
      <family val="2"/>
      <scheme val="minor"/>
    </font>
    <font>
      <sz val="10"/>
      <color rgb="FF00B050"/>
      <name val="Calibri"/>
      <family val="2"/>
      <scheme val="minor"/>
    </font>
    <font>
      <sz val="9"/>
      <color indexed="10"/>
      <name val="Calibri"/>
      <family val="2"/>
    </font>
    <font>
      <u/>
      <sz val="9"/>
      <name val="Calibri"/>
      <family val="2"/>
      <scheme val="minor"/>
    </font>
    <font>
      <sz val="10"/>
      <name val="Calibri"/>
      <family val="2"/>
    </font>
    <font>
      <sz val="9"/>
      <color rgb="FFFF0000"/>
      <name val="Calibri"/>
      <family val="2"/>
    </font>
    <font>
      <b/>
      <sz val="11"/>
      <color theme="1"/>
      <name val="Calibri"/>
      <family val="2"/>
      <scheme val="minor"/>
    </font>
    <font>
      <sz val="11"/>
      <color theme="1"/>
      <name val="Calibri"/>
      <family val="2"/>
    </font>
    <font>
      <b/>
      <sz val="11"/>
      <color theme="1"/>
      <name val="Calibri"/>
      <family val="2"/>
    </font>
    <font>
      <sz val="12"/>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s>
  <borders count="68">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style="thin">
        <color theme="0" tint="-0.34998626667073579"/>
      </right>
      <top/>
      <bottom style="thin">
        <color indexed="64"/>
      </bottom>
      <diagonal/>
    </border>
    <border>
      <left/>
      <right style="thin">
        <color indexed="64"/>
      </right>
      <top style="thin">
        <color theme="0" tint="-0.34998626667073579"/>
      </top>
      <bottom/>
      <diagonal/>
    </border>
    <border>
      <left/>
      <right style="thin">
        <color indexed="64"/>
      </right>
      <top/>
      <bottom/>
      <diagonal/>
    </border>
    <border>
      <left style="thin">
        <color theme="0" tint="-0.499984740745262"/>
      </left>
      <right style="thin">
        <color indexed="64"/>
      </right>
      <top style="thin">
        <color theme="0" tint="-0.499984740745262"/>
      </top>
      <bottom/>
      <diagonal/>
    </border>
    <border>
      <left style="thin">
        <color indexed="64"/>
      </left>
      <right style="thin">
        <color indexed="64"/>
      </right>
      <top style="thin">
        <color theme="0" tint="-0.499984740745262"/>
      </top>
      <bottom/>
      <diagonal/>
    </border>
    <border>
      <left style="thin">
        <color indexed="64"/>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bottom/>
      <diagonal/>
    </border>
    <border>
      <left style="thin">
        <color theme="0" tint="-0.499984740745262"/>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thin">
        <color indexed="64"/>
      </left>
      <right style="thin">
        <color indexed="64"/>
      </right>
      <top style="thin">
        <color indexed="64"/>
      </top>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563">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2" fillId="0" borderId="0" xfId="0" applyFont="1" applyAlignment="1" applyProtection="1">
      <alignment wrapText="1"/>
      <protection hidden="1"/>
    </xf>
    <xf numFmtId="0" fontId="1" fillId="0" borderId="0" xfId="0" applyFont="1" applyAlignment="1" applyProtection="1">
      <alignment wrapText="1"/>
      <protection hidden="1"/>
    </xf>
    <xf numFmtId="0" fontId="1" fillId="0" borderId="0" xfId="0" applyFont="1" applyProtection="1">
      <protection hidden="1"/>
    </xf>
    <xf numFmtId="0" fontId="12" fillId="0" borderId="0" xfId="0" applyFont="1" applyAlignment="1" applyProtection="1">
      <alignment vertical="center" wrapText="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6"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horizontal="left"/>
      <protection hidden="1"/>
    </xf>
    <xf numFmtId="0" fontId="7" fillId="2" borderId="0" xfId="0" applyFont="1" applyFill="1" applyAlignment="1" applyProtection="1">
      <alignment horizontal="left" wrapText="1"/>
      <protection hidden="1"/>
    </xf>
    <xf numFmtId="0" fontId="6" fillId="0" borderId="0" xfId="0" applyFont="1" applyAlignment="1" applyProtection="1">
      <alignment horizontal="center"/>
      <protection hidden="1"/>
    </xf>
    <xf numFmtId="0" fontId="6" fillId="2" borderId="0" xfId="0" applyFont="1" applyFill="1" applyAlignment="1" applyProtection="1">
      <alignment horizontal="center"/>
      <protection hidden="1"/>
    </xf>
    <xf numFmtId="0" fontId="3" fillId="2" borderId="0" xfId="0" applyFont="1" applyFill="1" applyProtection="1">
      <protection hidden="1"/>
    </xf>
    <xf numFmtId="0" fontId="7" fillId="0" borderId="0" xfId="0" applyFont="1" applyAlignment="1" applyProtection="1">
      <alignment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1" borderId="0" xfId="0" applyFont="1" applyFill="1" applyAlignment="1" applyProtection="1">
      <alignment horizontal="center" wrapText="1"/>
      <protection locked="0"/>
    </xf>
    <xf numFmtId="0" fontId="5" fillId="2" borderId="15"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17" fillId="14" borderId="0" xfId="0" applyFont="1" applyFill="1" applyProtection="1">
      <protection hidden="1"/>
    </xf>
    <xf numFmtId="0" fontId="23" fillId="0" borderId="0" xfId="0" applyFont="1" applyProtection="1">
      <protection locked="0"/>
    </xf>
    <xf numFmtId="0" fontId="14" fillId="0" borderId="0" xfId="0" applyFont="1" applyProtection="1">
      <protection locked="0"/>
    </xf>
    <xf numFmtId="0" fontId="14" fillId="0" borderId="0" xfId="0" applyFont="1" applyProtection="1">
      <protection hidden="1"/>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13" borderId="11" xfId="0" applyFont="1" applyFill="1" applyBorder="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12" borderId="11" xfId="0" applyFont="1" applyFill="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Protection="1">
      <protection hidden="1"/>
    </xf>
    <xf numFmtId="0" fontId="1" fillId="10" borderId="0" xfId="0" applyFont="1" applyFill="1" applyAlignment="1" applyProtection="1">
      <alignment horizontal="left"/>
      <protection locked="0"/>
    </xf>
    <xf numFmtId="0" fontId="1" fillId="10" borderId="0" xfId="0" applyFont="1" applyFill="1" applyProtection="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15" fillId="14" borderId="34" xfId="0" applyFont="1" applyFill="1" applyBorder="1" applyAlignment="1" applyProtection="1">
      <alignment vertical="center"/>
      <protection hidden="1"/>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49" fontId="5" fillId="2" borderId="15" xfId="0" applyNumberFormat="1"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7" fillId="2" borderId="14" xfId="0" applyFont="1" applyFill="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7" fillId="2" borderId="35" xfId="0" applyFont="1" applyFill="1" applyBorder="1" applyAlignment="1" applyProtection="1">
      <alignment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8" borderId="0" xfId="0" applyFont="1" applyFill="1" applyAlignment="1" applyProtection="1">
      <alignment horizontal="center" vertical="center" wrapText="1"/>
      <protection hidden="1"/>
    </xf>
    <xf numFmtId="0" fontId="15" fillId="14" borderId="0" xfId="0" applyFont="1" applyFill="1" applyAlignment="1" applyProtection="1">
      <alignment horizontal="center" vertical="center" wrapText="1"/>
      <protection locked="0"/>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29" fillId="29" borderId="30" xfId="0" applyFont="1" applyFill="1" applyBorder="1" applyAlignment="1" applyProtection="1">
      <alignment horizontal="center" vertical="center"/>
      <protection hidden="1"/>
    </xf>
    <xf numFmtId="0" fontId="11" fillId="29" borderId="29" xfId="0"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49" fontId="5" fillId="0" borderId="0" xfId="0" applyNumberFormat="1" applyFont="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16" fillId="0" borderId="10" xfId="0" applyFont="1" applyBorder="1" applyAlignment="1" applyProtection="1">
      <alignment horizontal="center" vertical="center" wrapText="1"/>
      <protection locked="0"/>
    </xf>
    <xf numFmtId="0" fontId="16" fillId="0" borderId="10" xfId="0" applyFont="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1" fillId="0" borderId="23" xfId="0" applyFont="1" applyBorder="1" applyAlignment="1" applyProtection="1">
      <alignment horizontal="center"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2" borderId="10" xfId="0" applyFont="1" applyFill="1" applyBorder="1" applyAlignment="1" applyProtection="1">
      <alignment vertical="center" wrapText="1"/>
      <protection locked="0"/>
    </xf>
    <xf numFmtId="0" fontId="16" fillId="2" borderId="10" xfId="0" applyFont="1" applyFill="1" applyBorder="1" applyAlignment="1" applyProtection="1">
      <alignment horizontal="left" vertical="center" wrapText="1"/>
      <protection locked="0"/>
    </xf>
    <xf numFmtId="0" fontId="16" fillId="2" borderId="10" xfId="0" applyFont="1" applyFill="1" applyBorder="1" applyAlignment="1" applyProtection="1">
      <alignment horizontal="center" vertical="center" wrapText="1"/>
      <protection locked="0"/>
    </xf>
    <xf numFmtId="0" fontId="16" fillId="2" borderId="10" xfId="0" applyFont="1" applyFill="1" applyBorder="1" applyAlignment="1" applyProtection="1">
      <alignment vertical="center"/>
      <protection locked="0"/>
    </xf>
    <xf numFmtId="0" fontId="16" fillId="2" borderId="10" xfId="0" applyFont="1" applyFill="1" applyBorder="1" applyAlignment="1" applyProtection="1">
      <alignment horizontal="left" vertical="center"/>
      <protection locked="0"/>
    </xf>
    <xf numFmtId="0" fontId="16"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9" xfId="0" applyFont="1" applyFill="1" applyBorder="1" applyAlignment="1" applyProtection="1">
      <alignment vertical="center"/>
      <protection locked="0"/>
    </xf>
    <xf numFmtId="0" fontId="16" fillId="0" borderId="45" xfId="0" applyFont="1" applyBorder="1" applyAlignment="1" applyProtection="1">
      <alignment horizontal="left" vertical="center"/>
      <protection locked="0"/>
    </xf>
    <xf numFmtId="0" fontId="16" fillId="0" borderId="45" xfId="0" applyFont="1" applyBorder="1" applyAlignment="1" applyProtection="1">
      <alignment vertical="center" wrapText="1"/>
      <protection locked="0"/>
    </xf>
    <xf numFmtId="0" fontId="16" fillId="0" borderId="18" xfId="0" applyFont="1" applyBorder="1" applyAlignment="1" applyProtection="1">
      <alignment horizontal="left" vertical="center"/>
      <protection locked="0"/>
    </xf>
    <xf numFmtId="0" fontId="13" fillId="2" borderId="10" xfId="0" applyFont="1" applyFill="1" applyBorder="1" applyAlignment="1" applyProtection="1">
      <alignment horizontal="justify" vertical="center" wrapText="1"/>
      <protection locked="0"/>
    </xf>
    <xf numFmtId="0" fontId="13" fillId="0" borderId="10" xfId="0" applyFont="1" applyBorder="1" applyAlignment="1" applyProtection="1">
      <alignment horizontal="justify" vertical="center" wrapText="1"/>
      <protection locked="0"/>
    </xf>
    <xf numFmtId="0" fontId="13" fillId="2" borderId="10" xfId="0" applyFont="1" applyFill="1" applyBorder="1" applyAlignment="1" applyProtection="1">
      <alignment horizontal="justify" vertical="top" wrapText="1"/>
      <protection locked="0"/>
    </xf>
    <xf numFmtId="0" fontId="13" fillId="0" borderId="36" xfId="0" applyFont="1" applyBorder="1" applyAlignment="1">
      <alignment vertical="center" wrapText="1"/>
    </xf>
    <xf numFmtId="0" fontId="16" fillId="10" borderId="0" xfId="0" applyFont="1" applyFill="1" applyProtection="1">
      <protection locked="0"/>
    </xf>
    <xf numFmtId="0" fontId="16" fillId="10" borderId="0" xfId="0" applyFont="1" applyFill="1" applyAlignment="1" applyProtection="1">
      <alignment horizontal="left"/>
      <protection locked="0"/>
    </xf>
    <xf numFmtId="0" fontId="16" fillId="2" borderId="0" xfId="0" applyFont="1" applyFill="1" applyAlignment="1" applyProtection="1">
      <alignment vertical="center" wrapText="1"/>
      <protection locked="0"/>
    </xf>
    <xf numFmtId="0" fontId="9" fillId="2" borderId="0" xfId="0" applyFont="1" applyFill="1" applyAlignment="1" applyProtection="1">
      <alignment vertical="center" wrapText="1"/>
      <protection hidden="1"/>
    </xf>
    <xf numFmtId="0" fontId="16" fillId="0" borderId="0" xfId="0" applyFont="1" applyProtection="1">
      <protection hidden="1"/>
    </xf>
    <xf numFmtId="0" fontId="16" fillId="0" borderId="0" xfId="0" applyFont="1" applyProtection="1">
      <protection locked="0"/>
    </xf>
    <xf numFmtId="0" fontId="9" fillId="2" borderId="0" xfId="0" applyFont="1" applyFill="1" applyAlignment="1" applyProtection="1">
      <alignment horizontal="center" vertical="center" wrapText="1"/>
      <protection hidden="1"/>
    </xf>
    <xf numFmtId="0" fontId="13" fillId="2" borderId="0" xfId="0" applyFont="1" applyFill="1" applyProtection="1">
      <protection hidden="1"/>
    </xf>
    <xf numFmtId="0" fontId="13" fillId="2" borderId="12" xfId="0" applyFont="1" applyFill="1" applyBorder="1" applyAlignment="1" applyProtection="1">
      <alignment horizontal="center" vertical="center" wrapText="1"/>
      <protection hidden="1"/>
    </xf>
    <xf numFmtId="0" fontId="9" fillId="2" borderId="14" xfId="0" applyFont="1" applyFill="1" applyBorder="1" applyAlignment="1" applyProtection="1">
      <alignment horizontal="right" vertical="center" wrapText="1"/>
      <protection hidden="1"/>
    </xf>
    <xf numFmtId="0" fontId="13" fillId="0" borderId="15"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9" fillId="2" borderId="0" xfId="0" applyFont="1" applyFill="1" applyAlignment="1" applyProtection="1">
      <alignment horizontal="left" vertical="center" wrapText="1"/>
      <protection hidden="1"/>
    </xf>
    <xf numFmtId="0" fontId="13" fillId="2" borderId="0" xfId="0" applyFont="1" applyFill="1" applyAlignment="1" applyProtection="1">
      <alignment horizontal="center"/>
      <protection hidden="1"/>
    </xf>
    <xf numFmtId="49" fontId="13" fillId="0" borderId="0" xfId="0" applyNumberFormat="1" applyFont="1" applyAlignment="1" applyProtection="1">
      <alignment horizontal="center" vertical="center" wrapText="1"/>
      <protection hidden="1"/>
    </xf>
    <xf numFmtId="0" fontId="13" fillId="0" borderId="0" xfId="0" applyFont="1" applyProtection="1">
      <protection hidden="1"/>
    </xf>
    <xf numFmtId="0" fontId="9" fillId="2" borderId="0" xfId="0" applyFont="1" applyFill="1" applyAlignment="1" applyProtection="1">
      <alignment horizontal="left" vertical="center"/>
      <protection hidden="1"/>
    </xf>
    <xf numFmtId="0" fontId="13" fillId="2" borderId="15" xfId="0" applyFont="1" applyFill="1" applyBorder="1" applyAlignment="1" applyProtection="1">
      <alignment horizontal="center" vertical="center" wrapText="1"/>
      <protection hidden="1"/>
    </xf>
    <xf numFmtId="0" fontId="9" fillId="0" borderId="0" xfId="0" applyFont="1" applyAlignment="1" applyProtection="1">
      <alignment horizontal="right" vertical="center" wrapText="1"/>
      <protection hidden="1"/>
    </xf>
    <xf numFmtId="0" fontId="13" fillId="0" borderId="0" xfId="0"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9" fillId="0" borderId="0" xfId="0" applyFont="1" applyAlignment="1" applyProtection="1">
      <alignment vertical="center" wrapText="1"/>
      <protection hidden="1"/>
    </xf>
    <xf numFmtId="0" fontId="13" fillId="0" borderId="4" xfId="0" applyFont="1" applyBorder="1" applyAlignment="1" applyProtection="1">
      <alignment horizontal="justify" vertical="top" wrapText="1"/>
      <protection locked="0"/>
    </xf>
    <xf numFmtId="0" fontId="16" fillId="0" borderId="0" xfId="0" applyFont="1" applyAlignment="1" applyProtection="1">
      <alignment horizontal="left" vertical="top" wrapText="1"/>
      <protection locked="0"/>
    </xf>
    <xf numFmtId="0" fontId="10" fillId="0" borderId="0" xfId="0" applyFont="1" applyAlignment="1" applyProtection="1">
      <alignment horizontal="center" vertical="top" wrapText="1"/>
      <protection locked="0"/>
    </xf>
    <xf numFmtId="0" fontId="16" fillId="0" borderId="0" xfId="0" applyFont="1" applyAlignment="1" applyProtection="1">
      <alignment vertical="top" wrapText="1"/>
      <protection locked="0"/>
    </xf>
    <xf numFmtId="0" fontId="16" fillId="0" borderId="0" xfId="0" applyFont="1" applyAlignment="1" applyProtection="1">
      <alignment vertical="top"/>
      <protection locked="0"/>
    </xf>
    <xf numFmtId="0" fontId="16" fillId="0" borderId="0" xfId="0" applyFont="1" applyAlignment="1" applyProtection="1">
      <alignment horizontal="left" vertical="top"/>
      <protection locked="0"/>
    </xf>
    <xf numFmtId="0" fontId="10" fillId="0" borderId="0" xfId="0" applyFont="1" applyAlignment="1" applyProtection="1">
      <alignment horizontal="center" vertical="top"/>
      <protection locked="0"/>
    </xf>
    <xf numFmtId="0" fontId="16" fillId="0" borderId="20" xfId="0" applyFont="1" applyBorder="1" applyAlignment="1" applyProtection="1">
      <alignment horizontal="left" vertical="center"/>
      <protection locked="0"/>
    </xf>
    <xf numFmtId="0" fontId="16" fillId="0" borderId="23" xfId="0" applyFont="1" applyBorder="1" applyAlignment="1" applyProtection="1">
      <alignment horizontal="left" vertical="center"/>
      <protection locked="0"/>
    </xf>
    <xf numFmtId="0" fontId="16" fillId="0" borderId="23" xfId="0" applyFont="1" applyBorder="1" applyAlignment="1" applyProtection="1">
      <alignment vertical="center" wrapText="1"/>
      <protection locked="0"/>
    </xf>
    <xf numFmtId="0" fontId="16" fillId="0" borderId="18" xfId="0" applyFont="1" applyBorder="1" applyAlignment="1" applyProtection="1">
      <alignment vertical="center"/>
      <protection locked="0"/>
    </xf>
    <xf numFmtId="0" fontId="16" fillId="0" borderId="0" xfId="0" applyFont="1" applyAlignment="1" applyProtection="1">
      <alignment horizontal="left" vertical="center"/>
      <protection locked="0"/>
    </xf>
    <xf numFmtId="0" fontId="35" fillId="0" borderId="8" xfId="0" applyFont="1" applyBorder="1" applyAlignment="1" applyProtection="1">
      <alignment vertical="center" wrapText="1"/>
      <protection locked="0"/>
    </xf>
    <xf numFmtId="0" fontId="35" fillId="0" borderId="0" xfId="0" applyFont="1" applyAlignment="1" applyProtection="1">
      <alignment vertical="center" wrapText="1"/>
      <protection locked="0"/>
    </xf>
    <xf numFmtId="0" fontId="35" fillId="0" borderId="9" xfId="0" applyFont="1" applyBorder="1" applyAlignment="1" applyProtection="1">
      <alignment vertical="center" wrapText="1"/>
      <protection locked="0"/>
    </xf>
    <xf numFmtId="0" fontId="36" fillId="0" borderId="8" xfId="0" applyFont="1" applyBorder="1" applyAlignment="1" applyProtection="1">
      <alignment vertical="center" wrapText="1"/>
      <protection locked="0"/>
    </xf>
    <xf numFmtId="0" fontId="36" fillId="0" borderId="0" xfId="0" applyFont="1" applyAlignment="1" applyProtection="1">
      <alignment vertical="center" wrapText="1"/>
      <protection locked="0"/>
    </xf>
    <xf numFmtId="0" fontId="36" fillId="0" borderId="9" xfId="0" applyFont="1" applyBorder="1" applyAlignment="1" applyProtection="1">
      <alignment vertical="center" wrapText="1"/>
      <protection locked="0"/>
    </xf>
    <xf numFmtId="0" fontId="35" fillId="2" borderId="8" xfId="0" applyFont="1" applyFill="1" applyBorder="1" applyAlignment="1" applyProtection="1">
      <alignment vertical="center" wrapText="1"/>
      <protection locked="0"/>
    </xf>
    <xf numFmtId="0" fontId="35" fillId="2" borderId="0" xfId="0" applyFont="1" applyFill="1" applyAlignment="1" applyProtection="1">
      <alignment vertical="center" wrapText="1"/>
      <protection locked="0"/>
    </xf>
    <xf numFmtId="0" fontId="35" fillId="2" borderId="9" xfId="0" applyFont="1" applyFill="1" applyBorder="1" applyAlignment="1" applyProtection="1">
      <alignment vertical="center" wrapText="1"/>
      <protection locked="0"/>
    </xf>
    <xf numFmtId="0" fontId="1" fillId="2" borderId="23" xfId="0" applyFont="1" applyFill="1" applyBorder="1" applyAlignment="1" applyProtection="1">
      <alignment horizontal="center" vertical="center" wrapText="1"/>
      <protection locked="0"/>
    </xf>
    <xf numFmtId="0" fontId="16" fillId="2" borderId="8" xfId="0" applyFont="1" applyFill="1" applyBorder="1" applyAlignment="1" applyProtection="1">
      <alignment vertical="center" wrapText="1"/>
      <protection locked="0"/>
    </xf>
    <xf numFmtId="0" fontId="16" fillId="2" borderId="9" xfId="0" applyFont="1" applyFill="1" applyBorder="1" applyAlignment="1" applyProtection="1">
      <alignment vertical="center" wrapText="1"/>
      <protection locked="0"/>
    </xf>
    <xf numFmtId="0" fontId="36" fillId="2" borderId="0" xfId="0" applyFont="1" applyFill="1" applyAlignment="1" applyProtection="1">
      <alignment vertical="center" wrapText="1"/>
      <protection locked="0"/>
    </xf>
    <xf numFmtId="0" fontId="13" fillId="0" borderId="10" xfId="0" applyFont="1" applyBorder="1" applyAlignment="1" applyProtection="1">
      <alignment horizontal="left" vertical="top" wrapText="1"/>
      <protection locked="0"/>
    </xf>
    <xf numFmtId="0" fontId="5" fillId="0" borderId="10" xfId="0" applyFont="1" applyBorder="1" applyAlignment="1" applyProtection="1">
      <alignment horizontal="justify" vertical="center" wrapText="1"/>
      <protection locked="0"/>
    </xf>
    <xf numFmtId="0" fontId="13" fillId="2" borderId="10" xfId="0" applyFont="1" applyFill="1" applyBorder="1" applyAlignment="1" applyProtection="1">
      <alignment horizontal="left" vertical="center" wrapText="1"/>
      <protection locked="0"/>
    </xf>
    <xf numFmtId="0" fontId="34" fillId="2" borderId="10" xfId="0" applyFont="1" applyFill="1" applyBorder="1" applyAlignment="1" applyProtection="1">
      <alignment horizontal="justify" vertical="top" wrapText="1"/>
      <protection locked="0"/>
    </xf>
    <xf numFmtId="0" fontId="38" fillId="2" borderId="10" xfId="0" applyFont="1" applyFill="1" applyBorder="1" applyAlignment="1" applyProtection="1">
      <alignment horizontal="justify" vertical="top" wrapText="1"/>
      <protection locked="0"/>
    </xf>
    <xf numFmtId="0" fontId="5" fillId="0" borderId="4" xfId="0" applyFont="1" applyBorder="1" applyAlignment="1" applyProtection="1">
      <alignment horizontal="left" vertical="center" wrapText="1"/>
      <protection locked="0"/>
    </xf>
    <xf numFmtId="0" fontId="1" fillId="2" borderId="0" xfId="0" applyFont="1" applyFill="1" applyAlignment="1" applyProtection="1">
      <alignment vertical="center" wrapText="1"/>
      <protection locked="0"/>
    </xf>
    <xf numFmtId="0" fontId="31" fillId="0" borderId="10" xfId="0" applyFont="1" applyBorder="1" applyAlignment="1" applyProtection="1">
      <alignment horizontal="justify" vertical="top" wrapText="1"/>
      <protection locked="0"/>
    </xf>
    <xf numFmtId="0" fontId="1" fillId="0" borderId="50" xfId="0" applyFont="1" applyBorder="1" applyAlignment="1" applyProtection="1">
      <alignment horizontal="center" vertical="center" wrapText="1"/>
      <protection locked="0"/>
    </xf>
    <xf numFmtId="0" fontId="1" fillId="0" borderId="23" xfId="0" applyFont="1" applyBorder="1" applyProtection="1">
      <protection hidden="1"/>
    </xf>
    <xf numFmtId="0" fontId="41" fillId="2" borderId="0" xfId="0" applyFont="1" applyFill="1" applyAlignment="1" applyProtection="1">
      <alignment horizontal="left" vertical="center" wrapText="1"/>
      <protection hidden="1"/>
    </xf>
    <xf numFmtId="0" fontId="41" fillId="2" borderId="0" xfId="0" applyFont="1" applyFill="1" applyAlignment="1" applyProtection="1">
      <alignment horizontal="right" vertical="center" wrapText="1"/>
      <protection hidden="1"/>
    </xf>
    <xf numFmtId="49" fontId="0" fillId="2" borderId="15" xfId="0" applyNumberFormat="1" applyFill="1" applyBorder="1" applyAlignment="1" applyProtection="1">
      <alignment horizontal="center" vertical="center" wrapText="1"/>
      <protection locked="0"/>
    </xf>
    <xf numFmtId="0" fontId="41" fillId="2" borderId="0" xfId="0" applyFont="1" applyFill="1" applyAlignment="1" applyProtection="1">
      <alignment horizontal="left" vertical="center" wrapText="1"/>
      <protection locked="0"/>
    </xf>
    <xf numFmtId="0" fontId="0" fillId="2" borderId="0" xfId="0" applyFill="1" applyAlignment="1" applyProtection="1">
      <alignment vertical="center"/>
      <protection locked="0"/>
    </xf>
    <xf numFmtId="0" fontId="42" fillId="2" borderId="15" xfId="0" applyFont="1" applyFill="1" applyBorder="1" applyAlignment="1" applyProtection="1">
      <alignment horizontal="center" vertical="center" wrapText="1"/>
      <protection locked="0"/>
    </xf>
    <xf numFmtId="0" fontId="0" fillId="2" borderId="0" xfId="0" applyFill="1" applyAlignment="1" applyProtection="1">
      <alignment horizontal="center" vertical="center"/>
      <protection locked="0"/>
    </xf>
    <xf numFmtId="0" fontId="41" fillId="2" borderId="0" xfId="0" applyFont="1" applyFill="1" applyAlignment="1" applyProtection="1">
      <alignment horizontal="center" vertical="center" wrapText="1"/>
      <protection locked="0"/>
    </xf>
    <xf numFmtId="0" fontId="41" fillId="0" borderId="0" xfId="0" applyFont="1" applyAlignment="1" applyProtection="1">
      <alignment horizontal="left" vertical="center" wrapText="1"/>
      <protection hidden="1"/>
    </xf>
    <xf numFmtId="0" fontId="41" fillId="2" borderId="0" xfId="0" applyFont="1" applyFill="1" applyAlignment="1" applyProtection="1">
      <alignment horizontal="right" vertical="center"/>
      <protection hidden="1"/>
    </xf>
    <xf numFmtId="0" fontId="0" fillId="0" borderId="0" xfId="0" applyAlignment="1">
      <alignment vertical="center"/>
    </xf>
    <xf numFmtId="0" fontId="0" fillId="2" borderId="15" xfId="0" applyFill="1" applyBorder="1" applyAlignment="1" applyProtection="1">
      <alignment horizontal="center" vertical="center" wrapText="1"/>
      <protection locked="0"/>
    </xf>
    <xf numFmtId="0" fontId="12" fillId="14" borderId="4" xfId="0" applyFont="1" applyFill="1" applyBorder="1" applyAlignment="1" applyProtection="1">
      <alignment vertical="center" wrapText="1"/>
      <protection locked="0"/>
    </xf>
    <xf numFmtId="0" fontId="8" fillId="17" borderId="47" xfId="0" applyFont="1" applyFill="1" applyBorder="1" applyAlignment="1" applyProtection="1">
      <alignment horizontal="center" vertical="center" wrapText="1"/>
      <protection hidden="1"/>
    </xf>
    <xf numFmtId="0" fontId="5" fillId="0" borderId="47" xfId="0" applyFont="1" applyBorder="1" applyAlignment="1" applyProtection="1">
      <alignment horizontal="left" vertical="center" wrapText="1"/>
      <protection locked="0"/>
    </xf>
    <xf numFmtId="0" fontId="5" fillId="0" borderId="47" xfId="0" applyFont="1" applyBorder="1" applyAlignment="1" applyProtection="1">
      <alignment horizontal="center" vertical="center" wrapText="1"/>
      <protection locked="0"/>
    </xf>
    <xf numFmtId="0" fontId="1" fillId="0" borderId="63" xfId="0" applyFont="1" applyBorder="1" applyAlignment="1" applyProtection="1">
      <alignment horizontal="center" vertical="center" wrapText="1"/>
      <protection locked="0"/>
    </xf>
    <xf numFmtId="0" fontId="1" fillId="0" borderId="64" xfId="0" applyFont="1" applyBorder="1" applyAlignment="1" applyProtection="1">
      <alignment horizontal="center" vertical="center" wrapText="1"/>
      <protection locked="0"/>
    </xf>
    <xf numFmtId="0" fontId="13" fillId="0" borderId="47" xfId="0" applyFont="1" applyBorder="1" applyAlignment="1" applyProtection="1">
      <alignment horizontal="left" vertical="center" wrapText="1"/>
      <protection locked="0"/>
    </xf>
    <xf numFmtId="0" fontId="5" fillId="2" borderId="49" xfId="0" applyFont="1" applyFill="1" applyBorder="1" applyAlignment="1" applyProtection="1">
      <alignment horizontal="center" vertical="center" wrapText="1"/>
      <protection locked="0"/>
    </xf>
    <xf numFmtId="0" fontId="5" fillId="0" borderId="49" xfId="0" applyFont="1" applyBorder="1" applyAlignment="1" applyProtection="1">
      <alignment horizontal="center" vertical="center" wrapText="1"/>
      <protection locked="0"/>
    </xf>
    <xf numFmtId="0" fontId="1" fillId="0" borderId="65" xfId="0" applyFont="1" applyBorder="1" applyAlignment="1" applyProtection="1">
      <alignment horizontal="center" vertical="center" wrapText="1"/>
      <protection locked="0"/>
    </xf>
    <xf numFmtId="0" fontId="1" fillId="0" borderId="66" xfId="0" applyFont="1" applyBorder="1" applyAlignment="1" applyProtection="1">
      <alignment horizontal="center" vertical="center" wrapText="1"/>
      <protection locked="0"/>
    </xf>
    <xf numFmtId="0" fontId="13" fillId="0" borderId="49" xfId="0" applyFont="1" applyBorder="1" applyAlignment="1" applyProtection="1">
      <alignment horizontal="left" vertical="center" wrapText="1"/>
      <protection locked="0"/>
    </xf>
    <xf numFmtId="0" fontId="5" fillId="0" borderId="49" xfId="0" applyFont="1" applyBorder="1" applyAlignment="1" applyProtection="1">
      <alignment horizontal="left" vertical="center" wrapText="1"/>
      <protection locked="0"/>
    </xf>
    <xf numFmtId="0" fontId="13" fillId="2" borderId="46" xfId="0" applyFont="1" applyFill="1" applyBorder="1" applyAlignment="1" applyProtection="1">
      <alignment horizontal="center" vertical="center" wrapText="1"/>
      <protection locked="0"/>
    </xf>
    <xf numFmtId="0" fontId="5" fillId="0" borderId="46" xfId="0" applyFont="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locked="0"/>
    </xf>
    <xf numFmtId="0" fontId="13" fillId="0" borderId="46" xfId="0" applyFont="1" applyBorder="1" applyAlignment="1" applyProtection="1">
      <alignment horizontal="center" vertical="center" wrapText="1"/>
      <protection locked="0"/>
    </xf>
    <xf numFmtId="0" fontId="11" fillId="29" borderId="46" xfId="0" applyFont="1" applyFill="1" applyBorder="1" applyAlignment="1" applyProtection="1">
      <alignment vertical="center" wrapText="1"/>
      <protection locked="0"/>
    </xf>
    <xf numFmtId="0" fontId="10" fillId="29" borderId="46" xfId="0" applyFont="1" applyFill="1" applyBorder="1" applyAlignment="1" applyProtection="1">
      <alignment horizontal="center" vertical="center" wrapText="1"/>
      <protection locked="0"/>
    </xf>
    <xf numFmtId="0" fontId="13" fillId="2" borderId="46" xfId="0" applyFont="1" applyFill="1" applyBorder="1" applyAlignment="1" applyProtection="1">
      <alignment horizontal="left" vertical="center" wrapText="1"/>
      <protection locked="0"/>
    </xf>
    <xf numFmtId="0" fontId="5" fillId="2" borderId="46" xfId="0" applyFont="1" applyFill="1" applyBorder="1" applyAlignment="1" applyProtection="1">
      <alignment horizontal="left" vertical="center" wrapText="1"/>
      <protection locked="0"/>
    </xf>
    <xf numFmtId="0" fontId="11" fillId="29" borderId="46" xfId="0" applyFont="1" applyFill="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hidden="1"/>
    </xf>
    <xf numFmtId="0" fontId="1" fillId="0" borderId="67" xfId="0" applyFont="1" applyBorder="1" applyAlignment="1" applyProtection="1">
      <alignment horizontal="center" vertical="center" wrapText="1"/>
      <protection hidden="1"/>
    </xf>
    <xf numFmtId="0" fontId="1" fillId="0" borderId="10" xfId="0" applyFont="1" applyBorder="1" applyAlignment="1" applyProtection="1">
      <alignment horizontal="left" vertical="top" wrapText="1"/>
      <protection hidden="1"/>
    </xf>
    <xf numFmtId="0" fontId="1" fillId="13" borderId="11" xfId="0" applyFont="1" applyFill="1" applyBorder="1" applyAlignment="1" applyProtection="1">
      <alignment vertical="center"/>
      <protection hidden="1"/>
    </xf>
    <xf numFmtId="0" fontId="1" fillId="0" borderId="11" xfId="0" applyFont="1" applyBorder="1" applyAlignment="1" applyProtection="1">
      <alignment vertical="center"/>
      <protection hidden="1"/>
    </xf>
    <xf numFmtId="0" fontId="1" fillId="12" borderId="11" xfId="0" applyFont="1" applyFill="1" applyBorder="1" applyAlignment="1" applyProtection="1">
      <alignment vertical="center"/>
      <protection hidden="1"/>
    </xf>
    <xf numFmtId="0" fontId="1" fillId="0" borderId="45" xfId="0" applyFont="1" applyBorder="1" applyAlignment="1" applyProtection="1">
      <alignment vertical="center"/>
      <protection hidden="1"/>
    </xf>
    <xf numFmtId="0" fontId="16" fillId="0" borderId="0" xfId="0" applyFont="1" applyAlignment="1" applyProtection="1">
      <alignment wrapText="1"/>
      <protection hidden="1"/>
    </xf>
    <xf numFmtId="0" fontId="16" fillId="0" borderId="0" xfId="0" applyFont="1" applyAlignment="1" applyProtection="1">
      <alignment vertical="top" wrapText="1"/>
      <protection hidden="1"/>
    </xf>
    <xf numFmtId="0" fontId="16" fillId="0" borderId="0" xfId="0" applyFont="1" applyAlignment="1" applyProtection="1">
      <alignment wrapText="1"/>
      <protection locked="0"/>
    </xf>
    <xf numFmtId="0" fontId="10" fillId="0" borderId="0" xfId="0" applyFont="1" applyAlignment="1" applyProtection="1">
      <alignment wrapText="1"/>
      <protection locked="0"/>
    </xf>
    <xf numFmtId="0" fontId="16" fillId="0" borderId="8" xfId="0" applyFont="1" applyBorder="1" applyAlignment="1" applyProtection="1">
      <alignment vertical="top" wrapText="1"/>
      <protection hidden="1"/>
    </xf>
    <xf numFmtId="0" fontId="15" fillId="0" borderId="0" xfId="0" applyFont="1" applyAlignment="1" applyProtection="1">
      <alignment horizontal="left" vertical="top" wrapText="1"/>
      <protection locked="0"/>
    </xf>
    <xf numFmtId="0" fontId="42" fillId="2" borderId="46" xfId="0" applyFont="1" applyFill="1" applyBorder="1" applyAlignment="1" applyProtection="1">
      <alignment horizontal="left" vertical="center" wrapText="1"/>
      <protection locked="0"/>
    </xf>
    <xf numFmtId="0" fontId="17" fillId="17" borderId="46" xfId="0" applyFont="1" applyFill="1" applyBorder="1" applyAlignment="1" applyProtection="1">
      <alignment horizontal="center" vertical="center"/>
      <protection hidden="1"/>
    </xf>
    <xf numFmtId="0" fontId="42" fillId="2" borderId="46" xfId="0" applyFont="1" applyFill="1" applyBorder="1" applyAlignment="1" applyProtection="1">
      <alignment horizontal="left" vertical="top" wrapText="1"/>
      <protection locked="0"/>
    </xf>
    <xf numFmtId="0" fontId="5" fillId="2" borderId="42" xfId="0" applyFont="1" applyFill="1" applyBorder="1" applyAlignment="1" applyProtection="1">
      <alignment horizontal="justify" vertical="top" wrapText="1"/>
      <protection locked="0"/>
    </xf>
    <xf numFmtId="0" fontId="5" fillId="2" borderId="43" xfId="0" applyFont="1" applyFill="1" applyBorder="1" applyAlignment="1" applyProtection="1">
      <alignment horizontal="justify" vertical="top" wrapText="1"/>
      <protection locked="0"/>
    </xf>
    <xf numFmtId="0" fontId="5" fillId="2" borderId="44" xfId="0" applyFont="1" applyFill="1" applyBorder="1" applyAlignment="1" applyProtection="1">
      <alignment horizontal="justify" vertical="top" wrapText="1"/>
      <protection locked="0"/>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5" fillId="2" borderId="53" xfId="0" applyFont="1" applyFill="1" applyBorder="1" applyAlignment="1" applyProtection="1">
      <alignment horizontal="justify" vertical="top" wrapText="1"/>
      <protection locked="0"/>
    </xf>
    <xf numFmtId="0" fontId="5" fillId="2" borderId="54" xfId="0" applyFont="1" applyFill="1" applyBorder="1" applyAlignment="1" applyProtection="1">
      <alignment horizontal="justify" vertical="top" wrapText="1"/>
      <protection locked="0"/>
    </xf>
    <xf numFmtId="0" fontId="5" fillId="2" borderId="55" xfId="0" applyFont="1" applyFill="1" applyBorder="1" applyAlignment="1" applyProtection="1">
      <alignment horizontal="justify" vertical="top" wrapText="1"/>
      <protection locked="0"/>
    </xf>
    <xf numFmtId="0" fontId="25" fillId="2" borderId="0" xfId="0" applyFont="1" applyFill="1" applyAlignment="1" applyProtection="1">
      <alignment horizontal="center" vertical="top" wrapText="1"/>
      <protection hidden="1"/>
    </xf>
    <xf numFmtId="0" fontId="42" fillId="2" borderId="15" xfId="0" applyFont="1" applyFill="1" applyBorder="1" applyAlignment="1" applyProtection="1">
      <alignment horizontal="center" vertical="center" wrapText="1"/>
      <protection locked="0"/>
    </xf>
    <xf numFmtId="0" fontId="0" fillId="2" borderId="46" xfId="0" applyFill="1" applyBorder="1" applyAlignment="1" applyProtection="1">
      <alignment horizontal="justify" vertical="top" wrapText="1"/>
      <protection locked="0"/>
    </xf>
    <xf numFmtId="0" fontId="42" fillId="2" borderId="12" xfId="0" applyFont="1" applyFill="1" applyBorder="1" applyAlignment="1" applyProtection="1">
      <alignment horizontal="center" vertical="center" wrapText="1"/>
      <protection locked="0"/>
    </xf>
    <xf numFmtId="0" fontId="42" fillId="2" borderId="16" xfId="0" applyFont="1" applyFill="1" applyBorder="1" applyAlignment="1" applyProtection="1">
      <alignment horizontal="center" vertical="center" wrapText="1"/>
      <protection locked="0"/>
    </xf>
    <xf numFmtId="0" fontId="43" fillId="2" borderId="15" xfId="0" applyFont="1" applyFill="1" applyBorder="1" applyAlignment="1" applyProtection="1">
      <alignment horizontal="center" vertical="center" wrapText="1"/>
      <protection locked="0"/>
    </xf>
    <xf numFmtId="0" fontId="3" fillId="2" borderId="0" xfId="0" applyFont="1" applyFill="1" applyAlignment="1" applyProtection="1">
      <alignment horizontal="left" vertical="top" wrapText="1"/>
      <protection hidden="1"/>
    </xf>
    <xf numFmtId="0" fontId="0" fillId="0" borderId="15" xfId="0" applyBorder="1" applyAlignment="1" applyProtection="1">
      <alignment horizontal="center" vertical="center" wrapText="1"/>
      <protection locked="0"/>
    </xf>
    <xf numFmtId="0" fontId="0" fillId="0" borderId="46" xfId="0" applyBorder="1" applyAlignment="1" applyProtection="1">
      <alignment horizontal="left" vertical="center" wrapText="1"/>
      <protection locked="0"/>
    </xf>
    <xf numFmtId="49" fontId="0" fillId="0" borderId="46" xfId="0" applyNumberFormat="1" applyBorder="1" applyAlignment="1" applyProtection="1">
      <alignment horizontal="justify" vertical="top" wrapText="1"/>
      <protection locked="0"/>
    </xf>
    <xf numFmtId="49" fontId="0" fillId="0" borderId="46" xfId="0" applyNumberFormat="1" applyBorder="1" applyAlignment="1" applyProtection="1">
      <alignment horizontal="justify" vertical="top"/>
      <protection locked="0"/>
    </xf>
    <xf numFmtId="0" fontId="0" fillId="2" borderId="46" xfId="0" applyFill="1" applyBorder="1" applyAlignment="1" applyProtection="1">
      <alignment horizontal="left" vertical="center" wrapText="1"/>
      <protection locked="0"/>
    </xf>
    <xf numFmtId="0" fontId="1" fillId="2" borderId="42" xfId="0" applyFont="1" applyFill="1" applyBorder="1" applyAlignment="1" applyProtection="1">
      <alignment horizontal="left" vertical="center" wrapText="1"/>
      <protection locked="0"/>
    </xf>
    <xf numFmtId="0" fontId="1" fillId="2" borderId="43" xfId="0" applyFont="1" applyFill="1" applyBorder="1" applyAlignment="1" applyProtection="1">
      <alignment horizontal="left" vertical="center" wrapText="1"/>
      <protection locked="0"/>
    </xf>
    <xf numFmtId="0" fontId="1" fillId="2" borderId="44" xfId="0" applyFont="1" applyFill="1" applyBorder="1" applyAlignment="1" applyProtection="1">
      <alignment horizontal="left" vertical="center" wrapText="1"/>
      <protection locked="0"/>
    </xf>
    <xf numFmtId="0" fontId="5" fillId="0" borderId="12" xfId="0" applyFont="1" applyBorder="1" applyAlignment="1" applyProtection="1">
      <alignment horizontal="center" vertical="center" wrapText="1"/>
      <protection hidden="1"/>
    </xf>
    <xf numFmtId="0" fontId="5" fillId="0" borderId="13"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5" fillId="0" borderId="46" xfId="0" applyFont="1" applyBorder="1" applyAlignment="1" applyProtection="1">
      <alignment horizontal="justify" vertical="center" wrapText="1"/>
      <protection locked="0"/>
    </xf>
    <xf numFmtId="0" fontId="5" fillId="0" borderId="59" xfId="0" applyFont="1" applyBorder="1" applyAlignment="1" applyProtection="1">
      <alignment horizontal="justify" vertical="center" wrapText="1"/>
      <protection locked="0"/>
    </xf>
    <xf numFmtId="0" fontId="5" fillId="0" borderId="60" xfId="0" applyFont="1" applyBorder="1" applyAlignment="1" applyProtection="1">
      <alignment horizontal="justify" vertical="center" wrapText="1"/>
      <protection locked="0"/>
    </xf>
    <xf numFmtId="0" fontId="5" fillId="0" borderId="61" xfId="0" applyFont="1" applyBorder="1" applyAlignment="1" applyProtection="1">
      <alignment horizontal="justify" vertical="center" wrapText="1"/>
      <protection locked="0"/>
    </xf>
    <xf numFmtId="0" fontId="5" fillId="0" borderId="24" xfId="0" applyFont="1" applyBorder="1" applyAlignment="1" applyProtection="1">
      <alignment horizontal="justify" vertical="center" wrapText="1"/>
      <protection locked="0"/>
    </xf>
    <xf numFmtId="0" fontId="8" fillId="17" borderId="47" xfId="0" applyFont="1" applyFill="1" applyBorder="1" applyAlignment="1" applyProtection="1">
      <alignment horizontal="center"/>
      <protection hidden="1"/>
    </xf>
    <xf numFmtId="0" fontId="8" fillId="17" borderId="46" xfId="0" applyFont="1" applyFill="1" applyBorder="1" applyAlignment="1" applyProtection="1">
      <alignment horizontal="center" vertical="center"/>
      <protection hidden="1"/>
    </xf>
    <xf numFmtId="0" fontId="30" fillId="0" borderId="46" xfId="0" applyFont="1" applyBorder="1" applyAlignment="1" applyProtection="1">
      <alignment horizontal="left" vertical="center" wrapText="1"/>
      <protection locked="0"/>
    </xf>
    <xf numFmtId="0" fontId="5" fillId="0" borderId="24" xfId="0" applyFont="1" applyBorder="1" applyAlignment="1" applyProtection="1">
      <alignment horizontal="justify" vertical="center" wrapText="1"/>
      <protection hidden="1"/>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5" fillId="0" borderId="46" xfId="0" applyFont="1" applyBorder="1" applyAlignment="1" applyProtection="1">
      <alignment horizontal="justify" vertical="center" wrapText="1"/>
      <protection hidden="1"/>
    </xf>
    <xf numFmtId="0" fontId="5" fillId="0" borderId="49" xfId="0" applyFont="1" applyBorder="1" applyAlignment="1" applyProtection="1">
      <alignment horizontal="justify" vertical="center" wrapText="1"/>
      <protection hidden="1"/>
    </xf>
    <xf numFmtId="0" fontId="5" fillId="0" borderId="47" xfId="0" applyFont="1" applyBorder="1" applyAlignment="1" applyProtection="1">
      <alignment horizontal="justify" vertical="center" wrapText="1"/>
      <protection hidden="1"/>
    </xf>
    <xf numFmtId="0" fontId="5" fillId="0" borderId="47" xfId="0" applyFont="1" applyBorder="1" applyAlignment="1" applyProtection="1">
      <alignment horizontal="justify" vertical="center" wrapText="1"/>
      <protection locked="0"/>
    </xf>
    <xf numFmtId="0" fontId="5" fillId="0" borderId="49" xfId="0" applyFont="1" applyBorder="1" applyAlignment="1" applyProtection="1">
      <alignment horizontal="justify" vertical="center" wrapText="1"/>
      <protection locked="0"/>
    </xf>
    <xf numFmtId="0" fontId="8" fillId="17" borderId="46" xfId="0" applyFont="1" applyFill="1" applyBorder="1" applyAlignment="1" applyProtection="1">
      <alignment horizontal="center" vertical="center" wrapText="1"/>
      <protection hidden="1"/>
    </xf>
    <xf numFmtId="0" fontId="5" fillId="0" borderId="48" xfId="0" applyFont="1" applyBorder="1" applyAlignment="1" applyProtection="1">
      <alignment horizontal="justify" vertical="center" wrapText="1"/>
      <protection hidden="1"/>
    </xf>
    <xf numFmtId="0" fontId="30" fillId="0" borderId="34" xfId="0" applyFont="1" applyBorder="1" applyAlignment="1" applyProtection="1">
      <alignment horizontal="left" vertical="center" wrapText="1"/>
      <protection locked="0"/>
    </xf>
    <xf numFmtId="0" fontId="30" fillId="0" borderId="0" xfId="0" applyFont="1" applyAlignment="1" applyProtection="1">
      <alignment horizontal="left" vertical="center" wrapText="1"/>
      <protection locked="0"/>
    </xf>
    <xf numFmtId="0" fontId="30" fillId="0" borderId="62" xfId="0" applyFont="1" applyBorder="1" applyAlignment="1" applyProtection="1">
      <alignment horizontal="left" vertical="center" wrapText="1"/>
      <protection locked="0"/>
    </xf>
    <xf numFmtId="0" fontId="5" fillId="0" borderId="34" xfId="0" applyFont="1" applyBorder="1" applyAlignment="1" applyProtection="1">
      <alignment horizontal="justify" vertical="center" wrapText="1"/>
      <protection locked="0"/>
    </xf>
    <xf numFmtId="0" fontId="5" fillId="0" borderId="0" xfId="0" applyFont="1" applyAlignment="1" applyProtection="1">
      <alignment horizontal="justify" vertical="center" wrapText="1"/>
      <protection locked="0"/>
    </xf>
    <xf numFmtId="0" fontId="5" fillId="0" borderId="62" xfId="0" applyFont="1" applyBorder="1" applyAlignment="1" applyProtection="1">
      <alignment horizontal="justify" vertical="center" wrapText="1"/>
      <protection locked="0"/>
    </xf>
    <xf numFmtId="0" fontId="30" fillId="0" borderId="59" xfId="0" applyFont="1" applyBorder="1" applyAlignment="1" applyProtection="1">
      <alignment horizontal="left" vertical="center" wrapText="1"/>
      <protection locked="0"/>
    </xf>
    <xf numFmtId="0" fontId="30" fillId="0" borderId="60" xfId="0" applyFont="1" applyBorder="1" applyAlignment="1" applyProtection="1">
      <alignment horizontal="left" vertical="center" wrapText="1"/>
      <protection locked="0"/>
    </xf>
    <xf numFmtId="0" fontId="30" fillId="0" borderId="61" xfId="0" applyFont="1" applyBorder="1" applyAlignment="1" applyProtection="1">
      <alignment horizontal="left" vertical="center" wrapText="1"/>
      <protection locked="0"/>
    </xf>
    <xf numFmtId="0" fontId="5" fillId="0" borderId="56" xfId="0" applyFont="1" applyBorder="1" applyAlignment="1" applyProtection="1">
      <alignment horizontal="justify" vertical="center" wrapText="1"/>
      <protection locked="0"/>
    </xf>
    <xf numFmtId="0" fontId="5" fillId="0" borderId="57" xfId="0" applyFont="1" applyBorder="1" applyAlignment="1" applyProtection="1">
      <alignment horizontal="justify" vertical="center" wrapText="1"/>
      <protection locked="0"/>
    </xf>
    <xf numFmtId="0" fontId="5" fillId="0" borderId="58" xfId="0" applyFont="1" applyBorder="1" applyAlignment="1" applyProtection="1">
      <alignment horizontal="justify" vertical="center" wrapText="1"/>
      <protection locked="0"/>
    </xf>
    <xf numFmtId="0" fontId="13" fillId="0" borderId="46" xfId="0" applyFont="1" applyBorder="1" applyAlignment="1" applyProtection="1">
      <alignment horizontal="justify" vertical="center" wrapText="1"/>
      <protection locked="0"/>
    </xf>
    <xf numFmtId="0" fontId="3" fillId="0" borderId="0" xfId="0" applyFont="1" applyAlignment="1" applyProtection="1">
      <alignment horizontal="left" vertical="top" wrapText="1"/>
      <protection hidden="1"/>
    </xf>
    <xf numFmtId="0" fontId="3" fillId="0" borderId="1" xfId="0" applyFont="1" applyBorder="1" applyAlignment="1" applyProtection="1">
      <alignment horizontal="left"/>
      <protection hidden="1"/>
    </xf>
    <xf numFmtId="0" fontId="3" fillId="0" borderId="0" xfId="0" applyFont="1" applyAlignment="1" applyProtection="1">
      <alignment horizontal="left"/>
      <protection hidden="1"/>
    </xf>
    <xf numFmtId="0" fontId="5" fillId="2" borderId="24" xfId="0" applyFont="1" applyFill="1" applyBorder="1" applyAlignment="1" applyProtection="1">
      <alignment horizontal="justify" vertical="center" wrapText="1"/>
      <protection locked="0"/>
    </xf>
    <xf numFmtId="0" fontId="30" fillId="2" borderId="46" xfId="0" applyFont="1" applyFill="1" applyBorder="1" applyAlignment="1" applyProtection="1">
      <alignment horizontal="left" vertical="center" wrapText="1"/>
      <protection locked="0"/>
    </xf>
    <xf numFmtId="0" fontId="5" fillId="2" borderId="49" xfId="0" applyFont="1" applyFill="1" applyBorder="1" applyAlignment="1" applyProtection="1">
      <alignment horizontal="justify" vertical="center" wrapText="1"/>
      <protection locked="0"/>
    </xf>
    <xf numFmtId="0" fontId="5" fillId="2" borderId="46" xfId="0" applyFont="1" applyFill="1" applyBorder="1" applyAlignment="1" applyProtection="1">
      <alignment horizontal="justify" vertical="center" wrapText="1"/>
      <protection locked="0"/>
    </xf>
    <xf numFmtId="0" fontId="25" fillId="0" borderId="0" xfId="0" applyFont="1" applyAlignment="1" applyProtection="1">
      <alignment horizontal="center" vertical="top" wrapText="1"/>
      <protection hidden="1"/>
    </xf>
    <xf numFmtId="0" fontId="25" fillId="0" borderId="0" xfId="0" applyFont="1" applyAlignment="1" applyProtection="1">
      <alignment horizontal="center" vertical="top"/>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47" xfId="0" applyFont="1" applyFill="1" applyBorder="1" applyAlignment="1" applyProtection="1">
      <alignment horizontal="center" vertical="center" wrapText="1"/>
      <protection hidden="1"/>
    </xf>
    <xf numFmtId="0" fontId="8" fillId="17" borderId="24" xfId="0" applyFont="1" applyFill="1" applyBorder="1" applyAlignment="1" applyProtection="1">
      <alignment horizontal="center"/>
      <protection hidden="1"/>
    </xf>
    <xf numFmtId="0" fontId="5" fillId="0" borderId="12"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34" fillId="0" borderId="46" xfId="0" applyFont="1" applyBorder="1" applyAlignment="1" applyProtection="1">
      <alignment horizontal="left" vertical="center" wrapText="1"/>
      <protection locked="0"/>
    </xf>
    <xf numFmtId="0" fontId="30" fillId="2" borderId="49" xfId="0" applyFont="1" applyFill="1" applyBorder="1" applyAlignment="1" applyProtection="1">
      <alignment horizontal="left" vertical="center" wrapText="1"/>
      <protection locked="0"/>
    </xf>
    <xf numFmtId="0" fontId="30" fillId="2" borderId="24" xfId="0" applyFont="1" applyFill="1" applyBorder="1" applyAlignment="1" applyProtection="1">
      <alignment horizontal="left" vertical="center" wrapText="1"/>
      <protection locked="0"/>
    </xf>
    <xf numFmtId="0" fontId="1" fillId="5" borderId="10" xfId="2"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 fillId="23" borderId="10" xfId="2" applyFont="1" applyFill="1" applyBorder="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28" fillId="0" borderId="0" xfId="0" applyFont="1" applyAlignment="1" applyProtection="1">
      <alignment horizontal="center" wrapText="1"/>
      <protection locked="0"/>
    </xf>
    <xf numFmtId="0" fontId="2" fillId="0" borderId="0" xfId="0" applyFont="1" applyAlignment="1" applyProtection="1">
      <alignment horizontal="center" wrapText="1"/>
      <protection hidden="1"/>
    </xf>
    <xf numFmtId="0" fontId="2" fillId="0" borderId="0" xfId="0" applyFont="1" applyAlignment="1" applyProtection="1">
      <alignment horizontal="left" wrapText="1"/>
      <protection locked="0"/>
    </xf>
    <xf numFmtId="0" fontId="28" fillId="0" borderId="19" xfId="0" applyFont="1" applyBorder="1" applyAlignment="1" applyProtection="1">
      <alignment horizontal="left" wrapText="1"/>
      <protection locked="0"/>
    </xf>
    <xf numFmtId="0" fontId="2" fillId="0" borderId="19" xfId="0" applyFont="1" applyBorder="1" applyAlignment="1" applyProtection="1">
      <alignment horizontal="center" wrapText="1"/>
      <protection hidden="1"/>
    </xf>
    <xf numFmtId="0" fontId="17" fillId="19" borderId="0" xfId="0" applyFont="1" applyFill="1" applyAlignment="1" applyProtection="1">
      <alignment horizontal="center" vertical="center" wrapText="1"/>
      <protection locked="0"/>
    </xf>
    <xf numFmtId="0" fontId="7" fillId="2" borderId="0" xfId="0" applyFont="1" applyFill="1" applyAlignment="1" applyProtection="1">
      <alignment horizontal="left" vertical="center" wrapText="1"/>
      <protection hidden="1"/>
    </xf>
    <xf numFmtId="0" fontId="7" fillId="2" borderId="17"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0" fillId="0" borderId="24" xfId="0" applyBorder="1" applyAlignment="1" applyProtection="1">
      <alignment horizontal="center" vertical="center" textRotation="90" wrapText="1"/>
      <protection locked="0"/>
    </xf>
    <xf numFmtId="0" fontId="24" fillId="28" borderId="24" xfId="0" applyFont="1" applyFill="1" applyBorder="1" applyAlignment="1" applyProtection="1">
      <alignment horizontal="center" vertical="center" textRotation="90" wrapText="1"/>
      <protection hidden="1"/>
    </xf>
    <xf numFmtId="0" fontId="24" fillId="27" borderId="24" xfId="0" applyFont="1" applyFill="1" applyBorder="1" applyAlignment="1" applyProtection="1">
      <alignment horizontal="center" vertical="center" textRotation="90" wrapText="1"/>
      <protection hidden="1"/>
    </xf>
    <xf numFmtId="0" fontId="0" fillId="0" borderId="49" xfId="0" applyBorder="1" applyAlignment="1" applyProtection="1">
      <alignment horizontal="center" vertical="center" textRotation="90" wrapText="1"/>
      <protection locked="0"/>
    </xf>
    <xf numFmtId="0" fontId="24" fillId="28" borderId="49" xfId="0" applyFont="1" applyFill="1" applyBorder="1" applyAlignment="1" applyProtection="1">
      <alignment horizontal="center" vertical="center" textRotation="90" wrapText="1"/>
      <protection hidden="1"/>
    </xf>
    <xf numFmtId="0" fontId="0" fillId="0" borderId="46" xfId="0" applyBorder="1" applyAlignment="1" applyProtection="1">
      <alignment horizontal="center" vertical="center" textRotation="90" wrapText="1"/>
      <protection locked="0"/>
    </xf>
    <xf numFmtId="0" fontId="0" fillId="0" borderId="47" xfId="0" applyBorder="1" applyAlignment="1" applyProtection="1">
      <alignment horizontal="center" vertical="center" textRotation="90" wrapText="1"/>
      <protection locked="0"/>
    </xf>
    <xf numFmtId="0" fontId="24" fillId="28" borderId="46" xfId="0" applyFont="1" applyFill="1" applyBorder="1" applyAlignment="1" applyProtection="1">
      <alignment horizontal="center" vertical="center" textRotation="90" wrapText="1"/>
      <protection hidden="1"/>
    </xf>
    <xf numFmtId="0" fontId="24" fillId="28" borderId="47" xfId="0" applyFont="1" applyFill="1" applyBorder="1" applyAlignment="1" applyProtection="1">
      <alignment horizontal="center" vertical="center" textRotation="90" wrapText="1"/>
      <protection hidden="1"/>
    </xf>
    <xf numFmtId="0" fontId="24" fillId="27" borderId="46" xfId="0" applyFont="1" applyFill="1" applyBorder="1" applyAlignment="1" applyProtection="1">
      <alignment horizontal="center" vertical="center" textRotation="90" wrapText="1"/>
      <protection hidden="1"/>
    </xf>
    <xf numFmtId="0" fontId="24" fillId="27" borderId="49" xfId="0" applyFont="1" applyFill="1" applyBorder="1" applyAlignment="1" applyProtection="1">
      <alignment horizontal="center" vertical="center" textRotation="90" wrapText="1"/>
      <protection hidden="1"/>
    </xf>
    <xf numFmtId="0" fontId="24" fillId="27" borderId="47" xfId="0" applyFont="1" applyFill="1" applyBorder="1" applyAlignment="1" applyProtection="1">
      <alignment horizontal="center" vertical="center" textRotation="90" wrapText="1"/>
      <protection hidden="1"/>
    </xf>
    <xf numFmtId="0" fontId="5" fillId="0" borderId="46" xfId="0" applyFont="1" applyBorder="1" applyAlignment="1" applyProtection="1">
      <alignment vertical="top" wrapText="1"/>
      <protection locked="0"/>
    </xf>
    <xf numFmtId="0" fontId="5" fillId="0" borderId="48" xfId="0" applyFont="1" applyBorder="1" applyAlignment="1" applyProtection="1">
      <alignment vertical="top" wrapText="1"/>
      <protection locked="0"/>
    </xf>
    <xf numFmtId="0" fontId="25" fillId="2" borderId="0" xfId="0" applyFont="1" applyFill="1" applyAlignment="1" applyProtection="1">
      <alignment horizontal="center" wrapText="1"/>
      <protection hidden="1"/>
    </xf>
    <xf numFmtId="0" fontId="5" fillId="0" borderId="59" xfId="0" applyFont="1" applyBorder="1" applyAlignment="1" applyProtection="1">
      <alignment horizontal="justify" vertical="center" wrapText="1"/>
      <protection hidden="1"/>
    </xf>
    <xf numFmtId="0" fontId="5" fillId="0" borderId="61" xfId="0" applyFont="1" applyBorder="1" applyAlignment="1" applyProtection="1">
      <alignment horizontal="justify" vertical="center" wrapText="1"/>
      <protection hidden="1"/>
    </xf>
    <xf numFmtId="0" fontId="5" fillId="0" borderId="28"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hidden="1"/>
    </xf>
    <xf numFmtId="0" fontId="10" fillId="29" borderId="46" xfId="0" applyFont="1" applyFill="1" applyBorder="1" applyAlignment="1" applyProtection="1">
      <alignment horizontal="left" vertical="center" wrapText="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protection hidden="1"/>
    </xf>
    <xf numFmtId="0" fontId="5" fillId="0" borderId="56" xfId="0" applyFont="1" applyBorder="1" applyAlignment="1" applyProtection="1">
      <alignment horizontal="justify" vertical="center" wrapText="1"/>
      <protection hidden="1"/>
    </xf>
    <xf numFmtId="0" fontId="5" fillId="0" borderId="58" xfId="0" applyFont="1" applyBorder="1" applyAlignment="1" applyProtection="1">
      <alignment horizontal="justify" vertical="center" wrapText="1"/>
      <protection hidden="1"/>
    </xf>
    <xf numFmtId="0" fontId="10" fillId="29" borderId="28" xfId="0" applyFont="1" applyFill="1" applyBorder="1" applyAlignment="1" applyProtection="1">
      <alignment horizontal="left" vertical="center" wrapText="1"/>
      <protection hidden="1"/>
    </xf>
    <xf numFmtId="0" fontId="10" fillId="29" borderId="29" xfId="0" applyFont="1" applyFill="1" applyBorder="1" applyAlignment="1" applyProtection="1">
      <alignment horizontal="left" vertical="center" wrapText="1"/>
      <protection hidden="1"/>
    </xf>
    <xf numFmtId="0" fontId="22" fillId="17" borderId="10" xfId="0" applyFont="1" applyFill="1" applyBorder="1" applyAlignment="1" applyProtection="1">
      <alignment horizontal="center" vertical="top" wrapText="1"/>
      <protection locked="0"/>
    </xf>
    <xf numFmtId="0" fontId="9" fillId="0" borderId="1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16" fillId="0" borderId="8" xfId="0" applyFont="1" applyBorder="1" applyAlignment="1" applyProtection="1">
      <alignment horizontal="left" vertical="top" wrapText="1"/>
      <protection hidden="1"/>
    </xf>
    <xf numFmtId="0" fontId="16" fillId="0" borderId="0" xfId="0" applyFont="1" applyAlignment="1" applyProtection="1">
      <alignment horizontal="left" vertical="top" wrapText="1"/>
      <protection hidden="1"/>
    </xf>
    <xf numFmtId="0" fontId="32" fillId="0" borderId="6" xfId="0" applyFont="1" applyBorder="1" applyAlignment="1" applyProtection="1">
      <alignment horizontal="left" vertical="top" wrapText="1"/>
      <protection locked="0"/>
    </xf>
    <xf numFmtId="0" fontId="32" fillId="0" borderId="6" xfId="0" applyFont="1" applyBorder="1" applyAlignment="1" applyProtection="1">
      <alignment horizontal="left" vertical="top"/>
      <protection locked="0"/>
    </xf>
    <xf numFmtId="0" fontId="9" fillId="0" borderId="18" xfId="0" applyFont="1" applyBorder="1" applyAlignment="1" applyProtection="1">
      <alignment horizontal="center" vertical="center" wrapText="1"/>
      <protection locked="0"/>
    </xf>
    <xf numFmtId="49" fontId="13" fillId="2" borderId="12" xfId="0" applyNumberFormat="1" applyFont="1" applyFill="1" applyBorder="1" applyAlignment="1" applyProtection="1">
      <alignment horizontal="center" vertical="center" wrapText="1"/>
      <protection hidden="1"/>
    </xf>
    <xf numFmtId="0" fontId="13" fillId="2" borderId="13" xfId="0" applyFont="1" applyFill="1" applyBorder="1" applyAlignment="1" applyProtection="1">
      <alignment horizontal="center" vertical="center" wrapText="1"/>
      <protection hidden="1"/>
    </xf>
    <xf numFmtId="0" fontId="13" fillId="2" borderId="16" xfId="0" applyFont="1" applyFill="1" applyBorder="1" applyAlignment="1" applyProtection="1">
      <alignment horizontal="center" vertical="center" wrapText="1"/>
      <protection hidden="1"/>
    </xf>
    <xf numFmtId="0" fontId="9" fillId="2" borderId="0" xfId="0" applyFont="1" applyFill="1" applyAlignment="1" applyProtection="1">
      <alignment horizontal="right" vertical="center" wrapText="1"/>
      <protection hidden="1"/>
    </xf>
    <xf numFmtId="0" fontId="9" fillId="2" borderId="17" xfId="0" applyFont="1" applyFill="1" applyBorder="1" applyAlignment="1" applyProtection="1">
      <alignment horizontal="right" vertical="center" wrapText="1"/>
      <protection hidden="1"/>
    </xf>
    <xf numFmtId="0" fontId="9" fillId="0" borderId="0" xfId="0" applyFont="1" applyAlignment="1" applyProtection="1">
      <alignment horizontal="right" vertical="center" wrapText="1"/>
      <protection hidden="1"/>
    </xf>
    <xf numFmtId="0" fontId="9" fillId="0" borderId="17" xfId="0" applyFont="1" applyBorder="1" applyAlignment="1" applyProtection="1">
      <alignment horizontal="right" vertical="center" wrapText="1"/>
      <protection hidden="1"/>
    </xf>
    <xf numFmtId="0" fontId="9" fillId="2" borderId="0" xfId="0" applyFont="1" applyFill="1" applyAlignment="1" applyProtection="1">
      <alignment horizontal="center" vertical="center" wrapText="1"/>
      <protection hidden="1"/>
    </xf>
    <xf numFmtId="0" fontId="9" fillId="2" borderId="17" xfId="0" applyFont="1" applyFill="1" applyBorder="1" applyAlignment="1" applyProtection="1">
      <alignment horizontal="center" vertical="center" wrapText="1"/>
      <protection hidden="1"/>
    </xf>
    <xf numFmtId="0" fontId="9" fillId="2" borderId="0" xfId="0" applyFont="1" applyFill="1" applyAlignment="1" applyProtection="1">
      <alignment horizontal="center" wrapText="1"/>
      <protection hidden="1"/>
    </xf>
    <xf numFmtId="0" fontId="9" fillId="2" borderId="17" xfId="0" applyFont="1" applyFill="1" applyBorder="1" applyAlignment="1" applyProtection="1">
      <alignment horizontal="center" wrapText="1"/>
      <protection hidden="1"/>
    </xf>
    <xf numFmtId="0" fontId="13" fillId="2" borderId="12" xfId="0" applyFont="1" applyFill="1" applyBorder="1" applyAlignment="1" applyProtection="1">
      <alignment horizontal="center" vertical="center"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9" fillId="0" borderId="18" xfId="0" applyFont="1" applyBorder="1" applyAlignment="1" applyProtection="1">
      <alignment horizontal="justify" vertical="top" wrapText="1"/>
      <protection locked="0"/>
    </xf>
    <xf numFmtId="0" fontId="9" fillId="0" borderId="11" xfId="0" applyFont="1" applyBorder="1" applyAlignment="1" applyProtection="1">
      <alignment horizontal="center" vertical="top" wrapText="1"/>
      <protection locked="0"/>
    </xf>
    <xf numFmtId="0" fontId="9" fillId="0" borderId="23" xfId="0" applyFont="1" applyBorder="1" applyAlignment="1" applyProtection="1">
      <alignment horizontal="center" vertical="top" wrapText="1"/>
      <protection locked="0"/>
    </xf>
    <xf numFmtId="0" fontId="9" fillId="0" borderId="18" xfId="0" applyFont="1" applyBorder="1" applyAlignment="1" applyProtection="1">
      <alignment horizontal="center" vertical="top" wrapText="1"/>
      <protection locked="0"/>
    </xf>
    <xf numFmtId="0" fontId="12" fillId="17" borderId="10" xfId="0" applyFont="1" applyFill="1" applyBorder="1" applyAlignment="1" applyProtection="1">
      <alignment horizontal="center" vertical="center" wrapText="1"/>
      <protection locked="0"/>
    </xf>
    <xf numFmtId="0" fontId="13" fillId="0" borderId="0" xfId="0" applyFont="1" applyAlignment="1" applyProtection="1">
      <alignment horizontal="justify" vertical="top" wrapText="1"/>
      <protection hidden="1"/>
    </xf>
    <xf numFmtId="0" fontId="13" fillId="0" borderId="52"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hidden="1"/>
    </xf>
    <xf numFmtId="0" fontId="26"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10" fillId="0" borderId="10" xfId="0" applyFont="1" applyBorder="1" applyAlignment="1" applyProtection="1">
      <alignment horizontal="justify" vertical="top" wrapText="1"/>
      <protection hidden="1"/>
    </xf>
    <xf numFmtId="0" fontId="21" fillId="17" borderId="10" xfId="0" applyFont="1" applyFill="1" applyBorder="1" applyAlignment="1" applyProtection="1">
      <alignment horizontal="left" vertical="center" wrapText="1"/>
      <protection hidden="1"/>
    </xf>
    <xf numFmtId="0" fontId="12"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left" vertical="center" wrapText="1"/>
      <protection hidden="1"/>
    </xf>
    <xf numFmtId="0" fontId="13" fillId="2" borderId="15" xfId="0" applyFont="1" applyFill="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0" borderId="16" xfId="0" applyFont="1" applyBorder="1" applyAlignment="1" applyProtection="1">
      <alignment horizontal="center" vertical="center" wrapText="1"/>
      <protection hidden="1"/>
    </xf>
    <xf numFmtId="0" fontId="5" fillId="0" borderId="10" xfId="0" applyFont="1" applyBorder="1" applyAlignment="1" applyProtection="1">
      <alignment horizontal="justify" vertical="center" wrapText="1"/>
      <protection locked="0"/>
    </xf>
    <xf numFmtId="0" fontId="13" fillId="0" borderId="10"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top" wrapText="1"/>
      <protection hidden="1"/>
    </xf>
    <xf numFmtId="0" fontId="9" fillId="0" borderId="10" xfId="0" applyFont="1" applyBorder="1" applyAlignment="1" applyProtection="1">
      <alignment horizontal="justify" vertical="top" wrapText="1"/>
      <protection hidden="1"/>
    </xf>
    <xf numFmtId="0" fontId="5" fillId="0" borderId="2" xfId="0" applyFont="1" applyBorder="1" applyAlignment="1" applyProtection="1">
      <alignment horizontal="justify" vertical="top" wrapText="1"/>
      <protection locked="0"/>
    </xf>
    <xf numFmtId="0" fontId="5" fillId="0" borderId="3" xfId="0" applyFont="1" applyBorder="1" applyAlignment="1" applyProtection="1">
      <alignment horizontal="justify" vertical="top" wrapText="1"/>
      <protection locked="0"/>
    </xf>
    <xf numFmtId="0" fontId="5" fillId="0" borderId="4"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center" wrapText="1"/>
      <protection hidden="1"/>
    </xf>
    <xf numFmtId="0" fontId="12" fillId="14" borderId="10" xfId="0" applyFont="1" applyFill="1" applyBorder="1" applyAlignment="1" applyProtection="1">
      <alignment horizontal="center" vertical="center" wrapText="1"/>
      <protection locked="0"/>
    </xf>
    <xf numFmtId="0" fontId="33"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left" vertical="center" wrapText="1"/>
      <protection hidden="1"/>
    </xf>
    <xf numFmtId="0" fontId="13" fillId="0" borderId="5" xfId="0" applyFont="1" applyBorder="1" applyAlignment="1" applyProtection="1">
      <alignment horizontal="justify" vertical="top" wrapText="1"/>
      <protection locked="0"/>
    </xf>
    <xf numFmtId="0" fontId="13" fillId="0" borderId="6" xfId="0" applyFont="1" applyBorder="1" applyAlignment="1" applyProtection="1">
      <alignment horizontal="justify" vertical="top" wrapText="1"/>
      <protection locked="0"/>
    </xf>
    <xf numFmtId="0" fontId="13" fillId="0" borderId="7" xfId="0" applyFont="1" applyBorder="1" applyAlignment="1" applyProtection="1">
      <alignment horizontal="justify" vertical="top" wrapText="1"/>
      <protection locked="0"/>
    </xf>
    <xf numFmtId="0" fontId="13" fillId="0" borderId="8" xfId="0" applyFont="1" applyBorder="1" applyAlignment="1" applyProtection="1">
      <alignment horizontal="justify" vertical="top" wrapText="1"/>
      <protection locked="0"/>
    </xf>
    <xf numFmtId="0" fontId="13" fillId="0" borderId="0" xfId="0" applyFont="1" applyAlignment="1" applyProtection="1">
      <alignment horizontal="justify" vertical="top" wrapText="1"/>
      <protection locked="0"/>
    </xf>
    <xf numFmtId="0" fontId="13" fillId="0" borderId="9" xfId="0" applyFont="1" applyBorder="1" applyAlignment="1" applyProtection="1">
      <alignment horizontal="justify" vertical="top" wrapText="1"/>
      <protection locked="0"/>
    </xf>
    <xf numFmtId="0" fontId="13" fillId="0" borderId="20" xfId="0" applyFont="1" applyBorder="1" applyAlignment="1" applyProtection="1">
      <alignment horizontal="justify" vertical="top" wrapText="1"/>
      <protection locked="0"/>
    </xf>
    <xf numFmtId="0" fontId="13" fillId="0" borderId="21" xfId="0" applyFont="1" applyBorder="1" applyAlignment="1" applyProtection="1">
      <alignment horizontal="justify" vertical="top" wrapText="1"/>
      <protection locked="0"/>
    </xf>
    <xf numFmtId="0" fontId="13" fillId="0" borderId="22" xfId="0" applyFont="1" applyBorder="1" applyAlignment="1" applyProtection="1">
      <alignment horizontal="justify" vertical="top" wrapText="1"/>
      <protection locked="0"/>
    </xf>
    <xf numFmtId="0" fontId="13" fillId="0" borderId="6" xfId="0" applyFont="1" applyBorder="1" applyAlignment="1" applyProtection="1">
      <alignment horizontal="justify" vertical="top" wrapText="1"/>
      <protection hidden="1"/>
    </xf>
    <xf numFmtId="0" fontId="13" fillId="0" borderId="51" xfId="0" applyFont="1" applyBorder="1" applyAlignment="1" applyProtection="1">
      <alignment horizontal="justify" vertical="top" wrapText="1"/>
      <protection hidden="1"/>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2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top" wrapText="1"/>
      <protection hidden="1"/>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0" fontId="5" fillId="0" borderId="10" xfId="0" applyFont="1" applyBorder="1" applyAlignment="1" applyProtection="1">
      <alignment horizontal="justify" vertical="top" wrapText="1"/>
      <protection hidden="1"/>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7" fillId="0" borderId="10" xfId="0" applyFont="1" applyBorder="1" applyAlignment="1" applyProtection="1">
      <alignment horizontal="justify" vertical="top"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8"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top" wrapText="1"/>
      <protection locked="0"/>
    </xf>
    <xf numFmtId="0" fontId="27" fillId="15" borderId="39" xfId="0" applyFont="1" applyFill="1" applyBorder="1" applyAlignment="1" applyProtection="1">
      <alignment horizontal="center" vertical="center" wrapText="1"/>
      <protection hidden="1"/>
    </xf>
    <xf numFmtId="0" fontId="27" fillId="15" borderId="40" xfId="0" applyFont="1" applyFill="1" applyBorder="1" applyAlignment="1" applyProtection="1">
      <alignment horizontal="center" vertical="center" wrapText="1"/>
      <protection hidden="1"/>
    </xf>
    <xf numFmtId="0" fontId="27" fillId="15"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44" fillId="27" borderId="36" xfId="0" applyFont="1" applyFill="1" applyBorder="1" applyAlignment="1" applyProtection="1">
      <alignment horizontal="center" vertical="center" wrapText="1"/>
      <protection hidden="1"/>
    </xf>
    <xf numFmtId="0" fontId="44" fillId="27" borderId="37" xfId="0" applyFont="1" applyFill="1" applyBorder="1" applyAlignment="1" applyProtection="1">
      <alignment horizontal="center" vertical="center" wrapText="1"/>
      <protection hidden="1"/>
    </xf>
    <xf numFmtId="0" fontId="44" fillId="27" borderId="38"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16" xfId="0" applyFont="1" applyFill="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0" borderId="24" xfId="0" applyFont="1" applyBorder="1" applyAlignment="1" applyProtection="1">
      <alignment horizontal="center" vertical="center" textRotation="90" wrapText="1"/>
      <protection hidden="1"/>
    </xf>
    <xf numFmtId="0" fontId="2" fillId="0" borderId="0" xfId="0" applyFont="1" applyAlignment="1" applyProtection="1">
      <alignment horizontal="left" vertical="center" wrapText="1"/>
      <protection locked="0"/>
    </xf>
    <xf numFmtId="0" fontId="1" fillId="0" borderId="24" xfId="0" applyFont="1" applyBorder="1" applyAlignment="1" applyProtection="1">
      <alignment horizontal="left" vertical="center"/>
      <protection hidden="1"/>
    </xf>
    <xf numFmtId="0" fontId="1" fillId="0" borderId="24" xfId="0" applyFont="1" applyBorder="1" applyAlignment="1" applyProtection="1">
      <alignment horizontal="justify" vertical="center" wrapText="1"/>
      <protection hidden="1"/>
    </xf>
    <xf numFmtId="0" fontId="2" fillId="2" borderId="0" xfId="0" applyFont="1" applyFill="1" applyAlignment="1" applyProtection="1">
      <alignment horizontal="right" vertical="center" wrapText="1"/>
      <protection hidden="1"/>
    </xf>
    <xf numFmtId="0" fontId="12" fillId="17" borderId="24"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left" vertical="center" wrapText="1"/>
      <protection hidden="1"/>
    </xf>
    <xf numFmtId="0" fontId="1" fillId="2" borderId="15" xfId="0" applyFont="1" applyFill="1" applyBorder="1" applyAlignment="1" applyProtection="1">
      <alignment horizontal="center"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1" fillId="0" borderId="24" xfId="0" applyFont="1" applyBorder="1" applyAlignment="1" applyProtection="1">
      <alignment horizontal="left" vertical="center" wrapText="1"/>
      <protection hidden="1"/>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25" fillId="2" borderId="0" xfId="0" applyFont="1" applyFill="1" applyAlignment="1" applyProtection="1">
      <alignment horizontal="center" vertical="center" wrapText="1"/>
      <protection hidden="1"/>
    </xf>
    <xf numFmtId="0" fontId="25" fillId="2" borderId="0" xfId="0" applyFont="1" applyFill="1" applyAlignment="1" applyProtection="1">
      <alignment horizontal="center" vertical="center"/>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cellXfs>
  <cellStyles count="4">
    <cellStyle name="40% - Énfasis2" xfId="2" builtinId="35"/>
    <cellStyle name="Énfasis1" xfId="1" builtinId="29"/>
    <cellStyle name="Énfasis6" xfId="3" builtinId="49"/>
    <cellStyle name="Normal" xfId="0" builtinId="0"/>
  </cellStyles>
  <dxfs count="163">
    <dxf>
      <font>
        <color auto="1"/>
      </font>
      <fill>
        <patternFill>
          <bgColor rgb="FFFFBEC8"/>
        </patternFill>
      </fill>
    </dxf>
    <dxf>
      <fill>
        <patternFill>
          <bgColor rgb="FF0082FA"/>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9664"/>
        </patternFill>
      </fill>
    </dxf>
    <dxf>
      <font>
        <b/>
        <i val="0"/>
        <color rgb="FF8C0000"/>
      </font>
      <fill>
        <patternFill>
          <bgColor rgb="FFFFBEC8"/>
        </patternFill>
      </fill>
    </dxf>
    <dxf>
      <font>
        <color rgb="FF8C0000"/>
      </font>
      <fill>
        <patternFill>
          <bgColor rgb="FFFFBEC8"/>
        </patternFill>
      </fill>
    </dxf>
    <dxf>
      <fill>
        <patternFill>
          <bgColor rgb="FF0082FA"/>
        </patternFill>
      </fill>
    </dxf>
    <dxf>
      <fill>
        <patternFill>
          <bgColor rgb="FF00C8C8"/>
        </patternFill>
      </fill>
    </dxf>
    <dxf>
      <font>
        <color auto="1"/>
      </font>
      <fill>
        <patternFill>
          <bgColor rgb="FF009664"/>
        </patternFill>
      </fill>
    </dxf>
    <dxf>
      <font>
        <color auto="1"/>
      </font>
      <fill>
        <patternFill>
          <bgColor rgb="FFFFBEC8"/>
        </patternFill>
      </fill>
    </dxf>
    <dxf>
      <font>
        <color auto="1"/>
      </font>
      <fill>
        <patternFill>
          <bgColor rgb="FFFFC864"/>
        </patternFill>
      </fill>
    </dxf>
    <dxf>
      <font>
        <b/>
        <i val="0"/>
        <color rgb="FF8C0000"/>
      </font>
      <fill>
        <patternFill>
          <bgColor rgb="FFFFBEC8"/>
        </patternFill>
      </fill>
    </dxf>
    <dxf>
      <fill>
        <patternFill>
          <bgColor rgb="FF009664"/>
        </patternFill>
      </fill>
    </dxf>
    <dxf>
      <font>
        <color rgb="FF8C0000"/>
      </font>
      <fill>
        <patternFill>
          <bgColor rgb="FFFFBEC8"/>
        </patternFill>
      </fill>
    </dxf>
    <dxf>
      <fill>
        <patternFill>
          <bgColor rgb="FF0082FA"/>
        </patternFill>
      </fill>
    </dxf>
    <dxf>
      <fill>
        <patternFill>
          <bgColor rgb="FF00C8C8"/>
        </patternFill>
      </fill>
    </dxf>
    <dxf>
      <font>
        <color auto="1"/>
      </font>
      <fill>
        <patternFill>
          <bgColor rgb="FF009664"/>
        </patternFill>
      </fill>
    </dxf>
    <dxf>
      <font>
        <color auto="1"/>
      </font>
      <fill>
        <patternFill>
          <bgColor rgb="FFFFC864"/>
        </patternFill>
      </fill>
    </dxf>
    <dxf>
      <font>
        <color auto="1"/>
      </font>
      <fill>
        <patternFill>
          <bgColor rgb="FFFFBEC8"/>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ill>
        <patternFill>
          <bgColor rgb="FF0082FA"/>
        </patternFill>
      </fill>
    </dxf>
    <dxf>
      <font>
        <color auto="1"/>
      </font>
      <fill>
        <patternFill>
          <bgColor rgb="FF009664"/>
        </patternFill>
      </fill>
    </dxf>
    <dxf>
      <font>
        <color auto="1"/>
      </font>
      <fill>
        <patternFill>
          <bgColor rgb="FFFFC864"/>
        </patternFill>
      </fill>
    </dxf>
    <dxf>
      <fill>
        <patternFill>
          <bgColor rgb="FF00C8C8"/>
        </patternFill>
      </fill>
    </dxf>
    <dxf>
      <fill>
        <patternFill>
          <bgColor rgb="FF009664"/>
        </patternFill>
      </fill>
    </dxf>
    <dxf>
      <font>
        <b/>
        <i val="0"/>
        <color rgb="FF8C0000"/>
      </font>
      <fill>
        <patternFill>
          <bgColor rgb="FFFFBEC8"/>
        </patternFill>
      </fill>
    </dxf>
    <dxf>
      <font>
        <color rgb="FF8C0000"/>
      </font>
      <fill>
        <patternFill>
          <bgColor rgb="FFFFBEC8"/>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ill>
        <patternFill>
          <bgColor rgb="FF009664"/>
        </patternFill>
      </fill>
    </dxf>
    <dxf>
      <font>
        <b/>
        <i val="0"/>
        <color rgb="FF8C0000"/>
      </font>
      <fill>
        <patternFill>
          <bgColor rgb="FFFFBEC8"/>
        </patternFill>
      </fill>
    </dxf>
    <dxf>
      <font>
        <color auto="1"/>
      </font>
      <fill>
        <patternFill>
          <bgColor rgb="FF009664"/>
        </patternFill>
      </fill>
    </dxf>
    <dxf>
      <font>
        <color auto="1"/>
      </font>
      <fill>
        <patternFill>
          <bgColor rgb="FFFFC864"/>
        </patternFill>
      </fill>
    </dxf>
    <dxf>
      <font>
        <color auto="1"/>
      </font>
      <fill>
        <patternFill>
          <bgColor rgb="FFFFBEC8"/>
        </patternFill>
      </fill>
    </dxf>
    <dxf>
      <fill>
        <patternFill>
          <bgColor rgb="FF00C8C8"/>
        </patternFill>
      </fill>
    </dxf>
    <dxf>
      <fill>
        <patternFill>
          <bgColor rgb="FF0082FA"/>
        </patternFill>
      </fill>
    </dxf>
    <dxf>
      <fill>
        <patternFill>
          <bgColor rgb="FF009664"/>
        </patternFill>
      </fill>
    </dxf>
    <dxf>
      <font>
        <b/>
        <i val="0"/>
        <color rgb="FF8C0000"/>
      </font>
      <fill>
        <patternFill>
          <bgColor rgb="FFFFBEC8"/>
        </patternFill>
      </fill>
    </dxf>
    <dxf>
      <font>
        <color rgb="FF8C0000"/>
      </font>
      <fill>
        <patternFill>
          <bgColor rgb="FFFFBEC8"/>
        </patternFill>
      </fill>
    </dxf>
    <dxf>
      <font>
        <b/>
        <i val="0"/>
        <color rgb="FF8C0000"/>
      </font>
      <fill>
        <patternFill>
          <bgColor rgb="FFFFBEC8"/>
        </patternFill>
      </fill>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C00000"/>
        </patternFill>
      </fill>
    </dxf>
    <dxf>
      <fill>
        <patternFill>
          <bgColor rgb="FFC00000"/>
        </patternFill>
      </fill>
    </dxf>
    <dxf>
      <fill>
        <patternFill>
          <bgColor rgb="FFC00000"/>
        </patternFill>
      </fill>
    </dxf>
    <dxf>
      <fill>
        <patternFill>
          <bgColor rgb="FFC00000"/>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7C80"/>
        </patternFill>
      </fill>
    </dxf>
    <dxf>
      <fill>
        <patternFill>
          <fgColor rgb="FFFF9999"/>
          <bgColor rgb="FFFF9999"/>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patternType="solid">
          <fgColor indexed="64"/>
          <bgColor theme="5" tint="0.79998168889431442"/>
        </patternFill>
      </fill>
    </dxf>
    <dxf>
      <fill>
        <patternFill>
          <bgColor rgb="FFFFCCCC"/>
        </patternFill>
      </fill>
    </dxf>
    <dxf>
      <fill>
        <patternFill patternType="solid">
          <fgColor indexed="64"/>
          <bgColor rgb="FFFFCCCC"/>
        </patternFill>
      </fill>
    </dxf>
    <dxf>
      <fill>
        <patternFill patternType="solid">
          <fgColor indexed="64"/>
          <bgColor rgb="FFFFCCCC"/>
        </patternFill>
      </fill>
    </dxf>
    <dxf>
      <fill>
        <patternFill>
          <bgColor rgb="FFFFCCCC"/>
        </patternFill>
      </fill>
    </dxf>
    <dxf>
      <fill>
        <patternFill patternType="solid">
          <fgColor indexed="64"/>
          <bgColor theme="5" tint="0.79998168889431442"/>
        </patternFill>
      </fill>
    </dxf>
    <dxf>
      <fill>
        <patternFill>
          <bgColor rgb="FFFFCCCC"/>
        </patternFill>
      </fill>
    </dxf>
    <dxf>
      <fill>
        <patternFill>
          <bgColor rgb="FFFFCCCC"/>
        </patternFill>
      </fill>
    </dxf>
    <dxf>
      <fill>
        <patternFill patternType="solid">
          <fgColor indexed="64"/>
          <bgColor rgb="FFFFCCCC"/>
        </patternFill>
      </fill>
    </dxf>
    <dxf>
      <fill>
        <patternFill patternType="solid">
          <fgColor indexed="64"/>
          <bgColor rgb="FFFFCCCC"/>
        </patternFill>
      </fill>
    </dxf>
    <dxf>
      <fill>
        <patternFill>
          <bgColor rgb="FFFFCCCC"/>
        </patternFill>
      </fill>
    </dxf>
  </dxfs>
  <tableStyles count="0" defaultTableStyle="TableStyleMedium2" defaultPivotStyle="PivotStyleLight16"/>
  <colors>
    <mruColors>
      <color rgb="FF0082FA"/>
      <color rgb="FF0064C8"/>
      <color rgb="FFFFBEC8"/>
      <color rgb="FF005AC8"/>
      <color rgb="FF00C8C8"/>
      <color rgb="FFFFC864"/>
      <color rgb="FFFF9632"/>
      <color rgb="FF009664"/>
      <color rgb="FF00CC99"/>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249977111117893"/>
  </sheetPr>
  <dimension ref="A1:F44"/>
  <sheetViews>
    <sheetView zoomScaleNormal="100" workbookViewId="0">
      <selection activeCell="I45" sqref="I45"/>
    </sheetView>
  </sheetViews>
  <sheetFormatPr baseColWidth="10" defaultColWidth="11.42578125" defaultRowHeight="15" x14ac:dyDescent="0.25"/>
  <cols>
    <col min="1" max="1" width="22.85546875" style="3" customWidth="1"/>
    <col min="2" max="2" width="23.140625" style="3" customWidth="1"/>
    <col min="3" max="3" width="18.7109375" style="3" customWidth="1"/>
    <col min="4" max="4" width="12.28515625" style="3" customWidth="1"/>
    <col min="5" max="5" width="47.5703125" style="3" customWidth="1"/>
    <col min="6" max="6" width="5.140625" style="3" customWidth="1"/>
    <col min="7" max="16384" width="11.42578125" style="3"/>
  </cols>
  <sheetData>
    <row r="1" spans="1:6" ht="38.25" customHeight="1" x14ac:dyDescent="0.25">
      <c r="A1" s="309" t="s">
        <v>143</v>
      </c>
      <c r="B1" s="309"/>
      <c r="C1" s="309"/>
      <c r="D1" s="309"/>
      <c r="E1" s="309"/>
    </row>
    <row r="2" spans="1:6" ht="8.1" customHeight="1" x14ac:dyDescent="0.25">
      <c r="A2" s="90"/>
      <c r="B2" s="91"/>
      <c r="C2" s="91"/>
      <c r="D2" s="91"/>
      <c r="E2" s="91"/>
    </row>
    <row r="3" spans="1:6" ht="45" customHeight="1" x14ac:dyDescent="0.25">
      <c r="A3" s="250" t="s">
        <v>36</v>
      </c>
      <c r="B3" s="312" t="s">
        <v>491</v>
      </c>
      <c r="C3" s="313"/>
      <c r="D3" s="251" t="s">
        <v>142</v>
      </c>
      <c r="E3" s="252" t="s">
        <v>493</v>
      </c>
    </row>
    <row r="4" spans="1:6" ht="8.1" customHeight="1" x14ac:dyDescent="0.25">
      <c r="A4" s="253"/>
      <c r="B4" s="254"/>
      <c r="C4" s="254"/>
      <c r="D4" s="254"/>
      <c r="E4" s="254"/>
    </row>
    <row r="5" spans="1:6" ht="47.25" customHeight="1" x14ac:dyDescent="0.25">
      <c r="A5" s="250" t="s">
        <v>40</v>
      </c>
      <c r="B5" s="255" t="s">
        <v>186</v>
      </c>
      <c r="C5" s="250" t="s">
        <v>41</v>
      </c>
      <c r="D5" s="310" t="s">
        <v>187</v>
      </c>
      <c r="E5" s="310"/>
    </row>
    <row r="6" spans="1:6" ht="8.1" customHeight="1" x14ac:dyDescent="0.25">
      <c r="A6" s="253"/>
      <c r="B6" s="256"/>
      <c r="C6" s="257"/>
      <c r="D6" s="256"/>
      <c r="E6" s="256"/>
    </row>
    <row r="7" spans="1:6" ht="33.75" customHeight="1" x14ac:dyDescent="0.25">
      <c r="A7" s="250" t="s">
        <v>42</v>
      </c>
      <c r="B7" s="310" t="s">
        <v>188</v>
      </c>
      <c r="C7" s="310"/>
      <c r="D7" s="310"/>
      <c r="E7" s="310"/>
    </row>
    <row r="8" spans="1:6" ht="11.25" customHeight="1" x14ac:dyDescent="0.25">
      <c r="A8" s="253"/>
      <c r="B8" s="256"/>
      <c r="C8" s="256"/>
      <c r="D8" s="256"/>
      <c r="E8" s="256"/>
    </row>
    <row r="9" spans="1:6" ht="31.5" hidden="1" customHeight="1" x14ac:dyDescent="0.25">
      <c r="A9" s="123"/>
      <c r="B9" s="124"/>
      <c r="C9" s="125"/>
      <c r="D9" s="124"/>
      <c r="E9" s="124"/>
    </row>
    <row r="10" spans="1:6" ht="60.75" customHeight="1" x14ac:dyDescent="0.25">
      <c r="A10" s="258" t="s">
        <v>121</v>
      </c>
      <c r="B10" s="310" t="s">
        <v>189</v>
      </c>
      <c r="C10" s="310"/>
      <c r="D10" s="259" t="s">
        <v>44</v>
      </c>
      <c r="E10" s="260" t="s">
        <v>190</v>
      </c>
    </row>
    <row r="11" spans="1:6" ht="8.1" customHeight="1" x14ac:dyDescent="0.25">
      <c r="A11" s="253"/>
      <c r="B11" s="256"/>
      <c r="C11" s="257"/>
      <c r="D11" s="256"/>
      <c r="E11" s="256"/>
    </row>
    <row r="12" spans="1:6" ht="48.75" customHeight="1" x14ac:dyDescent="0.25">
      <c r="A12" s="250" t="s">
        <v>122</v>
      </c>
      <c r="B12" s="261" t="s">
        <v>492</v>
      </c>
      <c r="C12" s="250" t="s">
        <v>43</v>
      </c>
      <c r="D12" s="316" t="s">
        <v>147</v>
      </c>
      <c r="E12" s="316"/>
    </row>
    <row r="13" spans="1:6" ht="8.1" customHeight="1" x14ac:dyDescent="0.25">
      <c r="A13" s="253"/>
      <c r="B13" s="256"/>
      <c r="C13" s="256"/>
      <c r="D13" s="256"/>
      <c r="E13" s="256"/>
    </row>
    <row r="14" spans="1:6" ht="28.5" customHeight="1" x14ac:dyDescent="0.25">
      <c r="A14" s="258" t="s">
        <v>39</v>
      </c>
      <c r="B14" s="314" t="s">
        <v>191</v>
      </c>
      <c r="C14" s="314"/>
      <c r="D14" s="314"/>
      <c r="E14" s="314"/>
    </row>
    <row r="15" spans="1:6" ht="8.1" customHeight="1" x14ac:dyDescent="0.25">
      <c r="A15" s="92"/>
      <c r="B15" s="93"/>
      <c r="C15" s="93"/>
      <c r="D15" s="93"/>
      <c r="E15" s="93"/>
    </row>
    <row r="16" spans="1:6" ht="21.75" customHeight="1" x14ac:dyDescent="0.25">
      <c r="A16" s="298" t="s">
        <v>6</v>
      </c>
      <c r="B16" s="298"/>
      <c r="C16" s="298"/>
      <c r="D16" s="298"/>
      <c r="E16" s="298"/>
      <c r="F16" s="262" t="s">
        <v>91</v>
      </c>
    </row>
    <row r="17" spans="1:6" ht="90.75" customHeight="1" x14ac:dyDescent="0.25">
      <c r="A17" s="311" t="s">
        <v>489</v>
      </c>
      <c r="B17" s="311"/>
      <c r="C17" s="311"/>
      <c r="D17" s="311"/>
      <c r="E17" s="311"/>
      <c r="F17" s="77" t="str">
        <f>A17</f>
        <v xml:space="preserve">El Auxiliar Técnico de Apoyo administrativo es capaz de proveer información, procesar documentación de las distintas áreas de la organización, custodiar la documentación, según políticas  y procedimientos de la organización, y normativa correspondiente. Asimismo, se comunica con otros en forma efectiva, busca y analiza información  haciendo uso de herramientas informáticas, desarrolla y lidera proyectos o negocios que generen valor y sean sostenibles; estableciendo relaciones con respeto y justicia en el ámbito personal y colectivo, contribuyendo a una convivencia democrática, orientada al bien común, promoviendo prácticas orientadas al cuidado del medio ambiente.  </v>
      </c>
    </row>
    <row r="18" spans="1:6" ht="21.75" customHeight="1" x14ac:dyDescent="0.25">
      <c r="A18" s="298" t="s">
        <v>125</v>
      </c>
      <c r="B18" s="298"/>
      <c r="C18" s="298"/>
      <c r="D18" s="298"/>
      <c r="E18" s="298"/>
      <c r="F18" s="77" t="str">
        <f>A18</f>
        <v>COMPETENCIAS ESPECÍFICAS  (UNIDAD DE COMPETENCIA)</v>
      </c>
    </row>
    <row r="19" spans="1:6" s="86" customFormat="1" ht="21" customHeight="1" x14ac:dyDescent="0.25">
      <c r="A19" s="299" t="s">
        <v>192</v>
      </c>
      <c r="B19" s="299"/>
      <c r="C19" s="299"/>
      <c r="D19" s="299"/>
      <c r="E19" s="299"/>
      <c r="F19" s="77" t="str">
        <f t="shared" ref="F19:F27" si="0">A19</f>
        <v>UC1. Proveer información, según políticas y procedimientos de la organización, y normativa correspondiente.</v>
      </c>
    </row>
    <row r="20" spans="1:6" s="86" customFormat="1" ht="30" customHeight="1" x14ac:dyDescent="0.25">
      <c r="A20" s="299" t="s">
        <v>193</v>
      </c>
      <c r="B20" s="299"/>
      <c r="C20" s="299"/>
      <c r="D20" s="299"/>
      <c r="E20" s="299"/>
      <c r="F20" s="77" t="str">
        <f t="shared" si="0"/>
        <v>UC2. Procesar la documentación de las distintas áreas de la organización, en función a sus políticas y normativa correspondiente.</v>
      </c>
    </row>
    <row r="21" spans="1:6" s="86" customFormat="1" ht="25.5" customHeight="1" x14ac:dyDescent="0.25">
      <c r="A21" s="299" t="s">
        <v>194</v>
      </c>
      <c r="B21" s="299"/>
      <c r="C21" s="299"/>
      <c r="D21" s="299"/>
      <c r="E21" s="299"/>
      <c r="F21" s="77" t="str">
        <f t="shared" si="0"/>
        <v xml:space="preserve">UC3. Custodiar la documentación, según políticas  y procedimientos de la organización, y normativa correspondiente.
</v>
      </c>
    </row>
    <row r="22" spans="1:6" s="86" customFormat="1" ht="30.75" hidden="1" customHeight="1" x14ac:dyDescent="0.25">
      <c r="A22" s="300"/>
      <c r="B22" s="301"/>
      <c r="C22" s="301"/>
      <c r="D22" s="301"/>
      <c r="E22" s="302"/>
      <c r="F22" s="77">
        <f t="shared" si="0"/>
        <v>0</v>
      </c>
    </row>
    <row r="23" spans="1:6" s="86" customFormat="1" ht="30.75" hidden="1" customHeight="1" x14ac:dyDescent="0.25">
      <c r="A23" s="303"/>
      <c r="B23" s="304"/>
      <c r="C23" s="304"/>
      <c r="D23" s="304"/>
      <c r="E23" s="305"/>
      <c r="F23" s="77">
        <f t="shared" si="0"/>
        <v>0</v>
      </c>
    </row>
    <row r="24" spans="1:6" s="86" customFormat="1" ht="30.75" hidden="1" customHeight="1" x14ac:dyDescent="0.25">
      <c r="A24" s="303"/>
      <c r="B24" s="304"/>
      <c r="C24" s="304"/>
      <c r="D24" s="304"/>
      <c r="E24" s="305"/>
      <c r="F24" s="77">
        <f t="shared" si="0"/>
        <v>0</v>
      </c>
    </row>
    <row r="25" spans="1:6" s="86" customFormat="1" ht="30.75" hidden="1" customHeight="1" x14ac:dyDescent="0.25">
      <c r="A25" s="303"/>
      <c r="B25" s="304"/>
      <c r="C25" s="304"/>
      <c r="D25" s="304"/>
      <c r="E25" s="305"/>
      <c r="F25" s="77">
        <f t="shared" si="0"/>
        <v>0</v>
      </c>
    </row>
    <row r="26" spans="1:6" s="86" customFormat="1" ht="30.75" hidden="1" customHeight="1" x14ac:dyDescent="0.25">
      <c r="A26" s="303"/>
      <c r="B26" s="304"/>
      <c r="C26" s="304"/>
      <c r="D26" s="304"/>
      <c r="E26" s="305"/>
      <c r="F26" s="77">
        <f t="shared" si="0"/>
        <v>0</v>
      </c>
    </row>
    <row r="27" spans="1:6" s="86" customFormat="1" ht="30.75" hidden="1" customHeight="1" x14ac:dyDescent="0.25">
      <c r="A27" s="303"/>
      <c r="B27" s="304"/>
      <c r="C27" s="304"/>
      <c r="D27" s="304"/>
      <c r="E27" s="305"/>
      <c r="F27" s="77">
        <f t="shared" si="0"/>
        <v>0</v>
      </c>
    </row>
    <row r="28" spans="1:6" ht="30.75" hidden="1" customHeight="1" x14ac:dyDescent="0.25">
      <c r="A28" s="306"/>
      <c r="B28" s="307"/>
      <c r="C28" s="307"/>
      <c r="D28" s="307"/>
      <c r="E28" s="308"/>
      <c r="F28" s="77">
        <f>A28</f>
        <v>0</v>
      </c>
    </row>
    <row r="29" spans="1:6" ht="21.75" customHeight="1" x14ac:dyDescent="0.25">
      <c r="A29" s="298" t="s">
        <v>4</v>
      </c>
      <c r="B29" s="298"/>
      <c r="C29" s="298"/>
      <c r="D29" s="298"/>
      <c r="E29" s="298"/>
      <c r="F29" s="77" t="str">
        <f t="shared" ref="F29:F43" si="1">A29</f>
        <v>COMPETENCIAS PARA LA EMPLEABILIDAD</v>
      </c>
    </row>
    <row r="30" spans="1:6" ht="47.25" customHeight="1" x14ac:dyDescent="0.25">
      <c r="A30" s="297" t="s">
        <v>195</v>
      </c>
      <c r="B30" s="297"/>
      <c r="C30" s="297"/>
      <c r="D30" s="297"/>
      <c r="E30" s="297"/>
      <c r="F30" s="77" t="str">
        <f t="shared" si="1"/>
        <v>CE1 Comunicación efectiva.- Expresar  de manera clara los conceptos, ideas, sentimientos, hechos y opiniones en forma oral y escrita para comunicarse e interactuar con otras personas en contextos sociales y laborales diversos. (UD)</v>
      </c>
    </row>
    <row r="31" spans="1:6" ht="47.25" customHeight="1" x14ac:dyDescent="0.25">
      <c r="A31" s="297" t="s">
        <v>196</v>
      </c>
      <c r="B31" s="297"/>
      <c r="C31" s="297"/>
      <c r="D31" s="297"/>
      <c r="E31" s="297"/>
      <c r="F31" s="77" t="str">
        <f t="shared" si="1"/>
        <v>CE2 Tecnologías de la información.- Manejar herramientas informáticas  de las TIC para buscar y analizar información, comunicarse y realizar procedimientos o tareas vinculadas al área profesional, de acuerdo a los requerimientos de su entorno laboral.(UD)</v>
      </c>
    </row>
    <row r="32" spans="1:6" ht="47.25" customHeight="1" x14ac:dyDescent="0.25">
      <c r="A32" s="297" t="s">
        <v>197</v>
      </c>
      <c r="B32" s="297"/>
      <c r="C32" s="297"/>
      <c r="D32" s="297"/>
      <c r="E32" s="297"/>
      <c r="F32" s="77" t="str">
        <f t="shared" si="1"/>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3" spans="1:6" ht="47.25" customHeight="1" x14ac:dyDescent="0.25">
      <c r="A33" s="297" t="s">
        <v>198</v>
      </c>
      <c r="B33" s="297"/>
      <c r="C33" s="297"/>
      <c r="D33" s="297"/>
      <c r="E33" s="297"/>
      <c r="F33" s="77" t="str">
        <f t="shared" si="1"/>
        <v xml:space="preserve">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34" spans="1:6" ht="47.25" customHeight="1" x14ac:dyDescent="0.25">
      <c r="A34" s="317" t="s">
        <v>199</v>
      </c>
      <c r="B34" s="317"/>
      <c r="C34" s="317"/>
      <c r="D34" s="317"/>
      <c r="E34" s="317"/>
      <c r="F34" s="77" t="str">
        <f t="shared" si="1"/>
        <v>CE5 Liderazgo personal y profesional.- Articular recursos y potencialidades de cada integrante de su equipo logrando un trabajo comprometido, colaborativo, creativo, ético, sensible a su contexto social y ambiente, en pro del bien común. (T)</v>
      </c>
    </row>
    <row r="35" spans="1:6" ht="37.5" customHeight="1" x14ac:dyDescent="0.25">
      <c r="A35" s="320" t="s">
        <v>200</v>
      </c>
      <c r="B35" s="320"/>
      <c r="C35" s="320"/>
      <c r="D35" s="320"/>
      <c r="E35" s="320"/>
      <c r="F35" s="77" t="str">
        <f t="shared" si="1"/>
        <v>CE6 Cultura ambiental.- Convivir de manera ética, autónoma, responsable y sostenible, previniendo, reduciendo y controlando permanente y progresivamente los impactos ambientales. (T)</v>
      </c>
    </row>
    <row r="36" spans="1:6" ht="47.25" hidden="1" customHeight="1" x14ac:dyDescent="0.25">
      <c r="A36" s="321"/>
      <c r="B36" s="322"/>
      <c r="C36" s="322"/>
      <c r="D36" s="322"/>
      <c r="E36" s="323"/>
      <c r="F36" s="77">
        <f t="shared" si="1"/>
        <v>0</v>
      </c>
    </row>
    <row r="37" spans="1:6" ht="47.25" hidden="1" customHeight="1" x14ac:dyDescent="0.25">
      <c r="A37" s="321"/>
      <c r="B37" s="322"/>
      <c r="C37" s="322"/>
      <c r="D37" s="322"/>
      <c r="E37" s="323"/>
      <c r="F37" s="77">
        <f t="shared" si="1"/>
        <v>0</v>
      </c>
    </row>
    <row r="38" spans="1:6" ht="30" hidden="1" customHeight="1" x14ac:dyDescent="0.25">
      <c r="A38" s="303"/>
      <c r="B38" s="304"/>
      <c r="C38" s="304"/>
      <c r="D38" s="304"/>
      <c r="E38" s="305"/>
      <c r="F38" s="77">
        <f t="shared" si="1"/>
        <v>0</v>
      </c>
    </row>
    <row r="39" spans="1:6" ht="30" hidden="1" customHeight="1" x14ac:dyDescent="0.25">
      <c r="A39" s="303"/>
      <c r="B39" s="304"/>
      <c r="C39" s="304"/>
      <c r="D39" s="304"/>
      <c r="E39" s="305"/>
      <c r="F39" s="77">
        <f t="shared" si="1"/>
        <v>0</v>
      </c>
    </row>
    <row r="40" spans="1:6" ht="30" hidden="1" customHeight="1" x14ac:dyDescent="0.25">
      <c r="A40" s="303"/>
      <c r="B40" s="304"/>
      <c r="C40" s="304"/>
      <c r="D40" s="304"/>
      <c r="E40" s="305"/>
      <c r="F40" s="77">
        <f t="shared" si="1"/>
        <v>0</v>
      </c>
    </row>
    <row r="41" spans="1:6" ht="30" hidden="1" customHeight="1" x14ac:dyDescent="0.25">
      <c r="A41" s="306"/>
      <c r="B41" s="307"/>
      <c r="C41" s="307"/>
      <c r="D41" s="307"/>
      <c r="E41" s="308"/>
      <c r="F41" s="77">
        <f t="shared" si="1"/>
        <v>0</v>
      </c>
    </row>
    <row r="42" spans="1:6" ht="21.75" customHeight="1" x14ac:dyDescent="0.25">
      <c r="A42" s="298" t="s">
        <v>7</v>
      </c>
      <c r="B42" s="298"/>
      <c r="C42" s="298"/>
      <c r="D42" s="298"/>
      <c r="E42" s="298"/>
      <c r="F42" s="77" t="str">
        <f t="shared" si="1"/>
        <v>ÁMBITOS DE DESEMPEÑO</v>
      </c>
    </row>
    <row r="43" spans="1:6" ht="161.25" customHeight="1" x14ac:dyDescent="0.25">
      <c r="A43" s="318" t="s">
        <v>201</v>
      </c>
      <c r="B43" s="319"/>
      <c r="C43" s="319"/>
      <c r="D43" s="319"/>
      <c r="E43" s="319"/>
      <c r="F43" s="77" t="str">
        <f t="shared" si="1"/>
        <v>Desarrolla su actividad en las siguientes áreas:
- Area administrativa.
- Área de atención al cliente o usuario.
- Área de archivo de documentos.
- Area administrativa de Call Center.
-Area de información 
-Area de recepción  
-Area de lógistica y almacén
-Mesa de partes
-Area de digitalización</v>
      </c>
    </row>
    <row r="44" spans="1:6" ht="148.5" customHeight="1" x14ac:dyDescent="0.25">
      <c r="A44" s="315" t="s">
        <v>126</v>
      </c>
      <c r="B44" s="315"/>
      <c r="C44" s="315"/>
      <c r="D44" s="315"/>
      <c r="E44" s="315"/>
      <c r="F44" s="77" t="str">
        <f>A44</f>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row>
  </sheetData>
  <sheetProtection formatRows="0" deleteRows="0" autoFilter="0"/>
  <autoFilter xmlns:x14="http://schemas.microsoft.com/office/spreadsheetml/2009/9/main" ref="A16:F44" xr:uid="{00000000-0009-0000-0000-000000000000}">
    <filterColumn colId="0" showButton="0">
      <customFilters>
        <customFilter operator="notEqual" val=" "/>
      </customFilters>
    </filterColumn>
    <filterColumn colId="1" showButton="0"/>
    <filterColumn colId="2" showButton="0"/>
    <filterColumn colId="3" showButton="0"/>
    <filterColumn colId="5">
      <filters>
        <mc:AlternateContent xmlns:mc="http://schemas.openxmlformats.org/markup-compatibility/2006">
          <mc:Choice Requires="x14">
            <x14:filter val="0"/>
            <x14:filter val="ÁMBITOS DE DESEMPEÑO"/>
            <x14:filter val="CE1 Comunicación efectiva. - Expresar de manera clara los conceptos, ideas, sentimientos, hechos y opiniones en forma oral y escrita para comunicarse e interactuar con otras personas en contextos sociales y laborales diversos. (UD)"/>
            <x14:filter val="CE2 Tecnologías de la información. - Manejar herramientas informáticas de las TIC para buscar y analizar información, Comunicarse y realizar procedimientos o tareas vinculadas al área profesional, de acuerdo a los requerimientos de su entorno laboral. (UD)"/>
            <x14:filter val="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4 Solución de problemas: Identificar situaciones para evaluar posibles soluciones, aplicando un conjunto de herramientas flexibles que conlleven a la atención de una necesidad. (UD)"/>
            <x14:filter val="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
            <x14:filter val="CE6 Cultura ambiental. - Convivir de manera ética, autónoma, responsable y sostenible, previniendo, reduciendo y controlando permanente y progresivamente los impactos ambientales. (T)"/>
            <x14:filter val="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x14:filter val="CE8. Liderazgo personal y profesional.-Articular recursos y potencialidades de cada integrante de su equipo logrando un trabajo comprometido, colaborativo, creativo, ético, sensible a su contexto social y ambiente, en pro del bien común.(T)"/>
            <x14:filter val="COMPETENCIAS ESPECÍFICAS  (UNIDAD DE COMPETENCIA)"/>
            <x14:filter val="COMPETENCIAS PARA LA EMPLEABILIDAD"/>
            <x14:filter val="Desarrolla su actividad en las siguientes áreas: _x000a_Área cocina  en un restaurante. (sección caliente y sección fría) _x000a_Área de cocina de hoteles y cruceros_x000a_Área de cocina de hospitales y clínicas_x000a_Área de cocina de recintos feriales_x000a_Área de cocina de alimentos y bebidas  de instituciones educativas _x000a_Área de compras y almacén de un restaurante _x000a_Servicios de buffet y/o banquetes _x000a_Autoempleo"/>
            <x14:filter val="Pautas Generales: _x000a_1. Descripción del perfil de egreso: Descripción general y breve de los desempeños que será capaz de realizar el egresado en el campo laboral, al concluir el programa de estudio en correspondencia con las competencias técnicas y de empleabilidad._x000a_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_x000a_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_x000a_4. Ámbitos de desempeño: Listar los campos o áreas laborales en los cuales el egresado del programa de estudio se podrá insertar._x000a_ _x000a_*Se considera el código del programa de estudios  del CNOF, de ser el caso._x000a_** Indicar  sólo en el caso de que sea Dual o En Alternancia, caso contrario dejar la celda en blanco."/>
            <x14:filter val="Unidad de competencia 1_x000a_Realizar la mise en place del área de cocina, aplicando las BPM (Buenas Prácticas de Manipulación) y según la hoja de producción, procedimientos establecidos y normativa vigente."/>
            <x14:filter val="Unidad de competencia 2_x000a_Elaborar platos culinarios, aplicando las BPM (Buenas Prácticas de Manipulación), y técnicas culinarias, de acuerdo a la oferta del establecimiento, requerimientos del cliente (comanda) y normativa vigente."/>
          </mc:Choice>
          <mc:Fallback>
            <filter val="0"/>
            <filter val="ÁMBITOS DE DESEMPEÑO"/>
            <filter val="CE1 Comunicación efectiva. - Expresar de manera clara los conceptos, ideas, sentimientos, hechos y opiniones en forma oral y escrita para comunicarse e interactuar con otras personas en contextos sociales y laborales diversos. (UD)"/>
            <filter val="CE4 Solución de problemas: Identificar situaciones para evaluar posibles soluciones, aplicando un conjunto de herramientas flexibles que conlleven a la atención de una necesidad. (UD)"/>
            <filter val="CE6 Cultura ambiental. - Convivir de manera ética, autónoma, responsable y sostenible, previniendo, reduciendo y controlando permanente y progresivamente los impactos ambientales. (T)"/>
            <filter val="CE8. Liderazgo personal y profesional.-Articular recursos y potencialidades de cada integrante de su equipo logrando un trabajo comprometido, colaborativo, creativo, ético, sensible a su contexto social y ambiente, en pro del bien común.(T)"/>
            <filter val="COMPETENCIAS ESPECÍFICAS  (UNIDAD DE COMPETENCIA)"/>
            <filter val="COMPETENCIAS PARA LA EMPLEABILIDAD"/>
            <filter val="Unidad de competencia 1_x000a_Realizar la mise en place del área de cocina, aplicando las BPM (Buenas Prácticas de Manipulación) y según la hoja de producción, procedimientos establecidos y normativa vigente."/>
            <filter val="Unidad de competencia 2_x000a_Elaborar platos culinarios, aplicando las BPM (Buenas Prácticas de Manipulación), y técnicas culinarias, de acuerdo a la oferta del establecimiento, requerimientos del cliente (comanda) y normativa vigente."/>
          </mc:Fallback>
        </mc:AlternateContent>
      </filters>
    </filterColumn>
  </autoFilter>
  <mergeCells count="36">
    <mergeCell ref="A44:E44"/>
    <mergeCell ref="D12:E12"/>
    <mergeCell ref="A33:E33"/>
    <mergeCell ref="A34:E34"/>
    <mergeCell ref="A29:E29"/>
    <mergeCell ref="A30:E30"/>
    <mergeCell ref="A31:E31"/>
    <mergeCell ref="A42:E42"/>
    <mergeCell ref="A43:E43"/>
    <mergeCell ref="A38:E38"/>
    <mergeCell ref="A41:E41"/>
    <mergeCell ref="A39:E39"/>
    <mergeCell ref="A40:E40"/>
    <mergeCell ref="A35:E35"/>
    <mergeCell ref="A36:E36"/>
    <mergeCell ref="A37:E37"/>
    <mergeCell ref="A1:E1"/>
    <mergeCell ref="D5:E5"/>
    <mergeCell ref="B7:E7"/>
    <mergeCell ref="A16:E16"/>
    <mergeCell ref="A17:E17"/>
    <mergeCell ref="B3:C3"/>
    <mergeCell ref="B10:C10"/>
    <mergeCell ref="B14:E14"/>
    <mergeCell ref="A32:E32"/>
    <mergeCell ref="A18:E18"/>
    <mergeCell ref="A19:E19"/>
    <mergeCell ref="A20:E20"/>
    <mergeCell ref="A21:E21"/>
    <mergeCell ref="A22:E22"/>
    <mergeCell ref="A23:E23"/>
    <mergeCell ref="A24:E24"/>
    <mergeCell ref="A25:E25"/>
    <mergeCell ref="A28:E28"/>
    <mergeCell ref="A26:E26"/>
    <mergeCell ref="A27:E27"/>
  </mergeCells>
  <conditionalFormatting sqref="A17:E17">
    <cfRule type="containsBlanks" dxfId="162" priority="5">
      <formula>LEN(TRIM(A17))=0</formula>
    </cfRule>
  </conditionalFormatting>
  <conditionalFormatting sqref="A19:E21">
    <cfRule type="containsBlanks" dxfId="161" priority="4">
      <formula>LEN(TRIM(A19))=0</formula>
    </cfRule>
  </conditionalFormatting>
  <conditionalFormatting sqref="A30:E33">
    <cfRule type="containsBlanks" dxfId="160" priority="3">
      <formula>LEN(TRIM(A30))=0</formula>
    </cfRule>
  </conditionalFormatting>
  <conditionalFormatting sqref="A34:E41">
    <cfRule type="containsBlanks" dxfId="159" priority="2">
      <formula>LEN(TRIM(A34))=0</formula>
    </cfRule>
  </conditionalFormatting>
  <conditionalFormatting sqref="A43:E43">
    <cfRule type="containsBlanks" dxfId="158" priority="1">
      <formula>LEN(TRIM(A43))=0</formula>
    </cfRule>
  </conditionalFormatting>
  <conditionalFormatting sqref="B5">
    <cfRule type="containsBlanks" dxfId="157" priority="10">
      <formula>LEN(TRIM(B5))=0</formula>
    </cfRule>
  </conditionalFormatting>
  <conditionalFormatting sqref="B3:C3">
    <cfRule type="containsBlanks" dxfId="156" priority="11">
      <formula>LEN(TRIM(B3))=0</formula>
    </cfRule>
  </conditionalFormatting>
  <conditionalFormatting sqref="B10:C10">
    <cfRule type="containsBlanks" dxfId="155" priority="7">
      <formula>LEN(TRIM(B10))=0</formula>
    </cfRule>
  </conditionalFormatting>
  <conditionalFormatting sqref="B7:E7">
    <cfRule type="containsBlanks" dxfId="154" priority="8">
      <formula>LEN(TRIM(B7))=0</formula>
    </cfRule>
  </conditionalFormatting>
  <conditionalFormatting sqref="B14:E14">
    <cfRule type="containsBlanks" dxfId="153" priority="6">
      <formula>LEN(TRIM(B14))=0</formula>
    </cfRule>
  </conditionalFormatting>
  <conditionalFormatting sqref="D5:E5">
    <cfRule type="containsBlanks" dxfId="152" priority="9">
      <formula>LEN(TRIM(D5))=0</formula>
    </cfRule>
  </conditionalFormatting>
  <conditionalFormatting sqref="E3 B12 D12:E12 A22:E28">
    <cfRule type="containsBlanks" dxfId="151" priority="15">
      <formula>LEN(TRIM(A3))=0</formula>
    </cfRule>
  </conditionalFormatting>
  <printOptions horizontalCentered="1"/>
  <pageMargins left="0.70866141732283472" right="0.70866141732283472" top="0.74803149606299213" bottom="0.74803149606299213" header="0.31496062992125984" footer="0.31496062992125984"/>
  <pageSetup paperSize="9" scale="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249977111117893"/>
  </sheetPr>
  <dimension ref="A1:G228"/>
  <sheetViews>
    <sheetView showGridLines="0" topLeftCell="A182" zoomScale="90" zoomScaleNormal="90" workbookViewId="0">
      <selection activeCell="B240" sqref="B240"/>
    </sheetView>
  </sheetViews>
  <sheetFormatPr baseColWidth="10" defaultColWidth="11.42578125" defaultRowHeight="15" x14ac:dyDescent="0.25"/>
  <cols>
    <col min="1" max="1" width="23.5703125" style="3" customWidth="1"/>
    <col min="2" max="2" width="35" style="3" customWidth="1"/>
    <col min="3" max="3" width="15.85546875" style="3" customWidth="1"/>
    <col min="4" max="4" width="17.85546875" style="3" customWidth="1"/>
    <col min="5" max="5" width="14.7109375" style="3" customWidth="1"/>
    <col min="6" max="6" width="17.140625" style="3" customWidth="1"/>
    <col min="7" max="7" width="5.85546875" style="76" customWidth="1"/>
    <col min="8" max="16384" width="11.42578125" style="3"/>
  </cols>
  <sheetData>
    <row r="1" spans="1:7" s="1" customFormat="1" ht="44.25" customHeight="1" x14ac:dyDescent="0.2">
      <c r="A1" s="366" t="s">
        <v>144</v>
      </c>
      <c r="B1" s="367"/>
      <c r="C1" s="367"/>
      <c r="D1" s="367"/>
      <c r="E1" s="367"/>
      <c r="F1" s="367"/>
      <c r="G1" s="75"/>
    </row>
    <row r="2" spans="1:7" s="1" customFormat="1" ht="8.1" customHeight="1" x14ac:dyDescent="0.2">
      <c r="A2" s="65"/>
      <c r="B2" s="66"/>
      <c r="C2" s="66"/>
      <c r="D2" s="66"/>
      <c r="E2" s="67"/>
      <c r="F2" s="67"/>
      <c r="G2" s="75"/>
    </row>
    <row r="3" spans="1:7" s="2" customFormat="1" ht="25.5" customHeight="1" x14ac:dyDescent="0.2">
      <c r="A3" s="69" t="str">
        <f>Perfil_Egreso!A3</f>
        <v>DENOMINACIÓN DE LA INSTITUCIÓN</v>
      </c>
      <c r="B3" s="368" t="str">
        <f>Perfil_Egreso!B3</f>
        <v xml:space="preserve">CETPRO JUANJUI </v>
      </c>
      <c r="C3" s="368"/>
      <c r="D3" s="69" t="str">
        <f>Perfil_Egreso!D3</f>
        <v>CÓDIGO MODULAR DEL CETPRO</v>
      </c>
      <c r="E3" s="369" t="str">
        <f>Perfil_Egreso!E3</f>
        <v>0533836</v>
      </c>
      <c r="F3" s="369"/>
      <c r="G3" s="49"/>
    </row>
    <row r="4" spans="1:7" s="2" customFormat="1" ht="8.1" customHeight="1" x14ac:dyDescent="0.2">
      <c r="A4" s="33"/>
      <c r="B4" s="33"/>
      <c r="C4" s="20"/>
      <c r="D4" s="20"/>
      <c r="E4" s="20"/>
      <c r="F4" s="20"/>
      <c r="G4" s="49"/>
    </row>
    <row r="5" spans="1:7" s="2" customFormat="1" ht="58.5" customHeight="1" x14ac:dyDescent="0.2">
      <c r="A5" s="69" t="s">
        <v>40</v>
      </c>
      <c r="B5" s="73" t="str">
        <f>Perfil_Egreso!B5</f>
        <v>Actividades profesionales, científicas y técnicas</v>
      </c>
      <c r="C5" s="131" t="s">
        <v>41</v>
      </c>
      <c r="D5" s="5" t="str">
        <f>Perfil_Egreso!D5</f>
        <v>Servicios prestados a empresas</v>
      </c>
      <c r="E5" s="28" t="s">
        <v>42</v>
      </c>
      <c r="F5" s="72" t="str">
        <f>Perfil_Egreso!B7</f>
        <v>Actividades administrativas y de apoyo de oficina y otras actividades de
apoyo a las empresas</v>
      </c>
      <c r="G5" s="49"/>
    </row>
    <row r="6" spans="1:7" s="2" customFormat="1" ht="8.1" customHeight="1" x14ac:dyDescent="0.2">
      <c r="A6" s="69"/>
      <c r="B6" s="69"/>
      <c r="C6" s="23"/>
      <c r="D6" s="23"/>
      <c r="E6" s="23"/>
      <c r="F6" s="23"/>
      <c r="G6" s="49"/>
    </row>
    <row r="7" spans="1:7" s="2" customFormat="1" ht="60" customHeight="1" x14ac:dyDescent="0.2">
      <c r="A7" s="132" t="s">
        <v>121</v>
      </c>
      <c r="B7" s="324" t="str">
        <f>Perfil_Egreso!B10</f>
        <v>APOYO ADMINISTRATIVO</v>
      </c>
      <c r="C7" s="325"/>
      <c r="D7" s="326"/>
      <c r="E7" s="69" t="s">
        <v>96</v>
      </c>
      <c r="F7" s="127" t="str">
        <f>Perfil_Egreso!E10</f>
        <v>M2982-1-002</v>
      </c>
      <c r="G7" s="49"/>
    </row>
    <row r="8" spans="1:7" s="2" customFormat="1" ht="8.1" customHeight="1" x14ac:dyDescent="0.2">
      <c r="A8" s="24"/>
      <c r="B8" s="24"/>
      <c r="C8" s="24"/>
      <c r="D8" s="24"/>
      <c r="E8" s="24"/>
      <c r="F8" s="24"/>
      <c r="G8" s="49"/>
    </row>
    <row r="9" spans="1:7" s="2" customFormat="1" ht="23.25" customHeight="1" x14ac:dyDescent="0.2">
      <c r="A9" s="133" t="s">
        <v>39</v>
      </c>
      <c r="B9" s="72" t="str">
        <f>Perfil_Egreso!B14</f>
        <v>AUXILIAR TÉCNICO</v>
      </c>
      <c r="C9" s="132" t="s">
        <v>5</v>
      </c>
      <c r="D9" s="6">
        <f>Itinerario!W17</f>
        <v>1072</v>
      </c>
      <c r="E9" s="69" t="s">
        <v>34</v>
      </c>
      <c r="F9" s="5">
        <f>Itinerario!T17</f>
        <v>40</v>
      </c>
      <c r="G9" s="49"/>
    </row>
    <row r="10" spans="1:7" s="2" customFormat="1" ht="8.1" customHeight="1" x14ac:dyDescent="0.2">
      <c r="A10" s="28"/>
      <c r="B10" s="28"/>
      <c r="C10" s="28"/>
      <c r="D10" s="28"/>
      <c r="E10" s="24"/>
      <c r="F10" s="24"/>
      <c r="G10" s="49"/>
    </row>
    <row r="11" spans="1:7" s="2" customFormat="1" ht="27" customHeight="1" x14ac:dyDescent="0.2">
      <c r="A11" s="132" t="s">
        <v>122</v>
      </c>
      <c r="B11" s="372"/>
      <c r="C11" s="373"/>
      <c r="D11" s="64" t="s">
        <v>43</v>
      </c>
      <c r="E11" s="372" t="str">
        <f>Perfil_Egreso!D12</f>
        <v>PRESENCIAL</v>
      </c>
      <c r="F11" s="373"/>
      <c r="G11" s="49"/>
    </row>
    <row r="12" spans="1:7" ht="8.1" customHeight="1" x14ac:dyDescent="0.25">
      <c r="A12" s="68"/>
      <c r="B12" s="28"/>
      <c r="C12" s="28"/>
      <c r="D12" s="28"/>
      <c r="E12" s="24"/>
      <c r="F12" s="24"/>
    </row>
    <row r="13" spans="1:7" ht="15" customHeight="1" x14ac:dyDescent="0.25">
      <c r="A13" s="371" t="s">
        <v>124</v>
      </c>
      <c r="B13" s="371"/>
      <c r="C13" s="371"/>
      <c r="D13" s="371"/>
      <c r="E13" s="371"/>
      <c r="F13" s="371"/>
    </row>
    <row r="14" spans="1:7" ht="15" customHeight="1" x14ac:dyDescent="0.25">
      <c r="A14" s="370" t="s">
        <v>8</v>
      </c>
      <c r="B14" s="370"/>
      <c r="C14" s="370" t="s">
        <v>9</v>
      </c>
      <c r="D14" s="370"/>
      <c r="E14" s="370"/>
      <c r="F14" s="370"/>
      <c r="G14" s="74" t="s">
        <v>90</v>
      </c>
    </row>
    <row r="15" spans="1:7" s="4" customFormat="1" ht="48" customHeight="1" x14ac:dyDescent="0.25">
      <c r="A15" s="339" t="str">
        <f>CONCATENATE("Unidad de Competencia N° 01 (UC1):
",Perfil_Egreso!A19)</f>
        <v>Unidad de Competencia N° 01 (UC1):
UC1. Proveer información, según políticas y procedimientos de la organización, y normativa correspondiente.</v>
      </c>
      <c r="B15" s="339"/>
      <c r="C15" s="334" t="s">
        <v>202</v>
      </c>
      <c r="D15" s="334"/>
      <c r="E15" s="334"/>
      <c r="F15" s="334"/>
      <c r="G15" s="77" t="str">
        <f>C15</f>
        <v>1. Recopila datos o documentación, según políticas, procedimientos, y normativa de la organización.</v>
      </c>
    </row>
    <row r="16" spans="1:7" s="4" customFormat="1" ht="48" customHeight="1" x14ac:dyDescent="0.25">
      <c r="A16" s="339"/>
      <c r="B16" s="339"/>
      <c r="C16" s="363" t="s">
        <v>203</v>
      </c>
      <c r="D16" s="363"/>
      <c r="E16" s="363"/>
      <c r="F16" s="363"/>
      <c r="G16" s="77" t="str">
        <f t="shared" ref="G16:G109" si="0">C16</f>
        <v>2. Prepara datos o documentación, según políticas, procedimientos y normativa de la organización.</v>
      </c>
    </row>
    <row r="17" spans="1:7" s="4" customFormat="1" ht="48" customHeight="1" x14ac:dyDescent="0.25">
      <c r="A17" s="339"/>
      <c r="B17" s="339"/>
      <c r="C17" s="374" t="s">
        <v>204</v>
      </c>
      <c r="D17" s="374"/>
      <c r="E17" s="374"/>
      <c r="F17" s="374"/>
      <c r="G17" s="77" t="str">
        <f t="shared" si="0"/>
        <v>3. Realiza el trámite de datos y documentos, según políticas, procedimientos y normativa de la organización.</v>
      </c>
    </row>
    <row r="18" spans="1:7" s="4" customFormat="1" ht="48" hidden="1" customHeight="1" x14ac:dyDescent="0.25">
      <c r="A18" s="340"/>
      <c r="B18" s="340"/>
      <c r="C18" s="375"/>
      <c r="D18" s="375"/>
      <c r="E18" s="375"/>
      <c r="F18" s="375"/>
      <c r="G18" s="77">
        <f t="shared" si="0"/>
        <v>0</v>
      </c>
    </row>
    <row r="19" spans="1:7" s="4" customFormat="1" ht="48" hidden="1" customHeight="1" x14ac:dyDescent="0.25">
      <c r="A19" s="335"/>
      <c r="B19" s="335"/>
      <c r="C19" s="376"/>
      <c r="D19" s="376"/>
      <c r="E19" s="376"/>
      <c r="F19" s="376"/>
      <c r="G19" s="77">
        <f t="shared" si="0"/>
        <v>0</v>
      </c>
    </row>
    <row r="20" spans="1:7" s="4" customFormat="1" ht="48" hidden="1" customHeight="1" x14ac:dyDescent="0.25">
      <c r="A20" s="335"/>
      <c r="B20" s="335"/>
      <c r="C20" s="362"/>
      <c r="D20" s="362"/>
      <c r="E20" s="362"/>
      <c r="F20" s="362"/>
      <c r="G20" s="77">
        <f t="shared" si="0"/>
        <v>0</v>
      </c>
    </row>
    <row r="21" spans="1:7" s="4" customFormat="1" ht="48" hidden="1" customHeight="1" x14ac:dyDescent="0.25">
      <c r="A21" s="335"/>
      <c r="B21" s="335"/>
      <c r="C21" s="362"/>
      <c r="D21" s="362"/>
      <c r="E21" s="362"/>
      <c r="F21" s="362"/>
      <c r="G21" s="77">
        <f t="shared" si="0"/>
        <v>0</v>
      </c>
    </row>
    <row r="22" spans="1:7" s="4" customFormat="1" ht="56.25" hidden="1" customHeight="1" x14ac:dyDescent="0.25">
      <c r="A22" s="335"/>
      <c r="B22" s="335"/>
      <c r="C22" s="362"/>
      <c r="D22" s="362"/>
      <c r="E22" s="362"/>
      <c r="F22" s="362"/>
      <c r="G22" s="77">
        <f t="shared" si="0"/>
        <v>0</v>
      </c>
    </row>
    <row r="23" spans="1:7" s="4" customFormat="1" hidden="1" x14ac:dyDescent="0.25">
      <c r="A23" s="335"/>
      <c r="B23" s="335"/>
      <c r="C23" s="331"/>
      <c r="D23" s="331"/>
      <c r="E23" s="331"/>
      <c r="F23" s="331"/>
      <c r="G23" s="77">
        <f t="shared" si="0"/>
        <v>0</v>
      </c>
    </row>
    <row r="24" spans="1:7" s="4" customFormat="1" hidden="1" x14ac:dyDescent="0.25">
      <c r="A24" s="335"/>
      <c r="B24" s="335"/>
      <c r="C24" s="331"/>
      <c r="D24" s="331"/>
      <c r="E24" s="331"/>
      <c r="F24" s="331"/>
      <c r="G24" s="77"/>
    </row>
    <row r="25" spans="1:7" s="4" customFormat="1" hidden="1" x14ac:dyDescent="0.25">
      <c r="A25" s="335"/>
      <c r="B25" s="335"/>
      <c r="C25" s="331"/>
      <c r="D25" s="331"/>
      <c r="E25" s="331"/>
      <c r="F25" s="331"/>
      <c r="G25" s="77"/>
    </row>
    <row r="26" spans="1:7" s="4" customFormat="1" hidden="1" x14ac:dyDescent="0.25">
      <c r="A26" s="335"/>
      <c r="B26" s="335"/>
      <c r="C26" s="331"/>
      <c r="D26" s="331"/>
      <c r="E26" s="331"/>
      <c r="F26" s="331"/>
      <c r="G26" s="77"/>
    </row>
    <row r="27" spans="1:7" s="4" customFormat="1" hidden="1" x14ac:dyDescent="0.25">
      <c r="A27" s="335"/>
      <c r="B27" s="335"/>
      <c r="C27" s="331"/>
      <c r="D27" s="331"/>
      <c r="E27" s="331"/>
      <c r="F27" s="331"/>
      <c r="G27" s="77"/>
    </row>
    <row r="28" spans="1:7" s="4" customFormat="1" hidden="1" x14ac:dyDescent="0.25">
      <c r="A28" s="335"/>
      <c r="B28" s="335"/>
      <c r="C28" s="331"/>
      <c r="D28" s="331"/>
      <c r="E28" s="331"/>
      <c r="F28" s="331"/>
      <c r="G28" s="77"/>
    </row>
    <row r="29" spans="1:7" s="4" customFormat="1" hidden="1" x14ac:dyDescent="0.25">
      <c r="A29" s="341"/>
      <c r="B29" s="341"/>
      <c r="C29" s="342"/>
      <c r="D29" s="342"/>
      <c r="E29" s="342"/>
      <c r="F29" s="342"/>
      <c r="G29" s="77">
        <f t="shared" si="0"/>
        <v>0</v>
      </c>
    </row>
    <row r="30" spans="1:7" s="4" customFormat="1" ht="41.25" customHeight="1" x14ac:dyDescent="0.25">
      <c r="A30" s="339" t="str">
        <f>CONCATENATE("Unidad de Competencia N° 02 (UC2):
",Perfil_Egreso!A20)</f>
        <v>Unidad de Competencia N° 02 (UC2):
UC2. Procesar la documentación de las distintas áreas de la organización, en función a sus políticas y normativa correspondiente.</v>
      </c>
      <c r="B30" s="339"/>
      <c r="C30" s="334" t="s">
        <v>205</v>
      </c>
      <c r="D30" s="334"/>
      <c r="E30" s="334"/>
      <c r="F30" s="334"/>
      <c r="G30" s="77" t="str">
        <f t="shared" si="0"/>
        <v>1. Recepciona y atiende los documentos, en función a los objetivos de la organización y procedimientos establecidos.</v>
      </c>
    </row>
    <row r="31" spans="1:7" s="4" customFormat="1" ht="41.25" customHeight="1" x14ac:dyDescent="0.25">
      <c r="A31" s="339"/>
      <c r="B31" s="339"/>
      <c r="C31" s="334" t="s">
        <v>206</v>
      </c>
      <c r="D31" s="334"/>
      <c r="E31" s="334"/>
      <c r="F31" s="334"/>
      <c r="G31" s="77" t="str">
        <f t="shared" si="0"/>
        <v>2. Realiza actividades administrativas de apoyo2, en función de los objetivos de la organización y el área asignada.</v>
      </c>
    </row>
    <row r="32" spans="1:7" s="4" customFormat="1" ht="41.25" customHeight="1" x14ac:dyDescent="0.25">
      <c r="A32" s="339"/>
      <c r="B32" s="339"/>
      <c r="C32" s="363" t="s">
        <v>207</v>
      </c>
      <c r="D32" s="363"/>
      <c r="E32" s="363"/>
      <c r="F32" s="363"/>
      <c r="G32" s="77" t="str">
        <f t="shared" si="0"/>
        <v>3. Atiende las comunicaciones y/o centro de atención virtual, en función a los objetivos de la organización y procedimientos establecidos.</v>
      </c>
    </row>
    <row r="33" spans="1:7" s="4" customFormat="1" ht="41.25" customHeight="1" x14ac:dyDescent="0.25">
      <c r="A33" s="339"/>
      <c r="B33" s="339"/>
      <c r="C33" s="365" t="s">
        <v>208</v>
      </c>
      <c r="D33" s="365"/>
      <c r="E33" s="365"/>
      <c r="F33" s="365"/>
      <c r="G33" s="77" t="str">
        <f t="shared" si="0"/>
        <v>4. Atiende los consultas, según los procedimientos establecidos y normativa correspondiente.</v>
      </c>
    </row>
    <row r="34" spans="1:7" s="4" customFormat="1" ht="41.25" customHeight="1" x14ac:dyDescent="0.25">
      <c r="A34" s="339"/>
      <c r="B34" s="339"/>
      <c r="C34" s="327" t="s">
        <v>209</v>
      </c>
      <c r="D34" s="327"/>
      <c r="E34" s="327"/>
      <c r="F34" s="327"/>
      <c r="G34" s="77" t="str">
        <f t="shared" si="0"/>
        <v>5. Revisa la información, en función a los requerimientos de la organización y procedimientos establecidos.</v>
      </c>
    </row>
    <row r="35" spans="1:7" s="4" customFormat="1" ht="48" hidden="1" customHeight="1" x14ac:dyDescent="0.25">
      <c r="A35" s="340"/>
      <c r="B35" s="340"/>
      <c r="C35" s="364"/>
      <c r="D35" s="364"/>
      <c r="E35" s="364"/>
      <c r="F35" s="364"/>
      <c r="G35" s="77">
        <f t="shared" si="0"/>
        <v>0</v>
      </c>
    </row>
    <row r="36" spans="1:7" s="4" customFormat="1" ht="49.5" hidden="1" customHeight="1" x14ac:dyDescent="0.25">
      <c r="A36" s="335"/>
      <c r="B36" s="335"/>
      <c r="C36" s="362"/>
      <c r="D36" s="362"/>
      <c r="E36" s="362"/>
      <c r="F36" s="362"/>
      <c r="G36" s="77">
        <f t="shared" si="0"/>
        <v>0</v>
      </c>
    </row>
    <row r="37" spans="1:7" s="4" customFormat="1" hidden="1" x14ac:dyDescent="0.25">
      <c r="A37" s="335"/>
      <c r="B37" s="335"/>
      <c r="C37" s="331"/>
      <c r="D37" s="331"/>
      <c r="E37" s="331"/>
      <c r="F37" s="331"/>
      <c r="G37" s="77">
        <f t="shared" si="0"/>
        <v>0</v>
      </c>
    </row>
    <row r="38" spans="1:7" s="4" customFormat="1" hidden="1" x14ac:dyDescent="0.25">
      <c r="A38" s="335"/>
      <c r="B38" s="335"/>
      <c r="C38" s="331"/>
      <c r="D38" s="331"/>
      <c r="E38" s="331"/>
      <c r="F38" s="331"/>
      <c r="G38" s="77">
        <f t="shared" si="0"/>
        <v>0</v>
      </c>
    </row>
    <row r="39" spans="1:7" s="4" customFormat="1" hidden="1" x14ac:dyDescent="0.25">
      <c r="A39" s="335"/>
      <c r="B39" s="335"/>
      <c r="C39" s="331"/>
      <c r="D39" s="331"/>
      <c r="E39" s="331"/>
      <c r="F39" s="331"/>
      <c r="G39" s="77"/>
    </row>
    <row r="40" spans="1:7" s="4" customFormat="1" hidden="1" x14ac:dyDescent="0.25">
      <c r="A40" s="335"/>
      <c r="B40" s="335"/>
      <c r="C40" s="331"/>
      <c r="D40" s="331"/>
      <c r="E40" s="331"/>
      <c r="F40" s="331"/>
      <c r="G40" s="77"/>
    </row>
    <row r="41" spans="1:7" s="4" customFormat="1" hidden="1" x14ac:dyDescent="0.25">
      <c r="A41" s="335"/>
      <c r="B41" s="335"/>
      <c r="C41" s="331"/>
      <c r="D41" s="331"/>
      <c r="E41" s="331"/>
      <c r="F41" s="331"/>
      <c r="G41" s="77"/>
    </row>
    <row r="42" spans="1:7" s="4" customFormat="1" hidden="1" x14ac:dyDescent="0.25">
      <c r="A42" s="335"/>
      <c r="B42" s="335"/>
      <c r="C42" s="331"/>
      <c r="D42" s="331"/>
      <c r="E42" s="331"/>
      <c r="F42" s="331"/>
      <c r="G42" s="77"/>
    </row>
    <row r="43" spans="1:7" s="4" customFormat="1" hidden="1" x14ac:dyDescent="0.25">
      <c r="A43" s="335"/>
      <c r="B43" s="335"/>
      <c r="C43" s="331"/>
      <c r="D43" s="331"/>
      <c r="E43" s="331"/>
      <c r="F43" s="331"/>
      <c r="G43" s="77"/>
    </row>
    <row r="44" spans="1:7" s="4" customFormat="1" hidden="1" x14ac:dyDescent="0.25">
      <c r="A44" s="341"/>
      <c r="B44" s="341"/>
      <c r="C44" s="342"/>
      <c r="D44" s="342"/>
      <c r="E44" s="342"/>
      <c r="F44" s="342"/>
      <c r="G44" s="77">
        <f t="shared" si="0"/>
        <v>0</v>
      </c>
    </row>
    <row r="45" spans="1:7" s="4" customFormat="1" ht="36" customHeight="1" x14ac:dyDescent="0.25">
      <c r="A45" s="339" t="str">
        <f>CONCATENATE("Unidad de Competencia N° 03 (UC3):
",Perfil_Egreso!A21)</f>
        <v xml:space="preserve">Unidad de Competencia N° 03 (UC3):
UC3. Custodiar la documentación, según políticas  y procedimientos de la organización, y normativa correspondiente.
</v>
      </c>
      <c r="B45" s="339"/>
      <c r="C45" s="334" t="s">
        <v>210</v>
      </c>
      <c r="D45" s="334"/>
      <c r="E45" s="334"/>
      <c r="F45" s="334"/>
      <c r="G45" s="77" t="str">
        <f t="shared" si="0"/>
        <v>1. Cataloga datos de los documentos, según políticas, procedimientos de la organización, y normativa correspondiente.</v>
      </c>
    </row>
    <row r="46" spans="1:7" s="4" customFormat="1" ht="36" customHeight="1" x14ac:dyDescent="0.25">
      <c r="A46" s="339"/>
      <c r="B46" s="339"/>
      <c r="C46" s="334" t="s">
        <v>211</v>
      </c>
      <c r="D46" s="334"/>
      <c r="E46" s="334"/>
      <c r="F46" s="334"/>
      <c r="G46" s="77" t="str">
        <f t="shared" si="0"/>
        <v>2. Archiva los documentos, según políticas y procedimientos de la organización, y normativa correspondiente.</v>
      </c>
    </row>
    <row r="47" spans="1:7" s="4" customFormat="1" hidden="1" x14ac:dyDescent="0.25">
      <c r="A47" s="340"/>
      <c r="B47" s="340"/>
      <c r="C47" s="328"/>
      <c r="D47" s="329"/>
      <c r="E47" s="329"/>
      <c r="F47" s="330"/>
      <c r="G47" s="77">
        <f t="shared" si="0"/>
        <v>0</v>
      </c>
    </row>
    <row r="48" spans="1:7" s="4" customFormat="1" hidden="1" x14ac:dyDescent="0.25">
      <c r="A48" s="335"/>
      <c r="B48" s="335"/>
      <c r="C48" s="336"/>
      <c r="D48" s="337"/>
      <c r="E48" s="337"/>
      <c r="F48" s="338"/>
      <c r="G48" s="77">
        <f t="shared" si="0"/>
        <v>0</v>
      </c>
    </row>
    <row r="49" spans="1:7" s="4" customFormat="1" hidden="1" x14ac:dyDescent="0.25">
      <c r="A49" s="335"/>
      <c r="B49" s="335"/>
      <c r="C49" s="336"/>
      <c r="D49" s="337"/>
      <c r="E49" s="337"/>
      <c r="F49" s="338"/>
      <c r="G49" s="77">
        <f t="shared" si="0"/>
        <v>0</v>
      </c>
    </row>
    <row r="50" spans="1:7" s="4" customFormat="1" hidden="1" x14ac:dyDescent="0.25">
      <c r="A50" s="335"/>
      <c r="B50" s="335"/>
      <c r="C50" s="336"/>
      <c r="D50" s="337"/>
      <c r="E50" s="337"/>
      <c r="F50" s="338"/>
      <c r="G50" s="77">
        <f t="shared" si="0"/>
        <v>0</v>
      </c>
    </row>
    <row r="51" spans="1:7" s="4" customFormat="1" hidden="1" x14ac:dyDescent="0.25">
      <c r="A51" s="335"/>
      <c r="B51" s="335"/>
      <c r="C51" s="336"/>
      <c r="D51" s="337"/>
      <c r="E51" s="337"/>
      <c r="F51" s="338"/>
      <c r="G51" s="77">
        <f t="shared" ref="G51:G59" si="1">C51</f>
        <v>0</v>
      </c>
    </row>
    <row r="52" spans="1:7" s="4" customFormat="1" hidden="1" x14ac:dyDescent="0.25">
      <c r="A52" s="335"/>
      <c r="B52" s="335"/>
      <c r="C52" s="336"/>
      <c r="D52" s="337"/>
      <c r="E52" s="337"/>
      <c r="F52" s="338"/>
      <c r="G52" s="77">
        <f t="shared" si="1"/>
        <v>0</v>
      </c>
    </row>
    <row r="53" spans="1:7" s="4" customFormat="1" hidden="1" x14ac:dyDescent="0.25">
      <c r="A53" s="335"/>
      <c r="B53" s="335"/>
      <c r="C53" s="336"/>
      <c r="D53" s="337"/>
      <c r="E53" s="337"/>
      <c r="F53" s="338"/>
      <c r="G53" s="77">
        <f t="shared" si="1"/>
        <v>0</v>
      </c>
    </row>
    <row r="54" spans="1:7" s="4" customFormat="1" hidden="1" x14ac:dyDescent="0.25">
      <c r="A54" s="335"/>
      <c r="B54" s="335"/>
      <c r="C54" s="336"/>
      <c r="D54" s="337"/>
      <c r="E54" s="337"/>
      <c r="F54" s="338"/>
      <c r="G54" s="77"/>
    </row>
    <row r="55" spans="1:7" s="4" customFormat="1" hidden="1" x14ac:dyDescent="0.25">
      <c r="A55" s="335"/>
      <c r="B55" s="335"/>
      <c r="C55" s="336"/>
      <c r="D55" s="337"/>
      <c r="E55" s="337"/>
      <c r="F55" s="338"/>
      <c r="G55" s="77"/>
    </row>
    <row r="56" spans="1:7" s="4" customFormat="1" hidden="1" x14ac:dyDescent="0.25">
      <c r="A56" s="335"/>
      <c r="B56" s="335"/>
      <c r="C56" s="336"/>
      <c r="D56" s="337"/>
      <c r="E56" s="337"/>
      <c r="F56" s="338"/>
      <c r="G56" s="77"/>
    </row>
    <row r="57" spans="1:7" s="4" customFormat="1" hidden="1" x14ac:dyDescent="0.25">
      <c r="A57" s="335"/>
      <c r="B57" s="335"/>
      <c r="C57" s="336"/>
      <c r="D57" s="337"/>
      <c r="E57" s="337"/>
      <c r="F57" s="338"/>
      <c r="G57" s="77"/>
    </row>
    <row r="58" spans="1:7" s="4" customFormat="1" hidden="1" x14ac:dyDescent="0.25">
      <c r="A58" s="335"/>
      <c r="B58" s="335"/>
      <c r="C58" s="336"/>
      <c r="D58" s="337"/>
      <c r="E58" s="337"/>
      <c r="F58" s="338"/>
      <c r="G58" s="77"/>
    </row>
    <row r="59" spans="1:7" s="4" customFormat="1" hidden="1" x14ac:dyDescent="0.25">
      <c r="A59" s="335"/>
      <c r="B59" s="335"/>
      <c r="C59" s="336"/>
      <c r="D59" s="337"/>
      <c r="E59" s="337"/>
      <c r="F59" s="338"/>
      <c r="G59" s="77">
        <f t="shared" si="1"/>
        <v>0</v>
      </c>
    </row>
    <row r="60" spans="1:7" s="4" customFormat="1" hidden="1" x14ac:dyDescent="0.25">
      <c r="A60" s="335" t="str">
        <f>CONCATENATE("Unidad de Competencia N° 04 (UC4):
",Perfil_Egreso!A22)</f>
        <v xml:space="preserve">Unidad de Competencia N° 04 (UC4):
</v>
      </c>
      <c r="B60" s="335"/>
      <c r="C60" s="336"/>
      <c r="D60" s="337"/>
      <c r="E60" s="337"/>
      <c r="F60" s="338"/>
      <c r="G60" s="77">
        <f t="shared" si="0"/>
        <v>0</v>
      </c>
    </row>
    <row r="61" spans="1:7" s="4" customFormat="1" hidden="1" x14ac:dyDescent="0.25">
      <c r="A61" s="335"/>
      <c r="B61" s="335"/>
      <c r="C61" s="336"/>
      <c r="D61" s="337"/>
      <c r="E61" s="337"/>
      <c r="F61" s="338"/>
      <c r="G61" s="77">
        <f t="shared" si="0"/>
        <v>0</v>
      </c>
    </row>
    <row r="62" spans="1:7" s="4" customFormat="1" hidden="1" x14ac:dyDescent="0.25">
      <c r="A62" s="335"/>
      <c r="B62" s="335"/>
      <c r="C62" s="336"/>
      <c r="D62" s="337"/>
      <c r="E62" s="337"/>
      <c r="F62" s="338"/>
      <c r="G62" s="77">
        <f t="shared" si="0"/>
        <v>0</v>
      </c>
    </row>
    <row r="63" spans="1:7" s="4" customFormat="1" hidden="1" x14ac:dyDescent="0.25">
      <c r="A63" s="335"/>
      <c r="B63" s="335"/>
      <c r="C63" s="331"/>
      <c r="D63" s="331"/>
      <c r="E63" s="331"/>
      <c r="F63" s="331"/>
      <c r="G63" s="77">
        <f t="shared" si="0"/>
        <v>0</v>
      </c>
    </row>
    <row r="64" spans="1:7" s="4" customFormat="1" hidden="1" x14ac:dyDescent="0.25">
      <c r="A64" s="335"/>
      <c r="B64" s="335"/>
      <c r="C64" s="331"/>
      <c r="D64" s="331"/>
      <c r="E64" s="331"/>
      <c r="F64" s="331"/>
      <c r="G64" s="77">
        <f t="shared" ref="G64:G74" si="2">C64</f>
        <v>0</v>
      </c>
    </row>
    <row r="65" spans="1:7" s="4" customFormat="1" hidden="1" x14ac:dyDescent="0.25">
      <c r="A65" s="335"/>
      <c r="B65" s="335"/>
      <c r="C65" s="331"/>
      <c r="D65" s="331"/>
      <c r="E65" s="331"/>
      <c r="F65" s="331"/>
      <c r="G65" s="77">
        <f t="shared" si="2"/>
        <v>0</v>
      </c>
    </row>
    <row r="66" spans="1:7" s="4" customFormat="1" hidden="1" x14ac:dyDescent="0.25">
      <c r="A66" s="335"/>
      <c r="B66" s="335"/>
      <c r="C66" s="331"/>
      <c r="D66" s="331"/>
      <c r="E66" s="331"/>
      <c r="F66" s="331"/>
      <c r="G66" s="77">
        <f t="shared" si="2"/>
        <v>0</v>
      </c>
    </row>
    <row r="67" spans="1:7" s="4" customFormat="1" hidden="1" x14ac:dyDescent="0.25">
      <c r="A67" s="335"/>
      <c r="B67" s="335"/>
      <c r="C67" s="331"/>
      <c r="D67" s="331"/>
      <c r="E67" s="331"/>
      <c r="F67" s="331"/>
      <c r="G67" s="77">
        <f t="shared" si="2"/>
        <v>0</v>
      </c>
    </row>
    <row r="68" spans="1:7" s="4" customFormat="1" hidden="1" x14ac:dyDescent="0.25">
      <c r="A68" s="335"/>
      <c r="B68" s="335"/>
      <c r="C68" s="331"/>
      <c r="D68" s="331"/>
      <c r="E68" s="331"/>
      <c r="F68" s="331"/>
      <c r="G68" s="77">
        <f t="shared" si="2"/>
        <v>0</v>
      </c>
    </row>
    <row r="69" spans="1:7" s="4" customFormat="1" hidden="1" x14ac:dyDescent="0.25">
      <c r="A69" s="335"/>
      <c r="B69" s="335"/>
      <c r="C69" s="331"/>
      <c r="D69" s="331"/>
      <c r="E69" s="331"/>
      <c r="F69" s="331"/>
      <c r="G69" s="77"/>
    </row>
    <row r="70" spans="1:7" s="4" customFormat="1" hidden="1" x14ac:dyDescent="0.25">
      <c r="A70" s="335"/>
      <c r="B70" s="335"/>
      <c r="C70" s="331"/>
      <c r="D70" s="331"/>
      <c r="E70" s="331"/>
      <c r="F70" s="331"/>
      <c r="G70" s="77"/>
    </row>
    <row r="71" spans="1:7" s="4" customFormat="1" hidden="1" x14ac:dyDescent="0.25">
      <c r="A71" s="335"/>
      <c r="B71" s="335"/>
      <c r="C71" s="331"/>
      <c r="D71" s="331"/>
      <c r="E71" s="331"/>
      <c r="F71" s="331"/>
      <c r="G71" s="77"/>
    </row>
    <row r="72" spans="1:7" s="4" customFormat="1" hidden="1" x14ac:dyDescent="0.25">
      <c r="A72" s="335"/>
      <c r="B72" s="335"/>
      <c r="C72" s="331"/>
      <c r="D72" s="331"/>
      <c r="E72" s="331"/>
      <c r="F72" s="331"/>
      <c r="G72" s="77"/>
    </row>
    <row r="73" spans="1:7" s="4" customFormat="1" hidden="1" x14ac:dyDescent="0.25">
      <c r="A73" s="335"/>
      <c r="B73" s="335"/>
      <c r="C73" s="331"/>
      <c r="D73" s="331"/>
      <c r="E73" s="331"/>
      <c r="F73" s="331"/>
      <c r="G73" s="77"/>
    </row>
    <row r="74" spans="1:7" s="4" customFormat="1" hidden="1" x14ac:dyDescent="0.25">
      <c r="A74" s="335"/>
      <c r="B74" s="335"/>
      <c r="C74" s="331"/>
      <c r="D74" s="331"/>
      <c r="E74" s="331"/>
      <c r="F74" s="331"/>
      <c r="G74" s="77">
        <f t="shared" si="2"/>
        <v>0</v>
      </c>
    </row>
    <row r="75" spans="1:7" s="4" customFormat="1" hidden="1" x14ac:dyDescent="0.25">
      <c r="A75" s="335" t="str">
        <f>CONCATENATE("Unidad de Competencia N° 05 (UC5):
",Perfil_Egreso!A23)</f>
        <v xml:space="preserve">Unidad de Competencia N° 05 (UC5):
</v>
      </c>
      <c r="B75" s="335"/>
      <c r="C75" s="331"/>
      <c r="D75" s="331"/>
      <c r="E75" s="331"/>
      <c r="F75" s="331"/>
      <c r="G75" s="77">
        <f t="shared" si="0"/>
        <v>0</v>
      </c>
    </row>
    <row r="76" spans="1:7" s="4" customFormat="1" hidden="1" x14ac:dyDescent="0.25">
      <c r="A76" s="335"/>
      <c r="B76" s="335"/>
      <c r="C76" s="331"/>
      <c r="D76" s="331"/>
      <c r="E76" s="331"/>
      <c r="F76" s="331"/>
      <c r="G76" s="77">
        <f t="shared" si="0"/>
        <v>0</v>
      </c>
    </row>
    <row r="77" spans="1:7" s="4" customFormat="1" hidden="1" x14ac:dyDescent="0.25">
      <c r="A77" s="335"/>
      <c r="B77" s="335"/>
      <c r="C77" s="331"/>
      <c r="D77" s="331"/>
      <c r="E77" s="331"/>
      <c r="F77" s="331"/>
      <c r="G77" s="77">
        <f t="shared" si="0"/>
        <v>0</v>
      </c>
    </row>
    <row r="78" spans="1:7" s="4" customFormat="1" hidden="1" x14ac:dyDescent="0.25">
      <c r="A78" s="335"/>
      <c r="B78" s="335"/>
      <c r="C78" s="331"/>
      <c r="D78" s="331"/>
      <c r="E78" s="331"/>
      <c r="F78" s="331"/>
      <c r="G78" s="77">
        <f t="shared" si="0"/>
        <v>0</v>
      </c>
    </row>
    <row r="79" spans="1:7" s="4" customFormat="1" hidden="1" x14ac:dyDescent="0.25">
      <c r="A79" s="335"/>
      <c r="B79" s="335"/>
      <c r="C79" s="331"/>
      <c r="D79" s="331"/>
      <c r="E79" s="331"/>
      <c r="F79" s="331"/>
      <c r="G79" s="77">
        <f t="shared" si="0"/>
        <v>0</v>
      </c>
    </row>
    <row r="80" spans="1:7" s="4" customFormat="1" hidden="1" x14ac:dyDescent="0.25">
      <c r="A80" s="335"/>
      <c r="B80" s="335"/>
      <c r="C80" s="331"/>
      <c r="D80" s="331"/>
      <c r="E80" s="331"/>
      <c r="F80" s="331"/>
      <c r="G80" s="77">
        <f t="shared" si="0"/>
        <v>0</v>
      </c>
    </row>
    <row r="81" spans="1:7" s="4" customFormat="1" hidden="1" x14ac:dyDescent="0.25">
      <c r="A81" s="335"/>
      <c r="B81" s="335"/>
      <c r="C81" s="331"/>
      <c r="D81" s="331"/>
      <c r="E81" s="331"/>
      <c r="F81" s="331"/>
      <c r="G81" s="77">
        <f t="shared" si="0"/>
        <v>0</v>
      </c>
    </row>
    <row r="82" spans="1:7" s="4" customFormat="1" hidden="1" x14ac:dyDescent="0.25">
      <c r="A82" s="335"/>
      <c r="B82" s="335"/>
      <c r="C82" s="331"/>
      <c r="D82" s="331"/>
      <c r="E82" s="331"/>
      <c r="F82" s="331"/>
      <c r="G82" s="77">
        <f t="shared" si="0"/>
        <v>0</v>
      </c>
    </row>
    <row r="83" spans="1:7" s="4" customFormat="1" hidden="1" x14ac:dyDescent="0.25">
      <c r="A83" s="335"/>
      <c r="B83" s="335"/>
      <c r="C83" s="331"/>
      <c r="D83" s="331"/>
      <c r="E83" s="331"/>
      <c r="F83" s="331"/>
      <c r="G83" s="77">
        <f t="shared" si="0"/>
        <v>0</v>
      </c>
    </row>
    <row r="84" spans="1:7" s="4" customFormat="1" hidden="1" x14ac:dyDescent="0.25">
      <c r="A84" s="335"/>
      <c r="B84" s="335"/>
      <c r="C84" s="331"/>
      <c r="D84" s="331"/>
      <c r="E84" s="331"/>
      <c r="F84" s="331"/>
      <c r="G84" s="77"/>
    </row>
    <row r="85" spans="1:7" s="4" customFormat="1" hidden="1" x14ac:dyDescent="0.25">
      <c r="A85" s="335"/>
      <c r="B85" s="335"/>
      <c r="C85" s="331"/>
      <c r="D85" s="331"/>
      <c r="E85" s="331"/>
      <c r="F85" s="331"/>
      <c r="G85" s="77"/>
    </row>
    <row r="86" spans="1:7" s="4" customFormat="1" hidden="1" x14ac:dyDescent="0.25">
      <c r="A86" s="335"/>
      <c r="B86" s="335"/>
      <c r="C86" s="331"/>
      <c r="D86" s="331"/>
      <c r="E86" s="331"/>
      <c r="F86" s="331"/>
      <c r="G86" s="77"/>
    </row>
    <row r="87" spans="1:7" s="4" customFormat="1" hidden="1" x14ac:dyDescent="0.25">
      <c r="A87" s="335"/>
      <c r="B87" s="335"/>
      <c r="C87" s="331"/>
      <c r="D87" s="331"/>
      <c r="E87" s="331"/>
      <c r="F87" s="331"/>
      <c r="G87" s="77"/>
    </row>
    <row r="88" spans="1:7" s="4" customFormat="1" hidden="1" x14ac:dyDescent="0.25">
      <c r="A88" s="335"/>
      <c r="B88" s="335"/>
      <c r="C88" s="331"/>
      <c r="D88" s="331"/>
      <c r="E88" s="331"/>
      <c r="F88" s="331"/>
      <c r="G88" s="77"/>
    </row>
    <row r="89" spans="1:7" s="4" customFormat="1" hidden="1" x14ac:dyDescent="0.25">
      <c r="A89" s="335"/>
      <c r="B89" s="335"/>
      <c r="C89" s="331"/>
      <c r="D89" s="331"/>
      <c r="E89" s="331"/>
      <c r="F89" s="331"/>
      <c r="G89" s="77">
        <f t="shared" si="0"/>
        <v>0</v>
      </c>
    </row>
    <row r="90" spans="1:7" s="4" customFormat="1" hidden="1" x14ac:dyDescent="0.25">
      <c r="A90" s="335" t="str">
        <f>CONCATENATE("Unidad de Competencia N° 06 (UC6):
",Perfil_Egreso!A24)</f>
        <v xml:space="preserve">Unidad de Competencia N° 06 (UC6):
</v>
      </c>
      <c r="B90" s="335"/>
      <c r="C90" s="331"/>
      <c r="D90" s="331"/>
      <c r="E90" s="331"/>
      <c r="F90" s="331"/>
      <c r="G90" s="77">
        <f t="shared" si="0"/>
        <v>0</v>
      </c>
    </row>
    <row r="91" spans="1:7" s="4" customFormat="1" hidden="1" x14ac:dyDescent="0.25">
      <c r="A91" s="335"/>
      <c r="B91" s="335"/>
      <c r="C91" s="331"/>
      <c r="D91" s="331"/>
      <c r="E91" s="331"/>
      <c r="F91" s="331"/>
      <c r="G91" s="77">
        <f t="shared" si="0"/>
        <v>0</v>
      </c>
    </row>
    <row r="92" spans="1:7" s="4" customFormat="1" hidden="1" x14ac:dyDescent="0.25">
      <c r="A92" s="335"/>
      <c r="B92" s="335"/>
      <c r="C92" s="331"/>
      <c r="D92" s="331"/>
      <c r="E92" s="331"/>
      <c r="F92" s="331"/>
      <c r="G92" s="77">
        <f t="shared" si="0"/>
        <v>0</v>
      </c>
    </row>
    <row r="93" spans="1:7" s="4" customFormat="1" hidden="1" x14ac:dyDescent="0.25">
      <c r="A93" s="335"/>
      <c r="B93" s="335"/>
      <c r="C93" s="331"/>
      <c r="D93" s="331"/>
      <c r="E93" s="331"/>
      <c r="F93" s="331"/>
      <c r="G93" s="77">
        <f t="shared" si="0"/>
        <v>0</v>
      </c>
    </row>
    <row r="94" spans="1:7" s="4" customFormat="1" hidden="1" x14ac:dyDescent="0.25">
      <c r="A94" s="335"/>
      <c r="B94" s="335"/>
      <c r="C94" s="331"/>
      <c r="D94" s="331"/>
      <c r="E94" s="331"/>
      <c r="F94" s="331"/>
      <c r="G94" s="77">
        <f t="shared" si="0"/>
        <v>0</v>
      </c>
    </row>
    <row r="95" spans="1:7" s="4" customFormat="1" hidden="1" x14ac:dyDescent="0.25">
      <c r="A95" s="335"/>
      <c r="B95" s="335"/>
      <c r="C95" s="331"/>
      <c r="D95" s="331"/>
      <c r="E95" s="331"/>
      <c r="F95" s="331"/>
      <c r="G95" s="77">
        <f t="shared" si="0"/>
        <v>0</v>
      </c>
    </row>
    <row r="96" spans="1:7" s="4" customFormat="1" hidden="1" x14ac:dyDescent="0.25">
      <c r="A96" s="335"/>
      <c r="B96" s="335"/>
      <c r="C96" s="331"/>
      <c r="D96" s="331"/>
      <c r="E96" s="331"/>
      <c r="F96" s="331"/>
      <c r="G96" s="77">
        <f t="shared" si="0"/>
        <v>0</v>
      </c>
    </row>
    <row r="97" spans="1:7" s="4" customFormat="1" hidden="1" x14ac:dyDescent="0.25">
      <c r="A97" s="335"/>
      <c r="B97" s="335"/>
      <c r="C97" s="331"/>
      <c r="D97" s="331"/>
      <c r="E97" s="331"/>
      <c r="F97" s="331"/>
      <c r="G97" s="77">
        <f t="shared" si="0"/>
        <v>0</v>
      </c>
    </row>
    <row r="98" spans="1:7" s="4" customFormat="1" hidden="1" x14ac:dyDescent="0.25">
      <c r="A98" s="335"/>
      <c r="B98" s="335"/>
      <c r="C98" s="331"/>
      <c r="D98" s="331"/>
      <c r="E98" s="331"/>
      <c r="F98" s="331"/>
      <c r="G98" s="77">
        <f t="shared" si="0"/>
        <v>0</v>
      </c>
    </row>
    <row r="99" spans="1:7" s="4" customFormat="1" hidden="1" x14ac:dyDescent="0.25">
      <c r="A99" s="335"/>
      <c r="B99" s="335"/>
      <c r="C99" s="331"/>
      <c r="D99" s="331"/>
      <c r="E99" s="331"/>
      <c r="F99" s="331"/>
      <c r="G99" s="77"/>
    </row>
    <row r="100" spans="1:7" s="4" customFormat="1" hidden="1" x14ac:dyDescent="0.25">
      <c r="A100" s="335"/>
      <c r="B100" s="335"/>
      <c r="C100" s="331"/>
      <c r="D100" s="331"/>
      <c r="E100" s="331"/>
      <c r="F100" s="331"/>
      <c r="G100" s="77"/>
    </row>
    <row r="101" spans="1:7" s="4" customFormat="1" hidden="1" x14ac:dyDescent="0.25">
      <c r="A101" s="335"/>
      <c r="B101" s="335"/>
      <c r="C101" s="331"/>
      <c r="D101" s="331"/>
      <c r="E101" s="331"/>
      <c r="F101" s="331"/>
      <c r="G101" s="77"/>
    </row>
    <row r="102" spans="1:7" s="4" customFormat="1" hidden="1" x14ac:dyDescent="0.25">
      <c r="A102" s="335"/>
      <c r="B102" s="335"/>
      <c r="C102" s="331"/>
      <c r="D102" s="331"/>
      <c r="E102" s="331"/>
      <c r="F102" s="331"/>
      <c r="G102" s="77"/>
    </row>
    <row r="103" spans="1:7" s="4" customFormat="1" hidden="1" x14ac:dyDescent="0.25">
      <c r="A103" s="335"/>
      <c r="B103" s="335"/>
      <c r="C103" s="331"/>
      <c r="D103" s="331"/>
      <c r="E103" s="331"/>
      <c r="F103" s="331"/>
      <c r="G103" s="77"/>
    </row>
    <row r="104" spans="1:7" s="4" customFormat="1" hidden="1" x14ac:dyDescent="0.25">
      <c r="A104" s="335"/>
      <c r="B104" s="335"/>
      <c r="C104" s="331"/>
      <c r="D104" s="331"/>
      <c r="E104" s="331"/>
      <c r="F104" s="331"/>
      <c r="G104" s="77">
        <f t="shared" si="0"/>
        <v>0</v>
      </c>
    </row>
    <row r="105" spans="1:7" s="4" customFormat="1" hidden="1" x14ac:dyDescent="0.25">
      <c r="A105" s="335" t="str">
        <f>CONCATENATE("Unidad de Competencia N° 07 (UC7):
",Perfil_Egreso!A25)</f>
        <v xml:space="preserve">Unidad de Competencia N° 07 (UC7):
</v>
      </c>
      <c r="B105" s="335"/>
      <c r="C105" s="331"/>
      <c r="D105" s="331"/>
      <c r="E105" s="331"/>
      <c r="F105" s="331"/>
      <c r="G105" s="77">
        <f t="shared" si="0"/>
        <v>0</v>
      </c>
    </row>
    <row r="106" spans="1:7" s="4" customFormat="1" hidden="1" x14ac:dyDescent="0.25">
      <c r="A106" s="335"/>
      <c r="B106" s="335"/>
      <c r="C106" s="331"/>
      <c r="D106" s="331"/>
      <c r="E106" s="331"/>
      <c r="F106" s="331"/>
      <c r="G106" s="77">
        <f t="shared" si="0"/>
        <v>0</v>
      </c>
    </row>
    <row r="107" spans="1:7" s="4" customFormat="1" hidden="1" x14ac:dyDescent="0.25">
      <c r="A107" s="335"/>
      <c r="B107" s="335"/>
      <c r="C107" s="331"/>
      <c r="D107" s="331"/>
      <c r="E107" s="331"/>
      <c r="F107" s="331"/>
      <c r="G107" s="77">
        <f t="shared" si="0"/>
        <v>0</v>
      </c>
    </row>
    <row r="108" spans="1:7" s="4" customFormat="1" hidden="1" x14ac:dyDescent="0.25">
      <c r="A108" s="335"/>
      <c r="B108" s="335"/>
      <c r="C108" s="331"/>
      <c r="D108" s="331"/>
      <c r="E108" s="331"/>
      <c r="F108" s="331"/>
      <c r="G108" s="77">
        <f t="shared" si="0"/>
        <v>0</v>
      </c>
    </row>
    <row r="109" spans="1:7" s="4" customFormat="1" hidden="1" x14ac:dyDescent="0.25">
      <c r="A109" s="335"/>
      <c r="B109" s="335"/>
      <c r="C109" s="331"/>
      <c r="D109" s="331"/>
      <c r="E109" s="331"/>
      <c r="F109" s="331"/>
      <c r="G109" s="77">
        <f t="shared" si="0"/>
        <v>0</v>
      </c>
    </row>
    <row r="110" spans="1:7" s="4" customFormat="1" hidden="1" x14ac:dyDescent="0.25">
      <c r="A110" s="335"/>
      <c r="B110" s="335"/>
      <c r="C110" s="331"/>
      <c r="D110" s="331"/>
      <c r="E110" s="331"/>
      <c r="F110" s="331"/>
      <c r="G110" s="77">
        <f t="shared" ref="G110:G216" si="3">C110</f>
        <v>0</v>
      </c>
    </row>
    <row r="111" spans="1:7" s="4" customFormat="1" hidden="1" x14ac:dyDescent="0.25">
      <c r="A111" s="335"/>
      <c r="B111" s="335"/>
      <c r="C111" s="331"/>
      <c r="D111" s="331"/>
      <c r="E111" s="331"/>
      <c r="F111" s="331"/>
      <c r="G111" s="77">
        <f t="shared" si="3"/>
        <v>0</v>
      </c>
    </row>
    <row r="112" spans="1:7" s="4" customFormat="1" hidden="1" x14ac:dyDescent="0.25">
      <c r="A112" s="335"/>
      <c r="B112" s="335"/>
      <c r="C112" s="331"/>
      <c r="D112" s="331"/>
      <c r="E112" s="331"/>
      <c r="F112" s="331"/>
      <c r="G112" s="77">
        <f t="shared" si="3"/>
        <v>0</v>
      </c>
    </row>
    <row r="113" spans="1:7" s="4" customFormat="1" hidden="1" x14ac:dyDescent="0.25">
      <c r="A113" s="335"/>
      <c r="B113" s="335"/>
      <c r="C113" s="331"/>
      <c r="D113" s="331"/>
      <c r="E113" s="331"/>
      <c r="F113" s="331"/>
      <c r="G113" s="77">
        <f t="shared" si="3"/>
        <v>0</v>
      </c>
    </row>
    <row r="114" spans="1:7" s="4" customFormat="1" hidden="1" x14ac:dyDescent="0.25">
      <c r="A114" s="335"/>
      <c r="B114" s="335"/>
      <c r="C114" s="331"/>
      <c r="D114" s="331"/>
      <c r="E114" s="331"/>
      <c r="F114" s="331"/>
      <c r="G114" s="77"/>
    </row>
    <row r="115" spans="1:7" s="4" customFormat="1" hidden="1" x14ac:dyDescent="0.25">
      <c r="A115" s="335"/>
      <c r="B115" s="335"/>
      <c r="C115" s="331"/>
      <c r="D115" s="331"/>
      <c r="E115" s="331"/>
      <c r="F115" s="331"/>
      <c r="G115" s="77"/>
    </row>
    <row r="116" spans="1:7" s="4" customFormat="1" hidden="1" x14ac:dyDescent="0.25">
      <c r="A116" s="335"/>
      <c r="B116" s="335"/>
      <c r="C116" s="331"/>
      <c r="D116" s="331"/>
      <c r="E116" s="331"/>
      <c r="F116" s="331"/>
      <c r="G116" s="77"/>
    </row>
    <row r="117" spans="1:7" s="4" customFormat="1" hidden="1" x14ac:dyDescent="0.25">
      <c r="A117" s="335"/>
      <c r="B117" s="335"/>
      <c r="C117" s="331"/>
      <c r="D117" s="331"/>
      <c r="E117" s="331"/>
      <c r="F117" s="331"/>
      <c r="G117" s="77"/>
    </row>
    <row r="118" spans="1:7" s="4" customFormat="1" hidden="1" x14ac:dyDescent="0.25">
      <c r="A118" s="335"/>
      <c r="B118" s="335"/>
      <c r="C118" s="331"/>
      <c r="D118" s="331"/>
      <c r="E118" s="331"/>
      <c r="F118" s="331"/>
      <c r="G118" s="77"/>
    </row>
    <row r="119" spans="1:7" s="4" customFormat="1" hidden="1" x14ac:dyDescent="0.25">
      <c r="A119" s="335"/>
      <c r="B119" s="335"/>
      <c r="C119" s="331"/>
      <c r="D119" s="331"/>
      <c r="E119" s="331"/>
      <c r="F119" s="331"/>
      <c r="G119" s="77">
        <f t="shared" si="3"/>
        <v>0</v>
      </c>
    </row>
    <row r="120" spans="1:7" s="4" customFormat="1" hidden="1" x14ac:dyDescent="0.25">
      <c r="A120" s="335" t="str">
        <f>CONCATENATE("Unidad de Competencia N° 08 (UC8):
",Perfil_Egreso!A26)</f>
        <v xml:space="preserve">Unidad de Competencia N° 08 (UC8):
</v>
      </c>
      <c r="B120" s="335"/>
      <c r="C120" s="331"/>
      <c r="D120" s="331"/>
      <c r="E120" s="331"/>
      <c r="F120" s="331"/>
      <c r="G120" s="77">
        <f t="shared" si="3"/>
        <v>0</v>
      </c>
    </row>
    <row r="121" spans="1:7" s="4" customFormat="1" hidden="1" x14ac:dyDescent="0.25">
      <c r="A121" s="335"/>
      <c r="B121" s="335"/>
      <c r="C121" s="331"/>
      <c r="D121" s="331"/>
      <c r="E121" s="331"/>
      <c r="F121" s="331"/>
      <c r="G121" s="77">
        <f t="shared" si="3"/>
        <v>0</v>
      </c>
    </row>
    <row r="122" spans="1:7" s="4" customFormat="1" hidden="1" x14ac:dyDescent="0.25">
      <c r="A122" s="335"/>
      <c r="B122" s="335"/>
      <c r="C122" s="331"/>
      <c r="D122" s="331"/>
      <c r="E122" s="331"/>
      <c r="F122" s="331"/>
      <c r="G122" s="77">
        <f t="shared" si="3"/>
        <v>0</v>
      </c>
    </row>
    <row r="123" spans="1:7" s="4" customFormat="1" hidden="1" x14ac:dyDescent="0.25">
      <c r="A123" s="335"/>
      <c r="B123" s="335"/>
      <c r="C123" s="331"/>
      <c r="D123" s="331"/>
      <c r="E123" s="331"/>
      <c r="F123" s="331"/>
      <c r="G123" s="77">
        <f t="shared" si="3"/>
        <v>0</v>
      </c>
    </row>
    <row r="124" spans="1:7" s="4" customFormat="1" hidden="1" x14ac:dyDescent="0.25">
      <c r="A124" s="335"/>
      <c r="B124" s="335"/>
      <c r="C124" s="331"/>
      <c r="D124" s="331"/>
      <c r="E124" s="331"/>
      <c r="F124" s="331"/>
      <c r="G124" s="77">
        <f t="shared" si="3"/>
        <v>0</v>
      </c>
    </row>
    <row r="125" spans="1:7" s="4" customFormat="1" hidden="1" x14ac:dyDescent="0.25">
      <c r="A125" s="335"/>
      <c r="B125" s="335"/>
      <c r="C125" s="331"/>
      <c r="D125" s="331"/>
      <c r="E125" s="331"/>
      <c r="F125" s="331"/>
      <c r="G125" s="77">
        <f t="shared" si="3"/>
        <v>0</v>
      </c>
    </row>
    <row r="126" spans="1:7" s="4" customFormat="1" hidden="1" x14ac:dyDescent="0.25">
      <c r="A126" s="335"/>
      <c r="B126" s="335"/>
      <c r="C126" s="331"/>
      <c r="D126" s="331"/>
      <c r="E126" s="331"/>
      <c r="F126" s="331"/>
      <c r="G126" s="77">
        <f t="shared" si="3"/>
        <v>0</v>
      </c>
    </row>
    <row r="127" spans="1:7" s="4" customFormat="1" hidden="1" x14ac:dyDescent="0.25">
      <c r="A127" s="335"/>
      <c r="B127" s="335"/>
      <c r="C127" s="331"/>
      <c r="D127" s="331"/>
      <c r="E127" s="331"/>
      <c r="F127" s="331"/>
      <c r="G127" s="77">
        <f t="shared" si="3"/>
        <v>0</v>
      </c>
    </row>
    <row r="128" spans="1:7" s="4" customFormat="1" hidden="1" x14ac:dyDescent="0.25">
      <c r="A128" s="335"/>
      <c r="B128" s="335"/>
      <c r="C128" s="331"/>
      <c r="D128" s="331"/>
      <c r="E128" s="331"/>
      <c r="F128" s="331"/>
      <c r="G128" s="77">
        <f t="shared" si="3"/>
        <v>0</v>
      </c>
    </row>
    <row r="129" spans="1:7" s="4" customFormat="1" hidden="1" x14ac:dyDescent="0.25">
      <c r="A129" s="335"/>
      <c r="B129" s="335"/>
      <c r="C129" s="331"/>
      <c r="D129" s="331"/>
      <c r="E129" s="331"/>
      <c r="F129" s="331"/>
      <c r="G129" s="77"/>
    </row>
    <row r="130" spans="1:7" s="4" customFormat="1" hidden="1" x14ac:dyDescent="0.25">
      <c r="A130" s="335"/>
      <c r="B130" s="335"/>
      <c r="C130" s="331"/>
      <c r="D130" s="331"/>
      <c r="E130" s="331"/>
      <c r="F130" s="331"/>
      <c r="G130" s="77"/>
    </row>
    <row r="131" spans="1:7" s="4" customFormat="1" hidden="1" x14ac:dyDescent="0.25">
      <c r="A131" s="335"/>
      <c r="B131" s="335"/>
      <c r="C131" s="331"/>
      <c r="D131" s="331"/>
      <c r="E131" s="331"/>
      <c r="F131" s="331"/>
      <c r="G131" s="77"/>
    </row>
    <row r="132" spans="1:7" s="4" customFormat="1" hidden="1" x14ac:dyDescent="0.25">
      <c r="A132" s="335"/>
      <c r="B132" s="335"/>
      <c r="C132" s="331"/>
      <c r="D132" s="331"/>
      <c r="E132" s="331"/>
      <c r="F132" s="331"/>
      <c r="G132" s="77"/>
    </row>
    <row r="133" spans="1:7" s="4" customFormat="1" hidden="1" x14ac:dyDescent="0.25">
      <c r="A133" s="335"/>
      <c r="B133" s="335"/>
      <c r="C133" s="331"/>
      <c r="D133" s="331"/>
      <c r="E133" s="331"/>
      <c r="F133" s="331"/>
      <c r="G133" s="77"/>
    </row>
    <row r="134" spans="1:7" s="4" customFormat="1" hidden="1" x14ac:dyDescent="0.25">
      <c r="A134" s="335"/>
      <c r="B134" s="335"/>
      <c r="C134" s="331"/>
      <c r="D134" s="331"/>
      <c r="E134" s="331"/>
      <c r="F134" s="331"/>
      <c r="G134" s="77">
        <f t="shared" si="3"/>
        <v>0</v>
      </c>
    </row>
    <row r="135" spans="1:7" s="4" customFormat="1" hidden="1" x14ac:dyDescent="0.25">
      <c r="A135" s="335" t="str">
        <f>CONCATENATE("Unidad de Competencia N° 09 (UC9):
",Perfil_Egreso!A27)</f>
        <v xml:space="preserve">Unidad de Competencia N° 09 (UC9):
</v>
      </c>
      <c r="B135" s="335"/>
      <c r="C135" s="331"/>
      <c r="D135" s="331"/>
      <c r="E135" s="331"/>
      <c r="F135" s="331"/>
      <c r="G135" s="77">
        <f t="shared" ref="G135:G143" si="4">C135</f>
        <v>0</v>
      </c>
    </row>
    <row r="136" spans="1:7" s="4" customFormat="1" hidden="1" x14ac:dyDescent="0.25">
      <c r="A136" s="335"/>
      <c r="B136" s="335"/>
      <c r="C136" s="331"/>
      <c r="D136" s="331"/>
      <c r="E136" s="331"/>
      <c r="F136" s="331"/>
      <c r="G136" s="77">
        <f t="shared" si="4"/>
        <v>0</v>
      </c>
    </row>
    <row r="137" spans="1:7" s="4" customFormat="1" hidden="1" x14ac:dyDescent="0.25">
      <c r="A137" s="335"/>
      <c r="B137" s="335"/>
      <c r="C137" s="331"/>
      <c r="D137" s="331"/>
      <c r="E137" s="331"/>
      <c r="F137" s="331"/>
      <c r="G137" s="77">
        <f t="shared" si="4"/>
        <v>0</v>
      </c>
    </row>
    <row r="138" spans="1:7" s="4" customFormat="1" hidden="1" x14ac:dyDescent="0.25">
      <c r="A138" s="335"/>
      <c r="B138" s="335"/>
      <c r="C138" s="331"/>
      <c r="D138" s="331"/>
      <c r="E138" s="331"/>
      <c r="F138" s="331"/>
      <c r="G138" s="77">
        <f t="shared" si="4"/>
        <v>0</v>
      </c>
    </row>
    <row r="139" spans="1:7" s="4" customFormat="1" hidden="1" x14ac:dyDescent="0.25">
      <c r="A139" s="335"/>
      <c r="B139" s="335"/>
      <c r="C139" s="331"/>
      <c r="D139" s="331"/>
      <c r="E139" s="331"/>
      <c r="F139" s="331"/>
      <c r="G139" s="77">
        <f t="shared" si="4"/>
        <v>0</v>
      </c>
    </row>
    <row r="140" spans="1:7" s="4" customFormat="1" hidden="1" x14ac:dyDescent="0.25">
      <c r="A140" s="335"/>
      <c r="B140" s="335"/>
      <c r="C140" s="331"/>
      <c r="D140" s="331"/>
      <c r="E140" s="331"/>
      <c r="F140" s="331"/>
      <c r="G140" s="77">
        <f t="shared" si="4"/>
        <v>0</v>
      </c>
    </row>
    <row r="141" spans="1:7" s="4" customFormat="1" hidden="1" x14ac:dyDescent="0.25">
      <c r="A141" s="335"/>
      <c r="B141" s="335"/>
      <c r="C141" s="331"/>
      <c r="D141" s="331"/>
      <c r="E141" s="331"/>
      <c r="F141" s="331"/>
      <c r="G141" s="77">
        <f t="shared" si="4"/>
        <v>0</v>
      </c>
    </row>
    <row r="142" spans="1:7" s="4" customFormat="1" hidden="1" x14ac:dyDescent="0.25">
      <c r="A142" s="335"/>
      <c r="B142" s="335"/>
      <c r="C142" s="331"/>
      <c r="D142" s="331"/>
      <c r="E142" s="331"/>
      <c r="F142" s="331"/>
      <c r="G142" s="77">
        <f t="shared" si="4"/>
        <v>0</v>
      </c>
    </row>
    <row r="143" spans="1:7" s="4" customFormat="1" hidden="1" x14ac:dyDescent="0.25">
      <c r="A143" s="335"/>
      <c r="B143" s="335"/>
      <c r="C143" s="331"/>
      <c r="D143" s="331"/>
      <c r="E143" s="331"/>
      <c r="F143" s="331"/>
      <c r="G143" s="77">
        <f t="shared" si="4"/>
        <v>0</v>
      </c>
    </row>
    <row r="144" spans="1:7" s="4" customFormat="1" hidden="1" x14ac:dyDescent="0.25">
      <c r="A144" s="335"/>
      <c r="B144" s="335"/>
      <c r="C144" s="331"/>
      <c r="D144" s="331"/>
      <c r="E144" s="331"/>
      <c r="F144" s="331"/>
      <c r="G144" s="77"/>
    </row>
    <row r="145" spans="1:7" s="4" customFormat="1" hidden="1" x14ac:dyDescent="0.25">
      <c r="A145" s="335"/>
      <c r="B145" s="335"/>
      <c r="C145" s="331"/>
      <c r="D145" s="331"/>
      <c r="E145" s="331"/>
      <c r="F145" s="331"/>
      <c r="G145" s="77"/>
    </row>
    <row r="146" spans="1:7" s="4" customFormat="1" hidden="1" x14ac:dyDescent="0.25">
      <c r="A146" s="335"/>
      <c r="B146" s="335"/>
      <c r="C146" s="331"/>
      <c r="D146" s="331"/>
      <c r="E146" s="331"/>
      <c r="F146" s="331"/>
      <c r="G146" s="77"/>
    </row>
    <row r="147" spans="1:7" s="4" customFormat="1" hidden="1" x14ac:dyDescent="0.25">
      <c r="A147" s="335"/>
      <c r="B147" s="335"/>
      <c r="C147" s="331"/>
      <c r="D147" s="331"/>
      <c r="E147" s="331"/>
      <c r="F147" s="331"/>
      <c r="G147" s="77"/>
    </row>
    <row r="148" spans="1:7" s="4" customFormat="1" hidden="1" x14ac:dyDescent="0.25">
      <c r="A148" s="335"/>
      <c r="B148" s="335"/>
      <c r="C148" s="331"/>
      <c r="D148" s="331"/>
      <c r="E148" s="331"/>
      <c r="F148" s="331"/>
      <c r="G148" s="77"/>
    </row>
    <row r="149" spans="1:7" s="4" customFormat="1" hidden="1" x14ac:dyDescent="0.25">
      <c r="A149" s="335"/>
      <c r="B149" s="335"/>
      <c r="C149" s="331"/>
      <c r="D149" s="331"/>
      <c r="E149" s="331"/>
      <c r="F149" s="331"/>
      <c r="G149" s="77">
        <f t="shared" ref="G149:G158" si="5">C149</f>
        <v>0</v>
      </c>
    </row>
    <row r="150" spans="1:7" s="4" customFormat="1" hidden="1" x14ac:dyDescent="0.25">
      <c r="A150" s="335" t="str">
        <f>CONCATENATE("Unidad de Competencia N° 10 (UC10):
",Perfil_Egreso!A28)</f>
        <v xml:space="preserve">Unidad de Competencia N° 10 (UC10):
</v>
      </c>
      <c r="B150" s="335"/>
      <c r="C150" s="331"/>
      <c r="D150" s="331"/>
      <c r="E150" s="331"/>
      <c r="F150" s="331"/>
      <c r="G150" s="77">
        <f t="shared" si="5"/>
        <v>0</v>
      </c>
    </row>
    <row r="151" spans="1:7" s="4" customFormat="1" hidden="1" x14ac:dyDescent="0.25">
      <c r="A151" s="335"/>
      <c r="B151" s="335"/>
      <c r="C151" s="331"/>
      <c r="D151" s="331"/>
      <c r="E151" s="331"/>
      <c r="F151" s="331"/>
      <c r="G151" s="77">
        <f t="shared" si="5"/>
        <v>0</v>
      </c>
    </row>
    <row r="152" spans="1:7" s="4" customFormat="1" hidden="1" x14ac:dyDescent="0.25">
      <c r="A152" s="335"/>
      <c r="B152" s="335"/>
      <c r="C152" s="331"/>
      <c r="D152" s="331"/>
      <c r="E152" s="331"/>
      <c r="F152" s="331"/>
      <c r="G152" s="77">
        <f t="shared" si="5"/>
        <v>0</v>
      </c>
    </row>
    <row r="153" spans="1:7" s="4" customFormat="1" hidden="1" x14ac:dyDescent="0.25">
      <c r="A153" s="335"/>
      <c r="B153" s="335"/>
      <c r="C153" s="331"/>
      <c r="D153" s="331"/>
      <c r="E153" s="331"/>
      <c r="F153" s="331"/>
      <c r="G153" s="77">
        <f t="shared" si="5"/>
        <v>0</v>
      </c>
    </row>
    <row r="154" spans="1:7" s="4" customFormat="1" hidden="1" x14ac:dyDescent="0.25">
      <c r="A154" s="335"/>
      <c r="B154" s="335"/>
      <c r="C154" s="331"/>
      <c r="D154" s="331"/>
      <c r="E154" s="331"/>
      <c r="F154" s="331"/>
      <c r="G154" s="77">
        <f t="shared" si="5"/>
        <v>0</v>
      </c>
    </row>
    <row r="155" spans="1:7" s="4" customFormat="1" hidden="1" x14ac:dyDescent="0.25">
      <c r="A155" s="335"/>
      <c r="B155" s="335"/>
      <c r="C155" s="331"/>
      <c r="D155" s="331"/>
      <c r="E155" s="331"/>
      <c r="F155" s="331"/>
      <c r="G155" s="77">
        <f t="shared" si="5"/>
        <v>0</v>
      </c>
    </row>
    <row r="156" spans="1:7" s="4" customFormat="1" hidden="1" x14ac:dyDescent="0.25">
      <c r="A156" s="335"/>
      <c r="B156" s="335"/>
      <c r="C156" s="331"/>
      <c r="D156" s="331"/>
      <c r="E156" s="331"/>
      <c r="F156" s="331"/>
      <c r="G156" s="77">
        <f t="shared" si="5"/>
        <v>0</v>
      </c>
    </row>
    <row r="157" spans="1:7" s="4" customFormat="1" hidden="1" x14ac:dyDescent="0.25">
      <c r="A157" s="335"/>
      <c r="B157" s="335"/>
      <c r="C157" s="331"/>
      <c r="D157" s="331"/>
      <c r="E157" s="331"/>
      <c r="F157" s="331"/>
      <c r="G157" s="77">
        <f t="shared" si="5"/>
        <v>0</v>
      </c>
    </row>
    <row r="158" spans="1:7" s="4" customFormat="1" hidden="1" x14ac:dyDescent="0.25">
      <c r="A158" s="335"/>
      <c r="B158" s="335"/>
      <c r="C158" s="331"/>
      <c r="D158" s="331"/>
      <c r="E158" s="331"/>
      <c r="F158" s="331"/>
      <c r="G158" s="77">
        <f t="shared" si="5"/>
        <v>0</v>
      </c>
    </row>
    <row r="159" spans="1:7" s="4" customFormat="1" hidden="1" x14ac:dyDescent="0.25">
      <c r="A159" s="335"/>
      <c r="B159" s="335"/>
      <c r="C159" s="331"/>
      <c r="D159" s="331"/>
      <c r="E159" s="331"/>
      <c r="F159" s="331"/>
      <c r="G159" s="77"/>
    </row>
    <row r="160" spans="1:7" s="4" customFormat="1" hidden="1" x14ac:dyDescent="0.25">
      <c r="A160" s="335"/>
      <c r="B160" s="335"/>
      <c r="C160" s="331"/>
      <c r="D160" s="331"/>
      <c r="E160" s="331"/>
      <c r="F160" s="331"/>
      <c r="G160" s="77"/>
    </row>
    <row r="161" spans="1:7" s="4" customFormat="1" hidden="1" x14ac:dyDescent="0.25">
      <c r="A161" s="335"/>
      <c r="B161" s="335"/>
      <c r="C161" s="331"/>
      <c r="D161" s="331"/>
      <c r="E161" s="331"/>
      <c r="F161" s="331"/>
      <c r="G161" s="77"/>
    </row>
    <row r="162" spans="1:7" s="4" customFormat="1" hidden="1" x14ac:dyDescent="0.25">
      <c r="A162" s="335"/>
      <c r="B162" s="335"/>
      <c r="C162" s="331"/>
      <c r="D162" s="331"/>
      <c r="E162" s="331"/>
      <c r="F162" s="331"/>
      <c r="G162" s="77"/>
    </row>
    <row r="163" spans="1:7" s="4" customFormat="1" hidden="1" x14ac:dyDescent="0.25">
      <c r="A163" s="335"/>
      <c r="B163" s="335"/>
      <c r="C163" s="331"/>
      <c r="D163" s="331"/>
      <c r="E163" s="331"/>
      <c r="F163" s="331"/>
      <c r="G163" s="77"/>
    </row>
    <row r="164" spans="1:7" s="4" customFormat="1" hidden="1" x14ac:dyDescent="0.25">
      <c r="A164" s="335"/>
      <c r="B164" s="335"/>
      <c r="C164" s="331"/>
      <c r="D164" s="331"/>
      <c r="E164" s="331"/>
      <c r="F164" s="331"/>
      <c r="G164" s="77">
        <f t="shared" ref="G164" si="6">C164</f>
        <v>0</v>
      </c>
    </row>
    <row r="165" spans="1:7" hidden="1" x14ac:dyDescent="0.25">
      <c r="A165" s="332" t="s">
        <v>4</v>
      </c>
      <c r="B165" s="332"/>
      <c r="C165" s="332"/>
      <c r="D165" s="332"/>
      <c r="E165" s="332"/>
      <c r="F165" s="332"/>
      <c r="G165" s="77" t="str">
        <f>A165</f>
        <v>COMPETENCIAS PARA LA EMPLEABILIDAD</v>
      </c>
    </row>
    <row r="166" spans="1:7" x14ac:dyDescent="0.25">
      <c r="A166" s="344" t="s">
        <v>35</v>
      </c>
      <c r="B166" s="344"/>
      <c r="C166" s="333" t="s">
        <v>9</v>
      </c>
      <c r="D166" s="333"/>
      <c r="E166" s="333"/>
      <c r="F166" s="333"/>
      <c r="G166" s="77" t="str">
        <f>C166</f>
        <v>INDICADORES DE LOGRO DE LA COMPETENCIA</v>
      </c>
    </row>
    <row r="167" spans="1:7" ht="41.25" customHeight="1" x14ac:dyDescent="0.25">
      <c r="A167" s="339" t="str">
        <f>CONCATENATE("Competencia para la empleabilidad N° 01 (CE1):
",Perfil_Egreso!A30)</f>
        <v>Competencia para la empleabilidad N° 01 (CE1):
CE1 Comunicación efectiva.- Expresar  de manera clara los conceptos, ideas, sentimientos, hechos y opiniones en forma oral y escrita para comunicarse e interactuar con otras personas en contextos sociales y laborales diversos. (UD)</v>
      </c>
      <c r="B167" s="339"/>
      <c r="C167" s="334" t="s">
        <v>148</v>
      </c>
      <c r="D167" s="334"/>
      <c r="E167" s="334"/>
      <c r="F167" s="334"/>
      <c r="G167" s="77" t="str">
        <f t="shared" si="3"/>
        <v>1. Utiliza estrategias de escucha activa y asertiva en contextos sociales y laborales, sin estereotipos de género u otro.</v>
      </c>
    </row>
    <row r="168" spans="1:7" ht="53.25" customHeight="1" x14ac:dyDescent="0.25">
      <c r="A168" s="339"/>
      <c r="B168" s="339"/>
      <c r="C168" s="334" t="s">
        <v>499</v>
      </c>
      <c r="D168" s="334"/>
      <c r="E168" s="334"/>
      <c r="F168" s="334"/>
      <c r="G168" s="77" t="str">
        <f t="shared" si="3"/>
        <v>2. Expresa de manera clara conceptos, ideas, sentimientos y hechos en forma oral y escrita, de manera empatica e inclusiva, a través de distintos medios, incluyendo los medios virtuales, utilizando el lenguaje de acuerdo a los contextos sociales y laborales, sin estereotipos de género u otro.</v>
      </c>
    </row>
    <row r="169" spans="1:7" ht="45.75" hidden="1" customHeight="1" x14ac:dyDescent="0.25">
      <c r="A169" s="340"/>
      <c r="B169" s="340"/>
      <c r="C169" s="352"/>
      <c r="D169" s="353"/>
      <c r="E169" s="353"/>
      <c r="F169" s="354"/>
      <c r="G169" s="77">
        <f t="shared" si="3"/>
        <v>0</v>
      </c>
    </row>
    <row r="170" spans="1:7" ht="15" hidden="1" customHeight="1" x14ac:dyDescent="0.25">
      <c r="A170" s="335"/>
      <c r="B170" s="335"/>
      <c r="C170" s="336"/>
      <c r="D170" s="337"/>
      <c r="E170" s="337"/>
      <c r="F170" s="338"/>
      <c r="G170" s="77"/>
    </row>
    <row r="171" spans="1:7" ht="15" hidden="1" customHeight="1" x14ac:dyDescent="0.25">
      <c r="A171" s="341"/>
      <c r="B171" s="341"/>
      <c r="C171" s="355"/>
      <c r="D171" s="356"/>
      <c r="E171" s="356"/>
      <c r="F171" s="357"/>
      <c r="G171" s="77">
        <f t="shared" si="3"/>
        <v>0</v>
      </c>
    </row>
    <row r="172" spans="1:7" ht="30.75" customHeight="1" x14ac:dyDescent="0.25">
      <c r="A172" s="339" t="str">
        <f>CONCATENATE("Competencia para la empleabilidad N° 02 (CE2):
",Perfil_Egreso!A31)</f>
        <v>Competencia para la empleabilidad N° 02 (CE2):
CE2 Tecnologías de la información.- Manejar herramientas informáticas  de las TIC para buscar y analizar información, comunicarse y realizar procedimientos o tareas vinculadas al área profesional, de acuerdo a los requerimientos de su entorno laboral.(UD)</v>
      </c>
      <c r="B172" s="339"/>
      <c r="C172" s="334" t="s">
        <v>149</v>
      </c>
      <c r="D172" s="334"/>
      <c r="E172" s="334"/>
      <c r="F172" s="334"/>
      <c r="G172" s="77" t="str">
        <f t="shared" si="3"/>
        <v>1. Utiliza herramientas de ofimática y especializadas para responder a los requerimientos del entorno laboral, de manera ética, eficiente y responsable.</v>
      </c>
    </row>
    <row r="173" spans="1:7" ht="24" customHeight="1" x14ac:dyDescent="0.25">
      <c r="A173" s="339"/>
      <c r="B173" s="339"/>
      <c r="C173" s="334" t="s">
        <v>150</v>
      </c>
      <c r="D173" s="334"/>
      <c r="E173" s="334"/>
      <c r="F173" s="334"/>
      <c r="G173" s="77" t="str">
        <f t="shared" si="3"/>
        <v>2. Evalúa la información de la red, considerando su calidad, fiabilidad y pertinencia.</v>
      </c>
    </row>
    <row r="174" spans="1:7" ht="37.5" customHeight="1" x14ac:dyDescent="0.25">
      <c r="A174" s="339"/>
      <c r="B174" s="339"/>
      <c r="C174" s="334" t="s">
        <v>151</v>
      </c>
      <c r="D174" s="334"/>
      <c r="E174" s="334"/>
      <c r="F174" s="334"/>
      <c r="G174" s="77" t="str">
        <f t="shared" si="3"/>
        <v>3. Contribuye al aprendizaje entre iguales en medios digitales respetando fuentes, de manera ética y responsable.</v>
      </c>
    </row>
    <row r="175" spans="1:7" ht="15" hidden="1" customHeight="1" x14ac:dyDescent="0.25">
      <c r="A175" s="340"/>
      <c r="B175" s="340"/>
      <c r="C175" s="328"/>
      <c r="D175" s="329"/>
      <c r="E175" s="329"/>
      <c r="F175" s="330"/>
      <c r="G175" s="77"/>
    </row>
    <row r="176" spans="1:7" ht="15" hidden="1" customHeight="1" x14ac:dyDescent="0.25">
      <c r="A176" s="341"/>
      <c r="B176" s="341"/>
      <c r="C176" s="355"/>
      <c r="D176" s="356"/>
      <c r="E176" s="356"/>
      <c r="F176" s="357"/>
      <c r="G176" s="77">
        <f t="shared" si="3"/>
        <v>0</v>
      </c>
    </row>
    <row r="177" spans="1:7" ht="47.25" customHeight="1" x14ac:dyDescent="0.25">
      <c r="A177" s="339" t="str">
        <f>CONCATENATE("Competencia para la empleabilidad N° 03 (CE3):
",Perfil_Egreso!A32)</f>
        <v>Competencia para la empleabilidad N° 03 (CE3):
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77" s="339"/>
      <c r="C177" s="334" t="s">
        <v>497</v>
      </c>
      <c r="D177" s="334"/>
      <c r="E177" s="334"/>
      <c r="F177" s="334"/>
      <c r="G177" s="77" t="str">
        <f t="shared" si="3"/>
        <v>1. Identifica oportunidades que generen ideas de proyectos o negocios nuevos, mejoras en procesos, productos o servicios ya existentes, de manera ética, utilizando metodologías que promuevan la creatividad e innovación.</v>
      </c>
    </row>
    <row r="178" spans="1:7" ht="42.75" customHeight="1" x14ac:dyDescent="0.25">
      <c r="A178" s="339"/>
      <c r="B178" s="339"/>
      <c r="C178" s="334" t="s">
        <v>498</v>
      </c>
      <c r="D178" s="334"/>
      <c r="E178" s="334"/>
      <c r="F178" s="334"/>
      <c r="G178" s="77" t="s">
        <v>494</v>
      </c>
    </row>
    <row r="179" spans="1:7" ht="36" customHeight="1" x14ac:dyDescent="0.25">
      <c r="A179" s="339"/>
      <c r="B179" s="339"/>
      <c r="C179" s="334" t="s">
        <v>496</v>
      </c>
      <c r="D179" s="334"/>
      <c r="E179" s="334"/>
      <c r="F179" s="334"/>
      <c r="G179" s="77" t="s">
        <v>495</v>
      </c>
    </row>
    <row r="180" spans="1:7" ht="15" hidden="1" customHeight="1" x14ac:dyDescent="0.25">
      <c r="A180" s="340"/>
      <c r="B180" s="340"/>
      <c r="C180" s="328"/>
      <c r="D180" s="329"/>
      <c r="E180" s="329"/>
      <c r="F180" s="330"/>
      <c r="G180" s="77"/>
    </row>
    <row r="181" spans="1:7" ht="15" hidden="1" customHeight="1" x14ac:dyDescent="0.25">
      <c r="A181" s="341"/>
      <c r="B181" s="341"/>
      <c r="C181" s="355"/>
      <c r="D181" s="356"/>
      <c r="E181" s="356"/>
      <c r="F181" s="357"/>
      <c r="G181" s="77">
        <f t="shared" si="3"/>
        <v>0</v>
      </c>
    </row>
    <row r="182" spans="1:7" ht="44.25" customHeight="1" x14ac:dyDescent="0.25">
      <c r="A182" s="339" t="str">
        <f>CONCATENATE("Competencia para la empleabilidad N° 04 (CE4):
",Perfil_Egreso!A33)</f>
        <v xml:space="preserve">Competencia para la empleabilidad N° 04 (CE4):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182" s="339"/>
      <c r="C182" s="334" t="s">
        <v>152</v>
      </c>
      <c r="D182" s="334" t="s">
        <v>152</v>
      </c>
      <c r="E182" s="334" t="s">
        <v>152</v>
      </c>
      <c r="F182" s="334" t="s">
        <v>152</v>
      </c>
      <c r="G182" s="77" t="str">
        <f t="shared" si="3"/>
        <v>1. Actúa con honestidad, honradez, integridad y ética en los múltiples roles que asume, fomentando una cultura transparente, orientada al bien común, en contextos sociales y laborales.</v>
      </c>
    </row>
    <row r="183" spans="1:7" ht="22.5" customHeight="1" x14ac:dyDescent="0.25">
      <c r="A183" s="339"/>
      <c r="B183" s="339"/>
      <c r="C183" s="334" t="s">
        <v>500</v>
      </c>
      <c r="D183" s="334" t="s">
        <v>153</v>
      </c>
      <c r="E183" s="334" t="s">
        <v>153</v>
      </c>
      <c r="F183" s="334" t="s">
        <v>153</v>
      </c>
      <c r="G183" s="77" t="str">
        <f t="shared" si="3"/>
        <v xml:space="preserve">2. Comprende los tipos de corrupción y sus implicanacias acorde a la legislación vigente. </v>
      </c>
    </row>
    <row r="184" spans="1:7" ht="31.5" hidden="1" customHeight="1" x14ac:dyDescent="0.25">
      <c r="A184" s="345"/>
      <c r="B184" s="345"/>
      <c r="C184" s="346"/>
      <c r="D184" s="347"/>
      <c r="E184" s="347"/>
      <c r="F184" s="348"/>
      <c r="G184" s="77">
        <f t="shared" si="3"/>
        <v>0</v>
      </c>
    </row>
    <row r="185" spans="1:7" ht="31.5" customHeight="1" x14ac:dyDescent="0.25">
      <c r="A185" s="339"/>
      <c r="B185" s="339"/>
      <c r="C185" s="327" t="s">
        <v>501</v>
      </c>
      <c r="D185" s="327"/>
      <c r="E185" s="327"/>
      <c r="F185" s="327"/>
      <c r="G185" s="77"/>
    </row>
    <row r="186" spans="1:7" ht="1.5" hidden="1" customHeight="1" x14ac:dyDescent="0.25">
      <c r="A186" s="345"/>
      <c r="B186" s="345"/>
      <c r="C186" s="349"/>
      <c r="D186" s="350"/>
      <c r="E186" s="350"/>
      <c r="F186" s="351"/>
      <c r="G186" s="77">
        <f t="shared" si="3"/>
        <v>0</v>
      </c>
    </row>
    <row r="187" spans="1:7" ht="28.5" customHeight="1" x14ac:dyDescent="0.25">
      <c r="A187" s="339" t="str">
        <f>CONCATENATE("Competencia para la empleabilidad N° 05 (CE5):
",Perfil_Egreso!A34)</f>
        <v>Competencia para la empleabilidad N° 05 (CE5):
CE5 Liderazgo personal y profesional.- Articular recursos y potencialidades de cada integrante de su equipo logrando un trabajo comprometido, colaborativo, creativo, ético, sensible a su contexto social y ambiente, en pro del bien común. (T)</v>
      </c>
      <c r="B187" s="339"/>
      <c r="C187" s="327" t="s">
        <v>156</v>
      </c>
      <c r="D187" s="327"/>
      <c r="E187" s="327"/>
      <c r="F187" s="327"/>
      <c r="G187" s="77" t="str">
        <f t="shared" si="3"/>
        <v>1. Identifica sus fortalezas y debilidades, mostrando disposición a las recomendaciones y evaluaciones de los otros.</v>
      </c>
    </row>
    <row r="188" spans="1:7" ht="28.5" customHeight="1" x14ac:dyDescent="0.25">
      <c r="A188" s="339"/>
      <c r="B188" s="339"/>
      <c r="C188" s="327" t="s">
        <v>502</v>
      </c>
      <c r="D188" s="327"/>
      <c r="E188" s="327"/>
      <c r="F188" s="327"/>
      <c r="G188" s="77" t="str">
        <f t="shared" si="3"/>
        <v>2. Demuestra valores de  una cultura organizacional de respeto por la dignidad de la persona y la equidad.</v>
      </c>
    </row>
    <row r="189" spans="1:7" ht="42" customHeight="1" x14ac:dyDescent="0.25">
      <c r="A189" s="339"/>
      <c r="B189" s="339"/>
      <c r="C189" s="358" t="s">
        <v>157</v>
      </c>
      <c r="D189" s="358"/>
      <c r="E189" s="358"/>
      <c r="F189" s="358"/>
      <c r="G189" s="77" t="str">
        <f t="shared" si="3"/>
        <v xml:space="preserve">3. Establece relaciones de convivencia saludable y una cultura de la gestión constructiva del conflicto fomentando comportamientos éticos orientadas al bien común y rechazando las prácticas de corrupción. </v>
      </c>
    </row>
    <row r="190" spans="1:7" ht="32.25" customHeight="1" x14ac:dyDescent="0.25">
      <c r="A190" s="339"/>
      <c r="B190" s="339"/>
      <c r="C190" s="358" t="s">
        <v>158</v>
      </c>
      <c r="D190" s="358"/>
      <c r="E190" s="358"/>
      <c r="F190" s="358"/>
      <c r="G190" s="77"/>
    </row>
    <row r="191" spans="1:7" ht="15" hidden="1" customHeight="1" x14ac:dyDescent="0.25">
      <c r="A191" s="345"/>
      <c r="B191" s="345"/>
      <c r="C191" s="349"/>
      <c r="D191" s="350"/>
      <c r="E191" s="350"/>
      <c r="F191" s="351"/>
      <c r="G191" s="77">
        <f t="shared" si="3"/>
        <v>0</v>
      </c>
    </row>
    <row r="192" spans="1:7" ht="30" customHeight="1" x14ac:dyDescent="0.25">
      <c r="A192" s="339" t="str">
        <f>CONCATENATE("Competencia para la empleabilidad N° 06 (CE6):
",Perfil_Egreso!A35)</f>
        <v>Competencia para la empleabilidad N° 06 (CE6):
CE6 Cultura ambiental.- Convivir de manera ética, autónoma, responsable y sostenible, previniendo, reduciendo y controlando permanente y progresivamente los impactos ambientales. (T)</v>
      </c>
      <c r="B192" s="339"/>
      <c r="C192" s="327" t="s">
        <v>154</v>
      </c>
      <c r="D192" s="327"/>
      <c r="E192" s="327"/>
      <c r="F192" s="327"/>
      <c r="G192" s="77" t="str">
        <f t="shared" si="3"/>
        <v xml:space="preserve">1. Asume una actitud ética, crítica y propositiva en relación a las acciones y factores de riesgo que afectan la salud comunitaria, el ambiente y los servicios ecosistémicos. </v>
      </c>
    </row>
    <row r="193" spans="1:7" ht="39.75" customHeight="1" x14ac:dyDescent="0.25">
      <c r="A193" s="339"/>
      <c r="B193" s="339"/>
      <c r="C193" s="327" t="s">
        <v>155</v>
      </c>
      <c r="D193" s="327"/>
      <c r="E193" s="327"/>
      <c r="F193" s="327"/>
      <c r="G193" s="77" t="str">
        <f t="shared" si="3"/>
        <v xml:space="preserve">2. Analiza el impacto ambiental del desarrollo de actividades productivas y de servicio, en concordancia con las normas vigentes, adoptando y promoviendo acciones a favor del aprovechamiento y uso sostenible de los servicios ecosistémicos. </v>
      </c>
    </row>
    <row r="194" spans="1:7" ht="36.75" customHeight="1" x14ac:dyDescent="0.25">
      <c r="A194" s="339"/>
      <c r="B194" s="339"/>
      <c r="C194" s="327" t="s">
        <v>503</v>
      </c>
      <c r="D194" s="327"/>
      <c r="E194" s="327"/>
      <c r="F194" s="327"/>
      <c r="G194" s="77" t="str">
        <f t="shared" si="3"/>
        <v>3. Desarrolla acciones eco-eficientes con conciencia ambiental, como el reciclaje, el uso eficiente de la energía y de los recursos naturales desde la perspectiva del cambio climático, de acuerdo a su contexto social y laboral.</v>
      </c>
    </row>
    <row r="195" spans="1:7" ht="0.75" customHeight="1" x14ac:dyDescent="0.25">
      <c r="A195" s="339"/>
      <c r="B195" s="339"/>
      <c r="C195" s="327"/>
      <c r="D195" s="327"/>
      <c r="E195" s="327"/>
      <c r="F195" s="327"/>
      <c r="G195" s="77"/>
    </row>
    <row r="196" spans="1:7" hidden="1" x14ac:dyDescent="0.25">
      <c r="A196" s="340"/>
      <c r="B196" s="340"/>
      <c r="C196" s="343"/>
      <c r="D196" s="343"/>
      <c r="E196" s="343"/>
      <c r="F196" s="343"/>
      <c r="G196" s="77">
        <f t="shared" si="3"/>
        <v>0</v>
      </c>
    </row>
    <row r="197" spans="1:7" ht="41.25" hidden="1" customHeight="1" x14ac:dyDescent="0.25">
      <c r="A197" s="335" t="str">
        <f>CONCATENATE("Competencia para la empleabilidad N° 07 (CE7):
",Perfil_Egreso!A36)</f>
        <v xml:space="preserve">Competencia para la empleabilidad N° 07 (CE7):
</v>
      </c>
      <c r="B197" s="335"/>
      <c r="C197" s="336"/>
      <c r="D197" s="337"/>
      <c r="E197" s="337"/>
      <c r="F197" s="338"/>
      <c r="G197" s="77">
        <f t="shared" si="3"/>
        <v>0</v>
      </c>
    </row>
    <row r="198" spans="1:7" ht="41.25" hidden="1" customHeight="1" x14ac:dyDescent="0.25">
      <c r="A198" s="335"/>
      <c r="B198" s="335"/>
      <c r="C198" s="336"/>
      <c r="D198" s="337"/>
      <c r="E198" s="337"/>
      <c r="F198" s="338"/>
      <c r="G198" s="77">
        <f t="shared" si="3"/>
        <v>0</v>
      </c>
    </row>
    <row r="199" spans="1:7" ht="41.25" hidden="1" customHeight="1" x14ac:dyDescent="0.25">
      <c r="A199" s="335"/>
      <c r="B199" s="335"/>
      <c r="C199" s="336"/>
      <c r="D199" s="337"/>
      <c r="E199" s="337"/>
      <c r="F199" s="338"/>
      <c r="G199" s="77">
        <f t="shared" si="3"/>
        <v>0</v>
      </c>
    </row>
    <row r="200" spans="1:7" ht="15" hidden="1" customHeight="1" x14ac:dyDescent="0.25">
      <c r="A200" s="335"/>
      <c r="B200" s="335"/>
      <c r="C200" s="336"/>
      <c r="D200" s="337"/>
      <c r="E200" s="337"/>
      <c r="F200" s="338"/>
      <c r="G200" s="77"/>
    </row>
    <row r="201" spans="1:7" hidden="1" x14ac:dyDescent="0.25">
      <c r="A201" s="335"/>
      <c r="B201" s="335"/>
      <c r="C201" s="331"/>
      <c r="D201" s="331"/>
      <c r="E201" s="331"/>
      <c r="F201" s="331"/>
      <c r="G201" s="77">
        <f t="shared" si="3"/>
        <v>0</v>
      </c>
    </row>
    <row r="202" spans="1:7" ht="37.5" hidden="1" customHeight="1" x14ac:dyDescent="0.25">
      <c r="A202" s="335" t="str">
        <f>CONCATENATE("Competencia para la empleabilidad N° 08 (CE8):
",Perfil_Egreso!A37)</f>
        <v xml:space="preserve">Competencia para la empleabilidad N° 08 (CE8):
</v>
      </c>
      <c r="B202" s="335"/>
      <c r="C202" s="336"/>
      <c r="D202" s="337"/>
      <c r="E202" s="337"/>
      <c r="F202" s="338"/>
      <c r="G202" s="77">
        <f t="shared" si="3"/>
        <v>0</v>
      </c>
    </row>
    <row r="203" spans="1:7" ht="37.5" hidden="1" customHeight="1" x14ac:dyDescent="0.25">
      <c r="A203" s="335"/>
      <c r="B203" s="335"/>
      <c r="C203" s="336"/>
      <c r="D203" s="337"/>
      <c r="E203" s="337"/>
      <c r="F203" s="338"/>
      <c r="G203" s="77">
        <f t="shared" si="3"/>
        <v>0</v>
      </c>
    </row>
    <row r="204" spans="1:7" ht="37.5" hidden="1" customHeight="1" x14ac:dyDescent="0.25">
      <c r="A204" s="335"/>
      <c r="B204" s="335"/>
      <c r="C204" s="336"/>
      <c r="D204" s="337"/>
      <c r="E204" s="337"/>
      <c r="F204" s="338"/>
      <c r="G204" s="77">
        <f t="shared" si="3"/>
        <v>0</v>
      </c>
    </row>
    <row r="205" spans="1:7" ht="37.5" hidden="1" customHeight="1" x14ac:dyDescent="0.25">
      <c r="A205" s="335"/>
      <c r="B205" s="335"/>
      <c r="C205" s="336"/>
      <c r="D205" s="337"/>
      <c r="E205" s="337"/>
      <c r="F205" s="338"/>
      <c r="G205" s="77"/>
    </row>
    <row r="206" spans="1:7" hidden="1" x14ac:dyDescent="0.25">
      <c r="A206" s="335"/>
      <c r="B206" s="335"/>
      <c r="C206" s="336"/>
      <c r="D206" s="337"/>
      <c r="E206" s="337"/>
      <c r="F206" s="338"/>
      <c r="G206" s="77">
        <f t="shared" si="3"/>
        <v>0</v>
      </c>
    </row>
    <row r="207" spans="1:7" hidden="1" x14ac:dyDescent="0.25">
      <c r="A207" s="335" t="str">
        <f>CONCATENATE("Competencia para la empleabilidad N° 09 (CE9):
",Perfil_Egreso!A38)</f>
        <v xml:space="preserve">Competencia para la empleabilidad N° 09 (CE9):
</v>
      </c>
      <c r="B207" s="335"/>
      <c r="C207" s="331"/>
      <c r="D207" s="331"/>
      <c r="E207" s="331"/>
      <c r="F207" s="331"/>
      <c r="G207" s="77">
        <f t="shared" si="3"/>
        <v>0</v>
      </c>
    </row>
    <row r="208" spans="1:7" hidden="1" x14ac:dyDescent="0.25">
      <c r="A208" s="335"/>
      <c r="B208" s="335"/>
      <c r="C208" s="331"/>
      <c r="D208" s="331"/>
      <c r="E208" s="331"/>
      <c r="F208" s="331"/>
      <c r="G208" s="77">
        <f t="shared" si="3"/>
        <v>0</v>
      </c>
    </row>
    <row r="209" spans="1:7" hidden="1" x14ac:dyDescent="0.25">
      <c r="A209" s="335"/>
      <c r="B209" s="335"/>
      <c r="C209" s="331"/>
      <c r="D209" s="331"/>
      <c r="E209" s="331"/>
      <c r="F209" s="331"/>
      <c r="G209" s="77">
        <f t="shared" si="3"/>
        <v>0</v>
      </c>
    </row>
    <row r="210" spans="1:7" hidden="1" x14ac:dyDescent="0.25">
      <c r="A210" s="335"/>
      <c r="B210" s="335"/>
      <c r="C210" s="331"/>
      <c r="D210" s="331"/>
      <c r="E210" s="331"/>
      <c r="F210" s="331"/>
      <c r="G210" s="77"/>
    </row>
    <row r="211" spans="1:7" hidden="1" x14ac:dyDescent="0.25">
      <c r="A211" s="335"/>
      <c r="B211" s="335"/>
      <c r="C211" s="331"/>
      <c r="D211" s="331"/>
      <c r="E211" s="331"/>
      <c r="F211" s="331"/>
      <c r="G211" s="77">
        <f t="shared" si="3"/>
        <v>0</v>
      </c>
    </row>
    <row r="212" spans="1:7" hidden="1" x14ac:dyDescent="0.25">
      <c r="A212" s="335" t="str">
        <f>CONCATENATE("Competencia para la empleabilidad N° 10 (CE10):
",Perfil_Egreso!A39)</f>
        <v xml:space="preserve">Competencia para la empleabilidad N° 10 (CE10):
</v>
      </c>
      <c r="B212" s="335"/>
      <c r="C212" s="331"/>
      <c r="D212" s="331"/>
      <c r="E212" s="331"/>
      <c r="F212" s="331"/>
      <c r="G212" s="77">
        <f t="shared" si="3"/>
        <v>0</v>
      </c>
    </row>
    <row r="213" spans="1:7" hidden="1" x14ac:dyDescent="0.25">
      <c r="A213" s="335"/>
      <c r="B213" s="335"/>
      <c r="C213" s="331"/>
      <c r="D213" s="331"/>
      <c r="E213" s="331"/>
      <c r="F213" s="331"/>
      <c r="G213" s="77">
        <f t="shared" si="3"/>
        <v>0</v>
      </c>
    </row>
    <row r="214" spans="1:7" hidden="1" x14ac:dyDescent="0.25">
      <c r="A214" s="335"/>
      <c r="B214" s="335"/>
      <c r="C214" s="331"/>
      <c r="D214" s="331"/>
      <c r="E214" s="331"/>
      <c r="F214" s="331"/>
      <c r="G214" s="77">
        <f t="shared" si="3"/>
        <v>0</v>
      </c>
    </row>
    <row r="215" spans="1:7" hidden="1" x14ac:dyDescent="0.25">
      <c r="A215" s="335"/>
      <c r="B215" s="335"/>
      <c r="C215" s="331"/>
      <c r="D215" s="331"/>
      <c r="E215" s="331"/>
      <c r="F215" s="331"/>
      <c r="G215" s="77"/>
    </row>
    <row r="216" spans="1:7" hidden="1" x14ac:dyDescent="0.25">
      <c r="A216" s="335"/>
      <c r="B216" s="335"/>
      <c r="C216" s="331"/>
      <c r="D216" s="331"/>
      <c r="E216" s="331"/>
      <c r="F216" s="331"/>
      <c r="G216" s="77">
        <f t="shared" si="3"/>
        <v>0</v>
      </c>
    </row>
    <row r="217" spans="1:7" hidden="1" x14ac:dyDescent="0.25">
      <c r="A217" s="335" t="str">
        <f>CONCATENATE("Competencia para la empleabilidad N° 11 (CE11):
",Perfil_Egreso!A40)</f>
        <v xml:space="preserve">Competencia para la empleabilidad N° 11 (CE11):
</v>
      </c>
      <c r="B217" s="335"/>
      <c r="C217" s="331"/>
      <c r="D217" s="331"/>
      <c r="E217" s="331"/>
      <c r="F217" s="331"/>
      <c r="G217" s="77">
        <f t="shared" ref="G217:G221" si="7">C217</f>
        <v>0</v>
      </c>
    </row>
    <row r="218" spans="1:7" hidden="1" x14ac:dyDescent="0.25">
      <c r="A218" s="335"/>
      <c r="B218" s="335"/>
      <c r="C218" s="331"/>
      <c r="D218" s="331"/>
      <c r="E218" s="331"/>
      <c r="F218" s="331"/>
      <c r="G218" s="77">
        <f t="shared" si="7"/>
        <v>0</v>
      </c>
    </row>
    <row r="219" spans="1:7" hidden="1" x14ac:dyDescent="0.25">
      <c r="A219" s="335"/>
      <c r="B219" s="335"/>
      <c r="C219" s="331"/>
      <c r="D219" s="331"/>
      <c r="E219" s="331"/>
      <c r="F219" s="331"/>
      <c r="G219" s="77">
        <f t="shared" si="7"/>
        <v>0</v>
      </c>
    </row>
    <row r="220" spans="1:7" hidden="1" x14ac:dyDescent="0.25">
      <c r="A220" s="335"/>
      <c r="B220" s="335"/>
      <c r="C220" s="331"/>
      <c r="D220" s="331"/>
      <c r="E220" s="331"/>
      <c r="F220" s="331"/>
      <c r="G220" s="77"/>
    </row>
    <row r="221" spans="1:7" hidden="1" x14ac:dyDescent="0.25">
      <c r="A221" s="335"/>
      <c r="B221" s="335"/>
      <c r="C221" s="331"/>
      <c r="D221" s="331"/>
      <c r="E221" s="331"/>
      <c r="F221" s="331"/>
      <c r="G221" s="77">
        <f t="shared" si="7"/>
        <v>0</v>
      </c>
    </row>
    <row r="222" spans="1:7" hidden="1" x14ac:dyDescent="0.25">
      <c r="A222" s="335" t="str">
        <f>CONCATENATE("Competencia para la empleabilidad N° 12 (CE12):
",Perfil_Egreso!A41)</f>
        <v xml:space="preserve">Competencia para la empleabilidad N° 12 (CE12):
</v>
      </c>
      <c r="B222" s="335"/>
      <c r="C222" s="331"/>
      <c r="D222" s="331"/>
      <c r="E222" s="331"/>
      <c r="F222" s="331"/>
      <c r="G222" s="77">
        <f t="shared" ref="G222:G226" si="8">C222</f>
        <v>0</v>
      </c>
    </row>
    <row r="223" spans="1:7" hidden="1" x14ac:dyDescent="0.25">
      <c r="A223" s="335"/>
      <c r="B223" s="335"/>
      <c r="C223" s="331"/>
      <c r="D223" s="331"/>
      <c r="E223" s="331"/>
      <c r="F223" s="331"/>
      <c r="G223" s="77">
        <f t="shared" si="8"/>
        <v>0</v>
      </c>
    </row>
    <row r="224" spans="1:7" hidden="1" x14ac:dyDescent="0.25">
      <c r="A224" s="335"/>
      <c r="B224" s="335"/>
      <c r="C224" s="331"/>
      <c r="D224" s="331"/>
      <c r="E224" s="331"/>
      <c r="F224" s="331"/>
      <c r="G224" s="77">
        <f t="shared" si="8"/>
        <v>0</v>
      </c>
    </row>
    <row r="225" spans="1:7" hidden="1" x14ac:dyDescent="0.25">
      <c r="A225" s="335"/>
      <c r="B225" s="335"/>
      <c r="C225" s="331"/>
      <c r="D225" s="331"/>
      <c r="E225" s="331"/>
      <c r="F225" s="331"/>
      <c r="G225" s="77"/>
    </row>
    <row r="226" spans="1:7" hidden="1" x14ac:dyDescent="0.25">
      <c r="A226" s="335"/>
      <c r="B226" s="335"/>
      <c r="C226" s="331"/>
      <c r="D226" s="331"/>
      <c r="E226" s="331"/>
      <c r="F226" s="331"/>
      <c r="G226" s="77">
        <f t="shared" si="8"/>
        <v>0</v>
      </c>
    </row>
    <row r="227" spans="1:7" hidden="1" x14ac:dyDescent="0.25">
      <c r="A227" s="360"/>
      <c r="B227" s="361"/>
      <c r="C227" s="361"/>
      <c r="D227" s="361"/>
      <c r="E227" s="361"/>
      <c r="F227" s="361"/>
      <c r="G227" s="77">
        <f>A227</f>
        <v>0</v>
      </c>
    </row>
    <row r="228" spans="1:7" ht="93" hidden="1" customHeight="1" x14ac:dyDescent="0.25">
      <c r="A228" s="359" t="s">
        <v>123</v>
      </c>
      <c r="B228" s="359"/>
      <c r="C228" s="359"/>
      <c r="D228" s="359"/>
      <c r="E228" s="359"/>
      <c r="F228" s="359"/>
      <c r="G228" s="77" t="str">
        <f>A228</f>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v>
      </c>
    </row>
  </sheetData>
  <sheetProtection formatCells="0" formatRows="0" insertRows="0" deleteRows="0" autoFilter="0"/>
  <autoFilter xmlns:x14="http://schemas.microsoft.com/office/spreadsheetml/2009/9/main" ref="A14:G228" xr:uid="{00000000-0009-0000-0000-000001000000}">
    <filterColumn colId="0" showButton="0"/>
    <filterColumn colId="2" showButton="0">
      <customFilters>
        <customFilter operator="notEqual" val=" "/>
      </customFilters>
    </filterColumn>
    <filterColumn colId="3" showButton="0"/>
    <filterColumn colId="4" showButton="0"/>
    <filterColumn colId="6">
      <filters blank="1">
        <mc:AlternateContent xmlns:mc="http://schemas.openxmlformats.org/markup-compatibility/2006">
          <mc:Choice Requires="x14">
            <x14:filter val="1. Actúa con honestidad, honradez, integridad y ética en los múltiples roles que asume, fomentando una cultura transparente, orientada al bien común, en contextos sociales y laborales."/>
            <x14:filter val="1. Asume una actitud ética, crítica y propositiva en relación a las acciones y factores de riesgo que afectan la salud comunitaria, el ambiente y los servicios ecosistémicos."/>
            <x14:filter val="1. Cataloga datos de los documentos, según políticas, procedimientos de la organización, y normativa correspondiente."/>
            <x14:filter val="1. Identifica las oportunidades que generen ideas de proyectos o negocios nuevos, mejoras en procesos, productos o servicios ya existentes, de manera ética, utilizando metodologías que promuevan la creatividad e innovación."/>
            <x14:filter val="1. Identifica sus fortalezas y debilidades, mostrando disposición a las recomendaciones y evaluaciones de los otros."/>
            <x14:filter val="1. Recepciona y atiende los documentos, en función a los objetivos de la organización y procedimientos establecidos."/>
            <x14:filter val="1. Recopila datos o documentación, según políticas, procedimientos, y normativa de la organización."/>
            <x14:filter val="1. Utiliza estrategias de escucha activa y asertiva en contextos sociales y laborales, sin estereotipos de género u otro."/>
            <x14:filter val="1. Utiliza herramientas de ofimática y especializadas para responder a los requerimientos del entorno laboral, de manera ética, eficiente y responsable."/>
            <x14:filter val="2. Analiza el impacto ambiental del desarrollo de actividades productivas y de servicio, en concordancia con las normas vigentes, adoptando y promoviendo acciones a favor del aprovechamiento y uso sostenible de los servicios ecosistémicos."/>
            <x14:filter val="2. Archiva los documentos, según políticas y procedimientos de la organización, y normativa correspondiente."/>
            <x14:filter val="2. Contribuye al establecimiento de relaciones justas, basadas en el respeto de los derechos de la persona y cumplimiento de las obligaciones y de las normas que aseguren una convivencia democrática."/>
            <x14:filter val="2. Establece comunicación oral y escrita, empática, inclusiva y horizontal, fomentando una cultura organizacional de respeto por la dignidad de la persona y la equidad."/>
            <x14:filter val="2. Evalúa la información de la red, considerando su calidad, fiabilidad y pertinencia."/>
            <x14:filter val="2. Organiza información de manera oral y escrita en contextos sociales y laborales, de manera objetiva y empática."/>
            <x14:filter val="2. Prepara datos o documentación, según políticas, procedimientos y normativa de la organización."/>
            <x14:filter val="2. Propone el plan de acción del emprendimiento, asumiendo su rol de liderazgo y tomando en cuenta principios éticos, obligaciones tributarias y contables, normas establecidas para la protección de la propiedad."/>
            <x14:filter val="2. Realiza actividades administrativas de apoyo2, en función de los objetivos de la organización y el área asignada."/>
            <x14:filter val="3. Atiende las comunicaciones y/o centro de atención virtual, en función a los objetivos de la organización y procedimientos establecidos."/>
            <x14:filter val="3. Contribuye al aprendizaje entre iguales en medios digitales respetando fuentes, de manera ética y responsable."/>
            <x14:filter val="3. Desarrolla acciones eco-eficientes con conciencia ambiental, como el reciclaje, el uso eficiente de la energía y de los recursos naturales, de acuerdo a su contexto social y laboral."/>
            <x14:filter val="3. Diseña el monitoreo para el cumplimiento del plan de acción, utilizando diferentes metodologías para la mejora continua, recursos para la sostenibilidad y escalamiento de su emprendimiento."/>
            <x14:filter val="3. Establece relaciones de convivencia saludable y una cultura de la gestión constructiva del conflicto fomentando comportamientos éticos orientadas al bien común y rechazando las prácticas de corrupción."/>
            <x14:filter val="3. Expresa de manera clara conceptos, ideas, sentimientos y hechos en forma oral y escrita a través de distintos medios, incluyendo los medios virtuales, utilizando el lenguaje de acuerdo a los contextos sociales y laborales, sin estereotipos de género u otro."/>
            <x14:filter val="3. Realiza el trámite de datos y documentos, según políticas, procedimientos y normativa de la organización."/>
            <x14:filter val="4. Atiende los consultas, según los procedimientos establecidos y normativa correspondiente."/>
            <x14:filter val="5. Revisa la información, en función a los requerimientos de la organización y procedimientos establecidos."/>
            <x14:filter val="COMPETENCIAS PARA LA EMPLEABILIDAD"/>
            <x14:filter val="INDICADORES DE LOGRO DE LA COMPETENCIA"/>
            <x14:filter val="Pautas generales:_x000a_1. Las competencias específicas y de empleabilidad consignadas en el presente formato son las mismas del perfil de egreso._x000a_2. Los indicadores de logro de las unidades de competencia deben ser los mismos del CNOF. En caso que el programa de estudio no se encuentre en el CNOF los indicadores de logro deben ser definidos por el IES._x000a_3. Los indicadores de logro de las competencias para la empleabilidad deben ser definidos por el IES._x000a__x000a_*Se considera el código de la carrera del CNOF.  En caso de que el programa no se encuentre en el CNOF  dejarlo en blanco.      _x000a_** Indicar  sólo en el caso de que sea Dual o En Alternancia, caso contrario dejar la celda en blanco."/>
          </mc:Choice>
          <mc:Fallback>
            <filter val="1. Actúa con honestidad, honradez, integridad y ética en los múltiples roles que asume, fomentando una cultura transparente, orientada al bien común, en contextos sociales y laborales."/>
            <filter val="1. Asume una actitud ética, crítica y propositiva en relación a las acciones y factores de riesgo que afectan la salud comunitaria, el ambiente y los servicios ecosistémicos."/>
            <filter val="1. Cataloga datos de los documentos, según políticas, procedimientos de la organización, y normativa correspondiente."/>
            <filter val="1. Identifica las oportunidades que generen ideas de proyectos o negocios nuevos, mejoras en procesos, productos o servicios ya existentes, de manera ética, utilizando metodologías que promuevan la creatividad e innovación."/>
            <filter val="1. Identifica sus fortalezas y debilidades, mostrando disposición a las recomendaciones y evaluaciones de los otros."/>
            <filter val="1. Recepciona y atiende los documentos, en función a los objetivos de la organización y procedimientos establecidos."/>
            <filter val="1. Recopila datos o documentación, según políticas, procedimientos, y normativa de la organización."/>
            <filter val="1. Utiliza estrategias de escucha activa y asertiva en contextos sociales y laborales, sin estereotipos de género u otro."/>
            <filter val="1. Utiliza herramientas de ofimática y especializadas para responder a los requerimientos del entorno laboral, de manera ética, eficiente y responsable."/>
            <filter val="2. Analiza el impacto ambiental del desarrollo de actividades productivas y de servicio, en concordancia con las normas vigentes, adoptando y promoviendo acciones a favor del aprovechamiento y uso sostenible de los servicios ecosistémicos."/>
            <filter val="2. Archiva los documentos, según políticas y procedimientos de la organización, y normativa correspondiente."/>
            <filter val="2. Contribuye al establecimiento de relaciones justas, basadas en el respeto de los derechos de la persona y cumplimiento de las obligaciones y de las normas que aseguren una convivencia democrática."/>
            <filter val="2. Establece comunicación oral y escrita, empática, inclusiva y horizontal, fomentando una cultura organizacional de respeto por la dignidad de la persona y la equidad."/>
            <filter val="2. Evalúa la información de la red, considerando su calidad, fiabilidad y pertinencia."/>
            <filter val="2. Organiza información de manera oral y escrita en contextos sociales y laborales, de manera objetiva y empática."/>
            <filter val="2. Prepara datos o documentación, según políticas, procedimientos y normativa de la organización."/>
            <filter val="2. Propone el plan de acción del emprendimiento, asumiendo su rol de liderazgo y tomando en cuenta principios éticos, obligaciones tributarias y contables, normas establecidas para la protección de la propiedad."/>
            <filter val="2. Realiza actividades administrativas de apoyo2, en función de los objetivos de la organización y el área asignada."/>
            <filter val="3. Atiende las comunicaciones y/o centro de atención virtual, en función a los objetivos de la organización y procedimientos establecidos."/>
            <filter val="3. Contribuye al aprendizaje entre iguales en medios digitales respetando fuentes, de manera ética y responsable."/>
            <filter val="3. Desarrolla acciones eco-eficientes con conciencia ambiental, como el reciclaje, el uso eficiente de la energía y de los recursos naturales, de acuerdo a su contexto social y laboral."/>
            <filter val="3. Diseña el monitoreo para el cumplimiento del plan de acción, utilizando diferentes metodologías para la mejora continua, recursos para la sostenibilidad y escalamiento de su emprendimiento."/>
            <filter val="3. Establece relaciones de convivencia saludable y una cultura de la gestión constructiva del conflicto fomentando comportamientos éticos orientadas al bien común y rechazando las prácticas de corrupción."/>
            <filter val="3. Realiza el trámite de datos y documentos, según políticas, procedimientos y normativa de la organización."/>
            <filter val="4. Atiende los consultas, según los procedimientos establecidos y normativa correspondiente."/>
            <filter val="5. Revisa la información, en función a los requerimientos de la organización y procedimientos establecidos."/>
            <filter val="COMPETENCIAS PARA LA EMPLEABILIDAD"/>
            <filter val="INDICADORES DE LOGRO DE LA COMPETENCIA"/>
          </mc:Fallback>
        </mc:AlternateContent>
      </filters>
    </filterColumn>
  </autoFilter>
  <mergeCells count="246">
    <mergeCell ref="A150:B164"/>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A135:B149"/>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209:F209"/>
    <mergeCell ref="C211:F211"/>
    <mergeCell ref="C197:F197"/>
    <mergeCell ref="C198:F198"/>
    <mergeCell ref="C199:F199"/>
    <mergeCell ref="C201:F201"/>
    <mergeCell ref="C214:F214"/>
    <mergeCell ref="C216:F216"/>
    <mergeCell ref="C215:F215"/>
    <mergeCell ref="C210:F210"/>
    <mergeCell ref="C205:F205"/>
    <mergeCell ref="A1:F1"/>
    <mergeCell ref="B3:C3"/>
    <mergeCell ref="E3:F3"/>
    <mergeCell ref="A14:B14"/>
    <mergeCell ref="A15:B29"/>
    <mergeCell ref="A13:F13"/>
    <mergeCell ref="C14:F14"/>
    <mergeCell ref="C15:F15"/>
    <mergeCell ref="C16:F16"/>
    <mergeCell ref="E11:F11"/>
    <mergeCell ref="B11:C11"/>
    <mergeCell ref="C17:F17"/>
    <mergeCell ref="C18:F18"/>
    <mergeCell ref="C23:F23"/>
    <mergeCell ref="C29:F29"/>
    <mergeCell ref="C24:F24"/>
    <mergeCell ref="C25:F25"/>
    <mergeCell ref="C26:F26"/>
    <mergeCell ref="C27:F27"/>
    <mergeCell ref="C28:F28"/>
    <mergeCell ref="C19:F19"/>
    <mergeCell ref="C20:F20"/>
    <mergeCell ref="C21:F21"/>
    <mergeCell ref="C22:F22"/>
    <mergeCell ref="C31:F31"/>
    <mergeCell ref="C36:F36"/>
    <mergeCell ref="C30:F30"/>
    <mergeCell ref="C32:F32"/>
    <mergeCell ref="C35:F35"/>
    <mergeCell ref="C33:F33"/>
    <mergeCell ref="C34:F34"/>
    <mergeCell ref="C37:F37"/>
    <mergeCell ref="C38:F38"/>
    <mergeCell ref="A228:F228"/>
    <mergeCell ref="A227:F227"/>
    <mergeCell ref="C174:F174"/>
    <mergeCell ref="C176:F176"/>
    <mergeCell ref="C177:F177"/>
    <mergeCell ref="C178:F178"/>
    <mergeCell ref="C179:F179"/>
    <mergeCell ref="A177:B181"/>
    <mergeCell ref="C181:F181"/>
    <mergeCell ref="A202:B206"/>
    <mergeCell ref="C202:F202"/>
    <mergeCell ref="C203:F203"/>
    <mergeCell ref="A187:B191"/>
    <mergeCell ref="C187:F187"/>
    <mergeCell ref="C188:F188"/>
    <mergeCell ref="C189:F189"/>
    <mergeCell ref="C204:F204"/>
    <mergeCell ref="C206:F206"/>
    <mergeCell ref="A212:B216"/>
    <mergeCell ref="C212:F212"/>
    <mergeCell ref="C213:F213"/>
    <mergeCell ref="A207:B211"/>
    <mergeCell ref="C207:F207"/>
    <mergeCell ref="C208:F208"/>
    <mergeCell ref="C192:F192"/>
    <mergeCell ref="C193:F193"/>
    <mergeCell ref="C194:F194"/>
    <mergeCell ref="C196:F196"/>
    <mergeCell ref="A192:B196"/>
    <mergeCell ref="A197:B201"/>
    <mergeCell ref="A166:B166"/>
    <mergeCell ref="A167:B171"/>
    <mergeCell ref="C168:F168"/>
    <mergeCell ref="A182:B186"/>
    <mergeCell ref="C182:F182"/>
    <mergeCell ref="C183:F183"/>
    <mergeCell ref="C184:F184"/>
    <mergeCell ref="C186:F186"/>
    <mergeCell ref="C191:F191"/>
    <mergeCell ref="C169:F169"/>
    <mergeCell ref="C171:F171"/>
    <mergeCell ref="A172:B176"/>
    <mergeCell ref="C172:F172"/>
    <mergeCell ref="C173:F173"/>
    <mergeCell ref="C170:F170"/>
    <mergeCell ref="C200:F200"/>
    <mergeCell ref="C195:F195"/>
    <mergeCell ref="C190:F190"/>
    <mergeCell ref="C113:F113"/>
    <mergeCell ref="C119:F119"/>
    <mergeCell ref="A120:B134"/>
    <mergeCell ref="C120:F120"/>
    <mergeCell ref="C121:F121"/>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47:F47"/>
    <mergeCell ref="C99:F99"/>
    <mergeCell ref="C62:F62"/>
    <mergeCell ref="C66:F66"/>
    <mergeCell ref="C67:F67"/>
    <mergeCell ref="C89:F89"/>
    <mergeCell ref="C84:F84"/>
    <mergeCell ref="C85:F85"/>
    <mergeCell ref="C86:F86"/>
    <mergeCell ref="C87:F87"/>
    <mergeCell ref="C88:F88"/>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A217:B221"/>
    <mergeCell ref="C217:F217"/>
    <mergeCell ref="C218:F218"/>
    <mergeCell ref="C219:F219"/>
    <mergeCell ref="C221:F221"/>
    <mergeCell ref="A222:B226"/>
    <mergeCell ref="C222:F222"/>
    <mergeCell ref="C223:F223"/>
    <mergeCell ref="C224:F224"/>
    <mergeCell ref="C226:F226"/>
    <mergeCell ref="C225:F225"/>
    <mergeCell ref="C220:F220"/>
    <mergeCell ref="C112:F112"/>
    <mergeCell ref="C39:F39"/>
    <mergeCell ref="C40:F40"/>
    <mergeCell ref="C41:F41"/>
    <mergeCell ref="C42:F42"/>
    <mergeCell ref="C43:F43"/>
    <mergeCell ref="C54:F54"/>
    <mergeCell ref="C55:F55"/>
    <mergeCell ref="C56:F56"/>
    <mergeCell ref="C57:F57"/>
    <mergeCell ref="C48:F48"/>
    <mergeCell ref="C94:F94"/>
    <mergeCell ref="C95:F95"/>
    <mergeCell ref="C96:F96"/>
    <mergeCell ref="C97:F97"/>
    <mergeCell ref="C90:F90"/>
    <mergeCell ref="C91:F91"/>
    <mergeCell ref="C77:F77"/>
    <mergeCell ref="C78:F78"/>
    <mergeCell ref="C79:F79"/>
    <mergeCell ref="C80:F80"/>
    <mergeCell ref="C81:F81"/>
    <mergeCell ref="C82:F82"/>
    <mergeCell ref="C83:F83"/>
    <mergeCell ref="B7:D7"/>
    <mergeCell ref="C185:F185"/>
    <mergeCell ref="C180:F180"/>
    <mergeCell ref="C175:F175"/>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A165:F165"/>
    <mergeCell ref="C166:F166"/>
    <mergeCell ref="C167:F167"/>
    <mergeCell ref="A105:B119"/>
    <mergeCell ref="C105:F105"/>
    <mergeCell ref="C110:F110"/>
    <mergeCell ref="C111:F111"/>
  </mergeCells>
  <conditionalFormatting sqref="C15:F19">
    <cfRule type="containsBlanks" dxfId="150" priority="10">
      <formula>LEN(TRIM(C15))=0</formula>
    </cfRule>
    <cfRule type="containsBlanks" dxfId="149" priority="11">
      <formula>LEN(TRIM(C15))=0</formula>
    </cfRule>
  </conditionalFormatting>
  <conditionalFormatting sqref="C20:F29">
    <cfRule type="containsBlanks" dxfId="148" priority="27">
      <formula>LEN(TRIM(C20))=0</formula>
    </cfRule>
  </conditionalFormatting>
  <conditionalFormatting sqref="C30:F32">
    <cfRule type="containsBlanks" dxfId="147" priority="7">
      <formula>LEN(TRIM(C30))=0</formula>
    </cfRule>
    <cfRule type="containsBlanks" dxfId="146" priority="9">
      <formula>LEN(TRIM(C30))=0</formula>
    </cfRule>
  </conditionalFormatting>
  <conditionalFormatting sqref="C33:F44">
    <cfRule type="containsBlanks" dxfId="145" priority="8">
      <formula>LEN(TRIM(C33))=0</formula>
    </cfRule>
  </conditionalFormatting>
  <conditionalFormatting sqref="C45:F46">
    <cfRule type="containsBlanks" dxfId="144" priority="5">
      <formula>LEN(TRIM(C45))=0</formula>
    </cfRule>
    <cfRule type="containsBlanks" dxfId="143" priority="6">
      <formula>LEN(TRIM(C45))=0</formula>
    </cfRule>
  </conditionalFormatting>
  <conditionalFormatting sqref="C47:F164 C170:F171 C175:F176">
    <cfRule type="containsBlanks" dxfId="142" priority="29">
      <formula>LEN(TRIM(C47))=0</formula>
    </cfRule>
  </conditionalFormatting>
  <conditionalFormatting sqref="C167:F169">
    <cfRule type="containsBlanks" dxfId="141" priority="21">
      <formula>LEN(TRIM(C167))=0</formula>
    </cfRule>
    <cfRule type="containsBlanks" dxfId="140" priority="22">
      <formula>LEN(TRIM(C167))=0</formula>
    </cfRule>
  </conditionalFormatting>
  <conditionalFormatting sqref="C172:F174">
    <cfRule type="containsBlanks" dxfId="139" priority="19">
      <formula>LEN(TRIM(C172))=0</formula>
    </cfRule>
    <cfRule type="containsBlanks" dxfId="138" priority="20">
      <formula>LEN(TRIM(C172))=0</formula>
    </cfRule>
  </conditionalFormatting>
  <conditionalFormatting sqref="C177:F179">
    <cfRule type="containsBlanks" dxfId="137" priority="3">
      <formula>LEN(TRIM(C177))=0</formula>
    </cfRule>
    <cfRule type="containsBlanks" dxfId="136" priority="4">
      <formula>LEN(TRIM(C177))=0</formula>
    </cfRule>
  </conditionalFormatting>
  <conditionalFormatting sqref="C180:F226">
    <cfRule type="containsBlanks" dxfId="135" priority="1">
      <formula>LEN(TRIM(C180))=0</formula>
    </cfRule>
  </conditionalFormatting>
  <pageMargins left="0.70866141732283472" right="0.70866141732283472" top="0.74803149606299213" bottom="0.74803149606299213" header="0.31496062992125984" footer="0.31496062992125984"/>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C000"/>
  </sheetPr>
  <dimension ref="A1:M1820"/>
  <sheetViews>
    <sheetView showGridLines="0" view="pageBreakPreview" topLeftCell="A331" zoomScale="90" zoomScaleNormal="110" zoomScaleSheetLayoutView="90" workbookViewId="0">
      <selection activeCell="Q314" sqref="Q314"/>
    </sheetView>
  </sheetViews>
  <sheetFormatPr baseColWidth="10" defaultColWidth="11.42578125" defaultRowHeight="12.75" x14ac:dyDescent="0.2"/>
  <cols>
    <col min="1" max="1" width="9.85546875" style="2" customWidth="1"/>
    <col min="2" max="2" width="10.28515625" style="2" customWidth="1"/>
    <col min="3" max="3" width="8.85546875" style="48" customWidth="1"/>
    <col min="4" max="4" width="13.7109375" style="46" customWidth="1"/>
    <col min="5" max="6" width="25.7109375" style="46" customWidth="1"/>
    <col min="7" max="7" width="8.28515625" style="48" customWidth="1"/>
    <col min="8" max="8" width="13.7109375" style="46" customWidth="1"/>
    <col min="9" max="10" width="25.7109375" style="46" customWidth="1"/>
    <col min="11" max="11" width="7.28515625" style="2" customWidth="1" collapsed="1"/>
    <col min="12" max="12" width="61.5703125" style="8" customWidth="1"/>
    <col min="13" max="13" width="60.140625" style="8" customWidth="1"/>
    <col min="14" max="16384" width="11.42578125" style="2"/>
  </cols>
  <sheetData>
    <row r="1" spans="1:13" ht="42.75" customHeight="1" x14ac:dyDescent="0.35">
      <c r="C1" s="385" t="s">
        <v>140</v>
      </c>
      <c r="D1" s="385"/>
      <c r="E1" s="385"/>
      <c r="F1" s="385"/>
      <c r="G1" s="385"/>
      <c r="H1" s="385"/>
      <c r="I1" s="385"/>
      <c r="J1" s="385"/>
      <c r="K1" s="45"/>
      <c r="L1" s="386"/>
      <c r="M1" s="386"/>
    </row>
    <row r="2" spans="1:13" x14ac:dyDescent="0.2">
      <c r="L2" s="7"/>
      <c r="M2" s="7"/>
    </row>
    <row r="3" spans="1:13" ht="5.25" customHeight="1" x14ac:dyDescent="0.2">
      <c r="L3" s="7"/>
      <c r="M3" s="7"/>
    </row>
    <row r="4" spans="1:13" ht="5.25" customHeight="1" x14ac:dyDescent="0.2">
      <c r="L4" s="7"/>
      <c r="M4" s="7"/>
    </row>
    <row r="5" spans="1:13" ht="17.25" customHeight="1" x14ac:dyDescent="0.35">
      <c r="C5" s="387" t="s">
        <v>65</v>
      </c>
      <c r="D5" s="387"/>
      <c r="E5" s="388" t="str">
        <f>Perfil_Egreso!B10</f>
        <v>APOYO ADMINISTRATIVO</v>
      </c>
      <c r="F5" s="388"/>
      <c r="G5" s="388"/>
      <c r="H5" s="388"/>
      <c r="I5" s="388"/>
      <c r="J5" s="388"/>
      <c r="K5" s="47"/>
      <c r="L5" s="389" t="s">
        <v>64</v>
      </c>
      <c r="M5" s="389"/>
    </row>
    <row r="6" spans="1:13" ht="6" customHeight="1" x14ac:dyDescent="0.2">
      <c r="D6" s="48"/>
      <c r="G6" s="46"/>
    </row>
    <row r="7" spans="1:13" ht="44.25" customHeight="1" x14ac:dyDescent="0.2">
      <c r="A7" s="49"/>
      <c r="B7" s="49"/>
      <c r="C7" s="2"/>
      <c r="D7" s="390" t="s">
        <v>63</v>
      </c>
      <c r="E7" s="390"/>
      <c r="F7" s="390"/>
      <c r="G7" s="78"/>
      <c r="H7" s="390" t="s">
        <v>62</v>
      </c>
      <c r="I7" s="390"/>
      <c r="J7" s="390"/>
      <c r="K7" s="50"/>
      <c r="L7" s="9"/>
      <c r="M7" s="9"/>
    </row>
    <row r="8" spans="1:13" ht="5.25" customHeight="1" x14ac:dyDescent="0.2">
      <c r="A8" s="49"/>
      <c r="B8" s="49"/>
      <c r="C8" s="51"/>
      <c r="D8" s="52"/>
      <c r="E8" s="52"/>
      <c r="F8" s="52"/>
      <c r="G8" s="51"/>
      <c r="H8" s="52"/>
      <c r="I8" s="52"/>
      <c r="J8" s="52"/>
      <c r="K8" s="50"/>
      <c r="L8" s="10"/>
      <c r="M8" s="10"/>
    </row>
    <row r="9" spans="1:13" ht="35.25" customHeight="1" x14ac:dyDescent="0.2">
      <c r="A9" s="152" t="s">
        <v>60</v>
      </c>
      <c r="B9" s="150" t="s">
        <v>94</v>
      </c>
      <c r="C9" s="150" t="s">
        <v>92</v>
      </c>
      <c r="D9" s="150" t="s">
        <v>58</v>
      </c>
      <c r="E9" s="150" t="s">
        <v>57</v>
      </c>
      <c r="F9" s="150" t="s">
        <v>56</v>
      </c>
      <c r="G9" s="150" t="s">
        <v>93</v>
      </c>
      <c r="H9" s="150" t="s">
        <v>58</v>
      </c>
      <c r="I9" s="150" t="s">
        <v>57</v>
      </c>
      <c r="J9" s="150" t="s">
        <v>56</v>
      </c>
      <c r="K9" s="71" t="s">
        <v>98</v>
      </c>
      <c r="L9" s="147" t="s">
        <v>59</v>
      </c>
      <c r="M9" s="147" t="s">
        <v>61</v>
      </c>
    </row>
    <row r="10" spans="1:13" s="53" customFormat="1" ht="48.75" customHeight="1" x14ac:dyDescent="0.25">
      <c r="A10" s="384" t="s">
        <v>55</v>
      </c>
      <c r="B10" s="379" t="s">
        <v>88</v>
      </c>
      <c r="C10" s="171" t="s">
        <v>247</v>
      </c>
      <c r="D10" s="172" t="s">
        <v>221</v>
      </c>
      <c r="E10" s="172" t="s">
        <v>222</v>
      </c>
      <c r="F10" s="172" t="s">
        <v>223</v>
      </c>
      <c r="G10" s="171" t="s">
        <v>224</v>
      </c>
      <c r="H10" s="173" t="s">
        <v>163</v>
      </c>
      <c r="I10" s="172" t="s">
        <v>225</v>
      </c>
      <c r="J10" s="172" t="s">
        <v>226</v>
      </c>
      <c r="K10" s="78"/>
      <c r="L10" s="287" t="str">
        <f>CONCATENATE(C10," ",D10," ",E10," ",F10," ",C11," ",D11," ",E11," ",F11)</f>
        <v xml:space="preserve">UC1 C1 Organizar el área de trabajo, equipos y materiales teniendo en cuenta las normas de seguridad laboral y ambiental.    </v>
      </c>
      <c r="M10" s="286" t="str">
        <f>CONCATENATE(G10," ",H10," ",I10," ",J10)</f>
        <v>C1 I1 Explica  la estructura organizacional de  la empresa de acuerdo a los manuales internos de organización.</v>
      </c>
    </row>
    <row r="11" spans="1:13" s="53" customFormat="1" ht="50.25" customHeight="1" x14ac:dyDescent="0.25">
      <c r="A11" s="384"/>
      <c r="B11" s="379"/>
      <c r="C11" s="174"/>
      <c r="D11" s="227"/>
      <c r="E11" s="228"/>
      <c r="F11" s="229"/>
      <c r="G11" s="171" t="s">
        <v>170</v>
      </c>
      <c r="H11" s="173" t="s">
        <v>175</v>
      </c>
      <c r="I11" s="172" t="s">
        <v>227</v>
      </c>
      <c r="J11" s="172" t="s">
        <v>228</v>
      </c>
      <c r="K11" s="78"/>
      <c r="L11" s="288"/>
      <c r="M11" s="286" t="str">
        <f t="shared" ref="M11:M74" si="0">CONCATENATE(G11," ",H11," ",I11," ",J11)</f>
        <v>C1 I2 Identifica los ambientes de trabajo, equipos y materiales  tomando en cuenta sus características y funcionalidad.</v>
      </c>
    </row>
    <row r="12" spans="1:13" s="53" customFormat="1" ht="43.5" customHeight="1" x14ac:dyDescent="0.25">
      <c r="A12" s="384"/>
      <c r="B12" s="379"/>
      <c r="C12" s="174"/>
      <c r="D12" s="227"/>
      <c r="E12" s="228"/>
      <c r="F12" s="229"/>
      <c r="G12" s="171" t="s">
        <v>229</v>
      </c>
      <c r="H12" s="173" t="s">
        <v>230</v>
      </c>
      <c r="I12" s="172" t="s">
        <v>231</v>
      </c>
      <c r="J12" s="172" t="s">
        <v>232</v>
      </c>
      <c r="K12" s="78"/>
      <c r="L12" s="288"/>
      <c r="M12" s="286" t="str">
        <f t="shared" si="0"/>
        <v>C1 I3 Opera los equipos de oficina de acuerdo al manual de operaciones.</v>
      </c>
    </row>
    <row r="13" spans="1:13" s="53" customFormat="1" ht="63" customHeight="1" x14ac:dyDescent="0.25">
      <c r="A13" s="384"/>
      <c r="B13" s="379"/>
      <c r="C13" s="174"/>
      <c r="D13" s="230"/>
      <c r="E13" s="231"/>
      <c r="F13" s="232"/>
      <c r="G13" s="171" t="s">
        <v>233</v>
      </c>
      <c r="H13" s="173" t="s">
        <v>234</v>
      </c>
      <c r="I13" s="172" t="s">
        <v>235</v>
      </c>
      <c r="J13" s="172" t="s">
        <v>236</v>
      </c>
      <c r="K13" s="78"/>
      <c r="L13" s="288"/>
      <c r="M13" s="286" t="str">
        <f t="shared" si="0"/>
        <v xml:space="preserve">C1 I4 Realiza la organización del ambiente de trabajo, equipos y materiales,  teniendo en cuenta las normas de seguridad e higiene y protocolos de bioseguridad </v>
      </c>
    </row>
    <row r="14" spans="1:13" s="53" customFormat="1" hidden="1" x14ac:dyDescent="0.2">
      <c r="A14" s="384"/>
      <c r="B14" s="379"/>
      <c r="C14" s="174"/>
      <c r="D14" s="175"/>
      <c r="E14" s="176"/>
      <c r="F14" s="177"/>
      <c r="G14" s="171"/>
      <c r="H14" s="173"/>
      <c r="I14" s="178"/>
      <c r="J14" s="172"/>
      <c r="K14" s="78"/>
      <c r="L14" s="110"/>
      <c r="M14" s="105" t="str">
        <f t="shared" si="0"/>
        <v xml:space="preserve">   </v>
      </c>
    </row>
    <row r="15" spans="1:13" s="53" customFormat="1" hidden="1" x14ac:dyDescent="0.2">
      <c r="A15" s="384"/>
      <c r="B15" s="379"/>
      <c r="C15" s="106"/>
      <c r="D15" s="107"/>
      <c r="E15" s="108"/>
      <c r="F15" s="109"/>
      <c r="G15" s="103"/>
      <c r="H15" s="103"/>
      <c r="I15" s="102"/>
      <c r="J15" s="102"/>
      <c r="K15" s="78"/>
      <c r="L15" s="110"/>
      <c r="M15" s="105" t="str">
        <f t="shared" si="0"/>
        <v xml:space="preserve">   </v>
      </c>
    </row>
    <row r="16" spans="1:13" s="53" customFormat="1" hidden="1" x14ac:dyDescent="0.2">
      <c r="A16" s="384"/>
      <c r="B16" s="379"/>
      <c r="C16" s="106"/>
      <c r="D16" s="107"/>
      <c r="E16" s="108"/>
      <c r="F16" s="109"/>
      <c r="G16" s="103"/>
      <c r="H16" s="103"/>
      <c r="I16" s="102"/>
      <c r="J16" s="102"/>
      <c r="K16" s="78"/>
      <c r="L16" s="110"/>
      <c r="M16" s="105" t="str">
        <f t="shared" si="0"/>
        <v xml:space="preserve">   </v>
      </c>
    </row>
    <row r="17" spans="1:13" s="53" customFormat="1" hidden="1" x14ac:dyDescent="0.2">
      <c r="A17" s="384"/>
      <c r="B17" s="379"/>
      <c r="C17" s="106"/>
      <c r="D17" s="107"/>
      <c r="E17" s="108"/>
      <c r="F17" s="109"/>
      <c r="G17" s="103"/>
      <c r="H17" s="103"/>
      <c r="I17" s="102"/>
      <c r="J17" s="102"/>
      <c r="K17" s="78"/>
      <c r="L17" s="110"/>
      <c r="M17" s="105" t="str">
        <f t="shared" si="0"/>
        <v xml:space="preserve">   </v>
      </c>
    </row>
    <row r="18" spans="1:13" s="53" customFormat="1" hidden="1" x14ac:dyDescent="0.2">
      <c r="A18" s="384"/>
      <c r="B18" s="379"/>
      <c r="C18" s="106"/>
      <c r="D18" s="107"/>
      <c r="E18" s="108"/>
      <c r="F18" s="109"/>
      <c r="G18" s="103"/>
      <c r="H18" s="103"/>
      <c r="I18" s="102"/>
      <c r="J18" s="102"/>
      <c r="K18" s="78"/>
      <c r="L18" s="110"/>
      <c r="M18" s="105" t="str">
        <f t="shared" si="0"/>
        <v xml:space="preserve">   </v>
      </c>
    </row>
    <row r="19" spans="1:13" s="53" customFormat="1" hidden="1" x14ac:dyDescent="0.2">
      <c r="A19" s="384"/>
      <c r="B19" s="379"/>
      <c r="C19" s="106"/>
      <c r="D19" s="107"/>
      <c r="E19" s="108"/>
      <c r="F19" s="109"/>
      <c r="G19" s="103"/>
      <c r="H19" s="103"/>
      <c r="I19" s="102"/>
      <c r="J19" s="102"/>
      <c r="K19" s="78"/>
      <c r="L19" s="110"/>
      <c r="M19" s="105" t="str">
        <f t="shared" si="0"/>
        <v xml:space="preserve">   </v>
      </c>
    </row>
    <row r="20" spans="1:13" s="53" customFormat="1" ht="86.25" customHeight="1" x14ac:dyDescent="0.25">
      <c r="A20" s="384" t="s">
        <v>55</v>
      </c>
      <c r="B20" s="379" t="s">
        <v>88</v>
      </c>
      <c r="C20" s="171" t="s">
        <v>246</v>
      </c>
      <c r="D20" s="178" t="s">
        <v>237</v>
      </c>
      <c r="E20" s="178" t="s">
        <v>470</v>
      </c>
      <c r="F20" s="178" t="s">
        <v>476</v>
      </c>
      <c r="G20" s="180" t="s">
        <v>238</v>
      </c>
      <c r="H20" s="179" t="s">
        <v>175</v>
      </c>
      <c r="I20" s="178" t="s">
        <v>239</v>
      </c>
      <c r="J20" s="178" t="s">
        <v>240</v>
      </c>
      <c r="K20" s="78"/>
      <c r="L20" s="287" t="str">
        <f>CONCATENATE(C20," ",D20," ",E20," ",F20," ",C21," ",D21," ",E21," ",F21)</f>
        <v xml:space="preserve">UC1 C2 Elaborar documentos administrativos y/o mercantiles de  acuerdo a las características y estructuras de las mismas, aplicando técnicas de redacción, reglas ortográficas y gramaticales .     </v>
      </c>
      <c r="M20" s="286" t="str">
        <f t="shared" si="0"/>
        <v>C2 I1 Identifica los diverso tipos de documentos administrativos de acuerdo a las políticas y normativas de la organización.</v>
      </c>
    </row>
    <row r="21" spans="1:13" s="53" customFormat="1" ht="72.75" customHeight="1" x14ac:dyDescent="0.25">
      <c r="A21" s="384"/>
      <c r="B21" s="379"/>
      <c r="C21" s="174"/>
      <c r="D21" s="233"/>
      <c r="E21" s="234"/>
      <c r="F21" s="235"/>
      <c r="G21" s="180" t="s">
        <v>172</v>
      </c>
      <c r="H21" s="179" t="s">
        <v>241</v>
      </c>
      <c r="I21" s="178" t="s">
        <v>242</v>
      </c>
      <c r="J21" s="178" t="s">
        <v>474</v>
      </c>
      <c r="K21" s="78"/>
      <c r="L21" s="288"/>
      <c r="M21" s="286" t="str">
        <f t="shared" si="0"/>
        <v>C2 I2 Redacta los documentos administrativos  aplicando las técnicas de redacción, reglas ortográficas y gramaticales, de acuerdo a las políticas y normativas de la organización.</v>
      </c>
    </row>
    <row r="22" spans="1:13" s="53" customFormat="1" ht="77.25" customHeight="1" x14ac:dyDescent="0.25">
      <c r="A22" s="384"/>
      <c r="B22" s="379"/>
      <c r="C22" s="174"/>
      <c r="D22" s="233"/>
      <c r="E22" s="234"/>
      <c r="F22" s="235"/>
      <c r="G22" s="180" t="s">
        <v>243</v>
      </c>
      <c r="H22" s="179" t="s">
        <v>234</v>
      </c>
      <c r="I22" s="178" t="s">
        <v>471</v>
      </c>
      <c r="J22" s="178" t="s">
        <v>475</v>
      </c>
      <c r="K22" s="78"/>
      <c r="L22" s="288"/>
      <c r="M22" s="286" t="str">
        <f t="shared" si="0"/>
        <v>C2 I3 Realiza el llenado de los documentos administrativos y/o mercantiles aplicando reglas ortográficas y gramaticales, de acuerdo a las políticas y normativas de la organización.</v>
      </c>
    </row>
    <row r="23" spans="1:13" s="53" customFormat="1" ht="78.75" customHeight="1" x14ac:dyDescent="0.25">
      <c r="A23" s="384"/>
      <c r="B23" s="379"/>
      <c r="C23" s="174"/>
      <c r="D23" s="233"/>
      <c r="E23" s="234"/>
      <c r="F23" s="235"/>
      <c r="G23" s="180" t="s">
        <v>244</v>
      </c>
      <c r="H23" s="179" t="s">
        <v>245</v>
      </c>
      <c r="I23" s="178" t="s">
        <v>472</v>
      </c>
      <c r="J23" s="178" t="s">
        <v>478</v>
      </c>
      <c r="K23" s="78"/>
      <c r="L23" s="288"/>
      <c r="M23" s="286" t="str">
        <f t="shared" si="0"/>
        <v>C2 I4 Verifica la calidad de los documentos administrativos y/o mercantiles de acuerdo a la información correspondiente, aplicando reglas ortográficas y gramaticales.</v>
      </c>
    </row>
    <row r="24" spans="1:13" s="53" customFormat="1" hidden="1" x14ac:dyDescent="0.2">
      <c r="A24" s="384"/>
      <c r="B24" s="379"/>
      <c r="C24" s="106"/>
      <c r="D24" s="107"/>
      <c r="E24" s="108"/>
      <c r="F24" s="109"/>
      <c r="G24" s="103"/>
      <c r="H24" s="103"/>
      <c r="I24" s="102"/>
      <c r="J24" s="102"/>
      <c r="K24" s="78"/>
      <c r="L24" s="110"/>
      <c r="M24" s="105" t="str">
        <f t="shared" si="0"/>
        <v xml:space="preserve">   </v>
      </c>
    </row>
    <row r="25" spans="1:13" s="53" customFormat="1" hidden="1" x14ac:dyDescent="0.2">
      <c r="A25" s="384"/>
      <c r="B25" s="379"/>
      <c r="C25" s="106"/>
      <c r="D25" s="107"/>
      <c r="E25" s="108"/>
      <c r="F25" s="109"/>
      <c r="G25" s="103"/>
      <c r="H25" s="103"/>
      <c r="I25" s="102"/>
      <c r="J25" s="102"/>
      <c r="K25" s="78"/>
      <c r="L25" s="110"/>
      <c r="M25" s="105" t="str">
        <f t="shared" si="0"/>
        <v xml:space="preserve">   </v>
      </c>
    </row>
    <row r="26" spans="1:13" s="53" customFormat="1" hidden="1" x14ac:dyDescent="0.2">
      <c r="A26" s="384"/>
      <c r="B26" s="379"/>
      <c r="C26" s="106"/>
      <c r="D26" s="107"/>
      <c r="E26" s="108"/>
      <c r="F26" s="109"/>
      <c r="G26" s="103"/>
      <c r="H26" s="103"/>
      <c r="I26" s="102"/>
      <c r="J26" s="102"/>
      <c r="K26" s="78"/>
      <c r="L26" s="110"/>
      <c r="M26" s="105" t="str">
        <f t="shared" si="0"/>
        <v xml:space="preserve">   </v>
      </c>
    </row>
    <row r="27" spans="1:13" s="53" customFormat="1" hidden="1" x14ac:dyDescent="0.2">
      <c r="A27" s="384"/>
      <c r="B27" s="379"/>
      <c r="C27" s="106"/>
      <c r="D27" s="107"/>
      <c r="E27" s="108"/>
      <c r="F27" s="109"/>
      <c r="G27" s="103"/>
      <c r="H27" s="103"/>
      <c r="I27" s="102"/>
      <c r="J27" s="102"/>
      <c r="K27" s="78"/>
      <c r="L27" s="110"/>
      <c r="M27" s="105" t="str">
        <f t="shared" si="0"/>
        <v xml:space="preserve">   </v>
      </c>
    </row>
    <row r="28" spans="1:13" s="53" customFormat="1" hidden="1" x14ac:dyDescent="0.2">
      <c r="A28" s="384"/>
      <c r="B28" s="379"/>
      <c r="C28" s="106"/>
      <c r="D28" s="107"/>
      <c r="E28" s="108"/>
      <c r="F28" s="109"/>
      <c r="G28" s="103"/>
      <c r="H28" s="103"/>
      <c r="I28" s="102"/>
      <c r="J28" s="102"/>
      <c r="K28" s="78"/>
      <c r="L28" s="110"/>
      <c r="M28" s="105" t="str">
        <f t="shared" si="0"/>
        <v xml:space="preserve">   </v>
      </c>
    </row>
    <row r="29" spans="1:13" s="53" customFormat="1" hidden="1" x14ac:dyDescent="0.2">
      <c r="A29" s="384"/>
      <c r="B29" s="379"/>
      <c r="C29" s="106"/>
      <c r="D29" s="107"/>
      <c r="E29" s="108"/>
      <c r="F29" s="109"/>
      <c r="G29" s="103"/>
      <c r="H29" s="103"/>
      <c r="I29" s="102"/>
      <c r="J29" s="102"/>
      <c r="K29" s="78"/>
      <c r="L29" s="110"/>
      <c r="M29" s="105" t="str">
        <f t="shared" si="0"/>
        <v xml:space="preserve">   </v>
      </c>
    </row>
    <row r="30" spans="1:13" s="53" customFormat="1" ht="81" customHeight="1" x14ac:dyDescent="0.25">
      <c r="A30" s="384" t="s">
        <v>55</v>
      </c>
      <c r="B30" s="379" t="s">
        <v>88</v>
      </c>
      <c r="C30" s="171" t="s">
        <v>248</v>
      </c>
      <c r="D30" s="172" t="s">
        <v>164</v>
      </c>
      <c r="E30" s="172" t="s">
        <v>249</v>
      </c>
      <c r="F30" s="172" t="s">
        <v>250</v>
      </c>
      <c r="G30" s="171" t="s">
        <v>251</v>
      </c>
      <c r="H30" s="173" t="s">
        <v>163</v>
      </c>
      <c r="I30" s="172" t="s">
        <v>252</v>
      </c>
      <c r="J30" s="172" t="s">
        <v>250</v>
      </c>
      <c r="K30" s="78"/>
      <c r="L30" s="287" t="str">
        <f>CONCATENATE(C30," ",D30," ",E30," ",F30," ",C31," ",D31," ",E31," ",F31)</f>
        <v xml:space="preserve">UC1 C3 Realizar  el trámite de datos y documentos,  de acuerdo a los procedimientos, normativa vigente y políticas de la organización.    </v>
      </c>
      <c r="M30" s="286" t="str">
        <f t="shared" si="0"/>
        <v>C3 I1 Explica  un diagrama de flujo documentario de acuerdo a los procedimientos, normativa vigente y políticas de la organización.</v>
      </c>
    </row>
    <row r="31" spans="1:13" s="53" customFormat="1" ht="79.5" customHeight="1" x14ac:dyDescent="0.25">
      <c r="A31" s="384"/>
      <c r="B31" s="379"/>
      <c r="C31" s="174"/>
      <c r="D31" s="227"/>
      <c r="E31" s="228"/>
      <c r="F31" s="229"/>
      <c r="G31" s="171" t="s">
        <v>253</v>
      </c>
      <c r="H31" s="173" t="s">
        <v>254</v>
      </c>
      <c r="I31" s="172" t="s">
        <v>255</v>
      </c>
      <c r="J31" s="172" t="s">
        <v>250</v>
      </c>
      <c r="K31" s="78"/>
      <c r="L31" s="288"/>
      <c r="M31" s="286" t="str">
        <f t="shared" si="0"/>
        <v>C3 I2 Organiza el procedimiento de registro y recepción del flujo documentario  de acuerdo a los procedimientos, normativa vigente y políticas de la organización.</v>
      </c>
    </row>
    <row r="32" spans="1:13" s="53" customFormat="1" ht="74.25" customHeight="1" x14ac:dyDescent="0.25">
      <c r="A32" s="384"/>
      <c r="B32" s="379"/>
      <c r="C32" s="174"/>
      <c r="D32" s="175"/>
      <c r="E32" s="176"/>
      <c r="F32" s="177"/>
      <c r="G32" s="171" t="s">
        <v>256</v>
      </c>
      <c r="H32" s="173" t="s">
        <v>176</v>
      </c>
      <c r="I32" s="172" t="s">
        <v>257</v>
      </c>
      <c r="J32" s="172" t="s">
        <v>250</v>
      </c>
      <c r="K32" s="78"/>
      <c r="L32" s="288"/>
      <c r="M32" s="286" t="str">
        <f t="shared" si="0"/>
        <v>C3 I3 Ejecuta  la organización y traslado de expedientes de acuerdo a los procedimientos, normativa vigente y políticas de la organización.</v>
      </c>
    </row>
    <row r="33" spans="1:13" s="53" customFormat="1" ht="76.5" customHeight="1" x14ac:dyDescent="0.25">
      <c r="A33" s="384"/>
      <c r="B33" s="379"/>
      <c r="C33" s="174"/>
      <c r="D33" s="175"/>
      <c r="E33" s="176"/>
      <c r="F33" s="177"/>
      <c r="G33" s="171" t="s">
        <v>258</v>
      </c>
      <c r="H33" s="173" t="s">
        <v>259</v>
      </c>
      <c r="I33" s="172" t="s">
        <v>481</v>
      </c>
      <c r="J33" s="172" t="s">
        <v>250</v>
      </c>
      <c r="K33" s="78"/>
      <c r="L33" s="288"/>
      <c r="M33" s="286" t="str">
        <f t="shared" si="0"/>
        <v>C3 I4 Efectúa  el control del traslado de los expedientes y/o documentos de acuerdo a los procedimientos, normativa vigente y políticas de la organización.</v>
      </c>
    </row>
    <row r="34" spans="1:13" s="53" customFormat="1" ht="66.75" customHeight="1" x14ac:dyDescent="0.25">
      <c r="A34" s="384"/>
      <c r="B34" s="379"/>
      <c r="C34" s="174"/>
      <c r="D34" s="175"/>
      <c r="E34" s="176"/>
      <c r="F34" s="177"/>
      <c r="G34" s="171" t="s">
        <v>260</v>
      </c>
      <c r="H34" s="173" t="s">
        <v>261</v>
      </c>
      <c r="I34" s="172" t="s">
        <v>262</v>
      </c>
      <c r="J34" s="172" t="s">
        <v>250</v>
      </c>
      <c r="K34" s="78"/>
      <c r="L34" s="288"/>
      <c r="M34" s="286" t="str">
        <f t="shared" si="0"/>
        <v>C3 I5 Informa al usuario sobre el trámite documentario  de acuerdo a los procedimientos, normativa vigente y políticas de la organización.</v>
      </c>
    </row>
    <row r="35" spans="1:13" s="53" customFormat="1" hidden="1" x14ac:dyDescent="0.2">
      <c r="A35" s="384"/>
      <c r="B35" s="379"/>
      <c r="C35" s="106"/>
      <c r="D35" s="107"/>
      <c r="E35" s="108"/>
      <c r="F35" s="109"/>
      <c r="G35" s="103"/>
      <c r="H35" s="103"/>
      <c r="I35" s="102"/>
      <c r="J35" s="102"/>
      <c r="K35" s="78"/>
      <c r="L35" s="110"/>
      <c r="M35" s="105" t="str">
        <f t="shared" si="0"/>
        <v xml:space="preserve">   </v>
      </c>
    </row>
    <row r="36" spans="1:13" s="53" customFormat="1" hidden="1" x14ac:dyDescent="0.2">
      <c r="A36" s="384"/>
      <c r="B36" s="379"/>
      <c r="C36" s="106"/>
      <c r="D36" s="107"/>
      <c r="E36" s="108"/>
      <c r="F36" s="109"/>
      <c r="G36" s="103"/>
      <c r="H36" s="103"/>
      <c r="I36" s="102"/>
      <c r="J36" s="102"/>
      <c r="K36" s="78"/>
      <c r="L36" s="110"/>
      <c r="M36" s="105" t="str">
        <f t="shared" si="0"/>
        <v xml:space="preserve">   </v>
      </c>
    </row>
    <row r="37" spans="1:13" s="53" customFormat="1" hidden="1" x14ac:dyDescent="0.2">
      <c r="A37" s="384"/>
      <c r="B37" s="379"/>
      <c r="C37" s="106"/>
      <c r="D37" s="107"/>
      <c r="E37" s="108"/>
      <c r="F37" s="109"/>
      <c r="G37" s="103"/>
      <c r="H37" s="103"/>
      <c r="I37" s="102"/>
      <c r="J37" s="102"/>
      <c r="K37" s="78"/>
      <c r="L37" s="110"/>
      <c r="M37" s="105" t="str">
        <f t="shared" si="0"/>
        <v xml:space="preserve">   </v>
      </c>
    </row>
    <row r="38" spans="1:13" s="53" customFormat="1" hidden="1" x14ac:dyDescent="0.2">
      <c r="A38" s="384"/>
      <c r="B38" s="379"/>
      <c r="C38" s="106"/>
      <c r="D38" s="107"/>
      <c r="E38" s="108"/>
      <c r="F38" s="109"/>
      <c r="G38" s="103"/>
      <c r="H38" s="103"/>
      <c r="I38" s="102"/>
      <c r="J38" s="102"/>
      <c r="K38" s="78"/>
      <c r="L38" s="110"/>
      <c r="M38" s="105" t="str">
        <f t="shared" si="0"/>
        <v xml:space="preserve">   </v>
      </c>
    </row>
    <row r="39" spans="1:13" s="53" customFormat="1" hidden="1" x14ac:dyDescent="0.2">
      <c r="A39" s="384"/>
      <c r="B39" s="379"/>
      <c r="C39" s="106"/>
      <c r="D39" s="107"/>
      <c r="E39" s="108"/>
      <c r="F39" s="109"/>
      <c r="G39" s="103"/>
      <c r="H39" s="103"/>
      <c r="I39" s="102"/>
      <c r="J39" s="102"/>
      <c r="K39" s="78"/>
      <c r="L39" s="110"/>
      <c r="M39" s="105" t="str">
        <f t="shared" si="0"/>
        <v xml:space="preserve">   </v>
      </c>
    </row>
    <row r="40" spans="1:13" s="53" customFormat="1" ht="12.75" hidden="1" customHeight="1" x14ac:dyDescent="0.2">
      <c r="A40" s="384" t="s">
        <v>55</v>
      </c>
      <c r="B40" s="379" t="s">
        <v>88</v>
      </c>
      <c r="C40" s="171"/>
      <c r="D40" s="172"/>
      <c r="E40" s="172"/>
      <c r="F40" s="172"/>
      <c r="G40" s="171"/>
      <c r="H40" s="173"/>
      <c r="I40" s="172"/>
      <c r="J40" s="172"/>
      <c r="K40" s="78"/>
      <c r="L40" s="104" t="str">
        <f>CONCATENATE(C40," ",D40," ",E40," ",F40," ",C41," ",D41," ",E41," ",F41)</f>
        <v xml:space="preserve">       </v>
      </c>
      <c r="M40" s="105" t="str">
        <f t="shared" si="0"/>
        <v xml:space="preserve">   </v>
      </c>
    </row>
    <row r="41" spans="1:13" s="53" customFormat="1" hidden="1" x14ac:dyDescent="0.2">
      <c r="A41" s="384"/>
      <c r="B41" s="379"/>
      <c r="C41" s="171"/>
      <c r="D41" s="172"/>
      <c r="E41" s="172"/>
      <c r="F41" s="172"/>
      <c r="G41" s="171"/>
      <c r="H41" s="173"/>
      <c r="I41" s="172"/>
      <c r="J41" s="172"/>
      <c r="K41" s="78"/>
      <c r="L41" s="110"/>
      <c r="M41" s="105" t="str">
        <f t="shared" si="0"/>
        <v xml:space="preserve">   </v>
      </c>
    </row>
    <row r="42" spans="1:13" s="53" customFormat="1" hidden="1" x14ac:dyDescent="0.2">
      <c r="A42" s="384"/>
      <c r="B42" s="379"/>
      <c r="C42" s="174"/>
      <c r="D42" s="175"/>
      <c r="E42" s="176"/>
      <c r="F42" s="177"/>
      <c r="G42" s="171"/>
      <c r="H42" s="173"/>
      <c r="I42" s="172"/>
      <c r="J42" s="172"/>
      <c r="K42" s="78"/>
      <c r="L42" s="110"/>
      <c r="M42" s="105" t="str">
        <f t="shared" si="0"/>
        <v xml:space="preserve">   </v>
      </c>
    </row>
    <row r="43" spans="1:13" s="53" customFormat="1" hidden="1" x14ac:dyDescent="0.2">
      <c r="A43" s="384"/>
      <c r="B43" s="379"/>
      <c r="C43" s="174"/>
      <c r="D43" s="175"/>
      <c r="E43" s="176"/>
      <c r="F43" s="177"/>
      <c r="G43" s="171"/>
      <c r="H43" s="173"/>
      <c r="I43" s="172"/>
      <c r="J43" s="172"/>
      <c r="K43" s="78"/>
      <c r="L43" s="110"/>
      <c r="M43" s="105" t="str">
        <f t="shared" si="0"/>
        <v xml:space="preserve">   </v>
      </c>
    </row>
    <row r="44" spans="1:13" s="53" customFormat="1" hidden="1" x14ac:dyDescent="0.2">
      <c r="A44" s="384"/>
      <c r="B44" s="379"/>
      <c r="C44" s="106"/>
      <c r="D44" s="107"/>
      <c r="E44" s="108"/>
      <c r="F44" s="109"/>
      <c r="G44" s="103"/>
      <c r="H44" s="103"/>
      <c r="I44" s="102"/>
      <c r="J44" s="102"/>
      <c r="K44" s="78"/>
      <c r="L44" s="110"/>
      <c r="M44" s="105" t="str">
        <f t="shared" si="0"/>
        <v xml:space="preserve">   </v>
      </c>
    </row>
    <row r="45" spans="1:13" s="53" customFormat="1" hidden="1" x14ac:dyDescent="0.2">
      <c r="A45" s="384"/>
      <c r="B45" s="379"/>
      <c r="C45" s="106"/>
      <c r="D45" s="107"/>
      <c r="E45" s="108"/>
      <c r="F45" s="109"/>
      <c r="G45" s="103"/>
      <c r="H45" s="103"/>
      <c r="I45" s="102"/>
      <c r="J45" s="102"/>
      <c r="K45" s="78"/>
      <c r="L45" s="110"/>
      <c r="M45" s="105" t="str">
        <f t="shared" si="0"/>
        <v xml:space="preserve">   </v>
      </c>
    </row>
    <row r="46" spans="1:13" s="53" customFormat="1" hidden="1" x14ac:dyDescent="0.2">
      <c r="A46" s="384"/>
      <c r="B46" s="379"/>
      <c r="C46" s="106"/>
      <c r="D46" s="107"/>
      <c r="E46" s="108"/>
      <c r="F46" s="109"/>
      <c r="G46" s="103"/>
      <c r="H46" s="103"/>
      <c r="I46" s="102"/>
      <c r="J46" s="102"/>
      <c r="K46" s="78"/>
      <c r="L46" s="110"/>
      <c r="M46" s="105" t="str">
        <f t="shared" si="0"/>
        <v xml:space="preserve">   </v>
      </c>
    </row>
    <row r="47" spans="1:13" s="53" customFormat="1" hidden="1" x14ac:dyDescent="0.2">
      <c r="A47" s="384"/>
      <c r="B47" s="379"/>
      <c r="C47" s="106"/>
      <c r="D47" s="107"/>
      <c r="E47" s="108"/>
      <c r="F47" s="109"/>
      <c r="G47" s="103"/>
      <c r="H47" s="103"/>
      <c r="I47" s="102"/>
      <c r="J47" s="102"/>
      <c r="K47" s="78"/>
      <c r="L47" s="110"/>
      <c r="M47" s="105" t="str">
        <f t="shared" si="0"/>
        <v xml:space="preserve">   </v>
      </c>
    </row>
    <row r="48" spans="1:13" s="53" customFormat="1" hidden="1" x14ac:dyDescent="0.2">
      <c r="A48" s="384"/>
      <c r="B48" s="379"/>
      <c r="C48" s="106"/>
      <c r="D48" s="107"/>
      <c r="E48" s="108"/>
      <c r="F48" s="109"/>
      <c r="G48" s="103"/>
      <c r="H48" s="103"/>
      <c r="I48" s="102"/>
      <c r="J48" s="102"/>
      <c r="K48" s="78"/>
      <c r="L48" s="110"/>
      <c r="M48" s="105" t="str">
        <f t="shared" si="0"/>
        <v xml:space="preserve">   </v>
      </c>
    </row>
    <row r="49" spans="1:13" s="53" customFormat="1" hidden="1" x14ac:dyDescent="0.2">
      <c r="A49" s="384"/>
      <c r="B49" s="379"/>
      <c r="C49" s="106"/>
      <c r="D49" s="107"/>
      <c r="E49" s="108"/>
      <c r="F49" s="109"/>
      <c r="G49" s="103"/>
      <c r="H49" s="103"/>
      <c r="I49" s="102"/>
      <c r="J49" s="102"/>
      <c r="K49" s="78"/>
      <c r="L49" s="110"/>
      <c r="M49" s="105" t="str">
        <f t="shared" si="0"/>
        <v xml:space="preserve">   </v>
      </c>
    </row>
    <row r="50" spans="1:13" s="53" customFormat="1" ht="12.75" hidden="1" customHeight="1" x14ac:dyDescent="0.2">
      <c r="A50" s="384" t="s">
        <v>55</v>
      </c>
      <c r="B50" s="379" t="s">
        <v>88</v>
      </c>
      <c r="C50" s="102"/>
      <c r="D50" s="102"/>
      <c r="E50" s="102"/>
      <c r="F50" s="102"/>
      <c r="G50" s="103"/>
      <c r="H50" s="103"/>
      <c r="I50" s="102"/>
      <c r="J50" s="102"/>
      <c r="K50" s="78"/>
      <c r="L50" s="104" t="str">
        <f>CONCATENATE(C50," ",D50," ",E50," ",F50," ",C51," ",D51," ",E51," ",F51)</f>
        <v xml:space="preserve">       </v>
      </c>
      <c r="M50" s="105" t="str">
        <f t="shared" si="0"/>
        <v xml:space="preserve">   </v>
      </c>
    </row>
    <row r="51" spans="1:13" s="53" customFormat="1" hidden="1" x14ac:dyDescent="0.2">
      <c r="A51" s="384"/>
      <c r="B51" s="379"/>
      <c r="C51" s="106"/>
      <c r="D51" s="107"/>
      <c r="E51" s="108"/>
      <c r="F51" s="109"/>
      <c r="G51" s="103"/>
      <c r="H51" s="103"/>
      <c r="I51" s="102"/>
      <c r="J51" s="102"/>
      <c r="K51" s="78"/>
      <c r="L51" s="110"/>
      <c r="M51" s="105" t="str">
        <f t="shared" si="0"/>
        <v xml:space="preserve">   </v>
      </c>
    </row>
    <row r="52" spans="1:13" s="53" customFormat="1" hidden="1" x14ac:dyDescent="0.2">
      <c r="A52" s="384"/>
      <c r="B52" s="379"/>
      <c r="C52" s="106"/>
      <c r="D52" s="107"/>
      <c r="E52" s="108"/>
      <c r="F52" s="109"/>
      <c r="G52" s="103"/>
      <c r="H52" s="103"/>
      <c r="I52" s="102"/>
      <c r="J52" s="102"/>
      <c r="K52" s="78"/>
      <c r="L52" s="110"/>
      <c r="M52" s="105" t="str">
        <f t="shared" si="0"/>
        <v xml:space="preserve">   </v>
      </c>
    </row>
    <row r="53" spans="1:13" s="53" customFormat="1" hidden="1" x14ac:dyDescent="0.2">
      <c r="A53" s="384"/>
      <c r="B53" s="379"/>
      <c r="C53" s="106"/>
      <c r="D53" s="107"/>
      <c r="E53" s="108"/>
      <c r="F53" s="109"/>
      <c r="G53" s="103"/>
      <c r="H53" s="103"/>
      <c r="I53" s="102"/>
      <c r="J53" s="102"/>
      <c r="K53" s="78"/>
      <c r="L53" s="110"/>
      <c r="M53" s="105" t="str">
        <f t="shared" si="0"/>
        <v xml:space="preserve">   </v>
      </c>
    </row>
    <row r="54" spans="1:13" s="53" customFormat="1" hidden="1" x14ac:dyDescent="0.2">
      <c r="A54" s="384"/>
      <c r="B54" s="379"/>
      <c r="C54" s="106"/>
      <c r="D54" s="107"/>
      <c r="E54" s="108"/>
      <c r="F54" s="109"/>
      <c r="G54" s="103"/>
      <c r="H54" s="103"/>
      <c r="I54" s="102"/>
      <c r="J54" s="102"/>
      <c r="K54" s="78"/>
      <c r="L54" s="110"/>
      <c r="M54" s="105" t="str">
        <f t="shared" si="0"/>
        <v xml:space="preserve">   </v>
      </c>
    </row>
    <row r="55" spans="1:13" s="53" customFormat="1" hidden="1" x14ac:dyDescent="0.2">
      <c r="A55" s="384"/>
      <c r="B55" s="379"/>
      <c r="C55" s="106"/>
      <c r="D55" s="107"/>
      <c r="E55" s="108"/>
      <c r="F55" s="109"/>
      <c r="G55" s="103"/>
      <c r="H55" s="103"/>
      <c r="I55" s="102"/>
      <c r="J55" s="102"/>
      <c r="K55" s="78"/>
      <c r="L55" s="110"/>
      <c r="M55" s="105" t="str">
        <f t="shared" si="0"/>
        <v xml:space="preserve">   </v>
      </c>
    </row>
    <row r="56" spans="1:13" s="53" customFormat="1" hidden="1" x14ac:dyDescent="0.2">
      <c r="A56" s="384"/>
      <c r="B56" s="379"/>
      <c r="C56" s="106"/>
      <c r="D56" s="107"/>
      <c r="E56" s="108"/>
      <c r="F56" s="109"/>
      <c r="G56" s="103"/>
      <c r="H56" s="103"/>
      <c r="I56" s="102"/>
      <c r="J56" s="102"/>
      <c r="K56" s="78"/>
      <c r="L56" s="110"/>
      <c r="M56" s="105" t="str">
        <f t="shared" si="0"/>
        <v xml:space="preserve">   </v>
      </c>
    </row>
    <row r="57" spans="1:13" s="53" customFormat="1" hidden="1" x14ac:dyDescent="0.2">
      <c r="A57" s="384"/>
      <c r="B57" s="379"/>
      <c r="C57" s="106"/>
      <c r="D57" s="107"/>
      <c r="E57" s="108"/>
      <c r="F57" s="109"/>
      <c r="G57" s="103"/>
      <c r="H57" s="103"/>
      <c r="I57" s="102"/>
      <c r="J57" s="102"/>
      <c r="K57" s="78"/>
      <c r="L57" s="110"/>
      <c r="M57" s="105" t="str">
        <f t="shared" si="0"/>
        <v xml:space="preserve">   </v>
      </c>
    </row>
    <row r="58" spans="1:13" s="53" customFormat="1" hidden="1" x14ac:dyDescent="0.2">
      <c r="A58" s="384"/>
      <c r="B58" s="379"/>
      <c r="C58" s="106"/>
      <c r="D58" s="107"/>
      <c r="E58" s="108"/>
      <c r="F58" s="109"/>
      <c r="G58" s="103"/>
      <c r="H58" s="103"/>
      <c r="I58" s="102"/>
      <c r="J58" s="102"/>
      <c r="K58" s="78"/>
      <c r="L58" s="110"/>
      <c r="M58" s="105" t="str">
        <f t="shared" si="0"/>
        <v xml:space="preserve">   </v>
      </c>
    </row>
    <row r="59" spans="1:13" s="53" customFormat="1" hidden="1" x14ac:dyDescent="0.2">
      <c r="A59" s="384"/>
      <c r="B59" s="379"/>
      <c r="C59" s="106"/>
      <c r="D59" s="107"/>
      <c r="E59" s="108"/>
      <c r="F59" s="109"/>
      <c r="G59" s="103"/>
      <c r="H59" s="103"/>
      <c r="I59" s="102"/>
      <c r="J59" s="102"/>
      <c r="K59" s="78"/>
      <c r="L59" s="110"/>
      <c r="M59" s="105" t="str">
        <f t="shared" si="0"/>
        <v xml:space="preserve">   </v>
      </c>
    </row>
    <row r="60" spans="1:13" s="53" customFormat="1" ht="12.75" hidden="1" customHeight="1" x14ac:dyDescent="0.2">
      <c r="A60" s="384" t="s">
        <v>55</v>
      </c>
      <c r="B60" s="379" t="s">
        <v>88</v>
      </c>
      <c r="C60" s="102"/>
      <c r="D60" s="102"/>
      <c r="E60" s="102"/>
      <c r="F60" s="102"/>
      <c r="G60" s="103"/>
      <c r="H60" s="103"/>
      <c r="I60" s="102"/>
      <c r="J60" s="102"/>
      <c r="K60" s="78"/>
      <c r="L60" s="104" t="str">
        <f>CONCATENATE(C60," ",D60," ",E60," ",F60," ",C61," ",D61," ",E61," ",F61)</f>
        <v xml:space="preserve">       </v>
      </c>
      <c r="M60" s="105" t="str">
        <f t="shared" si="0"/>
        <v xml:space="preserve">   </v>
      </c>
    </row>
    <row r="61" spans="1:13" s="53" customFormat="1" hidden="1" x14ac:dyDescent="0.2">
      <c r="A61" s="384"/>
      <c r="B61" s="379"/>
      <c r="C61" s="106"/>
      <c r="D61" s="107"/>
      <c r="E61" s="108"/>
      <c r="F61" s="109"/>
      <c r="G61" s="103"/>
      <c r="H61" s="103"/>
      <c r="I61" s="102"/>
      <c r="J61" s="102"/>
      <c r="K61" s="78"/>
      <c r="L61" s="110"/>
      <c r="M61" s="105" t="str">
        <f t="shared" si="0"/>
        <v xml:space="preserve">   </v>
      </c>
    </row>
    <row r="62" spans="1:13" s="53" customFormat="1" hidden="1" x14ac:dyDescent="0.2">
      <c r="A62" s="384"/>
      <c r="B62" s="379"/>
      <c r="C62" s="106"/>
      <c r="D62" s="107"/>
      <c r="E62" s="108"/>
      <c r="F62" s="109"/>
      <c r="G62" s="103"/>
      <c r="H62" s="103"/>
      <c r="I62" s="102"/>
      <c r="J62" s="102"/>
      <c r="K62" s="78"/>
      <c r="L62" s="110"/>
      <c r="M62" s="105" t="str">
        <f t="shared" si="0"/>
        <v xml:space="preserve">   </v>
      </c>
    </row>
    <row r="63" spans="1:13" s="53" customFormat="1" hidden="1" x14ac:dyDescent="0.2">
      <c r="A63" s="384"/>
      <c r="B63" s="379"/>
      <c r="C63" s="106"/>
      <c r="D63" s="107"/>
      <c r="E63" s="108"/>
      <c r="F63" s="109"/>
      <c r="G63" s="103"/>
      <c r="H63" s="103"/>
      <c r="I63" s="102"/>
      <c r="J63" s="102"/>
      <c r="K63" s="78"/>
      <c r="L63" s="110"/>
      <c r="M63" s="105" t="str">
        <f t="shared" si="0"/>
        <v xml:space="preserve">   </v>
      </c>
    </row>
    <row r="64" spans="1:13" s="53" customFormat="1" hidden="1" x14ac:dyDescent="0.2">
      <c r="A64" s="384"/>
      <c r="B64" s="379"/>
      <c r="C64" s="106"/>
      <c r="D64" s="107"/>
      <c r="E64" s="108"/>
      <c r="F64" s="109"/>
      <c r="G64" s="103"/>
      <c r="H64" s="103"/>
      <c r="I64" s="102"/>
      <c r="J64" s="102"/>
      <c r="K64" s="78"/>
      <c r="L64" s="110"/>
      <c r="M64" s="105" t="str">
        <f t="shared" si="0"/>
        <v xml:space="preserve">   </v>
      </c>
    </row>
    <row r="65" spans="1:13" s="53" customFormat="1" hidden="1" x14ac:dyDescent="0.2">
      <c r="A65" s="384"/>
      <c r="B65" s="379"/>
      <c r="C65" s="106"/>
      <c r="D65" s="107"/>
      <c r="E65" s="108"/>
      <c r="F65" s="109"/>
      <c r="G65" s="103"/>
      <c r="H65" s="103"/>
      <c r="I65" s="102"/>
      <c r="J65" s="102"/>
      <c r="K65" s="78"/>
      <c r="L65" s="110"/>
      <c r="M65" s="105" t="str">
        <f t="shared" si="0"/>
        <v xml:space="preserve">   </v>
      </c>
    </row>
    <row r="66" spans="1:13" s="53" customFormat="1" hidden="1" x14ac:dyDescent="0.2">
      <c r="A66" s="384"/>
      <c r="B66" s="379"/>
      <c r="C66" s="106"/>
      <c r="D66" s="107"/>
      <c r="E66" s="108"/>
      <c r="F66" s="109"/>
      <c r="G66" s="103"/>
      <c r="H66" s="103"/>
      <c r="I66" s="102"/>
      <c r="J66" s="102"/>
      <c r="K66" s="78"/>
      <c r="L66" s="110"/>
      <c r="M66" s="105" t="str">
        <f t="shared" si="0"/>
        <v xml:space="preserve">   </v>
      </c>
    </row>
    <row r="67" spans="1:13" s="53" customFormat="1" hidden="1" x14ac:dyDescent="0.2">
      <c r="A67" s="384"/>
      <c r="B67" s="379"/>
      <c r="C67" s="106"/>
      <c r="D67" s="107"/>
      <c r="E67" s="108"/>
      <c r="F67" s="109"/>
      <c r="G67" s="103"/>
      <c r="H67" s="103"/>
      <c r="I67" s="102"/>
      <c r="J67" s="102"/>
      <c r="K67" s="78"/>
      <c r="L67" s="110"/>
      <c r="M67" s="105" t="str">
        <f t="shared" si="0"/>
        <v xml:space="preserve">   </v>
      </c>
    </row>
    <row r="68" spans="1:13" s="53" customFormat="1" hidden="1" x14ac:dyDescent="0.2">
      <c r="A68" s="384"/>
      <c r="B68" s="379"/>
      <c r="C68" s="106"/>
      <c r="D68" s="107"/>
      <c r="E68" s="108"/>
      <c r="F68" s="109"/>
      <c r="G68" s="103"/>
      <c r="H68" s="103"/>
      <c r="I68" s="102"/>
      <c r="J68" s="102"/>
      <c r="K68" s="78"/>
      <c r="L68" s="110"/>
      <c r="M68" s="105" t="str">
        <f t="shared" si="0"/>
        <v xml:space="preserve">   </v>
      </c>
    </row>
    <row r="69" spans="1:13" s="53" customFormat="1" hidden="1" x14ac:dyDescent="0.2">
      <c r="A69" s="384"/>
      <c r="B69" s="379"/>
      <c r="C69" s="106"/>
      <c r="D69" s="107"/>
      <c r="E69" s="108"/>
      <c r="F69" s="109"/>
      <c r="G69" s="103"/>
      <c r="H69" s="103"/>
      <c r="I69" s="102"/>
      <c r="J69" s="102"/>
      <c r="K69" s="78"/>
      <c r="L69" s="110"/>
      <c r="M69" s="105" t="str">
        <f t="shared" si="0"/>
        <v xml:space="preserve">   </v>
      </c>
    </row>
    <row r="70" spans="1:13" s="53" customFormat="1" ht="12.75" hidden="1" customHeight="1" x14ac:dyDescent="0.2">
      <c r="A70" s="384" t="s">
        <v>55</v>
      </c>
      <c r="B70" s="379" t="s">
        <v>88</v>
      </c>
      <c r="C70" s="102"/>
      <c r="D70" s="102"/>
      <c r="E70" s="102"/>
      <c r="F70" s="102"/>
      <c r="G70" s="103"/>
      <c r="H70" s="103"/>
      <c r="I70" s="102"/>
      <c r="J70" s="102"/>
      <c r="K70" s="78"/>
      <c r="L70" s="104" t="str">
        <f>CONCATENATE(C70," ",D70," ",E70," ",F70," ",C71," ",D71," ",E71," ",F71)</f>
        <v xml:space="preserve">       </v>
      </c>
      <c r="M70" s="105" t="str">
        <f t="shared" si="0"/>
        <v xml:space="preserve">   </v>
      </c>
    </row>
    <row r="71" spans="1:13" s="53" customFormat="1" hidden="1" x14ac:dyDescent="0.2">
      <c r="A71" s="384"/>
      <c r="B71" s="379"/>
      <c r="C71" s="106"/>
      <c r="D71" s="107"/>
      <c r="E71" s="108"/>
      <c r="F71" s="109"/>
      <c r="G71" s="103"/>
      <c r="H71" s="103"/>
      <c r="I71" s="102"/>
      <c r="J71" s="102"/>
      <c r="K71" s="78"/>
      <c r="L71" s="110"/>
      <c r="M71" s="105" t="str">
        <f t="shared" si="0"/>
        <v xml:space="preserve">   </v>
      </c>
    </row>
    <row r="72" spans="1:13" s="53" customFormat="1" hidden="1" x14ac:dyDescent="0.2">
      <c r="A72" s="384"/>
      <c r="B72" s="379"/>
      <c r="C72" s="106"/>
      <c r="D72" s="107"/>
      <c r="E72" s="108"/>
      <c r="F72" s="109"/>
      <c r="G72" s="103"/>
      <c r="H72" s="103"/>
      <c r="I72" s="102"/>
      <c r="J72" s="102"/>
      <c r="K72" s="78"/>
      <c r="L72" s="110"/>
      <c r="M72" s="105" t="str">
        <f t="shared" si="0"/>
        <v xml:space="preserve">   </v>
      </c>
    </row>
    <row r="73" spans="1:13" s="53" customFormat="1" hidden="1" x14ac:dyDescent="0.2">
      <c r="A73" s="384"/>
      <c r="B73" s="379"/>
      <c r="C73" s="106"/>
      <c r="D73" s="107"/>
      <c r="E73" s="108"/>
      <c r="F73" s="109"/>
      <c r="G73" s="103"/>
      <c r="H73" s="103"/>
      <c r="I73" s="102"/>
      <c r="J73" s="102"/>
      <c r="K73" s="78"/>
      <c r="L73" s="110"/>
      <c r="M73" s="105" t="str">
        <f t="shared" si="0"/>
        <v xml:space="preserve">   </v>
      </c>
    </row>
    <row r="74" spans="1:13" s="53" customFormat="1" hidden="1" x14ac:dyDescent="0.2">
      <c r="A74" s="384"/>
      <c r="B74" s="379"/>
      <c r="C74" s="106"/>
      <c r="D74" s="107"/>
      <c r="E74" s="108"/>
      <c r="F74" s="109"/>
      <c r="G74" s="103"/>
      <c r="H74" s="103"/>
      <c r="I74" s="102"/>
      <c r="J74" s="102"/>
      <c r="K74" s="78"/>
      <c r="L74" s="110"/>
      <c r="M74" s="105" t="str">
        <f t="shared" si="0"/>
        <v xml:space="preserve">   </v>
      </c>
    </row>
    <row r="75" spans="1:13" s="53" customFormat="1" hidden="1" x14ac:dyDescent="0.2">
      <c r="A75" s="384"/>
      <c r="B75" s="379"/>
      <c r="C75" s="106"/>
      <c r="D75" s="107"/>
      <c r="E75" s="108"/>
      <c r="F75" s="109"/>
      <c r="G75" s="103"/>
      <c r="H75" s="103"/>
      <c r="I75" s="102"/>
      <c r="J75" s="102"/>
      <c r="K75" s="78"/>
      <c r="L75" s="110"/>
      <c r="M75" s="105" t="str">
        <f t="shared" ref="M75:M138" si="1">CONCATENATE(G75," ",H75," ",I75," ",J75)</f>
        <v xml:space="preserve">   </v>
      </c>
    </row>
    <row r="76" spans="1:13" s="53" customFormat="1" hidden="1" x14ac:dyDescent="0.2">
      <c r="A76" s="384"/>
      <c r="B76" s="379"/>
      <c r="C76" s="106"/>
      <c r="D76" s="107"/>
      <c r="E76" s="108"/>
      <c r="F76" s="109"/>
      <c r="G76" s="103"/>
      <c r="H76" s="103"/>
      <c r="I76" s="102"/>
      <c r="J76" s="102"/>
      <c r="K76" s="78"/>
      <c r="L76" s="110"/>
      <c r="M76" s="105" t="str">
        <f t="shared" si="1"/>
        <v xml:space="preserve">   </v>
      </c>
    </row>
    <row r="77" spans="1:13" s="53" customFormat="1" hidden="1" x14ac:dyDescent="0.2">
      <c r="A77" s="384"/>
      <c r="B77" s="379"/>
      <c r="C77" s="106"/>
      <c r="D77" s="107"/>
      <c r="E77" s="108"/>
      <c r="F77" s="109"/>
      <c r="G77" s="103"/>
      <c r="H77" s="103"/>
      <c r="I77" s="102"/>
      <c r="J77" s="102"/>
      <c r="K77" s="78"/>
      <c r="L77" s="110"/>
      <c r="M77" s="105" t="str">
        <f t="shared" si="1"/>
        <v xml:space="preserve">   </v>
      </c>
    </row>
    <row r="78" spans="1:13" s="53" customFormat="1" hidden="1" x14ac:dyDescent="0.2">
      <c r="A78" s="384"/>
      <c r="B78" s="379"/>
      <c r="C78" s="106"/>
      <c r="D78" s="107"/>
      <c r="E78" s="108"/>
      <c r="F78" s="109"/>
      <c r="G78" s="103"/>
      <c r="H78" s="103"/>
      <c r="I78" s="102"/>
      <c r="J78" s="102"/>
      <c r="K78" s="78"/>
      <c r="L78" s="110"/>
      <c r="M78" s="105" t="str">
        <f t="shared" si="1"/>
        <v xml:space="preserve">   </v>
      </c>
    </row>
    <row r="79" spans="1:13" s="53" customFormat="1" hidden="1" x14ac:dyDescent="0.2">
      <c r="A79" s="384"/>
      <c r="B79" s="379"/>
      <c r="C79" s="106"/>
      <c r="D79" s="107"/>
      <c r="E79" s="108"/>
      <c r="F79" s="109"/>
      <c r="G79" s="103"/>
      <c r="H79" s="103"/>
      <c r="I79" s="102"/>
      <c r="J79" s="102"/>
      <c r="K79" s="78"/>
      <c r="L79" s="110"/>
      <c r="M79" s="105" t="str">
        <f t="shared" si="1"/>
        <v xml:space="preserve">   </v>
      </c>
    </row>
    <row r="80" spans="1:13" s="53" customFormat="1" ht="12.75" hidden="1" customHeight="1" x14ac:dyDescent="0.2">
      <c r="A80" s="384" t="s">
        <v>55</v>
      </c>
      <c r="B80" s="379" t="s">
        <v>88</v>
      </c>
      <c r="C80" s="102"/>
      <c r="D80" s="102"/>
      <c r="E80" s="102"/>
      <c r="F80" s="102"/>
      <c r="G80" s="103"/>
      <c r="H80" s="103"/>
      <c r="I80" s="102"/>
      <c r="J80" s="102"/>
      <c r="K80" s="78"/>
      <c r="L80" s="104" t="str">
        <f>CONCATENATE(C80," ",D80," ",E80," ",F80," ",C81," ",D81," ",E81," ",F81)</f>
        <v xml:space="preserve">       </v>
      </c>
      <c r="M80" s="105" t="str">
        <f t="shared" si="1"/>
        <v xml:space="preserve">   </v>
      </c>
    </row>
    <row r="81" spans="1:13" s="53" customFormat="1" hidden="1" x14ac:dyDescent="0.2">
      <c r="A81" s="384"/>
      <c r="B81" s="379"/>
      <c r="C81" s="106"/>
      <c r="D81" s="107"/>
      <c r="E81" s="108"/>
      <c r="F81" s="109"/>
      <c r="G81" s="103"/>
      <c r="H81" s="103"/>
      <c r="I81" s="102"/>
      <c r="J81" s="102"/>
      <c r="K81" s="78"/>
      <c r="L81" s="110"/>
      <c r="M81" s="105" t="str">
        <f t="shared" si="1"/>
        <v xml:space="preserve">   </v>
      </c>
    </row>
    <row r="82" spans="1:13" s="53" customFormat="1" hidden="1" x14ac:dyDescent="0.2">
      <c r="A82" s="384"/>
      <c r="B82" s="379"/>
      <c r="C82" s="106"/>
      <c r="D82" s="107"/>
      <c r="E82" s="108"/>
      <c r="F82" s="109"/>
      <c r="G82" s="103"/>
      <c r="H82" s="103"/>
      <c r="I82" s="102"/>
      <c r="J82" s="102"/>
      <c r="K82" s="78"/>
      <c r="L82" s="110"/>
      <c r="M82" s="105" t="str">
        <f t="shared" si="1"/>
        <v xml:space="preserve">   </v>
      </c>
    </row>
    <row r="83" spans="1:13" s="53" customFormat="1" hidden="1" x14ac:dyDescent="0.2">
      <c r="A83" s="384"/>
      <c r="B83" s="379"/>
      <c r="C83" s="106"/>
      <c r="D83" s="107"/>
      <c r="E83" s="108"/>
      <c r="F83" s="109"/>
      <c r="G83" s="103"/>
      <c r="H83" s="103"/>
      <c r="I83" s="102"/>
      <c r="J83" s="102"/>
      <c r="K83" s="78"/>
      <c r="L83" s="110"/>
      <c r="M83" s="105" t="str">
        <f t="shared" si="1"/>
        <v xml:space="preserve">   </v>
      </c>
    </row>
    <row r="84" spans="1:13" s="53" customFormat="1" hidden="1" x14ac:dyDescent="0.2">
      <c r="A84" s="384"/>
      <c r="B84" s="379"/>
      <c r="C84" s="106"/>
      <c r="D84" s="107"/>
      <c r="E84" s="108"/>
      <c r="F84" s="109"/>
      <c r="G84" s="103"/>
      <c r="H84" s="103"/>
      <c r="I84" s="102"/>
      <c r="J84" s="102"/>
      <c r="K84" s="78"/>
      <c r="L84" s="110"/>
      <c r="M84" s="105" t="str">
        <f t="shared" si="1"/>
        <v xml:space="preserve">   </v>
      </c>
    </row>
    <row r="85" spans="1:13" s="53" customFormat="1" hidden="1" x14ac:dyDescent="0.2">
      <c r="A85" s="384"/>
      <c r="B85" s="379"/>
      <c r="C85" s="106"/>
      <c r="D85" s="107"/>
      <c r="E85" s="108"/>
      <c r="F85" s="109"/>
      <c r="G85" s="103"/>
      <c r="H85" s="103"/>
      <c r="I85" s="102"/>
      <c r="J85" s="102"/>
      <c r="K85" s="78"/>
      <c r="L85" s="110"/>
      <c r="M85" s="105" t="str">
        <f t="shared" si="1"/>
        <v xml:space="preserve">   </v>
      </c>
    </row>
    <row r="86" spans="1:13" s="53" customFormat="1" hidden="1" x14ac:dyDescent="0.2">
      <c r="A86" s="384"/>
      <c r="B86" s="379"/>
      <c r="C86" s="106"/>
      <c r="D86" s="107"/>
      <c r="E86" s="108"/>
      <c r="F86" s="109"/>
      <c r="G86" s="103"/>
      <c r="H86" s="103"/>
      <c r="I86" s="102"/>
      <c r="J86" s="102"/>
      <c r="K86" s="78"/>
      <c r="L86" s="110"/>
      <c r="M86" s="105" t="str">
        <f t="shared" si="1"/>
        <v xml:space="preserve">   </v>
      </c>
    </row>
    <row r="87" spans="1:13" s="53" customFormat="1" hidden="1" x14ac:dyDescent="0.2">
      <c r="A87" s="384"/>
      <c r="B87" s="379"/>
      <c r="C87" s="106"/>
      <c r="D87" s="107"/>
      <c r="E87" s="108"/>
      <c r="F87" s="109"/>
      <c r="G87" s="103"/>
      <c r="H87" s="103"/>
      <c r="I87" s="102"/>
      <c r="J87" s="102"/>
      <c r="K87" s="78"/>
      <c r="L87" s="110"/>
      <c r="M87" s="105" t="str">
        <f t="shared" si="1"/>
        <v xml:space="preserve">   </v>
      </c>
    </row>
    <row r="88" spans="1:13" s="53" customFormat="1" hidden="1" x14ac:dyDescent="0.2">
      <c r="A88" s="384"/>
      <c r="B88" s="379"/>
      <c r="C88" s="106"/>
      <c r="D88" s="107"/>
      <c r="E88" s="108"/>
      <c r="F88" s="109"/>
      <c r="G88" s="103"/>
      <c r="H88" s="103"/>
      <c r="I88" s="102"/>
      <c r="J88" s="102"/>
      <c r="K88" s="78"/>
      <c r="L88" s="110"/>
      <c r="M88" s="105" t="str">
        <f t="shared" si="1"/>
        <v xml:space="preserve">   </v>
      </c>
    </row>
    <row r="89" spans="1:13" s="53" customFormat="1" hidden="1" x14ac:dyDescent="0.2">
      <c r="A89" s="384"/>
      <c r="B89" s="379"/>
      <c r="C89" s="106"/>
      <c r="D89" s="107"/>
      <c r="E89" s="108"/>
      <c r="F89" s="109"/>
      <c r="G89" s="103"/>
      <c r="H89" s="103"/>
      <c r="I89" s="102"/>
      <c r="J89" s="102"/>
      <c r="K89" s="78"/>
      <c r="L89" s="110"/>
      <c r="M89" s="105" t="str">
        <f t="shared" si="1"/>
        <v xml:space="preserve">   </v>
      </c>
    </row>
    <row r="90" spans="1:13" s="53" customFormat="1" ht="12.75" hidden="1" customHeight="1" x14ac:dyDescent="0.2">
      <c r="A90" s="384" t="s">
        <v>55</v>
      </c>
      <c r="B90" s="379" t="s">
        <v>88</v>
      </c>
      <c r="C90" s="102"/>
      <c r="D90" s="102"/>
      <c r="E90" s="102"/>
      <c r="F90" s="102"/>
      <c r="G90" s="103"/>
      <c r="H90" s="103"/>
      <c r="I90" s="102"/>
      <c r="J90" s="102"/>
      <c r="K90" s="78"/>
      <c r="L90" s="104" t="str">
        <f>CONCATENATE(C90," ",D90," ",E90," ",F90," ",C91," ",D91," ",E91," ",F91)</f>
        <v xml:space="preserve">       </v>
      </c>
      <c r="M90" s="105" t="str">
        <f t="shared" si="1"/>
        <v xml:space="preserve">   </v>
      </c>
    </row>
    <row r="91" spans="1:13" s="53" customFormat="1" hidden="1" x14ac:dyDescent="0.2">
      <c r="A91" s="384"/>
      <c r="B91" s="379"/>
      <c r="C91" s="106"/>
      <c r="D91" s="107"/>
      <c r="E91" s="108"/>
      <c r="F91" s="109"/>
      <c r="G91" s="103"/>
      <c r="H91" s="103"/>
      <c r="I91" s="102"/>
      <c r="J91" s="102"/>
      <c r="K91" s="78"/>
      <c r="L91" s="110"/>
      <c r="M91" s="105" t="str">
        <f t="shared" si="1"/>
        <v xml:space="preserve">   </v>
      </c>
    </row>
    <row r="92" spans="1:13" s="53" customFormat="1" hidden="1" x14ac:dyDescent="0.2">
      <c r="A92" s="384"/>
      <c r="B92" s="379"/>
      <c r="C92" s="106"/>
      <c r="D92" s="107"/>
      <c r="E92" s="108"/>
      <c r="F92" s="109"/>
      <c r="G92" s="103"/>
      <c r="H92" s="103"/>
      <c r="I92" s="102"/>
      <c r="J92" s="102"/>
      <c r="K92" s="78"/>
      <c r="L92" s="110"/>
      <c r="M92" s="105" t="str">
        <f t="shared" si="1"/>
        <v xml:space="preserve">   </v>
      </c>
    </row>
    <row r="93" spans="1:13" s="53" customFormat="1" hidden="1" x14ac:dyDescent="0.2">
      <c r="A93" s="384"/>
      <c r="B93" s="379"/>
      <c r="C93" s="106"/>
      <c r="D93" s="107"/>
      <c r="E93" s="108"/>
      <c r="F93" s="109"/>
      <c r="G93" s="103"/>
      <c r="H93" s="103"/>
      <c r="I93" s="102"/>
      <c r="J93" s="102"/>
      <c r="K93" s="78"/>
      <c r="L93" s="110"/>
      <c r="M93" s="105" t="str">
        <f t="shared" si="1"/>
        <v xml:space="preserve">   </v>
      </c>
    </row>
    <row r="94" spans="1:13" s="53" customFormat="1" hidden="1" x14ac:dyDescent="0.2">
      <c r="A94" s="384"/>
      <c r="B94" s="379"/>
      <c r="C94" s="106"/>
      <c r="D94" s="107"/>
      <c r="E94" s="108"/>
      <c r="F94" s="109"/>
      <c r="G94" s="103"/>
      <c r="H94" s="103"/>
      <c r="I94" s="102"/>
      <c r="J94" s="102"/>
      <c r="K94" s="78"/>
      <c r="L94" s="110"/>
      <c r="M94" s="105" t="str">
        <f t="shared" si="1"/>
        <v xml:space="preserve">   </v>
      </c>
    </row>
    <row r="95" spans="1:13" s="53" customFormat="1" hidden="1" x14ac:dyDescent="0.2">
      <c r="A95" s="384"/>
      <c r="B95" s="379"/>
      <c r="C95" s="106"/>
      <c r="D95" s="107"/>
      <c r="E95" s="108"/>
      <c r="F95" s="109"/>
      <c r="G95" s="103"/>
      <c r="H95" s="103"/>
      <c r="I95" s="102"/>
      <c r="J95" s="102"/>
      <c r="K95" s="78"/>
      <c r="L95" s="110"/>
      <c r="M95" s="105" t="str">
        <f t="shared" si="1"/>
        <v xml:space="preserve">   </v>
      </c>
    </row>
    <row r="96" spans="1:13" s="53" customFormat="1" hidden="1" x14ac:dyDescent="0.2">
      <c r="A96" s="384"/>
      <c r="B96" s="379"/>
      <c r="C96" s="106"/>
      <c r="D96" s="107"/>
      <c r="E96" s="108"/>
      <c r="F96" s="109"/>
      <c r="G96" s="103"/>
      <c r="H96" s="103"/>
      <c r="I96" s="102"/>
      <c r="J96" s="102"/>
      <c r="K96" s="78"/>
      <c r="L96" s="110"/>
      <c r="M96" s="105" t="str">
        <f t="shared" si="1"/>
        <v xml:space="preserve">   </v>
      </c>
    </row>
    <row r="97" spans="1:13" s="53" customFormat="1" hidden="1" x14ac:dyDescent="0.2">
      <c r="A97" s="384"/>
      <c r="B97" s="379"/>
      <c r="C97" s="106"/>
      <c r="D97" s="107"/>
      <c r="E97" s="108"/>
      <c r="F97" s="109"/>
      <c r="G97" s="103"/>
      <c r="H97" s="103"/>
      <c r="I97" s="102"/>
      <c r="J97" s="102"/>
      <c r="K97" s="78"/>
      <c r="L97" s="110"/>
      <c r="M97" s="105" t="str">
        <f t="shared" si="1"/>
        <v xml:space="preserve">   </v>
      </c>
    </row>
    <row r="98" spans="1:13" s="53" customFormat="1" hidden="1" x14ac:dyDescent="0.2">
      <c r="A98" s="384"/>
      <c r="B98" s="379"/>
      <c r="C98" s="106"/>
      <c r="D98" s="107"/>
      <c r="E98" s="108"/>
      <c r="F98" s="109"/>
      <c r="G98" s="103"/>
      <c r="H98" s="103"/>
      <c r="I98" s="102"/>
      <c r="J98" s="102"/>
      <c r="K98" s="78"/>
      <c r="L98" s="110"/>
      <c r="M98" s="105" t="str">
        <f t="shared" si="1"/>
        <v xml:space="preserve">   </v>
      </c>
    </row>
    <row r="99" spans="1:13" s="53" customFormat="1" hidden="1" x14ac:dyDescent="0.2">
      <c r="A99" s="384"/>
      <c r="B99" s="379"/>
      <c r="C99" s="106"/>
      <c r="D99" s="107"/>
      <c r="E99" s="108"/>
      <c r="F99" s="109"/>
      <c r="G99" s="103"/>
      <c r="H99" s="103"/>
      <c r="I99" s="102"/>
      <c r="J99" s="102"/>
      <c r="K99" s="78"/>
      <c r="L99" s="110"/>
      <c r="M99" s="105" t="str">
        <f t="shared" si="1"/>
        <v xml:space="preserve">   </v>
      </c>
    </row>
    <row r="100" spans="1:13" s="53" customFormat="1" ht="12.75" hidden="1" customHeight="1" x14ac:dyDescent="0.2">
      <c r="A100" s="384" t="s">
        <v>55</v>
      </c>
      <c r="B100" s="379" t="s">
        <v>88</v>
      </c>
      <c r="C100" s="102"/>
      <c r="D100" s="102"/>
      <c r="E100" s="102"/>
      <c r="F100" s="102"/>
      <c r="G100" s="103"/>
      <c r="H100" s="103"/>
      <c r="I100" s="102"/>
      <c r="J100" s="102"/>
      <c r="K100" s="78"/>
      <c r="L100" s="104" t="str">
        <f>CONCATENATE(C100," ",D100," ",E100," ",F100," ",C101," ",D101," ",E101," ",F101)</f>
        <v xml:space="preserve">       </v>
      </c>
      <c r="M100" s="105" t="str">
        <f t="shared" si="1"/>
        <v xml:space="preserve">   </v>
      </c>
    </row>
    <row r="101" spans="1:13" s="53" customFormat="1" hidden="1" x14ac:dyDescent="0.2">
      <c r="A101" s="384"/>
      <c r="B101" s="379"/>
      <c r="C101" s="106"/>
      <c r="D101" s="107"/>
      <c r="E101" s="108"/>
      <c r="F101" s="109"/>
      <c r="G101" s="103"/>
      <c r="H101" s="103"/>
      <c r="I101" s="102"/>
      <c r="J101" s="102"/>
      <c r="K101" s="78"/>
      <c r="L101" s="110"/>
      <c r="M101" s="105" t="str">
        <f t="shared" si="1"/>
        <v xml:space="preserve">   </v>
      </c>
    </row>
    <row r="102" spans="1:13" s="53" customFormat="1" hidden="1" x14ac:dyDescent="0.2">
      <c r="A102" s="384"/>
      <c r="B102" s="379"/>
      <c r="C102" s="106"/>
      <c r="D102" s="107"/>
      <c r="E102" s="108"/>
      <c r="F102" s="109"/>
      <c r="G102" s="103"/>
      <c r="H102" s="103"/>
      <c r="I102" s="102"/>
      <c r="J102" s="102"/>
      <c r="K102" s="78"/>
      <c r="L102" s="110"/>
      <c r="M102" s="105" t="str">
        <f t="shared" si="1"/>
        <v xml:space="preserve">   </v>
      </c>
    </row>
    <row r="103" spans="1:13" s="53" customFormat="1" hidden="1" x14ac:dyDescent="0.2">
      <c r="A103" s="384"/>
      <c r="B103" s="379"/>
      <c r="C103" s="106"/>
      <c r="D103" s="107"/>
      <c r="E103" s="108"/>
      <c r="F103" s="109"/>
      <c r="G103" s="103"/>
      <c r="H103" s="103"/>
      <c r="I103" s="102"/>
      <c r="J103" s="102"/>
      <c r="K103" s="78"/>
      <c r="L103" s="110"/>
      <c r="M103" s="105" t="str">
        <f t="shared" si="1"/>
        <v xml:space="preserve">   </v>
      </c>
    </row>
    <row r="104" spans="1:13" s="53" customFormat="1" hidden="1" x14ac:dyDescent="0.2">
      <c r="A104" s="384"/>
      <c r="B104" s="379"/>
      <c r="C104" s="106"/>
      <c r="D104" s="107"/>
      <c r="E104" s="108"/>
      <c r="F104" s="109"/>
      <c r="G104" s="103"/>
      <c r="H104" s="103"/>
      <c r="I104" s="102"/>
      <c r="J104" s="102"/>
      <c r="K104" s="78"/>
      <c r="L104" s="110"/>
      <c r="M104" s="105" t="str">
        <f t="shared" si="1"/>
        <v xml:space="preserve">   </v>
      </c>
    </row>
    <row r="105" spans="1:13" s="53" customFormat="1" hidden="1" x14ac:dyDescent="0.2">
      <c r="A105" s="384"/>
      <c r="B105" s="379"/>
      <c r="C105" s="106"/>
      <c r="D105" s="107"/>
      <c r="E105" s="108"/>
      <c r="F105" s="109"/>
      <c r="G105" s="103"/>
      <c r="H105" s="103"/>
      <c r="I105" s="102"/>
      <c r="J105" s="102"/>
      <c r="K105" s="78"/>
      <c r="L105" s="110"/>
      <c r="M105" s="105" t="str">
        <f t="shared" si="1"/>
        <v xml:space="preserve">   </v>
      </c>
    </row>
    <row r="106" spans="1:13" s="53" customFormat="1" hidden="1" x14ac:dyDescent="0.2">
      <c r="A106" s="384"/>
      <c r="B106" s="379"/>
      <c r="C106" s="106"/>
      <c r="D106" s="107"/>
      <c r="E106" s="108"/>
      <c r="F106" s="109"/>
      <c r="G106" s="103"/>
      <c r="H106" s="103"/>
      <c r="I106" s="102"/>
      <c r="J106" s="102"/>
      <c r="K106" s="78"/>
      <c r="L106" s="110"/>
      <c r="M106" s="105" t="str">
        <f t="shared" si="1"/>
        <v xml:space="preserve">   </v>
      </c>
    </row>
    <row r="107" spans="1:13" s="53" customFormat="1" hidden="1" x14ac:dyDescent="0.2">
      <c r="A107" s="384"/>
      <c r="B107" s="379"/>
      <c r="C107" s="106"/>
      <c r="D107" s="107"/>
      <c r="E107" s="108"/>
      <c r="F107" s="109"/>
      <c r="G107" s="103"/>
      <c r="H107" s="103"/>
      <c r="I107" s="102"/>
      <c r="J107" s="102"/>
      <c r="K107" s="78"/>
      <c r="L107" s="110"/>
      <c r="M107" s="105" t="str">
        <f t="shared" si="1"/>
        <v xml:space="preserve">   </v>
      </c>
    </row>
    <row r="108" spans="1:13" s="53" customFormat="1" hidden="1" x14ac:dyDescent="0.2">
      <c r="A108" s="384"/>
      <c r="B108" s="379"/>
      <c r="C108" s="106"/>
      <c r="D108" s="107"/>
      <c r="E108" s="108"/>
      <c r="F108" s="109"/>
      <c r="G108" s="103"/>
      <c r="H108" s="103"/>
      <c r="I108" s="102"/>
      <c r="J108" s="102"/>
      <c r="K108" s="78"/>
      <c r="L108" s="110"/>
      <c r="M108" s="105" t="str">
        <f t="shared" si="1"/>
        <v xml:space="preserve">   </v>
      </c>
    </row>
    <row r="109" spans="1:13" s="53" customFormat="1" hidden="1" x14ac:dyDescent="0.2">
      <c r="A109" s="384"/>
      <c r="B109" s="379"/>
      <c r="C109" s="106"/>
      <c r="D109" s="107"/>
      <c r="E109" s="108"/>
      <c r="F109" s="109"/>
      <c r="G109" s="103"/>
      <c r="H109" s="103"/>
      <c r="I109" s="102"/>
      <c r="J109" s="102"/>
      <c r="K109" s="78"/>
      <c r="L109" s="110"/>
      <c r="M109" s="105" t="str">
        <f t="shared" si="1"/>
        <v xml:space="preserve">   </v>
      </c>
    </row>
    <row r="110" spans="1:13" s="53" customFormat="1" ht="12.75" hidden="1" customHeight="1" x14ac:dyDescent="0.2">
      <c r="A110" s="384" t="s">
        <v>55</v>
      </c>
      <c r="B110" s="379" t="s">
        <v>88</v>
      </c>
      <c r="C110" s="102"/>
      <c r="D110" s="102"/>
      <c r="E110" s="102"/>
      <c r="F110" s="102"/>
      <c r="G110" s="103"/>
      <c r="H110" s="103"/>
      <c r="I110" s="102"/>
      <c r="J110" s="102"/>
      <c r="K110" s="78"/>
      <c r="L110" s="104" t="str">
        <f>CONCATENATE(C110," ",D110," ",E110," ",F110," ",C111," ",D111," ",E111," ",F111)</f>
        <v xml:space="preserve">       </v>
      </c>
      <c r="M110" s="105" t="str">
        <f t="shared" si="1"/>
        <v xml:space="preserve">   </v>
      </c>
    </row>
    <row r="111" spans="1:13" s="53" customFormat="1" hidden="1" x14ac:dyDescent="0.2">
      <c r="A111" s="384"/>
      <c r="B111" s="379"/>
      <c r="C111" s="106"/>
      <c r="D111" s="107"/>
      <c r="E111" s="108"/>
      <c r="F111" s="109"/>
      <c r="G111" s="103"/>
      <c r="H111" s="103"/>
      <c r="I111" s="102"/>
      <c r="J111" s="102"/>
      <c r="K111" s="78"/>
      <c r="L111" s="110"/>
      <c r="M111" s="105" t="str">
        <f t="shared" si="1"/>
        <v xml:space="preserve">   </v>
      </c>
    </row>
    <row r="112" spans="1:13" s="53" customFormat="1" hidden="1" x14ac:dyDescent="0.2">
      <c r="A112" s="384"/>
      <c r="B112" s="379"/>
      <c r="C112" s="106"/>
      <c r="D112" s="107"/>
      <c r="E112" s="108"/>
      <c r="F112" s="109"/>
      <c r="G112" s="103"/>
      <c r="H112" s="103"/>
      <c r="I112" s="102"/>
      <c r="J112" s="102"/>
      <c r="K112" s="78"/>
      <c r="L112" s="110"/>
      <c r="M112" s="105" t="str">
        <f t="shared" si="1"/>
        <v xml:space="preserve">   </v>
      </c>
    </row>
    <row r="113" spans="1:13" s="53" customFormat="1" hidden="1" x14ac:dyDescent="0.2">
      <c r="A113" s="384"/>
      <c r="B113" s="379"/>
      <c r="C113" s="106"/>
      <c r="D113" s="107"/>
      <c r="E113" s="108"/>
      <c r="F113" s="109"/>
      <c r="G113" s="103"/>
      <c r="H113" s="103"/>
      <c r="I113" s="102"/>
      <c r="J113" s="102"/>
      <c r="K113" s="78"/>
      <c r="L113" s="110"/>
      <c r="M113" s="105" t="str">
        <f t="shared" si="1"/>
        <v xml:space="preserve">   </v>
      </c>
    </row>
    <row r="114" spans="1:13" s="53" customFormat="1" hidden="1" x14ac:dyDescent="0.2">
      <c r="A114" s="384"/>
      <c r="B114" s="379"/>
      <c r="C114" s="106"/>
      <c r="D114" s="107"/>
      <c r="E114" s="108"/>
      <c r="F114" s="109"/>
      <c r="G114" s="103"/>
      <c r="H114" s="103"/>
      <c r="I114" s="102"/>
      <c r="J114" s="102"/>
      <c r="K114" s="78"/>
      <c r="L114" s="110"/>
      <c r="M114" s="105" t="str">
        <f t="shared" si="1"/>
        <v xml:space="preserve">   </v>
      </c>
    </row>
    <row r="115" spans="1:13" s="53" customFormat="1" hidden="1" x14ac:dyDescent="0.2">
      <c r="A115" s="384"/>
      <c r="B115" s="379"/>
      <c r="C115" s="106"/>
      <c r="D115" s="107"/>
      <c r="E115" s="108"/>
      <c r="F115" s="109"/>
      <c r="G115" s="103"/>
      <c r="H115" s="103"/>
      <c r="I115" s="102"/>
      <c r="J115" s="102"/>
      <c r="K115" s="78"/>
      <c r="L115" s="110"/>
      <c r="M115" s="105" t="str">
        <f t="shared" si="1"/>
        <v xml:space="preserve">   </v>
      </c>
    </row>
    <row r="116" spans="1:13" s="53" customFormat="1" hidden="1" x14ac:dyDescent="0.2">
      <c r="A116" s="384"/>
      <c r="B116" s="379"/>
      <c r="C116" s="106"/>
      <c r="D116" s="107"/>
      <c r="E116" s="108"/>
      <c r="F116" s="109"/>
      <c r="G116" s="103"/>
      <c r="H116" s="103"/>
      <c r="I116" s="102"/>
      <c r="J116" s="102"/>
      <c r="K116" s="78"/>
      <c r="L116" s="110"/>
      <c r="M116" s="105" t="str">
        <f t="shared" si="1"/>
        <v xml:space="preserve">   </v>
      </c>
    </row>
    <row r="117" spans="1:13" s="53" customFormat="1" hidden="1" x14ac:dyDescent="0.2">
      <c r="A117" s="384"/>
      <c r="B117" s="379"/>
      <c r="C117" s="106"/>
      <c r="D117" s="107"/>
      <c r="E117" s="108"/>
      <c r="F117" s="109"/>
      <c r="G117" s="103"/>
      <c r="H117" s="103"/>
      <c r="I117" s="102"/>
      <c r="J117" s="102"/>
      <c r="K117" s="78"/>
      <c r="L117" s="110"/>
      <c r="M117" s="105" t="str">
        <f t="shared" si="1"/>
        <v xml:space="preserve">   </v>
      </c>
    </row>
    <row r="118" spans="1:13" s="53" customFormat="1" hidden="1" x14ac:dyDescent="0.2">
      <c r="A118" s="384"/>
      <c r="B118" s="379"/>
      <c r="C118" s="106"/>
      <c r="D118" s="107"/>
      <c r="E118" s="108"/>
      <c r="F118" s="109"/>
      <c r="G118" s="103"/>
      <c r="H118" s="103"/>
      <c r="I118" s="102"/>
      <c r="J118" s="102"/>
      <c r="K118" s="78"/>
      <c r="L118" s="110"/>
      <c r="M118" s="105" t="str">
        <f t="shared" si="1"/>
        <v xml:space="preserve">   </v>
      </c>
    </row>
    <row r="119" spans="1:13" s="53" customFormat="1" hidden="1" x14ac:dyDescent="0.2">
      <c r="A119" s="384"/>
      <c r="B119" s="379"/>
      <c r="C119" s="106"/>
      <c r="D119" s="107"/>
      <c r="E119" s="108"/>
      <c r="F119" s="109"/>
      <c r="G119" s="103"/>
      <c r="H119" s="103"/>
      <c r="I119" s="102"/>
      <c r="J119" s="102"/>
      <c r="K119" s="78"/>
      <c r="L119" s="110"/>
      <c r="M119" s="105" t="str">
        <f t="shared" si="1"/>
        <v xml:space="preserve">   </v>
      </c>
    </row>
    <row r="120" spans="1:13" s="53" customFormat="1" ht="12.75" hidden="1" customHeight="1" x14ac:dyDescent="0.2">
      <c r="A120" s="384" t="s">
        <v>55</v>
      </c>
      <c r="B120" s="379" t="s">
        <v>88</v>
      </c>
      <c r="C120" s="102"/>
      <c r="D120" s="102"/>
      <c r="E120" s="102"/>
      <c r="F120" s="102"/>
      <c r="G120" s="103"/>
      <c r="H120" s="103"/>
      <c r="I120" s="102"/>
      <c r="J120" s="102"/>
      <c r="K120" s="78"/>
      <c r="L120" s="104" t="str">
        <f>CONCATENATE(C120," ",D120," ",E120," ",F120," ",C121," ",D121," ",E121," ",F121)</f>
        <v xml:space="preserve">       </v>
      </c>
      <c r="M120" s="105" t="str">
        <f t="shared" si="1"/>
        <v xml:space="preserve">   </v>
      </c>
    </row>
    <row r="121" spans="1:13" s="53" customFormat="1" hidden="1" x14ac:dyDescent="0.2">
      <c r="A121" s="384"/>
      <c r="B121" s="379"/>
      <c r="C121" s="106"/>
      <c r="D121" s="107"/>
      <c r="E121" s="108"/>
      <c r="F121" s="109"/>
      <c r="G121" s="103"/>
      <c r="H121" s="103"/>
      <c r="I121" s="102"/>
      <c r="J121" s="102"/>
      <c r="K121" s="78"/>
      <c r="L121" s="110"/>
      <c r="M121" s="105" t="str">
        <f t="shared" si="1"/>
        <v xml:space="preserve">   </v>
      </c>
    </row>
    <row r="122" spans="1:13" s="53" customFormat="1" hidden="1" x14ac:dyDescent="0.2">
      <c r="A122" s="384"/>
      <c r="B122" s="379"/>
      <c r="C122" s="106"/>
      <c r="D122" s="107"/>
      <c r="E122" s="108"/>
      <c r="F122" s="109"/>
      <c r="G122" s="103"/>
      <c r="H122" s="103"/>
      <c r="I122" s="102"/>
      <c r="J122" s="102"/>
      <c r="K122" s="78"/>
      <c r="L122" s="110"/>
      <c r="M122" s="105" t="str">
        <f t="shared" si="1"/>
        <v xml:space="preserve">   </v>
      </c>
    </row>
    <row r="123" spans="1:13" s="53" customFormat="1" hidden="1" x14ac:dyDescent="0.2">
      <c r="A123" s="384"/>
      <c r="B123" s="379"/>
      <c r="C123" s="106"/>
      <c r="D123" s="107"/>
      <c r="E123" s="108"/>
      <c r="F123" s="109"/>
      <c r="G123" s="103"/>
      <c r="H123" s="103"/>
      <c r="I123" s="102"/>
      <c r="J123" s="102"/>
      <c r="K123" s="78"/>
      <c r="L123" s="110"/>
      <c r="M123" s="105" t="str">
        <f t="shared" si="1"/>
        <v xml:space="preserve">   </v>
      </c>
    </row>
    <row r="124" spans="1:13" s="53" customFormat="1" hidden="1" x14ac:dyDescent="0.2">
      <c r="A124" s="384"/>
      <c r="B124" s="379"/>
      <c r="C124" s="106"/>
      <c r="D124" s="107"/>
      <c r="E124" s="108"/>
      <c r="F124" s="109"/>
      <c r="G124" s="103"/>
      <c r="H124" s="103"/>
      <c r="I124" s="102"/>
      <c r="J124" s="102"/>
      <c r="K124" s="78"/>
      <c r="L124" s="110"/>
      <c r="M124" s="105" t="str">
        <f t="shared" si="1"/>
        <v xml:space="preserve">   </v>
      </c>
    </row>
    <row r="125" spans="1:13" s="53" customFormat="1" hidden="1" x14ac:dyDescent="0.2">
      <c r="A125" s="384"/>
      <c r="B125" s="379"/>
      <c r="C125" s="106"/>
      <c r="D125" s="107"/>
      <c r="E125" s="108"/>
      <c r="F125" s="109"/>
      <c r="G125" s="103"/>
      <c r="H125" s="103"/>
      <c r="I125" s="102"/>
      <c r="J125" s="102"/>
      <c r="K125" s="78"/>
      <c r="L125" s="110"/>
      <c r="M125" s="105" t="str">
        <f t="shared" si="1"/>
        <v xml:space="preserve">   </v>
      </c>
    </row>
    <row r="126" spans="1:13" s="53" customFormat="1" hidden="1" x14ac:dyDescent="0.2">
      <c r="A126" s="384"/>
      <c r="B126" s="379"/>
      <c r="C126" s="106"/>
      <c r="D126" s="107"/>
      <c r="E126" s="108"/>
      <c r="F126" s="109"/>
      <c r="G126" s="103"/>
      <c r="H126" s="103"/>
      <c r="I126" s="102"/>
      <c r="J126" s="102"/>
      <c r="K126" s="78"/>
      <c r="L126" s="110"/>
      <c r="M126" s="105" t="str">
        <f t="shared" si="1"/>
        <v xml:space="preserve">   </v>
      </c>
    </row>
    <row r="127" spans="1:13" s="53" customFormat="1" hidden="1" x14ac:dyDescent="0.2">
      <c r="A127" s="384"/>
      <c r="B127" s="379"/>
      <c r="C127" s="106"/>
      <c r="D127" s="107"/>
      <c r="E127" s="108"/>
      <c r="F127" s="109"/>
      <c r="G127" s="103"/>
      <c r="H127" s="103"/>
      <c r="I127" s="102"/>
      <c r="J127" s="102"/>
      <c r="K127" s="78"/>
      <c r="L127" s="110"/>
      <c r="M127" s="105" t="str">
        <f t="shared" si="1"/>
        <v xml:space="preserve">   </v>
      </c>
    </row>
    <row r="128" spans="1:13" s="53" customFormat="1" hidden="1" x14ac:dyDescent="0.2">
      <c r="A128" s="384"/>
      <c r="B128" s="379"/>
      <c r="C128" s="106"/>
      <c r="D128" s="107"/>
      <c r="E128" s="108"/>
      <c r="F128" s="109"/>
      <c r="G128" s="103"/>
      <c r="H128" s="103"/>
      <c r="I128" s="102"/>
      <c r="J128" s="102"/>
      <c r="K128" s="78"/>
      <c r="L128" s="110"/>
      <c r="M128" s="105" t="str">
        <f t="shared" si="1"/>
        <v xml:space="preserve">   </v>
      </c>
    </row>
    <row r="129" spans="1:13" s="53" customFormat="1" hidden="1" x14ac:dyDescent="0.2">
      <c r="A129" s="384"/>
      <c r="B129" s="379"/>
      <c r="C129" s="106"/>
      <c r="D129" s="107"/>
      <c r="E129" s="108"/>
      <c r="F129" s="109"/>
      <c r="G129" s="103"/>
      <c r="H129" s="103"/>
      <c r="I129" s="102"/>
      <c r="J129" s="102"/>
      <c r="K129" s="78"/>
      <c r="L129" s="110"/>
      <c r="M129" s="105" t="str">
        <f t="shared" si="1"/>
        <v xml:space="preserve">   </v>
      </c>
    </row>
    <row r="130" spans="1:13" s="53" customFormat="1" ht="12.75" hidden="1" customHeight="1" x14ac:dyDescent="0.2">
      <c r="A130" s="384" t="s">
        <v>55</v>
      </c>
      <c r="B130" s="379" t="s">
        <v>88</v>
      </c>
      <c r="C130" s="102"/>
      <c r="D130" s="102"/>
      <c r="E130" s="102"/>
      <c r="F130" s="102"/>
      <c r="G130" s="103"/>
      <c r="H130" s="103"/>
      <c r="I130" s="102"/>
      <c r="J130" s="102"/>
      <c r="K130" s="78"/>
      <c r="L130" s="104" t="str">
        <f>CONCATENATE(C130," ",D130," ",E130," ",F130," ",C131," ",D131," ",E131," ",F131)</f>
        <v xml:space="preserve">       </v>
      </c>
      <c r="M130" s="105" t="str">
        <f t="shared" si="1"/>
        <v xml:space="preserve">   </v>
      </c>
    </row>
    <row r="131" spans="1:13" s="53" customFormat="1" hidden="1" x14ac:dyDescent="0.2">
      <c r="A131" s="384"/>
      <c r="B131" s="379"/>
      <c r="C131" s="106"/>
      <c r="D131" s="107"/>
      <c r="E131" s="108"/>
      <c r="F131" s="109"/>
      <c r="G131" s="103"/>
      <c r="H131" s="103"/>
      <c r="I131" s="102"/>
      <c r="J131" s="102"/>
      <c r="K131" s="78"/>
      <c r="L131" s="110"/>
      <c r="M131" s="105" t="str">
        <f t="shared" si="1"/>
        <v xml:space="preserve">   </v>
      </c>
    </row>
    <row r="132" spans="1:13" s="53" customFormat="1" hidden="1" x14ac:dyDescent="0.2">
      <c r="A132" s="384"/>
      <c r="B132" s="379"/>
      <c r="C132" s="106"/>
      <c r="D132" s="107"/>
      <c r="E132" s="108"/>
      <c r="F132" s="109"/>
      <c r="G132" s="103"/>
      <c r="H132" s="103"/>
      <c r="I132" s="102"/>
      <c r="J132" s="102"/>
      <c r="K132" s="78"/>
      <c r="L132" s="110"/>
      <c r="M132" s="105" t="str">
        <f t="shared" si="1"/>
        <v xml:space="preserve">   </v>
      </c>
    </row>
    <row r="133" spans="1:13" s="53" customFormat="1" hidden="1" x14ac:dyDescent="0.2">
      <c r="A133" s="384"/>
      <c r="B133" s="379"/>
      <c r="C133" s="106"/>
      <c r="D133" s="107"/>
      <c r="E133" s="108"/>
      <c r="F133" s="109"/>
      <c r="G133" s="103"/>
      <c r="H133" s="103"/>
      <c r="I133" s="102"/>
      <c r="J133" s="102"/>
      <c r="K133" s="78"/>
      <c r="L133" s="110"/>
      <c r="M133" s="105" t="str">
        <f t="shared" si="1"/>
        <v xml:space="preserve">   </v>
      </c>
    </row>
    <row r="134" spans="1:13" s="53" customFormat="1" hidden="1" x14ac:dyDescent="0.2">
      <c r="A134" s="384"/>
      <c r="B134" s="379"/>
      <c r="C134" s="106"/>
      <c r="D134" s="107"/>
      <c r="E134" s="108"/>
      <c r="F134" s="109"/>
      <c r="G134" s="103"/>
      <c r="H134" s="103"/>
      <c r="I134" s="102"/>
      <c r="J134" s="102"/>
      <c r="K134" s="78"/>
      <c r="L134" s="110"/>
      <c r="M134" s="105" t="str">
        <f t="shared" si="1"/>
        <v xml:space="preserve">   </v>
      </c>
    </row>
    <row r="135" spans="1:13" s="53" customFormat="1" hidden="1" x14ac:dyDescent="0.2">
      <c r="A135" s="384"/>
      <c r="B135" s="379"/>
      <c r="C135" s="106"/>
      <c r="D135" s="107"/>
      <c r="E135" s="108"/>
      <c r="F135" s="109"/>
      <c r="G135" s="103"/>
      <c r="H135" s="103"/>
      <c r="I135" s="102"/>
      <c r="J135" s="102"/>
      <c r="K135" s="78"/>
      <c r="L135" s="110"/>
      <c r="M135" s="105" t="str">
        <f t="shared" si="1"/>
        <v xml:space="preserve">   </v>
      </c>
    </row>
    <row r="136" spans="1:13" s="53" customFormat="1" hidden="1" x14ac:dyDescent="0.2">
      <c r="A136" s="384"/>
      <c r="B136" s="379"/>
      <c r="C136" s="106"/>
      <c r="D136" s="107"/>
      <c r="E136" s="108"/>
      <c r="F136" s="109"/>
      <c r="G136" s="103"/>
      <c r="H136" s="103"/>
      <c r="I136" s="102"/>
      <c r="J136" s="102"/>
      <c r="K136" s="78"/>
      <c r="L136" s="110"/>
      <c r="M136" s="105" t="str">
        <f t="shared" si="1"/>
        <v xml:space="preserve">   </v>
      </c>
    </row>
    <row r="137" spans="1:13" s="53" customFormat="1" hidden="1" x14ac:dyDescent="0.2">
      <c r="A137" s="384"/>
      <c r="B137" s="379"/>
      <c r="C137" s="106"/>
      <c r="D137" s="107"/>
      <c r="E137" s="108"/>
      <c r="F137" s="109"/>
      <c r="G137" s="103"/>
      <c r="H137" s="103"/>
      <c r="I137" s="102"/>
      <c r="J137" s="102"/>
      <c r="K137" s="78"/>
      <c r="L137" s="110"/>
      <c r="M137" s="105" t="str">
        <f t="shared" si="1"/>
        <v xml:space="preserve">   </v>
      </c>
    </row>
    <row r="138" spans="1:13" s="53" customFormat="1" hidden="1" x14ac:dyDescent="0.2">
      <c r="A138" s="384"/>
      <c r="B138" s="379"/>
      <c r="C138" s="106"/>
      <c r="D138" s="107"/>
      <c r="E138" s="108"/>
      <c r="F138" s="109"/>
      <c r="G138" s="103"/>
      <c r="H138" s="103"/>
      <c r="I138" s="102"/>
      <c r="J138" s="102"/>
      <c r="K138" s="78"/>
      <c r="L138" s="110"/>
      <c r="M138" s="105" t="str">
        <f t="shared" si="1"/>
        <v xml:space="preserve">   </v>
      </c>
    </row>
    <row r="139" spans="1:13" s="53" customFormat="1" hidden="1" x14ac:dyDescent="0.2">
      <c r="A139" s="384"/>
      <c r="B139" s="379"/>
      <c r="C139" s="106"/>
      <c r="D139" s="107"/>
      <c r="E139" s="108"/>
      <c r="F139" s="109"/>
      <c r="G139" s="103"/>
      <c r="H139" s="103"/>
      <c r="I139" s="102"/>
      <c r="J139" s="102"/>
      <c r="K139" s="78"/>
      <c r="L139" s="110"/>
      <c r="M139" s="105" t="str">
        <f t="shared" ref="M139:M202" si="2">CONCATENATE(G139," ",H139," ",I139," ",J139)</f>
        <v xml:space="preserve">   </v>
      </c>
    </row>
    <row r="140" spans="1:13" s="53" customFormat="1" ht="12.75" hidden="1" customHeight="1" x14ac:dyDescent="0.2">
      <c r="A140" s="384" t="s">
        <v>55</v>
      </c>
      <c r="B140" s="379" t="s">
        <v>88</v>
      </c>
      <c r="C140" s="102"/>
      <c r="D140" s="102"/>
      <c r="E140" s="102"/>
      <c r="F140" s="102"/>
      <c r="G140" s="103"/>
      <c r="H140" s="103"/>
      <c r="I140" s="102"/>
      <c r="J140" s="102"/>
      <c r="K140" s="78"/>
      <c r="L140" s="104" t="str">
        <f>CONCATENATE(C140," ",D140," ",E140," ",F140," ",C141," ",D141," ",E141," ",F141)</f>
        <v xml:space="preserve">       </v>
      </c>
      <c r="M140" s="105" t="str">
        <f t="shared" si="2"/>
        <v xml:space="preserve">   </v>
      </c>
    </row>
    <row r="141" spans="1:13" s="53" customFormat="1" hidden="1" x14ac:dyDescent="0.2">
      <c r="A141" s="384"/>
      <c r="B141" s="379"/>
      <c r="C141" s="106"/>
      <c r="D141" s="107"/>
      <c r="E141" s="108"/>
      <c r="F141" s="109"/>
      <c r="G141" s="103"/>
      <c r="H141" s="103"/>
      <c r="I141" s="102"/>
      <c r="J141" s="102"/>
      <c r="K141" s="78"/>
      <c r="L141" s="110"/>
      <c r="M141" s="105" t="str">
        <f t="shared" si="2"/>
        <v xml:space="preserve">   </v>
      </c>
    </row>
    <row r="142" spans="1:13" s="53" customFormat="1" hidden="1" x14ac:dyDescent="0.2">
      <c r="A142" s="384"/>
      <c r="B142" s="379"/>
      <c r="C142" s="106"/>
      <c r="D142" s="107"/>
      <c r="E142" s="108"/>
      <c r="F142" s="109"/>
      <c r="G142" s="103"/>
      <c r="H142" s="103"/>
      <c r="I142" s="102"/>
      <c r="J142" s="102"/>
      <c r="K142" s="78"/>
      <c r="L142" s="110"/>
      <c r="M142" s="105" t="str">
        <f t="shared" si="2"/>
        <v xml:space="preserve">   </v>
      </c>
    </row>
    <row r="143" spans="1:13" s="53" customFormat="1" hidden="1" x14ac:dyDescent="0.2">
      <c r="A143" s="384"/>
      <c r="B143" s="379"/>
      <c r="C143" s="106"/>
      <c r="D143" s="107"/>
      <c r="E143" s="108"/>
      <c r="F143" s="109"/>
      <c r="G143" s="103"/>
      <c r="H143" s="103"/>
      <c r="I143" s="102"/>
      <c r="J143" s="102"/>
      <c r="K143" s="78"/>
      <c r="L143" s="110"/>
      <c r="M143" s="105" t="str">
        <f t="shared" si="2"/>
        <v xml:space="preserve">   </v>
      </c>
    </row>
    <row r="144" spans="1:13" s="53" customFormat="1" hidden="1" x14ac:dyDescent="0.2">
      <c r="A144" s="384"/>
      <c r="B144" s="379"/>
      <c r="C144" s="106"/>
      <c r="D144" s="107"/>
      <c r="E144" s="108"/>
      <c r="F144" s="109"/>
      <c r="G144" s="103"/>
      <c r="H144" s="103"/>
      <c r="I144" s="102"/>
      <c r="J144" s="102"/>
      <c r="K144" s="78"/>
      <c r="L144" s="110"/>
      <c r="M144" s="105" t="str">
        <f t="shared" si="2"/>
        <v xml:space="preserve">   </v>
      </c>
    </row>
    <row r="145" spans="1:13" s="53" customFormat="1" hidden="1" x14ac:dyDescent="0.2">
      <c r="A145" s="384"/>
      <c r="B145" s="379"/>
      <c r="C145" s="106"/>
      <c r="D145" s="107"/>
      <c r="E145" s="108"/>
      <c r="F145" s="109"/>
      <c r="G145" s="103"/>
      <c r="H145" s="103"/>
      <c r="I145" s="102"/>
      <c r="J145" s="102"/>
      <c r="K145" s="78"/>
      <c r="L145" s="110"/>
      <c r="M145" s="105" t="str">
        <f t="shared" si="2"/>
        <v xml:space="preserve">   </v>
      </c>
    </row>
    <row r="146" spans="1:13" s="53" customFormat="1" hidden="1" x14ac:dyDescent="0.2">
      <c r="A146" s="384"/>
      <c r="B146" s="379"/>
      <c r="C146" s="106"/>
      <c r="D146" s="107"/>
      <c r="E146" s="108"/>
      <c r="F146" s="109"/>
      <c r="G146" s="103"/>
      <c r="H146" s="103"/>
      <c r="I146" s="102"/>
      <c r="J146" s="102"/>
      <c r="K146" s="78"/>
      <c r="L146" s="110"/>
      <c r="M146" s="105" t="str">
        <f t="shared" si="2"/>
        <v xml:space="preserve">   </v>
      </c>
    </row>
    <row r="147" spans="1:13" s="53" customFormat="1" hidden="1" x14ac:dyDescent="0.2">
      <c r="A147" s="384"/>
      <c r="B147" s="379"/>
      <c r="C147" s="106"/>
      <c r="D147" s="107"/>
      <c r="E147" s="108"/>
      <c r="F147" s="109"/>
      <c r="G147" s="103"/>
      <c r="H147" s="103"/>
      <c r="I147" s="102"/>
      <c r="J147" s="102"/>
      <c r="K147" s="78"/>
      <c r="L147" s="110"/>
      <c r="M147" s="105" t="str">
        <f t="shared" si="2"/>
        <v xml:space="preserve">   </v>
      </c>
    </row>
    <row r="148" spans="1:13" s="53" customFormat="1" hidden="1" x14ac:dyDescent="0.2">
      <c r="A148" s="384"/>
      <c r="B148" s="379"/>
      <c r="C148" s="106"/>
      <c r="D148" s="107"/>
      <c r="E148" s="108"/>
      <c r="F148" s="109"/>
      <c r="G148" s="103"/>
      <c r="H148" s="103"/>
      <c r="I148" s="102"/>
      <c r="J148" s="102"/>
      <c r="K148" s="78"/>
      <c r="L148" s="110"/>
      <c r="M148" s="105" t="str">
        <f t="shared" si="2"/>
        <v xml:space="preserve">   </v>
      </c>
    </row>
    <row r="149" spans="1:13" s="53" customFormat="1" hidden="1" x14ac:dyDescent="0.2">
      <c r="A149" s="384"/>
      <c r="B149" s="379"/>
      <c r="C149" s="106"/>
      <c r="D149" s="107"/>
      <c r="E149" s="108"/>
      <c r="F149" s="109"/>
      <c r="G149" s="103"/>
      <c r="H149" s="103"/>
      <c r="I149" s="102"/>
      <c r="J149" s="102"/>
      <c r="K149" s="78"/>
      <c r="L149" s="110"/>
      <c r="M149" s="105" t="str">
        <f t="shared" si="2"/>
        <v xml:space="preserve">   </v>
      </c>
    </row>
    <row r="150" spans="1:13" s="53" customFormat="1" ht="12.75" hidden="1" customHeight="1" x14ac:dyDescent="0.2">
      <c r="A150" s="384" t="s">
        <v>55</v>
      </c>
      <c r="B150" s="379" t="s">
        <v>88</v>
      </c>
      <c r="C150" s="102"/>
      <c r="D150" s="102"/>
      <c r="E150" s="102"/>
      <c r="F150" s="102"/>
      <c r="G150" s="103"/>
      <c r="H150" s="103"/>
      <c r="I150" s="102"/>
      <c r="J150" s="102"/>
      <c r="K150" s="78"/>
      <c r="L150" s="104" t="str">
        <f>CONCATENATE(C150," ",D150," ",E150," ",F150," ",C151," ",D151," ",E151," ",F151)</f>
        <v xml:space="preserve">       </v>
      </c>
      <c r="M150" s="105" t="str">
        <f t="shared" si="2"/>
        <v xml:space="preserve">   </v>
      </c>
    </row>
    <row r="151" spans="1:13" s="53" customFormat="1" hidden="1" x14ac:dyDescent="0.2">
      <c r="A151" s="384"/>
      <c r="B151" s="379"/>
      <c r="C151" s="106"/>
      <c r="D151" s="107"/>
      <c r="E151" s="108"/>
      <c r="F151" s="109"/>
      <c r="G151" s="103"/>
      <c r="H151" s="103"/>
      <c r="I151" s="102"/>
      <c r="J151" s="102"/>
      <c r="K151" s="78"/>
      <c r="L151" s="110"/>
      <c r="M151" s="105" t="str">
        <f t="shared" si="2"/>
        <v xml:space="preserve">   </v>
      </c>
    </row>
    <row r="152" spans="1:13" s="53" customFormat="1" hidden="1" x14ac:dyDescent="0.2">
      <c r="A152" s="384"/>
      <c r="B152" s="379"/>
      <c r="C152" s="106"/>
      <c r="D152" s="107"/>
      <c r="E152" s="108"/>
      <c r="F152" s="109"/>
      <c r="G152" s="103"/>
      <c r="H152" s="103"/>
      <c r="I152" s="102"/>
      <c r="J152" s="102"/>
      <c r="K152" s="78"/>
      <c r="L152" s="110"/>
      <c r="M152" s="105" t="str">
        <f t="shared" si="2"/>
        <v xml:space="preserve">   </v>
      </c>
    </row>
    <row r="153" spans="1:13" s="53" customFormat="1" hidden="1" x14ac:dyDescent="0.2">
      <c r="A153" s="384"/>
      <c r="B153" s="379"/>
      <c r="C153" s="106"/>
      <c r="D153" s="107"/>
      <c r="E153" s="108"/>
      <c r="F153" s="109"/>
      <c r="G153" s="103"/>
      <c r="H153" s="103"/>
      <c r="I153" s="102"/>
      <c r="J153" s="102"/>
      <c r="K153" s="78"/>
      <c r="L153" s="110"/>
      <c r="M153" s="105" t="str">
        <f t="shared" si="2"/>
        <v xml:space="preserve">   </v>
      </c>
    </row>
    <row r="154" spans="1:13" s="53" customFormat="1" hidden="1" x14ac:dyDescent="0.2">
      <c r="A154" s="384"/>
      <c r="B154" s="379"/>
      <c r="C154" s="106"/>
      <c r="D154" s="107"/>
      <c r="E154" s="108"/>
      <c r="F154" s="109"/>
      <c r="G154" s="103"/>
      <c r="H154" s="103"/>
      <c r="I154" s="102"/>
      <c r="J154" s="102"/>
      <c r="K154" s="78"/>
      <c r="L154" s="110"/>
      <c r="M154" s="105" t="str">
        <f t="shared" si="2"/>
        <v xml:space="preserve">   </v>
      </c>
    </row>
    <row r="155" spans="1:13" s="53" customFormat="1" hidden="1" x14ac:dyDescent="0.2">
      <c r="A155" s="384"/>
      <c r="B155" s="379"/>
      <c r="C155" s="106"/>
      <c r="D155" s="107"/>
      <c r="E155" s="108"/>
      <c r="F155" s="109"/>
      <c r="G155" s="103"/>
      <c r="H155" s="103"/>
      <c r="I155" s="102"/>
      <c r="J155" s="102"/>
      <c r="K155" s="78"/>
      <c r="L155" s="110"/>
      <c r="M155" s="105" t="str">
        <f t="shared" si="2"/>
        <v xml:space="preserve">   </v>
      </c>
    </row>
    <row r="156" spans="1:13" s="53" customFormat="1" hidden="1" x14ac:dyDescent="0.2">
      <c r="A156" s="384"/>
      <c r="B156" s="379"/>
      <c r="C156" s="106"/>
      <c r="D156" s="107"/>
      <c r="E156" s="108"/>
      <c r="F156" s="109"/>
      <c r="G156" s="103"/>
      <c r="H156" s="103"/>
      <c r="I156" s="102"/>
      <c r="J156" s="102"/>
      <c r="K156" s="78"/>
      <c r="L156" s="110"/>
      <c r="M156" s="105" t="str">
        <f t="shared" si="2"/>
        <v xml:space="preserve">   </v>
      </c>
    </row>
    <row r="157" spans="1:13" s="53" customFormat="1" hidden="1" x14ac:dyDescent="0.2">
      <c r="A157" s="384"/>
      <c r="B157" s="379"/>
      <c r="C157" s="106"/>
      <c r="D157" s="107"/>
      <c r="E157" s="108"/>
      <c r="F157" s="109"/>
      <c r="G157" s="103"/>
      <c r="H157" s="103"/>
      <c r="I157" s="102"/>
      <c r="J157" s="102"/>
      <c r="K157" s="78"/>
      <c r="L157" s="110"/>
      <c r="M157" s="105" t="str">
        <f t="shared" si="2"/>
        <v xml:space="preserve">   </v>
      </c>
    </row>
    <row r="158" spans="1:13" s="53" customFormat="1" hidden="1" x14ac:dyDescent="0.2">
      <c r="A158" s="384"/>
      <c r="B158" s="379"/>
      <c r="C158" s="106"/>
      <c r="D158" s="107"/>
      <c r="E158" s="108"/>
      <c r="F158" s="109"/>
      <c r="G158" s="103"/>
      <c r="H158" s="103"/>
      <c r="I158" s="102"/>
      <c r="J158" s="102"/>
      <c r="K158" s="78"/>
      <c r="L158" s="110"/>
      <c r="M158" s="105" t="str">
        <f t="shared" si="2"/>
        <v xml:space="preserve">   </v>
      </c>
    </row>
    <row r="159" spans="1:13" s="53" customFormat="1" hidden="1" x14ac:dyDescent="0.2">
      <c r="A159" s="384"/>
      <c r="B159" s="379"/>
      <c r="C159" s="106"/>
      <c r="D159" s="107"/>
      <c r="E159" s="108"/>
      <c r="F159" s="109"/>
      <c r="G159" s="103"/>
      <c r="H159" s="103"/>
      <c r="I159" s="102"/>
      <c r="J159" s="102"/>
      <c r="K159" s="78"/>
      <c r="L159" s="110"/>
      <c r="M159" s="105" t="str">
        <f t="shared" si="2"/>
        <v xml:space="preserve">   </v>
      </c>
    </row>
    <row r="160" spans="1:13" s="53" customFormat="1" ht="12.75" hidden="1" customHeight="1" x14ac:dyDescent="0.2">
      <c r="A160" s="384" t="s">
        <v>55</v>
      </c>
      <c r="B160" s="379" t="s">
        <v>88</v>
      </c>
      <c r="C160" s="102"/>
      <c r="D160" s="102"/>
      <c r="E160" s="102"/>
      <c r="F160" s="102"/>
      <c r="G160" s="103"/>
      <c r="H160" s="103"/>
      <c r="I160" s="102"/>
      <c r="J160" s="102"/>
      <c r="K160" s="78"/>
      <c r="L160" s="104" t="str">
        <f>CONCATENATE(C160," ",D160," ",E160," ",F160," ",C161," ",D161," ",E161," ",F161)</f>
        <v xml:space="preserve">       </v>
      </c>
      <c r="M160" s="105" t="str">
        <f t="shared" si="2"/>
        <v xml:space="preserve">   </v>
      </c>
    </row>
    <row r="161" spans="1:13" s="53" customFormat="1" hidden="1" x14ac:dyDescent="0.2">
      <c r="A161" s="384"/>
      <c r="B161" s="379"/>
      <c r="C161" s="106"/>
      <c r="D161" s="107"/>
      <c r="E161" s="108"/>
      <c r="F161" s="109"/>
      <c r="G161" s="103"/>
      <c r="H161" s="103"/>
      <c r="I161" s="102"/>
      <c r="J161" s="102"/>
      <c r="K161" s="78"/>
      <c r="L161" s="110"/>
      <c r="M161" s="105" t="str">
        <f t="shared" si="2"/>
        <v xml:space="preserve">   </v>
      </c>
    </row>
    <row r="162" spans="1:13" s="53" customFormat="1" hidden="1" x14ac:dyDescent="0.2">
      <c r="A162" s="384"/>
      <c r="B162" s="379"/>
      <c r="C162" s="106"/>
      <c r="D162" s="107"/>
      <c r="E162" s="108"/>
      <c r="F162" s="109"/>
      <c r="G162" s="103"/>
      <c r="H162" s="103"/>
      <c r="I162" s="102"/>
      <c r="J162" s="102"/>
      <c r="K162" s="78"/>
      <c r="L162" s="110"/>
      <c r="M162" s="105" t="str">
        <f t="shared" si="2"/>
        <v xml:space="preserve">   </v>
      </c>
    </row>
    <row r="163" spans="1:13" s="53" customFormat="1" hidden="1" x14ac:dyDescent="0.2">
      <c r="A163" s="384"/>
      <c r="B163" s="379"/>
      <c r="C163" s="106"/>
      <c r="D163" s="107"/>
      <c r="E163" s="108"/>
      <c r="F163" s="109"/>
      <c r="G163" s="103"/>
      <c r="H163" s="103"/>
      <c r="I163" s="102"/>
      <c r="J163" s="102"/>
      <c r="K163" s="78"/>
      <c r="L163" s="110"/>
      <c r="M163" s="105" t="str">
        <f t="shared" si="2"/>
        <v xml:space="preserve">   </v>
      </c>
    </row>
    <row r="164" spans="1:13" s="53" customFormat="1" hidden="1" x14ac:dyDescent="0.2">
      <c r="A164" s="384"/>
      <c r="B164" s="379"/>
      <c r="C164" s="106"/>
      <c r="D164" s="107"/>
      <c r="E164" s="108"/>
      <c r="F164" s="109"/>
      <c r="G164" s="103"/>
      <c r="H164" s="103"/>
      <c r="I164" s="102"/>
      <c r="J164" s="102"/>
      <c r="K164" s="78"/>
      <c r="L164" s="110"/>
      <c r="M164" s="105" t="str">
        <f t="shared" si="2"/>
        <v xml:space="preserve">   </v>
      </c>
    </row>
    <row r="165" spans="1:13" s="53" customFormat="1" hidden="1" x14ac:dyDescent="0.2">
      <c r="A165" s="384"/>
      <c r="B165" s="379"/>
      <c r="C165" s="106"/>
      <c r="D165" s="107"/>
      <c r="E165" s="108"/>
      <c r="F165" s="109"/>
      <c r="G165" s="103"/>
      <c r="H165" s="103"/>
      <c r="I165" s="102"/>
      <c r="J165" s="102"/>
      <c r="K165" s="78"/>
      <c r="L165" s="110"/>
      <c r="M165" s="105" t="str">
        <f t="shared" si="2"/>
        <v xml:space="preserve">   </v>
      </c>
    </row>
    <row r="166" spans="1:13" s="53" customFormat="1" hidden="1" x14ac:dyDescent="0.2">
      <c r="A166" s="384"/>
      <c r="B166" s="379"/>
      <c r="C166" s="106"/>
      <c r="D166" s="107"/>
      <c r="E166" s="108"/>
      <c r="F166" s="109"/>
      <c r="G166" s="103"/>
      <c r="H166" s="103"/>
      <c r="I166" s="102"/>
      <c r="J166" s="102"/>
      <c r="K166" s="78"/>
      <c r="L166" s="110"/>
      <c r="M166" s="105" t="str">
        <f t="shared" si="2"/>
        <v xml:space="preserve">   </v>
      </c>
    </row>
    <row r="167" spans="1:13" s="53" customFormat="1" hidden="1" x14ac:dyDescent="0.2">
      <c r="A167" s="384"/>
      <c r="B167" s="379"/>
      <c r="C167" s="106"/>
      <c r="D167" s="107"/>
      <c r="E167" s="108"/>
      <c r="F167" s="109"/>
      <c r="G167" s="103"/>
      <c r="H167" s="103"/>
      <c r="I167" s="102"/>
      <c r="J167" s="102"/>
      <c r="K167" s="78"/>
      <c r="L167" s="110"/>
      <c r="M167" s="105" t="str">
        <f t="shared" si="2"/>
        <v xml:space="preserve">   </v>
      </c>
    </row>
    <row r="168" spans="1:13" s="53" customFormat="1" hidden="1" x14ac:dyDescent="0.2">
      <c r="A168" s="384"/>
      <c r="B168" s="379"/>
      <c r="C168" s="106"/>
      <c r="D168" s="107"/>
      <c r="E168" s="108"/>
      <c r="F168" s="109"/>
      <c r="G168" s="103"/>
      <c r="H168" s="103"/>
      <c r="I168" s="102"/>
      <c r="J168" s="102"/>
      <c r="K168" s="78"/>
      <c r="L168" s="110"/>
      <c r="M168" s="105" t="str">
        <f t="shared" si="2"/>
        <v xml:space="preserve">   </v>
      </c>
    </row>
    <row r="169" spans="1:13" s="53" customFormat="1" hidden="1" x14ac:dyDescent="0.2">
      <c r="A169" s="384"/>
      <c r="B169" s="379"/>
      <c r="C169" s="106"/>
      <c r="D169" s="107"/>
      <c r="E169" s="108"/>
      <c r="F169" s="109"/>
      <c r="G169" s="103"/>
      <c r="H169" s="103"/>
      <c r="I169" s="102"/>
      <c r="J169" s="102"/>
      <c r="K169" s="78"/>
      <c r="L169" s="110"/>
      <c r="M169" s="105" t="str">
        <f t="shared" si="2"/>
        <v xml:space="preserve">   </v>
      </c>
    </row>
    <row r="170" spans="1:13" s="53" customFormat="1" ht="12.75" hidden="1" customHeight="1" x14ac:dyDescent="0.2">
      <c r="A170" s="384" t="s">
        <v>55</v>
      </c>
      <c r="B170" s="379" t="s">
        <v>88</v>
      </c>
      <c r="C170" s="102"/>
      <c r="D170" s="102"/>
      <c r="E170" s="102"/>
      <c r="F170" s="102"/>
      <c r="G170" s="103"/>
      <c r="H170" s="103"/>
      <c r="I170" s="102"/>
      <c r="J170" s="102"/>
      <c r="K170" s="78"/>
      <c r="L170" s="104" t="str">
        <f>CONCATENATE(C170," ",D170," ",E170," ",F170," ",C171," ",D171," ",E171," ",F171)</f>
        <v xml:space="preserve">       </v>
      </c>
      <c r="M170" s="105" t="str">
        <f t="shared" si="2"/>
        <v xml:space="preserve">   </v>
      </c>
    </row>
    <row r="171" spans="1:13" s="53" customFormat="1" hidden="1" x14ac:dyDescent="0.2">
      <c r="A171" s="384"/>
      <c r="B171" s="379"/>
      <c r="C171" s="106"/>
      <c r="D171" s="107"/>
      <c r="E171" s="108"/>
      <c r="F171" s="109"/>
      <c r="G171" s="103"/>
      <c r="H171" s="103"/>
      <c r="I171" s="102"/>
      <c r="J171" s="102"/>
      <c r="K171" s="78"/>
      <c r="L171" s="110"/>
      <c r="M171" s="105" t="str">
        <f t="shared" si="2"/>
        <v xml:space="preserve">   </v>
      </c>
    </row>
    <row r="172" spans="1:13" s="53" customFormat="1" hidden="1" x14ac:dyDescent="0.2">
      <c r="A172" s="384"/>
      <c r="B172" s="379"/>
      <c r="C172" s="106"/>
      <c r="D172" s="107"/>
      <c r="E172" s="108"/>
      <c r="F172" s="109"/>
      <c r="G172" s="103"/>
      <c r="H172" s="103"/>
      <c r="I172" s="102"/>
      <c r="J172" s="102"/>
      <c r="K172" s="78"/>
      <c r="L172" s="110"/>
      <c r="M172" s="105" t="str">
        <f t="shared" si="2"/>
        <v xml:space="preserve">   </v>
      </c>
    </row>
    <row r="173" spans="1:13" s="53" customFormat="1" hidden="1" x14ac:dyDescent="0.2">
      <c r="A173" s="384"/>
      <c r="B173" s="379"/>
      <c r="C173" s="106"/>
      <c r="D173" s="107"/>
      <c r="E173" s="108"/>
      <c r="F173" s="109"/>
      <c r="G173" s="103"/>
      <c r="H173" s="103"/>
      <c r="I173" s="102"/>
      <c r="J173" s="102"/>
      <c r="K173" s="78"/>
      <c r="L173" s="110"/>
      <c r="M173" s="105" t="str">
        <f t="shared" si="2"/>
        <v xml:space="preserve">   </v>
      </c>
    </row>
    <row r="174" spans="1:13" s="53" customFormat="1" hidden="1" x14ac:dyDescent="0.2">
      <c r="A174" s="384"/>
      <c r="B174" s="379"/>
      <c r="C174" s="106"/>
      <c r="D174" s="107"/>
      <c r="E174" s="108"/>
      <c r="F174" s="109"/>
      <c r="G174" s="103"/>
      <c r="H174" s="103"/>
      <c r="I174" s="102"/>
      <c r="J174" s="102"/>
      <c r="K174" s="78"/>
      <c r="L174" s="110"/>
      <c r="M174" s="105" t="str">
        <f t="shared" si="2"/>
        <v xml:space="preserve">   </v>
      </c>
    </row>
    <row r="175" spans="1:13" s="53" customFormat="1" hidden="1" x14ac:dyDescent="0.2">
      <c r="A175" s="384"/>
      <c r="B175" s="379"/>
      <c r="C175" s="106"/>
      <c r="D175" s="107"/>
      <c r="E175" s="108"/>
      <c r="F175" s="109"/>
      <c r="G175" s="103"/>
      <c r="H175" s="103"/>
      <c r="I175" s="102"/>
      <c r="J175" s="102"/>
      <c r="K175" s="78"/>
      <c r="L175" s="110"/>
      <c r="M175" s="105" t="str">
        <f t="shared" si="2"/>
        <v xml:space="preserve">   </v>
      </c>
    </row>
    <row r="176" spans="1:13" s="53" customFormat="1" hidden="1" x14ac:dyDescent="0.2">
      <c r="A176" s="384"/>
      <c r="B176" s="379"/>
      <c r="C176" s="106"/>
      <c r="D176" s="107"/>
      <c r="E176" s="108"/>
      <c r="F176" s="109"/>
      <c r="G176" s="103"/>
      <c r="H176" s="103"/>
      <c r="I176" s="102"/>
      <c r="J176" s="102"/>
      <c r="K176" s="78"/>
      <c r="L176" s="110"/>
      <c r="M176" s="105" t="str">
        <f t="shared" si="2"/>
        <v xml:space="preserve">   </v>
      </c>
    </row>
    <row r="177" spans="1:13" s="53" customFormat="1" hidden="1" x14ac:dyDescent="0.2">
      <c r="A177" s="384"/>
      <c r="B177" s="379"/>
      <c r="C177" s="106"/>
      <c r="D177" s="107"/>
      <c r="E177" s="108"/>
      <c r="F177" s="109"/>
      <c r="G177" s="103"/>
      <c r="H177" s="103"/>
      <c r="I177" s="102"/>
      <c r="J177" s="102"/>
      <c r="K177" s="78"/>
      <c r="L177" s="110"/>
      <c r="M177" s="105" t="str">
        <f t="shared" si="2"/>
        <v xml:space="preserve">   </v>
      </c>
    </row>
    <row r="178" spans="1:13" s="53" customFormat="1" hidden="1" x14ac:dyDescent="0.2">
      <c r="A178" s="384"/>
      <c r="B178" s="379"/>
      <c r="C178" s="106"/>
      <c r="D178" s="107"/>
      <c r="E178" s="108"/>
      <c r="F178" s="109"/>
      <c r="G178" s="103"/>
      <c r="H178" s="103"/>
      <c r="I178" s="102"/>
      <c r="J178" s="102"/>
      <c r="K178" s="78"/>
      <c r="L178" s="110"/>
      <c r="M178" s="105" t="str">
        <f t="shared" si="2"/>
        <v xml:space="preserve">   </v>
      </c>
    </row>
    <row r="179" spans="1:13" s="53" customFormat="1" hidden="1" x14ac:dyDescent="0.2">
      <c r="A179" s="384"/>
      <c r="B179" s="379"/>
      <c r="C179" s="106"/>
      <c r="D179" s="107"/>
      <c r="E179" s="108"/>
      <c r="F179" s="109"/>
      <c r="G179" s="103"/>
      <c r="H179" s="103"/>
      <c r="I179" s="102"/>
      <c r="J179" s="102"/>
      <c r="K179" s="78"/>
      <c r="L179" s="110"/>
      <c r="M179" s="105" t="str">
        <f t="shared" si="2"/>
        <v xml:space="preserve">   </v>
      </c>
    </row>
    <row r="180" spans="1:13" s="53" customFormat="1" ht="12.75" hidden="1" customHeight="1" x14ac:dyDescent="0.2">
      <c r="A180" s="384" t="s">
        <v>55</v>
      </c>
      <c r="B180" s="379" t="s">
        <v>88</v>
      </c>
      <c r="C180" s="102"/>
      <c r="D180" s="102"/>
      <c r="E180" s="102"/>
      <c r="F180" s="102"/>
      <c r="G180" s="103"/>
      <c r="H180" s="103"/>
      <c r="I180" s="102"/>
      <c r="J180" s="102"/>
      <c r="K180" s="78"/>
      <c r="L180" s="104" t="str">
        <f>CONCATENATE(C180," ",D180," ",E180," ",F180," ",C181," ",D181," ",E181," ",F181)</f>
        <v xml:space="preserve">       </v>
      </c>
      <c r="M180" s="105" t="str">
        <f t="shared" si="2"/>
        <v xml:space="preserve">   </v>
      </c>
    </row>
    <row r="181" spans="1:13" s="53" customFormat="1" hidden="1" x14ac:dyDescent="0.2">
      <c r="A181" s="384"/>
      <c r="B181" s="379"/>
      <c r="C181" s="106"/>
      <c r="D181" s="107"/>
      <c r="E181" s="108"/>
      <c r="F181" s="109"/>
      <c r="G181" s="103"/>
      <c r="H181" s="103"/>
      <c r="I181" s="102"/>
      <c r="J181" s="102"/>
      <c r="K181" s="78"/>
      <c r="L181" s="110"/>
      <c r="M181" s="105" t="str">
        <f t="shared" si="2"/>
        <v xml:space="preserve">   </v>
      </c>
    </row>
    <row r="182" spans="1:13" s="53" customFormat="1" hidden="1" x14ac:dyDescent="0.2">
      <c r="A182" s="384"/>
      <c r="B182" s="379"/>
      <c r="C182" s="106"/>
      <c r="D182" s="107"/>
      <c r="E182" s="108"/>
      <c r="F182" s="109"/>
      <c r="G182" s="103"/>
      <c r="H182" s="103"/>
      <c r="I182" s="102"/>
      <c r="J182" s="102"/>
      <c r="K182" s="78"/>
      <c r="L182" s="110"/>
      <c r="M182" s="105" t="str">
        <f t="shared" si="2"/>
        <v xml:space="preserve">   </v>
      </c>
    </row>
    <row r="183" spans="1:13" s="53" customFormat="1" hidden="1" x14ac:dyDescent="0.2">
      <c r="A183" s="384"/>
      <c r="B183" s="379"/>
      <c r="C183" s="106"/>
      <c r="D183" s="107"/>
      <c r="E183" s="108"/>
      <c r="F183" s="109"/>
      <c r="G183" s="103"/>
      <c r="H183" s="103"/>
      <c r="I183" s="102"/>
      <c r="J183" s="102"/>
      <c r="K183" s="78"/>
      <c r="L183" s="110"/>
      <c r="M183" s="105" t="str">
        <f t="shared" si="2"/>
        <v xml:space="preserve">   </v>
      </c>
    </row>
    <row r="184" spans="1:13" s="53" customFormat="1" hidden="1" x14ac:dyDescent="0.2">
      <c r="A184" s="384"/>
      <c r="B184" s="379"/>
      <c r="C184" s="106"/>
      <c r="D184" s="107"/>
      <c r="E184" s="108"/>
      <c r="F184" s="109"/>
      <c r="G184" s="103"/>
      <c r="H184" s="103"/>
      <c r="I184" s="102"/>
      <c r="J184" s="102"/>
      <c r="K184" s="78"/>
      <c r="L184" s="110"/>
      <c r="M184" s="105" t="str">
        <f t="shared" si="2"/>
        <v xml:space="preserve">   </v>
      </c>
    </row>
    <row r="185" spans="1:13" s="53" customFormat="1" hidden="1" x14ac:dyDescent="0.2">
      <c r="A185" s="384"/>
      <c r="B185" s="379"/>
      <c r="C185" s="106"/>
      <c r="D185" s="107"/>
      <c r="E185" s="108"/>
      <c r="F185" s="109"/>
      <c r="G185" s="103"/>
      <c r="H185" s="103"/>
      <c r="I185" s="102"/>
      <c r="J185" s="102"/>
      <c r="K185" s="78"/>
      <c r="L185" s="110"/>
      <c r="M185" s="105" t="str">
        <f t="shared" si="2"/>
        <v xml:space="preserve">   </v>
      </c>
    </row>
    <row r="186" spans="1:13" s="53" customFormat="1" hidden="1" x14ac:dyDescent="0.2">
      <c r="A186" s="384"/>
      <c r="B186" s="379"/>
      <c r="C186" s="106"/>
      <c r="D186" s="107"/>
      <c r="E186" s="108"/>
      <c r="F186" s="109"/>
      <c r="G186" s="103"/>
      <c r="H186" s="103"/>
      <c r="I186" s="102"/>
      <c r="J186" s="102"/>
      <c r="K186" s="78"/>
      <c r="L186" s="110"/>
      <c r="M186" s="105" t="str">
        <f t="shared" si="2"/>
        <v xml:space="preserve">   </v>
      </c>
    </row>
    <row r="187" spans="1:13" s="53" customFormat="1" hidden="1" x14ac:dyDescent="0.2">
      <c r="A187" s="384"/>
      <c r="B187" s="379"/>
      <c r="C187" s="106"/>
      <c r="D187" s="107"/>
      <c r="E187" s="108"/>
      <c r="F187" s="109"/>
      <c r="G187" s="103"/>
      <c r="H187" s="103"/>
      <c r="I187" s="102"/>
      <c r="J187" s="102"/>
      <c r="K187" s="78"/>
      <c r="L187" s="110"/>
      <c r="M187" s="105" t="str">
        <f t="shared" si="2"/>
        <v xml:space="preserve">   </v>
      </c>
    </row>
    <row r="188" spans="1:13" s="53" customFormat="1" hidden="1" x14ac:dyDescent="0.2">
      <c r="A188" s="384"/>
      <c r="B188" s="379"/>
      <c r="C188" s="106"/>
      <c r="D188" s="107"/>
      <c r="E188" s="108"/>
      <c r="F188" s="109"/>
      <c r="G188" s="103"/>
      <c r="H188" s="103"/>
      <c r="I188" s="102"/>
      <c r="J188" s="102"/>
      <c r="K188" s="78"/>
      <c r="L188" s="110"/>
      <c r="M188" s="105" t="str">
        <f t="shared" si="2"/>
        <v xml:space="preserve">   </v>
      </c>
    </row>
    <row r="189" spans="1:13" s="53" customFormat="1" hidden="1" x14ac:dyDescent="0.2">
      <c r="A189" s="384"/>
      <c r="B189" s="379"/>
      <c r="C189" s="106"/>
      <c r="D189" s="107"/>
      <c r="E189" s="108"/>
      <c r="F189" s="109"/>
      <c r="G189" s="103"/>
      <c r="H189" s="103"/>
      <c r="I189" s="102"/>
      <c r="J189" s="102"/>
      <c r="K189" s="78"/>
      <c r="L189" s="110"/>
      <c r="M189" s="105" t="str">
        <f t="shared" si="2"/>
        <v xml:space="preserve">   </v>
      </c>
    </row>
    <row r="190" spans="1:13" s="53" customFormat="1" ht="12.75" hidden="1" customHeight="1" x14ac:dyDescent="0.2">
      <c r="A190" s="384" t="s">
        <v>55</v>
      </c>
      <c r="B190" s="379" t="s">
        <v>88</v>
      </c>
      <c r="C190" s="102"/>
      <c r="D190" s="102"/>
      <c r="E190" s="102"/>
      <c r="F190" s="102"/>
      <c r="G190" s="103"/>
      <c r="H190" s="103"/>
      <c r="I190" s="102"/>
      <c r="J190" s="102"/>
      <c r="K190" s="78"/>
      <c r="L190" s="104" t="str">
        <f>CONCATENATE(C190," ",D190," ",E190," ",F190," ",C191," ",D191," ",E191," ",F191)</f>
        <v xml:space="preserve">       </v>
      </c>
      <c r="M190" s="105" t="str">
        <f t="shared" si="2"/>
        <v xml:space="preserve">   </v>
      </c>
    </row>
    <row r="191" spans="1:13" s="53" customFormat="1" hidden="1" x14ac:dyDescent="0.2">
      <c r="A191" s="384"/>
      <c r="B191" s="379"/>
      <c r="C191" s="106"/>
      <c r="D191" s="107"/>
      <c r="E191" s="108"/>
      <c r="F191" s="109"/>
      <c r="G191" s="103"/>
      <c r="H191" s="103"/>
      <c r="I191" s="102"/>
      <c r="J191" s="102"/>
      <c r="K191" s="78"/>
      <c r="L191" s="110"/>
      <c r="M191" s="105" t="str">
        <f t="shared" si="2"/>
        <v xml:space="preserve">   </v>
      </c>
    </row>
    <row r="192" spans="1:13" s="53" customFormat="1" hidden="1" x14ac:dyDescent="0.2">
      <c r="A192" s="384"/>
      <c r="B192" s="379"/>
      <c r="C192" s="106"/>
      <c r="D192" s="107"/>
      <c r="E192" s="108"/>
      <c r="F192" s="109"/>
      <c r="G192" s="103"/>
      <c r="H192" s="103"/>
      <c r="I192" s="102"/>
      <c r="J192" s="102"/>
      <c r="K192" s="78"/>
      <c r="L192" s="110"/>
      <c r="M192" s="105" t="str">
        <f t="shared" si="2"/>
        <v xml:space="preserve">   </v>
      </c>
    </row>
    <row r="193" spans="1:13" s="53" customFormat="1" hidden="1" x14ac:dyDescent="0.2">
      <c r="A193" s="384"/>
      <c r="B193" s="379"/>
      <c r="C193" s="106"/>
      <c r="D193" s="107"/>
      <c r="E193" s="108"/>
      <c r="F193" s="109"/>
      <c r="G193" s="103"/>
      <c r="H193" s="103"/>
      <c r="I193" s="102"/>
      <c r="J193" s="102"/>
      <c r="K193" s="78"/>
      <c r="L193" s="110"/>
      <c r="M193" s="105" t="str">
        <f t="shared" si="2"/>
        <v xml:space="preserve">   </v>
      </c>
    </row>
    <row r="194" spans="1:13" s="53" customFormat="1" hidden="1" x14ac:dyDescent="0.2">
      <c r="A194" s="384"/>
      <c r="B194" s="379"/>
      <c r="C194" s="106"/>
      <c r="D194" s="107"/>
      <c r="E194" s="108"/>
      <c r="F194" s="109"/>
      <c r="G194" s="103"/>
      <c r="H194" s="103"/>
      <c r="I194" s="102"/>
      <c r="J194" s="102"/>
      <c r="K194" s="78"/>
      <c r="L194" s="110"/>
      <c r="M194" s="105" t="str">
        <f t="shared" si="2"/>
        <v xml:space="preserve">   </v>
      </c>
    </row>
    <row r="195" spans="1:13" s="53" customFormat="1" hidden="1" x14ac:dyDescent="0.2">
      <c r="A195" s="384"/>
      <c r="B195" s="379"/>
      <c r="C195" s="106"/>
      <c r="D195" s="107"/>
      <c r="E195" s="108"/>
      <c r="F195" s="109"/>
      <c r="G195" s="103"/>
      <c r="H195" s="103"/>
      <c r="I195" s="102"/>
      <c r="J195" s="102"/>
      <c r="K195" s="78"/>
      <c r="L195" s="110"/>
      <c r="M195" s="105" t="str">
        <f t="shared" si="2"/>
        <v xml:space="preserve">   </v>
      </c>
    </row>
    <row r="196" spans="1:13" s="53" customFormat="1" hidden="1" x14ac:dyDescent="0.2">
      <c r="A196" s="384"/>
      <c r="B196" s="379"/>
      <c r="C196" s="106"/>
      <c r="D196" s="107"/>
      <c r="E196" s="108"/>
      <c r="F196" s="109"/>
      <c r="G196" s="103"/>
      <c r="H196" s="103"/>
      <c r="I196" s="102"/>
      <c r="J196" s="102"/>
      <c r="K196" s="78"/>
      <c r="L196" s="110"/>
      <c r="M196" s="105" t="str">
        <f t="shared" si="2"/>
        <v xml:space="preserve">   </v>
      </c>
    </row>
    <row r="197" spans="1:13" s="53" customFormat="1" hidden="1" x14ac:dyDescent="0.2">
      <c r="A197" s="384"/>
      <c r="B197" s="379"/>
      <c r="C197" s="106"/>
      <c r="D197" s="107"/>
      <c r="E197" s="108"/>
      <c r="F197" s="109"/>
      <c r="G197" s="103"/>
      <c r="H197" s="103"/>
      <c r="I197" s="102"/>
      <c r="J197" s="102"/>
      <c r="K197" s="78"/>
      <c r="L197" s="110"/>
      <c r="M197" s="105" t="str">
        <f t="shared" si="2"/>
        <v xml:space="preserve">   </v>
      </c>
    </row>
    <row r="198" spans="1:13" s="53" customFormat="1" hidden="1" x14ac:dyDescent="0.2">
      <c r="A198" s="384"/>
      <c r="B198" s="379"/>
      <c r="C198" s="106"/>
      <c r="D198" s="107"/>
      <c r="E198" s="108"/>
      <c r="F198" s="109"/>
      <c r="G198" s="103"/>
      <c r="H198" s="103"/>
      <c r="I198" s="102"/>
      <c r="J198" s="102"/>
      <c r="K198" s="78"/>
      <c r="L198" s="110"/>
      <c r="M198" s="105" t="str">
        <f t="shared" si="2"/>
        <v xml:space="preserve">   </v>
      </c>
    </row>
    <row r="199" spans="1:13" s="53" customFormat="1" hidden="1" x14ac:dyDescent="0.2">
      <c r="A199" s="384"/>
      <c r="B199" s="379"/>
      <c r="C199" s="106"/>
      <c r="D199" s="107"/>
      <c r="E199" s="108"/>
      <c r="F199" s="109"/>
      <c r="G199" s="103"/>
      <c r="H199" s="103"/>
      <c r="I199" s="102"/>
      <c r="J199" s="102"/>
      <c r="K199" s="78"/>
      <c r="L199" s="110"/>
      <c r="M199" s="105" t="str">
        <f t="shared" si="2"/>
        <v xml:space="preserve">   </v>
      </c>
    </row>
    <row r="200" spans="1:13" s="53" customFormat="1" ht="12.75" hidden="1" customHeight="1" x14ac:dyDescent="0.2">
      <c r="A200" s="384" t="s">
        <v>55</v>
      </c>
      <c r="B200" s="379" t="s">
        <v>88</v>
      </c>
      <c r="C200" s="102"/>
      <c r="D200" s="102"/>
      <c r="E200" s="102"/>
      <c r="F200" s="102"/>
      <c r="G200" s="103"/>
      <c r="H200" s="103"/>
      <c r="I200" s="102"/>
      <c r="J200" s="102"/>
      <c r="K200" s="78"/>
      <c r="L200" s="104" t="str">
        <f>CONCATENATE(C200," ",D200," ",E200," ",F200," ",C201," ",D201," ",E201," ",F201)</f>
        <v xml:space="preserve">       </v>
      </c>
      <c r="M200" s="105" t="str">
        <f t="shared" si="2"/>
        <v xml:space="preserve">   </v>
      </c>
    </row>
    <row r="201" spans="1:13" s="53" customFormat="1" hidden="1" x14ac:dyDescent="0.2">
      <c r="A201" s="384"/>
      <c r="B201" s="379"/>
      <c r="C201" s="106"/>
      <c r="D201" s="107"/>
      <c r="E201" s="108"/>
      <c r="F201" s="109"/>
      <c r="G201" s="103"/>
      <c r="H201" s="103"/>
      <c r="I201" s="102"/>
      <c r="J201" s="102"/>
      <c r="K201" s="78"/>
      <c r="L201" s="110"/>
      <c r="M201" s="105" t="str">
        <f t="shared" si="2"/>
        <v xml:space="preserve">   </v>
      </c>
    </row>
    <row r="202" spans="1:13" s="53" customFormat="1" hidden="1" x14ac:dyDescent="0.2">
      <c r="A202" s="384"/>
      <c r="B202" s="379"/>
      <c r="C202" s="106"/>
      <c r="D202" s="107"/>
      <c r="E202" s="108"/>
      <c r="F202" s="109"/>
      <c r="G202" s="103"/>
      <c r="H202" s="103"/>
      <c r="I202" s="102"/>
      <c r="J202" s="102"/>
      <c r="K202" s="78"/>
      <c r="L202" s="110"/>
      <c r="M202" s="105" t="str">
        <f t="shared" si="2"/>
        <v xml:space="preserve">   </v>
      </c>
    </row>
    <row r="203" spans="1:13" s="53" customFormat="1" hidden="1" x14ac:dyDescent="0.2">
      <c r="A203" s="384"/>
      <c r="B203" s="379"/>
      <c r="C203" s="106"/>
      <c r="D203" s="107"/>
      <c r="E203" s="108"/>
      <c r="F203" s="109"/>
      <c r="G203" s="103"/>
      <c r="H203" s="103"/>
      <c r="I203" s="102"/>
      <c r="J203" s="102"/>
      <c r="K203" s="78"/>
      <c r="L203" s="110"/>
      <c r="M203" s="105" t="str">
        <f t="shared" ref="M203:M266" si="3">CONCATENATE(G203," ",H203," ",I203," ",J203)</f>
        <v xml:space="preserve">   </v>
      </c>
    </row>
    <row r="204" spans="1:13" s="53" customFormat="1" hidden="1" x14ac:dyDescent="0.2">
      <c r="A204" s="384"/>
      <c r="B204" s="379"/>
      <c r="C204" s="106"/>
      <c r="D204" s="107"/>
      <c r="E204" s="108"/>
      <c r="F204" s="109"/>
      <c r="G204" s="103"/>
      <c r="H204" s="103"/>
      <c r="I204" s="102"/>
      <c r="J204" s="102"/>
      <c r="K204" s="78"/>
      <c r="L204" s="110"/>
      <c r="M204" s="105" t="str">
        <f t="shared" si="3"/>
        <v xml:space="preserve">   </v>
      </c>
    </row>
    <row r="205" spans="1:13" s="53" customFormat="1" hidden="1" x14ac:dyDescent="0.2">
      <c r="A205" s="384"/>
      <c r="B205" s="379"/>
      <c r="C205" s="106"/>
      <c r="D205" s="107"/>
      <c r="E205" s="108"/>
      <c r="F205" s="109"/>
      <c r="G205" s="103"/>
      <c r="H205" s="103"/>
      <c r="I205" s="102"/>
      <c r="J205" s="102"/>
      <c r="K205" s="78"/>
      <c r="L205" s="110"/>
      <c r="M205" s="105" t="str">
        <f t="shared" si="3"/>
        <v xml:space="preserve">   </v>
      </c>
    </row>
    <row r="206" spans="1:13" s="53" customFormat="1" hidden="1" x14ac:dyDescent="0.2">
      <c r="A206" s="384"/>
      <c r="B206" s="379"/>
      <c r="C206" s="106"/>
      <c r="D206" s="107"/>
      <c r="E206" s="108"/>
      <c r="F206" s="109"/>
      <c r="G206" s="103"/>
      <c r="H206" s="103"/>
      <c r="I206" s="102"/>
      <c r="J206" s="102"/>
      <c r="K206" s="78"/>
      <c r="L206" s="110"/>
      <c r="M206" s="105" t="str">
        <f t="shared" si="3"/>
        <v xml:space="preserve">   </v>
      </c>
    </row>
    <row r="207" spans="1:13" s="53" customFormat="1" hidden="1" x14ac:dyDescent="0.2">
      <c r="A207" s="384"/>
      <c r="B207" s="379"/>
      <c r="C207" s="106"/>
      <c r="D207" s="107"/>
      <c r="E207" s="108"/>
      <c r="F207" s="109"/>
      <c r="G207" s="103"/>
      <c r="H207" s="103"/>
      <c r="I207" s="102"/>
      <c r="J207" s="102"/>
      <c r="K207" s="78"/>
      <c r="L207" s="110"/>
      <c r="M207" s="105" t="str">
        <f t="shared" si="3"/>
        <v xml:space="preserve">   </v>
      </c>
    </row>
    <row r="208" spans="1:13" s="53" customFormat="1" hidden="1" x14ac:dyDescent="0.2">
      <c r="A208" s="384"/>
      <c r="B208" s="379"/>
      <c r="C208" s="106"/>
      <c r="D208" s="107"/>
      <c r="E208" s="108"/>
      <c r="F208" s="109"/>
      <c r="G208" s="103"/>
      <c r="H208" s="103"/>
      <c r="I208" s="102"/>
      <c r="J208" s="102"/>
      <c r="K208" s="78"/>
      <c r="L208" s="110"/>
      <c r="M208" s="105" t="str">
        <f t="shared" si="3"/>
        <v xml:space="preserve">   </v>
      </c>
    </row>
    <row r="209" spans="1:13" s="53" customFormat="1" hidden="1" x14ac:dyDescent="0.2">
      <c r="A209" s="384"/>
      <c r="B209" s="379"/>
      <c r="C209" s="106"/>
      <c r="D209" s="107"/>
      <c r="E209" s="108"/>
      <c r="F209" s="109"/>
      <c r="G209" s="103"/>
      <c r="H209" s="103"/>
      <c r="I209" s="102"/>
      <c r="J209" s="102"/>
      <c r="K209" s="78"/>
      <c r="L209" s="110"/>
      <c r="M209" s="105" t="str">
        <f t="shared" si="3"/>
        <v xml:space="preserve">   </v>
      </c>
    </row>
    <row r="210" spans="1:13" s="46" customFormat="1" ht="90" customHeight="1" x14ac:dyDescent="0.2">
      <c r="A210" s="384" t="s">
        <v>55</v>
      </c>
      <c r="B210" s="378" t="s">
        <v>89</v>
      </c>
      <c r="C210" s="171" t="s">
        <v>263</v>
      </c>
      <c r="D210" s="172" t="s">
        <v>264</v>
      </c>
      <c r="E210" s="172" t="s">
        <v>265</v>
      </c>
      <c r="F210" s="172" t="s">
        <v>266</v>
      </c>
      <c r="G210" s="171" t="s">
        <v>267</v>
      </c>
      <c r="H210" s="173" t="s">
        <v>268</v>
      </c>
      <c r="I210" s="172" t="s">
        <v>269</v>
      </c>
      <c r="J210" s="172" t="s">
        <v>270</v>
      </c>
      <c r="K210" s="78"/>
      <c r="L210" s="289" t="str">
        <f>CONCATENATE(C210," ",D210," ",E210," ",F210," ",C211," ",D211," ",E211," ",F211)</f>
        <v>CE1 C1 Comunicar conceptos, ideas, opiniones, sentimientos y hechos  en forma oral en situaciones relacionadas a su entorno personal y profesional. 
CE1 C2 Transmitir conceptos, ideas, opiniones, sentimientos y hechos en forma escrita en situaciones relacionadas a su entorno social y laboral.</v>
      </c>
      <c r="M210" s="286" t="str">
        <f t="shared" si="3"/>
        <v>C1  I1 Participa  en diálogos planteando sus opiniones, proponiendo ideas, compartiendo saberes y escuchando a los demás.</v>
      </c>
    </row>
    <row r="211" spans="1:13" s="46" customFormat="1" ht="59.25" customHeight="1" x14ac:dyDescent="0.2">
      <c r="A211" s="384"/>
      <c r="B211" s="378"/>
      <c r="C211" s="171" t="s">
        <v>271</v>
      </c>
      <c r="D211" s="172" t="s">
        <v>272</v>
      </c>
      <c r="E211" s="172" t="s">
        <v>273</v>
      </c>
      <c r="F211" s="172" t="s">
        <v>274</v>
      </c>
      <c r="G211" s="171" t="s">
        <v>275</v>
      </c>
      <c r="H211" s="173" t="s">
        <v>163</v>
      </c>
      <c r="I211" s="172" t="s">
        <v>276</v>
      </c>
      <c r="J211" s="172" t="s">
        <v>171</v>
      </c>
      <c r="K211" s="78"/>
      <c r="L211" s="288"/>
      <c r="M211" s="286" t="str">
        <f t="shared" si="3"/>
        <v>C1  I2 Explica  información de situaciones vinculadas a su entorno personal y laboral  formulando preguntas frente a aquello que no se entiende.</v>
      </c>
    </row>
    <row r="212" spans="1:13" s="46" customFormat="1" ht="51" customHeight="1" x14ac:dyDescent="0.2">
      <c r="A212" s="384"/>
      <c r="B212" s="378"/>
      <c r="C212" s="174"/>
      <c r="D212" s="175"/>
      <c r="E212" s="176"/>
      <c r="F212" s="177"/>
      <c r="G212" s="171" t="s">
        <v>277</v>
      </c>
      <c r="H212" s="173" t="s">
        <v>175</v>
      </c>
      <c r="I212" s="172" t="s">
        <v>169</v>
      </c>
      <c r="J212" s="172" t="s">
        <v>278</v>
      </c>
      <c r="K212" s="78"/>
      <c r="L212" s="288"/>
      <c r="M212" s="286" t="str">
        <f t="shared" si="3"/>
        <v>C2  I1 Identifica las ideas principales del texto  utilizando estrategias de comprensión lectora.</v>
      </c>
    </row>
    <row r="213" spans="1:13" s="46" customFormat="1" ht="128.25" customHeight="1" x14ac:dyDescent="0.2">
      <c r="A213" s="384"/>
      <c r="B213" s="378"/>
      <c r="C213" s="174"/>
      <c r="D213" s="175"/>
      <c r="E213" s="176"/>
      <c r="F213" s="177"/>
      <c r="G213" s="171" t="s">
        <v>279</v>
      </c>
      <c r="H213" s="173" t="s">
        <v>280</v>
      </c>
      <c r="I213" s="172" t="s">
        <v>281</v>
      </c>
      <c r="J213" s="172" t="s">
        <v>282</v>
      </c>
      <c r="K213" s="78"/>
      <c r="L213" s="288"/>
      <c r="M213" s="286" t="str">
        <f t="shared" si="3"/>
        <v>C2  I2 Escribe textos y documentos variados  con claridad, brevedad, cortesía, integridad, cohesión y corrección, considerando las etapas del proceso de redacción y la estructura de los documentos.</v>
      </c>
    </row>
    <row r="214" spans="1:13" s="46" customFormat="1" hidden="1" x14ac:dyDescent="0.2">
      <c r="A214" s="384"/>
      <c r="B214" s="378"/>
      <c r="C214" s="106"/>
      <c r="D214" s="107"/>
      <c r="E214" s="108"/>
      <c r="F214" s="109"/>
      <c r="G214" s="103"/>
      <c r="H214" s="103"/>
      <c r="I214" s="102"/>
      <c r="J214" s="102"/>
      <c r="K214" s="78"/>
      <c r="L214" s="110"/>
      <c r="M214" s="105" t="str">
        <f t="shared" si="3"/>
        <v xml:space="preserve">   </v>
      </c>
    </row>
    <row r="215" spans="1:13" s="46" customFormat="1" hidden="1" x14ac:dyDescent="0.2">
      <c r="A215" s="384"/>
      <c r="B215" s="378"/>
      <c r="C215" s="106"/>
      <c r="D215" s="107"/>
      <c r="E215" s="108"/>
      <c r="F215" s="109"/>
      <c r="G215" s="103"/>
      <c r="H215" s="103"/>
      <c r="I215" s="102"/>
      <c r="J215" s="102"/>
      <c r="K215" s="78"/>
      <c r="L215" s="110"/>
      <c r="M215" s="105" t="str">
        <f t="shared" si="3"/>
        <v xml:space="preserve">   </v>
      </c>
    </row>
    <row r="216" spans="1:13" s="46" customFormat="1" hidden="1" x14ac:dyDescent="0.2">
      <c r="A216" s="384"/>
      <c r="B216" s="378"/>
      <c r="C216" s="106"/>
      <c r="D216" s="107"/>
      <c r="E216" s="108"/>
      <c r="F216" s="109"/>
      <c r="G216" s="103"/>
      <c r="H216" s="103"/>
      <c r="I216" s="102"/>
      <c r="J216" s="102"/>
      <c r="K216" s="78"/>
      <c r="L216" s="110"/>
      <c r="M216" s="105" t="str">
        <f t="shared" si="3"/>
        <v xml:space="preserve">   </v>
      </c>
    </row>
    <row r="217" spans="1:13" s="46" customFormat="1" hidden="1" x14ac:dyDescent="0.2">
      <c r="A217" s="384"/>
      <c r="B217" s="378"/>
      <c r="C217" s="106"/>
      <c r="D217" s="107"/>
      <c r="E217" s="108"/>
      <c r="F217" s="109"/>
      <c r="G217" s="103"/>
      <c r="H217" s="103"/>
      <c r="I217" s="102"/>
      <c r="J217" s="102"/>
      <c r="K217" s="78"/>
      <c r="L217" s="110"/>
      <c r="M217" s="105" t="str">
        <f t="shared" si="3"/>
        <v xml:space="preserve">   </v>
      </c>
    </row>
    <row r="218" spans="1:13" s="46" customFormat="1" hidden="1" x14ac:dyDescent="0.2">
      <c r="A218" s="384"/>
      <c r="B218" s="378"/>
      <c r="C218" s="106"/>
      <c r="D218" s="107"/>
      <c r="E218" s="108"/>
      <c r="F218" s="109"/>
      <c r="G218" s="103"/>
      <c r="H218" s="103"/>
      <c r="I218" s="102"/>
      <c r="J218" s="102"/>
      <c r="K218" s="78"/>
      <c r="L218" s="110"/>
      <c r="M218" s="105" t="str">
        <f t="shared" si="3"/>
        <v xml:space="preserve">   </v>
      </c>
    </row>
    <row r="219" spans="1:13" s="46" customFormat="1" hidden="1" x14ac:dyDescent="0.2">
      <c r="A219" s="384"/>
      <c r="B219" s="378"/>
      <c r="C219" s="113"/>
      <c r="D219" s="114"/>
      <c r="E219" s="115"/>
      <c r="F219" s="116"/>
      <c r="G219" s="103"/>
      <c r="H219" s="103"/>
      <c r="I219" s="102"/>
      <c r="J219" s="102"/>
      <c r="K219" s="78"/>
      <c r="L219" s="110"/>
      <c r="M219" s="105" t="str">
        <f t="shared" si="3"/>
        <v xml:space="preserve">   </v>
      </c>
    </row>
    <row r="220" spans="1:13" s="46" customFormat="1" ht="48.75" customHeight="1" x14ac:dyDescent="0.2">
      <c r="A220" s="384" t="s">
        <v>55</v>
      </c>
      <c r="B220" s="378" t="s">
        <v>89</v>
      </c>
      <c r="C220" s="171" t="s">
        <v>283</v>
      </c>
      <c r="D220" s="172" t="s">
        <v>161</v>
      </c>
      <c r="E220" s="172" t="s">
        <v>284</v>
      </c>
      <c r="F220" s="172" t="s">
        <v>173</v>
      </c>
      <c r="G220" s="171" t="s">
        <v>267</v>
      </c>
      <c r="H220" s="173" t="s">
        <v>178</v>
      </c>
      <c r="I220" s="172" t="s">
        <v>285</v>
      </c>
      <c r="J220" s="172" t="s">
        <v>286</v>
      </c>
      <c r="K220" s="78"/>
      <c r="L220" s="289" t="str">
        <f>CONCATENATE(C220," ",D220," ",E220," ",F220," ",C221," ",D221," ",E221," ",F221)</f>
        <v>CE2 C1 Utilizar aplicaciones y herramientas informáticas de las TIC de manera responsable y técnica. 
CE2 C2 Emplear software  en la realización de tareas y requerimientos vinculados a su programa de estudios.</v>
      </c>
      <c r="M220" s="286" t="str">
        <f t="shared" si="3"/>
        <v>C1  I1 Emplea aplicaciones de internet para publicar respetando la propiedad intelectual.</v>
      </c>
    </row>
    <row r="221" spans="1:13" s="46" customFormat="1" ht="78" customHeight="1" x14ac:dyDescent="0.2">
      <c r="A221" s="384"/>
      <c r="B221" s="378"/>
      <c r="C221" s="171" t="s">
        <v>287</v>
      </c>
      <c r="D221" s="172" t="s">
        <v>288</v>
      </c>
      <c r="E221" s="172" t="s">
        <v>289</v>
      </c>
      <c r="F221" s="172" t="s">
        <v>290</v>
      </c>
      <c r="G221" s="171" t="s">
        <v>275</v>
      </c>
      <c r="H221" s="173" t="s">
        <v>291</v>
      </c>
      <c r="I221" s="172" t="s">
        <v>292</v>
      </c>
      <c r="J221" s="172" t="s">
        <v>293</v>
      </c>
      <c r="K221" s="78"/>
      <c r="L221" s="288"/>
      <c r="M221" s="286" t="str">
        <f t="shared" si="3"/>
        <v>C1  I2 Maneja herramientas tecnológicas que permite a los usuarios interactuar y colaborar en la creación de documentos para mejorar el servicio de la empresa facilitando el trabajo colaborativo y las habilidades informáticas.</v>
      </c>
    </row>
    <row r="222" spans="1:13" s="46" customFormat="1" ht="81.75" customHeight="1" x14ac:dyDescent="0.2">
      <c r="A222" s="384"/>
      <c r="B222" s="378"/>
      <c r="C222" s="174"/>
      <c r="D222" s="175"/>
      <c r="E222" s="176"/>
      <c r="F222" s="177"/>
      <c r="G222" s="171" t="s">
        <v>277</v>
      </c>
      <c r="H222" s="173" t="s">
        <v>177</v>
      </c>
      <c r="I222" s="172" t="s">
        <v>294</v>
      </c>
      <c r="J222" s="172" t="s">
        <v>295</v>
      </c>
      <c r="K222" s="78"/>
      <c r="L222" s="288"/>
      <c r="M222" s="286" t="str">
        <f t="shared" si="3"/>
        <v>C2  I1 Emplea  procesador de textos en la elaboración de documentos, teniendo en cuenta los requerimientos del contexto laboral y los formatos vinculados a la normativa de la organización.</v>
      </c>
    </row>
    <row r="223" spans="1:13" s="46" customFormat="1" ht="96.75" customHeight="1" x14ac:dyDescent="0.2">
      <c r="A223" s="384"/>
      <c r="B223" s="378"/>
      <c r="C223" s="174"/>
      <c r="D223" s="175"/>
      <c r="E223" s="176"/>
      <c r="F223" s="177"/>
      <c r="G223" s="171" t="s">
        <v>279</v>
      </c>
      <c r="H223" s="173" t="s">
        <v>177</v>
      </c>
      <c r="I223" s="172" t="s">
        <v>296</v>
      </c>
      <c r="J223" s="172" t="s">
        <v>297</v>
      </c>
      <c r="K223" s="78"/>
      <c r="L223" s="288"/>
      <c r="M223" s="286" t="str">
        <f t="shared" si="3"/>
        <v>C2  I2 Emplea  la hoja de cálculo y presentaciones en la elaboración de base de datos y diapositivas, teniendo en cuenta los requerimientos del contexto laboral y los formatos vinculados a la normativa de la empresa.</v>
      </c>
    </row>
    <row r="224" spans="1:13" s="46" customFormat="1" hidden="1" x14ac:dyDescent="0.2">
      <c r="A224" s="384"/>
      <c r="B224" s="378"/>
      <c r="C224" s="106"/>
      <c r="D224" s="107"/>
      <c r="E224" s="108"/>
      <c r="F224" s="109"/>
      <c r="G224" s="103"/>
      <c r="H224" s="103"/>
      <c r="I224" s="102"/>
      <c r="J224" s="102"/>
      <c r="K224" s="78"/>
      <c r="L224" s="110"/>
      <c r="M224" s="105" t="str">
        <f t="shared" si="3"/>
        <v xml:space="preserve">   </v>
      </c>
    </row>
    <row r="225" spans="1:13" s="46" customFormat="1" hidden="1" x14ac:dyDescent="0.2">
      <c r="A225" s="384"/>
      <c r="B225" s="378"/>
      <c r="C225" s="106"/>
      <c r="D225" s="107"/>
      <c r="E225" s="108"/>
      <c r="F225" s="109"/>
      <c r="G225" s="103"/>
      <c r="H225" s="103"/>
      <c r="I225" s="102"/>
      <c r="J225" s="102"/>
      <c r="K225" s="78"/>
      <c r="L225" s="110"/>
      <c r="M225" s="105" t="str">
        <f t="shared" si="3"/>
        <v xml:space="preserve">   </v>
      </c>
    </row>
    <row r="226" spans="1:13" s="46" customFormat="1" hidden="1" x14ac:dyDescent="0.2">
      <c r="A226" s="384"/>
      <c r="B226" s="378"/>
      <c r="C226" s="106"/>
      <c r="D226" s="107"/>
      <c r="E226" s="108"/>
      <c r="F226" s="109"/>
      <c r="G226" s="103"/>
      <c r="H226" s="103"/>
      <c r="I226" s="102"/>
      <c r="J226" s="102"/>
      <c r="K226" s="78"/>
      <c r="L226" s="110"/>
      <c r="M226" s="105" t="str">
        <f t="shared" si="3"/>
        <v xml:space="preserve">   </v>
      </c>
    </row>
    <row r="227" spans="1:13" s="46" customFormat="1" hidden="1" x14ac:dyDescent="0.2">
      <c r="A227" s="384"/>
      <c r="B227" s="378"/>
      <c r="C227" s="106"/>
      <c r="D227" s="107"/>
      <c r="E227" s="108"/>
      <c r="F227" s="109"/>
      <c r="G227" s="103"/>
      <c r="H227" s="103"/>
      <c r="I227" s="102"/>
      <c r="J227" s="102"/>
      <c r="K227" s="78"/>
      <c r="L227" s="110"/>
      <c r="M227" s="105" t="str">
        <f t="shared" si="3"/>
        <v xml:space="preserve">   </v>
      </c>
    </row>
    <row r="228" spans="1:13" s="46" customFormat="1" hidden="1" x14ac:dyDescent="0.2">
      <c r="A228" s="384"/>
      <c r="B228" s="378"/>
      <c r="C228" s="106"/>
      <c r="D228" s="107"/>
      <c r="E228" s="108"/>
      <c r="F228" s="109"/>
      <c r="G228" s="103"/>
      <c r="H228" s="103"/>
      <c r="I228" s="102"/>
      <c r="J228" s="102"/>
      <c r="K228" s="78"/>
      <c r="L228" s="110"/>
      <c r="M228" s="105" t="str">
        <f t="shared" si="3"/>
        <v xml:space="preserve">   </v>
      </c>
    </row>
    <row r="229" spans="1:13" s="46" customFormat="1" hidden="1" x14ac:dyDescent="0.2">
      <c r="A229" s="384"/>
      <c r="B229" s="378"/>
      <c r="C229" s="113"/>
      <c r="D229" s="114"/>
      <c r="E229" s="115"/>
      <c r="F229" s="116"/>
      <c r="G229" s="103"/>
      <c r="H229" s="103"/>
      <c r="I229" s="102"/>
      <c r="J229" s="102"/>
      <c r="K229" s="78"/>
      <c r="L229" s="117"/>
      <c r="M229" s="105" t="str">
        <f t="shared" si="3"/>
        <v xml:space="preserve">   </v>
      </c>
    </row>
    <row r="230" spans="1:13" s="46" customFormat="1" ht="15" hidden="1" customHeight="1" x14ac:dyDescent="0.2">
      <c r="A230" s="384" t="s">
        <v>55</v>
      </c>
      <c r="B230" s="378" t="s">
        <v>89</v>
      </c>
      <c r="C230" s="102"/>
      <c r="D230" s="102"/>
      <c r="E230" s="102"/>
      <c r="F230" s="102"/>
      <c r="G230" s="103"/>
      <c r="H230" s="103"/>
      <c r="I230" s="102"/>
      <c r="J230" s="102"/>
      <c r="K230" s="78"/>
      <c r="L230" s="111" t="str">
        <f>CONCATENATE(C230," ",D230," ",E230," ",F230," ",C231," ",D231," ",E231," ",F231)</f>
        <v xml:space="preserve">       </v>
      </c>
      <c r="M230" s="105" t="str">
        <f t="shared" si="3"/>
        <v xml:space="preserve">   </v>
      </c>
    </row>
    <row r="231" spans="1:13" s="46" customFormat="1" hidden="1" x14ac:dyDescent="0.2">
      <c r="A231" s="384"/>
      <c r="B231" s="378"/>
      <c r="C231" s="112"/>
      <c r="D231" s="107"/>
      <c r="E231" s="108"/>
      <c r="F231" s="109"/>
      <c r="G231" s="103"/>
      <c r="H231" s="103"/>
      <c r="I231" s="102"/>
      <c r="J231" s="102"/>
      <c r="K231" s="78"/>
      <c r="L231" s="110"/>
      <c r="M231" s="105" t="str">
        <f t="shared" si="3"/>
        <v xml:space="preserve">   </v>
      </c>
    </row>
    <row r="232" spans="1:13" s="46" customFormat="1" hidden="1" x14ac:dyDescent="0.2">
      <c r="A232" s="384"/>
      <c r="B232" s="378"/>
      <c r="C232" s="106"/>
      <c r="D232" s="107"/>
      <c r="E232" s="108"/>
      <c r="F232" s="109"/>
      <c r="G232" s="103"/>
      <c r="H232" s="103"/>
      <c r="I232" s="102"/>
      <c r="J232" s="102"/>
      <c r="K232" s="78"/>
      <c r="L232" s="110"/>
      <c r="M232" s="105" t="str">
        <f t="shared" si="3"/>
        <v xml:space="preserve">   </v>
      </c>
    </row>
    <row r="233" spans="1:13" s="46" customFormat="1" hidden="1" x14ac:dyDescent="0.2">
      <c r="A233" s="384"/>
      <c r="B233" s="378"/>
      <c r="C233" s="106"/>
      <c r="D233" s="107"/>
      <c r="E233" s="108"/>
      <c r="F233" s="109"/>
      <c r="G233" s="103"/>
      <c r="H233" s="103"/>
      <c r="I233" s="102"/>
      <c r="J233" s="102"/>
      <c r="K233" s="78"/>
      <c r="L233" s="110"/>
      <c r="M233" s="105" t="str">
        <f t="shared" si="3"/>
        <v xml:space="preserve">   </v>
      </c>
    </row>
    <row r="234" spans="1:13" s="46" customFormat="1" hidden="1" x14ac:dyDescent="0.2">
      <c r="A234" s="384"/>
      <c r="B234" s="378"/>
      <c r="C234" s="106"/>
      <c r="D234" s="107"/>
      <c r="E234" s="108"/>
      <c r="F234" s="109"/>
      <c r="G234" s="103"/>
      <c r="H234" s="103"/>
      <c r="I234" s="102"/>
      <c r="J234" s="102"/>
      <c r="K234" s="78"/>
      <c r="L234" s="110"/>
      <c r="M234" s="105" t="str">
        <f t="shared" si="3"/>
        <v xml:space="preserve">   </v>
      </c>
    </row>
    <row r="235" spans="1:13" s="46" customFormat="1" hidden="1" x14ac:dyDescent="0.2">
      <c r="A235" s="384"/>
      <c r="B235" s="378"/>
      <c r="C235" s="106"/>
      <c r="D235" s="107"/>
      <c r="E235" s="108"/>
      <c r="F235" s="109"/>
      <c r="G235" s="103"/>
      <c r="H235" s="103"/>
      <c r="I235" s="102"/>
      <c r="J235" s="102"/>
      <c r="K235" s="78"/>
      <c r="L235" s="110"/>
      <c r="M235" s="105" t="str">
        <f t="shared" si="3"/>
        <v xml:space="preserve">   </v>
      </c>
    </row>
    <row r="236" spans="1:13" s="46" customFormat="1" hidden="1" x14ac:dyDescent="0.2">
      <c r="A236" s="384"/>
      <c r="B236" s="378"/>
      <c r="C236" s="106"/>
      <c r="D236" s="107"/>
      <c r="E236" s="108"/>
      <c r="F236" s="109"/>
      <c r="G236" s="103"/>
      <c r="H236" s="103"/>
      <c r="I236" s="102"/>
      <c r="J236" s="102"/>
      <c r="K236" s="78"/>
      <c r="L236" s="110"/>
      <c r="M236" s="105" t="str">
        <f t="shared" si="3"/>
        <v xml:space="preserve">   </v>
      </c>
    </row>
    <row r="237" spans="1:13" s="46" customFormat="1" hidden="1" x14ac:dyDescent="0.2">
      <c r="A237" s="384"/>
      <c r="B237" s="378"/>
      <c r="C237" s="106"/>
      <c r="D237" s="107"/>
      <c r="E237" s="108"/>
      <c r="F237" s="109"/>
      <c r="G237" s="103"/>
      <c r="H237" s="103"/>
      <c r="I237" s="102"/>
      <c r="J237" s="102"/>
      <c r="K237" s="78"/>
      <c r="L237" s="110"/>
      <c r="M237" s="105" t="str">
        <f t="shared" si="3"/>
        <v xml:space="preserve">   </v>
      </c>
    </row>
    <row r="238" spans="1:13" s="46" customFormat="1" hidden="1" x14ac:dyDescent="0.2">
      <c r="A238" s="384"/>
      <c r="B238" s="378"/>
      <c r="C238" s="106"/>
      <c r="D238" s="107"/>
      <c r="E238" s="108"/>
      <c r="F238" s="109"/>
      <c r="G238" s="103"/>
      <c r="H238" s="103"/>
      <c r="I238" s="102"/>
      <c r="J238" s="102"/>
      <c r="K238" s="78"/>
      <c r="L238" s="110"/>
      <c r="M238" s="105" t="str">
        <f t="shared" si="3"/>
        <v xml:space="preserve">   </v>
      </c>
    </row>
    <row r="239" spans="1:13" s="46" customFormat="1" hidden="1" x14ac:dyDescent="0.2">
      <c r="A239" s="384"/>
      <c r="B239" s="378"/>
      <c r="C239" s="113"/>
      <c r="D239" s="114"/>
      <c r="E239" s="115"/>
      <c r="F239" s="116"/>
      <c r="G239" s="103"/>
      <c r="H239" s="103"/>
      <c r="I239" s="102"/>
      <c r="J239" s="102"/>
      <c r="K239" s="78"/>
      <c r="L239" s="110"/>
      <c r="M239" s="105" t="str">
        <f t="shared" si="3"/>
        <v xml:space="preserve">   </v>
      </c>
    </row>
    <row r="240" spans="1:13" s="46" customFormat="1" ht="15" hidden="1" customHeight="1" x14ac:dyDescent="0.2">
      <c r="A240" s="384" t="s">
        <v>55</v>
      </c>
      <c r="B240" s="378" t="s">
        <v>89</v>
      </c>
      <c r="C240" s="102"/>
      <c r="D240" s="102"/>
      <c r="E240" s="102"/>
      <c r="F240" s="102"/>
      <c r="G240" s="103"/>
      <c r="H240" s="103"/>
      <c r="I240" s="102"/>
      <c r="J240" s="102"/>
      <c r="K240" s="78"/>
      <c r="L240" s="111" t="str">
        <f>CONCATENATE(C240," ",D240," ",E240," ",F240," ",C241," ",D241," ",E241," ",F241)</f>
        <v xml:space="preserve">       </v>
      </c>
      <c r="M240" s="105" t="str">
        <f t="shared" si="3"/>
        <v xml:space="preserve">   </v>
      </c>
    </row>
    <row r="241" spans="1:13" s="46" customFormat="1" hidden="1" x14ac:dyDescent="0.2">
      <c r="A241" s="384"/>
      <c r="B241" s="378"/>
      <c r="C241" s="112"/>
      <c r="D241" s="107"/>
      <c r="E241" s="108"/>
      <c r="F241" s="109"/>
      <c r="G241" s="103"/>
      <c r="H241" s="103"/>
      <c r="I241" s="102"/>
      <c r="J241" s="102"/>
      <c r="K241" s="78"/>
      <c r="L241" s="110"/>
      <c r="M241" s="105" t="str">
        <f t="shared" si="3"/>
        <v xml:space="preserve">   </v>
      </c>
    </row>
    <row r="242" spans="1:13" s="46" customFormat="1" hidden="1" x14ac:dyDescent="0.2">
      <c r="A242" s="384"/>
      <c r="B242" s="378"/>
      <c r="C242" s="106"/>
      <c r="D242" s="107"/>
      <c r="E242" s="108"/>
      <c r="F242" s="109"/>
      <c r="G242" s="103"/>
      <c r="H242" s="103"/>
      <c r="I242" s="102"/>
      <c r="J242" s="102"/>
      <c r="K242" s="78"/>
      <c r="L242" s="110"/>
      <c r="M242" s="105" t="str">
        <f t="shared" si="3"/>
        <v xml:space="preserve">   </v>
      </c>
    </row>
    <row r="243" spans="1:13" s="46" customFormat="1" hidden="1" x14ac:dyDescent="0.2">
      <c r="A243" s="384"/>
      <c r="B243" s="378"/>
      <c r="C243" s="106"/>
      <c r="D243" s="107"/>
      <c r="E243" s="108"/>
      <c r="F243" s="109"/>
      <c r="G243" s="103"/>
      <c r="H243" s="103"/>
      <c r="I243" s="102"/>
      <c r="J243" s="102"/>
      <c r="K243" s="78"/>
      <c r="L243" s="110"/>
      <c r="M243" s="105" t="str">
        <f t="shared" si="3"/>
        <v xml:space="preserve">   </v>
      </c>
    </row>
    <row r="244" spans="1:13" s="46" customFormat="1" hidden="1" x14ac:dyDescent="0.2">
      <c r="A244" s="384"/>
      <c r="B244" s="378"/>
      <c r="C244" s="106"/>
      <c r="D244" s="107"/>
      <c r="E244" s="108"/>
      <c r="F244" s="109"/>
      <c r="G244" s="103"/>
      <c r="H244" s="103"/>
      <c r="I244" s="102"/>
      <c r="J244" s="102"/>
      <c r="K244" s="78"/>
      <c r="L244" s="110"/>
      <c r="M244" s="105" t="str">
        <f t="shared" si="3"/>
        <v xml:space="preserve">   </v>
      </c>
    </row>
    <row r="245" spans="1:13" s="46" customFormat="1" hidden="1" x14ac:dyDescent="0.2">
      <c r="A245" s="384"/>
      <c r="B245" s="378"/>
      <c r="C245" s="106"/>
      <c r="D245" s="107"/>
      <c r="E245" s="108"/>
      <c r="F245" s="109"/>
      <c r="G245" s="103"/>
      <c r="H245" s="103"/>
      <c r="I245" s="102"/>
      <c r="J245" s="102"/>
      <c r="K245" s="78"/>
      <c r="L245" s="110"/>
      <c r="M245" s="105" t="str">
        <f t="shared" si="3"/>
        <v xml:space="preserve">   </v>
      </c>
    </row>
    <row r="246" spans="1:13" s="46" customFormat="1" hidden="1" x14ac:dyDescent="0.2">
      <c r="A246" s="384"/>
      <c r="B246" s="378"/>
      <c r="C246" s="106"/>
      <c r="D246" s="107"/>
      <c r="E246" s="108"/>
      <c r="F246" s="109"/>
      <c r="G246" s="103"/>
      <c r="H246" s="103"/>
      <c r="I246" s="102"/>
      <c r="J246" s="102"/>
      <c r="K246" s="78"/>
      <c r="L246" s="110"/>
      <c r="M246" s="105" t="str">
        <f t="shared" si="3"/>
        <v xml:space="preserve">   </v>
      </c>
    </row>
    <row r="247" spans="1:13" s="46" customFormat="1" hidden="1" x14ac:dyDescent="0.2">
      <c r="A247" s="384"/>
      <c r="B247" s="378"/>
      <c r="C247" s="106"/>
      <c r="D247" s="107"/>
      <c r="E247" s="108"/>
      <c r="F247" s="109"/>
      <c r="G247" s="103"/>
      <c r="H247" s="103"/>
      <c r="I247" s="102"/>
      <c r="J247" s="102"/>
      <c r="K247" s="78"/>
      <c r="L247" s="110"/>
      <c r="M247" s="105" t="str">
        <f t="shared" si="3"/>
        <v xml:space="preserve">   </v>
      </c>
    </row>
    <row r="248" spans="1:13" s="46" customFormat="1" hidden="1" x14ac:dyDescent="0.2">
      <c r="A248" s="384"/>
      <c r="B248" s="378"/>
      <c r="C248" s="106"/>
      <c r="D248" s="107"/>
      <c r="E248" s="108"/>
      <c r="F248" s="109"/>
      <c r="G248" s="103"/>
      <c r="H248" s="103"/>
      <c r="I248" s="102"/>
      <c r="J248" s="102"/>
      <c r="K248" s="78"/>
      <c r="L248" s="110"/>
      <c r="M248" s="105" t="str">
        <f t="shared" si="3"/>
        <v xml:space="preserve">   </v>
      </c>
    </row>
    <row r="249" spans="1:13" s="46" customFormat="1" hidden="1" x14ac:dyDescent="0.2">
      <c r="A249" s="384"/>
      <c r="B249" s="378"/>
      <c r="C249" s="113"/>
      <c r="D249" s="114"/>
      <c r="E249" s="115"/>
      <c r="F249" s="116"/>
      <c r="G249" s="103"/>
      <c r="H249" s="103"/>
      <c r="I249" s="102"/>
      <c r="J249" s="102"/>
      <c r="K249" s="78"/>
      <c r="L249" s="117"/>
      <c r="M249" s="105" t="str">
        <f t="shared" si="3"/>
        <v xml:space="preserve">   </v>
      </c>
    </row>
    <row r="250" spans="1:13" s="46" customFormat="1" ht="15" hidden="1" customHeight="1" x14ac:dyDescent="0.2">
      <c r="A250" s="384" t="s">
        <v>55</v>
      </c>
      <c r="B250" s="378" t="s">
        <v>89</v>
      </c>
      <c r="C250" s="102"/>
      <c r="D250" s="102"/>
      <c r="E250" s="102"/>
      <c r="F250" s="102"/>
      <c r="G250" s="103"/>
      <c r="H250" s="103"/>
      <c r="I250" s="102"/>
      <c r="J250" s="102"/>
      <c r="K250" s="78"/>
      <c r="L250" s="111" t="str">
        <f>CONCATENATE(C250," ",D250," ",E250," ",F250," ",C251," ",D251," ",E251," ",F251)</f>
        <v xml:space="preserve">       </v>
      </c>
      <c r="M250" s="105" t="str">
        <f t="shared" si="3"/>
        <v xml:space="preserve">   </v>
      </c>
    </row>
    <row r="251" spans="1:13" s="46" customFormat="1" hidden="1" x14ac:dyDescent="0.2">
      <c r="A251" s="384"/>
      <c r="B251" s="378"/>
      <c r="C251" s="112"/>
      <c r="D251" s="107"/>
      <c r="E251" s="108"/>
      <c r="F251" s="109"/>
      <c r="G251" s="103"/>
      <c r="H251" s="103"/>
      <c r="I251" s="102"/>
      <c r="J251" s="102"/>
      <c r="K251" s="78"/>
      <c r="L251" s="110"/>
      <c r="M251" s="105" t="str">
        <f t="shared" si="3"/>
        <v xml:space="preserve">   </v>
      </c>
    </row>
    <row r="252" spans="1:13" s="46" customFormat="1" hidden="1" x14ac:dyDescent="0.2">
      <c r="A252" s="384"/>
      <c r="B252" s="378"/>
      <c r="C252" s="106"/>
      <c r="D252" s="107"/>
      <c r="E252" s="108"/>
      <c r="F252" s="109"/>
      <c r="G252" s="103"/>
      <c r="H252" s="103"/>
      <c r="I252" s="102"/>
      <c r="J252" s="102"/>
      <c r="K252" s="78"/>
      <c r="L252" s="110"/>
      <c r="M252" s="105" t="str">
        <f t="shared" si="3"/>
        <v xml:space="preserve">   </v>
      </c>
    </row>
    <row r="253" spans="1:13" s="46" customFormat="1" hidden="1" x14ac:dyDescent="0.2">
      <c r="A253" s="384"/>
      <c r="B253" s="378"/>
      <c r="C253" s="106"/>
      <c r="D253" s="107"/>
      <c r="E253" s="108"/>
      <c r="F253" s="109"/>
      <c r="G253" s="103"/>
      <c r="H253" s="103"/>
      <c r="I253" s="102"/>
      <c r="J253" s="102"/>
      <c r="K253" s="78"/>
      <c r="L253" s="110"/>
      <c r="M253" s="105" t="str">
        <f t="shared" si="3"/>
        <v xml:space="preserve">   </v>
      </c>
    </row>
    <row r="254" spans="1:13" s="46" customFormat="1" hidden="1" x14ac:dyDescent="0.2">
      <c r="A254" s="384"/>
      <c r="B254" s="378"/>
      <c r="C254" s="106"/>
      <c r="D254" s="107"/>
      <c r="E254" s="108"/>
      <c r="F254" s="109"/>
      <c r="G254" s="103"/>
      <c r="H254" s="103"/>
      <c r="I254" s="102"/>
      <c r="J254" s="102"/>
      <c r="K254" s="78"/>
      <c r="L254" s="110"/>
      <c r="M254" s="105" t="str">
        <f t="shared" si="3"/>
        <v xml:space="preserve">   </v>
      </c>
    </row>
    <row r="255" spans="1:13" s="46" customFormat="1" hidden="1" x14ac:dyDescent="0.2">
      <c r="A255" s="384"/>
      <c r="B255" s="378"/>
      <c r="C255" s="106"/>
      <c r="D255" s="107"/>
      <c r="E255" s="108"/>
      <c r="F255" s="109"/>
      <c r="G255" s="103"/>
      <c r="H255" s="103"/>
      <c r="I255" s="102"/>
      <c r="J255" s="102"/>
      <c r="K255" s="78"/>
      <c r="L255" s="110"/>
      <c r="M255" s="105" t="str">
        <f t="shared" si="3"/>
        <v xml:space="preserve">   </v>
      </c>
    </row>
    <row r="256" spans="1:13" s="46" customFormat="1" hidden="1" x14ac:dyDescent="0.2">
      <c r="A256" s="384"/>
      <c r="B256" s="378"/>
      <c r="C256" s="106"/>
      <c r="D256" s="107"/>
      <c r="E256" s="108"/>
      <c r="F256" s="109"/>
      <c r="G256" s="103"/>
      <c r="H256" s="103"/>
      <c r="I256" s="102"/>
      <c r="J256" s="102"/>
      <c r="K256" s="78"/>
      <c r="L256" s="110"/>
      <c r="M256" s="105" t="str">
        <f t="shared" si="3"/>
        <v xml:space="preserve">   </v>
      </c>
    </row>
    <row r="257" spans="1:13" s="46" customFormat="1" hidden="1" x14ac:dyDescent="0.2">
      <c r="A257" s="384"/>
      <c r="B257" s="378"/>
      <c r="C257" s="106"/>
      <c r="D257" s="107"/>
      <c r="E257" s="108"/>
      <c r="F257" s="109"/>
      <c r="G257" s="103"/>
      <c r="H257" s="103"/>
      <c r="I257" s="102"/>
      <c r="J257" s="102"/>
      <c r="K257" s="78"/>
      <c r="L257" s="110"/>
      <c r="M257" s="105" t="str">
        <f t="shared" si="3"/>
        <v xml:space="preserve">   </v>
      </c>
    </row>
    <row r="258" spans="1:13" s="46" customFormat="1" hidden="1" x14ac:dyDescent="0.2">
      <c r="A258" s="384"/>
      <c r="B258" s="378"/>
      <c r="C258" s="106"/>
      <c r="D258" s="107"/>
      <c r="E258" s="108"/>
      <c r="F258" s="109"/>
      <c r="G258" s="103"/>
      <c r="H258" s="103"/>
      <c r="I258" s="102"/>
      <c r="J258" s="102"/>
      <c r="K258" s="78"/>
      <c r="L258" s="110"/>
      <c r="M258" s="105" t="str">
        <f t="shared" si="3"/>
        <v xml:space="preserve">   </v>
      </c>
    </row>
    <row r="259" spans="1:13" s="46" customFormat="1" hidden="1" x14ac:dyDescent="0.2">
      <c r="A259" s="384"/>
      <c r="B259" s="378"/>
      <c r="C259" s="113"/>
      <c r="D259" s="114"/>
      <c r="E259" s="115"/>
      <c r="F259" s="116"/>
      <c r="G259" s="103"/>
      <c r="H259" s="103"/>
      <c r="I259" s="102"/>
      <c r="J259" s="102"/>
      <c r="K259" s="78"/>
      <c r="L259" s="110"/>
      <c r="M259" s="105" t="str">
        <f t="shared" si="3"/>
        <v xml:space="preserve">   </v>
      </c>
    </row>
    <row r="260" spans="1:13" s="46" customFormat="1" ht="15" hidden="1" customHeight="1" x14ac:dyDescent="0.2">
      <c r="A260" s="384" t="s">
        <v>55</v>
      </c>
      <c r="B260" s="378" t="s">
        <v>89</v>
      </c>
      <c r="C260" s="102"/>
      <c r="D260" s="102"/>
      <c r="E260" s="102"/>
      <c r="F260" s="102"/>
      <c r="G260" s="103"/>
      <c r="H260" s="103"/>
      <c r="I260" s="102"/>
      <c r="J260" s="102"/>
      <c r="K260" s="78"/>
      <c r="L260" s="111" t="str">
        <f>CONCATENATE(C260," ",D260," ",E260," ",F260," ",C261," ",D261," ",E261," ",F261)</f>
        <v xml:space="preserve">       </v>
      </c>
      <c r="M260" s="105" t="str">
        <f t="shared" si="3"/>
        <v xml:space="preserve">   </v>
      </c>
    </row>
    <row r="261" spans="1:13" s="46" customFormat="1" hidden="1" x14ac:dyDescent="0.2">
      <c r="A261" s="384"/>
      <c r="B261" s="378"/>
      <c r="C261" s="112"/>
      <c r="D261" s="107"/>
      <c r="E261" s="108"/>
      <c r="F261" s="109"/>
      <c r="G261" s="103"/>
      <c r="H261" s="103"/>
      <c r="I261" s="102"/>
      <c r="J261" s="102"/>
      <c r="K261" s="78"/>
      <c r="L261" s="110"/>
      <c r="M261" s="105" t="str">
        <f t="shared" si="3"/>
        <v xml:space="preserve">   </v>
      </c>
    </row>
    <row r="262" spans="1:13" s="46" customFormat="1" hidden="1" x14ac:dyDescent="0.2">
      <c r="A262" s="384"/>
      <c r="B262" s="378"/>
      <c r="C262" s="106"/>
      <c r="D262" s="107"/>
      <c r="E262" s="108"/>
      <c r="F262" s="109"/>
      <c r="G262" s="103"/>
      <c r="H262" s="103"/>
      <c r="I262" s="102"/>
      <c r="J262" s="102"/>
      <c r="K262" s="78"/>
      <c r="L262" s="110"/>
      <c r="M262" s="105" t="str">
        <f t="shared" si="3"/>
        <v xml:space="preserve">   </v>
      </c>
    </row>
    <row r="263" spans="1:13" s="46" customFormat="1" hidden="1" x14ac:dyDescent="0.2">
      <c r="A263" s="384"/>
      <c r="B263" s="378"/>
      <c r="C263" s="106"/>
      <c r="D263" s="107"/>
      <c r="E263" s="108"/>
      <c r="F263" s="109"/>
      <c r="G263" s="103"/>
      <c r="H263" s="103"/>
      <c r="I263" s="102"/>
      <c r="J263" s="102"/>
      <c r="K263" s="78"/>
      <c r="L263" s="110"/>
      <c r="M263" s="105" t="str">
        <f t="shared" si="3"/>
        <v xml:space="preserve">   </v>
      </c>
    </row>
    <row r="264" spans="1:13" s="46" customFormat="1" hidden="1" x14ac:dyDescent="0.2">
      <c r="A264" s="384"/>
      <c r="B264" s="378"/>
      <c r="C264" s="106"/>
      <c r="D264" s="107"/>
      <c r="E264" s="108"/>
      <c r="F264" s="109"/>
      <c r="G264" s="103"/>
      <c r="H264" s="103"/>
      <c r="I264" s="102"/>
      <c r="J264" s="102"/>
      <c r="K264" s="78"/>
      <c r="L264" s="110"/>
      <c r="M264" s="105" t="str">
        <f t="shared" si="3"/>
        <v xml:space="preserve">   </v>
      </c>
    </row>
    <row r="265" spans="1:13" s="46" customFormat="1" hidden="1" x14ac:dyDescent="0.2">
      <c r="A265" s="384"/>
      <c r="B265" s="378"/>
      <c r="C265" s="106"/>
      <c r="D265" s="107"/>
      <c r="E265" s="108"/>
      <c r="F265" s="109"/>
      <c r="G265" s="103"/>
      <c r="H265" s="103"/>
      <c r="I265" s="102"/>
      <c r="J265" s="102"/>
      <c r="K265" s="78"/>
      <c r="L265" s="110"/>
      <c r="M265" s="105" t="str">
        <f t="shared" si="3"/>
        <v xml:space="preserve">   </v>
      </c>
    </row>
    <row r="266" spans="1:13" s="46" customFormat="1" hidden="1" x14ac:dyDescent="0.2">
      <c r="A266" s="384"/>
      <c r="B266" s="378"/>
      <c r="C266" s="106"/>
      <c r="D266" s="107"/>
      <c r="E266" s="108"/>
      <c r="F266" s="109"/>
      <c r="G266" s="103"/>
      <c r="H266" s="103"/>
      <c r="I266" s="102"/>
      <c r="J266" s="102"/>
      <c r="K266" s="78"/>
      <c r="L266" s="110"/>
      <c r="M266" s="105" t="str">
        <f t="shared" si="3"/>
        <v xml:space="preserve">   </v>
      </c>
    </row>
    <row r="267" spans="1:13" s="46" customFormat="1" hidden="1" x14ac:dyDescent="0.2">
      <c r="A267" s="384"/>
      <c r="B267" s="378"/>
      <c r="C267" s="106"/>
      <c r="D267" s="107"/>
      <c r="E267" s="108"/>
      <c r="F267" s="109"/>
      <c r="G267" s="103"/>
      <c r="H267" s="103"/>
      <c r="I267" s="102"/>
      <c r="J267" s="102"/>
      <c r="K267" s="78"/>
      <c r="L267" s="110"/>
      <c r="M267" s="105" t="str">
        <f t="shared" ref="M267:M330" si="4">CONCATENATE(G267," ",H267," ",I267," ",J267)</f>
        <v xml:space="preserve">   </v>
      </c>
    </row>
    <row r="268" spans="1:13" s="46" customFormat="1" hidden="1" x14ac:dyDescent="0.2">
      <c r="A268" s="384"/>
      <c r="B268" s="378"/>
      <c r="C268" s="106"/>
      <c r="D268" s="107"/>
      <c r="E268" s="108"/>
      <c r="F268" s="109"/>
      <c r="G268" s="103"/>
      <c r="H268" s="103"/>
      <c r="I268" s="102"/>
      <c r="J268" s="102"/>
      <c r="K268" s="78"/>
      <c r="L268" s="110"/>
      <c r="M268" s="105" t="str">
        <f t="shared" si="4"/>
        <v xml:space="preserve">   </v>
      </c>
    </row>
    <row r="269" spans="1:13" s="46" customFormat="1" hidden="1" x14ac:dyDescent="0.2">
      <c r="A269" s="384"/>
      <c r="B269" s="378"/>
      <c r="C269" s="113"/>
      <c r="D269" s="114"/>
      <c r="E269" s="115"/>
      <c r="F269" s="116"/>
      <c r="G269" s="103"/>
      <c r="H269" s="103"/>
      <c r="I269" s="102"/>
      <c r="J269" s="102"/>
      <c r="K269" s="78"/>
      <c r="L269" s="117"/>
      <c r="M269" s="105" t="str">
        <f t="shared" si="4"/>
        <v xml:space="preserve">   </v>
      </c>
    </row>
    <row r="270" spans="1:13" s="46" customFormat="1" ht="15" hidden="1" customHeight="1" x14ac:dyDescent="0.2">
      <c r="A270" s="384" t="s">
        <v>55</v>
      </c>
      <c r="B270" s="378" t="s">
        <v>89</v>
      </c>
      <c r="C270" s="102"/>
      <c r="D270" s="102"/>
      <c r="E270" s="102"/>
      <c r="F270" s="102"/>
      <c r="G270" s="103"/>
      <c r="H270" s="103"/>
      <c r="I270" s="102"/>
      <c r="J270" s="102"/>
      <c r="K270" s="78"/>
      <c r="L270" s="111" t="str">
        <f>CONCATENATE(C270," ",D270," ",E270," ",F270," ",C271," ",D271," ",E271," ",F271)</f>
        <v xml:space="preserve">       </v>
      </c>
      <c r="M270" s="105" t="str">
        <f t="shared" si="4"/>
        <v xml:space="preserve">   </v>
      </c>
    </row>
    <row r="271" spans="1:13" s="46" customFormat="1" hidden="1" x14ac:dyDescent="0.2">
      <c r="A271" s="384"/>
      <c r="B271" s="378"/>
      <c r="C271" s="112"/>
      <c r="D271" s="107"/>
      <c r="E271" s="108"/>
      <c r="F271" s="109"/>
      <c r="G271" s="103"/>
      <c r="H271" s="103"/>
      <c r="I271" s="102"/>
      <c r="J271" s="102"/>
      <c r="K271" s="78"/>
      <c r="L271" s="110"/>
      <c r="M271" s="105" t="str">
        <f t="shared" si="4"/>
        <v xml:space="preserve">   </v>
      </c>
    </row>
    <row r="272" spans="1:13" s="46" customFormat="1" hidden="1" x14ac:dyDescent="0.2">
      <c r="A272" s="384"/>
      <c r="B272" s="378"/>
      <c r="C272" s="106"/>
      <c r="D272" s="107"/>
      <c r="E272" s="108"/>
      <c r="F272" s="109"/>
      <c r="G272" s="103"/>
      <c r="H272" s="103"/>
      <c r="I272" s="102"/>
      <c r="J272" s="102"/>
      <c r="K272" s="78"/>
      <c r="L272" s="110"/>
      <c r="M272" s="105" t="str">
        <f t="shared" si="4"/>
        <v xml:space="preserve">   </v>
      </c>
    </row>
    <row r="273" spans="1:13" s="46" customFormat="1" hidden="1" x14ac:dyDescent="0.2">
      <c r="A273" s="384"/>
      <c r="B273" s="378"/>
      <c r="C273" s="106"/>
      <c r="D273" s="107"/>
      <c r="E273" s="108"/>
      <c r="F273" s="109"/>
      <c r="G273" s="103"/>
      <c r="H273" s="103"/>
      <c r="I273" s="102"/>
      <c r="J273" s="102"/>
      <c r="K273" s="78"/>
      <c r="L273" s="110"/>
      <c r="M273" s="105" t="str">
        <f t="shared" si="4"/>
        <v xml:space="preserve">   </v>
      </c>
    </row>
    <row r="274" spans="1:13" s="46" customFormat="1" hidden="1" x14ac:dyDescent="0.2">
      <c r="A274" s="384"/>
      <c r="B274" s="378"/>
      <c r="C274" s="106"/>
      <c r="D274" s="107"/>
      <c r="E274" s="108"/>
      <c r="F274" s="109"/>
      <c r="G274" s="103"/>
      <c r="H274" s="103"/>
      <c r="I274" s="102"/>
      <c r="J274" s="102"/>
      <c r="K274" s="78"/>
      <c r="L274" s="110"/>
      <c r="M274" s="105" t="str">
        <f t="shared" si="4"/>
        <v xml:space="preserve">   </v>
      </c>
    </row>
    <row r="275" spans="1:13" s="46" customFormat="1" hidden="1" x14ac:dyDescent="0.2">
      <c r="A275" s="384"/>
      <c r="B275" s="378"/>
      <c r="C275" s="106"/>
      <c r="D275" s="107"/>
      <c r="E275" s="108"/>
      <c r="F275" s="109"/>
      <c r="G275" s="103"/>
      <c r="H275" s="103"/>
      <c r="I275" s="102"/>
      <c r="J275" s="102"/>
      <c r="K275" s="78"/>
      <c r="L275" s="110"/>
      <c r="M275" s="105" t="str">
        <f t="shared" si="4"/>
        <v xml:space="preserve">   </v>
      </c>
    </row>
    <row r="276" spans="1:13" s="46" customFormat="1" hidden="1" x14ac:dyDescent="0.2">
      <c r="A276" s="384"/>
      <c r="B276" s="378"/>
      <c r="C276" s="106"/>
      <c r="D276" s="107"/>
      <c r="E276" s="108"/>
      <c r="F276" s="109"/>
      <c r="G276" s="103"/>
      <c r="H276" s="103"/>
      <c r="I276" s="102"/>
      <c r="J276" s="102"/>
      <c r="K276" s="78"/>
      <c r="L276" s="110"/>
      <c r="M276" s="105" t="str">
        <f t="shared" si="4"/>
        <v xml:space="preserve">   </v>
      </c>
    </row>
    <row r="277" spans="1:13" s="46" customFormat="1" hidden="1" x14ac:dyDescent="0.2">
      <c r="A277" s="384"/>
      <c r="B277" s="378"/>
      <c r="C277" s="106"/>
      <c r="D277" s="107"/>
      <c r="E277" s="108"/>
      <c r="F277" s="109"/>
      <c r="G277" s="103"/>
      <c r="H277" s="103"/>
      <c r="I277" s="102"/>
      <c r="J277" s="102"/>
      <c r="K277" s="78"/>
      <c r="L277" s="110"/>
      <c r="M277" s="105" t="str">
        <f t="shared" si="4"/>
        <v xml:space="preserve">   </v>
      </c>
    </row>
    <row r="278" spans="1:13" s="46" customFormat="1" hidden="1" x14ac:dyDescent="0.2">
      <c r="A278" s="384"/>
      <c r="B278" s="378"/>
      <c r="C278" s="106"/>
      <c r="D278" s="107"/>
      <c r="E278" s="108"/>
      <c r="F278" s="109"/>
      <c r="G278" s="103"/>
      <c r="H278" s="103"/>
      <c r="I278" s="102"/>
      <c r="J278" s="102"/>
      <c r="K278" s="78"/>
      <c r="L278" s="110"/>
      <c r="M278" s="105" t="str">
        <f t="shared" si="4"/>
        <v xml:space="preserve">   </v>
      </c>
    </row>
    <row r="279" spans="1:13" s="46" customFormat="1" hidden="1" x14ac:dyDescent="0.2">
      <c r="A279" s="384"/>
      <c r="B279" s="378"/>
      <c r="C279" s="113"/>
      <c r="D279" s="114"/>
      <c r="E279" s="115"/>
      <c r="F279" s="116"/>
      <c r="G279" s="103"/>
      <c r="H279" s="103"/>
      <c r="I279" s="102"/>
      <c r="J279" s="102"/>
      <c r="K279" s="78"/>
      <c r="L279" s="110"/>
      <c r="M279" s="105" t="str">
        <f t="shared" si="4"/>
        <v xml:space="preserve">   </v>
      </c>
    </row>
    <row r="280" spans="1:13" s="46" customFormat="1" ht="15" hidden="1" customHeight="1" x14ac:dyDescent="0.2">
      <c r="A280" s="384" t="s">
        <v>55</v>
      </c>
      <c r="B280" s="378" t="s">
        <v>89</v>
      </c>
      <c r="C280" s="102"/>
      <c r="D280" s="102"/>
      <c r="E280" s="102"/>
      <c r="F280" s="102"/>
      <c r="G280" s="103"/>
      <c r="H280" s="103"/>
      <c r="I280" s="102"/>
      <c r="J280" s="102"/>
      <c r="K280" s="78"/>
      <c r="L280" s="111" t="str">
        <f>CONCATENATE(C280," ",D280," ",E280," ",F280," ",C281," ",D281," ",E281," ",F281)</f>
        <v xml:space="preserve">       </v>
      </c>
      <c r="M280" s="105" t="str">
        <f t="shared" si="4"/>
        <v xml:space="preserve">   </v>
      </c>
    </row>
    <row r="281" spans="1:13" s="46" customFormat="1" hidden="1" x14ac:dyDescent="0.2">
      <c r="A281" s="384"/>
      <c r="B281" s="378"/>
      <c r="C281" s="112"/>
      <c r="D281" s="107"/>
      <c r="E281" s="108"/>
      <c r="F281" s="109"/>
      <c r="G281" s="103"/>
      <c r="H281" s="103"/>
      <c r="I281" s="102"/>
      <c r="J281" s="102"/>
      <c r="K281" s="78"/>
      <c r="L281" s="110"/>
      <c r="M281" s="105" t="str">
        <f t="shared" si="4"/>
        <v xml:space="preserve">   </v>
      </c>
    </row>
    <row r="282" spans="1:13" s="46" customFormat="1" hidden="1" x14ac:dyDescent="0.2">
      <c r="A282" s="384"/>
      <c r="B282" s="378"/>
      <c r="C282" s="106"/>
      <c r="D282" s="107"/>
      <c r="E282" s="108"/>
      <c r="F282" s="109"/>
      <c r="G282" s="103"/>
      <c r="H282" s="103"/>
      <c r="I282" s="102"/>
      <c r="J282" s="102"/>
      <c r="K282" s="78"/>
      <c r="L282" s="110"/>
      <c r="M282" s="105" t="str">
        <f t="shared" si="4"/>
        <v xml:space="preserve">   </v>
      </c>
    </row>
    <row r="283" spans="1:13" s="46" customFormat="1" hidden="1" x14ac:dyDescent="0.2">
      <c r="A283" s="384"/>
      <c r="B283" s="378"/>
      <c r="C283" s="106"/>
      <c r="D283" s="107"/>
      <c r="E283" s="108"/>
      <c r="F283" s="109"/>
      <c r="G283" s="103"/>
      <c r="H283" s="103"/>
      <c r="I283" s="102"/>
      <c r="J283" s="102"/>
      <c r="K283" s="78"/>
      <c r="L283" s="110"/>
      <c r="M283" s="105" t="str">
        <f t="shared" si="4"/>
        <v xml:space="preserve">   </v>
      </c>
    </row>
    <row r="284" spans="1:13" s="46" customFormat="1" hidden="1" x14ac:dyDescent="0.2">
      <c r="A284" s="384"/>
      <c r="B284" s="378"/>
      <c r="C284" s="106"/>
      <c r="D284" s="107"/>
      <c r="E284" s="108"/>
      <c r="F284" s="109"/>
      <c r="G284" s="103"/>
      <c r="H284" s="103"/>
      <c r="I284" s="102"/>
      <c r="J284" s="102"/>
      <c r="K284" s="78"/>
      <c r="L284" s="110"/>
      <c r="M284" s="105" t="str">
        <f t="shared" si="4"/>
        <v xml:space="preserve">   </v>
      </c>
    </row>
    <row r="285" spans="1:13" s="46" customFormat="1" hidden="1" x14ac:dyDescent="0.2">
      <c r="A285" s="384"/>
      <c r="B285" s="378"/>
      <c r="C285" s="106"/>
      <c r="D285" s="107"/>
      <c r="E285" s="108"/>
      <c r="F285" s="109"/>
      <c r="G285" s="103"/>
      <c r="H285" s="103"/>
      <c r="I285" s="102"/>
      <c r="J285" s="102"/>
      <c r="K285" s="78"/>
      <c r="L285" s="110"/>
      <c r="M285" s="105" t="str">
        <f t="shared" si="4"/>
        <v xml:space="preserve">   </v>
      </c>
    </row>
    <row r="286" spans="1:13" s="46" customFormat="1" hidden="1" x14ac:dyDescent="0.2">
      <c r="A286" s="384"/>
      <c r="B286" s="378"/>
      <c r="C286" s="106"/>
      <c r="D286" s="107"/>
      <c r="E286" s="108"/>
      <c r="F286" s="109"/>
      <c r="G286" s="103"/>
      <c r="H286" s="103"/>
      <c r="I286" s="102"/>
      <c r="J286" s="102"/>
      <c r="K286" s="78"/>
      <c r="L286" s="110"/>
      <c r="M286" s="105" t="str">
        <f t="shared" si="4"/>
        <v xml:space="preserve">   </v>
      </c>
    </row>
    <row r="287" spans="1:13" s="46" customFormat="1" hidden="1" x14ac:dyDescent="0.2">
      <c r="A287" s="384"/>
      <c r="B287" s="378"/>
      <c r="C287" s="106"/>
      <c r="D287" s="107"/>
      <c r="E287" s="108"/>
      <c r="F287" s="109"/>
      <c r="G287" s="103"/>
      <c r="H287" s="103"/>
      <c r="I287" s="102"/>
      <c r="J287" s="102"/>
      <c r="K287" s="78"/>
      <c r="L287" s="110"/>
      <c r="M287" s="105" t="str">
        <f t="shared" si="4"/>
        <v xml:space="preserve">   </v>
      </c>
    </row>
    <row r="288" spans="1:13" s="46" customFormat="1" hidden="1" x14ac:dyDescent="0.2">
      <c r="A288" s="384"/>
      <c r="B288" s="378"/>
      <c r="C288" s="106"/>
      <c r="D288" s="107"/>
      <c r="E288" s="108"/>
      <c r="F288" s="109"/>
      <c r="G288" s="103"/>
      <c r="H288" s="103"/>
      <c r="I288" s="102"/>
      <c r="J288" s="102"/>
      <c r="K288" s="78"/>
      <c r="L288" s="110"/>
      <c r="M288" s="105" t="str">
        <f t="shared" si="4"/>
        <v xml:space="preserve">   </v>
      </c>
    </row>
    <row r="289" spans="1:13" s="46" customFormat="1" hidden="1" x14ac:dyDescent="0.2">
      <c r="A289" s="384"/>
      <c r="B289" s="378"/>
      <c r="C289" s="113"/>
      <c r="D289" s="114"/>
      <c r="E289" s="115"/>
      <c r="F289" s="116"/>
      <c r="G289" s="103"/>
      <c r="H289" s="103"/>
      <c r="I289" s="102"/>
      <c r="J289" s="102"/>
      <c r="K289" s="78"/>
      <c r="L289" s="117"/>
      <c r="M289" s="105" t="str">
        <f t="shared" si="4"/>
        <v xml:space="preserve">   </v>
      </c>
    </row>
    <row r="290" spans="1:13" s="46" customFormat="1" ht="15" hidden="1" customHeight="1" x14ac:dyDescent="0.2">
      <c r="A290" s="384" t="s">
        <v>55</v>
      </c>
      <c r="B290" s="378" t="s">
        <v>89</v>
      </c>
      <c r="C290" s="102"/>
      <c r="D290" s="102"/>
      <c r="E290" s="102"/>
      <c r="F290" s="102"/>
      <c r="G290" s="103"/>
      <c r="H290" s="103"/>
      <c r="I290" s="102"/>
      <c r="J290" s="102"/>
      <c r="K290" s="78"/>
      <c r="L290" s="111" t="str">
        <f>CONCATENATE(C290," ",D290," ",E290," ",F290," ",C291," ",D291," ",E291," ",F291)</f>
        <v xml:space="preserve">       </v>
      </c>
      <c r="M290" s="105" t="str">
        <f t="shared" si="4"/>
        <v xml:space="preserve">   </v>
      </c>
    </row>
    <row r="291" spans="1:13" s="46" customFormat="1" hidden="1" x14ac:dyDescent="0.2">
      <c r="A291" s="384"/>
      <c r="B291" s="378"/>
      <c r="C291" s="112"/>
      <c r="D291" s="107"/>
      <c r="E291" s="108"/>
      <c r="F291" s="109"/>
      <c r="G291" s="103"/>
      <c r="H291" s="103"/>
      <c r="I291" s="102"/>
      <c r="J291" s="102"/>
      <c r="K291" s="78"/>
      <c r="L291" s="110"/>
      <c r="M291" s="105" t="str">
        <f t="shared" si="4"/>
        <v xml:space="preserve">   </v>
      </c>
    </row>
    <row r="292" spans="1:13" s="46" customFormat="1" hidden="1" x14ac:dyDescent="0.2">
      <c r="A292" s="384"/>
      <c r="B292" s="378"/>
      <c r="C292" s="106"/>
      <c r="D292" s="107"/>
      <c r="E292" s="108"/>
      <c r="F292" s="109"/>
      <c r="G292" s="103"/>
      <c r="H292" s="103"/>
      <c r="I292" s="102"/>
      <c r="J292" s="102"/>
      <c r="K292" s="78"/>
      <c r="L292" s="110"/>
      <c r="M292" s="105" t="str">
        <f t="shared" si="4"/>
        <v xml:space="preserve">   </v>
      </c>
    </row>
    <row r="293" spans="1:13" s="46" customFormat="1" hidden="1" x14ac:dyDescent="0.2">
      <c r="A293" s="384"/>
      <c r="B293" s="378"/>
      <c r="C293" s="106"/>
      <c r="D293" s="107"/>
      <c r="E293" s="108"/>
      <c r="F293" s="109"/>
      <c r="G293" s="103"/>
      <c r="H293" s="103"/>
      <c r="I293" s="102"/>
      <c r="J293" s="102"/>
      <c r="K293" s="78"/>
      <c r="L293" s="110"/>
      <c r="M293" s="105" t="str">
        <f t="shared" si="4"/>
        <v xml:space="preserve">   </v>
      </c>
    </row>
    <row r="294" spans="1:13" s="46" customFormat="1" hidden="1" x14ac:dyDescent="0.2">
      <c r="A294" s="384"/>
      <c r="B294" s="378"/>
      <c r="C294" s="106"/>
      <c r="D294" s="107"/>
      <c r="E294" s="108"/>
      <c r="F294" s="109"/>
      <c r="G294" s="103"/>
      <c r="H294" s="103"/>
      <c r="I294" s="102"/>
      <c r="J294" s="102"/>
      <c r="K294" s="78"/>
      <c r="L294" s="110"/>
      <c r="M294" s="105" t="str">
        <f t="shared" si="4"/>
        <v xml:space="preserve">   </v>
      </c>
    </row>
    <row r="295" spans="1:13" s="46" customFormat="1" hidden="1" x14ac:dyDescent="0.2">
      <c r="A295" s="384"/>
      <c r="B295" s="378"/>
      <c r="C295" s="106"/>
      <c r="D295" s="107"/>
      <c r="E295" s="108"/>
      <c r="F295" s="109"/>
      <c r="G295" s="103"/>
      <c r="H295" s="103"/>
      <c r="I295" s="102"/>
      <c r="J295" s="102"/>
      <c r="K295" s="78"/>
      <c r="L295" s="110"/>
      <c r="M295" s="105" t="str">
        <f t="shared" si="4"/>
        <v xml:space="preserve">   </v>
      </c>
    </row>
    <row r="296" spans="1:13" s="46" customFormat="1" hidden="1" x14ac:dyDescent="0.2">
      <c r="A296" s="384"/>
      <c r="B296" s="378"/>
      <c r="C296" s="106"/>
      <c r="D296" s="107"/>
      <c r="E296" s="108"/>
      <c r="F296" s="109"/>
      <c r="G296" s="103"/>
      <c r="H296" s="103"/>
      <c r="I296" s="102"/>
      <c r="J296" s="102"/>
      <c r="K296" s="78"/>
      <c r="L296" s="110"/>
      <c r="M296" s="105" t="str">
        <f t="shared" si="4"/>
        <v xml:space="preserve">   </v>
      </c>
    </row>
    <row r="297" spans="1:13" s="46" customFormat="1" hidden="1" x14ac:dyDescent="0.2">
      <c r="A297" s="384"/>
      <c r="B297" s="378"/>
      <c r="C297" s="106"/>
      <c r="D297" s="107"/>
      <c r="E297" s="108"/>
      <c r="F297" s="109"/>
      <c r="G297" s="103"/>
      <c r="H297" s="103"/>
      <c r="I297" s="102"/>
      <c r="J297" s="102"/>
      <c r="K297" s="78"/>
      <c r="L297" s="110"/>
      <c r="M297" s="105" t="str">
        <f t="shared" si="4"/>
        <v xml:space="preserve">   </v>
      </c>
    </row>
    <row r="298" spans="1:13" s="46" customFormat="1" hidden="1" x14ac:dyDescent="0.2">
      <c r="A298" s="384"/>
      <c r="B298" s="378"/>
      <c r="C298" s="106"/>
      <c r="D298" s="107"/>
      <c r="E298" s="108"/>
      <c r="F298" s="109"/>
      <c r="G298" s="103"/>
      <c r="H298" s="103"/>
      <c r="I298" s="102"/>
      <c r="J298" s="102"/>
      <c r="K298" s="78"/>
      <c r="L298" s="110"/>
      <c r="M298" s="105" t="str">
        <f t="shared" si="4"/>
        <v xml:space="preserve">   </v>
      </c>
    </row>
    <row r="299" spans="1:13" s="46" customFormat="1" hidden="1" x14ac:dyDescent="0.2">
      <c r="A299" s="384"/>
      <c r="B299" s="378"/>
      <c r="C299" s="113"/>
      <c r="D299" s="114"/>
      <c r="E299" s="115"/>
      <c r="F299" s="116"/>
      <c r="G299" s="103"/>
      <c r="H299" s="103"/>
      <c r="I299" s="102"/>
      <c r="J299" s="102"/>
      <c r="K299" s="78"/>
      <c r="L299" s="110"/>
      <c r="M299" s="105" t="str">
        <f t="shared" si="4"/>
        <v xml:space="preserve">   </v>
      </c>
    </row>
    <row r="300" spans="1:13" s="46" customFormat="1" ht="15" hidden="1" customHeight="1" x14ac:dyDescent="0.2">
      <c r="A300" s="384" t="s">
        <v>55</v>
      </c>
      <c r="B300" s="378" t="s">
        <v>89</v>
      </c>
      <c r="C300" s="102"/>
      <c r="D300" s="102"/>
      <c r="E300" s="102"/>
      <c r="F300" s="102"/>
      <c r="G300" s="103"/>
      <c r="H300" s="103"/>
      <c r="I300" s="102"/>
      <c r="J300" s="102"/>
      <c r="K300" s="78"/>
      <c r="L300" s="111" t="str">
        <f>CONCATENATE(C300," ",D300," ",E300," ",F300," ",C301," ",D301," ",E301," ",F301)</f>
        <v xml:space="preserve">       </v>
      </c>
      <c r="M300" s="105" t="str">
        <f t="shared" si="4"/>
        <v xml:space="preserve">   </v>
      </c>
    </row>
    <row r="301" spans="1:13" s="46" customFormat="1" hidden="1" x14ac:dyDescent="0.2">
      <c r="A301" s="384"/>
      <c r="B301" s="378"/>
      <c r="C301" s="112"/>
      <c r="D301" s="107"/>
      <c r="E301" s="108"/>
      <c r="F301" s="109"/>
      <c r="G301" s="103"/>
      <c r="H301" s="103"/>
      <c r="I301" s="102"/>
      <c r="J301" s="102"/>
      <c r="K301" s="78"/>
      <c r="L301" s="110"/>
      <c r="M301" s="105" t="str">
        <f t="shared" si="4"/>
        <v xml:space="preserve">   </v>
      </c>
    </row>
    <row r="302" spans="1:13" s="46" customFormat="1" hidden="1" x14ac:dyDescent="0.2">
      <c r="A302" s="384"/>
      <c r="B302" s="378"/>
      <c r="C302" s="106"/>
      <c r="D302" s="107"/>
      <c r="E302" s="108"/>
      <c r="F302" s="109"/>
      <c r="G302" s="103"/>
      <c r="H302" s="103"/>
      <c r="I302" s="102"/>
      <c r="J302" s="102"/>
      <c r="K302" s="78"/>
      <c r="L302" s="110"/>
      <c r="M302" s="105" t="str">
        <f t="shared" si="4"/>
        <v xml:space="preserve">   </v>
      </c>
    </row>
    <row r="303" spans="1:13" s="46" customFormat="1" hidden="1" x14ac:dyDescent="0.2">
      <c r="A303" s="384"/>
      <c r="B303" s="378"/>
      <c r="C303" s="106"/>
      <c r="D303" s="107"/>
      <c r="E303" s="108"/>
      <c r="F303" s="109"/>
      <c r="G303" s="103"/>
      <c r="H303" s="103"/>
      <c r="I303" s="102"/>
      <c r="J303" s="102"/>
      <c r="K303" s="78"/>
      <c r="L303" s="110"/>
      <c r="M303" s="105" t="str">
        <f t="shared" si="4"/>
        <v xml:space="preserve">   </v>
      </c>
    </row>
    <row r="304" spans="1:13" s="46" customFormat="1" hidden="1" x14ac:dyDescent="0.2">
      <c r="A304" s="384"/>
      <c r="B304" s="378"/>
      <c r="C304" s="106"/>
      <c r="D304" s="107"/>
      <c r="E304" s="108"/>
      <c r="F304" s="109"/>
      <c r="G304" s="103"/>
      <c r="H304" s="103"/>
      <c r="I304" s="102"/>
      <c r="J304" s="102"/>
      <c r="K304" s="78"/>
      <c r="L304" s="110"/>
      <c r="M304" s="105" t="str">
        <f t="shared" si="4"/>
        <v xml:space="preserve">   </v>
      </c>
    </row>
    <row r="305" spans="1:13" s="46" customFormat="1" hidden="1" x14ac:dyDescent="0.2">
      <c r="A305" s="384"/>
      <c r="B305" s="378"/>
      <c r="C305" s="106"/>
      <c r="D305" s="107"/>
      <c r="E305" s="108"/>
      <c r="F305" s="109"/>
      <c r="G305" s="103"/>
      <c r="H305" s="103"/>
      <c r="I305" s="102"/>
      <c r="J305" s="102"/>
      <c r="K305" s="78"/>
      <c r="L305" s="110"/>
      <c r="M305" s="105" t="str">
        <f t="shared" si="4"/>
        <v xml:space="preserve">   </v>
      </c>
    </row>
    <row r="306" spans="1:13" s="46" customFormat="1" hidden="1" x14ac:dyDescent="0.2">
      <c r="A306" s="384"/>
      <c r="B306" s="378"/>
      <c r="C306" s="106"/>
      <c r="D306" s="107"/>
      <c r="E306" s="108"/>
      <c r="F306" s="109"/>
      <c r="G306" s="103"/>
      <c r="H306" s="103"/>
      <c r="I306" s="102"/>
      <c r="J306" s="102"/>
      <c r="K306" s="78"/>
      <c r="L306" s="110"/>
      <c r="M306" s="105" t="str">
        <f t="shared" si="4"/>
        <v xml:space="preserve">   </v>
      </c>
    </row>
    <row r="307" spans="1:13" s="46" customFormat="1" hidden="1" x14ac:dyDescent="0.2">
      <c r="A307" s="384"/>
      <c r="B307" s="378"/>
      <c r="C307" s="106"/>
      <c r="D307" s="107"/>
      <c r="E307" s="108"/>
      <c r="F307" s="109"/>
      <c r="G307" s="103"/>
      <c r="H307" s="103"/>
      <c r="I307" s="102"/>
      <c r="J307" s="102"/>
      <c r="K307" s="78"/>
      <c r="L307" s="110"/>
      <c r="M307" s="105" t="str">
        <f t="shared" si="4"/>
        <v xml:space="preserve">   </v>
      </c>
    </row>
    <row r="308" spans="1:13" s="46" customFormat="1" hidden="1" x14ac:dyDescent="0.2">
      <c r="A308" s="384"/>
      <c r="B308" s="378"/>
      <c r="C308" s="106"/>
      <c r="D308" s="107"/>
      <c r="E308" s="108"/>
      <c r="F308" s="109"/>
      <c r="G308" s="103"/>
      <c r="H308" s="103"/>
      <c r="I308" s="102"/>
      <c r="J308" s="102"/>
      <c r="K308" s="78"/>
      <c r="L308" s="110"/>
      <c r="M308" s="105" t="str">
        <f t="shared" si="4"/>
        <v xml:space="preserve">   </v>
      </c>
    </row>
    <row r="309" spans="1:13" s="46" customFormat="1" hidden="1" x14ac:dyDescent="0.2">
      <c r="A309" s="384"/>
      <c r="B309" s="378"/>
      <c r="C309" s="113"/>
      <c r="D309" s="114"/>
      <c r="E309" s="115"/>
      <c r="F309" s="116"/>
      <c r="G309" s="103"/>
      <c r="H309" s="103"/>
      <c r="I309" s="102"/>
      <c r="J309" s="102"/>
      <c r="K309" s="78"/>
      <c r="L309" s="117"/>
      <c r="M309" s="105" t="str">
        <f t="shared" si="4"/>
        <v xml:space="preserve">   </v>
      </c>
    </row>
    <row r="310" spans="1:13" hidden="1" x14ac:dyDescent="0.2">
      <c r="A310" s="54"/>
      <c r="B310" s="54"/>
      <c r="C310" s="118"/>
      <c r="D310" s="193"/>
      <c r="E310" s="193"/>
      <c r="F310" s="193"/>
      <c r="G310" s="194"/>
      <c r="H310" s="193"/>
      <c r="I310" s="193"/>
      <c r="J310" s="193"/>
      <c r="K310" s="54"/>
      <c r="L310" s="119"/>
      <c r="M310" s="105" t="str">
        <f t="shared" si="4"/>
        <v xml:space="preserve">   </v>
      </c>
    </row>
    <row r="311" spans="1:13" s="53" customFormat="1" ht="90" customHeight="1" x14ac:dyDescent="0.25">
      <c r="A311" s="383" t="s">
        <v>66</v>
      </c>
      <c r="B311" s="379" t="s">
        <v>88</v>
      </c>
      <c r="C311" s="180" t="s">
        <v>298</v>
      </c>
      <c r="D311" s="178" t="s">
        <v>299</v>
      </c>
      <c r="E311" s="178" t="s">
        <v>300</v>
      </c>
      <c r="F311" s="178" t="s">
        <v>301</v>
      </c>
      <c r="G311" s="180" t="s">
        <v>224</v>
      </c>
      <c r="H311" s="179" t="s">
        <v>165</v>
      </c>
      <c r="I311" s="178" t="s">
        <v>302</v>
      </c>
      <c r="J311" s="178" t="s">
        <v>303</v>
      </c>
      <c r="K311" s="78"/>
      <c r="L311" s="287" t="str">
        <f>CONCATENATE(C311," ",D311," ",E311," ",F311," ",C312," ",D312," ",E312," ",F312)</f>
        <v xml:space="preserve">UC2 C1 Realizar el procesamiento y transmisión de la información y/o documentación, teniendo en cuenta los medios adecuados,  la confiabilidad,  en función a los objetivos de la organización y procedimientos establecidos.    </v>
      </c>
      <c r="M311" s="286" t="str">
        <f t="shared" si="4"/>
        <v>C1 I1 Identifica  el flujo de información  en función a los objetivos de la organización y procedimientos establecidos.</v>
      </c>
    </row>
    <row r="312" spans="1:13" s="53" customFormat="1" ht="84.75" customHeight="1" x14ac:dyDescent="0.25">
      <c r="A312" s="383"/>
      <c r="B312" s="379"/>
      <c r="C312" s="236"/>
      <c r="D312" s="237"/>
      <c r="E312" s="195"/>
      <c r="F312" s="238"/>
      <c r="G312" s="180" t="s">
        <v>170</v>
      </c>
      <c r="H312" s="179" t="s">
        <v>304</v>
      </c>
      <c r="I312" s="178" t="s">
        <v>305</v>
      </c>
      <c r="J312" s="178" t="s">
        <v>306</v>
      </c>
      <c r="K312" s="78"/>
      <c r="L312" s="288"/>
      <c r="M312" s="286" t="str">
        <f t="shared" si="4"/>
        <v>C1 I2 Procesa  la información  utilizando los medios electrónicos y digitales, teniendo en la confiabilidad  y procedimientos establecidos.</v>
      </c>
    </row>
    <row r="313" spans="1:13" s="53" customFormat="1" ht="95.25" customHeight="1" x14ac:dyDescent="0.25">
      <c r="A313" s="383"/>
      <c r="B313" s="379"/>
      <c r="C313" s="236"/>
      <c r="D313" s="237"/>
      <c r="E313" s="195"/>
      <c r="F313" s="238"/>
      <c r="G313" s="180" t="s">
        <v>229</v>
      </c>
      <c r="H313" s="179" t="s">
        <v>307</v>
      </c>
      <c r="I313" s="178" t="s">
        <v>308</v>
      </c>
      <c r="J313" s="178" t="s">
        <v>301</v>
      </c>
      <c r="K313" s="78"/>
      <c r="L313" s="288"/>
      <c r="M313" s="286" t="str">
        <f t="shared" si="4"/>
        <v>C1 I3 Transmite  la información y/o documentación teniendo en cuenta los medios adecuados,  la confiabilidad,  en función a los objetivos de la organización y procedimientos establecidos.</v>
      </c>
    </row>
    <row r="314" spans="1:13" s="53" customFormat="1" ht="114" customHeight="1" x14ac:dyDescent="0.25">
      <c r="A314" s="383"/>
      <c r="B314" s="379"/>
      <c r="C314" s="236"/>
      <c r="D314" s="237"/>
      <c r="E314" s="195"/>
      <c r="F314" s="238"/>
      <c r="G314" s="180" t="s">
        <v>233</v>
      </c>
      <c r="H314" s="179" t="s">
        <v>176</v>
      </c>
      <c r="I314" s="178" t="s">
        <v>309</v>
      </c>
      <c r="J314" s="178" t="s">
        <v>301</v>
      </c>
      <c r="K314" s="78"/>
      <c r="L314" s="288"/>
      <c r="M314" s="286" t="str">
        <f t="shared" si="4"/>
        <v>C1 I4 Ejecuta  el control de la información  teniendo en cuenta los medios adecuados,  la confiabilidad,  en función a los objetivos de la organización y procedimientos establecidos.</v>
      </c>
    </row>
    <row r="315" spans="1:13" s="53" customFormat="1" hidden="1" x14ac:dyDescent="0.2">
      <c r="A315" s="383"/>
      <c r="B315" s="379"/>
      <c r="C315" s="174"/>
      <c r="D315" s="175"/>
      <c r="E315" s="176"/>
      <c r="F315" s="177"/>
      <c r="G315" s="171"/>
      <c r="H315" s="173"/>
      <c r="I315" s="172"/>
      <c r="J315" s="172"/>
      <c r="K315" s="78"/>
      <c r="L315" s="110"/>
      <c r="M315" s="105" t="str">
        <f t="shared" si="4"/>
        <v xml:space="preserve">   </v>
      </c>
    </row>
    <row r="316" spans="1:13" s="53" customFormat="1" hidden="1" x14ac:dyDescent="0.2">
      <c r="A316" s="383"/>
      <c r="B316" s="379"/>
      <c r="C316" s="174"/>
      <c r="D316" s="175"/>
      <c r="E316" s="176"/>
      <c r="F316" s="177"/>
      <c r="G316" s="171"/>
      <c r="H316" s="173"/>
      <c r="I316" s="172"/>
      <c r="J316" s="172"/>
      <c r="K316" s="78"/>
      <c r="L316" s="110"/>
      <c r="M316" s="105" t="str">
        <f t="shared" si="4"/>
        <v xml:space="preserve">   </v>
      </c>
    </row>
    <row r="317" spans="1:13" s="53" customFormat="1" hidden="1" x14ac:dyDescent="0.2">
      <c r="A317" s="383"/>
      <c r="B317" s="379"/>
      <c r="C317" s="106"/>
      <c r="D317" s="107"/>
      <c r="E317" s="108"/>
      <c r="F317" s="109"/>
      <c r="G317" s="103"/>
      <c r="H317" s="103"/>
      <c r="I317" s="102"/>
      <c r="J317" s="102"/>
      <c r="K317" s="78"/>
      <c r="L317" s="110"/>
      <c r="M317" s="105" t="str">
        <f t="shared" si="4"/>
        <v xml:space="preserve">   </v>
      </c>
    </row>
    <row r="318" spans="1:13" s="53" customFormat="1" hidden="1" x14ac:dyDescent="0.2">
      <c r="A318" s="383"/>
      <c r="B318" s="379"/>
      <c r="C318" s="106"/>
      <c r="D318" s="107"/>
      <c r="E318" s="108"/>
      <c r="F318" s="109"/>
      <c r="G318" s="103"/>
      <c r="H318" s="103"/>
      <c r="I318" s="102"/>
      <c r="J318" s="102"/>
      <c r="K318" s="78"/>
      <c r="L318" s="110"/>
      <c r="M318" s="105" t="str">
        <f t="shared" si="4"/>
        <v xml:space="preserve">   </v>
      </c>
    </row>
    <row r="319" spans="1:13" s="53" customFormat="1" hidden="1" x14ac:dyDescent="0.2">
      <c r="A319" s="383"/>
      <c r="B319" s="379"/>
      <c r="C319" s="106"/>
      <c r="D319" s="107"/>
      <c r="E319" s="108"/>
      <c r="F319" s="109"/>
      <c r="G319" s="103"/>
      <c r="H319" s="103"/>
      <c r="I319" s="102"/>
      <c r="J319" s="102"/>
      <c r="K319" s="78"/>
      <c r="L319" s="110"/>
      <c r="M319" s="105" t="str">
        <f t="shared" si="4"/>
        <v xml:space="preserve">   </v>
      </c>
    </row>
    <row r="320" spans="1:13" s="53" customFormat="1" hidden="1" x14ac:dyDescent="0.2">
      <c r="A320" s="383"/>
      <c r="B320" s="379"/>
      <c r="C320" s="106"/>
      <c r="D320" s="107"/>
      <c r="E320" s="108"/>
      <c r="F320" s="109"/>
      <c r="G320" s="103"/>
      <c r="H320" s="103"/>
      <c r="I320" s="102"/>
      <c r="J320" s="102"/>
      <c r="K320" s="78"/>
      <c r="L320" s="110"/>
      <c r="M320" s="105" t="str">
        <f t="shared" si="4"/>
        <v xml:space="preserve">   </v>
      </c>
    </row>
    <row r="321" spans="1:13" s="53" customFormat="1" ht="67.5" customHeight="1" x14ac:dyDescent="0.25">
      <c r="A321" s="383" t="s">
        <v>66</v>
      </c>
      <c r="B321" s="379" t="s">
        <v>88</v>
      </c>
      <c r="C321" s="171" t="s">
        <v>310</v>
      </c>
      <c r="D321" s="172" t="s">
        <v>166</v>
      </c>
      <c r="E321" s="172" t="s">
        <v>311</v>
      </c>
      <c r="F321" s="172" t="s">
        <v>312</v>
      </c>
      <c r="G321" s="171" t="s">
        <v>238</v>
      </c>
      <c r="H321" s="173" t="s">
        <v>313</v>
      </c>
      <c r="I321" s="172" t="s">
        <v>314</v>
      </c>
      <c r="J321" s="172" t="s">
        <v>312</v>
      </c>
      <c r="K321" s="78"/>
      <c r="L321" s="287" t="str">
        <f>CONCATENATE(C321," ",D321," ",E321," ",F321," ",C322," ",D322," ",E322," ",F322)</f>
        <v xml:space="preserve">UC2 C2 Ejecutar  actividades administrativas de apoyo2,  en función de los objetivos de la organización, los procedimientos establecidos y el área asignada.    </v>
      </c>
      <c r="M321" s="286" t="str">
        <f t="shared" si="4"/>
        <v>C2 I1 Notifica la culminación del trámite  documentario   en función de los objetivos de la organización, los procedimientos establecidos y el área asignada.</v>
      </c>
    </row>
    <row r="322" spans="1:13" s="53" customFormat="1" ht="69.75" customHeight="1" x14ac:dyDescent="0.25">
      <c r="A322" s="383"/>
      <c r="B322" s="379"/>
      <c r="C322" s="174"/>
      <c r="D322" s="227"/>
      <c r="E322" s="228"/>
      <c r="F322" s="229"/>
      <c r="G322" s="171" t="s">
        <v>172</v>
      </c>
      <c r="H322" s="173" t="s">
        <v>315</v>
      </c>
      <c r="I322" s="172" t="s">
        <v>316</v>
      </c>
      <c r="J322" s="172" t="s">
        <v>312</v>
      </c>
      <c r="K322" s="78"/>
      <c r="L322" s="288"/>
      <c r="M322" s="286" t="str">
        <f t="shared" si="4"/>
        <v>C2 I2 Digita  los documentos administrativos y/o comerciales en función de los objetivos de la organización, los procedimientos establecidos y el área asignada.</v>
      </c>
    </row>
    <row r="323" spans="1:13" s="53" customFormat="1" ht="65.25" customHeight="1" x14ac:dyDescent="0.25">
      <c r="A323" s="383"/>
      <c r="B323" s="379"/>
      <c r="C323" s="174"/>
      <c r="D323" s="175"/>
      <c r="E323" s="176"/>
      <c r="F323" s="177"/>
      <c r="G323" s="171" t="s">
        <v>243</v>
      </c>
      <c r="H323" s="173" t="s">
        <v>317</v>
      </c>
      <c r="I323" s="172" t="s">
        <v>316</v>
      </c>
      <c r="J323" s="172" t="s">
        <v>312</v>
      </c>
      <c r="K323" s="78"/>
      <c r="L323" s="288"/>
      <c r="M323" s="286" t="str">
        <f t="shared" si="4"/>
        <v>C2 I3 Imprime los documentos administrativos y/o comerciales en función de los objetivos de la organización, los procedimientos establecidos y el área asignada.</v>
      </c>
    </row>
    <row r="324" spans="1:13" s="53" customFormat="1" ht="66" customHeight="1" x14ac:dyDescent="0.25">
      <c r="A324" s="383"/>
      <c r="B324" s="379"/>
      <c r="C324" s="174"/>
      <c r="D324" s="227"/>
      <c r="E324" s="228"/>
      <c r="F324" s="229"/>
      <c r="G324" s="171" t="s">
        <v>244</v>
      </c>
      <c r="H324" s="173" t="s">
        <v>174</v>
      </c>
      <c r="I324" s="172" t="s">
        <v>318</v>
      </c>
      <c r="J324" s="172" t="s">
        <v>312</v>
      </c>
      <c r="K324" s="78"/>
      <c r="L324" s="288"/>
      <c r="M324" s="286" t="str">
        <f t="shared" si="4"/>
        <v>C2 I4 Realiza  el fotocopiado los documentos administrativos y/o comerciales en función de los objetivos de la organización, los procedimientos establecidos y el área asignada.</v>
      </c>
    </row>
    <row r="325" spans="1:13" s="53" customFormat="1" ht="69" customHeight="1" x14ac:dyDescent="0.25">
      <c r="A325" s="383"/>
      <c r="B325" s="379"/>
      <c r="C325" s="174"/>
      <c r="D325" s="175"/>
      <c r="E325" s="176"/>
      <c r="F325" s="177"/>
      <c r="G325" s="171" t="s">
        <v>319</v>
      </c>
      <c r="H325" s="173" t="s">
        <v>174</v>
      </c>
      <c r="I325" s="172" t="s">
        <v>320</v>
      </c>
      <c r="J325" s="172" t="s">
        <v>312</v>
      </c>
      <c r="K325" s="78"/>
      <c r="L325" s="288"/>
      <c r="M325" s="286" t="str">
        <f t="shared" si="4"/>
        <v>C2 I5 Realiza  el mantenimiento e higienes de los ambientes  en función de los objetivos de la organización, los procedimientos establecidos y el área asignada.</v>
      </c>
    </row>
    <row r="326" spans="1:13" s="53" customFormat="1" hidden="1" x14ac:dyDescent="0.2">
      <c r="A326" s="383"/>
      <c r="B326" s="379"/>
      <c r="C326" s="106"/>
      <c r="D326" s="107"/>
      <c r="E326" s="108"/>
      <c r="F326" s="109"/>
      <c r="G326" s="103"/>
      <c r="H326" s="103"/>
      <c r="I326" s="102"/>
      <c r="J326" s="102"/>
      <c r="K326" s="78"/>
      <c r="L326" s="110"/>
      <c r="M326" s="105" t="str">
        <f t="shared" si="4"/>
        <v xml:space="preserve">   </v>
      </c>
    </row>
    <row r="327" spans="1:13" s="53" customFormat="1" hidden="1" x14ac:dyDescent="0.2">
      <c r="A327" s="383"/>
      <c r="B327" s="379"/>
      <c r="C327" s="106"/>
      <c r="D327" s="107"/>
      <c r="E327" s="108"/>
      <c r="F327" s="109"/>
      <c r="G327" s="103"/>
      <c r="H327" s="103"/>
      <c r="I327" s="102"/>
      <c r="J327" s="102"/>
      <c r="K327" s="78"/>
      <c r="L327" s="110"/>
      <c r="M327" s="105" t="str">
        <f t="shared" si="4"/>
        <v xml:space="preserve">   </v>
      </c>
    </row>
    <row r="328" spans="1:13" s="53" customFormat="1" hidden="1" x14ac:dyDescent="0.2">
      <c r="A328" s="383"/>
      <c r="B328" s="379"/>
      <c r="C328" s="106"/>
      <c r="D328" s="107"/>
      <c r="E328" s="108"/>
      <c r="F328" s="109"/>
      <c r="G328" s="103"/>
      <c r="H328" s="103"/>
      <c r="I328" s="102"/>
      <c r="J328" s="102"/>
      <c r="K328" s="78"/>
      <c r="L328" s="110"/>
      <c r="M328" s="105" t="str">
        <f t="shared" si="4"/>
        <v xml:space="preserve">   </v>
      </c>
    </row>
    <row r="329" spans="1:13" s="53" customFormat="1" hidden="1" x14ac:dyDescent="0.2">
      <c r="A329" s="383"/>
      <c r="B329" s="379"/>
      <c r="C329" s="106"/>
      <c r="D329" s="107"/>
      <c r="E329" s="108"/>
      <c r="F329" s="109"/>
      <c r="G329" s="103"/>
      <c r="H329" s="103"/>
      <c r="I329" s="102"/>
      <c r="J329" s="102"/>
      <c r="K329" s="78"/>
      <c r="L329" s="110"/>
      <c r="M329" s="105" t="str">
        <f t="shared" si="4"/>
        <v xml:space="preserve">   </v>
      </c>
    </row>
    <row r="330" spans="1:13" s="53" customFormat="1" hidden="1" x14ac:dyDescent="0.2">
      <c r="A330" s="383"/>
      <c r="B330" s="379"/>
      <c r="C330" s="106"/>
      <c r="D330" s="107"/>
      <c r="E330" s="108"/>
      <c r="F330" s="109"/>
      <c r="G330" s="103"/>
      <c r="H330" s="103"/>
      <c r="I330" s="102"/>
      <c r="J330" s="102"/>
      <c r="K330" s="78"/>
      <c r="L330" s="110"/>
      <c r="M330" s="105" t="str">
        <f t="shared" si="4"/>
        <v xml:space="preserve">   </v>
      </c>
    </row>
    <row r="331" spans="1:13" s="53" customFormat="1" ht="72" customHeight="1" x14ac:dyDescent="0.25">
      <c r="A331" s="383" t="s">
        <v>66</v>
      </c>
      <c r="B331" s="379" t="s">
        <v>88</v>
      </c>
      <c r="C331" s="171" t="s">
        <v>321</v>
      </c>
      <c r="D331" s="172" t="s">
        <v>322</v>
      </c>
      <c r="E331" s="172" t="s">
        <v>323</v>
      </c>
      <c r="F331" s="172" t="s">
        <v>324</v>
      </c>
      <c r="G331" s="171" t="s">
        <v>251</v>
      </c>
      <c r="H331" s="173" t="s">
        <v>165</v>
      </c>
      <c r="I331" s="172" t="s">
        <v>325</v>
      </c>
      <c r="J331" s="172" t="s">
        <v>326</v>
      </c>
      <c r="K331" s="78"/>
      <c r="L331" s="287" t="str">
        <f>CONCATENATE(C331," ",D331," ",E331," ",F331," ",C332," ",D332," ",E332," ",F332)</f>
        <v xml:space="preserve">UC2 C3 Atender las comunicaciones, consultas, y/o centro de atención virtual,  utilizando los medios adecuados y protocolos de la organización.    </v>
      </c>
      <c r="M331" s="286" t="str">
        <f t="shared" ref="M331:M394" si="5">CONCATENATE(G331," ",H331," ",I331," ",J331)</f>
        <v xml:space="preserve">C3 I1 Identifica  la tipología del cliente  considerando las caracteríscas personales  y los protocolos de atención la organización </v>
      </c>
    </row>
    <row r="332" spans="1:13" s="53" customFormat="1" ht="36" customHeight="1" x14ac:dyDescent="0.25">
      <c r="A332" s="383"/>
      <c r="B332" s="379"/>
      <c r="C332" s="174"/>
      <c r="D332" s="175"/>
      <c r="E332" s="176"/>
      <c r="F332" s="177"/>
      <c r="G332" s="171" t="s">
        <v>253</v>
      </c>
      <c r="H332" s="173" t="s">
        <v>327</v>
      </c>
      <c r="I332" s="172" t="s">
        <v>328</v>
      </c>
      <c r="J332" s="172" t="s">
        <v>329</v>
      </c>
      <c r="K332" s="78"/>
      <c r="L332" s="288"/>
      <c r="M332" s="286" t="str">
        <f t="shared" si="5"/>
        <v xml:space="preserve">C3 I2 Maneja  los protocolos de atención al cliente según las políticas de la organización. </v>
      </c>
    </row>
    <row r="333" spans="1:13" s="53" customFormat="1" ht="41.25" customHeight="1" x14ac:dyDescent="0.25">
      <c r="A333" s="383"/>
      <c r="B333" s="379"/>
      <c r="C333" s="174"/>
      <c r="D333" s="175"/>
      <c r="E333" s="176"/>
      <c r="F333" s="177"/>
      <c r="G333" s="171" t="s">
        <v>256</v>
      </c>
      <c r="H333" s="173" t="s">
        <v>330</v>
      </c>
      <c r="I333" s="172" t="s">
        <v>331</v>
      </c>
      <c r="J333" s="172" t="s">
        <v>332</v>
      </c>
      <c r="K333" s="78"/>
      <c r="L333" s="288"/>
      <c r="M333" s="286" t="str">
        <f t="shared" si="5"/>
        <v>C3 I3 Recibe las llamadas telefónicas teniendo en cuenta las normas de cortesía.</v>
      </c>
    </row>
    <row r="334" spans="1:13" s="53" customFormat="1" ht="60.75" customHeight="1" x14ac:dyDescent="0.25">
      <c r="A334" s="383"/>
      <c r="B334" s="379"/>
      <c r="C334" s="174"/>
      <c r="D334" s="175"/>
      <c r="E334" s="176"/>
      <c r="F334" s="177"/>
      <c r="G334" s="171" t="s">
        <v>258</v>
      </c>
      <c r="H334" s="173" t="s">
        <v>174</v>
      </c>
      <c r="I334" s="172" t="s">
        <v>483</v>
      </c>
      <c r="J334" s="172" t="s">
        <v>333</v>
      </c>
      <c r="K334" s="78"/>
      <c r="L334" s="288"/>
      <c r="M334" s="286" t="str">
        <f t="shared" si="5"/>
        <v>C3 I4 Realiza  la identificación del mensaje recibido y la transmisión del mismo de acuerdo los protocolos establecidos y en función  a los objetivos de la organización.</v>
      </c>
    </row>
    <row r="335" spans="1:13" s="53" customFormat="1" ht="45.75" customHeight="1" x14ac:dyDescent="0.25">
      <c r="A335" s="383"/>
      <c r="B335" s="379"/>
      <c r="C335" s="174"/>
      <c r="D335" s="175"/>
      <c r="E335" s="176"/>
      <c r="F335" s="177"/>
      <c r="G335" s="171" t="s">
        <v>260</v>
      </c>
      <c r="H335" s="173" t="s">
        <v>176</v>
      </c>
      <c r="I335" s="172" t="s">
        <v>334</v>
      </c>
      <c r="J335" s="172" t="s">
        <v>335</v>
      </c>
      <c r="K335" s="78"/>
      <c r="L335" s="288"/>
      <c r="M335" s="286" t="str">
        <f t="shared" si="5"/>
        <v>C3 I5 Ejecuta  la atención al cliente considerando la imagen y protocolos de la organización.</v>
      </c>
    </row>
    <row r="336" spans="1:13" s="53" customFormat="1" hidden="1" x14ac:dyDescent="0.2">
      <c r="A336" s="383"/>
      <c r="B336" s="379"/>
      <c r="C336" s="106"/>
      <c r="D336" s="107"/>
      <c r="E336" s="108"/>
      <c r="F336" s="109"/>
      <c r="G336" s="103"/>
      <c r="H336" s="103"/>
      <c r="I336" s="102"/>
      <c r="J336" s="102"/>
      <c r="K336" s="78"/>
      <c r="L336" s="110"/>
      <c r="M336" s="105" t="str">
        <f t="shared" si="5"/>
        <v xml:space="preserve">   </v>
      </c>
    </row>
    <row r="337" spans="1:13" s="53" customFormat="1" hidden="1" x14ac:dyDescent="0.2">
      <c r="A337" s="383"/>
      <c r="B337" s="379"/>
      <c r="C337" s="106"/>
      <c r="D337" s="107"/>
      <c r="E337" s="108"/>
      <c r="F337" s="109"/>
      <c r="G337" s="103"/>
      <c r="H337" s="103"/>
      <c r="I337" s="102"/>
      <c r="J337" s="102"/>
      <c r="K337" s="78"/>
      <c r="L337" s="110"/>
      <c r="M337" s="105" t="str">
        <f t="shared" si="5"/>
        <v xml:space="preserve">   </v>
      </c>
    </row>
    <row r="338" spans="1:13" s="53" customFormat="1" hidden="1" x14ac:dyDescent="0.2">
      <c r="A338" s="383"/>
      <c r="B338" s="379"/>
      <c r="C338" s="106"/>
      <c r="D338" s="107"/>
      <c r="E338" s="108"/>
      <c r="F338" s="109"/>
      <c r="G338" s="103"/>
      <c r="H338" s="103"/>
      <c r="I338" s="102"/>
      <c r="J338" s="102"/>
      <c r="K338" s="78"/>
      <c r="L338" s="110"/>
      <c r="M338" s="105" t="str">
        <f t="shared" si="5"/>
        <v xml:space="preserve">   </v>
      </c>
    </row>
    <row r="339" spans="1:13" s="53" customFormat="1" hidden="1" x14ac:dyDescent="0.2">
      <c r="A339" s="383"/>
      <c r="B339" s="379"/>
      <c r="C339" s="106"/>
      <c r="D339" s="107"/>
      <c r="E339" s="108"/>
      <c r="F339" s="109"/>
      <c r="G339" s="103"/>
      <c r="H339" s="103"/>
      <c r="I339" s="102"/>
      <c r="J339" s="102"/>
      <c r="K339" s="78"/>
      <c r="L339" s="110"/>
      <c r="M339" s="105" t="str">
        <f t="shared" si="5"/>
        <v xml:space="preserve">   </v>
      </c>
    </row>
    <row r="340" spans="1:13" s="53" customFormat="1" hidden="1" x14ac:dyDescent="0.2">
      <c r="A340" s="383"/>
      <c r="B340" s="379"/>
      <c r="C340" s="106"/>
      <c r="D340" s="107"/>
      <c r="E340" s="108"/>
      <c r="F340" s="109"/>
      <c r="G340" s="103"/>
      <c r="H340" s="103"/>
      <c r="I340" s="102"/>
      <c r="J340" s="102"/>
      <c r="K340" s="78"/>
      <c r="L340" s="110"/>
      <c r="M340" s="105" t="str">
        <f t="shared" si="5"/>
        <v xml:space="preserve">   </v>
      </c>
    </row>
    <row r="341" spans="1:13" s="53" customFormat="1" ht="67.5" customHeight="1" x14ac:dyDescent="0.25">
      <c r="A341" s="383" t="s">
        <v>66</v>
      </c>
      <c r="B341" s="379" t="s">
        <v>88</v>
      </c>
      <c r="C341" s="171" t="s">
        <v>336</v>
      </c>
      <c r="D341" s="172" t="s">
        <v>174</v>
      </c>
      <c r="E341" s="172" t="s">
        <v>337</v>
      </c>
      <c r="F341" s="172" t="s">
        <v>338</v>
      </c>
      <c r="G341" s="171" t="s">
        <v>375</v>
      </c>
      <c r="H341" s="173" t="s">
        <v>162</v>
      </c>
      <c r="I341" s="172" t="s">
        <v>339</v>
      </c>
      <c r="J341" s="172" t="s">
        <v>340</v>
      </c>
      <c r="K341" s="78"/>
      <c r="L341" s="287" t="str">
        <f>CONCATENATE(C341," ",D341," ",E341," ",F341," ",C342," ",D342," ",E342," ",F342)</f>
        <v xml:space="preserve">UC2 C4 Realiza  la revisisón de información y/o documentación  en función a los requerimientos de la organización y procedimientos establecidos.    </v>
      </c>
      <c r="M341" s="286" t="str">
        <f t="shared" si="5"/>
        <v xml:space="preserve">C4 I1 Clasifica  la documentación (recibida y remitida) y la atención brindada según los procedimientos y  políticas de la organización. </v>
      </c>
    </row>
    <row r="342" spans="1:13" s="53" customFormat="1" ht="49.5" customHeight="1" x14ac:dyDescent="0.25">
      <c r="A342" s="383"/>
      <c r="B342" s="379"/>
      <c r="C342" s="174"/>
      <c r="D342" s="175"/>
      <c r="E342" s="176"/>
      <c r="F342" s="177"/>
      <c r="G342" s="171" t="s">
        <v>378</v>
      </c>
      <c r="H342" s="173" t="s">
        <v>341</v>
      </c>
      <c r="I342" s="172" t="s">
        <v>342</v>
      </c>
      <c r="J342" s="172" t="s">
        <v>340</v>
      </c>
      <c r="K342" s="78"/>
      <c r="L342" s="288"/>
      <c r="M342" s="286" t="str">
        <f t="shared" si="5"/>
        <v xml:space="preserve">C4 I2 Revisa la información y/o documentación  según los procedimientos y  políticas de la organización. </v>
      </c>
    </row>
    <row r="343" spans="1:13" s="53" customFormat="1" ht="54.75" customHeight="1" x14ac:dyDescent="0.25">
      <c r="A343" s="383"/>
      <c r="B343" s="379"/>
      <c r="C343" s="174"/>
      <c r="D343" s="175"/>
      <c r="E343" s="176"/>
      <c r="F343" s="177"/>
      <c r="G343" s="171" t="s">
        <v>490</v>
      </c>
      <c r="H343" s="173" t="s">
        <v>168</v>
      </c>
      <c r="I343" s="172" t="s">
        <v>343</v>
      </c>
      <c r="J343" s="172" t="s">
        <v>340</v>
      </c>
      <c r="K343" s="78"/>
      <c r="L343" s="288"/>
      <c r="M343" s="286" t="str">
        <f t="shared" si="5"/>
        <v xml:space="preserve">C4 I3 Elabora  el registro de la atención brindada  según los procedimientos y  políticas de la organización. </v>
      </c>
    </row>
    <row r="344" spans="1:13" s="53" customFormat="1" hidden="1" x14ac:dyDescent="0.2">
      <c r="A344" s="383"/>
      <c r="B344" s="379"/>
      <c r="C344" s="174"/>
      <c r="D344" s="175"/>
      <c r="E344" s="176"/>
      <c r="F344" s="177"/>
      <c r="G344" s="171"/>
      <c r="H344" s="173"/>
      <c r="I344" s="172"/>
      <c r="J344" s="172"/>
      <c r="K344" s="78"/>
      <c r="L344" s="110"/>
      <c r="M344" s="105" t="str">
        <f t="shared" si="5"/>
        <v xml:space="preserve">   </v>
      </c>
    </row>
    <row r="345" spans="1:13" s="53" customFormat="1" hidden="1" x14ac:dyDescent="0.2">
      <c r="A345" s="383"/>
      <c r="B345" s="379"/>
      <c r="C345" s="106"/>
      <c r="D345" s="107"/>
      <c r="E345" s="108"/>
      <c r="F345" s="109"/>
      <c r="G345" s="103"/>
      <c r="H345" s="103"/>
      <c r="I345" s="102"/>
      <c r="J345" s="102"/>
      <c r="K345" s="78"/>
      <c r="L345" s="110"/>
      <c r="M345" s="105" t="str">
        <f t="shared" si="5"/>
        <v xml:space="preserve">   </v>
      </c>
    </row>
    <row r="346" spans="1:13" s="53" customFormat="1" hidden="1" x14ac:dyDescent="0.2">
      <c r="A346" s="383"/>
      <c r="B346" s="379"/>
      <c r="C346" s="106"/>
      <c r="D346" s="107"/>
      <c r="E346" s="108"/>
      <c r="F346" s="109"/>
      <c r="G346" s="103"/>
      <c r="H346" s="103"/>
      <c r="I346" s="102"/>
      <c r="J346" s="102"/>
      <c r="K346" s="78"/>
      <c r="L346" s="110"/>
      <c r="M346" s="105" t="str">
        <f t="shared" si="5"/>
        <v xml:space="preserve">   </v>
      </c>
    </row>
    <row r="347" spans="1:13" s="53" customFormat="1" hidden="1" x14ac:dyDescent="0.2">
      <c r="A347" s="383"/>
      <c r="B347" s="379"/>
      <c r="C347" s="106"/>
      <c r="D347" s="107"/>
      <c r="E347" s="108"/>
      <c r="F347" s="109"/>
      <c r="G347" s="103"/>
      <c r="H347" s="103"/>
      <c r="I347" s="102"/>
      <c r="J347" s="102"/>
      <c r="K347" s="78"/>
      <c r="L347" s="110"/>
      <c r="M347" s="105" t="str">
        <f t="shared" si="5"/>
        <v xml:space="preserve">   </v>
      </c>
    </row>
    <row r="348" spans="1:13" s="53" customFormat="1" hidden="1" x14ac:dyDescent="0.2">
      <c r="A348" s="383"/>
      <c r="B348" s="379"/>
      <c r="C348" s="106"/>
      <c r="D348" s="107"/>
      <c r="E348" s="108"/>
      <c r="F348" s="109"/>
      <c r="G348" s="103"/>
      <c r="H348" s="103"/>
      <c r="I348" s="102"/>
      <c r="J348" s="102"/>
      <c r="K348" s="78"/>
      <c r="L348" s="110"/>
      <c r="M348" s="105" t="str">
        <f t="shared" si="5"/>
        <v xml:space="preserve">   </v>
      </c>
    </row>
    <row r="349" spans="1:13" s="53" customFormat="1" hidden="1" x14ac:dyDescent="0.2">
      <c r="A349" s="383"/>
      <c r="B349" s="379"/>
      <c r="C349" s="106"/>
      <c r="D349" s="107"/>
      <c r="E349" s="108"/>
      <c r="F349" s="109"/>
      <c r="G349" s="103"/>
      <c r="H349" s="103"/>
      <c r="I349" s="102"/>
      <c r="J349" s="102"/>
      <c r="K349" s="78"/>
      <c r="L349" s="110"/>
      <c r="M349" s="105" t="str">
        <f t="shared" si="5"/>
        <v xml:space="preserve">   </v>
      </c>
    </row>
    <row r="350" spans="1:13" s="53" customFormat="1" hidden="1" x14ac:dyDescent="0.2">
      <c r="A350" s="383"/>
      <c r="B350" s="379"/>
      <c r="C350" s="106"/>
      <c r="D350" s="107"/>
      <c r="E350" s="108"/>
      <c r="F350" s="109"/>
      <c r="G350" s="103"/>
      <c r="H350" s="103"/>
      <c r="I350" s="102"/>
      <c r="J350" s="102"/>
      <c r="K350" s="78"/>
      <c r="L350" s="110"/>
      <c r="M350" s="105" t="str">
        <f t="shared" si="5"/>
        <v xml:space="preserve">   </v>
      </c>
    </row>
    <row r="351" spans="1:13" s="53" customFormat="1" ht="57.75" customHeight="1" x14ac:dyDescent="0.25">
      <c r="A351" s="383" t="s">
        <v>66</v>
      </c>
      <c r="B351" s="379" t="s">
        <v>88</v>
      </c>
      <c r="C351" s="102" t="s">
        <v>344</v>
      </c>
      <c r="D351" s="181" t="s">
        <v>345</v>
      </c>
      <c r="E351" s="181" t="s">
        <v>346</v>
      </c>
      <c r="F351" s="178" t="s">
        <v>347</v>
      </c>
      <c r="G351" s="182" t="s">
        <v>224</v>
      </c>
      <c r="H351" s="182" t="s">
        <v>163</v>
      </c>
      <c r="I351" s="178" t="s">
        <v>348</v>
      </c>
      <c r="J351" s="178" t="s">
        <v>349</v>
      </c>
      <c r="K351" s="78"/>
      <c r="L351" s="287" t="str">
        <f>CONCATENATE(C351," ",D351," ",E351," ",F351," ",C352," ",D352," ",E352," ",F352)</f>
        <v>UC3 C1 Organizar  el sistema de gestión de archivos según políticas de la organización y normativa vigente. UC3 C2 Realizar  la clasificación de documentos según políticas de la organización y normativa vigente.</v>
      </c>
      <c r="M351" s="286" t="str">
        <f t="shared" si="5"/>
        <v>C1 I1 Explica  el sistema de gestión de archivos, tipos y características del sistema de archivo y flujo de archivos de gestión según políticas de la organización.</v>
      </c>
    </row>
    <row r="352" spans="1:13" s="53" customFormat="1" ht="38.25" x14ac:dyDescent="0.25">
      <c r="A352" s="383"/>
      <c r="B352" s="379"/>
      <c r="C352" s="102" t="s">
        <v>350</v>
      </c>
      <c r="D352" s="181" t="s">
        <v>164</v>
      </c>
      <c r="E352" s="181" t="s">
        <v>351</v>
      </c>
      <c r="F352" s="178" t="s">
        <v>347</v>
      </c>
      <c r="G352" s="182" t="s">
        <v>170</v>
      </c>
      <c r="H352" s="182" t="s">
        <v>165</v>
      </c>
      <c r="I352" s="178" t="s">
        <v>352</v>
      </c>
      <c r="J352" s="178" t="s">
        <v>353</v>
      </c>
      <c r="K352" s="78"/>
      <c r="L352" s="288"/>
      <c r="M352" s="286" t="str">
        <f t="shared" si="5"/>
        <v>C1 I2 Identifica  los equipos y materiales, elementos de bioseguridad  empleados en los sistemas de archivos</v>
      </c>
    </row>
    <row r="353" spans="1:13" s="53" customFormat="1" ht="51" x14ac:dyDescent="0.25">
      <c r="A353" s="383"/>
      <c r="B353" s="379"/>
      <c r="C353" s="174"/>
      <c r="D353" s="237"/>
      <c r="E353" s="195"/>
      <c r="F353" s="238"/>
      <c r="G353" s="182" t="s">
        <v>229</v>
      </c>
      <c r="H353" s="182" t="s">
        <v>354</v>
      </c>
      <c r="I353" s="178" t="s">
        <v>355</v>
      </c>
      <c r="J353" s="178" t="s">
        <v>356</v>
      </c>
      <c r="K353" s="78"/>
      <c r="L353" s="288"/>
      <c r="M353" s="286" t="str">
        <f t="shared" si="5"/>
        <v>C1 I3 Utiliza los equipos y materiales para un determinado sistema de archivo según los requerimientos de la organización.</v>
      </c>
    </row>
    <row r="354" spans="1:13" s="53" customFormat="1" ht="25.5" x14ac:dyDescent="0.25">
      <c r="A354" s="383"/>
      <c r="B354" s="379"/>
      <c r="C354" s="174"/>
      <c r="D354" s="176"/>
      <c r="E354" s="176"/>
      <c r="F354" s="176"/>
      <c r="G354" s="182" t="s">
        <v>233</v>
      </c>
      <c r="H354" s="182" t="s">
        <v>234</v>
      </c>
      <c r="I354" s="178" t="s">
        <v>357</v>
      </c>
      <c r="J354" s="178" t="s">
        <v>358</v>
      </c>
      <c r="K354" s="78"/>
      <c r="L354" s="288"/>
      <c r="M354" s="286" t="str">
        <f t="shared" si="5"/>
        <v xml:space="preserve">C1 I4 Realiza la organización del sistema de gestión de archivo  aplicando normas de bioseguridad. </v>
      </c>
    </row>
    <row r="355" spans="1:13" s="53" customFormat="1" ht="38.25" x14ac:dyDescent="0.25">
      <c r="A355" s="383"/>
      <c r="B355" s="379"/>
      <c r="C355" s="174"/>
      <c r="D355" s="175"/>
      <c r="E355" s="176"/>
      <c r="F355" s="177"/>
      <c r="G355" s="182" t="s">
        <v>238</v>
      </c>
      <c r="H355" s="182" t="s">
        <v>174</v>
      </c>
      <c r="I355" s="178" t="s">
        <v>359</v>
      </c>
      <c r="J355" s="178" t="s">
        <v>347</v>
      </c>
      <c r="K355" s="78"/>
      <c r="L355" s="288"/>
      <c r="M355" s="286" t="str">
        <f t="shared" si="5"/>
        <v>C2 I1 Realiza  la identificación y ordenamiento de la documentación  según políticas de la organización y normativa vigente.</v>
      </c>
    </row>
    <row r="356" spans="1:13" s="53" customFormat="1" ht="38.25" x14ac:dyDescent="0.25">
      <c r="A356" s="383"/>
      <c r="B356" s="379"/>
      <c r="C356" s="174"/>
      <c r="D356" s="175"/>
      <c r="E356" s="176"/>
      <c r="F356" s="177"/>
      <c r="G356" s="182" t="s">
        <v>172</v>
      </c>
      <c r="H356" s="182" t="s">
        <v>174</v>
      </c>
      <c r="I356" s="178" t="s">
        <v>468</v>
      </c>
      <c r="J356" s="178" t="s">
        <v>469</v>
      </c>
      <c r="K356" s="78"/>
      <c r="L356" s="288"/>
      <c r="M356" s="286" t="str">
        <f t="shared" si="5"/>
        <v>C2 I2 Realiza  la foliación y/o depuración de la documentación  según el sistema de archivo  de la organización y normativa vigente.</v>
      </c>
    </row>
    <row r="357" spans="1:13" s="53" customFormat="1" ht="38.25" x14ac:dyDescent="0.25">
      <c r="A357" s="383"/>
      <c r="B357" s="379"/>
      <c r="C357" s="174"/>
      <c r="D357" s="175"/>
      <c r="E357" s="176"/>
      <c r="F357" s="177"/>
      <c r="G357" s="182" t="s">
        <v>243</v>
      </c>
      <c r="H357" s="182" t="s">
        <v>360</v>
      </c>
      <c r="I357" s="181" t="s">
        <v>361</v>
      </c>
      <c r="J357" s="178" t="s">
        <v>362</v>
      </c>
      <c r="K357" s="78"/>
      <c r="L357" s="288"/>
      <c r="M357" s="286" t="str">
        <f t="shared" si="5"/>
        <v>C2 I3 Codifica la documentación y/o archivos según el sistema de archivo de la organización y normativa vigente.</v>
      </c>
    </row>
    <row r="358" spans="1:13" s="53" customFormat="1" hidden="1" x14ac:dyDescent="0.2">
      <c r="A358" s="383"/>
      <c r="B358" s="379"/>
      <c r="C358" s="106"/>
      <c r="D358" s="107"/>
      <c r="E358" s="108"/>
      <c r="F358" s="109"/>
      <c r="G358" s="103"/>
      <c r="H358" s="103"/>
      <c r="I358" s="102"/>
      <c r="J358" s="102"/>
      <c r="K358" s="78"/>
      <c r="L358" s="110"/>
      <c r="M358" s="105" t="str">
        <f t="shared" si="5"/>
        <v xml:space="preserve">   </v>
      </c>
    </row>
    <row r="359" spans="1:13" s="53" customFormat="1" hidden="1" x14ac:dyDescent="0.2">
      <c r="A359" s="383"/>
      <c r="B359" s="379"/>
      <c r="C359" s="106"/>
      <c r="D359" s="107"/>
      <c r="E359" s="108"/>
      <c r="F359" s="109"/>
      <c r="G359" s="103"/>
      <c r="H359" s="103"/>
      <c r="I359" s="102"/>
      <c r="J359" s="102"/>
      <c r="K359" s="78"/>
      <c r="L359" s="110"/>
      <c r="M359" s="105" t="str">
        <f t="shared" si="5"/>
        <v xml:space="preserve">   </v>
      </c>
    </row>
    <row r="360" spans="1:13" s="53" customFormat="1" hidden="1" x14ac:dyDescent="0.2">
      <c r="A360" s="383"/>
      <c r="B360" s="379"/>
      <c r="C360" s="106"/>
      <c r="D360" s="107"/>
      <c r="E360" s="108"/>
      <c r="F360" s="109"/>
      <c r="G360" s="103"/>
      <c r="H360" s="103"/>
      <c r="I360" s="102"/>
      <c r="J360" s="102"/>
      <c r="K360" s="78"/>
      <c r="L360" s="110"/>
      <c r="M360" s="105" t="str">
        <f t="shared" si="5"/>
        <v xml:space="preserve">   </v>
      </c>
    </row>
    <row r="361" spans="1:13" s="53" customFormat="1" ht="51" customHeight="1" x14ac:dyDescent="0.25">
      <c r="A361" s="383" t="s">
        <v>66</v>
      </c>
      <c r="B361" s="379" t="s">
        <v>88</v>
      </c>
      <c r="C361" s="102" t="s">
        <v>363</v>
      </c>
      <c r="D361" s="102" t="s">
        <v>364</v>
      </c>
      <c r="E361" s="102" t="s">
        <v>365</v>
      </c>
      <c r="F361" s="178" t="s">
        <v>347</v>
      </c>
      <c r="G361" s="182" t="s">
        <v>251</v>
      </c>
      <c r="H361" s="182" t="s">
        <v>366</v>
      </c>
      <c r="I361" s="181" t="s">
        <v>361</v>
      </c>
      <c r="J361" s="178" t="s">
        <v>362</v>
      </c>
      <c r="K361" s="78"/>
      <c r="L361" s="287" t="str">
        <f>CONCATENATE(C361," ",D361," ",E361," ",F361," ",C362," ",D362," ",E362," ",F362)</f>
        <v>UC3 C3 Archivar los documentos de gestión  según políticas de la organización y normativa vigente. UC3 C4 Realizar  el archivo, mantenimiento y conservación de los documentos según políticas de la organización y normativa vigente.</v>
      </c>
      <c r="M361" s="286" t="str">
        <f t="shared" si="5"/>
        <v>C3 I1 Rotula  la documentación y/o archivos según el sistema de archivo de la organización y normativa vigente.</v>
      </c>
    </row>
    <row r="362" spans="1:13" s="53" customFormat="1" ht="38.25" x14ac:dyDescent="0.25">
      <c r="A362" s="383"/>
      <c r="B362" s="379"/>
      <c r="C362" s="102" t="s">
        <v>367</v>
      </c>
      <c r="D362" s="102" t="s">
        <v>164</v>
      </c>
      <c r="E362" s="102" t="s">
        <v>370</v>
      </c>
      <c r="F362" s="178" t="s">
        <v>347</v>
      </c>
      <c r="G362" s="182" t="s">
        <v>253</v>
      </c>
      <c r="H362" s="246" t="s">
        <v>234</v>
      </c>
      <c r="I362" s="178" t="s">
        <v>368</v>
      </c>
      <c r="J362" s="178" t="s">
        <v>369</v>
      </c>
      <c r="K362" s="78"/>
      <c r="L362" s="288"/>
      <c r="M362" s="286" t="str">
        <f t="shared" si="5"/>
        <v>C3 I2 Realiza el empastado o cocido de achivos documentarios de acuerdo a los procedimientos de la organización.</v>
      </c>
    </row>
    <row r="363" spans="1:13" s="53" customFormat="1" ht="50.25" customHeight="1" x14ac:dyDescent="0.25">
      <c r="A363" s="383"/>
      <c r="B363" s="379"/>
      <c r="C363" s="174"/>
      <c r="D363" s="233"/>
      <c r="E363" s="234"/>
      <c r="F363" s="177"/>
      <c r="G363" s="182" t="s">
        <v>256</v>
      </c>
      <c r="H363" s="182" t="s">
        <v>371</v>
      </c>
      <c r="I363" s="178" t="s">
        <v>316</v>
      </c>
      <c r="J363" s="178" t="s">
        <v>372</v>
      </c>
      <c r="K363" s="78"/>
      <c r="L363" s="288"/>
      <c r="M363" s="286" t="str">
        <f t="shared" si="5"/>
        <v>C3 I3 Archiva los documentos administrativos y/o comerciales teniendo en cuenta los criterios establecidos en la organización.</v>
      </c>
    </row>
    <row r="364" spans="1:13" s="53" customFormat="1" ht="39.75" customHeight="1" x14ac:dyDescent="0.25">
      <c r="A364" s="383"/>
      <c r="B364" s="379"/>
      <c r="C364" s="174"/>
      <c r="D364" s="237"/>
      <c r="E364" s="239"/>
      <c r="F364" s="238"/>
      <c r="G364" s="182" t="s">
        <v>258</v>
      </c>
      <c r="H364" s="182" t="s">
        <v>234</v>
      </c>
      <c r="I364" s="178" t="s">
        <v>373</v>
      </c>
      <c r="J364" s="178" t="s">
        <v>374</v>
      </c>
      <c r="K364" s="78"/>
      <c r="L364" s="288"/>
      <c r="M364" s="286" t="str">
        <f t="shared" si="5"/>
        <v>C3 I4 Realiza la consulta y localización de los documentos teniendo en cuenta la información almacenada.</v>
      </c>
    </row>
    <row r="365" spans="1:13" s="53" customFormat="1" ht="54" customHeight="1" x14ac:dyDescent="0.25">
      <c r="A365" s="383"/>
      <c r="B365" s="379"/>
      <c r="C365" s="174"/>
      <c r="D365" s="175"/>
      <c r="E365" s="176"/>
      <c r="F365" s="177"/>
      <c r="G365" s="182" t="s">
        <v>375</v>
      </c>
      <c r="H365" s="103" t="s">
        <v>376</v>
      </c>
      <c r="I365" s="172" t="s">
        <v>377</v>
      </c>
      <c r="J365" s="178" t="s">
        <v>347</v>
      </c>
      <c r="K365" s="78"/>
      <c r="L365" s="288"/>
      <c r="M365" s="286" t="str">
        <f t="shared" si="5"/>
        <v>C4 I1 Explica el procedimiento de conservación y mantenimiento de los archivos documentarios según políticas de la organización y normativa vigente.</v>
      </c>
    </row>
    <row r="366" spans="1:13" s="53" customFormat="1" ht="59.25" customHeight="1" x14ac:dyDescent="0.25">
      <c r="A366" s="383"/>
      <c r="B366" s="379"/>
      <c r="C366" s="174"/>
      <c r="D366" s="175"/>
      <c r="E366" s="176"/>
      <c r="F366" s="177"/>
      <c r="G366" s="182" t="s">
        <v>378</v>
      </c>
      <c r="H366" s="103" t="s">
        <v>176</v>
      </c>
      <c r="I366" s="172" t="s">
        <v>377</v>
      </c>
      <c r="J366" s="178" t="s">
        <v>347</v>
      </c>
      <c r="K366" s="78"/>
      <c r="L366" s="288"/>
      <c r="M366" s="286" t="str">
        <f t="shared" si="5"/>
        <v>C4 I2 Ejecuta  el procedimiento de conservación y mantenimiento de los archivos documentarios según políticas de la organización y normativa vigente.</v>
      </c>
    </row>
    <row r="367" spans="1:13" s="53" customFormat="1" hidden="1" x14ac:dyDescent="0.2">
      <c r="A367" s="383"/>
      <c r="B367" s="379"/>
      <c r="C367" s="106"/>
      <c r="D367" s="107"/>
      <c r="E367" s="108"/>
      <c r="F367" s="109"/>
      <c r="G367" s="103"/>
      <c r="H367" s="103"/>
      <c r="I367" s="102"/>
      <c r="J367" s="102"/>
      <c r="K367" s="78"/>
      <c r="L367" s="110"/>
      <c r="M367" s="105" t="str">
        <f t="shared" si="5"/>
        <v xml:space="preserve">   </v>
      </c>
    </row>
    <row r="368" spans="1:13" s="53" customFormat="1" hidden="1" x14ac:dyDescent="0.2">
      <c r="A368" s="383"/>
      <c r="B368" s="379"/>
      <c r="C368" s="106"/>
      <c r="D368" s="107"/>
      <c r="E368" s="108"/>
      <c r="F368" s="109"/>
      <c r="G368" s="103"/>
      <c r="H368" s="103"/>
      <c r="I368" s="102"/>
      <c r="J368" s="102"/>
      <c r="K368" s="78"/>
      <c r="L368" s="110"/>
      <c r="M368" s="105" t="str">
        <f t="shared" si="5"/>
        <v xml:space="preserve">   </v>
      </c>
    </row>
    <row r="369" spans="1:13" s="53" customFormat="1" hidden="1" x14ac:dyDescent="0.2">
      <c r="A369" s="383"/>
      <c r="B369" s="379"/>
      <c r="C369" s="106"/>
      <c r="D369" s="107"/>
      <c r="E369" s="108"/>
      <c r="F369" s="109"/>
      <c r="G369" s="103"/>
      <c r="H369" s="103"/>
      <c r="I369" s="102"/>
      <c r="J369" s="102"/>
      <c r="K369" s="78"/>
      <c r="L369" s="110"/>
      <c r="M369" s="105" t="str">
        <f t="shared" si="5"/>
        <v xml:space="preserve">   </v>
      </c>
    </row>
    <row r="370" spans="1:13" s="53" customFormat="1" hidden="1" x14ac:dyDescent="0.2">
      <c r="A370" s="383"/>
      <c r="B370" s="379"/>
      <c r="C370" s="106"/>
      <c r="D370" s="107"/>
      <c r="E370" s="108"/>
      <c r="F370" s="109"/>
      <c r="G370" s="103"/>
      <c r="H370" s="103"/>
      <c r="I370" s="102"/>
      <c r="J370" s="102"/>
      <c r="K370" s="78"/>
      <c r="L370" s="110"/>
      <c r="M370" s="105" t="str">
        <f t="shared" si="5"/>
        <v xml:space="preserve">   </v>
      </c>
    </row>
    <row r="371" spans="1:13" s="53" customFormat="1" ht="12.75" hidden="1" customHeight="1" x14ac:dyDescent="0.2">
      <c r="A371" s="383" t="s">
        <v>66</v>
      </c>
      <c r="B371" s="379" t="s">
        <v>88</v>
      </c>
      <c r="C371" s="102"/>
      <c r="D371" s="102"/>
      <c r="E371" s="102"/>
      <c r="F371" s="102"/>
      <c r="G371" s="103"/>
      <c r="H371" s="103"/>
      <c r="I371" s="102"/>
      <c r="J371" s="102"/>
      <c r="K371" s="78"/>
      <c r="L371" s="104" t="str">
        <f>CONCATENATE(C371," ",D371," ",E371," ",F371," ",C372," ",D372," ",E372," ",F372)</f>
        <v xml:space="preserve">       </v>
      </c>
      <c r="M371" s="105" t="str">
        <f t="shared" si="5"/>
        <v xml:space="preserve">   </v>
      </c>
    </row>
    <row r="372" spans="1:13" s="53" customFormat="1" hidden="1" x14ac:dyDescent="0.2">
      <c r="A372" s="383"/>
      <c r="B372" s="379"/>
      <c r="C372" s="106"/>
      <c r="D372" s="107"/>
      <c r="E372" s="108"/>
      <c r="F372" s="109"/>
      <c r="G372" s="103"/>
      <c r="H372" s="103"/>
      <c r="I372" s="102"/>
      <c r="J372" s="102"/>
      <c r="K372" s="78"/>
      <c r="L372" s="110"/>
      <c r="M372" s="105" t="str">
        <f t="shared" si="5"/>
        <v xml:space="preserve">   </v>
      </c>
    </row>
    <row r="373" spans="1:13" s="53" customFormat="1" hidden="1" x14ac:dyDescent="0.2">
      <c r="A373" s="383"/>
      <c r="B373" s="379"/>
      <c r="C373" s="106"/>
      <c r="D373" s="107"/>
      <c r="E373" s="108"/>
      <c r="F373" s="109"/>
      <c r="G373" s="103"/>
      <c r="H373" s="103"/>
      <c r="I373" s="102"/>
      <c r="J373" s="102"/>
      <c r="K373" s="78"/>
      <c r="L373" s="110"/>
      <c r="M373" s="105" t="str">
        <f t="shared" si="5"/>
        <v xml:space="preserve">   </v>
      </c>
    </row>
    <row r="374" spans="1:13" s="53" customFormat="1" hidden="1" x14ac:dyDescent="0.2">
      <c r="A374" s="383"/>
      <c r="B374" s="379"/>
      <c r="C374" s="106"/>
      <c r="D374" s="107"/>
      <c r="E374" s="108"/>
      <c r="F374" s="109"/>
      <c r="G374" s="103"/>
      <c r="H374" s="103"/>
      <c r="I374" s="102"/>
      <c r="J374" s="102"/>
      <c r="K374" s="78"/>
      <c r="L374" s="110"/>
      <c r="M374" s="105" t="str">
        <f t="shared" si="5"/>
        <v xml:space="preserve">   </v>
      </c>
    </row>
    <row r="375" spans="1:13" s="53" customFormat="1" hidden="1" x14ac:dyDescent="0.2">
      <c r="A375" s="383"/>
      <c r="B375" s="379"/>
      <c r="C375" s="106"/>
      <c r="D375" s="107"/>
      <c r="E375" s="108"/>
      <c r="F375" s="109"/>
      <c r="G375" s="103"/>
      <c r="H375" s="103"/>
      <c r="I375" s="102"/>
      <c r="J375" s="102"/>
      <c r="K375" s="78"/>
      <c r="L375" s="110"/>
      <c r="M375" s="105" t="str">
        <f t="shared" si="5"/>
        <v xml:space="preserve">   </v>
      </c>
    </row>
    <row r="376" spans="1:13" s="53" customFormat="1" hidden="1" x14ac:dyDescent="0.2">
      <c r="A376" s="383"/>
      <c r="B376" s="379"/>
      <c r="C376" s="106"/>
      <c r="D376" s="107"/>
      <c r="E376" s="108"/>
      <c r="F376" s="109"/>
      <c r="G376" s="103"/>
      <c r="H376" s="103"/>
      <c r="I376" s="102"/>
      <c r="J376" s="102"/>
      <c r="K376" s="78"/>
      <c r="L376" s="110"/>
      <c r="M376" s="105" t="str">
        <f t="shared" si="5"/>
        <v xml:space="preserve">   </v>
      </c>
    </row>
    <row r="377" spans="1:13" s="53" customFormat="1" hidden="1" x14ac:dyDescent="0.2">
      <c r="A377" s="383"/>
      <c r="B377" s="379"/>
      <c r="C377" s="106"/>
      <c r="D377" s="107"/>
      <c r="E377" s="108"/>
      <c r="F377" s="109"/>
      <c r="G377" s="103"/>
      <c r="H377" s="103"/>
      <c r="I377" s="102"/>
      <c r="J377" s="102"/>
      <c r="K377" s="78"/>
      <c r="L377" s="110"/>
      <c r="M377" s="105" t="str">
        <f t="shared" si="5"/>
        <v xml:space="preserve">   </v>
      </c>
    </row>
    <row r="378" spans="1:13" s="53" customFormat="1" hidden="1" x14ac:dyDescent="0.2">
      <c r="A378" s="383"/>
      <c r="B378" s="379"/>
      <c r="C378" s="106"/>
      <c r="D378" s="107"/>
      <c r="E378" s="108"/>
      <c r="F378" s="109"/>
      <c r="G378" s="103"/>
      <c r="H378" s="103"/>
      <c r="I378" s="102"/>
      <c r="J378" s="102"/>
      <c r="K378" s="78"/>
      <c r="L378" s="110"/>
      <c r="M378" s="105" t="str">
        <f t="shared" si="5"/>
        <v xml:space="preserve">   </v>
      </c>
    </row>
    <row r="379" spans="1:13" s="53" customFormat="1" hidden="1" x14ac:dyDescent="0.2">
      <c r="A379" s="383"/>
      <c r="B379" s="379"/>
      <c r="C379" s="106"/>
      <c r="D379" s="107"/>
      <c r="E379" s="108"/>
      <c r="F379" s="109"/>
      <c r="G379" s="103"/>
      <c r="H379" s="103"/>
      <c r="I379" s="102"/>
      <c r="J379" s="102"/>
      <c r="K379" s="78"/>
      <c r="L379" s="110"/>
      <c r="M379" s="105" t="str">
        <f t="shared" si="5"/>
        <v xml:space="preserve">   </v>
      </c>
    </row>
    <row r="380" spans="1:13" s="53" customFormat="1" hidden="1" x14ac:dyDescent="0.2">
      <c r="A380" s="383"/>
      <c r="B380" s="379"/>
      <c r="C380" s="106"/>
      <c r="D380" s="107"/>
      <c r="E380" s="108"/>
      <c r="F380" s="109"/>
      <c r="G380" s="103"/>
      <c r="H380" s="103"/>
      <c r="I380" s="102"/>
      <c r="J380" s="102"/>
      <c r="K380" s="78"/>
      <c r="L380" s="110"/>
      <c r="M380" s="105" t="str">
        <f t="shared" si="5"/>
        <v xml:space="preserve">   </v>
      </c>
    </row>
    <row r="381" spans="1:13" s="53" customFormat="1" ht="12.75" hidden="1" customHeight="1" x14ac:dyDescent="0.2">
      <c r="A381" s="383" t="s">
        <v>66</v>
      </c>
      <c r="B381" s="379" t="s">
        <v>88</v>
      </c>
      <c r="C381" s="102"/>
      <c r="D381" s="102"/>
      <c r="E381" s="102"/>
      <c r="F381" s="102"/>
      <c r="G381" s="103"/>
      <c r="H381" s="103"/>
      <c r="I381" s="102"/>
      <c r="J381" s="102"/>
      <c r="K381" s="78"/>
      <c r="L381" s="104" t="str">
        <f>CONCATENATE(C381," ",D381," ",E381," ",F381," ",C382," ",D382," ",E382," ",F382)</f>
        <v xml:space="preserve">       </v>
      </c>
      <c r="M381" s="105" t="str">
        <f t="shared" si="5"/>
        <v xml:space="preserve">   </v>
      </c>
    </row>
    <row r="382" spans="1:13" s="53" customFormat="1" hidden="1" x14ac:dyDescent="0.2">
      <c r="A382" s="383"/>
      <c r="B382" s="379"/>
      <c r="C382" s="106"/>
      <c r="D382" s="107"/>
      <c r="E382" s="108"/>
      <c r="F382" s="109"/>
      <c r="G382" s="103"/>
      <c r="H382" s="103"/>
      <c r="I382" s="102"/>
      <c r="J382" s="102"/>
      <c r="K382" s="78"/>
      <c r="L382" s="110"/>
      <c r="M382" s="105" t="str">
        <f t="shared" si="5"/>
        <v xml:space="preserve">   </v>
      </c>
    </row>
    <row r="383" spans="1:13" s="53" customFormat="1" hidden="1" x14ac:dyDescent="0.2">
      <c r="A383" s="383"/>
      <c r="B383" s="379"/>
      <c r="C383" s="106"/>
      <c r="D383" s="107"/>
      <c r="E383" s="108"/>
      <c r="F383" s="109"/>
      <c r="G383" s="103"/>
      <c r="H383" s="103"/>
      <c r="I383" s="102"/>
      <c r="J383" s="102"/>
      <c r="K383" s="78"/>
      <c r="L383" s="110"/>
      <c r="M383" s="105" t="str">
        <f t="shared" si="5"/>
        <v xml:space="preserve">   </v>
      </c>
    </row>
    <row r="384" spans="1:13" s="53" customFormat="1" hidden="1" x14ac:dyDescent="0.2">
      <c r="A384" s="383"/>
      <c r="B384" s="379"/>
      <c r="C384" s="106"/>
      <c r="D384" s="107"/>
      <c r="E384" s="108"/>
      <c r="F384" s="109"/>
      <c r="G384" s="103"/>
      <c r="H384" s="103"/>
      <c r="I384" s="102"/>
      <c r="J384" s="102"/>
      <c r="K384" s="78"/>
      <c r="L384" s="110"/>
      <c r="M384" s="105" t="str">
        <f t="shared" si="5"/>
        <v xml:space="preserve">   </v>
      </c>
    </row>
    <row r="385" spans="1:13" s="53" customFormat="1" hidden="1" x14ac:dyDescent="0.2">
      <c r="A385" s="383"/>
      <c r="B385" s="379"/>
      <c r="C385" s="106"/>
      <c r="D385" s="107"/>
      <c r="E385" s="108"/>
      <c r="F385" s="109"/>
      <c r="G385" s="103"/>
      <c r="H385" s="103"/>
      <c r="I385" s="102"/>
      <c r="J385" s="102"/>
      <c r="K385" s="78"/>
      <c r="L385" s="110"/>
      <c r="M385" s="105" t="str">
        <f t="shared" si="5"/>
        <v xml:space="preserve">   </v>
      </c>
    </row>
    <row r="386" spans="1:13" s="53" customFormat="1" hidden="1" x14ac:dyDescent="0.2">
      <c r="A386" s="383"/>
      <c r="B386" s="379"/>
      <c r="C386" s="106"/>
      <c r="D386" s="107"/>
      <c r="E386" s="108"/>
      <c r="F386" s="109"/>
      <c r="G386" s="103"/>
      <c r="H386" s="103"/>
      <c r="I386" s="102"/>
      <c r="J386" s="102"/>
      <c r="K386" s="78"/>
      <c r="L386" s="110"/>
      <c r="M386" s="105" t="str">
        <f t="shared" si="5"/>
        <v xml:space="preserve">   </v>
      </c>
    </row>
    <row r="387" spans="1:13" s="53" customFormat="1" hidden="1" x14ac:dyDescent="0.2">
      <c r="A387" s="383"/>
      <c r="B387" s="379"/>
      <c r="C387" s="106"/>
      <c r="D387" s="107"/>
      <c r="E387" s="108"/>
      <c r="F387" s="109"/>
      <c r="G387" s="103"/>
      <c r="H387" s="103"/>
      <c r="I387" s="102"/>
      <c r="J387" s="102"/>
      <c r="K387" s="78"/>
      <c r="L387" s="110"/>
      <c r="M387" s="105" t="str">
        <f t="shared" si="5"/>
        <v xml:space="preserve">   </v>
      </c>
    </row>
    <row r="388" spans="1:13" s="53" customFormat="1" hidden="1" x14ac:dyDescent="0.2">
      <c r="A388" s="383"/>
      <c r="B388" s="379"/>
      <c r="C388" s="106"/>
      <c r="D388" s="107"/>
      <c r="E388" s="108"/>
      <c r="F388" s="109"/>
      <c r="G388" s="103"/>
      <c r="H388" s="103"/>
      <c r="I388" s="102"/>
      <c r="J388" s="102"/>
      <c r="K388" s="78"/>
      <c r="L388" s="110"/>
      <c r="M388" s="105" t="str">
        <f t="shared" si="5"/>
        <v xml:space="preserve">   </v>
      </c>
    </row>
    <row r="389" spans="1:13" s="53" customFormat="1" hidden="1" x14ac:dyDescent="0.2">
      <c r="A389" s="383"/>
      <c r="B389" s="379"/>
      <c r="C389" s="106"/>
      <c r="D389" s="107"/>
      <c r="E389" s="108"/>
      <c r="F389" s="109"/>
      <c r="G389" s="103"/>
      <c r="H389" s="103"/>
      <c r="I389" s="102"/>
      <c r="J389" s="102"/>
      <c r="K389" s="78"/>
      <c r="L389" s="110"/>
      <c r="M389" s="105" t="str">
        <f t="shared" si="5"/>
        <v xml:space="preserve">   </v>
      </c>
    </row>
    <row r="390" spans="1:13" s="53" customFormat="1" hidden="1" x14ac:dyDescent="0.2">
      <c r="A390" s="383"/>
      <c r="B390" s="379"/>
      <c r="C390" s="106"/>
      <c r="D390" s="107"/>
      <c r="E390" s="108"/>
      <c r="F390" s="109"/>
      <c r="G390" s="103"/>
      <c r="H390" s="103"/>
      <c r="I390" s="102"/>
      <c r="J390" s="102"/>
      <c r="K390" s="78"/>
      <c r="L390" s="110"/>
      <c r="M390" s="105" t="str">
        <f t="shared" si="5"/>
        <v xml:space="preserve">   </v>
      </c>
    </row>
    <row r="391" spans="1:13" s="53" customFormat="1" ht="12.75" hidden="1" customHeight="1" x14ac:dyDescent="0.2">
      <c r="A391" s="383" t="s">
        <v>66</v>
      </c>
      <c r="B391" s="379" t="s">
        <v>88</v>
      </c>
      <c r="C391" s="102"/>
      <c r="D391" s="102"/>
      <c r="E391" s="102"/>
      <c r="F391" s="102"/>
      <c r="G391" s="103"/>
      <c r="H391" s="103"/>
      <c r="I391" s="102"/>
      <c r="J391" s="102"/>
      <c r="K391" s="78"/>
      <c r="L391" s="104" t="str">
        <f>CONCATENATE(C391," ",D391," ",E391," ",F391," ",C392," ",D392," ",E392," ",F392)</f>
        <v xml:space="preserve">       </v>
      </c>
      <c r="M391" s="105" t="str">
        <f t="shared" si="5"/>
        <v xml:space="preserve">   </v>
      </c>
    </row>
    <row r="392" spans="1:13" s="53" customFormat="1" hidden="1" x14ac:dyDescent="0.2">
      <c r="A392" s="383"/>
      <c r="B392" s="379"/>
      <c r="C392" s="106"/>
      <c r="D392" s="107"/>
      <c r="E392" s="108"/>
      <c r="F392" s="109"/>
      <c r="G392" s="103"/>
      <c r="H392" s="103"/>
      <c r="I392" s="102"/>
      <c r="J392" s="102"/>
      <c r="K392" s="78"/>
      <c r="L392" s="110"/>
      <c r="M392" s="105" t="str">
        <f t="shared" si="5"/>
        <v xml:space="preserve">   </v>
      </c>
    </row>
    <row r="393" spans="1:13" s="53" customFormat="1" hidden="1" x14ac:dyDescent="0.2">
      <c r="A393" s="383"/>
      <c r="B393" s="379"/>
      <c r="C393" s="106"/>
      <c r="D393" s="107"/>
      <c r="E393" s="108"/>
      <c r="F393" s="109"/>
      <c r="G393" s="103"/>
      <c r="H393" s="103"/>
      <c r="I393" s="102"/>
      <c r="J393" s="102"/>
      <c r="K393" s="78"/>
      <c r="L393" s="110"/>
      <c r="M393" s="105" t="str">
        <f t="shared" si="5"/>
        <v xml:space="preserve">   </v>
      </c>
    </row>
    <row r="394" spans="1:13" s="53" customFormat="1" hidden="1" x14ac:dyDescent="0.2">
      <c r="A394" s="383"/>
      <c r="B394" s="379"/>
      <c r="C394" s="106"/>
      <c r="D394" s="107"/>
      <c r="E394" s="108"/>
      <c r="F394" s="109"/>
      <c r="G394" s="103"/>
      <c r="H394" s="103"/>
      <c r="I394" s="102"/>
      <c r="J394" s="102"/>
      <c r="K394" s="78"/>
      <c r="L394" s="110"/>
      <c r="M394" s="105" t="str">
        <f t="shared" si="5"/>
        <v xml:space="preserve">   </v>
      </c>
    </row>
    <row r="395" spans="1:13" s="53" customFormat="1" hidden="1" x14ac:dyDescent="0.2">
      <c r="A395" s="383"/>
      <c r="B395" s="379"/>
      <c r="C395" s="106"/>
      <c r="D395" s="107"/>
      <c r="E395" s="108"/>
      <c r="F395" s="109"/>
      <c r="G395" s="103"/>
      <c r="H395" s="103"/>
      <c r="I395" s="102"/>
      <c r="J395" s="102"/>
      <c r="K395" s="78"/>
      <c r="L395" s="110"/>
      <c r="M395" s="105" t="str">
        <f t="shared" ref="M395:M458" si="6">CONCATENATE(G395," ",H395," ",I395," ",J395)</f>
        <v xml:space="preserve">   </v>
      </c>
    </row>
    <row r="396" spans="1:13" s="53" customFormat="1" hidden="1" x14ac:dyDescent="0.2">
      <c r="A396" s="383"/>
      <c r="B396" s="379"/>
      <c r="C396" s="106"/>
      <c r="D396" s="107"/>
      <c r="E396" s="108"/>
      <c r="F396" s="109"/>
      <c r="G396" s="103"/>
      <c r="H396" s="103"/>
      <c r="I396" s="102"/>
      <c r="J396" s="102"/>
      <c r="K396" s="78"/>
      <c r="L396" s="110"/>
      <c r="M396" s="105" t="str">
        <f t="shared" si="6"/>
        <v xml:space="preserve">   </v>
      </c>
    </row>
    <row r="397" spans="1:13" s="53" customFormat="1" hidden="1" x14ac:dyDescent="0.2">
      <c r="A397" s="383"/>
      <c r="B397" s="379"/>
      <c r="C397" s="106"/>
      <c r="D397" s="107"/>
      <c r="E397" s="108"/>
      <c r="F397" s="109"/>
      <c r="G397" s="103"/>
      <c r="H397" s="103"/>
      <c r="I397" s="102"/>
      <c r="J397" s="102"/>
      <c r="K397" s="78"/>
      <c r="L397" s="110"/>
      <c r="M397" s="105" t="str">
        <f t="shared" si="6"/>
        <v xml:space="preserve">   </v>
      </c>
    </row>
    <row r="398" spans="1:13" s="53" customFormat="1" hidden="1" x14ac:dyDescent="0.2">
      <c r="A398" s="383"/>
      <c r="B398" s="379"/>
      <c r="C398" s="106"/>
      <c r="D398" s="107"/>
      <c r="E398" s="108"/>
      <c r="F398" s="109"/>
      <c r="G398" s="103"/>
      <c r="H398" s="103"/>
      <c r="I398" s="102"/>
      <c r="J398" s="102"/>
      <c r="K398" s="78"/>
      <c r="L398" s="110"/>
      <c r="M398" s="105" t="str">
        <f t="shared" si="6"/>
        <v xml:space="preserve">   </v>
      </c>
    </row>
    <row r="399" spans="1:13" s="53" customFormat="1" hidden="1" x14ac:dyDescent="0.2">
      <c r="A399" s="383"/>
      <c r="B399" s="379"/>
      <c r="C399" s="106"/>
      <c r="D399" s="107"/>
      <c r="E399" s="108"/>
      <c r="F399" s="109"/>
      <c r="G399" s="103"/>
      <c r="H399" s="103"/>
      <c r="I399" s="102"/>
      <c r="J399" s="102"/>
      <c r="K399" s="78"/>
      <c r="L399" s="110"/>
      <c r="M399" s="105" t="str">
        <f t="shared" si="6"/>
        <v xml:space="preserve">   </v>
      </c>
    </row>
    <row r="400" spans="1:13" s="53" customFormat="1" hidden="1" x14ac:dyDescent="0.2">
      <c r="A400" s="383"/>
      <c r="B400" s="379"/>
      <c r="C400" s="106"/>
      <c r="D400" s="107"/>
      <c r="E400" s="108"/>
      <c r="F400" s="109"/>
      <c r="G400" s="103"/>
      <c r="H400" s="103"/>
      <c r="I400" s="102"/>
      <c r="J400" s="102"/>
      <c r="K400" s="78"/>
      <c r="L400" s="110"/>
      <c r="M400" s="105" t="str">
        <f t="shared" si="6"/>
        <v xml:space="preserve">   </v>
      </c>
    </row>
    <row r="401" spans="1:13" s="53" customFormat="1" ht="12.75" hidden="1" customHeight="1" x14ac:dyDescent="0.2">
      <c r="A401" s="383" t="s">
        <v>66</v>
      </c>
      <c r="B401" s="379" t="s">
        <v>88</v>
      </c>
      <c r="C401" s="102"/>
      <c r="D401" s="102"/>
      <c r="E401" s="102"/>
      <c r="F401" s="102"/>
      <c r="G401" s="103"/>
      <c r="H401" s="103"/>
      <c r="I401" s="102"/>
      <c r="J401" s="102"/>
      <c r="K401" s="78"/>
      <c r="L401" s="104" t="str">
        <f>CONCATENATE(C401," ",D401," ",E401," ",F401," ",C402," ",D402," ",E402," ",F402)</f>
        <v xml:space="preserve">       </v>
      </c>
      <c r="M401" s="105" t="str">
        <f t="shared" si="6"/>
        <v xml:space="preserve">   </v>
      </c>
    </row>
    <row r="402" spans="1:13" s="53" customFormat="1" hidden="1" x14ac:dyDescent="0.2">
      <c r="A402" s="383"/>
      <c r="B402" s="379"/>
      <c r="C402" s="106"/>
      <c r="D402" s="107"/>
      <c r="E402" s="108"/>
      <c r="F402" s="109"/>
      <c r="G402" s="103"/>
      <c r="H402" s="103"/>
      <c r="I402" s="102"/>
      <c r="J402" s="102"/>
      <c r="K402" s="78"/>
      <c r="L402" s="110"/>
      <c r="M402" s="105" t="str">
        <f t="shared" si="6"/>
        <v xml:space="preserve">   </v>
      </c>
    </row>
    <row r="403" spans="1:13" s="53" customFormat="1" hidden="1" x14ac:dyDescent="0.2">
      <c r="A403" s="383"/>
      <c r="B403" s="379"/>
      <c r="C403" s="106"/>
      <c r="D403" s="107"/>
      <c r="E403" s="108"/>
      <c r="F403" s="109"/>
      <c r="G403" s="103"/>
      <c r="H403" s="103"/>
      <c r="I403" s="102"/>
      <c r="J403" s="102"/>
      <c r="K403" s="78"/>
      <c r="L403" s="110"/>
      <c r="M403" s="105" t="str">
        <f t="shared" si="6"/>
        <v xml:space="preserve">   </v>
      </c>
    </row>
    <row r="404" spans="1:13" s="53" customFormat="1" hidden="1" x14ac:dyDescent="0.2">
      <c r="A404" s="383"/>
      <c r="B404" s="379"/>
      <c r="C404" s="106"/>
      <c r="D404" s="107"/>
      <c r="E404" s="108"/>
      <c r="F404" s="109"/>
      <c r="G404" s="103"/>
      <c r="H404" s="103"/>
      <c r="I404" s="102"/>
      <c r="J404" s="102"/>
      <c r="K404" s="78"/>
      <c r="L404" s="110"/>
      <c r="M404" s="105" t="str">
        <f t="shared" si="6"/>
        <v xml:space="preserve">   </v>
      </c>
    </row>
    <row r="405" spans="1:13" s="53" customFormat="1" hidden="1" x14ac:dyDescent="0.2">
      <c r="A405" s="383"/>
      <c r="B405" s="379"/>
      <c r="C405" s="106"/>
      <c r="D405" s="107"/>
      <c r="E405" s="108"/>
      <c r="F405" s="109"/>
      <c r="G405" s="103"/>
      <c r="H405" s="103"/>
      <c r="I405" s="102"/>
      <c r="J405" s="102"/>
      <c r="K405" s="78"/>
      <c r="L405" s="110"/>
      <c r="M405" s="105" t="str">
        <f t="shared" si="6"/>
        <v xml:space="preserve">   </v>
      </c>
    </row>
    <row r="406" spans="1:13" s="53" customFormat="1" hidden="1" x14ac:dyDescent="0.2">
      <c r="A406" s="383"/>
      <c r="B406" s="379"/>
      <c r="C406" s="106"/>
      <c r="D406" s="107"/>
      <c r="E406" s="108"/>
      <c r="F406" s="109"/>
      <c r="G406" s="103"/>
      <c r="H406" s="103"/>
      <c r="I406" s="102"/>
      <c r="J406" s="102"/>
      <c r="K406" s="78"/>
      <c r="L406" s="110"/>
      <c r="M406" s="105" t="str">
        <f t="shared" si="6"/>
        <v xml:space="preserve">   </v>
      </c>
    </row>
    <row r="407" spans="1:13" s="53" customFormat="1" hidden="1" x14ac:dyDescent="0.2">
      <c r="A407" s="383"/>
      <c r="B407" s="379"/>
      <c r="C407" s="106"/>
      <c r="D407" s="107"/>
      <c r="E407" s="108"/>
      <c r="F407" s="109"/>
      <c r="G407" s="103"/>
      <c r="H407" s="103"/>
      <c r="I407" s="102"/>
      <c r="J407" s="102"/>
      <c r="K407" s="78"/>
      <c r="L407" s="110"/>
      <c r="M407" s="105" t="str">
        <f t="shared" si="6"/>
        <v xml:space="preserve">   </v>
      </c>
    </row>
    <row r="408" spans="1:13" s="53" customFormat="1" hidden="1" x14ac:dyDescent="0.2">
      <c r="A408" s="383"/>
      <c r="B408" s="379"/>
      <c r="C408" s="106"/>
      <c r="D408" s="107"/>
      <c r="E408" s="108"/>
      <c r="F408" s="109"/>
      <c r="G408" s="103"/>
      <c r="H408" s="103"/>
      <c r="I408" s="102"/>
      <c r="J408" s="102"/>
      <c r="K408" s="78"/>
      <c r="L408" s="110"/>
      <c r="M408" s="105" t="str">
        <f t="shared" si="6"/>
        <v xml:space="preserve">   </v>
      </c>
    </row>
    <row r="409" spans="1:13" s="53" customFormat="1" hidden="1" x14ac:dyDescent="0.2">
      <c r="A409" s="383"/>
      <c r="B409" s="379"/>
      <c r="C409" s="106"/>
      <c r="D409" s="107"/>
      <c r="E409" s="108"/>
      <c r="F409" s="109"/>
      <c r="G409" s="103"/>
      <c r="H409" s="103"/>
      <c r="I409" s="102"/>
      <c r="J409" s="102"/>
      <c r="K409" s="78"/>
      <c r="L409" s="110"/>
      <c r="M409" s="105" t="str">
        <f t="shared" si="6"/>
        <v xml:space="preserve">   </v>
      </c>
    </row>
    <row r="410" spans="1:13" s="53" customFormat="1" hidden="1" x14ac:dyDescent="0.2">
      <c r="A410" s="383"/>
      <c r="B410" s="379"/>
      <c r="C410" s="106"/>
      <c r="D410" s="107"/>
      <c r="E410" s="108"/>
      <c r="F410" s="109"/>
      <c r="G410" s="103"/>
      <c r="H410" s="103"/>
      <c r="I410" s="102"/>
      <c r="J410" s="102"/>
      <c r="K410" s="78"/>
      <c r="L410" s="110"/>
      <c r="M410" s="105" t="str">
        <f t="shared" si="6"/>
        <v xml:space="preserve">   </v>
      </c>
    </row>
    <row r="411" spans="1:13" s="53" customFormat="1" ht="12.75" hidden="1" customHeight="1" x14ac:dyDescent="0.2">
      <c r="A411" s="383" t="s">
        <v>66</v>
      </c>
      <c r="B411" s="379" t="s">
        <v>88</v>
      </c>
      <c r="C411" s="102"/>
      <c r="D411" s="102"/>
      <c r="E411" s="102"/>
      <c r="F411" s="102"/>
      <c r="G411" s="103"/>
      <c r="H411" s="103"/>
      <c r="I411" s="102"/>
      <c r="J411" s="102"/>
      <c r="K411" s="78"/>
      <c r="L411" s="104" t="str">
        <f>CONCATENATE(C411," ",D411," ",E411," ",F411," ",C412," ",D412," ",E412," ",F412)</f>
        <v xml:space="preserve">       </v>
      </c>
      <c r="M411" s="105" t="str">
        <f t="shared" si="6"/>
        <v xml:space="preserve">   </v>
      </c>
    </row>
    <row r="412" spans="1:13" s="53" customFormat="1" hidden="1" x14ac:dyDescent="0.2">
      <c r="A412" s="383"/>
      <c r="B412" s="379"/>
      <c r="C412" s="106"/>
      <c r="D412" s="107"/>
      <c r="E412" s="108"/>
      <c r="F412" s="109"/>
      <c r="G412" s="103"/>
      <c r="H412" s="103"/>
      <c r="I412" s="102"/>
      <c r="J412" s="102"/>
      <c r="K412" s="78"/>
      <c r="L412" s="110"/>
      <c r="M412" s="105" t="str">
        <f t="shared" si="6"/>
        <v xml:space="preserve">   </v>
      </c>
    </row>
    <row r="413" spans="1:13" s="53" customFormat="1" hidden="1" x14ac:dyDescent="0.2">
      <c r="A413" s="383"/>
      <c r="B413" s="379"/>
      <c r="C413" s="106"/>
      <c r="D413" s="107"/>
      <c r="E413" s="108"/>
      <c r="F413" s="109"/>
      <c r="G413" s="103"/>
      <c r="H413" s="103"/>
      <c r="I413" s="102"/>
      <c r="J413" s="102"/>
      <c r="K413" s="78"/>
      <c r="L413" s="110"/>
      <c r="M413" s="105" t="str">
        <f t="shared" si="6"/>
        <v xml:space="preserve">   </v>
      </c>
    </row>
    <row r="414" spans="1:13" s="53" customFormat="1" hidden="1" x14ac:dyDescent="0.2">
      <c r="A414" s="383"/>
      <c r="B414" s="379"/>
      <c r="C414" s="106"/>
      <c r="D414" s="107"/>
      <c r="E414" s="108"/>
      <c r="F414" s="109"/>
      <c r="G414" s="103"/>
      <c r="H414" s="103"/>
      <c r="I414" s="102"/>
      <c r="J414" s="102"/>
      <c r="K414" s="78"/>
      <c r="L414" s="110"/>
      <c r="M414" s="105" t="str">
        <f t="shared" si="6"/>
        <v xml:space="preserve">   </v>
      </c>
    </row>
    <row r="415" spans="1:13" s="53" customFormat="1" hidden="1" x14ac:dyDescent="0.2">
      <c r="A415" s="383"/>
      <c r="B415" s="379"/>
      <c r="C415" s="106"/>
      <c r="D415" s="107"/>
      <c r="E415" s="108"/>
      <c r="F415" s="109"/>
      <c r="G415" s="103"/>
      <c r="H415" s="103"/>
      <c r="I415" s="102"/>
      <c r="J415" s="102"/>
      <c r="K415" s="78"/>
      <c r="L415" s="110"/>
      <c r="M415" s="105" t="str">
        <f t="shared" si="6"/>
        <v xml:space="preserve">   </v>
      </c>
    </row>
    <row r="416" spans="1:13" s="53" customFormat="1" hidden="1" x14ac:dyDescent="0.2">
      <c r="A416" s="383"/>
      <c r="B416" s="379"/>
      <c r="C416" s="106"/>
      <c r="D416" s="107"/>
      <c r="E416" s="108"/>
      <c r="F416" s="109"/>
      <c r="G416" s="103"/>
      <c r="H416" s="103"/>
      <c r="I416" s="102"/>
      <c r="J416" s="102"/>
      <c r="K416" s="78"/>
      <c r="L416" s="110"/>
      <c r="M416" s="105" t="str">
        <f t="shared" si="6"/>
        <v xml:space="preserve">   </v>
      </c>
    </row>
    <row r="417" spans="1:13" s="53" customFormat="1" hidden="1" x14ac:dyDescent="0.2">
      <c r="A417" s="383"/>
      <c r="B417" s="379"/>
      <c r="C417" s="106"/>
      <c r="D417" s="107"/>
      <c r="E417" s="108"/>
      <c r="F417" s="109"/>
      <c r="G417" s="103"/>
      <c r="H417" s="103"/>
      <c r="I417" s="102"/>
      <c r="J417" s="102"/>
      <c r="K417" s="78"/>
      <c r="L417" s="110"/>
      <c r="M417" s="105" t="str">
        <f t="shared" si="6"/>
        <v xml:space="preserve">   </v>
      </c>
    </row>
    <row r="418" spans="1:13" s="53" customFormat="1" hidden="1" x14ac:dyDescent="0.2">
      <c r="A418" s="383"/>
      <c r="B418" s="379"/>
      <c r="C418" s="106"/>
      <c r="D418" s="107"/>
      <c r="E418" s="108"/>
      <c r="F418" s="109"/>
      <c r="G418" s="103"/>
      <c r="H418" s="103"/>
      <c r="I418" s="102"/>
      <c r="J418" s="102"/>
      <c r="K418" s="78"/>
      <c r="L418" s="110"/>
      <c r="M418" s="105" t="str">
        <f t="shared" si="6"/>
        <v xml:space="preserve">   </v>
      </c>
    </row>
    <row r="419" spans="1:13" s="53" customFormat="1" hidden="1" x14ac:dyDescent="0.2">
      <c r="A419" s="383"/>
      <c r="B419" s="379"/>
      <c r="C419" s="106"/>
      <c r="D419" s="107"/>
      <c r="E419" s="108"/>
      <c r="F419" s="109"/>
      <c r="G419" s="103"/>
      <c r="H419" s="103"/>
      <c r="I419" s="102"/>
      <c r="J419" s="102"/>
      <c r="K419" s="78"/>
      <c r="L419" s="110"/>
      <c r="M419" s="105" t="str">
        <f t="shared" si="6"/>
        <v xml:space="preserve">   </v>
      </c>
    </row>
    <row r="420" spans="1:13" s="53" customFormat="1" hidden="1" x14ac:dyDescent="0.2">
      <c r="A420" s="383"/>
      <c r="B420" s="379"/>
      <c r="C420" s="106"/>
      <c r="D420" s="107"/>
      <c r="E420" s="108"/>
      <c r="F420" s="109"/>
      <c r="G420" s="103"/>
      <c r="H420" s="103"/>
      <c r="I420" s="102"/>
      <c r="J420" s="102"/>
      <c r="K420" s="78"/>
      <c r="L420" s="110"/>
      <c r="M420" s="105" t="str">
        <f t="shared" si="6"/>
        <v xml:space="preserve">   </v>
      </c>
    </row>
    <row r="421" spans="1:13" s="53" customFormat="1" ht="12.75" hidden="1" customHeight="1" x14ac:dyDescent="0.2">
      <c r="A421" s="383" t="s">
        <v>66</v>
      </c>
      <c r="B421" s="379" t="s">
        <v>88</v>
      </c>
      <c r="C421" s="102"/>
      <c r="D421" s="102"/>
      <c r="E421" s="102"/>
      <c r="F421" s="102"/>
      <c r="G421" s="103"/>
      <c r="H421" s="103"/>
      <c r="I421" s="102"/>
      <c r="J421" s="102"/>
      <c r="K421" s="78"/>
      <c r="L421" s="104" t="str">
        <f>CONCATENATE(C421," ",D421," ",E421," ",F421," ",C422," ",D422," ",E422," ",F422)</f>
        <v xml:space="preserve">       </v>
      </c>
      <c r="M421" s="105" t="str">
        <f t="shared" si="6"/>
        <v xml:space="preserve">   </v>
      </c>
    </row>
    <row r="422" spans="1:13" s="53" customFormat="1" hidden="1" x14ac:dyDescent="0.2">
      <c r="A422" s="383"/>
      <c r="B422" s="379"/>
      <c r="C422" s="106"/>
      <c r="D422" s="107"/>
      <c r="E422" s="108"/>
      <c r="F422" s="109"/>
      <c r="G422" s="103"/>
      <c r="H422" s="103"/>
      <c r="I422" s="102"/>
      <c r="J422" s="102"/>
      <c r="K422" s="78"/>
      <c r="L422" s="110"/>
      <c r="M422" s="105" t="str">
        <f t="shared" si="6"/>
        <v xml:space="preserve">   </v>
      </c>
    </row>
    <row r="423" spans="1:13" s="53" customFormat="1" hidden="1" x14ac:dyDescent="0.2">
      <c r="A423" s="383"/>
      <c r="B423" s="379"/>
      <c r="C423" s="106"/>
      <c r="D423" s="107"/>
      <c r="E423" s="108"/>
      <c r="F423" s="109"/>
      <c r="G423" s="103"/>
      <c r="H423" s="103"/>
      <c r="I423" s="102"/>
      <c r="J423" s="102"/>
      <c r="K423" s="78"/>
      <c r="L423" s="110"/>
      <c r="M423" s="105" t="str">
        <f t="shared" si="6"/>
        <v xml:space="preserve">   </v>
      </c>
    </row>
    <row r="424" spans="1:13" s="53" customFormat="1" hidden="1" x14ac:dyDescent="0.2">
      <c r="A424" s="383"/>
      <c r="B424" s="379"/>
      <c r="C424" s="106"/>
      <c r="D424" s="107"/>
      <c r="E424" s="108"/>
      <c r="F424" s="109"/>
      <c r="G424" s="103"/>
      <c r="H424" s="103"/>
      <c r="I424" s="102"/>
      <c r="J424" s="102"/>
      <c r="K424" s="78"/>
      <c r="L424" s="110"/>
      <c r="M424" s="105" t="str">
        <f t="shared" si="6"/>
        <v xml:space="preserve">   </v>
      </c>
    </row>
    <row r="425" spans="1:13" s="53" customFormat="1" hidden="1" x14ac:dyDescent="0.2">
      <c r="A425" s="383"/>
      <c r="B425" s="379"/>
      <c r="C425" s="106"/>
      <c r="D425" s="107"/>
      <c r="E425" s="108"/>
      <c r="F425" s="109"/>
      <c r="G425" s="103"/>
      <c r="H425" s="103"/>
      <c r="I425" s="102"/>
      <c r="J425" s="102"/>
      <c r="K425" s="78"/>
      <c r="L425" s="110"/>
      <c r="M425" s="105" t="str">
        <f t="shared" si="6"/>
        <v xml:space="preserve">   </v>
      </c>
    </row>
    <row r="426" spans="1:13" s="53" customFormat="1" hidden="1" x14ac:dyDescent="0.2">
      <c r="A426" s="383"/>
      <c r="B426" s="379"/>
      <c r="C426" s="106"/>
      <c r="D426" s="107"/>
      <c r="E426" s="108"/>
      <c r="F426" s="109"/>
      <c r="G426" s="103"/>
      <c r="H426" s="103"/>
      <c r="I426" s="102"/>
      <c r="J426" s="102"/>
      <c r="K426" s="78"/>
      <c r="L426" s="110"/>
      <c r="M426" s="105" t="str">
        <f t="shared" si="6"/>
        <v xml:space="preserve">   </v>
      </c>
    </row>
    <row r="427" spans="1:13" s="53" customFormat="1" hidden="1" x14ac:dyDescent="0.2">
      <c r="A427" s="383"/>
      <c r="B427" s="379"/>
      <c r="C427" s="106"/>
      <c r="D427" s="107"/>
      <c r="E427" s="108"/>
      <c r="F427" s="109"/>
      <c r="G427" s="103"/>
      <c r="H427" s="103"/>
      <c r="I427" s="102"/>
      <c r="J427" s="102"/>
      <c r="K427" s="78"/>
      <c r="L427" s="110"/>
      <c r="M427" s="105" t="str">
        <f t="shared" si="6"/>
        <v xml:space="preserve">   </v>
      </c>
    </row>
    <row r="428" spans="1:13" s="53" customFormat="1" hidden="1" x14ac:dyDescent="0.2">
      <c r="A428" s="383"/>
      <c r="B428" s="379"/>
      <c r="C428" s="106"/>
      <c r="D428" s="107"/>
      <c r="E428" s="108"/>
      <c r="F428" s="109"/>
      <c r="G428" s="103"/>
      <c r="H428" s="103"/>
      <c r="I428" s="102"/>
      <c r="J428" s="102"/>
      <c r="K428" s="78"/>
      <c r="L428" s="110"/>
      <c r="M428" s="105" t="str">
        <f t="shared" si="6"/>
        <v xml:space="preserve">   </v>
      </c>
    </row>
    <row r="429" spans="1:13" s="53" customFormat="1" hidden="1" x14ac:dyDescent="0.2">
      <c r="A429" s="383"/>
      <c r="B429" s="379"/>
      <c r="C429" s="106"/>
      <c r="D429" s="107"/>
      <c r="E429" s="108"/>
      <c r="F429" s="109"/>
      <c r="G429" s="103"/>
      <c r="H429" s="103"/>
      <c r="I429" s="102"/>
      <c r="J429" s="102"/>
      <c r="K429" s="78"/>
      <c r="L429" s="110"/>
      <c r="M429" s="105" t="str">
        <f t="shared" si="6"/>
        <v xml:space="preserve">   </v>
      </c>
    </row>
    <row r="430" spans="1:13" s="53" customFormat="1" hidden="1" x14ac:dyDescent="0.2">
      <c r="A430" s="383"/>
      <c r="B430" s="379"/>
      <c r="C430" s="106"/>
      <c r="D430" s="107"/>
      <c r="E430" s="108"/>
      <c r="F430" s="109"/>
      <c r="G430" s="103"/>
      <c r="H430" s="103"/>
      <c r="I430" s="102"/>
      <c r="J430" s="102"/>
      <c r="K430" s="78"/>
      <c r="L430" s="110"/>
      <c r="M430" s="105" t="str">
        <f t="shared" si="6"/>
        <v xml:space="preserve">   </v>
      </c>
    </row>
    <row r="431" spans="1:13" s="53" customFormat="1" ht="12.75" hidden="1" customHeight="1" x14ac:dyDescent="0.2">
      <c r="A431" s="383" t="s">
        <v>66</v>
      </c>
      <c r="B431" s="379" t="s">
        <v>88</v>
      </c>
      <c r="C431" s="102"/>
      <c r="D431" s="102"/>
      <c r="E431" s="102"/>
      <c r="F431" s="102"/>
      <c r="G431" s="103"/>
      <c r="H431" s="103"/>
      <c r="I431" s="102"/>
      <c r="J431" s="102"/>
      <c r="K431" s="78"/>
      <c r="L431" s="104" t="str">
        <f>CONCATENATE(C431," ",D431," ",E431," ",F431," ",C432," ",D432," ",E432," ",F432)</f>
        <v xml:space="preserve">       </v>
      </c>
      <c r="M431" s="105" t="str">
        <f t="shared" si="6"/>
        <v xml:space="preserve">   </v>
      </c>
    </row>
    <row r="432" spans="1:13" s="53" customFormat="1" hidden="1" x14ac:dyDescent="0.2">
      <c r="A432" s="383"/>
      <c r="B432" s="379"/>
      <c r="C432" s="106"/>
      <c r="D432" s="107"/>
      <c r="E432" s="108"/>
      <c r="F432" s="109"/>
      <c r="G432" s="103"/>
      <c r="H432" s="103"/>
      <c r="I432" s="102"/>
      <c r="J432" s="102"/>
      <c r="K432" s="78"/>
      <c r="L432" s="110"/>
      <c r="M432" s="105" t="str">
        <f t="shared" si="6"/>
        <v xml:space="preserve">   </v>
      </c>
    </row>
    <row r="433" spans="1:13" s="53" customFormat="1" hidden="1" x14ac:dyDescent="0.2">
      <c r="A433" s="383"/>
      <c r="B433" s="379"/>
      <c r="C433" s="106"/>
      <c r="D433" s="107"/>
      <c r="E433" s="108"/>
      <c r="F433" s="109"/>
      <c r="G433" s="103"/>
      <c r="H433" s="103"/>
      <c r="I433" s="102"/>
      <c r="J433" s="102"/>
      <c r="K433" s="78"/>
      <c r="L433" s="110"/>
      <c r="M433" s="105" t="str">
        <f t="shared" si="6"/>
        <v xml:space="preserve">   </v>
      </c>
    </row>
    <row r="434" spans="1:13" s="53" customFormat="1" hidden="1" x14ac:dyDescent="0.2">
      <c r="A434" s="383"/>
      <c r="B434" s="379"/>
      <c r="C434" s="106"/>
      <c r="D434" s="107"/>
      <c r="E434" s="108"/>
      <c r="F434" s="109"/>
      <c r="G434" s="103"/>
      <c r="H434" s="103"/>
      <c r="I434" s="102"/>
      <c r="J434" s="102"/>
      <c r="K434" s="78"/>
      <c r="L434" s="110"/>
      <c r="M434" s="105" t="str">
        <f t="shared" si="6"/>
        <v xml:space="preserve">   </v>
      </c>
    </row>
    <row r="435" spans="1:13" s="53" customFormat="1" hidden="1" x14ac:dyDescent="0.2">
      <c r="A435" s="383"/>
      <c r="B435" s="379"/>
      <c r="C435" s="106"/>
      <c r="D435" s="107"/>
      <c r="E435" s="108"/>
      <c r="F435" s="109"/>
      <c r="G435" s="103"/>
      <c r="H435" s="103"/>
      <c r="I435" s="102"/>
      <c r="J435" s="102"/>
      <c r="K435" s="78"/>
      <c r="L435" s="110"/>
      <c r="M435" s="105" t="str">
        <f t="shared" si="6"/>
        <v xml:space="preserve">   </v>
      </c>
    </row>
    <row r="436" spans="1:13" s="53" customFormat="1" hidden="1" x14ac:dyDescent="0.2">
      <c r="A436" s="383"/>
      <c r="B436" s="379"/>
      <c r="C436" s="106"/>
      <c r="D436" s="107"/>
      <c r="E436" s="108"/>
      <c r="F436" s="109"/>
      <c r="G436" s="103"/>
      <c r="H436" s="103"/>
      <c r="I436" s="102"/>
      <c r="J436" s="102"/>
      <c r="K436" s="78"/>
      <c r="L436" s="110"/>
      <c r="M436" s="105" t="str">
        <f t="shared" si="6"/>
        <v xml:space="preserve">   </v>
      </c>
    </row>
    <row r="437" spans="1:13" s="53" customFormat="1" hidden="1" x14ac:dyDescent="0.2">
      <c r="A437" s="383"/>
      <c r="B437" s="379"/>
      <c r="C437" s="106"/>
      <c r="D437" s="107"/>
      <c r="E437" s="108"/>
      <c r="F437" s="109"/>
      <c r="G437" s="103"/>
      <c r="H437" s="103"/>
      <c r="I437" s="102"/>
      <c r="J437" s="102"/>
      <c r="K437" s="78"/>
      <c r="L437" s="110"/>
      <c r="M437" s="105" t="str">
        <f t="shared" si="6"/>
        <v xml:space="preserve">   </v>
      </c>
    </row>
    <row r="438" spans="1:13" s="53" customFormat="1" hidden="1" x14ac:dyDescent="0.2">
      <c r="A438" s="383"/>
      <c r="B438" s="379"/>
      <c r="C438" s="106"/>
      <c r="D438" s="107"/>
      <c r="E438" s="108"/>
      <c r="F438" s="109"/>
      <c r="G438" s="103"/>
      <c r="H438" s="103"/>
      <c r="I438" s="102"/>
      <c r="J438" s="102"/>
      <c r="K438" s="78"/>
      <c r="L438" s="110"/>
      <c r="M438" s="105" t="str">
        <f t="shared" si="6"/>
        <v xml:space="preserve">   </v>
      </c>
    </row>
    <row r="439" spans="1:13" s="53" customFormat="1" hidden="1" x14ac:dyDescent="0.2">
      <c r="A439" s="383"/>
      <c r="B439" s="379"/>
      <c r="C439" s="106"/>
      <c r="D439" s="107"/>
      <c r="E439" s="108"/>
      <c r="F439" s="109"/>
      <c r="G439" s="103"/>
      <c r="H439" s="103"/>
      <c r="I439" s="102"/>
      <c r="J439" s="102"/>
      <c r="K439" s="78"/>
      <c r="L439" s="110"/>
      <c r="M439" s="105" t="str">
        <f t="shared" si="6"/>
        <v xml:space="preserve">   </v>
      </c>
    </row>
    <row r="440" spans="1:13" s="53" customFormat="1" hidden="1" x14ac:dyDescent="0.2">
      <c r="A440" s="383"/>
      <c r="B440" s="379"/>
      <c r="C440" s="106"/>
      <c r="D440" s="107"/>
      <c r="E440" s="108"/>
      <c r="F440" s="109"/>
      <c r="G440" s="103"/>
      <c r="H440" s="103"/>
      <c r="I440" s="102"/>
      <c r="J440" s="102"/>
      <c r="K440" s="78"/>
      <c r="L440" s="110"/>
      <c r="M440" s="105" t="str">
        <f t="shared" si="6"/>
        <v xml:space="preserve">   </v>
      </c>
    </row>
    <row r="441" spans="1:13" s="53" customFormat="1" ht="12.75" hidden="1" customHeight="1" x14ac:dyDescent="0.2">
      <c r="A441" s="383" t="s">
        <v>66</v>
      </c>
      <c r="B441" s="379" t="s">
        <v>88</v>
      </c>
      <c r="C441" s="102"/>
      <c r="D441" s="102"/>
      <c r="E441" s="102"/>
      <c r="F441" s="102"/>
      <c r="G441" s="103"/>
      <c r="H441" s="103"/>
      <c r="I441" s="102"/>
      <c r="J441" s="102"/>
      <c r="K441" s="78"/>
      <c r="L441" s="104" t="str">
        <f>CONCATENATE(C441," ",D441," ",E441," ",F441," ",C442," ",D442," ",E442," ",F442)</f>
        <v xml:space="preserve">       </v>
      </c>
      <c r="M441" s="105" t="str">
        <f t="shared" si="6"/>
        <v xml:space="preserve">   </v>
      </c>
    </row>
    <row r="442" spans="1:13" s="53" customFormat="1" hidden="1" x14ac:dyDescent="0.2">
      <c r="A442" s="383"/>
      <c r="B442" s="379"/>
      <c r="C442" s="106"/>
      <c r="D442" s="107"/>
      <c r="E442" s="108"/>
      <c r="F442" s="109"/>
      <c r="G442" s="103"/>
      <c r="H442" s="103"/>
      <c r="I442" s="102"/>
      <c r="J442" s="102"/>
      <c r="K442" s="78"/>
      <c r="L442" s="110"/>
      <c r="M442" s="105" t="str">
        <f t="shared" si="6"/>
        <v xml:space="preserve">   </v>
      </c>
    </row>
    <row r="443" spans="1:13" s="53" customFormat="1" hidden="1" x14ac:dyDescent="0.2">
      <c r="A443" s="383"/>
      <c r="B443" s="379"/>
      <c r="C443" s="106"/>
      <c r="D443" s="107"/>
      <c r="E443" s="108"/>
      <c r="F443" s="109"/>
      <c r="G443" s="103"/>
      <c r="H443" s="103"/>
      <c r="I443" s="102"/>
      <c r="J443" s="102"/>
      <c r="K443" s="78"/>
      <c r="L443" s="110"/>
      <c r="M443" s="105" t="str">
        <f t="shared" si="6"/>
        <v xml:space="preserve">   </v>
      </c>
    </row>
    <row r="444" spans="1:13" s="53" customFormat="1" hidden="1" x14ac:dyDescent="0.2">
      <c r="A444" s="383"/>
      <c r="B444" s="379"/>
      <c r="C444" s="106"/>
      <c r="D444" s="107"/>
      <c r="E444" s="108"/>
      <c r="F444" s="109"/>
      <c r="G444" s="103"/>
      <c r="H444" s="103"/>
      <c r="I444" s="102"/>
      <c r="J444" s="102"/>
      <c r="K444" s="78"/>
      <c r="L444" s="110"/>
      <c r="M444" s="105" t="str">
        <f t="shared" si="6"/>
        <v xml:space="preserve">   </v>
      </c>
    </row>
    <row r="445" spans="1:13" s="53" customFormat="1" hidden="1" x14ac:dyDescent="0.2">
      <c r="A445" s="383"/>
      <c r="B445" s="379"/>
      <c r="C445" s="106"/>
      <c r="D445" s="107"/>
      <c r="E445" s="108"/>
      <c r="F445" s="109"/>
      <c r="G445" s="103"/>
      <c r="H445" s="103"/>
      <c r="I445" s="102"/>
      <c r="J445" s="102"/>
      <c r="K445" s="78"/>
      <c r="L445" s="110"/>
      <c r="M445" s="105" t="str">
        <f t="shared" si="6"/>
        <v xml:space="preserve">   </v>
      </c>
    </row>
    <row r="446" spans="1:13" s="53" customFormat="1" hidden="1" x14ac:dyDescent="0.2">
      <c r="A446" s="383"/>
      <c r="B446" s="379"/>
      <c r="C446" s="106"/>
      <c r="D446" s="107"/>
      <c r="E446" s="108"/>
      <c r="F446" s="109"/>
      <c r="G446" s="103"/>
      <c r="H446" s="103"/>
      <c r="I446" s="102"/>
      <c r="J446" s="102"/>
      <c r="K446" s="78"/>
      <c r="L446" s="110"/>
      <c r="M446" s="105" t="str">
        <f t="shared" si="6"/>
        <v xml:space="preserve">   </v>
      </c>
    </row>
    <row r="447" spans="1:13" s="53" customFormat="1" hidden="1" x14ac:dyDescent="0.2">
      <c r="A447" s="383"/>
      <c r="B447" s="379"/>
      <c r="C447" s="106"/>
      <c r="D447" s="107"/>
      <c r="E447" s="108"/>
      <c r="F447" s="109"/>
      <c r="G447" s="103"/>
      <c r="H447" s="103"/>
      <c r="I447" s="102"/>
      <c r="J447" s="102"/>
      <c r="K447" s="78"/>
      <c r="L447" s="110"/>
      <c r="M447" s="105" t="str">
        <f t="shared" si="6"/>
        <v xml:space="preserve">   </v>
      </c>
    </row>
    <row r="448" spans="1:13" s="53" customFormat="1" hidden="1" x14ac:dyDescent="0.2">
      <c r="A448" s="383"/>
      <c r="B448" s="379"/>
      <c r="C448" s="106"/>
      <c r="D448" s="107"/>
      <c r="E448" s="108"/>
      <c r="F448" s="109"/>
      <c r="G448" s="103"/>
      <c r="H448" s="103"/>
      <c r="I448" s="102"/>
      <c r="J448" s="102"/>
      <c r="K448" s="78"/>
      <c r="L448" s="110"/>
      <c r="M448" s="105" t="str">
        <f t="shared" si="6"/>
        <v xml:space="preserve">   </v>
      </c>
    </row>
    <row r="449" spans="1:13" s="53" customFormat="1" hidden="1" x14ac:dyDescent="0.2">
      <c r="A449" s="383"/>
      <c r="B449" s="379"/>
      <c r="C449" s="106"/>
      <c r="D449" s="107"/>
      <c r="E449" s="108"/>
      <c r="F449" s="109"/>
      <c r="G449" s="103"/>
      <c r="H449" s="103"/>
      <c r="I449" s="102"/>
      <c r="J449" s="102"/>
      <c r="K449" s="78"/>
      <c r="L449" s="110"/>
      <c r="M449" s="105" t="str">
        <f t="shared" si="6"/>
        <v xml:space="preserve">   </v>
      </c>
    </row>
    <row r="450" spans="1:13" s="53" customFormat="1" hidden="1" x14ac:dyDescent="0.2">
      <c r="A450" s="383"/>
      <c r="B450" s="379"/>
      <c r="C450" s="106"/>
      <c r="D450" s="107"/>
      <c r="E450" s="108"/>
      <c r="F450" s="109"/>
      <c r="G450" s="103"/>
      <c r="H450" s="103"/>
      <c r="I450" s="102"/>
      <c r="J450" s="102"/>
      <c r="K450" s="78"/>
      <c r="L450" s="110"/>
      <c r="M450" s="105" t="str">
        <f t="shared" si="6"/>
        <v xml:space="preserve">   </v>
      </c>
    </row>
    <row r="451" spans="1:13" s="53" customFormat="1" ht="12.75" hidden="1" customHeight="1" x14ac:dyDescent="0.2">
      <c r="A451" s="383" t="s">
        <v>66</v>
      </c>
      <c r="B451" s="379" t="s">
        <v>88</v>
      </c>
      <c r="C451" s="102"/>
      <c r="D451" s="102"/>
      <c r="E451" s="102"/>
      <c r="F451" s="102"/>
      <c r="G451" s="103"/>
      <c r="H451" s="103"/>
      <c r="I451" s="102"/>
      <c r="J451" s="102"/>
      <c r="K451" s="78"/>
      <c r="L451" s="104" t="str">
        <f>CONCATENATE(C451," ",D451," ",E451," ",F451," ",C452," ",D452," ",E452," ",F452)</f>
        <v xml:space="preserve">       </v>
      </c>
      <c r="M451" s="105" t="str">
        <f t="shared" si="6"/>
        <v xml:space="preserve">   </v>
      </c>
    </row>
    <row r="452" spans="1:13" s="53" customFormat="1" hidden="1" x14ac:dyDescent="0.2">
      <c r="A452" s="383"/>
      <c r="B452" s="379"/>
      <c r="C452" s="106"/>
      <c r="D452" s="107"/>
      <c r="E452" s="108"/>
      <c r="F452" s="109"/>
      <c r="G452" s="103"/>
      <c r="H452" s="103"/>
      <c r="I452" s="102"/>
      <c r="J452" s="102"/>
      <c r="K452" s="78"/>
      <c r="L452" s="110"/>
      <c r="M452" s="105" t="str">
        <f t="shared" si="6"/>
        <v xml:space="preserve">   </v>
      </c>
    </row>
    <row r="453" spans="1:13" s="53" customFormat="1" hidden="1" x14ac:dyDescent="0.2">
      <c r="A453" s="383"/>
      <c r="B453" s="379"/>
      <c r="C453" s="106"/>
      <c r="D453" s="107"/>
      <c r="E453" s="108"/>
      <c r="F453" s="109"/>
      <c r="G453" s="103"/>
      <c r="H453" s="103"/>
      <c r="I453" s="102"/>
      <c r="J453" s="102"/>
      <c r="K453" s="78"/>
      <c r="L453" s="110"/>
      <c r="M453" s="105" t="str">
        <f t="shared" si="6"/>
        <v xml:space="preserve">   </v>
      </c>
    </row>
    <row r="454" spans="1:13" s="53" customFormat="1" hidden="1" x14ac:dyDescent="0.2">
      <c r="A454" s="383"/>
      <c r="B454" s="379"/>
      <c r="C454" s="106"/>
      <c r="D454" s="107"/>
      <c r="E454" s="108"/>
      <c r="F454" s="109"/>
      <c r="G454" s="103"/>
      <c r="H454" s="103"/>
      <c r="I454" s="102"/>
      <c r="J454" s="102"/>
      <c r="K454" s="78"/>
      <c r="L454" s="110"/>
      <c r="M454" s="105" t="str">
        <f t="shared" si="6"/>
        <v xml:space="preserve">   </v>
      </c>
    </row>
    <row r="455" spans="1:13" s="53" customFormat="1" hidden="1" x14ac:dyDescent="0.2">
      <c r="A455" s="383"/>
      <c r="B455" s="379"/>
      <c r="C455" s="106"/>
      <c r="D455" s="107"/>
      <c r="E455" s="108"/>
      <c r="F455" s="109"/>
      <c r="G455" s="103"/>
      <c r="H455" s="103"/>
      <c r="I455" s="102"/>
      <c r="J455" s="102"/>
      <c r="K455" s="78"/>
      <c r="L455" s="110"/>
      <c r="M455" s="105" t="str">
        <f t="shared" si="6"/>
        <v xml:space="preserve">   </v>
      </c>
    </row>
    <row r="456" spans="1:13" s="53" customFormat="1" hidden="1" x14ac:dyDescent="0.2">
      <c r="A456" s="383"/>
      <c r="B456" s="379"/>
      <c r="C456" s="106"/>
      <c r="D456" s="107"/>
      <c r="E456" s="108"/>
      <c r="F456" s="109"/>
      <c r="G456" s="103"/>
      <c r="H456" s="103"/>
      <c r="I456" s="102"/>
      <c r="J456" s="102"/>
      <c r="K456" s="78"/>
      <c r="L456" s="110"/>
      <c r="M456" s="105" t="str">
        <f t="shared" si="6"/>
        <v xml:space="preserve">   </v>
      </c>
    </row>
    <row r="457" spans="1:13" s="53" customFormat="1" hidden="1" x14ac:dyDescent="0.2">
      <c r="A457" s="383"/>
      <c r="B457" s="379"/>
      <c r="C457" s="106"/>
      <c r="D457" s="107"/>
      <c r="E457" s="108"/>
      <c r="F457" s="109"/>
      <c r="G457" s="103"/>
      <c r="H457" s="103"/>
      <c r="I457" s="102"/>
      <c r="J457" s="102"/>
      <c r="K457" s="78"/>
      <c r="L457" s="110"/>
      <c r="M457" s="105" t="str">
        <f t="shared" si="6"/>
        <v xml:space="preserve">   </v>
      </c>
    </row>
    <row r="458" spans="1:13" s="53" customFormat="1" hidden="1" x14ac:dyDescent="0.2">
      <c r="A458" s="383"/>
      <c r="B458" s="379"/>
      <c r="C458" s="106"/>
      <c r="D458" s="107"/>
      <c r="E458" s="108"/>
      <c r="F458" s="109"/>
      <c r="G458" s="103"/>
      <c r="H458" s="103"/>
      <c r="I458" s="102"/>
      <c r="J458" s="102"/>
      <c r="K458" s="78"/>
      <c r="L458" s="110"/>
      <c r="M458" s="105" t="str">
        <f t="shared" si="6"/>
        <v xml:space="preserve">   </v>
      </c>
    </row>
    <row r="459" spans="1:13" s="53" customFormat="1" hidden="1" x14ac:dyDescent="0.2">
      <c r="A459" s="383"/>
      <c r="B459" s="379"/>
      <c r="C459" s="106"/>
      <c r="D459" s="107"/>
      <c r="E459" s="108"/>
      <c r="F459" s="109"/>
      <c r="G459" s="103"/>
      <c r="H459" s="103"/>
      <c r="I459" s="102"/>
      <c r="J459" s="102"/>
      <c r="K459" s="78"/>
      <c r="L459" s="110"/>
      <c r="M459" s="105" t="str">
        <f t="shared" ref="M459:M522" si="7">CONCATENATE(G459," ",H459," ",I459," ",J459)</f>
        <v xml:space="preserve">   </v>
      </c>
    </row>
    <row r="460" spans="1:13" s="53" customFormat="1" hidden="1" x14ac:dyDescent="0.2">
      <c r="A460" s="383"/>
      <c r="B460" s="379"/>
      <c r="C460" s="106"/>
      <c r="D460" s="107"/>
      <c r="E460" s="108"/>
      <c r="F460" s="109"/>
      <c r="G460" s="103"/>
      <c r="H460" s="103"/>
      <c r="I460" s="102"/>
      <c r="J460" s="102"/>
      <c r="K460" s="78"/>
      <c r="L460" s="110"/>
      <c r="M460" s="105" t="str">
        <f t="shared" si="7"/>
        <v xml:space="preserve">   </v>
      </c>
    </row>
    <row r="461" spans="1:13" s="53" customFormat="1" ht="12.75" hidden="1" customHeight="1" x14ac:dyDescent="0.2">
      <c r="A461" s="383" t="s">
        <v>66</v>
      </c>
      <c r="B461" s="379" t="s">
        <v>88</v>
      </c>
      <c r="C461" s="102"/>
      <c r="D461" s="102"/>
      <c r="E461" s="102"/>
      <c r="F461" s="102"/>
      <c r="G461" s="103"/>
      <c r="H461" s="103"/>
      <c r="I461" s="102"/>
      <c r="J461" s="102"/>
      <c r="K461" s="78"/>
      <c r="L461" s="104" t="str">
        <f>CONCATENATE(C461," ",D461," ",E461," ",F461," ",C462," ",D462," ",E462," ",F462)</f>
        <v xml:space="preserve">       </v>
      </c>
      <c r="M461" s="105" t="str">
        <f t="shared" si="7"/>
        <v xml:space="preserve">   </v>
      </c>
    </row>
    <row r="462" spans="1:13" s="53" customFormat="1" hidden="1" x14ac:dyDescent="0.2">
      <c r="A462" s="383"/>
      <c r="B462" s="379"/>
      <c r="C462" s="106"/>
      <c r="D462" s="107"/>
      <c r="E462" s="108"/>
      <c r="F462" s="109"/>
      <c r="G462" s="103"/>
      <c r="H462" s="103"/>
      <c r="I462" s="102"/>
      <c r="J462" s="102"/>
      <c r="K462" s="78"/>
      <c r="L462" s="110"/>
      <c r="M462" s="105" t="str">
        <f t="shared" si="7"/>
        <v xml:space="preserve">   </v>
      </c>
    </row>
    <row r="463" spans="1:13" s="53" customFormat="1" hidden="1" x14ac:dyDescent="0.2">
      <c r="A463" s="383"/>
      <c r="B463" s="379"/>
      <c r="C463" s="106"/>
      <c r="D463" s="107"/>
      <c r="E463" s="108"/>
      <c r="F463" s="109"/>
      <c r="G463" s="103"/>
      <c r="H463" s="103"/>
      <c r="I463" s="102"/>
      <c r="J463" s="102"/>
      <c r="K463" s="78"/>
      <c r="L463" s="110"/>
      <c r="M463" s="105" t="str">
        <f t="shared" si="7"/>
        <v xml:space="preserve">   </v>
      </c>
    </row>
    <row r="464" spans="1:13" s="53" customFormat="1" hidden="1" x14ac:dyDescent="0.2">
      <c r="A464" s="383"/>
      <c r="B464" s="379"/>
      <c r="C464" s="106"/>
      <c r="D464" s="107"/>
      <c r="E464" s="108"/>
      <c r="F464" s="109"/>
      <c r="G464" s="103"/>
      <c r="H464" s="103"/>
      <c r="I464" s="102"/>
      <c r="J464" s="102"/>
      <c r="K464" s="78"/>
      <c r="L464" s="110"/>
      <c r="M464" s="105" t="str">
        <f t="shared" si="7"/>
        <v xml:space="preserve">   </v>
      </c>
    </row>
    <row r="465" spans="1:13" s="53" customFormat="1" hidden="1" x14ac:dyDescent="0.2">
      <c r="A465" s="383"/>
      <c r="B465" s="379"/>
      <c r="C465" s="106"/>
      <c r="D465" s="107"/>
      <c r="E465" s="108"/>
      <c r="F465" s="109"/>
      <c r="G465" s="103"/>
      <c r="H465" s="103"/>
      <c r="I465" s="102"/>
      <c r="J465" s="102"/>
      <c r="K465" s="78"/>
      <c r="L465" s="110"/>
      <c r="M465" s="105" t="str">
        <f t="shared" si="7"/>
        <v xml:space="preserve">   </v>
      </c>
    </row>
    <row r="466" spans="1:13" s="53" customFormat="1" hidden="1" x14ac:dyDescent="0.2">
      <c r="A466" s="383"/>
      <c r="B466" s="379"/>
      <c r="C466" s="106"/>
      <c r="D466" s="107"/>
      <c r="E466" s="108"/>
      <c r="F466" s="109"/>
      <c r="G466" s="103"/>
      <c r="H466" s="103"/>
      <c r="I466" s="102"/>
      <c r="J466" s="102"/>
      <c r="K466" s="78"/>
      <c r="L466" s="110"/>
      <c r="M466" s="105" t="str">
        <f t="shared" si="7"/>
        <v xml:space="preserve">   </v>
      </c>
    </row>
    <row r="467" spans="1:13" s="53" customFormat="1" hidden="1" x14ac:dyDescent="0.2">
      <c r="A467" s="383"/>
      <c r="B467" s="379"/>
      <c r="C467" s="106"/>
      <c r="D467" s="107"/>
      <c r="E467" s="108"/>
      <c r="F467" s="109"/>
      <c r="G467" s="103"/>
      <c r="H467" s="103"/>
      <c r="I467" s="102"/>
      <c r="J467" s="102"/>
      <c r="K467" s="78"/>
      <c r="L467" s="110"/>
      <c r="M467" s="105" t="str">
        <f t="shared" si="7"/>
        <v xml:space="preserve">   </v>
      </c>
    </row>
    <row r="468" spans="1:13" s="53" customFormat="1" hidden="1" x14ac:dyDescent="0.2">
      <c r="A468" s="383"/>
      <c r="B468" s="379"/>
      <c r="C468" s="106"/>
      <c r="D468" s="107"/>
      <c r="E468" s="108"/>
      <c r="F468" s="109"/>
      <c r="G468" s="103"/>
      <c r="H468" s="103"/>
      <c r="I468" s="102"/>
      <c r="J468" s="102"/>
      <c r="K468" s="78"/>
      <c r="L468" s="110"/>
      <c r="M468" s="105" t="str">
        <f t="shared" si="7"/>
        <v xml:space="preserve">   </v>
      </c>
    </row>
    <row r="469" spans="1:13" s="53" customFormat="1" hidden="1" x14ac:dyDescent="0.2">
      <c r="A469" s="383"/>
      <c r="B469" s="379"/>
      <c r="C469" s="106"/>
      <c r="D469" s="107"/>
      <c r="E469" s="108"/>
      <c r="F469" s="109"/>
      <c r="G469" s="103"/>
      <c r="H469" s="103"/>
      <c r="I469" s="102"/>
      <c r="J469" s="102"/>
      <c r="K469" s="78"/>
      <c r="L469" s="110"/>
      <c r="M469" s="105" t="str">
        <f t="shared" si="7"/>
        <v xml:space="preserve">   </v>
      </c>
    </row>
    <row r="470" spans="1:13" s="53" customFormat="1" hidden="1" x14ac:dyDescent="0.2">
      <c r="A470" s="383"/>
      <c r="B470" s="379"/>
      <c r="C470" s="106"/>
      <c r="D470" s="107"/>
      <c r="E470" s="108"/>
      <c r="F470" s="109"/>
      <c r="G470" s="103"/>
      <c r="H470" s="103"/>
      <c r="I470" s="102"/>
      <c r="J470" s="102"/>
      <c r="K470" s="78"/>
      <c r="L470" s="110"/>
      <c r="M470" s="105" t="str">
        <f t="shared" si="7"/>
        <v xml:space="preserve">   </v>
      </c>
    </row>
    <row r="471" spans="1:13" s="53" customFormat="1" ht="12.75" hidden="1" customHeight="1" x14ac:dyDescent="0.2">
      <c r="A471" s="383" t="s">
        <v>66</v>
      </c>
      <c r="B471" s="379" t="s">
        <v>88</v>
      </c>
      <c r="C471" s="102"/>
      <c r="D471" s="102"/>
      <c r="E471" s="102"/>
      <c r="F471" s="102"/>
      <c r="G471" s="103"/>
      <c r="H471" s="103"/>
      <c r="I471" s="102"/>
      <c r="J471" s="102"/>
      <c r="K471" s="78"/>
      <c r="L471" s="104" t="str">
        <f>CONCATENATE(C471," ",D471," ",E471," ",F471," ",C472," ",D472," ",E472," ",F472)</f>
        <v xml:space="preserve">       </v>
      </c>
      <c r="M471" s="105" t="str">
        <f t="shared" si="7"/>
        <v xml:space="preserve">   </v>
      </c>
    </row>
    <row r="472" spans="1:13" s="53" customFormat="1" hidden="1" x14ac:dyDescent="0.2">
      <c r="A472" s="383"/>
      <c r="B472" s="379"/>
      <c r="C472" s="106"/>
      <c r="D472" s="107"/>
      <c r="E472" s="108"/>
      <c r="F472" s="109"/>
      <c r="G472" s="103"/>
      <c r="H472" s="103"/>
      <c r="I472" s="102"/>
      <c r="J472" s="102"/>
      <c r="K472" s="78"/>
      <c r="L472" s="110"/>
      <c r="M472" s="105" t="str">
        <f t="shared" si="7"/>
        <v xml:space="preserve">   </v>
      </c>
    </row>
    <row r="473" spans="1:13" s="53" customFormat="1" hidden="1" x14ac:dyDescent="0.2">
      <c r="A473" s="383"/>
      <c r="B473" s="379"/>
      <c r="C473" s="106"/>
      <c r="D473" s="107"/>
      <c r="E473" s="108"/>
      <c r="F473" s="109"/>
      <c r="G473" s="103"/>
      <c r="H473" s="103"/>
      <c r="I473" s="102"/>
      <c r="J473" s="102"/>
      <c r="K473" s="78"/>
      <c r="L473" s="110"/>
      <c r="M473" s="105" t="str">
        <f t="shared" si="7"/>
        <v xml:space="preserve">   </v>
      </c>
    </row>
    <row r="474" spans="1:13" s="53" customFormat="1" hidden="1" x14ac:dyDescent="0.2">
      <c r="A474" s="383"/>
      <c r="B474" s="379"/>
      <c r="C474" s="106"/>
      <c r="D474" s="107"/>
      <c r="E474" s="108"/>
      <c r="F474" s="109"/>
      <c r="G474" s="103"/>
      <c r="H474" s="103"/>
      <c r="I474" s="102"/>
      <c r="J474" s="102"/>
      <c r="K474" s="78"/>
      <c r="L474" s="110"/>
      <c r="M474" s="105" t="str">
        <f t="shared" si="7"/>
        <v xml:space="preserve">   </v>
      </c>
    </row>
    <row r="475" spans="1:13" s="53" customFormat="1" hidden="1" x14ac:dyDescent="0.2">
      <c r="A475" s="383"/>
      <c r="B475" s="379"/>
      <c r="C475" s="106"/>
      <c r="D475" s="107"/>
      <c r="E475" s="108"/>
      <c r="F475" s="109"/>
      <c r="G475" s="103"/>
      <c r="H475" s="103"/>
      <c r="I475" s="102"/>
      <c r="J475" s="102"/>
      <c r="K475" s="78"/>
      <c r="L475" s="110"/>
      <c r="M475" s="105" t="str">
        <f t="shared" si="7"/>
        <v xml:space="preserve">   </v>
      </c>
    </row>
    <row r="476" spans="1:13" s="53" customFormat="1" hidden="1" x14ac:dyDescent="0.2">
      <c r="A476" s="383"/>
      <c r="B476" s="379"/>
      <c r="C476" s="106"/>
      <c r="D476" s="107"/>
      <c r="E476" s="108"/>
      <c r="F476" s="109"/>
      <c r="G476" s="103"/>
      <c r="H476" s="103"/>
      <c r="I476" s="102"/>
      <c r="J476" s="102"/>
      <c r="K476" s="78"/>
      <c r="L476" s="110"/>
      <c r="M476" s="105" t="str">
        <f t="shared" si="7"/>
        <v xml:space="preserve">   </v>
      </c>
    </row>
    <row r="477" spans="1:13" s="53" customFormat="1" hidden="1" x14ac:dyDescent="0.2">
      <c r="A477" s="383"/>
      <c r="B477" s="379"/>
      <c r="C477" s="106"/>
      <c r="D477" s="107"/>
      <c r="E477" s="108"/>
      <c r="F477" s="109"/>
      <c r="G477" s="103"/>
      <c r="H477" s="103"/>
      <c r="I477" s="102"/>
      <c r="J477" s="102"/>
      <c r="K477" s="78"/>
      <c r="L477" s="110"/>
      <c r="M477" s="105" t="str">
        <f t="shared" si="7"/>
        <v xml:space="preserve">   </v>
      </c>
    </row>
    <row r="478" spans="1:13" s="53" customFormat="1" hidden="1" x14ac:dyDescent="0.2">
      <c r="A478" s="383"/>
      <c r="B478" s="379"/>
      <c r="C478" s="106"/>
      <c r="D478" s="107"/>
      <c r="E478" s="108"/>
      <c r="F478" s="109"/>
      <c r="G478" s="103"/>
      <c r="H478" s="103"/>
      <c r="I478" s="102"/>
      <c r="J478" s="102"/>
      <c r="K478" s="78"/>
      <c r="L478" s="110"/>
      <c r="M478" s="105" t="str">
        <f t="shared" si="7"/>
        <v xml:space="preserve">   </v>
      </c>
    </row>
    <row r="479" spans="1:13" s="53" customFormat="1" hidden="1" x14ac:dyDescent="0.2">
      <c r="A479" s="383"/>
      <c r="B479" s="379"/>
      <c r="C479" s="106"/>
      <c r="D479" s="107"/>
      <c r="E479" s="108"/>
      <c r="F479" s="109"/>
      <c r="G479" s="103"/>
      <c r="H479" s="103"/>
      <c r="I479" s="102"/>
      <c r="J479" s="102"/>
      <c r="K479" s="78"/>
      <c r="L479" s="110"/>
      <c r="M479" s="105" t="str">
        <f t="shared" si="7"/>
        <v xml:space="preserve">   </v>
      </c>
    </row>
    <row r="480" spans="1:13" s="53" customFormat="1" hidden="1" x14ac:dyDescent="0.2">
      <c r="A480" s="383"/>
      <c r="B480" s="379"/>
      <c r="C480" s="106"/>
      <c r="D480" s="107"/>
      <c r="E480" s="108"/>
      <c r="F480" s="109"/>
      <c r="G480" s="103"/>
      <c r="H480" s="103"/>
      <c r="I480" s="102"/>
      <c r="J480" s="102"/>
      <c r="K480" s="78"/>
      <c r="L480" s="110"/>
      <c r="M480" s="105" t="str">
        <f t="shared" si="7"/>
        <v xml:space="preserve">   </v>
      </c>
    </row>
    <row r="481" spans="1:13" s="53" customFormat="1" ht="12.75" hidden="1" customHeight="1" x14ac:dyDescent="0.2">
      <c r="A481" s="383" t="s">
        <v>66</v>
      </c>
      <c r="B481" s="379" t="s">
        <v>88</v>
      </c>
      <c r="C481" s="102"/>
      <c r="D481" s="102"/>
      <c r="E481" s="102"/>
      <c r="F481" s="102"/>
      <c r="G481" s="103"/>
      <c r="H481" s="103"/>
      <c r="I481" s="102"/>
      <c r="J481" s="102"/>
      <c r="K481" s="78"/>
      <c r="L481" s="104" t="str">
        <f>CONCATENATE(C481," ",D481," ",E481," ",F481," ",C482," ",D482," ",E482," ",F482)</f>
        <v xml:space="preserve">       </v>
      </c>
      <c r="M481" s="105" t="str">
        <f t="shared" si="7"/>
        <v xml:space="preserve">   </v>
      </c>
    </row>
    <row r="482" spans="1:13" s="53" customFormat="1" hidden="1" x14ac:dyDescent="0.2">
      <c r="A482" s="383"/>
      <c r="B482" s="379"/>
      <c r="C482" s="106"/>
      <c r="D482" s="107"/>
      <c r="E482" s="108"/>
      <c r="F482" s="109"/>
      <c r="G482" s="103"/>
      <c r="H482" s="103"/>
      <c r="I482" s="102"/>
      <c r="J482" s="102"/>
      <c r="K482" s="78"/>
      <c r="L482" s="110"/>
      <c r="M482" s="105" t="str">
        <f t="shared" si="7"/>
        <v xml:space="preserve">   </v>
      </c>
    </row>
    <row r="483" spans="1:13" s="53" customFormat="1" hidden="1" x14ac:dyDescent="0.2">
      <c r="A483" s="383"/>
      <c r="B483" s="379"/>
      <c r="C483" s="106"/>
      <c r="D483" s="107"/>
      <c r="E483" s="108"/>
      <c r="F483" s="109"/>
      <c r="G483" s="103"/>
      <c r="H483" s="103"/>
      <c r="I483" s="102"/>
      <c r="J483" s="102"/>
      <c r="K483" s="78"/>
      <c r="L483" s="110"/>
      <c r="M483" s="105" t="str">
        <f t="shared" si="7"/>
        <v xml:space="preserve">   </v>
      </c>
    </row>
    <row r="484" spans="1:13" s="53" customFormat="1" hidden="1" x14ac:dyDescent="0.2">
      <c r="A484" s="383"/>
      <c r="B484" s="379"/>
      <c r="C484" s="106"/>
      <c r="D484" s="107"/>
      <c r="E484" s="108"/>
      <c r="F484" s="109"/>
      <c r="G484" s="103"/>
      <c r="H484" s="103"/>
      <c r="I484" s="102"/>
      <c r="J484" s="102"/>
      <c r="K484" s="78"/>
      <c r="L484" s="110"/>
      <c r="M484" s="105" t="str">
        <f t="shared" si="7"/>
        <v xml:space="preserve">   </v>
      </c>
    </row>
    <row r="485" spans="1:13" s="53" customFormat="1" hidden="1" x14ac:dyDescent="0.2">
      <c r="A485" s="383"/>
      <c r="B485" s="379"/>
      <c r="C485" s="106"/>
      <c r="D485" s="107"/>
      <c r="E485" s="108"/>
      <c r="F485" s="109"/>
      <c r="G485" s="103"/>
      <c r="H485" s="103"/>
      <c r="I485" s="102"/>
      <c r="J485" s="102"/>
      <c r="K485" s="78"/>
      <c r="L485" s="110"/>
      <c r="M485" s="105" t="str">
        <f t="shared" si="7"/>
        <v xml:space="preserve">   </v>
      </c>
    </row>
    <row r="486" spans="1:13" s="53" customFormat="1" hidden="1" x14ac:dyDescent="0.2">
      <c r="A486" s="383"/>
      <c r="B486" s="379"/>
      <c r="C486" s="106"/>
      <c r="D486" s="107"/>
      <c r="E486" s="108"/>
      <c r="F486" s="109"/>
      <c r="G486" s="103"/>
      <c r="H486" s="103"/>
      <c r="I486" s="102"/>
      <c r="J486" s="102"/>
      <c r="K486" s="78"/>
      <c r="L486" s="110"/>
      <c r="M486" s="105" t="str">
        <f t="shared" si="7"/>
        <v xml:space="preserve">   </v>
      </c>
    </row>
    <row r="487" spans="1:13" s="53" customFormat="1" hidden="1" x14ac:dyDescent="0.2">
      <c r="A487" s="383"/>
      <c r="B487" s="379"/>
      <c r="C487" s="106"/>
      <c r="D487" s="107"/>
      <c r="E487" s="108"/>
      <c r="F487" s="109"/>
      <c r="G487" s="103"/>
      <c r="H487" s="103"/>
      <c r="I487" s="102"/>
      <c r="J487" s="102"/>
      <c r="K487" s="78"/>
      <c r="L487" s="110"/>
      <c r="M487" s="105" t="str">
        <f t="shared" si="7"/>
        <v xml:space="preserve">   </v>
      </c>
    </row>
    <row r="488" spans="1:13" s="53" customFormat="1" hidden="1" x14ac:dyDescent="0.2">
      <c r="A488" s="383"/>
      <c r="B488" s="379"/>
      <c r="C488" s="106"/>
      <c r="D488" s="107"/>
      <c r="E488" s="108"/>
      <c r="F488" s="109"/>
      <c r="G488" s="103"/>
      <c r="H488" s="103"/>
      <c r="I488" s="102"/>
      <c r="J488" s="102"/>
      <c r="K488" s="78"/>
      <c r="L488" s="110"/>
      <c r="M488" s="105" t="str">
        <f t="shared" si="7"/>
        <v xml:space="preserve">   </v>
      </c>
    </row>
    <row r="489" spans="1:13" s="53" customFormat="1" hidden="1" x14ac:dyDescent="0.2">
      <c r="A489" s="383"/>
      <c r="B489" s="379"/>
      <c r="C489" s="106"/>
      <c r="D489" s="107"/>
      <c r="E489" s="108"/>
      <c r="F489" s="109"/>
      <c r="G489" s="103"/>
      <c r="H489" s="103"/>
      <c r="I489" s="102"/>
      <c r="J489" s="102"/>
      <c r="K489" s="78"/>
      <c r="L489" s="110"/>
      <c r="M489" s="105" t="str">
        <f t="shared" si="7"/>
        <v xml:space="preserve">   </v>
      </c>
    </row>
    <row r="490" spans="1:13" s="53" customFormat="1" hidden="1" x14ac:dyDescent="0.2">
      <c r="A490" s="383"/>
      <c r="B490" s="379"/>
      <c r="C490" s="106"/>
      <c r="D490" s="107"/>
      <c r="E490" s="108"/>
      <c r="F490" s="109"/>
      <c r="G490" s="103"/>
      <c r="H490" s="103"/>
      <c r="I490" s="102"/>
      <c r="J490" s="102"/>
      <c r="K490" s="78"/>
      <c r="L490" s="110"/>
      <c r="M490" s="105" t="str">
        <f t="shared" si="7"/>
        <v xml:space="preserve">   </v>
      </c>
    </row>
    <row r="491" spans="1:13" s="53" customFormat="1" ht="12.75" hidden="1" customHeight="1" x14ac:dyDescent="0.2">
      <c r="A491" s="383" t="s">
        <v>66</v>
      </c>
      <c r="B491" s="379" t="s">
        <v>88</v>
      </c>
      <c r="C491" s="102"/>
      <c r="D491" s="102"/>
      <c r="E491" s="102"/>
      <c r="F491" s="102"/>
      <c r="G491" s="103"/>
      <c r="H491" s="103"/>
      <c r="I491" s="102"/>
      <c r="J491" s="102"/>
      <c r="K491" s="78"/>
      <c r="L491" s="104" t="str">
        <f>CONCATENATE(C491," ",D491," ",E491," ",F491," ",C492," ",D492," ",E492," ",F492)</f>
        <v xml:space="preserve">       </v>
      </c>
      <c r="M491" s="105" t="str">
        <f t="shared" si="7"/>
        <v xml:space="preserve">   </v>
      </c>
    </row>
    <row r="492" spans="1:13" s="53" customFormat="1" hidden="1" x14ac:dyDescent="0.2">
      <c r="A492" s="383"/>
      <c r="B492" s="379"/>
      <c r="C492" s="106"/>
      <c r="D492" s="107"/>
      <c r="E492" s="108"/>
      <c r="F492" s="109"/>
      <c r="G492" s="103"/>
      <c r="H492" s="103"/>
      <c r="I492" s="102"/>
      <c r="J492" s="102"/>
      <c r="K492" s="78"/>
      <c r="L492" s="110"/>
      <c r="M492" s="105" t="str">
        <f t="shared" si="7"/>
        <v xml:space="preserve">   </v>
      </c>
    </row>
    <row r="493" spans="1:13" s="53" customFormat="1" hidden="1" x14ac:dyDescent="0.2">
      <c r="A493" s="383"/>
      <c r="B493" s="379"/>
      <c r="C493" s="106"/>
      <c r="D493" s="107"/>
      <c r="E493" s="108"/>
      <c r="F493" s="109"/>
      <c r="G493" s="103"/>
      <c r="H493" s="103"/>
      <c r="I493" s="102"/>
      <c r="J493" s="102"/>
      <c r="K493" s="78"/>
      <c r="L493" s="110"/>
      <c r="M493" s="105" t="str">
        <f t="shared" si="7"/>
        <v xml:space="preserve">   </v>
      </c>
    </row>
    <row r="494" spans="1:13" s="53" customFormat="1" hidden="1" x14ac:dyDescent="0.2">
      <c r="A494" s="383"/>
      <c r="B494" s="379"/>
      <c r="C494" s="106"/>
      <c r="D494" s="107"/>
      <c r="E494" s="108"/>
      <c r="F494" s="109"/>
      <c r="G494" s="103"/>
      <c r="H494" s="103"/>
      <c r="I494" s="102"/>
      <c r="J494" s="102"/>
      <c r="K494" s="78"/>
      <c r="L494" s="110"/>
      <c r="M494" s="105" t="str">
        <f t="shared" si="7"/>
        <v xml:space="preserve">   </v>
      </c>
    </row>
    <row r="495" spans="1:13" s="53" customFormat="1" hidden="1" x14ac:dyDescent="0.2">
      <c r="A495" s="383"/>
      <c r="B495" s="379"/>
      <c r="C495" s="106"/>
      <c r="D495" s="107"/>
      <c r="E495" s="108"/>
      <c r="F495" s="109"/>
      <c r="G495" s="103"/>
      <c r="H495" s="103"/>
      <c r="I495" s="102"/>
      <c r="J495" s="102"/>
      <c r="K495" s="78"/>
      <c r="L495" s="110"/>
      <c r="M495" s="105" t="str">
        <f t="shared" si="7"/>
        <v xml:space="preserve">   </v>
      </c>
    </row>
    <row r="496" spans="1:13" s="53" customFormat="1" hidden="1" x14ac:dyDescent="0.2">
      <c r="A496" s="383"/>
      <c r="B496" s="379"/>
      <c r="C496" s="106"/>
      <c r="D496" s="107"/>
      <c r="E496" s="108"/>
      <c r="F496" s="109"/>
      <c r="G496" s="103"/>
      <c r="H496" s="103"/>
      <c r="I496" s="102"/>
      <c r="J496" s="102"/>
      <c r="K496" s="78"/>
      <c r="L496" s="110"/>
      <c r="M496" s="105" t="str">
        <f t="shared" si="7"/>
        <v xml:space="preserve">   </v>
      </c>
    </row>
    <row r="497" spans="1:13" s="53" customFormat="1" hidden="1" x14ac:dyDescent="0.2">
      <c r="A497" s="383"/>
      <c r="B497" s="379"/>
      <c r="C497" s="106"/>
      <c r="D497" s="107"/>
      <c r="E497" s="108"/>
      <c r="F497" s="109"/>
      <c r="G497" s="103"/>
      <c r="H497" s="103"/>
      <c r="I497" s="102"/>
      <c r="J497" s="102"/>
      <c r="K497" s="78"/>
      <c r="L497" s="110"/>
      <c r="M497" s="105" t="str">
        <f t="shared" si="7"/>
        <v xml:space="preserve">   </v>
      </c>
    </row>
    <row r="498" spans="1:13" s="53" customFormat="1" hidden="1" x14ac:dyDescent="0.2">
      <c r="A498" s="383"/>
      <c r="B498" s="379"/>
      <c r="C498" s="106"/>
      <c r="D498" s="107"/>
      <c r="E498" s="108"/>
      <c r="F498" s="109"/>
      <c r="G498" s="103"/>
      <c r="H498" s="103"/>
      <c r="I498" s="102"/>
      <c r="J498" s="102"/>
      <c r="K498" s="78"/>
      <c r="L498" s="110"/>
      <c r="M498" s="105" t="str">
        <f t="shared" si="7"/>
        <v xml:space="preserve">   </v>
      </c>
    </row>
    <row r="499" spans="1:13" s="53" customFormat="1" hidden="1" x14ac:dyDescent="0.2">
      <c r="A499" s="383"/>
      <c r="B499" s="379"/>
      <c r="C499" s="106"/>
      <c r="D499" s="107"/>
      <c r="E499" s="108"/>
      <c r="F499" s="109"/>
      <c r="G499" s="103"/>
      <c r="H499" s="103"/>
      <c r="I499" s="102"/>
      <c r="J499" s="102"/>
      <c r="K499" s="78"/>
      <c r="L499" s="110"/>
      <c r="M499" s="105" t="str">
        <f t="shared" si="7"/>
        <v xml:space="preserve">   </v>
      </c>
    </row>
    <row r="500" spans="1:13" s="53" customFormat="1" hidden="1" x14ac:dyDescent="0.2">
      <c r="A500" s="383"/>
      <c r="B500" s="379"/>
      <c r="C500" s="106"/>
      <c r="D500" s="107"/>
      <c r="E500" s="108"/>
      <c r="F500" s="109"/>
      <c r="G500" s="103"/>
      <c r="H500" s="103"/>
      <c r="I500" s="102"/>
      <c r="J500" s="102"/>
      <c r="K500" s="78"/>
      <c r="L500" s="110"/>
      <c r="M500" s="105" t="str">
        <f t="shared" si="7"/>
        <v xml:space="preserve">   </v>
      </c>
    </row>
    <row r="501" spans="1:13" s="53" customFormat="1" ht="12.75" hidden="1" customHeight="1" x14ac:dyDescent="0.2">
      <c r="A501" s="383" t="s">
        <v>66</v>
      </c>
      <c r="B501" s="379" t="s">
        <v>88</v>
      </c>
      <c r="C501" s="102"/>
      <c r="D501" s="102"/>
      <c r="E501" s="102"/>
      <c r="F501" s="102"/>
      <c r="G501" s="103"/>
      <c r="H501" s="103"/>
      <c r="I501" s="102"/>
      <c r="J501" s="102"/>
      <c r="K501" s="78"/>
      <c r="L501" s="104" t="str">
        <f>CONCATENATE(C501," ",D501," ",E501," ",F501," ",C502," ",D502," ",E502," ",F502)</f>
        <v xml:space="preserve">       </v>
      </c>
      <c r="M501" s="105" t="str">
        <f t="shared" si="7"/>
        <v xml:space="preserve">   </v>
      </c>
    </row>
    <row r="502" spans="1:13" s="53" customFormat="1" hidden="1" x14ac:dyDescent="0.2">
      <c r="A502" s="383"/>
      <c r="B502" s="379"/>
      <c r="C502" s="106"/>
      <c r="D502" s="107"/>
      <c r="E502" s="108"/>
      <c r="F502" s="109"/>
      <c r="G502" s="103"/>
      <c r="H502" s="103"/>
      <c r="I502" s="102"/>
      <c r="J502" s="102"/>
      <c r="K502" s="78"/>
      <c r="L502" s="110"/>
      <c r="M502" s="105" t="str">
        <f t="shared" si="7"/>
        <v xml:space="preserve">   </v>
      </c>
    </row>
    <row r="503" spans="1:13" s="53" customFormat="1" hidden="1" x14ac:dyDescent="0.2">
      <c r="A503" s="383"/>
      <c r="B503" s="379"/>
      <c r="C503" s="106"/>
      <c r="D503" s="107"/>
      <c r="E503" s="108"/>
      <c r="F503" s="109"/>
      <c r="G503" s="103"/>
      <c r="H503" s="103"/>
      <c r="I503" s="102"/>
      <c r="J503" s="102"/>
      <c r="K503" s="78"/>
      <c r="L503" s="110"/>
      <c r="M503" s="105" t="str">
        <f t="shared" si="7"/>
        <v xml:space="preserve">   </v>
      </c>
    </row>
    <row r="504" spans="1:13" s="53" customFormat="1" hidden="1" x14ac:dyDescent="0.2">
      <c r="A504" s="383"/>
      <c r="B504" s="379"/>
      <c r="C504" s="106"/>
      <c r="D504" s="107"/>
      <c r="E504" s="108"/>
      <c r="F504" s="109"/>
      <c r="G504" s="103"/>
      <c r="H504" s="103"/>
      <c r="I504" s="102"/>
      <c r="J504" s="102"/>
      <c r="K504" s="78"/>
      <c r="L504" s="110"/>
      <c r="M504" s="105" t="str">
        <f t="shared" si="7"/>
        <v xml:space="preserve">   </v>
      </c>
    </row>
    <row r="505" spans="1:13" s="53" customFormat="1" hidden="1" x14ac:dyDescent="0.2">
      <c r="A505" s="383"/>
      <c r="B505" s="379"/>
      <c r="C505" s="106"/>
      <c r="D505" s="107"/>
      <c r="E505" s="108"/>
      <c r="F505" s="109"/>
      <c r="G505" s="103"/>
      <c r="H505" s="103"/>
      <c r="I505" s="102"/>
      <c r="J505" s="102"/>
      <c r="K505" s="78"/>
      <c r="L505" s="110"/>
      <c r="M505" s="105" t="str">
        <f t="shared" si="7"/>
        <v xml:space="preserve">   </v>
      </c>
    </row>
    <row r="506" spans="1:13" s="53" customFormat="1" hidden="1" x14ac:dyDescent="0.2">
      <c r="A506" s="383"/>
      <c r="B506" s="379"/>
      <c r="C506" s="106"/>
      <c r="D506" s="107"/>
      <c r="E506" s="108"/>
      <c r="F506" s="109"/>
      <c r="G506" s="103"/>
      <c r="H506" s="103"/>
      <c r="I506" s="102"/>
      <c r="J506" s="102"/>
      <c r="K506" s="78"/>
      <c r="L506" s="110"/>
      <c r="M506" s="105" t="str">
        <f t="shared" si="7"/>
        <v xml:space="preserve">   </v>
      </c>
    </row>
    <row r="507" spans="1:13" s="53" customFormat="1" hidden="1" x14ac:dyDescent="0.2">
      <c r="A507" s="383"/>
      <c r="B507" s="379"/>
      <c r="C507" s="106"/>
      <c r="D507" s="107"/>
      <c r="E507" s="108"/>
      <c r="F507" s="109"/>
      <c r="G507" s="103"/>
      <c r="H507" s="103"/>
      <c r="I507" s="102"/>
      <c r="J507" s="102"/>
      <c r="K507" s="78"/>
      <c r="L507" s="110"/>
      <c r="M507" s="105" t="str">
        <f t="shared" si="7"/>
        <v xml:space="preserve">   </v>
      </c>
    </row>
    <row r="508" spans="1:13" s="53" customFormat="1" hidden="1" x14ac:dyDescent="0.2">
      <c r="A508" s="383"/>
      <c r="B508" s="379"/>
      <c r="C508" s="106"/>
      <c r="D508" s="107"/>
      <c r="E508" s="108"/>
      <c r="F508" s="109"/>
      <c r="G508" s="103"/>
      <c r="H508" s="103"/>
      <c r="I508" s="102"/>
      <c r="J508" s="102"/>
      <c r="K508" s="78"/>
      <c r="L508" s="110"/>
      <c r="M508" s="105" t="str">
        <f t="shared" si="7"/>
        <v xml:space="preserve">   </v>
      </c>
    </row>
    <row r="509" spans="1:13" s="53" customFormat="1" hidden="1" x14ac:dyDescent="0.2">
      <c r="A509" s="383"/>
      <c r="B509" s="379"/>
      <c r="C509" s="106"/>
      <c r="D509" s="107"/>
      <c r="E509" s="108"/>
      <c r="F509" s="109"/>
      <c r="G509" s="103"/>
      <c r="H509" s="103"/>
      <c r="I509" s="102"/>
      <c r="J509" s="102"/>
      <c r="K509" s="78"/>
      <c r="L509" s="110"/>
      <c r="M509" s="105" t="str">
        <f t="shared" si="7"/>
        <v xml:space="preserve">   </v>
      </c>
    </row>
    <row r="510" spans="1:13" s="53" customFormat="1" hidden="1" x14ac:dyDescent="0.2">
      <c r="A510" s="383"/>
      <c r="B510" s="379"/>
      <c r="C510" s="106"/>
      <c r="D510" s="107"/>
      <c r="E510" s="108"/>
      <c r="F510" s="109"/>
      <c r="G510" s="103"/>
      <c r="H510" s="103"/>
      <c r="I510" s="102"/>
      <c r="J510" s="102"/>
      <c r="K510" s="78"/>
      <c r="L510" s="110"/>
      <c r="M510" s="105" t="str">
        <f t="shared" si="7"/>
        <v xml:space="preserve">   </v>
      </c>
    </row>
    <row r="511" spans="1:13" s="46" customFormat="1" ht="49.5" customHeight="1" x14ac:dyDescent="0.2">
      <c r="A511" s="383" t="s">
        <v>66</v>
      </c>
      <c r="B511" s="378" t="s">
        <v>89</v>
      </c>
      <c r="C511" s="171" t="s">
        <v>379</v>
      </c>
      <c r="D511" s="172" t="s">
        <v>161</v>
      </c>
      <c r="E511" s="172" t="s">
        <v>380</v>
      </c>
      <c r="F511" s="172" t="s">
        <v>381</v>
      </c>
      <c r="G511" s="171" t="s">
        <v>267</v>
      </c>
      <c r="H511" s="173" t="s">
        <v>382</v>
      </c>
      <c r="I511" s="172" t="s">
        <v>383</v>
      </c>
      <c r="J511" s="172" t="s">
        <v>384</v>
      </c>
      <c r="K511" s="78"/>
      <c r="L511" s="289" t="str">
        <f>CONCATENATE(C511," ",D511," ",E511," ",F511," ",C512," ",D512," ",E512," ",F512)</f>
        <v>CE3 C1 Utilizar metodologías para identificar oportunidades de negocio tomando en cuenta el programa de estudios y las necesidades del mercado.  
CE3 C2 Formular planes de negocio innovadores vinculados al programa de estudio  considerando un proceso metodológico que genere valor, sea sostenible y preserve el ambiente.</v>
      </c>
      <c r="M511" s="286" t="str">
        <f t="shared" si="7"/>
        <v>C1  I1 Describe las metodologías del emprendimiento y la innovación a utilizarse de acuerdo al proceso de elaboración del plan de negocio.</v>
      </c>
    </row>
    <row r="512" spans="1:13" s="46" customFormat="1" ht="51" x14ac:dyDescent="0.2">
      <c r="A512" s="383"/>
      <c r="B512" s="378"/>
      <c r="C512" s="171" t="s">
        <v>385</v>
      </c>
      <c r="D512" s="172" t="s">
        <v>386</v>
      </c>
      <c r="E512" s="172" t="s">
        <v>387</v>
      </c>
      <c r="F512" s="172" t="s">
        <v>388</v>
      </c>
      <c r="G512" s="171" t="s">
        <v>275</v>
      </c>
      <c r="H512" s="173" t="s">
        <v>178</v>
      </c>
      <c r="I512" s="172" t="s">
        <v>389</v>
      </c>
      <c r="J512" s="172" t="s">
        <v>390</v>
      </c>
      <c r="K512" s="78"/>
      <c r="L512" s="288"/>
      <c r="M512" s="286" t="str">
        <f t="shared" si="7"/>
        <v xml:space="preserve">C1  I2 Emplea métodos y técnicas para identificar oportunidades de negocios innovadores según el programa de estudios y las necesidades del mercado. </v>
      </c>
    </row>
    <row r="513" spans="1:13" s="46" customFormat="1" ht="50.25" customHeight="1" x14ac:dyDescent="0.2">
      <c r="A513" s="383"/>
      <c r="B513" s="378"/>
      <c r="C513" s="174"/>
      <c r="D513" s="175"/>
      <c r="E513" s="176"/>
      <c r="F513" s="177"/>
      <c r="G513" s="171" t="s">
        <v>279</v>
      </c>
      <c r="H513" s="173" t="s">
        <v>382</v>
      </c>
      <c r="I513" s="172" t="s">
        <v>391</v>
      </c>
      <c r="J513" s="172" t="s">
        <v>507</v>
      </c>
      <c r="K513" s="78"/>
      <c r="L513" s="288"/>
      <c r="M513" s="286" t="str">
        <f t="shared" si="7"/>
        <v>C2  I2 Describe estrategias de marketing de acuerdo a la idea de negocio definida que genere valor y conserve el ambiente.</v>
      </c>
    </row>
    <row r="514" spans="1:13" s="46" customFormat="1" ht="0.75" customHeight="1" x14ac:dyDescent="0.2">
      <c r="A514" s="383"/>
      <c r="B514" s="378"/>
      <c r="C514" s="174"/>
      <c r="D514" s="175"/>
      <c r="E514" s="176"/>
      <c r="F514" s="177"/>
      <c r="G514" s="171"/>
      <c r="H514" s="173"/>
      <c r="I514" s="172"/>
      <c r="J514" s="172" t="s">
        <v>506</v>
      </c>
      <c r="K514" s="78"/>
      <c r="L514" s="288"/>
      <c r="M514" s="286" t="str">
        <f t="shared" si="7"/>
        <v xml:space="preserve">    </v>
      </c>
    </row>
    <row r="515" spans="1:13" s="53" customFormat="1" hidden="1" x14ac:dyDescent="0.2">
      <c r="A515" s="383"/>
      <c r="B515" s="378"/>
      <c r="C515" s="106"/>
      <c r="D515" s="107"/>
      <c r="E515" s="108"/>
      <c r="F515" s="109"/>
      <c r="G515" s="103"/>
      <c r="H515" s="103"/>
      <c r="I515" s="102"/>
      <c r="J515" s="102"/>
      <c r="K515" s="78"/>
      <c r="L515" s="110"/>
      <c r="M515" s="105" t="str">
        <f t="shared" si="7"/>
        <v xml:space="preserve">   </v>
      </c>
    </row>
    <row r="516" spans="1:13" s="53" customFormat="1" hidden="1" x14ac:dyDescent="0.2">
      <c r="A516" s="383"/>
      <c r="B516" s="378"/>
      <c r="C516" s="106"/>
      <c r="D516" s="107"/>
      <c r="E516" s="108"/>
      <c r="F516" s="109"/>
      <c r="G516" s="103"/>
      <c r="H516" s="103"/>
      <c r="I516" s="102"/>
      <c r="J516" s="102"/>
      <c r="K516" s="78"/>
      <c r="L516" s="110"/>
      <c r="M516" s="105" t="str">
        <f t="shared" si="7"/>
        <v xml:space="preserve">   </v>
      </c>
    </row>
    <row r="517" spans="1:13" s="53" customFormat="1" hidden="1" x14ac:dyDescent="0.2">
      <c r="A517" s="383"/>
      <c r="B517" s="378"/>
      <c r="C517" s="106"/>
      <c r="D517" s="107"/>
      <c r="E517" s="108"/>
      <c r="F517" s="109"/>
      <c r="G517" s="103"/>
      <c r="H517" s="103"/>
      <c r="I517" s="102"/>
      <c r="J517" s="102"/>
      <c r="K517" s="78"/>
      <c r="L517" s="110"/>
      <c r="M517" s="105" t="str">
        <f t="shared" si="7"/>
        <v xml:space="preserve">   </v>
      </c>
    </row>
    <row r="518" spans="1:13" s="53" customFormat="1" hidden="1" x14ac:dyDescent="0.2">
      <c r="A518" s="383"/>
      <c r="B518" s="378"/>
      <c r="C518" s="106"/>
      <c r="D518" s="107"/>
      <c r="E518" s="108"/>
      <c r="F518" s="109"/>
      <c r="G518" s="103"/>
      <c r="H518" s="103"/>
      <c r="I518" s="102"/>
      <c r="J518" s="102"/>
      <c r="K518" s="78"/>
      <c r="L518" s="110"/>
      <c r="M518" s="105" t="str">
        <f t="shared" si="7"/>
        <v xml:space="preserve">   </v>
      </c>
    </row>
    <row r="519" spans="1:13" s="46" customFormat="1" hidden="1" x14ac:dyDescent="0.2">
      <c r="A519" s="383"/>
      <c r="B519" s="378"/>
      <c r="C519" s="106"/>
      <c r="D519" s="107"/>
      <c r="E519" s="108"/>
      <c r="F519" s="109"/>
      <c r="G519" s="103"/>
      <c r="H519" s="103"/>
      <c r="I519" s="102"/>
      <c r="J519" s="102"/>
      <c r="K519" s="78"/>
      <c r="L519" s="110"/>
      <c r="M519" s="105" t="str">
        <f t="shared" si="7"/>
        <v xml:space="preserve">   </v>
      </c>
    </row>
    <row r="520" spans="1:13" s="46" customFormat="1" hidden="1" x14ac:dyDescent="0.2">
      <c r="A520" s="383"/>
      <c r="B520" s="378"/>
      <c r="C520" s="113"/>
      <c r="D520" s="114"/>
      <c r="E520" s="115"/>
      <c r="F520" s="116"/>
      <c r="G520" s="103"/>
      <c r="H520" s="103"/>
      <c r="I520" s="102"/>
      <c r="J520" s="102"/>
      <c r="K520" s="78"/>
      <c r="L520" s="110"/>
      <c r="M520" s="105" t="str">
        <f t="shared" si="7"/>
        <v xml:space="preserve">   </v>
      </c>
    </row>
    <row r="521" spans="1:13" s="46" customFormat="1" ht="88.5" customHeight="1" x14ac:dyDescent="0.2">
      <c r="A521" s="383" t="s">
        <v>66</v>
      </c>
      <c r="B521" s="378" t="s">
        <v>89</v>
      </c>
      <c r="C521" s="171" t="s">
        <v>392</v>
      </c>
      <c r="D521" s="172" t="s">
        <v>393</v>
      </c>
      <c r="E521" s="172" t="s">
        <v>394</v>
      </c>
      <c r="F521" s="172" t="s">
        <v>395</v>
      </c>
      <c r="G521" s="171" t="s">
        <v>267</v>
      </c>
      <c r="H521" s="173" t="s">
        <v>396</v>
      </c>
      <c r="I521" s="172" t="s">
        <v>397</v>
      </c>
      <c r="J521" s="172" t="s">
        <v>398</v>
      </c>
      <c r="K521" s="78"/>
      <c r="L521" s="289" t="str">
        <f>CONCATENATE(C521," ",D521," ",E521," ",F521," ",C522," ",D522," ",E522," ",F522)</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M521" s="286" t="str">
        <f t="shared" si="7"/>
        <v>C1  I1 Ejerce los principios de la democracia tomando en cuenta la optimización de sus relaciones interpersonales.</v>
      </c>
    </row>
    <row r="522" spans="1:13" s="46" customFormat="1" ht="56.25" customHeight="1" x14ac:dyDescent="0.2">
      <c r="A522" s="383"/>
      <c r="B522" s="378"/>
      <c r="C522" s="171" t="s">
        <v>399</v>
      </c>
      <c r="D522" s="172" t="s">
        <v>400</v>
      </c>
      <c r="E522" s="172" t="s">
        <v>179</v>
      </c>
      <c r="F522" s="172" t="s">
        <v>401</v>
      </c>
      <c r="G522" s="171" t="s">
        <v>275</v>
      </c>
      <c r="H522" s="173" t="s">
        <v>167</v>
      </c>
      <c r="I522" s="172" t="s">
        <v>402</v>
      </c>
      <c r="J522" s="172" t="s">
        <v>403</v>
      </c>
      <c r="K522" s="78"/>
      <c r="L522" s="288"/>
      <c r="M522" s="286" t="str">
        <f t="shared" si="7"/>
        <v>C1  I2 Aplica valores éticos  en el marco de sus relaciones laborales.</v>
      </c>
    </row>
    <row r="523" spans="1:13" s="46" customFormat="1" ht="109.5" customHeight="1" x14ac:dyDescent="0.2">
      <c r="A523" s="383"/>
      <c r="B523" s="378"/>
      <c r="C523" s="174"/>
      <c r="D523" s="174"/>
      <c r="E523" s="174"/>
      <c r="F523" s="177"/>
      <c r="G523" s="171" t="s">
        <v>277</v>
      </c>
      <c r="H523" s="173" t="s">
        <v>404</v>
      </c>
      <c r="I523" s="172" t="s">
        <v>405</v>
      </c>
      <c r="J523" s="172" t="s">
        <v>406</v>
      </c>
      <c r="K523" s="78"/>
      <c r="L523" s="288"/>
      <c r="M523" s="286" t="str">
        <f t="shared" ref="M523:M586" si="8">CONCATENATE(G523," ",H523," ",I523," ",J523)</f>
        <v>C2  I1 Actúa de manera ética  desde los múltiples roles que asume en su vida cotidiana y laboral fomentando una cultura transparente y de anticorrupción, orientada al bien común y a la ética profesional.</v>
      </c>
    </row>
    <row r="524" spans="1:13" s="46" customFormat="1" ht="45.75" customHeight="1" x14ac:dyDescent="0.2">
      <c r="A524" s="383"/>
      <c r="B524" s="378"/>
      <c r="C524" s="248"/>
      <c r="D524" s="248"/>
      <c r="E524" s="248"/>
      <c r="F524" s="248"/>
      <c r="G524" s="171" t="s">
        <v>279</v>
      </c>
      <c r="H524" s="173" t="s">
        <v>168</v>
      </c>
      <c r="I524" s="172" t="s">
        <v>407</v>
      </c>
      <c r="J524" s="172" t="s">
        <v>408</v>
      </c>
      <c r="K524" s="78"/>
      <c r="L524" s="290"/>
      <c r="M524" s="286" t="str">
        <f t="shared" si="8"/>
        <v xml:space="preserve">C2  I2 Elabora  un código de ética  para su quehacer laboral orientado al bien común y a la dignidad de las personas. </v>
      </c>
    </row>
    <row r="525" spans="1:13" s="53" customFormat="1" hidden="1" x14ac:dyDescent="0.2">
      <c r="A525" s="383"/>
      <c r="B525" s="378"/>
      <c r="C525" s="106"/>
      <c r="D525" s="107"/>
      <c r="E525" s="108"/>
      <c r="F525" s="109"/>
      <c r="G525" s="103"/>
      <c r="H525" s="103"/>
      <c r="I525" s="102"/>
      <c r="J525" s="102"/>
      <c r="K525" s="78"/>
      <c r="L525" s="249"/>
      <c r="M525" s="105" t="str">
        <f t="shared" si="8"/>
        <v xml:space="preserve">   </v>
      </c>
    </row>
    <row r="526" spans="1:13" s="53" customFormat="1" hidden="1" x14ac:dyDescent="0.2">
      <c r="A526" s="383"/>
      <c r="B526" s="378"/>
      <c r="C526" s="106"/>
      <c r="D526" s="107"/>
      <c r="E526" s="108"/>
      <c r="F526" s="109"/>
      <c r="G526" s="103"/>
      <c r="H526" s="103"/>
      <c r="I526" s="102"/>
      <c r="J526" s="102"/>
      <c r="K526" s="78"/>
      <c r="L526" s="110"/>
      <c r="M526" s="105" t="str">
        <f t="shared" si="8"/>
        <v xml:space="preserve">   </v>
      </c>
    </row>
    <row r="527" spans="1:13" s="53" customFormat="1" hidden="1" x14ac:dyDescent="0.2">
      <c r="A527" s="383"/>
      <c r="B527" s="378"/>
      <c r="C527" s="106"/>
      <c r="D527" s="107"/>
      <c r="E527" s="108"/>
      <c r="F527" s="109"/>
      <c r="G527" s="103"/>
      <c r="H527" s="103"/>
      <c r="I527" s="102"/>
      <c r="J527" s="102"/>
      <c r="K527" s="78"/>
      <c r="L527" s="110"/>
      <c r="M527" s="105" t="str">
        <f t="shared" si="8"/>
        <v xml:space="preserve">   </v>
      </c>
    </row>
    <row r="528" spans="1:13" s="53" customFormat="1" hidden="1" x14ac:dyDescent="0.2">
      <c r="A528" s="383"/>
      <c r="B528" s="378"/>
      <c r="C528" s="106"/>
      <c r="D528" s="107"/>
      <c r="E528" s="108"/>
      <c r="F528" s="109"/>
      <c r="G528" s="103"/>
      <c r="H528" s="103"/>
      <c r="I528" s="102"/>
      <c r="J528" s="102"/>
      <c r="K528" s="78"/>
      <c r="L528" s="110"/>
      <c r="M528" s="105" t="str">
        <f t="shared" si="8"/>
        <v xml:space="preserve">   </v>
      </c>
    </row>
    <row r="529" spans="1:13" s="46" customFormat="1" hidden="1" x14ac:dyDescent="0.2">
      <c r="A529" s="383"/>
      <c r="B529" s="378"/>
      <c r="C529" s="106"/>
      <c r="D529" s="107"/>
      <c r="E529" s="108"/>
      <c r="F529" s="109"/>
      <c r="G529" s="103"/>
      <c r="H529" s="103"/>
      <c r="I529" s="102"/>
      <c r="J529" s="102"/>
      <c r="K529" s="78"/>
      <c r="L529" s="110"/>
      <c r="M529" s="105" t="str">
        <f t="shared" si="8"/>
        <v xml:space="preserve">   </v>
      </c>
    </row>
    <row r="530" spans="1:13" s="46" customFormat="1" hidden="1" x14ac:dyDescent="0.2">
      <c r="A530" s="383"/>
      <c r="B530" s="378"/>
      <c r="C530" s="113"/>
      <c r="D530" s="114"/>
      <c r="E530" s="115"/>
      <c r="F530" s="116"/>
      <c r="G530" s="103"/>
      <c r="H530" s="103"/>
      <c r="I530" s="102"/>
      <c r="J530" s="102"/>
      <c r="K530" s="78"/>
      <c r="L530" s="117"/>
      <c r="M530" s="105" t="str">
        <f t="shared" si="8"/>
        <v xml:space="preserve">   </v>
      </c>
    </row>
    <row r="531" spans="1:13" s="46" customFormat="1" ht="15" hidden="1" customHeight="1" x14ac:dyDescent="0.2">
      <c r="A531" s="383" t="s">
        <v>66</v>
      </c>
      <c r="B531" s="378" t="s">
        <v>89</v>
      </c>
      <c r="C531" s="102"/>
      <c r="D531" s="102"/>
      <c r="E531" s="102"/>
      <c r="F531" s="102"/>
      <c r="G531" s="103"/>
      <c r="H531" s="103"/>
      <c r="I531" s="102"/>
      <c r="J531" s="102"/>
      <c r="K531" s="78"/>
      <c r="L531" s="111" t="str">
        <f>CONCATENATE(C531," ",D531," ",E531," ",F531," ",C532," ",D532," ",E532," ",F532)</f>
        <v xml:space="preserve">       </v>
      </c>
      <c r="M531" s="105" t="str">
        <f t="shared" si="8"/>
        <v xml:space="preserve">   </v>
      </c>
    </row>
    <row r="532" spans="1:13" s="46" customFormat="1" hidden="1" x14ac:dyDescent="0.2">
      <c r="A532" s="383"/>
      <c r="B532" s="378"/>
      <c r="C532" s="112"/>
      <c r="D532" s="107"/>
      <c r="E532" s="108"/>
      <c r="F532" s="109"/>
      <c r="G532" s="103"/>
      <c r="H532" s="103"/>
      <c r="I532" s="102"/>
      <c r="J532" s="102"/>
      <c r="K532" s="78"/>
      <c r="L532" s="110"/>
      <c r="M532" s="105" t="str">
        <f t="shared" si="8"/>
        <v xml:space="preserve">   </v>
      </c>
    </row>
    <row r="533" spans="1:13" s="46" customFormat="1" hidden="1" x14ac:dyDescent="0.2">
      <c r="A533" s="383"/>
      <c r="B533" s="378"/>
      <c r="C533" s="106"/>
      <c r="D533" s="107"/>
      <c r="E533" s="108"/>
      <c r="F533" s="109"/>
      <c r="G533" s="103"/>
      <c r="H533" s="103"/>
      <c r="I533" s="102"/>
      <c r="J533" s="102"/>
      <c r="K533" s="78"/>
      <c r="L533" s="110"/>
      <c r="M533" s="105" t="str">
        <f t="shared" si="8"/>
        <v xml:space="preserve">   </v>
      </c>
    </row>
    <row r="534" spans="1:13" s="46" customFormat="1" hidden="1" x14ac:dyDescent="0.2">
      <c r="A534" s="383"/>
      <c r="B534" s="378"/>
      <c r="C534" s="106"/>
      <c r="D534" s="107"/>
      <c r="E534" s="108"/>
      <c r="F534" s="109"/>
      <c r="G534" s="103"/>
      <c r="H534" s="103"/>
      <c r="I534" s="102"/>
      <c r="J534" s="102"/>
      <c r="K534" s="78"/>
      <c r="L534" s="110"/>
      <c r="M534" s="105" t="str">
        <f t="shared" si="8"/>
        <v xml:space="preserve">   </v>
      </c>
    </row>
    <row r="535" spans="1:13" s="53" customFormat="1" hidden="1" x14ac:dyDescent="0.2">
      <c r="A535" s="383"/>
      <c r="B535" s="378"/>
      <c r="C535" s="106"/>
      <c r="D535" s="107"/>
      <c r="E535" s="108"/>
      <c r="F535" s="109"/>
      <c r="G535" s="103"/>
      <c r="H535" s="103"/>
      <c r="I535" s="102"/>
      <c r="J535" s="102"/>
      <c r="K535" s="78"/>
      <c r="L535" s="110"/>
      <c r="M535" s="105" t="str">
        <f t="shared" si="8"/>
        <v xml:space="preserve">   </v>
      </c>
    </row>
    <row r="536" spans="1:13" s="53" customFormat="1" hidden="1" x14ac:dyDescent="0.2">
      <c r="A536" s="383"/>
      <c r="B536" s="378"/>
      <c r="C536" s="106"/>
      <c r="D536" s="107"/>
      <c r="E536" s="108"/>
      <c r="F536" s="109"/>
      <c r="G536" s="103"/>
      <c r="H536" s="103"/>
      <c r="I536" s="102"/>
      <c r="J536" s="102"/>
      <c r="K536" s="78"/>
      <c r="L536" s="110"/>
      <c r="M536" s="105" t="str">
        <f t="shared" si="8"/>
        <v xml:space="preserve">   </v>
      </c>
    </row>
    <row r="537" spans="1:13" s="53" customFormat="1" hidden="1" x14ac:dyDescent="0.2">
      <c r="A537" s="383"/>
      <c r="B537" s="378"/>
      <c r="C537" s="106"/>
      <c r="D537" s="107"/>
      <c r="E537" s="108"/>
      <c r="F537" s="109"/>
      <c r="G537" s="103"/>
      <c r="H537" s="103"/>
      <c r="I537" s="102"/>
      <c r="J537" s="102"/>
      <c r="K537" s="78"/>
      <c r="L537" s="110"/>
      <c r="M537" s="105" t="str">
        <f t="shared" si="8"/>
        <v xml:space="preserve">   </v>
      </c>
    </row>
    <row r="538" spans="1:13" s="53" customFormat="1" hidden="1" x14ac:dyDescent="0.2">
      <c r="A538" s="383"/>
      <c r="B538" s="378"/>
      <c r="C538" s="106"/>
      <c r="D538" s="107"/>
      <c r="E538" s="108"/>
      <c r="F538" s="109"/>
      <c r="G538" s="103"/>
      <c r="H538" s="103"/>
      <c r="I538" s="102"/>
      <c r="J538" s="102"/>
      <c r="K538" s="78"/>
      <c r="L538" s="110"/>
      <c r="M538" s="105" t="str">
        <f t="shared" si="8"/>
        <v xml:space="preserve">   </v>
      </c>
    </row>
    <row r="539" spans="1:13" s="46" customFormat="1" hidden="1" x14ac:dyDescent="0.2">
      <c r="A539" s="383"/>
      <c r="B539" s="378"/>
      <c r="C539" s="106"/>
      <c r="D539" s="107"/>
      <c r="E539" s="108"/>
      <c r="F539" s="109"/>
      <c r="G539" s="103"/>
      <c r="H539" s="103"/>
      <c r="I539" s="102"/>
      <c r="J539" s="102"/>
      <c r="K539" s="78"/>
      <c r="L539" s="110"/>
      <c r="M539" s="105" t="str">
        <f t="shared" si="8"/>
        <v xml:space="preserve">   </v>
      </c>
    </row>
    <row r="540" spans="1:13" s="46" customFormat="1" hidden="1" x14ac:dyDescent="0.2">
      <c r="A540" s="383"/>
      <c r="B540" s="378"/>
      <c r="C540" s="113"/>
      <c r="D540" s="114"/>
      <c r="E540" s="115"/>
      <c r="F540" s="116"/>
      <c r="G540" s="103"/>
      <c r="H540" s="103"/>
      <c r="I540" s="102"/>
      <c r="J540" s="102"/>
      <c r="K540" s="78"/>
      <c r="L540" s="110"/>
      <c r="M540" s="105" t="str">
        <f t="shared" si="8"/>
        <v xml:space="preserve">   </v>
      </c>
    </row>
    <row r="541" spans="1:13" s="46" customFormat="1" ht="15" hidden="1" customHeight="1" x14ac:dyDescent="0.2">
      <c r="A541" s="383" t="s">
        <v>66</v>
      </c>
      <c r="B541" s="378" t="s">
        <v>89</v>
      </c>
      <c r="C541" s="102"/>
      <c r="D541" s="102"/>
      <c r="E541" s="102"/>
      <c r="F541" s="102"/>
      <c r="G541" s="103"/>
      <c r="H541" s="103"/>
      <c r="I541" s="102"/>
      <c r="J541" s="102"/>
      <c r="K541" s="78"/>
      <c r="L541" s="111" t="str">
        <f>CONCATENATE(C541," ",D541," ",E541," ",F541," ",C542," ",D542," ",E542," ",F542)</f>
        <v xml:space="preserve">       </v>
      </c>
      <c r="M541" s="105" t="str">
        <f t="shared" si="8"/>
        <v xml:space="preserve">   </v>
      </c>
    </row>
    <row r="542" spans="1:13" s="46" customFormat="1" hidden="1" x14ac:dyDescent="0.2">
      <c r="A542" s="383"/>
      <c r="B542" s="378"/>
      <c r="C542" s="112"/>
      <c r="D542" s="107"/>
      <c r="E542" s="108"/>
      <c r="F542" s="109"/>
      <c r="G542" s="103"/>
      <c r="H542" s="103"/>
      <c r="I542" s="102"/>
      <c r="J542" s="102"/>
      <c r="K542" s="78"/>
      <c r="L542" s="110"/>
      <c r="M542" s="105" t="str">
        <f t="shared" si="8"/>
        <v xml:space="preserve">   </v>
      </c>
    </row>
    <row r="543" spans="1:13" s="46" customFormat="1" hidden="1" x14ac:dyDescent="0.2">
      <c r="A543" s="383"/>
      <c r="B543" s="378"/>
      <c r="C543" s="106"/>
      <c r="D543" s="107"/>
      <c r="E543" s="108"/>
      <c r="F543" s="109"/>
      <c r="G543" s="103"/>
      <c r="H543" s="103"/>
      <c r="I543" s="102"/>
      <c r="J543" s="102"/>
      <c r="K543" s="78"/>
      <c r="L543" s="110"/>
      <c r="M543" s="105" t="str">
        <f t="shared" si="8"/>
        <v xml:space="preserve">   </v>
      </c>
    </row>
    <row r="544" spans="1:13" s="46" customFormat="1" hidden="1" x14ac:dyDescent="0.2">
      <c r="A544" s="383"/>
      <c r="B544" s="378"/>
      <c r="C544" s="106"/>
      <c r="D544" s="107"/>
      <c r="E544" s="108"/>
      <c r="F544" s="109"/>
      <c r="G544" s="103"/>
      <c r="H544" s="103"/>
      <c r="I544" s="102"/>
      <c r="J544" s="102"/>
      <c r="K544" s="78"/>
      <c r="L544" s="110"/>
      <c r="M544" s="105" t="str">
        <f t="shared" si="8"/>
        <v xml:space="preserve">   </v>
      </c>
    </row>
    <row r="545" spans="1:13" s="53" customFormat="1" hidden="1" x14ac:dyDescent="0.2">
      <c r="A545" s="383"/>
      <c r="B545" s="378"/>
      <c r="C545" s="106"/>
      <c r="D545" s="107"/>
      <c r="E545" s="108"/>
      <c r="F545" s="109"/>
      <c r="G545" s="103"/>
      <c r="H545" s="103"/>
      <c r="I545" s="102"/>
      <c r="J545" s="102"/>
      <c r="K545" s="78"/>
      <c r="L545" s="110"/>
      <c r="M545" s="105" t="str">
        <f t="shared" si="8"/>
        <v xml:space="preserve">   </v>
      </c>
    </row>
    <row r="546" spans="1:13" s="53" customFormat="1" hidden="1" x14ac:dyDescent="0.2">
      <c r="A546" s="383"/>
      <c r="B546" s="378"/>
      <c r="C546" s="106"/>
      <c r="D546" s="107"/>
      <c r="E546" s="108"/>
      <c r="F546" s="109"/>
      <c r="G546" s="103"/>
      <c r="H546" s="103"/>
      <c r="I546" s="102"/>
      <c r="J546" s="102"/>
      <c r="K546" s="78"/>
      <c r="L546" s="110"/>
      <c r="M546" s="105" t="str">
        <f t="shared" si="8"/>
        <v xml:space="preserve">   </v>
      </c>
    </row>
    <row r="547" spans="1:13" s="53" customFormat="1" hidden="1" x14ac:dyDescent="0.2">
      <c r="A547" s="383"/>
      <c r="B547" s="378"/>
      <c r="C547" s="106"/>
      <c r="D547" s="107"/>
      <c r="E547" s="108"/>
      <c r="F547" s="109"/>
      <c r="G547" s="103"/>
      <c r="H547" s="103"/>
      <c r="I547" s="102"/>
      <c r="J547" s="102"/>
      <c r="K547" s="78"/>
      <c r="L547" s="110"/>
      <c r="M547" s="105" t="str">
        <f t="shared" si="8"/>
        <v xml:space="preserve">   </v>
      </c>
    </row>
    <row r="548" spans="1:13" s="53" customFormat="1" hidden="1" x14ac:dyDescent="0.2">
      <c r="A548" s="383"/>
      <c r="B548" s="378"/>
      <c r="C548" s="106"/>
      <c r="D548" s="107"/>
      <c r="E548" s="108"/>
      <c r="F548" s="109"/>
      <c r="G548" s="103"/>
      <c r="H548" s="103"/>
      <c r="I548" s="102"/>
      <c r="J548" s="102"/>
      <c r="K548" s="78"/>
      <c r="L548" s="110"/>
      <c r="M548" s="105" t="str">
        <f t="shared" si="8"/>
        <v xml:space="preserve">   </v>
      </c>
    </row>
    <row r="549" spans="1:13" s="46" customFormat="1" hidden="1" x14ac:dyDescent="0.2">
      <c r="A549" s="383"/>
      <c r="B549" s="378"/>
      <c r="C549" s="106"/>
      <c r="D549" s="107"/>
      <c r="E549" s="108"/>
      <c r="F549" s="109"/>
      <c r="G549" s="103"/>
      <c r="H549" s="103"/>
      <c r="I549" s="102"/>
      <c r="J549" s="102"/>
      <c r="K549" s="78"/>
      <c r="L549" s="110"/>
      <c r="M549" s="105" t="str">
        <f t="shared" si="8"/>
        <v xml:space="preserve">   </v>
      </c>
    </row>
    <row r="550" spans="1:13" s="46" customFormat="1" hidden="1" x14ac:dyDescent="0.2">
      <c r="A550" s="383"/>
      <c r="B550" s="378"/>
      <c r="C550" s="113"/>
      <c r="D550" s="114"/>
      <c r="E550" s="115"/>
      <c r="F550" s="116"/>
      <c r="G550" s="103"/>
      <c r="H550" s="103"/>
      <c r="I550" s="102"/>
      <c r="J550" s="102"/>
      <c r="K550" s="78"/>
      <c r="L550" s="117"/>
      <c r="M550" s="105" t="str">
        <f t="shared" si="8"/>
        <v xml:space="preserve">   </v>
      </c>
    </row>
    <row r="551" spans="1:13" s="46" customFormat="1" ht="15" hidden="1" customHeight="1" x14ac:dyDescent="0.2">
      <c r="A551" s="383" t="s">
        <v>66</v>
      </c>
      <c r="B551" s="378" t="s">
        <v>89</v>
      </c>
      <c r="C551" s="102"/>
      <c r="D551" s="102"/>
      <c r="E551" s="102"/>
      <c r="F551" s="102"/>
      <c r="G551" s="103"/>
      <c r="H551" s="103"/>
      <c r="I551" s="102"/>
      <c r="J551" s="102"/>
      <c r="K551" s="78"/>
      <c r="L551" s="111" t="str">
        <f>CONCATENATE(C551," ",D551," ",E551," ",F551," ",C552," ",D552," ",E552," ",F552)</f>
        <v xml:space="preserve">       </v>
      </c>
      <c r="M551" s="105" t="str">
        <f t="shared" si="8"/>
        <v xml:space="preserve">   </v>
      </c>
    </row>
    <row r="552" spans="1:13" s="46" customFormat="1" hidden="1" x14ac:dyDescent="0.2">
      <c r="A552" s="383"/>
      <c r="B552" s="378"/>
      <c r="C552" s="112"/>
      <c r="D552" s="107"/>
      <c r="E552" s="108"/>
      <c r="F552" s="109"/>
      <c r="G552" s="103"/>
      <c r="H552" s="103"/>
      <c r="I552" s="102"/>
      <c r="J552" s="102"/>
      <c r="K552" s="78"/>
      <c r="L552" s="110"/>
      <c r="M552" s="105" t="str">
        <f t="shared" si="8"/>
        <v xml:space="preserve">   </v>
      </c>
    </row>
    <row r="553" spans="1:13" s="46" customFormat="1" hidden="1" x14ac:dyDescent="0.2">
      <c r="A553" s="383"/>
      <c r="B553" s="378"/>
      <c r="C553" s="106"/>
      <c r="D553" s="107"/>
      <c r="E553" s="108"/>
      <c r="F553" s="109"/>
      <c r="G553" s="103"/>
      <c r="H553" s="103"/>
      <c r="I553" s="102"/>
      <c r="J553" s="102"/>
      <c r="K553" s="78"/>
      <c r="L553" s="110"/>
      <c r="M553" s="105" t="str">
        <f t="shared" si="8"/>
        <v xml:space="preserve">   </v>
      </c>
    </row>
    <row r="554" spans="1:13" s="46" customFormat="1" hidden="1" x14ac:dyDescent="0.2">
      <c r="A554" s="383"/>
      <c r="B554" s="378"/>
      <c r="C554" s="106"/>
      <c r="D554" s="107"/>
      <c r="E554" s="108"/>
      <c r="F554" s="109"/>
      <c r="G554" s="103"/>
      <c r="H554" s="103"/>
      <c r="I554" s="102"/>
      <c r="J554" s="102"/>
      <c r="K554" s="78"/>
      <c r="L554" s="110"/>
      <c r="M554" s="105" t="str">
        <f t="shared" si="8"/>
        <v xml:space="preserve">   </v>
      </c>
    </row>
    <row r="555" spans="1:13" s="53" customFormat="1" hidden="1" x14ac:dyDescent="0.2">
      <c r="A555" s="383"/>
      <c r="B555" s="378"/>
      <c r="C555" s="106"/>
      <c r="D555" s="107"/>
      <c r="E555" s="108"/>
      <c r="F555" s="109"/>
      <c r="G555" s="103"/>
      <c r="H555" s="103"/>
      <c r="I555" s="102"/>
      <c r="J555" s="102"/>
      <c r="K555" s="78"/>
      <c r="L555" s="110"/>
      <c r="M555" s="105" t="str">
        <f t="shared" si="8"/>
        <v xml:space="preserve">   </v>
      </c>
    </row>
    <row r="556" spans="1:13" s="53" customFormat="1" hidden="1" x14ac:dyDescent="0.2">
      <c r="A556" s="383"/>
      <c r="B556" s="378"/>
      <c r="C556" s="106"/>
      <c r="D556" s="107"/>
      <c r="E556" s="108"/>
      <c r="F556" s="109"/>
      <c r="G556" s="103"/>
      <c r="H556" s="103"/>
      <c r="I556" s="102"/>
      <c r="J556" s="102"/>
      <c r="K556" s="78"/>
      <c r="L556" s="110"/>
      <c r="M556" s="105" t="str">
        <f t="shared" si="8"/>
        <v xml:space="preserve">   </v>
      </c>
    </row>
    <row r="557" spans="1:13" s="53" customFormat="1" hidden="1" x14ac:dyDescent="0.2">
      <c r="A557" s="383"/>
      <c r="B557" s="378"/>
      <c r="C557" s="106"/>
      <c r="D557" s="107"/>
      <c r="E557" s="108"/>
      <c r="F557" s="109"/>
      <c r="G557" s="103"/>
      <c r="H557" s="103"/>
      <c r="I557" s="102"/>
      <c r="J557" s="102"/>
      <c r="K557" s="78"/>
      <c r="L557" s="110"/>
      <c r="M557" s="105" t="str">
        <f t="shared" si="8"/>
        <v xml:space="preserve">   </v>
      </c>
    </row>
    <row r="558" spans="1:13" s="53" customFormat="1" hidden="1" x14ac:dyDescent="0.2">
      <c r="A558" s="383"/>
      <c r="B558" s="378"/>
      <c r="C558" s="106"/>
      <c r="D558" s="107"/>
      <c r="E558" s="108"/>
      <c r="F558" s="109"/>
      <c r="G558" s="103"/>
      <c r="H558" s="103"/>
      <c r="I558" s="102"/>
      <c r="J558" s="102"/>
      <c r="K558" s="78"/>
      <c r="L558" s="110"/>
      <c r="M558" s="105" t="str">
        <f t="shared" si="8"/>
        <v xml:space="preserve">   </v>
      </c>
    </row>
    <row r="559" spans="1:13" s="46" customFormat="1" hidden="1" x14ac:dyDescent="0.2">
      <c r="A559" s="383"/>
      <c r="B559" s="378"/>
      <c r="C559" s="106"/>
      <c r="D559" s="107"/>
      <c r="E559" s="108"/>
      <c r="F559" s="109"/>
      <c r="G559" s="103"/>
      <c r="H559" s="103"/>
      <c r="I559" s="102"/>
      <c r="J559" s="102"/>
      <c r="K559" s="78"/>
      <c r="L559" s="110"/>
      <c r="M559" s="105" t="str">
        <f t="shared" si="8"/>
        <v xml:space="preserve">   </v>
      </c>
    </row>
    <row r="560" spans="1:13" s="46" customFormat="1" hidden="1" x14ac:dyDescent="0.2">
      <c r="A560" s="383"/>
      <c r="B560" s="378"/>
      <c r="C560" s="113"/>
      <c r="D560" s="114"/>
      <c r="E560" s="115"/>
      <c r="F560" s="116"/>
      <c r="G560" s="103"/>
      <c r="H560" s="103"/>
      <c r="I560" s="102"/>
      <c r="J560" s="102"/>
      <c r="K560" s="78"/>
      <c r="L560" s="110"/>
      <c r="M560" s="105" t="str">
        <f t="shared" si="8"/>
        <v xml:space="preserve">   </v>
      </c>
    </row>
    <row r="561" spans="1:13" s="46" customFormat="1" ht="15" hidden="1" customHeight="1" x14ac:dyDescent="0.2">
      <c r="A561" s="383" t="s">
        <v>66</v>
      </c>
      <c r="B561" s="378" t="s">
        <v>89</v>
      </c>
      <c r="C561" s="102"/>
      <c r="D561" s="102"/>
      <c r="E561" s="102"/>
      <c r="F561" s="102"/>
      <c r="G561" s="103"/>
      <c r="H561" s="103"/>
      <c r="I561" s="102"/>
      <c r="J561" s="102"/>
      <c r="K561" s="78"/>
      <c r="L561" s="111" t="str">
        <f>CONCATENATE(C561," ",D561," ",E561," ",F561," ",C562," ",D562," ",E562," ",F562)</f>
        <v xml:space="preserve">       </v>
      </c>
      <c r="M561" s="105" t="str">
        <f t="shared" si="8"/>
        <v xml:space="preserve">   </v>
      </c>
    </row>
    <row r="562" spans="1:13" s="46" customFormat="1" hidden="1" x14ac:dyDescent="0.2">
      <c r="A562" s="383"/>
      <c r="B562" s="378"/>
      <c r="C562" s="112"/>
      <c r="D562" s="107"/>
      <c r="E562" s="108"/>
      <c r="F562" s="109"/>
      <c r="G562" s="103"/>
      <c r="H562" s="103"/>
      <c r="I562" s="102"/>
      <c r="J562" s="102"/>
      <c r="K562" s="78"/>
      <c r="L562" s="110"/>
      <c r="M562" s="105" t="str">
        <f t="shared" si="8"/>
        <v xml:space="preserve">   </v>
      </c>
    </row>
    <row r="563" spans="1:13" s="46" customFormat="1" hidden="1" x14ac:dyDescent="0.2">
      <c r="A563" s="383"/>
      <c r="B563" s="378"/>
      <c r="C563" s="106"/>
      <c r="D563" s="107"/>
      <c r="E563" s="108"/>
      <c r="F563" s="109"/>
      <c r="G563" s="103"/>
      <c r="H563" s="103"/>
      <c r="I563" s="102"/>
      <c r="J563" s="102"/>
      <c r="K563" s="78"/>
      <c r="L563" s="110"/>
      <c r="M563" s="105" t="str">
        <f t="shared" si="8"/>
        <v xml:space="preserve">   </v>
      </c>
    </row>
    <row r="564" spans="1:13" s="46" customFormat="1" hidden="1" x14ac:dyDescent="0.2">
      <c r="A564" s="383"/>
      <c r="B564" s="378"/>
      <c r="C564" s="106"/>
      <c r="D564" s="107"/>
      <c r="E564" s="108"/>
      <c r="F564" s="109"/>
      <c r="G564" s="103"/>
      <c r="H564" s="103"/>
      <c r="I564" s="102"/>
      <c r="J564" s="102"/>
      <c r="K564" s="78"/>
      <c r="L564" s="110"/>
      <c r="M564" s="105" t="str">
        <f t="shared" si="8"/>
        <v xml:space="preserve">   </v>
      </c>
    </row>
    <row r="565" spans="1:13" s="53" customFormat="1" hidden="1" x14ac:dyDescent="0.2">
      <c r="A565" s="383"/>
      <c r="B565" s="378"/>
      <c r="C565" s="106"/>
      <c r="D565" s="107"/>
      <c r="E565" s="108"/>
      <c r="F565" s="109"/>
      <c r="G565" s="103"/>
      <c r="H565" s="103"/>
      <c r="I565" s="102"/>
      <c r="J565" s="102"/>
      <c r="K565" s="78"/>
      <c r="L565" s="110"/>
      <c r="M565" s="105" t="str">
        <f t="shared" si="8"/>
        <v xml:space="preserve">   </v>
      </c>
    </row>
    <row r="566" spans="1:13" s="53" customFormat="1" hidden="1" x14ac:dyDescent="0.2">
      <c r="A566" s="383"/>
      <c r="B566" s="378"/>
      <c r="C566" s="106"/>
      <c r="D566" s="107"/>
      <c r="E566" s="108"/>
      <c r="F566" s="109"/>
      <c r="G566" s="103"/>
      <c r="H566" s="103"/>
      <c r="I566" s="102"/>
      <c r="J566" s="102"/>
      <c r="K566" s="78"/>
      <c r="L566" s="110"/>
      <c r="M566" s="105" t="str">
        <f t="shared" si="8"/>
        <v xml:space="preserve">   </v>
      </c>
    </row>
    <row r="567" spans="1:13" s="53" customFormat="1" hidden="1" x14ac:dyDescent="0.2">
      <c r="A567" s="383"/>
      <c r="B567" s="378"/>
      <c r="C567" s="106"/>
      <c r="D567" s="107"/>
      <c r="E567" s="108"/>
      <c r="F567" s="109"/>
      <c r="G567" s="103"/>
      <c r="H567" s="103"/>
      <c r="I567" s="102"/>
      <c r="J567" s="102"/>
      <c r="K567" s="78"/>
      <c r="L567" s="110"/>
      <c r="M567" s="105" t="str">
        <f t="shared" si="8"/>
        <v xml:space="preserve">   </v>
      </c>
    </row>
    <row r="568" spans="1:13" s="53" customFormat="1" hidden="1" x14ac:dyDescent="0.2">
      <c r="A568" s="383"/>
      <c r="B568" s="378"/>
      <c r="C568" s="106"/>
      <c r="D568" s="107"/>
      <c r="E568" s="108"/>
      <c r="F568" s="109"/>
      <c r="G568" s="103"/>
      <c r="H568" s="103"/>
      <c r="I568" s="102"/>
      <c r="J568" s="102"/>
      <c r="K568" s="78"/>
      <c r="L568" s="110"/>
      <c r="M568" s="105" t="str">
        <f t="shared" si="8"/>
        <v xml:space="preserve">   </v>
      </c>
    </row>
    <row r="569" spans="1:13" s="46" customFormat="1" hidden="1" x14ac:dyDescent="0.2">
      <c r="A569" s="383"/>
      <c r="B569" s="378"/>
      <c r="C569" s="106"/>
      <c r="D569" s="107"/>
      <c r="E569" s="108"/>
      <c r="F569" s="109"/>
      <c r="G569" s="103"/>
      <c r="H569" s="103"/>
      <c r="I569" s="102"/>
      <c r="J569" s="102"/>
      <c r="K569" s="78"/>
      <c r="L569" s="110"/>
      <c r="M569" s="105" t="str">
        <f t="shared" si="8"/>
        <v xml:space="preserve">   </v>
      </c>
    </row>
    <row r="570" spans="1:13" s="46" customFormat="1" hidden="1" x14ac:dyDescent="0.2">
      <c r="A570" s="383"/>
      <c r="B570" s="378"/>
      <c r="C570" s="113"/>
      <c r="D570" s="114"/>
      <c r="E570" s="115"/>
      <c r="F570" s="116"/>
      <c r="G570" s="103"/>
      <c r="H570" s="103"/>
      <c r="I570" s="102"/>
      <c r="J570" s="102"/>
      <c r="K570" s="78"/>
      <c r="L570" s="117"/>
      <c r="M570" s="105" t="str">
        <f t="shared" si="8"/>
        <v xml:space="preserve">   </v>
      </c>
    </row>
    <row r="571" spans="1:13" s="46" customFormat="1" ht="15" hidden="1" customHeight="1" x14ac:dyDescent="0.2">
      <c r="A571" s="383" t="s">
        <v>66</v>
      </c>
      <c r="B571" s="378" t="s">
        <v>89</v>
      </c>
      <c r="C571" s="102"/>
      <c r="D571" s="102"/>
      <c r="E571" s="102"/>
      <c r="F571" s="102"/>
      <c r="G571" s="103"/>
      <c r="H571" s="103"/>
      <c r="I571" s="102"/>
      <c r="J571" s="102"/>
      <c r="K571" s="78"/>
      <c r="L571" s="111" t="str">
        <f>CONCATENATE(C571," ",D571," ",E571," ",F571," ",C572," ",D572," ",E572," ",F572)</f>
        <v xml:space="preserve">       </v>
      </c>
      <c r="M571" s="105" t="str">
        <f t="shared" si="8"/>
        <v xml:space="preserve">   </v>
      </c>
    </row>
    <row r="572" spans="1:13" s="46" customFormat="1" hidden="1" x14ac:dyDescent="0.2">
      <c r="A572" s="383"/>
      <c r="B572" s="378"/>
      <c r="C572" s="112"/>
      <c r="D572" s="107"/>
      <c r="E572" s="108"/>
      <c r="F572" s="109"/>
      <c r="G572" s="103"/>
      <c r="H572" s="103"/>
      <c r="I572" s="102"/>
      <c r="J572" s="102"/>
      <c r="K572" s="78"/>
      <c r="L572" s="110"/>
      <c r="M572" s="105" t="str">
        <f t="shared" si="8"/>
        <v xml:space="preserve">   </v>
      </c>
    </row>
    <row r="573" spans="1:13" s="46" customFormat="1" hidden="1" x14ac:dyDescent="0.2">
      <c r="A573" s="383"/>
      <c r="B573" s="378"/>
      <c r="C573" s="106"/>
      <c r="D573" s="107"/>
      <c r="E573" s="108"/>
      <c r="F573" s="109"/>
      <c r="G573" s="103"/>
      <c r="H573" s="103"/>
      <c r="I573" s="102"/>
      <c r="J573" s="102"/>
      <c r="K573" s="78"/>
      <c r="L573" s="110"/>
      <c r="M573" s="105" t="str">
        <f t="shared" si="8"/>
        <v xml:space="preserve">   </v>
      </c>
    </row>
    <row r="574" spans="1:13" s="46" customFormat="1" hidden="1" x14ac:dyDescent="0.2">
      <c r="A574" s="383"/>
      <c r="B574" s="378"/>
      <c r="C574" s="106"/>
      <c r="D574" s="107"/>
      <c r="E574" s="108"/>
      <c r="F574" s="109"/>
      <c r="G574" s="103"/>
      <c r="H574" s="103"/>
      <c r="I574" s="102"/>
      <c r="J574" s="102"/>
      <c r="K574" s="78"/>
      <c r="L574" s="110"/>
      <c r="M574" s="105" t="str">
        <f t="shared" si="8"/>
        <v xml:space="preserve">   </v>
      </c>
    </row>
    <row r="575" spans="1:13" s="53" customFormat="1" hidden="1" x14ac:dyDescent="0.2">
      <c r="A575" s="383"/>
      <c r="B575" s="378"/>
      <c r="C575" s="106"/>
      <c r="D575" s="107"/>
      <c r="E575" s="108"/>
      <c r="F575" s="109"/>
      <c r="G575" s="103"/>
      <c r="H575" s="103"/>
      <c r="I575" s="102"/>
      <c r="J575" s="102"/>
      <c r="K575" s="78"/>
      <c r="L575" s="110"/>
      <c r="M575" s="105" t="str">
        <f t="shared" si="8"/>
        <v xml:space="preserve">   </v>
      </c>
    </row>
    <row r="576" spans="1:13" s="53" customFormat="1" hidden="1" x14ac:dyDescent="0.2">
      <c r="A576" s="383"/>
      <c r="B576" s="378"/>
      <c r="C576" s="106"/>
      <c r="D576" s="107"/>
      <c r="E576" s="108"/>
      <c r="F576" s="109"/>
      <c r="G576" s="103"/>
      <c r="H576" s="103"/>
      <c r="I576" s="102"/>
      <c r="J576" s="102"/>
      <c r="K576" s="78"/>
      <c r="L576" s="110"/>
      <c r="M576" s="105" t="str">
        <f t="shared" si="8"/>
        <v xml:space="preserve">   </v>
      </c>
    </row>
    <row r="577" spans="1:13" s="53" customFormat="1" hidden="1" x14ac:dyDescent="0.2">
      <c r="A577" s="383"/>
      <c r="B577" s="378"/>
      <c r="C577" s="106"/>
      <c r="D577" s="107"/>
      <c r="E577" s="108"/>
      <c r="F577" s="109"/>
      <c r="G577" s="103"/>
      <c r="H577" s="103"/>
      <c r="I577" s="102"/>
      <c r="J577" s="102"/>
      <c r="K577" s="78"/>
      <c r="L577" s="110"/>
      <c r="M577" s="105" t="str">
        <f t="shared" si="8"/>
        <v xml:space="preserve">   </v>
      </c>
    </row>
    <row r="578" spans="1:13" s="53" customFormat="1" hidden="1" x14ac:dyDescent="0.2">
      <c r="A578" s="383"/>
      <c r="B578" s="378"/>
      <c r="C578" s="106"/>
      <c r="D578" s="107"/>
      <c r="E578" s="108"/>
      <c r="F578" s="109"/>
      <c r="G578" s="103"/>
      <c r="H578" s="103"/>
      <c r="I578" s="102"/>
      <c r="J578" s="102"/>
      <c r="K578" s="78"/>
      <c r="L578" s="110"/>
      <c r="M578" s="105" t="str">
        <f t="shared" si="8"/>
        <v xml:space="preserve">   </v>
      </c>
    </row>
    <row r="579" spans="1:13" s="46" customFormat="1" hidden="1" x14ac:dyDescent="0.2">
      <c r="A579" s="383"/>
      <c r="B579" s="378"/>
      <c r="C579" s="106"/>
      <c r="D579" s="107"/>
      <c r="E579" s="108"/>
      <c r="F579" s="109"/>
      <c r="G579" s="103"/>
      <c r="H579" s="103"/>
      <c r="I579" s="102"/>
      <c r="J579" s="102"/>
      <c r="K579" s="78"/>
      <c r="L579" s="110"/>
      <c r="M579" s="105" t="str">
        <f t="shared" si="8"/>
        <v xml:space="preserve">   </v>
      </c>
    </row>
    <row r="580" spans="1:13" s="46" customFormat="1" hidden="1" x14ac:dyDescent="0.2">
      <c r="A580" s="383"/>
      <c r="B580" s="378"/>
      <c r="C580" s="113"/>
      <c r="D580" s="114"/>
      <c r="E580" s="115"/>
      <c r="F580" s="116"/>
      <c r="G580" s="103"/>
      <c r="H580" s="103"/>
      <c r="I580" s="102"/>
      <c r="J580" s="102"/>
      <c r="K580" s="78"/>
      <c r="L580" s="110"/>
      <c r="M580" s="105" t="str">
        <f t="shared" si="8"/>
        <v xml:space="preserve">   </v>
      </c>
    </row>
    <row r="581" spans="1:13" s="46" customFormat="1" ht="15" hidden="1" customHeight="1" x14ac:dyDescent="0.2">
      <c r="A581" s="383" t="s">
        <v>66</v>
      </c>
      <c r="B581" s="378" t="s">
        <v>89</v>
      </c>
      <c r="C581" s="102"/>
      <c r="D581" s="102"/>
      <c r="E581" s="102"/>
      <c r="F581" s="102"/>
      <c r="G581" s="103"/>
      <c r="H581" s="103"/>
      <c r="I581" s="102"/>
      <c r="J581" s="102"/>
      <c r="K581" s="78"/>
      <c r="L581" s="111" t="str">
        <f>CONCATENATE(C581," ",D581," ",E581," ",F581," ",C582," ",D582," ",E582," ",F582)</f>
        <v xml:space="preserve">       </v>
      </c>
      <c r="M581" s="105" t="str">
        <f t="shared" si="8"/>
        <v xml:space="preserve">   </v>
      </c>
    </row>
    <row r="582" spans="1:13" s="46" customFormat="1" hidden="1" x14ac:dyDescent="0.2">
      <c r="A582" s="383"/>
      <c r="B582" s="378"/>
      <c r="C582" s="112"/>
      <c r="D582" s="107"/>
      <c r="E582" s="108"/>
      <c r="F582" s="109"/>
      <c r="G582" s="103"/>
      <c r="H582" s="103"/>
      <c r="I582" s="102"/>
      <c r="J582" s="102"/>
      <c r="K582" s="78"/>
      <c r="L582" s="110"/>
      <c r="M582" s="105" t="str">
        <f t="shared" si="8"/>
        <v xml:space="preserve">   </v>
      </c>
    </row>
    <row r="583" spans="1:13" s="46" customFormat="1" hidden="1" x14ac:dyDescent="0.2">
      <c r="A583" s="383"/>
      <c r="B583" s="378"/>
      <c r="C583" s="106"/>
      <c r="D583" s="107"/>
      <c r="E583" s="108"/>
      <c r="F583" s="109"/>
      <c r="G583" s="103"/>
      <c r="H583" s="103"/>
      <c r="I583" s="102"/>
      <c r="J583" s="102"/>
      <c r="K583" s="78"/>
      <c r="L583" s="110"/>
      <c r="M583" s="105" t="str">
        <f t="shared" si="8"/>
        <v xml:space="preserve">   </v>
      </c>
    </row>
    <row r="584" spans="1:13" s="46" customFormat="1" hidden="1" x14ac:dyDescent="0.2">
      <c r="A584" s="383"/>
      <c r="B584" s="378"/>
      <c r="C584" s="106"/>
      <c r="D584" s="107"/>
      <c r="E584" s="108"/>
      <c r="F584" s="109"/>
      <c r="G584" s="103"/>
      <c r="H584" s="103"/>
      <c r="I584" s="102"/>
      <c r="J584" s="102"/>
      <c r="K584" s="78"/>
      <c r="L584" s="110"/>
      <c r="M584" s="105" t="str">
        <f t="shared" si="8"/>
        <v xml:space="preserve">   </v>
      </c>
    </row>
    <row r="585" spans="1:13" s="53" customFormat="1" hidden="1" x14ac:dyDescent="0.2">
      <c r="A585" s="383"/>
      <c r="B585" s="378"/>
      <c r="C585" s="106"/>
      <c r="D585" s="107"/>
      <c r="E585" s="108"/>
      <c r="F585" s="109"/>
      <c r="G585" s="103"/>
      <c r="H585" s="103"/>
      <c r="I585" s="102"/>
      <c r="J585" s="102"/>
      <c r="K585" s="78"/>
      <c r="L585" s="110"/>
      <c r="M585" s="105" t="str">
        <f t="shared" si="8"/>
        <v xml:space="preserve">   </v>
      </c>
    </row>
    <row r="586" spans="1:13" s="53" customFormat="1" hidden="1" x14ac:dyDescent="0.2">
      <c r="A586" s="383"/>
      <c r="B586" s="378"/>
      <c r="C586" s="106"/>
      <c r="D586" s="107"/>
      <c r="E586" s="108"/>
      <c r="F586" s="109"/>
      <c r="G586" s="103"/>
      <c r="H586" s="103"/>
      <c r="I586" s="102"/>
      <c r="J586" s="102"/>
      <c r="K586" s="78"/>
      <c r="L586" s="110"/>
      <c r="M586" s="105" t="str">
        <f t="shared" si="8"/>
        <v xml:space="preserve">   </v>
      </c>
    </row>
    <row r="587" spans="1:13" s="53" customFormat="1" hidden="1" x14ac:dyDescent="0.2">
      <c r="A587" s="383"/>
      <c r="B587" s="378"/>
      <c r="C587" s="106"/>
      <c r="D587" s="107"/>
      <c r="E587" s="108"/>
      <c r="F587" s="109"/>
      <c r="G587" s="103"/>
      <c r="H587" s="103"/>
      <c r="I587" s="102"/>
      <c r="J587" s="102"/>
      <c r="K587" s="78"/>
      <c r="L587" s="110"/>
      <c r="M587" s="105" t="str">
        <f t="shared" ref="M587:M650" si="9">CONCATENATE(G587," ",H587," ",I587," ",J587)</f>
        <v xml:space="preserve">   </v>
      </c>
    </row>
    <row r="588" spans="1:13" s="53" customFormat="1" hidden="1" x14ac:dyDescent="0.2">
      <c r="A588" s="383"/>
      <c r="B588" s="378"/>
      <c r="C588" s="106"/>
      <c r="D588" s="107"/>
      <c r="E588" s="108"/>
      <c r="F588" s="109"/>
      <c r="G588" s="103"/>
      <c r="H588" s="103"/>
      <c r="I588" s="102"/>
      <c r="J588" s="102"/>
      <c r="K588" s="78"/>
      <c r="L588" s="110"/>
      <c r="M588" s="105" t="str">
        <f t="shared" si="9"/>
        <v xml:space="preserve">   </v>
      </c>
    </row>
    <row r="589" spans="1:13" s="46" customFormat="1" hidden="1" x14ac:dyDescent="0.2">
      <c r="A589" s="383"/>
      <c r="B589" s="378"/>
      <c r="C589" s="106"/>
      <c r="D589" s="107"/>
      <c r="E589" s="108"/>
      <c r="F589" s="109"/>
      <c r="G589" s="103"/>
      <c r="H589" s="103"/>
      <c r="I589" s="102"/>
      <c r="J589" s="102"/>
      <c r="K589" s="78"/>
      <c r="L589" s="110"/>
      <c r="M589" s="105" t="str">
        <f t="shared" si="9"/>
        <v xml:space="preserve">   </v>
      </c>
    </row>
    <row r="590" spans="1:13" s="46" customFormat="1" hidden="1" x14ac:dyDescent="0.2">
      <c r="A590" s="383"/>
      <c r="B590" s="378"/>
      <c r="C590" s="113"/>
      <c r="D590" s="114"/>
      <c r="E590" s="115"/>
      <c r="F590" s="116"/>
      <c r="G590" s="103"/>
      <c r="H590" s="103"/>
      <c r="I590" s="102"/>
      <c r="J590" s="102"/>
      <c r="K590" s="78"/>
      <c r="L590" s="117"/>
      <c r="M590" s="105" t="str">
        <f t="shared" si="9"/>
        <v xml:space="preserve">   </v>
      </c>
    </row>
    <row r="591" spans="1:13" s="46" customFormat="1" ht="15" hidden="1" customHeight="1" x14ac:dyDescent="0.2">
      <c r="A591" s="383" t="s">
        <v>66</v>
      </c>
      <c r="B591" s="378" t="s">
        <v>89</v>
      </c>
      <c r="C591" s="102"/>
      <c r="D591" s="102"/>
      <c r="E591" s="102"/>
      <c r="F591" s="102"/>
      <c r="G591" s="103"/>
      <c r="H591" s="103"/>
      <c r="I591" s="102"/>
      <c r="J591" s="102"/>
      <c r="K591" s="78"/>
      <c r="L591" s="111" t="str">
        <f>CONCATENATE(C591," ",D591," ",E591," ",F591," ",C592," ",D592," ",E592," ",F592)</f>
        <v xml:space="preserve">       </v>
      </c>
      <c r="M591" s="105" t="str">
        <f t="shared" si="9"/>
        <v xml:space="preserve">   </v>
      </c>
    </row>
    <row r="592" spans="1:13" s="46" customFormat="1" hidden="1" x14ac:dyDescent="0.2">
      <c r="A592" s="383"/>
      <c r="B592" s="378"/>
      <c r="C592" s="112"/>
      <c r="D592" s="107"/>
      <c r="E592" s="108"/>
      <c r="F592" s="109"/>
      <c r="G592" s="103"/>
      <c r="H592" s="103"/>
      <c r="I592" s="102"/>
      <c r="J592" s="102"/>
      <c r="K592" s="78"/>
      <c r="L592" s="110"/>
      <c r="M592" s="105" t="str">
        <f t="shared" si="9"/>
        <v xml:space="preserve">   </v>
      </c>
    </row>
    <row r="593" spans="1:13" s="46" customFormat="1" hidden="1" x14ac:dyDescent="0.2">
      <c r="A593" s="383"/>
      <c r="B593" s="378"/>
      <c r="C593" s="106"/>
      <c r="D593" s="107"/>
      <c r="E593" s="108"/>
      <c r="F593" s="109"/>
      <c r="G593" s="103"/>
      <c r="H593" s="103"/>
      <c r="I593" s="102"/>
      <c r="J593" s="102"/>
      <c r="K593" s="78"/>
      <c r="L593" s="110"/>
      <c r="M593" s="105" t="str">
        <f t="shared" si="9"/>
        <v xml:space="preserve">   </v>
      </c>
    </row>
    <row r="594" spans="1:13" s="46" customFormat="1" hidden="1" x14ac:dyDescent="0.2">
      <c r="A594" s="383"/>
      <c r="B594" s="378"/>
      <c r="C594" s="106"/>
      <c r="D594" s="107"/>
      <c r="E594" s="108"/>
      <c r="F594" s="109"/>
      <c r="G594" s="103"/>
      <c r="H594" s="103"/>
      <c r="I594" s="102"/>
      <c r="J594" s="102"/>
      <c r="K594" s="78"/>
      <c r="L594" s="110"/>
      <c r="M594" s="105" t="str">
        <f t="shared" si="9"/>
        <v xml:space="preserve">   </v>
      </c>
    </row>
    <row r="595" spans="1:13" s="53" customFormat="1" hidden="1" x14ac:dyDescent="0.2">
      <c r="A595" s="383"/>
      <c r="B595" s="378"/>
      <c r="C595" s="106"/>
      <c r="D595" s="107"/>
      <c r="E595" s="108"/>
      <c r="F595" s="109"/>
      <c r="G595" s="103"/>
      <c r="H595" s="103"/>
      <c r="I595" s="102"/>
      <c r="J595" s="102"/>
      <c r="K595" s="78"/>
      <c r="L595" s="110"/>
      <c r="M595" s="105" t="str">
        <f t="shared" si="9"/>
        <v xml:space="preserve">   </v>
      </c>
    </row>
    <row r="596" spans="1:13" s="53" customFormat="1" hidden="1" x14ac:dyDescent="0.2">
      <c r="A596" s="383"/>
      <c r="B596" s="378"/>
      <c r="C596" s="106"/>
      <c r="D596" s="107"/>
      <c r="E596" s="108"/>
      <c r="F596" s="109"/>
      <c r="G596" s="103"/>
      <c r="H596" s="103"/>
      <c r="I596" s="102"/>
      <c r="J596" s="102"/>
      <c r="K596" s="78"/>
      <c r="L596" s="110"/>
      <c r="M596" s="105" t="str">
        <f t="shared" si="9"/>
        <v xml:space="preserve">   </v>
      </c>
    </row>
    <row r="597" spans="1:13" s="53" customFormat="1" hidden="1" x14ac:dyDescent="0.2">
      <c r="A597" s="383"/>
      <c r="B597" s="378"/>
      <c r="C597" s="106"/>
      <c r="D597" s="107"/>
      <c r="E597" s="108"/>
      <c r="F597" s="109"/>
      <c r="G597" s="103"/>
      <c r="H597" s="103"/>
      <c r="I597" s="102"/>
      <c r="J597" s="102"/>
      <c r="K597" s="78"/>
      <c r="L597" s="110"/>
      <c r="M597" s="105" t="str">
        <f t="shared" si="9"/>
        <v xml:space="preserve">   </v>
      </c>
    </row>
    <row r="598" spans="1:13" s="53" customFormat="1" hidden="1" x14ac:dyDescent="0.2">
      <c r="A598" s="383"/>
      <c r="B598" s="378"/>
      <c r="C598" s="106"/>
      <c r="D598" s="107"/>
      <c r="E598" s="108"/>
      <c r="F598" s="109"/>
      <c r="G598" s="103"/>
      <c r="H598" s="103"/>
      <c r="I598" s="102"/>
      <c r="J598" s="102"/>
      <c r="K598" s="78"/>
      <c r="L598" s="110"/>
      <c r="M598" s="105" t="str">
        <f t="shared" si="9"/>
        <v xml:space="preserve">   </v>
      </c>
    </row>
    <row r="599" spans="1:13" s="46" customFormat="1" hidden="1" x14ac:dyDescent="0.2">
      <c r="A599" s="383"/>
      <c r="B599" s="378"/>
      <c r="C599" s="106"/>
      <c r="D599" s="107"/>
      <c r="E599" s="108"/>
      <c r="F599" s="109"/>
      <c r="G599" s="103"/>
      <c r="H599" s="103"/>
      <c r="I599" s="102"/>
      <c r="J599" s="102"/>
      <c r="K599" s="78"/>
      <c r="L599" s="110"/>
      <c r="M599" s="105" t="str">
        <f t="shared" si="9"/>
        <v xml:space="preserve">   </v>
      </c>
    </row>
    <row r="600" spans="1:13" s="46" customFormat="1" hidden="1" x14ac:dyDescent="0.2">
      <c r="A600" s="383"/>
      <c r="B600" s="378"/>
      <c r="C600" s="113"/>
      <c r="D600" s="114"/>
      <c r="E600" s="115"/>
      <c r="F600" s="116"/>
      <c r="G600" s="103"/>
      <c r="H600" s="103"/>
      <c r="I600" s="102"/>
      <c r="J600" s="102"/>
      <c r="K600" s="78"/>
      <c r="L600" s="110"/>
      <c r="M600" s="105" t="str">
        <f t="shared" si="9"/>
        <v xml:space="preserve">   </v>
      </c>
    </row>
    <row r="601" spans="1:13" s="46" customFormat="1" ht="15" hidden="1" customHeight="1" x14ac:dyDescent="0.2">
      <c r="A601" s="383" t="s">
        <v>66</v>
      </c>
      <c r="B601" s="378" t="s">
        <v>89</v>
      </c>
      <c r="C601" s="102"/>
      <c r="D601" s="102"/>
      <c r="E601" s="102"/>
      <c r="F601" s="102"/>
      <c r="G601" s="103"/>
      <c r="H601" s="103"/>
      <c r="I601" s="102"/>
      <c r="J601" s="102"/>
      <c r="K601" s="78"/>
      <c r="L601" s="111" t="str">
        <f>CONCATENATE(C601," ",D601," ",E601," ",F601," ",C602," ",D602," ",E602," ",F602)</f>
        <v xml:space="preserve">       </v>
      </c>
      <c r="M601" s="105" t="str">
        <f t="shared" si="9"/>
        <v xml:space="preserve">   </v>
      </c>
    </row>
    <row r="602" spans="1:13" s="46" customFormat="1" hidden="1" x14ac:dyDescent="0.2">
      <c r="A602" s="383"/>
      <c r="B602" s="378"/>
      <c r="C602" s="112"/>
      <c r="D602" s="107"/>
      <c r="E602" s="108"/>
      <c r="F602" s="109"/>
      <c r="G602" s="103"/>
      <c r="H602" s="103"/>
      <c r="I602" s="102"/>
      <c r="J602" s="102"/>
      <c r="K602" s="78"/>
      <c r="L602" s="110"/>
      <c r="M602" s="105" t="str">
        <f t="shared" si="9"/>
        <v xml:space="preserve">   </v>
      </c>
    </row>
    <row r="603" spans="1:13" s="46" customFormat="1" hidden="1" x14ac:dyDescent="0.2">
      <c r="A603" s="383"/>
      <c r="B603" s="378"/>
      <c r="C603" s="106"/>
      <c r="D603" s="107"/>
      <c r="E603" s="108"/>
      <c r="F603" s="109"/>
      <c r="G603" s="103"/>
      <c r="H603" s="103"/>
      <c r="I603" s="102"/>
      <c r="J603" s="102"/>
      <c r="K603" s="78"/>
      <c r="L603" s="110"/>
      <c r="M603" s="105" t="str">
        <f t="shared" si="9"/>
        <v xml:space="preserve">   </v>
      </c>
    </row>
    <row r="604" spans="1:13" s="46" customFormat="1" hidden="1" x14ac:dyDescent="0.2">
      <c r="A604" s="383"/>
      <c r="B604" s="378"/>
      <c r="C604" s="106"/>
      <c r="D604" s="107"/>
      <c r="E604" s="108"/>
      <c r="F604" s="109"/>
      <c r="G604" s="103"/>
      <c r="H604" s="103"/>
      <c r="I604" s="102"/>
      <c r="J604" s="102"/>
      <c r="K604" s="78"/>
      <c r="L604" s="110"/>
      <c r="M604" s="105" t="str">
        <f t="shared" si="9"/>
        <v xml:space="preserve">   </v>
      </c>
    </row>
    <row r="605" spans="1:13" s="53" customFormat="1" hidden="1" x14ac:dyDescent="0.2">
      <c r="A605" s="383"/>
      <c r="B605" s="378"/>
      <c r="C605" s="106"/>
      <c r="D605" s="107"/>
      <c r="E605" s="108"/>
      <c r="F605" s="109"/>
      <c r="G605" s="103"/>
      <c r="H605" s="103"/>
      <c r="I605" s="102"/>
      <c r="J605" s="102"/>
      <c r="K605" s="78"/>
      <c r="L605" s="110"/>
      <c r="M605" s="105" t="str">
        <f t="shared" si="9"/>
        <v xml:space="preserve">   </v>
      </c>
    </row>
    <row r="606" spans="1:13" s="53" customFormat="1" hidden="1" x14ac:dyDescent="0.2">
      <c r="A606" s="383"/>
      <c r="B606" s="378"/>
      <c r="C606" s="106"/>
      <c r="D606" s="107"/>
      <c r="E606" s="108"/>
      <c r="F606" s="109"/>
      <c r="G606" s="103"/>
      <c r="H606" s="103"/>
      <c r="I606" s="102"/>
      <c r="J606" s="102"/>
      <c r="K606" s="78"/>
      <c r="L606" s="110"/>
      <c r="M606" s="105" t="str">
        <f t="shared" si="9"/>
        <v xml:space="preserve">   </v>
      </c>
    </row>
    <row r="607" spans="1:13" s="53" customFormat="1" hidden="1" x14ac:dyDescent="0.2">
      <c r="A607" s="383"/>
      <c r="B607" s="378"/>
      <c r="C607" s="106"/>
      <c r="D607" s="107"/>
      <c r="E607" s="108"/>
      <c r="F607" s="109"/>
      <c r="G607" s="103"/>
      <c r="H607" s="103"/>
      <c r="I607" s="102"/>
      <c r="J607" s="102"/>
      <c r="K607" s="78"/>
      <c r="L607" s="110"/>
      <c r="M607" s="105" t="str">
        <f t="shared" si="9"/>
        <v xml:space="preserve">   </v>
      </c>
    </row>
    <row r="608" spans="1:13" s="53" customFormat="1" hidden="1" x14ac:dyDescent="0.2">
      <c r="A608" s="383"/>
      <c r="B608" s="378"/>
      <c r="C608" s="106"/>
      <c r="D608" s="107"/>
      <c r="E608" s="108"/>
      <c r="F608" s="109"/>
      <c r="G608" s="103"/>
      <c r="H608" s="103"/>
      <c r="I608" s="102"/>
      <c r="J608" s="102"/>
      <c r="K608" s="78"/>
      <c r="L608" s="110"/>
      <c r="M608" s="105" t="str">
        <f t="shared" si="9"/>
        <v xml:space="preserve">   </v>
      </c>
    </row>
    <row r="609" spans="1:13" s="46" customFormat="1" hidden="1" x14ac:dyDescent="0.2">
      <c r="A609" s="383"/>
      <c r="B609" s="378"/>
      <c r="C609" s="106"/>
      <c r="D609" s="107"/>
      <c r="E609" s="108"/>
      <c r="F609" s="109"/>
      <c r="G609" s="103"/>
      <c r="H609" s="103"/>
      <c r="I609" s="102"/>
      <c r="J609" s="102"/>
      <c r="K609" s="78"/>
      <c r="L609" s="110"/>
      <c r="M609" s="105" t="str">
        <f t="shared" si="9"/>
        <v xml:space="preserve">   </v>
      </c>
    </row>
    <row r="610" spans="1:13" s="46" customFormat="1" hidden="1" x14ac:dyDescent="0.2">
      <c r="A610" s="383"/>
      <c r="B610" s="378"/>
      <c r="C610" s="113"/>
      <c r="D610" s="114"/>
      <c r="E610" s="115"/>
      <c r="F610" s="116"/>
      <c r="G610" s="103"/>
      <c r="H610" s="103"/>
      <c r="I610" s="102"/>
      <c r="J610" s="102"/>
      <c r="K610" s="78"/>
      <c r="L610" s="117"/>
      <c r="M610" s="105" t="str">
        <f t="shared" si="9"/>
        <v xml:space="preserve">   </v>
      </c>
    </row>
    <row r="611" spans="1:13" hidden="1" x14ac:dyDescent="0.2">
      <c r="A611" s="54"/>
      <c r="B611" s="54"/>
      <c r="C611" s="118"/>
      <c r="D611" s="193"/>
      <c r="E611" s="193"/>
      <c r="F611" s="193"/>
      <c r="G611" s="194"/>
      <c r="H611" s="193"/>
      <c r="I611" s="193"/>
      <c r="J611" s="193"/>
      <c r="K611" s="54"/>
      <c r="L611" s="119"/>
      <c r="M611" s="105" t="str">
        <f t="shared" si="9"/>
        <v xml:space="preserve">   </v>
      </c>
    </row>
    <row r="612" spans="1:13" s="53" customFormat="1" ht="12.75" hidden="1" customHeight="1" x14ac:dyDescent="0.2">
      <c r="A612" s="382" t="s">
        <v>67</v>
      </c>
      <c r="B612" s="379" t="s">
        <v>88</v>
      </c>
      <c r="C612" s="102"/>
      <c r="D612" s="102"/>
      <c r="E612" s="172"/>
      <c r="F612" s="172"/>
      <c r="G612" s="103"/>
      <c r="H612" s="103"/>
      <c r="I612" s="172"/>
      <c r="J612" s="172"/>
      <c r="K612" s="78"/>
      <c r="L612" s="104" t="str">
        <f>CONCATENATE(C612," ",D612," ",E612," ",F612," ",C613," ",D613," ",E613," ",F613)</f>
        <v xml:space="preserve">       </v>
      </c>
      <c r="M612" s="105" t="str">
        <f t="shared" si="9"/>
        <v xml:space="preserve">   </v>
      </c>
    </row>
    <row r="613" spans="1:13" s="53" customFormat="1" hidden="1" x14ac:dyDescent="0.2">
      <c r="A613" s="382"/>
      <c r="B613" s="379"/>
      <c r="C613" s="102"/>
      <c r="D613" s="102"/>
      <c r="E613" s="172"/>
      <c r="F613" s="172"/>
      <c r="G613" s="103"/>
      <c r="H613" s="103"/>
      <c r="I613" s="172"/>
      <c r="J613" s="172"/>
      <c r="K613" s="78"/>
      <c r="L613" s="110"/>
      <c r="M613" s="105" t="str">
        <f t="shared" si="9"/>
        <v xml:space="preserve">   </v>
      </c>
    </row>
    <row r="614" spans="1:13" s="53" customFormat="1" hidden="1" x14ac:dyDescent="0.2">
      <c r="A614" s="382"/>
      <c r="B614" s="379"/>
      <c r="C614" s="106"/>
      <c r="D614" s="107"/>
      <c r="E614" s="108"/>
      <c r="F614" s="109"/>
      <c r="G614" s="103"/>
      <c r="H614" s="103"/>
      <c r="I614" s="102"/>
      <c r="J614" s="172"/>
      <c r="K614" s="78"/>
      <c r="L614" s="110"/>
      <c r="M614" s="105" t="str">
        <f t="shared" si="9"/>
        <v xml:space="preserve">   </v>
      </c>
    </row>
    <row r="615" spans="1:13" s="53" customFormat="1" hidden="1" x14ac:dyDescent="0.2">
      <c r="A615" s="382"/>
      <c r="B615" s="379"/>
      <c r="C615" s="106"/>
      <c r="D615" s="107"/>
      <c r="E615" s="108"/>
      <c r="F615" s="109"/>
      <c r="G615" s="103"/>
      <c r="H615" s="103"/>
      <c r="I615" s="172"/>
      <c r="J615" s="172"/>
      <c r="K615" s="78"/>
      <c r="L615" s="110"/>
      <c r="M615" s="105" t="str">
        <f t="shared" si="9"/>
        <v xml:space="preserve">   </v>
      </c>
    </row>
    <row r="616" spans="1:13" s="53" customFormat="1" hidden="1" x14ac:dyDescent="0.2">
      <c r="A616" s="382"/>
      <c r="B616" s="379"/>
      <c r="C616" s="106"/>
      <c r="D616" s="107"/>
      <c r="E616" s="184"/>
      <c r="F616" s="109"/>
      <c r="G616" s="103"/>
      <c r="H616" s="103"/>
      <c r="I616" s="172"/>
      <c r="J616" s="172"/>
      <c r="K616" s="78"/>
      <c r="L616" s="110"/>
      <c r="M616" s="105" t="str">
        <f t="shared" si="9"/>
        <v xml:space="preserve">   </v>
      </c>
    </row>
    <row r="617" spans="1:13" s="53" customFormat="1" hidden="1" x14ac:dyDescent="0.2">
      <c r="A617" s="382"/>
      <c r="B617" s="379"/>
      <c r="C617" s="106"/>
      <c r="D617" s="107"/>
      <c r="E617" s="108"/>
      <c r="F617" s="109"/>
      <c r="G617" s="103"/>
      <c r="H617" s="103"/>
      <c r="I617" s="102"/>
      <c r="J617" s="102"/>
      <c r="K617" s="78"/>
      <c r="L617" s="110"/>
      <c r="M617" s="105" t="str">
        <f t="shared" si="9"/>
        <v xml:space="preserve">   </v>
      </c>
    </row>
    <row r="618" spans="1:13" s="53" customFormat="1" hidden="1" x14ac:dyDescent="0.2">
      <c r="A618" s="382"/>
      <c r="B618" s="379"/>
      <c r="C618" s="106"/>
      <c r="D618" s="107"/>
      <c r="E618" s="108"/>
      <c r="F618" s="109"/>
      <c r="G618" s="103"/>
      <c r="H618" s="103"/>
      <c r="I618" s="102"/>
      <c r="J618" s="102"/>
      <c r="K618" s="78"/>
      <c r="L618" s="110"/>
      <c r="M618" s="105" t="str">
        <f t="shared" si="9"/>
        <v xml:space="preserve">   </v>
      </c>
    </row>
    <row r="619" spans="1:13" s="53" customFormat="1" hidden="1" x14ac:dyDescent="0.2">
      <c r="A619" s="382"/>
      <c r="B619" s="379"/>
      <c r="C619" s="106"/>
      <c r="D619" s="107"/>
      <c r="E619" s="108"/>
      <c r="F619" s="109"/>
      <c r="G619" s="103"/>
      <c r="H619" s="103"/>
      <c r="I619" s="102"/>
      <c r="J619" s="102"/>
      <c r="K619" s="78"/>
      <c r="L619" s="110"/>
      <c r="M619" s="105" t="str">
        <f t="shared" si="9"/>
        <v xml:space="preserve">   </v>
      </c>
    </row>
    <row r="620" spans="1:13" s="53" customFormat="1" hidden="1" x14ac:dyDescent="0.2">
      <c r="A620" s="382"/>
      <c r="B620" s="379"/>
      <c r="C620" s="106"/>
      <c r="D620" s="107"/>
      <c r="E620" s="108"/>
      <c r="F620" s="109"/>
      <c r="G620" s="103"/>
      <c r="H620" s="103"/>
      <c r="I620" s="102"/>
      <c r="J620" s="102"/>
      <c r="K620" s="78"/>
      <c r="L620" s="110"/>
      <c r="M620" s="105" t="str">
        <f t="shared" si="9"/>
        <v xml:space="preserve">   </v>
      </c>
    </row>
    <row r="621" spans="1:13" s="53" customFormat="1" hidden="1" x14ac:dyDescent="0.2">
      <c r="A621" s="382"/>
      <c r="B621" s="379"/>
      <c r="C621" s="106"/>
      <c r="D621" s="107"/>
      <c r="E621" s="108"/>
      <c r="F621" s="109"/>
      <c r="G621" s="103"/>
      <c r="H621" s="103"/>
      <c r="I621" s="102"/>
      <c r="J621" s="102"/>
      <c r="K621" s="78"/>
      <c r="L621" s="110"/>
      <c r="M621" s="105" t="str">
        <f t="shared" si="9"/>
        <v xml:space="preserve">   </v>
      </c>
    </row>
    <row r="622" spans="1:13" s="53" customFormat="1" ht="34.5" hidden="1" customHeight="1" x14ac:dyDescent="0.2">
      <c r="A622" s="382" t="s">
        <v>67</v>
      </c>
      <c r="B622" s="379" t="s">
        <v>88</v>
      </c>
      <c r="C622" s="102"/>
      <c r="D622" s="195"/>
      <c r="E622" s="195"/>
      <c r="F622" s="195"/>
      <c r="G622" s="182"/>
      <c r="H622" s="182"/>
      <c r="I622" s="178"/>
      <c r="J622" s="178"/>
      <c r="K622" s="78"/>
      <c r="L622" s="104" t="str">
        <f>CONCATENATE(C622," ",D622," ",E622," ",F622," ",C623," ",D623," ",E623," ",F623)</f>
        <v xml:space="preserve">       </v>
      </c>
      <c r="M622" s="105" t="str">
        <f t="shared" si="9"/>
        <v xml:space="preserve">   </v>
      </c>
    </row>
    <row r="623" spans="1:13" s="53" customFormat="1" hidden="1" x14ac:dyDescent="0.2">
      <c r="A623" s="382"/>
      <c r="B623" s="379"/>
      <c r="C623" s="102"/>
      <c r="D623" s="181"/>
      <c r="E623" s="178"/>
      <c r="F623" s="178"/>
      <c r="G623" s="182"/>
      <c r="H623" s="182"/>
      <c r="I623" s="178"/>
      <c r="J623" s="178"/>
      <c r="K623" s="78"/>
      <c r="L623" s="110"/>
      <c r="M623" s="105" t="str">
        <f t="shared" si="9"/>
        <v xml:space="preserve">   </v>
      </c>
    </row>
    <row r="624" spans="1:13" s="53" customFormat="1" hidden="1" x14ac:dyDescent="0.2">
      <c r="A624" s="382"/>
      <c r="B624" s="379"/>
      <c r="C624" s="106"/>
      <c r="D624" s="183"/>
      <c r="E624" s="184"/>
      <c r="F624" s="185"/>
      <c r="G624" s="182"/>
      <c r="H624" s="182"/>
      <c r="I624" s="178"/>
      <c r="J624" s="178"/>
      <c r="K624" s="78"/>
      <c r="L624" s="110"/>
      <c r="M624" s="105" t="str">
        <f t="shared" si="9"/>
        <v xml:space="preserve">   </v>
      </c>
    </row>
    <row r="625" spans="1:13" s="53" customFormat="1" hidden="1" x14ac:dyDescent="0.2">
      <c r="A625" s="382"/>
      <c r="B625" s="379"/>
      <c r="C625" s="106"/>
      <c r="D625" s="183"/>
      <c r="E625" s="184"/>
      <c r="F625" s="185"/>
      <c r="G625" s="182"/>
      <c r="H625" s="182"/>
      <c r="I625" s="178"/>
      <c r="J625" s="178"/>
      <c r="K625" s="78"/>
      <c r="L625" s="110"/>
      <c r="M625" s="105" t="str">
        <f t="shared" si="9"/>
        <v xml:space="preserve">   </v>
      </c>
    </row>
    <row r="626" spans="1:13" s="53" customFormat="1" hidden="1" x14ac:dyDescent="0.2">
      <c r="A626" s="382"/>
      <c r="B626" s="379"/>
      <c r="C626" s="106"/>
      <c r="D626" s="183"/>
      <c r="E626" s="184"/>
      <c r="F626" s="185"/>
      <c r="G626" s="182"/>
      <c r="H626" s="182"/>
      <c r="I626" s="178"/>
      <c r="J626" s="178"/>
      <c r="K626" s="78"/>
      <c r="L626" s="110"/>
      <c r="M626" s="105" t="str">
        <f t="shared" si="9"/>
        <v xml:space="preserve">   </v>
      </c>
    </row>
    <row r="627" spans="1:13" s="53" customFormat="1" hidden="1" x14ac:dyDescent="0.2">
      <c r="A627" s="382"/>
      <c r="B627" s="379"/>
      <c r="C627" s="106"/>
      <c r="D627" s="183"/>
      <c r="E627" s="184"/>
      <c r="F627" s="185"/>
      <c r="G627" s="182"/>
      <c r="H627" s="182"/>
      <c r="I627" s="178"/>
      <c r="J627" s="178"/>
      <c r="K627" s="78"/>
      <c r="L627" s="110"/>
      <c r="M627" s="105" t="str">
        <f t="shared" si="9"/>
        <v xml:space="preserve">   </v>
      </c>
    </row>
    <row r="628" spans="1:13" s="53" customFormat="1" hidden="1" x14ac:dyDescent="0.2">
      <c r="A628" s="382"/>
      <c r="B628" s="379"/>
      <c r="C628" s="106"/>
      <c r="D628" s="107"/>
      <c r="E628" s="108"/>
      <c r="F628" s="109"/>
      <c r="G628" s="103"/>
      <c r="H628" s="103"/>
      <c r="I628" s="102"/>
      <c r="J628" s="102"/>
      <c r="K628" s="78"/>
      <c r="L628" s="110"/>
      <c r="M628" s="105" t="str">
        <f t="shared" si="9"/>
        <v xml:space="preserve">   </v>
      </c>
    </row>
    <row r="629" spans="1:13" s="53" customFormat="1" hidden="1" x14ac:dyDescent="0.2">
      <c r="A629" s="382"/>
      <c r="B629" s="379"/>
      <c r="C629" s="106"/>
      <c r="D629" s="107"/>
      <c r="E629" s="108"/>
      <c r="F629" s="109"/>
      <c r="G629" s="103"/>
      <c r="H629" s="103"/>
      <c r="I629" s="102"/>
      <c r="J629" s="102"/>
      <c r="K629" s="78"/>
      <c r="L629" s="110"/>
      <c r="M629" s="105" t="str">
        <f t="shared" si="9"/>
        <v xml:space="preserve">   </v>
      </c>
    </row>
    <row r="630" spans="1:13" s="53" customFormat="1" hidden="1" x14ac:dyDescent="0.2">
      <c r="A630" s="382"/>
      <c r="B630" s="379"/>
      <c r="C630" s="106"/>
      <c r="D630" s="107"/>
      <c r="E630" s="108"/>
      <c r="F630" s="109"/>
      <c r="G630" s="103"/>
      <c r="H630" s="103"/>
      <c r="I630" s="102"/>
      <c r="J630" s="102"/>
      <c r="K630" s="78"/>
      <c r="L630" s="110"/>
      <c r="M630" s="105" t="str">
        <f t="shared" si="9"/>
        <v xml:space="preserve">   </v>
      </c>
    </row>
    <row r="631" spans="1:13" s="53" customFormat="1" hidden="1" x14ac:dyDescent="0.2">
      <c r="A631" s="382"/>
      <c r="B631" s="379"/>
      <c r="C631" s="106"/>
      <c r="D631" s="107"/>
      <c r="E631" s="108"/>
      <c r="F631" s="109"/>
      <c r="G631" s="103"/>
      <c r="H631" s="103"/>
      <c r="I631" s="102"/>
      <c r="J631" s="102"/>
      <c r="K631" s="78"/>
      <c r="L631" s="110"/>
      <c r="M631" s="105" t="str">
        <f t="shared" si="9"/>
        <v xml:space="preserve">   </v>
      </c>
    </row>
    <row r="632" spans="1:13" s="53" customFormat="1" ht="46.5" hidden="1" customHeight="1" x14ac:dyDescent="0.2">
      <c r="A632" s="382" t="s">
        <v>67</v>
      </c>
      <c r="B632" s="379" t="s">
        <v>88</v>
      </c>
      <c r="C632" s="102"/>
      <c r="D632" s="102"/>
      <c r="E632" s="172"/>
      <c r="F632" s="102"/>
      <c r="G632" s="103"/>
      <c r="H632" s="103"/>
      <c r="I632" s="172"/>
      <c r="J632" s="172"/>
      <c r="K632" s="78"/>
      <c r="L632" s="104" t="str">
        <f>CONCATENATE(C632," ",D632," ",E632," ",F632," ",C633," ",D633," ",E633," ",F633)</f>
        <v xml:space="preserve">       </v>
      </c>
      <c r="M632" s="105" t="str">
        <f t="shared" si="9"/>
        <v xml:space="preserve">   </v>
      </c>
    </row>
    <row r="633" spans="1:13" s="53" customFormat="1" hidden="1" x14ac:dyDescent="0.2">
      <c r="A633" s="382"/>
      <c r="B633" s="379"/>
      <c r="C633" s="102"/>
      <c r="D633" s="102"/>
      <c r="E633" s="172"/>
      <c r="F633" s="102"/>
      <c r="G633" s="103"/>
      <c r="H633" s="103"/>
      <c r="I633" s="172"/>
      <c r="J633" s="172"/>
      <c r="K633" s="78"/>
      <c r="L633" s="110"/>
      <c r="M633" s="105" t="str">
        <f t="shared" si="9"/>
        <v xml:space="preserve">   </v>
      </c>
    </row>
    <row r="634" spans="1:13" s="53" customFormat="1" hidden="1" x14ac:dyDescent="0.2">
      <c r="A634" s="382"/>
      <c r="B634" s="379"/>
      <c r="C634" s="106"/>
      <c r="D634" s="107"/>
      <c r="E634" s="108"/>
      <c r="F634" s="109"/>
      <c r="G634" s="103"/>
      <c r="H634" s="103"/>
      <c r="I634" s="172"/>
      <c r="J634" s="172"/>
      <c r="K634" s="78"/>
      <c r="L634" s="110"/>
      <c r="M634" s="105" t="str">
        <f t="shared" si="9"/>
        <v xml:space="preserve">   </v>
      </c>
    </row>
    <row r="635" spans="1:13" s="53" customFormat="1" hidden="1" x14ac:dyDescent="0.2">
      <c r="A635" s="382"/>
      <c r="B635" s="379"/>
      <c r="C635" s="106"/>
      <c r="D635" s="107"/>
      <c r="E635" s="108"/>
      <c r="F635" s="109"/>
      <c r="G635" s="103"/>
      <c r="H635" s="103"/>
      <c r="I635" s="172"/>
      <c r="J635" s="172"/>
      <c r="K635" s="78"/>
      <c r="L635" s="110"/>
      <c r="M635" s="105" t="str">
        <f t="shared" si="9"/>
        <v xml:space="preserve">   </v>
      </c>
    </row>
    <row r="636" spans="1:13" s="53" customFormat="1" hidden="1" x14ac:dyDescent="0.2">
      <c r="A636" s="382"/>
      <c r="B636" s="379"/>
      <c r="C636" s="106"/>
      <c r="D636" s="107"/>
      <c r="E636" s="108"/>
      <c r="F636" s="109"/>
      <c r="G636" s="103"/>
      <c r="H636" s="103"/>
      <c r="I636" s="102"/>
      <c r="J636" s="102"/>
      <c r="K636" s="78"/>
      <c r="L636" s="110"/>
      <c r="M636" s="105" t="str">
        <f t="shared" si="9"/>
        <v xml:space="preserve">   </v>
      </c>
    </row>
    <row r="637" spans="1:13" s="53" customFormat="1" hidden="1" x14ac:dyDescent="0.2">
      <c r="A637" s="382"/>
      <c r="B637" s="379"/>
      <c r="C637" s="106"/>
      <c r="D637" s="107"/>
      <c r="E637" s="108"/>
      <c r="F637" s="109"/>
      <c r="G637" s="103"/>
      <c r="H637" s="103"/>
      <c r="I637" s="102"/>
      <c r="J637" s="102"/>
      <c r="K637" s="78"/>
      <c r="L637" s="110"/>
      <c r="M637" s="105" t="str">
        <f t="shared" si="9"/>
        <v xml:space="preserve">   </v>
      </c>
    </row>
    <row r="638" spans="1:13" s="53" customFormat="1" hidden="1" x14ac:dyDescent="0.2">
      <c r="A638" s="382"/>
      <c r="B638" s="379"/>
      <c r="C638" s="106"/>
      <c r="D638" s="107"/>
      <c r="E638" s="108"/>
      <c r="F638" s="109"/>
      <c r="G638" s="103"/>
      <c r="H638" s="103"/>
      <c r="I638" s="102"/>
      <c r="J638" s="102"/>
      <c r="K638" s="78"/>
      <c r="L638" s="110"/>
      <c r="M638" s="105" t="str">
        <f t="shared" si="9"/>
        <v xml:space="preserve">   </v>
      </c>
    </row>
    <row r="639" spans="1:13" s="53" customFormat="1" hidden="1" x14ac:dyDescent="0.2">
      <c r="A639" s="382"/>
      <c r="B639" s="379"/>
      <c r="C639" s="106"/>
      <c r="D639" s="107"/>
      <c r="E639" s="108"/>
      <c r="F639" s="109"/>
      <c r="G639" s="103"/>
      <c r="H639" s="103"/>
      <c r="I639" s="102"/>
      <c r="J639" s="102"/>
      <c r="K639" s="78"/>
      <c r="L639" s="110"/>
      <c r="M639" s="105" t="str">
        <f t="shared" si="9"/>
        <v xml:space="preserve">   </v>
      </c>
    </row>
    <row r="640" spans="1:13" s="53" customFormat="1" hidden="1" x14ac:dyDescent="0.2">
      <c r="A640" s="382"/>
      <c r="B640" s="379"/>
      <c r="C640" s="106"/>
      <c r="D640" s="107"/>
      <c r="E640" s="108"/>
      <c r="F640" s="109"/>
      <c r="G640" s="103"/>
      <c r="H640" s="103"/>
      <c r="I640" s="102"/>
      <c r="J640" s="102"/>
      <c r="K640" s="78"/>
      <c r="L640" s="110"/>
      <c r="M640" s="105" t="str">
        <f t="shared" si="9"/>
        <v xml:space="preserve">   </v>
      </c>
    </row>
    <row r="641" spans="1:13" s="53" customFormat="1" hidden="1" x14ac:dyDescent="0.2">
      <c r="A641" s="382"/>
      <c r="B641" s="379"/>
      <c r="C641" s="106"/>
      <c r="D641" s="107"/>
      <c r="E641" s="108"/>
      <c r="F641" s="109"/>
      <c r="G641" s="103"/>
      <c r="H641" s="103"/>
      <c r="I641" s="102"/>
      <c r="J641" s="102"/>
      <c r="K641" s="78"/>
      <c r="L641" s="110"/>
      <c r="M641" s="105" t="str">
        <f t="shared" si="9"/>
        <v xml:space="preserve">   </v>
      </c>
    </row>
    <row r="642" spans="1:13" s="53" customFormat="1" ht="39.75" hidden="1" customHeight="1" x14ac:dyDescent="0.2">
      <c r="A642" s="382" t="s">
        <v>67</v>
      </c>
      <c r="B642" s="379" t="s">
        <v>88</v>
      </c>
      <c r="C642" s="102"/>
      <c r="D642" s="181"/>
      <c r="E642" s="178"/>
      <c r="F642" s="178"/>
      <c r="G642" s="103"/>
      <c r="H642" s="103"/>
      <c r="I642" s="172"/>
      <c r="J642" s="172"/>
      <c r="K642" s="78"/>
      <c r="L642" s="104" t="str">
        <f>CONCATENATE(C642," ",D642," ",E642," ",F642," ",C643," ",D643," ",E643," ",F643)</f>
        <v xml:space="preserve">       </v>
      </c>
      <c r="M642" s="105" t="str">
        <f t="shared" si="9"/>
        <v xml:space="preserve">   </v>
      </c>
    </row>
    <row r="643" spans="1:13" s="53" customFormat="1" hidden="1" x14ac:dyDescent="0.2">
      <c r="A643" s="382"/>
      <c r="B643" s="379"/>
      <c r="C643" s="102"/>
      <c r="D643" s="102"/>
      <c r="E643" s="172"/>
      <c r="F643" s="172"/>
      <c r="G643" s="103"/>
      <c r="H643" s="103"/>
      <c r="I643" s="172"/>
      <c r="J643" s="172"/>
      <c r="K643" s="78"/>
      <c r="L643" s="110"/>
      <c r="M643" s="105" t="str">
        <f t="shared" si="9"/>
        <v xml:space="preserve">   </v>
      </c>
    </row>
    <row r="644" spans="1:13" s="53" customFormat="1" hidden="1" x14ac:dyDescent="0.2">
      <c r="A644" s="382"/>
      <c r="B644" s="379"/>
      <c r="C644" s="106"/>
      <c r="D644" s="107"/>
      <c r="E644" s="108"/>
      <c r="F644" s="109"/>
      <c r="G644" s="103"/>
      <c r="H644" s="103"/>
      <c r="I644" s="172"/>
      <c r="J644" s="172"/>
      <c r="K644" s="78"/>
      <c r="L644" s="110"/>
      <c r="M644" s="105" t="str">
        <f t="shared" si="9"/>
        <v xml:space="preserve">   </v>
      </c>
    </row>
    <row r="645" spans="1:13" s="53" customFormat="1" hidden="1" x14ac:dyDescent="0.2">
      <c r="A645" s="382"/>
      <c r="B645" s="379"/>
      <c r="C645" s="106"/>
      <c r="D645" s="107"/>
      <c r="E645" s="108"/>
      <c r="F645" s="109"/>
      <c r="G645" s="103"/>
      <c r="H645" s="103"/>
      <c r="I645" s="172"/>
      <c r="J645" s="172"/>
      <c r="K645" s="78"/>
      <c r="L645" s="110"/>
      <c r="M645" s="105" t="str">
        <f t="shared" si="9"/>
        <v xml:space="preserve">   </v>
      </c>
    </row>
    <row r="646" spans="1:13" s="53" customFormat="1" hidden="1" x14ac:dyDescent="0.2">
      <c r="A646" s="382"/>
      <c r="B646" s="379"/>
      <c r="C646" s="106"/>
      <c r="D646" s="107"/>
      <c r="E646" s="108"/>
      <c r="F646" s="109"/>
      <c r="G646" s="103"/>
      <c r="H646" s="103"/>
      <c r="I646" s="172"/>
      <c r="J646" s="172"/>
      <c r="K646" s="78"/>
      <c r="L646" s="110"/>
      <c r="M646" s="105" t="str">
        <f t="shared" si="9"/>
        <v xml:space="preserve">   </v>
      </c>
    </row>
    <row r="647" spans="1:13" s="53" customFormat="1" hidden="1" x14ac:dyDescent="0.2">
      <c r="A647" s="382"/>
      <c r="B647" s="379"/>
      <c r="C647" s="106"/>
      <c r="D647" s="107"/>
      <c r="E647" s="108"/>
      <c r="F647" s="109"/>
      <c r="G647" s="103"/>
      <c r="H647" s="103"/>
      <c r="I647" s="102"/>
      <c r="J647" s="102"/>
      <c r="K647" s="78"/>
      <c r="L647" s="110"/>
      <c r="M647" s="105" t="str">
        <f t="shared" si="9"/>
        <v xml:space="preserve">   </v>
      </c>
    </row>
    <row r="648" spans="1:13" s="53" customFormat="1" hidden="1" x14ac:dyDescent="0.2">
      <c r="A648" s="382"/>
      <c r="B648" s="379"/>
      <c r="C648" s="106"/>
      <c r="D648" s="107"/>
      <c r="E648" s="108"/>
      <c r="F648" s="109"/>
      <c r="G648" s="103"/>
      <c r="H648" s="103"/>
      <c r="I648" s="102"/>
      <c r="J648" s="102"/>
      <c r="K648" s="78"/>
      <c r="L648" s="110"/>
      <c r="M648" s="105" t="str">
        <f t="shared" si="9"/>
        <v xml:space="preserve">   </v>
      </c>
    </row>
    <row r="649" spans="1:13" s="53" customFormat="1" hidden="1" x14ac:dyDescent="0.2">
      <c r="A649" s="382"/>
      <c r="B649" s="379"/>
      <c r="C649" s="106"/>
      <c r="D649" s="107"/>
      <c r="E649" s="108"/>
      <c r="F649" s="109"/>
      <c r="G649" s="103"/>
      <c r="H649" s="103"/>
      <c r="I649" s="102"/>
      <c r="J649" s="102"/>
      <c r="K649" s="78"/>
      <c r="L649" s="110"/>
      <c r="M649" s="105" t="str">
        <f t="shared" si="9"/>
        <v xml:space="preserve">   </v>
      </c>
    </row>
    <row r="650" spans="1:13" s="53" customFormat="1" hidden="1" x14ac:dyDescent="0.2">
      <c r="A650" s="382"/>
      <c r="B650" s="379"/>
      <c r="C650" s="106"/>
      <c r="D650" s="107"/>
      <c r="E650" s="108"/>
      <c r="F650" s="109"/>
      <c r="G650" s="103"/>
      <c r="H650" s="103"/>
      <c r="I650" s="102"/>
      <c r="J650" s="102"/>
      <c r="K650" s="78"/>
      <c r="L650" s="110"/>
      <c r="M650" s="105" t="str">
        <f t="shared" si="9"/>
        <v xml:space="preserve">   </v>
      </c>
    </row>
    <row r="651" spans="1:13" s="53" customFormat="1" hidden="1" x14ac:dyDescent="0.2">
      <c r="A651" s="382"/>
      <c r="B651" s="379"/>
      <c r="C651" s="106"/>
      <c r="D651" s="107"/>
      <c r="E651" s="108"/>
      <c r="F651" s="109"/>
      <c r="G651" s="103"/>
      <c r="H651" s="103"/>
      <c r="I651" s="102"/>
      <c r="J651" s="102"/>
      <c r="K651" s="78"/>
      <c r="L651" s="110"/>
      <c r="M651" s="105" t="str">
        <f t="shared" ref="M651:M714" si="10">CONCATENATE(G651," ",H651," ",I651," ",J651)</f>
        <v xml:space="preserve">   </v>
      </c>
    </row>
    <row r="652" spans="1:13" s="53" customFormat="1" ht="12.75" hidden="1" customHeight="1" x14ac:dyDescent="0.2">
      <c r="A652" s="382" t="s">
        <v>67</v>
      </c>
      <c r="B652" s="379" t="s">
        <v>88</v>
      </c>
      <c r="C652" s="102"/>
      <c r="D652" s="102"/>
      <c r="E652" s="102"/>
      <c r="F652" s="102"/>
      <c r="G652" s="103"/>
      <c r="H652" s="103"/>
      <c r="I652" s="102"/>
      <c r="J652" s="102"/>
      <c r="K652" s="78"/>
      <c r="L652" s="104" t="str">
        <f>CONCATENATE(C652," ",D652," ",E652," ",F652," ",C653," ",D653," ",E653," ",F653)</f>
        <v xml:space="preserve">       </v>
      </c>
      <c r="M652" s="105" t="str">
        <f t="shared" si="10"/>
        <v xml:space="preserve">   </v>
      </c>
    </row>
    <row r="653" spans="1:13" s="53" customFormat="1" hidden="1" x14ac:dyDescent="0.2">
      <c r="A653" s="382"/>
      <c r="B653" s="379"/>
      <c r="C653" s="106"/>
      <c r="D653" s="107"/>
      <c r="E653" s="108"/>
      <c r="F653" s="109"/>
      <c r="G653" s="103"/>
      <c r="H653" s="103"/>
      <c r="I653" s="102"/>
      <c r="J653" s="102"/>
      <c r="K653" s="78"/>
      <c r="L653" s="110"/>
      <c r="M653" s="105" t="str">
        <f t="shared" si="10"/>
        <v xml:space="preserve">   </v>
      </c>
    </row>
    <row r="654" spans="1:13" s="53" customFormat="1" hidden="1" x14ac:dyDescent="0.2">
      <c r="A654" s="382"/>
      <c r="B654" s="379"/>
      <c r="C654" s="106"/>
      <c r="D654" s="107"/>
      <c r="E654" s="108"/>
      <c r="F654" s="109"/>
      <c r="G654" s="103"/>
      <c r="H654" s="103"/>
      <c r="I654" s="102"/>
      <c r="J654" s="102"/>
      <c r="K654" s="78"/>
      <c r="L654" s="110"/>
      <c r="M654" s="105" t="str">
        <f t="shared" si="10"/>
        <v xml:space="preserve">   </v>
      </c>
    </row>
    <row r="655" spans="1:13" s="53" customFormat="1" hidden="1" x14ac:dyDescent="0.2">
      <c r="A655" s="382"/>
      <c r="B655" s="379"/>
      <c r="C655" s="106"/>
      <c r="D655" s="107"/>
      <c r="E655" s="108"/>
      <c r="F655" s="109"/>
      <c r="G655" s="103"/>
      <c r="H655" s="103"/>
      <c r="I655" s="102"/>
      <c r="J655" s="102"/>
      <c r="K655" s="78"/>
      <c r="L655" s="110"/>
      <c r="M655" s="105" t="str">
        <f t="shared" si="10"/>
        <v xml:space="preserve">   </v>
      </c>
    </row>
    <row r="656" spans="1:13" s="53" customFormat="1" hidden="1" x14ac:dyDescent="0.2">
      <c r="A656" s="382"/>
      <c r="B656" s="379"/>
      <c r="C656" s="106"/>
      <c r="D656" s="107"/>
      <c r="E656" s="108"/>
      <c r="F656" s="109"/>
      <c r="G656" s="103"/>
      <c r="H656" s="103"/>
      <c r="I656" s="102"/>
      <c r="J656" s="102"/>
      <c r="K656" s="78"/>
      <c r="L656" s="110"/>
      <c r="M656" s="105" t="str">
        <f t="shared" si="10"/>
        <v xml:space="preserve">   </v>
      </c>
    </row>
    <row r="657" spans="1:13" s="53" customFormat="1" hidden="1" x14ac:dyDescent="0.2">
      <c r="A657" s="382"/>
      <c r="B657" s="379"/>
      <c r="C657" s="106"/>
      <c r="D657" s="107"/>
      <c r="E657" s="108"/>
      <c r="F657" s="109"/>
      <c r="G657" s="103"/>
      <c r="H657" s="103"/>
      <c r="I657" s="102"/>
      <c r="J657" s="102"/>
      <c r="K657" s="78"/>
      <c r="L657" s="110"/>
      <c r="M657" s="105" t="str">
        <f t="shared" si="10"/>
        <v xml:space="preserve">   </v>
      </c>
    </row>
    <row r="658" spans="1:13" s="53" customFormat="1" hidden="1" x14ac:dyDescent="0.2">
      <c r="A658" s="382"/>
      <c r="B658" s="379"/>
      <c r="C658" s="106"/>
      <c r="D658" s="107"/>
      <c r="E658" s="108"/>
      <c r="F658" s="109"/>
      <c r="G658" s="103"/>
      <c r="H658" s="103"/>
      <c r="I658" s="102"/>
      <c r="J658" s="102"/>
      <c r="K658" s="78"/>
      <c r="L658" s="110"/>
      <c r="M658" s="105" t="str">
        <f t="shared" si="10"/>
        <v xml:space="preserve">   </v>
      </c>
    </row>
    <row r="659" spans="1:13" s="53" customFormat="1" hidden="1" x14ac:dyDescent="0.2">
      <c r="A659" s="382"/>
      <c r="B659" s="379"/>
      <c r="C659" s="106"/>
      <c r="D659" s="107"/>
      <c r="E659" s="108"/>
      <c r="F659" s="109"/>
      <c r="G659" s="103"/>
      <c r="H659" s="103"/>
      <c r="I659" s="102"/>
      <c r="J659" s="102"/>
      <c r="K659" s="78"/>
      <c r="L659" s="110"/>
      <c r="M659" s="105" t="str">
        <f t="shared" si="10"/>
        <v xml:space="preserve">   </v>
      </c>
    </row>
    <row r="660" spans="1:13" s="53" customFormat="1" hidden="1" x14ac:dyDescent="0.2">
      <c r="A660" s="382"/>
      <c r="B660" s="379"/>
      <c r="C660" s="106"/>
      <c r="D660" s="107"/>
      <c r="E660" s="108"/>
      <c r="F660" s="109"/>
      <c r="G660" s="103"/>
      <c r="H660" s="103"/>
      <c r="I660" s="102"/>
      <c r="J660" s="102"/>
      <c r="K660" s="78"/>
      <c r="L660" s="110"/>
      <c r="M660" s="105" t="str">
        <f t="shared" si="10"/>
        <v xml:space="preserve">   </v>
      </c>
    </row>
    <row r="661" spans="1:13" s="53" customFormat="1" hidden="1" x14ac:dyDescent="0.2">
      <c r="A661" s="382"/>
      <c r="B661" s="379"/>
      <c r="C661" s="106"/>
      <c r="D661" s="107"/>
      <c r="E661" s="108"/>
      <c r="F661" s="109"/>
      <c r="G661" s="103"/>
      <c r="H661" s="103"/>
      <c r="I661" s="102"/>
      <c r="J661" s="102"/>
      <c r="K661" s="78"/>
      <c r="L661" s="110"/>
      <c r="M661" s="105" t="str">
        <f t="shared" si="10"/>
        <v xml:space="preserve">   </v>
      </c>
    </row>
    <row r="662" spans="1:13" s="53" customFormat="1" ht="12.75" hidden="1" customHeight="1" x14ac:dyDescent="0.2">
      <c r="A662" s="382" t="s">
        <v>67</v>
      </c>
      <c r="B662" s="379" t="s">
        <v>88</v>
      </c>
      <c r="C662" s="102"/>
      <c r="D662" s="102"/>
      <c r="E662" s="102"/>
      <c r="F662" s="102"/>
      <c r="G662" s="103"/>
      <c r="H662" s="103"/>
      <c r="I662" s="102"/>
      <c r="J662" s="102"/>
      <c r="K662" s="78"/>
      <c r="L662" s="104" t="str">
        <f>CONCATENATE(C662," ",D662," ",E662," ",F662," ",C663," ",D663," ",E663," ",F663)</f>
        <v xml:space="preserve">       </v>
      </c>
      <c r="M662" s="105" t="str">
        <f t="shared" si="10"/>
        <v xml:space="preserve">   </v>
      </c>
    </row>
    <row r="663" spans="1:13" s="53" customFormat="1" hidden="1" x14ac:dyDescent="0.2">
      <c r="A663" s="382"/>
      <c r="B663" s="379"/>
      <c r="C663" s="106"/>
      <c r="D663" s="107"/>
      <c r="E663" s="108"/>
      <c r="F663" s="109"/>
      <c r="G663" s="103"/>
      <c r="H663" s="103"/>
      <c r="I663" s="102"/>
      <c r="J663" s="102"/>
      <c r="K663" s="78"/>
      <c r="L663" s="110"/>
      <c r="M663" s="105" t="str">
        <f t="shared" si="10"/>
        <v xml:space="preserve">   </v>
      </c>
    </row>
    <row r="664" spans="1:13" s="53" customFormat="1" hidden="1" x14ac:dyDescent="0.2">
      <c r="A664" s="382"/>
      <c r="B664" s="379"/>
      <c r="C664" s="106"/>
      <c r="D664" s="107"/>
      <c r="E664" s="108"/>
      <c r="F664" s="109"/>
      <c r="G664" s="103"/>
      <c r="H664" s="103"/>
      <c r="I664" s="102"/>
      <c r="J664" s="102"/>
      <c r="K664" s="78"/>
      <c r="L664" s="110"/>
      <c r="M664" s="105" t="str">
        <f t="shared" si="10"/>
        <v xml:space="preserve">   </v>
      </c>
    </row>
    <row r="665" spans="1:13" s="53" customFormat="1" hidden="1" x14ac:dyDescent="0.2">
      <c r="A665" s="382"/>
      <c r="B665" s="379"/>
      <c r="C665" s="106"/>
      <c r="D665" s="107"/>
      <c r="E665" s="108"/>
      <c r="F665" s="109"/>
      <c r="G665" s="103"/>
      <c r="H665" s="103"/>
      <c r="I665" s="102"/>
      <c r="J665" s="102"/>
      <c r="K665" s="78"/>
      <c r="L665" s="110"/>
      <c r="M665" s="105" t="str">
        <f t="shared" si="10"/>
        <v xml:space="preserve">   </v>
      </c>
    </row>
    <row r="666" spans="1:13" s="53" customFormat="1" hidden="1" x14ac:dyDescent="0.2">
      <c r="A666" s="382"/>
      <c r="B666" s="379"/>
      <c r="C666" s="106"/>
      <c r="D666" s="107"/>
      <c r="E666" s="108"/>
      <c r="F666" s="109"/>
      <c r="G666" s="103"/>
      <c r="H666" s="103"/>
      <c r="I666" s="102"/>
      <c r="J666" s="102"/>
      <c r="K666" s="78"/>
      <c r="L666" s="110"/>
      <c r="M666" s="105" t="str">
        <f t="shared" si="10"/>
        <v xml:space="preserve">   </v>
      </c>
    </row>
    <row r="667" spans="1:13" s="53" customFormat="1" hidden="1" x14ac:dyDescent="0.2">
      <c r="A667" s="382"/>
      <c r="B667" s="379"/>
      <c r="C667" s="106"/>
      <c r="D667" s="107"/>
      <c r="E667" s="108"/>
      <c r="F667" s="109"/>
      <c r="G667" s="103"/>
      <c r="H667" s="103"/>
      <c r="I667" s="102"/>
      <c r="J667" s="102"/>
      <c r="K667" s="78"/>
      <c r="L667" s="110"/>
      <c r="M667" s="105" t="str">
        <f t="shared" si="10"/>
        <v xml:space="preserve">   </v>
      </c>
    </row>
    <row r="668" spans="1:13" s="53" customFormat="1" hidden="1" x14ac:dyDescent="0.2">
      <c r="A668" s="382"/>
      <c r="B668" s="379"/>
      <c r="C668" s="106"/>
      <c r="D668" s="107"/>
      <c r="E668" s="108"/>
      <c r="F668" s="109"/>
      <c r="G668" s="103"/>
      <c r="H668" s="103"/>
      <c r="I668" s="102"/>
      <c r="J668" s="102"/>
      <c r="K668" s="78"/>
      <c r="L668" s="110"/>
      <c r="M668" s="105" t="str">
        <f t="shared" si="10"/>
        <v xml:space="preserve">   </v>
      </c>
    </row>
    <row r="669" spans="1:13" s="53" customFormat="1" hidden="1" x14ac:dyDescent="0.2">
      <c r="A669" s="382"/>
      <c r="B669" s="379"/>
      <c r="C669" s="106"/>
      <c r="D669" s="107"/>
      <c r="E669" s="108"/>
      <c r="F669" s="109"/>
      <c r="G669" s="103"/>
      <c r="H669" s="103"/>
      <c r="I669" s="102"/>
      <c r="J669" s="102"/>
      <c r="K669" s="78"/>
      <c r="L669" s="110"/>
      <c r="M669" s="105" t="str">
        <f t="shared" si="10"/>
        <v xml:space="preserve">   </v>
      </c>
    </row>
    <row r="670" spans="1:13" s="53" customFormat="1" hidden="1" x14ac:dyDescent="0.2">
      <c r="A670" s="382"/>
      <c r="B670" s="379"/>
      <c r="C670" s="106"/>
      <c r="D670" s="107"/>
      <c r="E670" s="108"/>
      <c r="F670" s="109"/>
      <c r="G670" s="103"/>
      <c r="H670" s="103"/>
      <c r="I670" s="102"/>
      <c r="J670" s="102"/>
      <c r="K670" s="78"/>
      <c r="L670" s="110"/>
      <c r="M670" s="105" t="str">
        <f t="shared" si="10"/>
        <v xml:space="preserve">   </v>
      </c>
    </row>
    <row r="671" spans="1:13" s="53" customFormat="1" hidden="1" x14ac:dyDescent="0.2">
      <c r="A671" s="382"/>
      <c r="B671" s="379"/>
      <c r="C671" s="106"/>
      <c r="D671" s="107"/>
      <c r="E671" s="108"/>
      <c r="F671" s="109"/>
      <c r="G671" s="103"/>
      <c r="H671" s="103"/>
      <c r="I671" s="102"/>
      <c r="J671" s="102"/>
      <c r="K671" s="78"/>
      <c r="L671" s="110"/>
      <c r="M671" s="105" t="str">
        <f t="shared" si="10"/>
        <v xml:space="preserve">   </v>
      </c>
    </row>
    <row r="672" spans="1:13" s="53" customFormat="1" ht="12.75" hidden="1" customHeight="1" x14ac:dyDescent="0.2">
      <c r="A672" s="382" t="s">
        <v>67</v>
      </c>
      <c r="B672" s="379" t="s">
        <v>88</v>
      </c>
      <c r="C672" s="102"/>
      <c r="D672" s="102"/>
      <c r="E672" s="102"/>
      <c r="F672" s="102"/>
      <c r="G672" s="103"/>
      <c r="H672" s="103"/>
      <c r="I672" s="102"/>
      <c r="J672" s="102"/>
      <c r="K672" s="78"/>
      <c r="L672" s="104" t="str">
        <f>CONCATENATE(C672," ",D672," ",E672," ",F672," ",C673," ",D673," ",E673," ",F673)</f>
        <v xml:space="preserve">       </v>
      </c>
      <c r="M672" s="105" t="str">
        <f t="shared" si="10"/>
        <v xml:space="preserve">   </v>
      </c>
    </row>
    <row r="673" spans="1:13" s="53" customFormat="1" hidden="1" x14ac:dyDescent="0.2">
      <c r="A673" s="382"/>
      <c r="B673" s="379"/>
      <c r="C673" s="106"/>
      <c r="D673" s="107"/>
      <c r="E673" s="108"/>
      <c r="F673" s="109"/>
      <c r="G673" s="103"/>
      <c r="H673" s="103"/>
      <c r="I673" s="102"/>
      <c r="J673" s="102"/>
      <c r="K673" s="78"/>
      <c r="L673" s="110"/>
      <c r="M673" s="105" t="str">
        <f t="shared" si="10"/>
        <v xml:space="preserve">   </v>
      </c>
    </row>
    <row r="674" spans="1:13" s="53" customFormat="1" hidden="1" x14ac:dyDescent="0.2">
      <c r="A674" s="382"/>
      <c r="B674" s="379"/>
      <c r="C674" s="106"/>
      <c r="D674" s="107"/>
      <c r="E674" s="108"/>
      <c r="F674" s="109"/>
      <c r="G674" s="103"/>
      <c r="H674" s="103"/>
      <c r="I674" s="102"/>
      <c r="J674" s="102"/>
      <c r="K674" s="78"/>
      <c r="L674" s="110"/>
      <c r="M674" s="105" t="str">
        <f t="shared" si="10"/>
        <v xml:space="preserve">   </v>
      </c>
    </row>
    <row r="675" spans="1:13" s="53" customFormat="1" hidden="1" x14ac:dyDescent="0.2">
      <c r="A675" s="382"/>
      <c r="B675" s="379"/>
      <c r="C675" s="106"/>
      <c r="D675" s="107"/>
      <c r="E675" s="108"/>
      <c r="F675" s="109"/>
      <c r="G675" s="103"/>
      <c r="H675" s="103"/>
      <c r="I675" s="102"/>
      <c r="J675" s="102"/>
      <c r="K675" s="78"/>
      <c r="L675" s="110"/>
      <c r="M675" s="105" t="str">
        <f t="shared" si="10"/>
        <v xml:space="preserve">   </v>
      </c>
    </row>
    <row r="676" spans="1:13" s="53" customFormat="1" hidden="1" x14ac:dyDescent="0.2">
      <c r="A676" s="382"/>
      <c r="B676" s="379"/>
      <c r="C676" s="106"/>
      <c r="D676" s="107"/>
      <c r="E676" s="108"/>
      <c r="F676" s="109"/>
      <c r="G676" s="103"/>
      <c r="H676" s="103"/>
      <c r="I676" s="102"/>
      <c r="J676" s="102"/>
      <c r="K676" s="78"/>
      <c r="L676" s="110"/>
      <c r="M676" s="105" t="str">
        <f t="shared" si="10"/>
        <v xml:space="preserve">   </v>
      </c>
    </row>
    <row r="677" spans="1:13" s="53" customFormat="1" hidden="1" x14ac:dyDescent="0.2">
      <c r="A677" s="382"/>
      <c r="B677" s="379"/>
      <c r="C677" s="106"/>
      <c r="D677" s="107"/>
      <c r="E677" s="108"/>
      <c r="F677" s="109"/>
      <c r="G677" s="103"/>
      <c r="H677" s="103"/>
      <c r="I677" s="102"/>
      <c r="J677" s="102"/>
      <c r="K677" s="78"/>
      <c r="L677" s="110"/>
      <c r="M677" s="105" t="str">
        <f t="shared" si="10"/>
        <v xml:space="preserve">   </v>
      </c>
    </row>
    <row r="678" spans="1:13" s="53" customFormat="1" hidden="1" x14ac:dyDescent="0.2">
      <c r="A678" s="382"/>
      <c r="B678" s="379"/>
      <c r="C678" s="106"/>
      <c r="D678" s="107"/>
      <c r="E678" s="108"/>
      <c r="F678" s="109"/>
      <c r="G678" s="103"/>
      <c r="H678" s="103"/>
      <c r="I678" s="102"/>
      <c r="J678" s="102"/>
      <c r="K678" s="78"/>
      <c r="L678" s="110"/>
      <c r="M678" s="105" t="str">
        <f t="shared" si="10"/>
        <v xml:space="preserve">   </v>
      </c>
    </row>
    <row r="679" spans="1:13" s="53" customFormat="1" hidden="1" x14ac:dyDescent="0.2">
      <c r="A679" s="382"/>
      <c r="B679" s="379"/>
      <c r="C679" s="106"/>
      <c r="D679" s="107"/>
      <c r="E679" s="108"/>
      <c r="F679" s="109"/>
      <c r="G679" s="103"/>
      <c r="H679" s="103"/>
      <c r="I679" s="102"/>
      <c r="J679" s="102"/>
      <c r="K679" s="78"/>
      <c r="L679" s="110"/>
      <c r="M679" s="105" t="str">
        <f t="shared" si="10"/>
        <v xml:space="preserve">   </v>
      </c>
    </row>
    <row r="680" spans="1:13" s="53" customFormat="1" hidden="1" x14ac:dyDescent="0.2">
      <c r="A680" s="382"/>
      <c r="B680" s="379"/>
      <c r="C680" s="106"/>
      <c r="D680" s="107"/>
      <c r="E680" s="108"/>
      <c r="F680" s="109"/>
      <c r="G680" s="103"/>
      <c r="H680" s="103"/>
      <c r="I680" s="102"/>
      <c r="J680" s="102"/>
      <c r="K680" s="78"/>
      <c r="L680" s="110"/>
      <c r="M680" s="105" t="str">
        <f t="shared" si="10"/>
        <v xml:space="preserve">   </v>
      </c>
    </row>
    <row r="681" spans="1:13" s="53" customFormat="1" hidden="1" x14ac:dyDescent="0.2">
      <c r="A681" s="382"/>
      <c r="B681" s="379"/>
      <c r="C681" s="106"/>
      <c r="D681" s="107"/>
      <c r="E681" s="108"/>
      <c r="F681" s="109"/>
      <c r="G681" s="103"/>
      <c r="H681" s="103"/>
      <c r="I681" s="102"/>
      <c r="J681" s="102"/>
      <c r="K681" s="78"/>
      <c r="L681" s="110"/>
      <c r="M681" s="105" t="str">
        <f t="shared" si="10"/>
        <v xml:space="preserve">   </v>
      </c>
    </row>
    <row r="682" spans="1:13" s="53" customFormat="1" ht="12.75" hidden="1" customHeight="1" x14ac:dyDescent="0.2">
      <c r="A682" s="382" t="s">
        <v>67</v>
      </c>
      <c r="B682" s="379" t="s">
        <v>88</v>
      </c>
      <c r="C682" s="102"/>
      <c r="D682" s="102"/>
      <c r="E682" s="102"/>
      <c r="F682" s="102"/>
      <c r="G682" s="103"/>
      <c r="H682" s="103"/>
      <c r="I682" s="102"/>
      <c r="J682" s="102"/>
      <c r="K682" s="78"/>
      <c r="L682" s="104" t="str">
        <f>CONCATENATE(C682," ",D682," ",E682," ",F682," ",C683," ",D683," ",E683," ",F683)</f>
        <v xml:space="preserve">       </v>
      </c>
      <c r="M682" s="105" t="str">
        <f t="shared" si="10"/>
        <v xml:space="preserve">   </v>
      </c>
    </row>
    <row r="683" spans="1:13" s="53" customFormat="1" hidden="1" x14ac:dyDescent="0.2">
      <c r="A683" s="382"/>
      <c r="B683" s="379"/>
      <c r="C683" s="106"/>
      <c r="D683" s="107"/>
      <c r="E683" s="108"/>
      <c r="F683" s="109"/>
      <c r="G683" s="103"/>
      <c r="H683" s="103"/>
      <c r="I683" s="102"/>
      <c r="J683" s="102"/>
      <c r="K683" s="78"/>
      <c r="L683" s="110"/>
      <c r="M683" s="105" t="str">
        <f t="shared" si="10"/>
        <v xml:space="preserve">   </v>
      </c>
    </row>
    <row r="684" spans="1:13" s="53" customFormat="1" hidden="1" x14ac:dyDescent="0.2">
      <c r="A684" s="382"/>
      <c r="B684" s="379"/>
      <c r="C684" s="106"/>
      <c r="D684" s="107"/>
      <c r="E684" s="108"/>
      <c r="F684" s="109"/>
      <c r="G684" s="103"/>
      <c r="H684" s="103"/>
      <c r="I684" s="102"/>
      <c r="J684" s="102"/>
      <c r="K684" s="78"/>
      <c r="L684" s="110"/>
      <c r="M684" s="105" t="str">
        <f t="shared" si="10"/>
        <v xml:space="preserve">   </v>
      </c>
    </row>
    <row r="685" spans="1:13" s="53" customFormat="1" hidden="1" x14ac:dyDescent="0.2">
      <c r="A685" s="382"/>
      <c r="B685" s="379"/>
      <c r="C685" s="106"/>
      <c r="D685" s="107"/>
      <c r="E685" s="108"/>
      <c r="F685" s="109"/>
      <c r="G685" s="103"/>
      <c r="H685" s="103"/>
      <c r="I685" s="102"/>
      <c r="J685" s="102"/>
      <c r="K685" s="78"/>
      <c r="L685" s="110"/>
      <c r="M685" s="105" t="str">
        <f t="shared" si="10"/>
        <v xml:space="preserve">   </v>
      </c>
    </row>
    <row r="686" spans="1:13" s="53" customFormat="1" hidden="1" x14ac:dyDescent="0.2">
      <c r="A686" s="382"/>
      <c r="B686" s="379"/>
      <c r="C686" s="106"/>
      <c r="D686" s="107"/>
      <c r="E686" s="108"/>
      <c r="F686" s="109"/>
      <c r="G686" s="103"/>
      <c r="H686" s="103"/>
      <c r="I686" s="102"/>
      <c r="J686" s="102"/>
      <c r="K686" s="78"/>
      <c r="L686" s="110"/>
      <c r="M686" s="105" t="str">
        <f t="shared" si="10"/>
        <v xml:space="preserve">   </v>
      </c>
    </row>
    <row r="687" spans="1:13" s="53" customFormat="1" hidden="1" x14ac:dyDescent="0.2">
      <c r="A687" s="382"/>
      <c r="B687" s="379"/>
      <c r="C687" s="106"/>
      <c r="D687" s="107"/>
      <c r="E687" s="108"/>
      <c r="F687" s="109"/>
      <c r="G687" s="103"/>
      <c r="H687" s="103"/>
      <c r="I687" s="102"/>
      <c r="J687" s="102"/>
      <c r="K687" s="78"/>
      <c r="L687" s="110"/>
      <c r="M687" s="105" t="str">
        <f t="shared" si="10"/>
        <v xml:space="preserve">   </v>
      </c>
    </row>
    <row r="688" spans="1:13" s="53" customFormat="1" hidden="1" x14ac:dyDescent="0.2">
      <c r="A688" s="382"/>
      <c r="B688" s="379"/>
      <c r="C688" s="106"/>
      <c r="D688" s="107"/>
      <c r="E688" s="108"/>
      <c r="F688" s="109"/>
      <c r="G688" s="103"/>
      <c r="H688" s="103"/>
      <c r="I688" s="102"/>
      <c r="J688" s="102"/>
      <c r="K688" s="78"/>
      <c r="L688" s="110"/>
      <c r="M688" s="105" t="str">
        <f t="shared" si="10"/>
        <v xml:space="preserve">   </v>
      </c>
    </row>
    <row r="689" spans="1:13" s="53" customFormat="1" hidden="1" x14ac:dyDescent="0.2">
      <c r="A689" s="382"/>
      <c r="B689" s="379"/>
      <c r="C689" s="106"/>
      <c r="D689" s="107"/>
      <c r="E689" s="108"/>
      <c r="F689" s="109"/>
      <c r="G689" s="103"/>
      <c r="H689" s="103"/>
      <c r="I689" s="102"/>
      <c r="J689" s="102"/>
      <c r="K689" s="78"/>
      <c r="L689" s="110"/>
      <c r="M689" s="105" t="str">
        <f t="shared" si="10"/>
        <v xml:space="preserve">   </v>
      </c>
    </row>
    <row r="690" spans="1:13" s="53" customFormat="1" hidden="1" x14ac:dyDescent="0.2">
      <c r="A690" s="382"/>
      <c r="B690" s="379"/>
      <c r="C690" s="106"/>
      <c r="D690" s="107"/>
      <c r="E690" s="108"/>
      <c r="F690" s="109"/>
      <c r="G690" s="103"/>
      <c r="H690" s="103"/>
      <c r="I690" s="102"/>
      <c r="J690" s="102"/>
      <c r="K690" s="78"/>
      <c r="L690" s="110"/>
      <c r="M690" s="105" t="str">
        <f t="shared" si="10"/>
        <v xml:space="preserve">   </v>
      </c>
    </row>
    <row r="691" spans="1:13" s="53" customFormat="1" hidden="1" x14ac:dyDescent="0.2">
      <c r="A691" s="382"/>
      <c r="B691" s="379"/>
      <c r="C691" s="106"/>
      <c r="D691" s="107"/>
      <c r="E691" s="108"/>
      <c r="F691" s="109"/>
      <c r="G691" s="103"/>
      <c r="H691" s="103"/>
      <c r="I691" s="102"/>
      <c r="J691" s="102"/>
      <c r="K691" s="78"/>
      <c r="L691" s="110"/>
      <c r="M691" s="105" t="str">
        <f t="shared" si="10"/>
        <v xml:space="preserve">   </v>
      </c>
    </row>
    <row r="692" spans="1:13" s="53" customFormat="1" ht="12.75" hidden="1" customHeight="1" x14ac:dyDescent="0.2">
      <c r="A692" s="382" t="s">
        <v>67</v>
      </c>
      <c r="B692" s="379" t="s">
        <v>88</v>
      </c>
      <c r="C692" s="102"/>
      <c r="D692" s="102"/>
      <c r="E692" s="102"/>
      <c r="F692" s="102"/>
      <c r="G692" s="103"/>
      <c r="H692" s="103"/>
      <c r="I692" s="102"/>
      <c r="J692" s="102"/>
      <c r="K692" s="78"/>
      <c r="L692" s="104" t="str">
        <f>CONCATENATE(C692," ",D692," ",E692," ",F692," ",C693," ",D693," ",E693," ",F693)</f>
        <v xml:space="preserve">       </v>
      </c>
      <c r="M692" s="105" t="str">
        <f t="shared" si="10"/>
        <v xml:space="preserve">   </v>
      </c>
    </row>
    <row r="693" spans="1:13" s="53" customFormat="1" hidden="1" x14ac:dyDescent="0.2">
      <c r="A693" s="382"/>
      <c r="B693" s="379"/>
      <c r="C693" s="106"/>
      <c r="D693" s="107"/>
      <c r="E693" s="108"/>
      <c r="F693" s="109"/>
      <c r="G693" s="103"/>
      <c r="H693" s="103"/>
      <c r="I693" s="102"/>
      <c r="J693" s="102"/>
      <c r="K693" s="78"/>
      <c r="L693" s="110"/>
      <c r="M693" s="105" t="str">
        <f t="shared" si="10"/>
        <v xml:space="preserve">   </v>
      </c>
    </row>
    <row r="694" spans="1:13" s="53" customFormat="1" hidden="1" x14ac:dyDescent="0.2">
      <c r="A694" s="382"/>
      <c r="B694" s="379"/>
      <c r="C694" s="106"/>
      <c r="D694" s="107"/>
      <c r="E694" s="108"/>
      <c r="F694" s="109"/>
      <c r="G694" s="103"/>
      <c r="H694" s="103"/>
      <c r="I694" s="102"/>
      <c r="J694" s="102"/>
      <c r="K694" s="78"/>
      <c r="L694" s="110"/>
      <c r="M694" s="105" t="str">
        <f t="shared" si="10"/>
        <v xml:space="preserve">   </v>
      </c>
    </row>
    <row r="695" spans="1:13" s="53" customFormat="1" hidden="1" x14ac:dyDescent="0.2">
      <c r="A695" s="382"/>
      <c r="B695" s="379"/>
      <c r="C695" s="106"/>
      <c r="D695" s="107"/>
      <c r="E695" s="108"/>
      <c r="F695" s="109"/>
      <c r="G695" s="103"/>
      <c r="H695" s="103"/>
      <c r="I695" s="102"/>
      <c r="J695" s="102"/>
      <c r="K695" s="78"/>
      <c r="L695" s="110"/>
      <c r="M695" s="105" t="str">
        <f t="shared" si="10"/>
        <v xml:space="preserve">   </v>
      </c>
    </row>
    <row r="696" spans="1:13" s="53" customFormat="1" hidden="1" x14ac:dyDescent="0.2">
      <c r="A696" s="382"/>
      <c r="B696" s="379"/>
      <c r="C696" s="106"/>
      <c r="D696" s="107"/>
      <c r="E696" s="108"/>
      <c r="F696" s="109"/>
      <c r="G696" s="103"/>
      <c r="H696" s="103"/>
      <c r="I696" s="102"/>
      <c r="J696" s="102"/>
      <c r="K696" s="78"/>
      <c r="L696" s="110"/>
      <c r="M696" s="105" t="str">
        <f t="shared" si="10"/>
        <v xml:space="preserve">   </v>
      </c>
    </row>
    <row r="697" spans="1:13" s="53" customFormat="1" hidden="1" x14ac:dyDescent="0.2">
      <c r="A697" s="382"/>
      <c r="B697" s="379"/>
      <c r="C697" s="106"/>
      <c r="D697" s="107"/>
      <c r="E697" s="108"/>
      <c r="F697" s="109"/>
      <c r="G697" s="103"/>
      <c r="H697" s="103"/>
      <c r="I697" s="102"/>
      <c r="J697" s="102"/>
      <c r="K697" s="78"/>
      <c r="L697" s="110"/>
      <c r="M697" s="105" t="str">
        <f t="shared" si="10"/>
        <v xml:space="preserve">   </v>
      </c>
    </row>
    <row r="698" spans="1:13" s="53" customFormat="1" hidden="1" x14ac:dyDescent="0.2">
      <c r="A698" s="382"/>
      <c r="B698" s="379"/>
      <c r="C698" s="106"/>
      <c r="D698" s="107"/>
      <c r="E698" s="108"/>
      <c r="F698" s="109"/>
      <c r="G698" s="103"/>
      <c r="H698" s="103"/>
      <c r="I698" s="102"/>
      <c r="J698" s="102"/>
      <c r="K698" s="78"/>
      <c r="L698" s="110"/>
      <c r="M698" s="105" t="str">
        <f t="shared" si="10"/>
        <v xml:space="preserve">   </v>
      </c>
    </row>
    <row r="699" spans="1:13" s="53" customFormat="1" hidden="1" x14ac:dyDescent="0.2">
      <c r="A699" s="382"/>
      <c r="B699" s="379"/>
      <c r="C699" s="106"/>
      <c r="D699" s="107"/>
      <c r="E699" s="108"/>
      <c r="F699" s="109"/>
      <c r="G699" s="103"/>
      <c r="H699" s="103"/>
      <c r="I699" s="102"/>
      <c r="J699" s="102"/>
      <c r="K699" s="78"/>
      <c r="L699" s="110"/>
      <c r="M699" s="105" t="str">
        <f t="shared" si="10"/>
        <v xml:space="preserve">   </v>
      </c>
    </row>
    <row r="700" spans="1:13" s="53" customFormat="1" hidden="1" x14ac:dyDescent="0.2">
      <c r="A700" s="382"/>
      <c r="B700" s="379"/>
      <c r="C700" s="106"/>
      <c r="D700" s="107"/>
      <c r="E700" s="108"/>
      <c r="F700" s="109"/>
      <c r="G700" s="103"/>
      <c r="H700" s="103"/>
      <c r="I700" s="102"/>
      <c r="J700" s="102"/>
      <c r="K700" s="78"/>
      <c r="L700" s="110"/>
      <c r="M700" s="105" t="str">
        <f t="shared" si="10"/>
        <v xml:space="preserve">   </v>
      </c>
    </row>
    <row r="701" spans="1:13" s="53" customFormat="1" hidden="1" x14ac:dyDescent="0.2">
      <c r="A701" s="382"/>
      <c r="B701" s="379"/>
      <c r="C701" s="106"/>
      <c r="D701" s="107"/>
      <c r="E701" s="108"/>
      <c r="F701" s="109"/>
      <c r="G701" s="103"/>
      <c r="H701" s="103"/>
      <c r="I701" s="102"/>
      <c r="J701" s="102"/>
      <c r="K701" s="78"/>
      <c r="L701" s="110"/>
      <c r="M701" s="105" t="str">
        <f t="shared" si="10"/>
        <v xml:space="preserve">   </v>
      </c>
    </row>
    <row r="702" spans="1:13" s="53" customFormat="1" ht="12.75" hidden="1" customHeight="1" x14ac:dyDescent="0.2">
      <c r="A702" s="382" t="s">
        <v>67</v>
      </c>
      <c r="B702" s="379" t="s">
        <v>88</v>
      </c>
      <c r="C702" s="102"/>
      <c r="D702" s="102"/>
      <c r="E702" s="102"/>
      <c r="F702" s="102"/>
      <c r="G702" s="103"/>
      <c r="H702" s="103"/>
      <c r="I702" s="102"/>
      <c r="J702" s="102"/>
      <c r="K702" s="78"/>
      <c r="L702" s="104" t="str">
        <f>CONCATENATE(C702," ",D702," ",E702," ",F702," ",C703," ",D703," ",E703," ",F703)</f>
        <v xml:space="preserve">       </v>
      </c>
      <c r="M702" s="105" t="str">
        <f t="shared" si="10"/>
        <v xml:space="preserve">   </v>
      </c>
    </row>
    <row r="703" spans="1:13" s="53" customFormat="1" hidden="1" x14ac:dyDescent="0.2">
      <c r="A703" s="382"/>
      <c r="B703" s="379"/>
      <c r="C703" s="106"/>
      <c r="D703" s="107"/>
      <c r="E703" s="108"/>
      <c r="F703" s="109"/>
      <c r="G703" s="103"/>
      <c r="H703" s="103"/>
      <c r="I703" s="102"/>
      <c r="J703" s="102"/>
      <c r="K703" s="78"/>
      <c r="L703" s="110"/>
      <c r="M703" s="105" t="str">
        <f t="shared" si="10"/>
        <v xml:space="preserve">   </v>
      </c>
    </row>
    <row r="704" spans="1:13" s="53" customFormat="1" hidden="1" x14ac:dyDescent="0.2">
      <c r="A704" s="382"/>
      <c r="B704" s="379"/>
      <c r="C704" s="106"/>
      <c r="D704" s="107"/>
      <c r="E704" s="108"/>
      <c r="F704" s="109"/>
      <c r="G704" s="103"/>
      <c r="H704" s="103"/>
      <c r="I704" s="102"/>
      <c r="J704" s="102"/>
      <c r="K704" s="78"/>
      <c r="L704" s="110"/>
      <c r="M704" s="105" t="str">
        <f t="shared" si="10"/>
        <v xml:space="preserve">   </v>
      </c>
    </row>
    <row r="705" spans="1:13" s="53" customFormat="1" hidden="1" x14ac:dyDescent="0.2">
      <c r="A705" s="382"/>
      <c r="B705" s="379"/>
      <c r="C705" s="106"/>
      <c r="D705" s="107"/>
      <c r="E705" s="108"/>
      <c r="F705" s="109"/>
      <c r="G705" s="103"/>
      <c r="H705" s="103"/>
      <c r="I705" s="102"/>
      <c r="J705" s="102"/>
      <c r="K705" s="78"/>
      <c r="L705" s="110"/>
      <c r="M705" s="105" t="str">
        <f t="shared" si="10"/>
        <v xml:space="preserve">   </v>
      </c>
    </row>
    <row r="706" spans="1:13" s="53" customFormat="1" hidden="1" x14ac:dyDescent="0.2">
      <c r="A706" s="382"/>
      <c r="B706" s="379"/>
      <c r="C706" s="106"/>
      <c r="D706" s="107"/>
      <c r="E706" s="108"/>
      <c r="F706" s="109"/>
      <c r="G706" s="103"/>
      <c r="H706" s="103"/>
      <c r="I706" s="102"/>
      <c r="J706" s="102"/>
      <c r="K706" s="78"/>
      <c r="L706" s="110"/>
      <c r="M706" s="105" t="str">
        <f t="shared" si="10"/>
        <v xml:space="preserve">   </v>
      </c>
    </row>
    <row r="707" spans="1:13" s="53" customFormat="1" hidden="1" x14ac:dyDescent="0.2">
      <c r="A707" s="382"/>
      <c r="B707" s="379"/>
      <c r="C707" s="106"/>
      <c r="D707" s="107"/>
      <c r="E707" s="108"/>
      <c r="F707" s="109"/>
      <c r="G707" s="103"/>
      <c r="H707" s="103"/>
      <c r="I707" s="102"/>
      <c r="J707" s="102"/>
      <c r="K707" s="78"/>
      <c r="L707" s="110"/>
      <c r="M707" s="105" t="str">
        <f t="shared" si="10"/>
        <v xml:space="preserve">   </v>
      </c>
    </row>
    <row r="708" spans="1:13" s="53" customFormat="1" hidden="1" x14ac:dyDescent="0.2">
      <c r="A708" s="382"/>
      <c r="B708" s="379"/>
      <c r="C708" s="106"/>
      <c r="D708" s="107"/>
      <c r="E708" s="108"/>
      <c r="F708" s="109"/>
      <c r="G708" s="103"/>
      <c r="H708" s="103"/>
      <c r="I708" s="102"/>
      <c r="J708" s="102"/>
      <c r="K708" s="78"/>
      <c r="L708" s="110"/>
      <c r="M708" s="105" t="str">
        <f t="shared" si="10"/>
        <v xml:space="preserve">   </v>
      </c>
    </row>
    <row r="709" spans="1:13" s="53" customFormat="1" hidden="1" x14ac:dyDescent="0.2">
      <c r="A709" s="382"/>
      <c r="B709" s="379"/>
      <c r="C709" s="106"/>
      <c r="D709" s="107"/>
      <c r="E709" s="108"/>
      <c r="F709" s="109"/>
      <c r="G709" s="103"/>
      <c r="H709" s="103"/>
      <c r="I709" s="102"/>
      <c r="J709" s="102"/>
      <c r="K709" s="78"/>
      <c r="L709" s="110"/>
      <c r="M709" s="105" t="str">
        <f t="shared" si="10"/>
        <v xml:space="preserve">   </v>
      </c>
    </row>
    <row r="710" spans="1:13" s="53" customFormat="1" hidden="1" x14ac:dyDescent="0.2">
      <c r="A710" s="382"/>
      <c r="B710" s="379"/>
      <c r="C710" s="106"/>
      <c r="D710" s="107"/>
      <c r="E710" s="108"/>
      <c r="F710" s="109"/>
      <c r="G710" s="103"/>
      <c r="H710" s="103"/>
      <c r="I710" s="102"/>
      <c r="J710" s="102"/>
      <c r="K710" s="78"/>
      <c r="L710" s="110"/>
      <c r="M710" s="105" t="str">
        <f t="shared" si="10"/>
        <v xml:space="preserve">   </v>
      </c>
    </row>
    <row r="711" spans="1:13" s="53" customFormat="1" hidden="1" x14ac:dyDescent="0.2">
      <c r="A711" s="382"/>
      <c r="B711" s="379"/>
      <c r="C711" s="106"/>
      <c r="D711" s="107"/>
      <c r="E711" s="108"/>
      <c r="F711" s="109"/>
      <c r="G711" s="103"/>
      <c r="H711" s="103"/>
      <c r="I711" s="102"/>
      <c r="J711" s="102"/>
      <c r="K711" s="78"/>
      <c r="L711" s="110"/>
      <c r="M711" s="105" t="str">
        <f t="shared" si="10"/>
        <v xml:space="preserve">   </v>
      </c>
    </row>
    <row r="712" spans="1:13" s="53" customFormat="1" ht="12.75" hidden="1" customHeight="1" x14ac:dyDescent="0.2">
      <c r="A712" s="382" t="s">
        <v>67</v>
      </c>
      <c r="B712" s="379" t="s">
        <v>88</v>
      </c>
      <c r="C712" s="102"/>
      <c r="D712" s="102"/>
      <c r="E712" s="102"/>
      <c r="F712" s="102"/>
      <c r="G712" s="103"/>
      <c r="H712" s="103"/>
      <c r="I712" s="102"/>
      <c r="J712" s="102"/>
      <c r="K712" s="78"/>
      <c r="L712" s="104" t="str">
        <f>CONCATENATE(C712," ",D712," ",E712," ",F712," ",C713," ",D713," ",E713," ",F713)</f>
        <v xml:space="preserve">       </v>
      </c>
      <c r="M712" s="105" t="str">
        <f t="shared" si="10"/>
        <v xml:space="preserve">   </v>
      </c>
    </row>
    <row r="713" spans="1:13" s="53" customFormat="1" hidden="1" x14ac:dyDescent="0.2">
      <c r="A713" s="382"/>
      <c r="B713" s="379"/>
      <c r="C713" s="106"/>
      <c r="D713" s="107"/>
      <c r="E713" s="108"/>
      <c r="F713" s="109"/>
      <c r="G713" s="103"/>
      <c r="H713" s="103"/>
      <c r="I713" s="102"/>
      <c r="J713" s="102"/>
      <c r="K713" s="78"/>
      <c r="L713" s="110"/>
      <c r="M713" s="105" t="str">
        <f t="shared" si="10"/>
        <v xml:space="preserve">   </v>
      </c>
    </row>
    <row r="714" spans="1:13" s="53" customFormat="1" hidden="1" x14ac:dyDescent="0.2">
      <c r="A714" s="382"/>
      <c r="B714" s="379"/>
      <c r="C714" s="106"/>
      <c r="D714" s="107"/>
      <c r="E714" s="108"/>
      <c r="F714" s="109"/>
      <c r="G714" s="103"/>
      <c r="H714" s="103"/>
      <c r="I714" s="102"/>
      <c r="J714" s="102"/>
      <c r="K714" s="78"/>
      <c r="L714" s="110"/>
      <c r="M714" s="105" t="str">
        <f t="shared" si="10"/>
        <v xml:space="preserve">   </v>
      </c>
    </row>
    <row r="715" spans="1:13" s="53" customFormat="1" hidden="1" x14ac:dyDescent="0.2">
      <c r="A715" s="382"/>
      <c r="B715" s="379"/>
      <c r="C715" s="106"/>
      <c r="D715" s="107"/>
      <c r="E715" s="108"/>
      <c r="F715" s="109"/>
      <c r="G715" s="103"/>
      <c r="H715" s="103"/>
      <c r="I715" s="102"/>
      <c r="J715" s="102"/>
      <c r="K715" s="78"/>
      <c r="L715" s="110"/>
      <c r="M715" s="105" t="str">
        <f t="shared" ref="M715:M778" si="11">CONCATENATE(G715," ",H715," ",I715," ",J715)</f>
        <v xml:space="preserve">   </v>
      </c>
    </row>
    <row r="716" spans="1:13" s="53" customFormat="1" hidden="1" x14ac:dyDescent="0.2">
      <c r="A716" s="382"/>
      <c r="B716" s="379"/>
      <c r="C716" s="106"/>
      <c r="D716" s="107"/>
      <c r="E716" s="108"/>
      <c r="F716" s="109"/>
      <c r="G716" s="103"/>
      <c r="H716" s="103"/>
      <c r="I716" s="102"/>
      <c r="J716" s="102"/>
      <c r="K716" s="78"/>
      <c r="L716" s="110"/>
      <c r="M716" s="105" t="str">
        <f t="shared" si="11"/>
        <v xml:space="preserve">   </v>
      </c>
    </row>
    <row r="717" spans="1:13" s="53" customFormat="1" hidden="1" x14ac:dyDescent="0.2">
      <c r="A717" s="382"/>
      <c r="B717" s="379"/>
      <c r="C717" s="106"/>
      <c r="D717" s="107"/>
      <c r="E717" s="108"/>
      <c r="F717" s="109"/>
      <c r="G717" s="103"/>
      <c r="H717" s="103"/>
      <c r="I717" s="102"/>
      <c r="J717" s="102"/>
      <c r="K717" s="78"/>
      <c r="L717" s="110"/>
      <c r="M717" s="105" t="str">
        <f t="shared" si="11"/>
        <v xml:space="preserve">   </v>
      </c>
    </row>
    <row r="718" spans="1:13" s="53" customFormat="1" hidden="1" x14ac:dyDescent="0.2">
      <c r="A718" s="382"/>
      <c r="B718" s="379"/>
      <c r="C718" s="106"/>
      <c r="D718" s="107"/>
      <c r="E718" s="108"/>
      <c r="F718" s="109"/>
      <c r="G718" s="103"/>
      <c r="H718" s="103"/>
      <c r="I718" s="102"/>
      <c r="J718" s="102"/>
      <c r="K718" s="78"/>
      <c r="L718" s="110"/>
      <c r="M718" s="105" t="str">
        <f t="shared" si="11"/>
        <v xml:space="preserve">   </v>
      </c>
    </row>
    <row r="719" spans="1:13" s="53" customFormat="1" hidden="1" x14ac:dyDescent="0.2">
      <c r="A719" s="382"/>
      <c r="B719" s="379"/>
      <c r="C719" s="106"/>
      <c r="D719" s="107"/>
      <c r="E719" s="108"/>
      <c r="F719" s="109"/>
      <c r="G719" s="103"/>
      <c r="H719" s="103"/>
      <c r="I719" s="102"/>
      <c r="J719" s="102"/>
      <c r="K719" s="78"/>
      <c r="L719" s="110"/>
      <c r="M719" s="105" t="str">
        <f t="shared" si="11"/>
        <v xml:space="preserve">   </v>
      </c>
    </row>
    <row r="720" spans="1:13" s="53" customFormat="1" hidden="1" x14ac:dyDescent="0.2">
      <c r="A720" s="382"/>
      <c r="B720" s="379"/>
      <c r="C720" s="106"/>
      <c r="D720" s="107"/>
      <c r="E720" s="108"/>
      <c r="F720" s="109"/>
      <c r="G720" s="103"/>
      <c r="H720" s="103"/>
      <c r="I720" s="102"/>
      <c r="J720" s="102"/>
      <c r="K720" s="78"/>
      <c r="L720" s="110"/>
      <c r="M720" s="105" t="str">
        <f t="shared" si="11"/>
        <v xml:space="preserve">   </v>
      </c>
    </row>
    <row r="721" spans="1:13" s="53" customFormat="1" hidden="1" x14ac:dyDescent="0.2">
      <c r="A721" s="382"/>
      <c r="B721" s="379"/>
      <c r="C721" s="106"/>
      <c r="D721" s="107"/>
      <c r="E721" s="108"/>
      <c r="F721" s="109"/>
      <c r="G721" s="103"/>
      <c r="H721" s="103"/>
      <c r="I721" s="102"/>
      <c r="J721" s="102"/>
      <c r="K721" s="78"/>
      <c r="L721" s="110"/>
      <c r="M721" s="105" t="str">
        <f t="shared" si="11"/>
        <v xml:space="preserve">   </v>
      </c>
    </row>
    <row r="722" spans="1:13" s="53" customFormat="1" ht="12.75" hidden="1" customHeight="1" x14ac:dyDescent="0.2">
      <c r="A722" s="382" t="s">
        <v>67</v>
      </c>
      <c r="B722" s="379" t="s">
        <v>88</v>
      </c>
      <c r="C722" s="102"/>
      <c r="D722" s="102"/>
      <c r="E722" s="102"/>
      <c r="F722" s="102"/>
      <c r="G722" s="103"/>
      <c r="H722" s="103"/>
      <c r="I722" s="102"/>
      <c r="J722" s="102"/>
      <c r="K722" s="78"/>
      <c r="L722" s="104" t="str">
        <f>CONCATENATE(C722," ",D722," ",E722," ",F722," ",C723," ",D723," ",E723," ",F723)</f>
        <v xml:space="preserve">       </v>
      </c>
      <c r="M722" s="105" t="str">
        <f t="shared" si="11"/>
        <v xml:space="preserve">   </v>
      </c>
    </row>
    <row r="723" spans="1:13" s="53" customFormat="1" hidden="1" x14ac:dyDescent="0.2">
      <c r="A723" s="382"/>
      <c r="B723" s="379"/>
      <c r="C723" s="106"/>
      <c r="D723" s="107"/>
      <c r="E723" s="108"/>
      <c r="F723" s="109"/>
      <c r="G723" s="103"/>
      <c r="H723" s="103"/>
      <c r="I723" s="102"/>
      <c r="J723" s="102"/>
      <c r="K723" s="78"/>
      <c r="L723" s="110"/>
      <c r="M723" s="105" t="str">
        <f t="shared" si="11"/>
        <v xml:space="preserve">   </v>
      </c>
    </row>
    <row r="724" spans="1:13" s="53" customFormat="1" hidden="1" x14ac:dyDescent="0.2">
      <c r="A724" s="382"/>
      <c r="B724" s="379"/>
      <c r="C724" s="106"/>
      <c r="D724" s="107"/>
      <c r="E724" s="108"/>
      <c r="F724" s="109"/>
      <c r="G724" s="103"/>
      <c r="H724" s="103"/>
      <c r="I724" s="102"/>
      <c r="J724" s="102"/>
      <c r="K724" s="78"/>
      <c r="L724" s="110"/>
      <c r="M724" s="105" t="str">
        <f t="shared" si="11"/>
        <v xml:space="preserve">   </v>
      </c>
    </row>
    <row r="725" spans="1:13" s="53" customFormat="1" hidden="1" x14ac:dyDescent="0.2">
      <c r="A725" s="382"/>
      <c r="B725" s="379"/>
      <c r="C725" s="106"/>
      <c r="D725" s="107"/>
      <c r="E725" s="108"/>
      <c r="F725" s="109"/>
      <c r="G725" s="103"/>
      <c r="H725" s="103"/>
      <c r="I725" s="102"/>
      <c r="J725" s="102"/>
      <c r="K725" s="78"/>
      <c r="L725" s="110"/>
      <c r="M725" s="105" t="str">
        <f t="shared" si="11"/>
        <v xml:space="preserve">   </v>
      </c>
    </row>
    <row r="726" spans="1:13" s="53" customFormat="1" hidden="1" x14ac:dyDescent="0.2">
      <c r="A726" s="382"/>
      <c r="B726" s="379"/>
      <c r="C726" s="106"/>
      <c r="D726" s="107"/>
      <c r="E726" s="108"/>
      <c r="F726" s="109"/>
      <c r="G726" s="103"/>
      <c r="H726" s="103"/>
      <c r="I726" s="102"/>
      <c r="J726" s="102"/>
      <c r="K726" s="78"/>
      <c r="L726" s="110"/>
      <c r="M726" s="105" t="str">
        <f t="shared" si="11"/>
        <v xml:space="preserve">   </v>
      </c>
    </row>
    <row r="727" spans="1:13" s="53" customFormat="1" hidden="1" x14ac:dyDescent="0.2">
      <c r="A727" s="382"/>
      <c r="B727" s="379"/>
      <c r="C727" s="106"/>
      <c r="D727" s="107"/>
      <c r="E727" s="108"/>
      <c r="F727" s="109"/>
      <c r="G727" s="103"/>
      <c r="H727" s="103"/>
      <c r="I727" s="102"/>
      <c r="J727" s="102"/>
      <c r="K727" s="78"/>
      <c r="L727" s="110"/>
      <c r="M727" s="105" t="str">
        <f t="shared" si="11"/>
        <v xml:space="preserve">   </v>
      </c>
    </row>
    <row r="728" spans="1:13" s="53" customFormat="1" hidden="1" x14ac:dyDescent="0.2">
      <c r="A728" s="382"/>
      <c r="B728" s="379"/>
      <c r="C728" s="106"/>
      <c r="D728" s="107"/>
      <c r="E728" s="108"/>
      <c r="F728" s="109"/>
      <c r="G728" s="103"/>
      <c r="H728" s="103"/>
      <c r="I728" s="102"/>
      <c r="J728" s="102"/>
      <c r="K728" s="78"/>
      <c r="L728" s="110"/>
      <c r="M728" s="105" t="str">
        <f t="shared" si="11"/>
        <v xml:space="preserve">   </v>
      </c>
    </row>
    <row r="729" spans="1:13" s="53" customFormat="1" hidden="1" x14ac:dyDescent="0.2">
      <c r="A729" s="382"/>
      <c r="B729" s="379"/>
      <c r="C729" s="106"/>
      <c r="D729" s="107"/>
      <c r="E729" s="108"/>
      <c r="F729" s="109"/>
      <c r="G729" s="103"/>
      <c r="H729" s="103"/>
      <c r="I729" s="102"/>
      <c r="J729" s="102"/>
      <c r="K729" s="78"/>
      <c r="L729" s="110"/>
      <c r="M729" s="105" t="str">
        <f t="shared" si="11"/>
        <v xml:space="preserve">   </v>
      </c>
    </row>
    <row r="730" spans="1:13" s="53" customFormat="1" hidden="1" x14ac:dyDescent="0.2">
      <c r="A730" s="382"/>
      <c r="B730" s="379"/>
      <c r="C730" s="106"/>
      <c r="D730" s="107"/>
      <c r="E730" s="108"/>
      <c r="F730" s="109"/>
      <c r="G730" s="103"/>
      <c r="H730" s="103"/>
      <c r="I730" s="102"/>
      <c r="J730" s="102"/>
      <c r="K730" s="78"/>
      <c r="L730" s="110"/>
      <c r="M730" s="105" t="str">
        <f t="shared" si="11"/>
        <v xml:space="preserve">   </v>
      </c>
    </row>
    <row r="731" spans="1:13" s="53" customFormat="1" hidden="1" x14ac:dyDescent="0.2">
      <c r="A731" s="382"/>
      <c r="B731" s="379"/>
      <c r="C731" s="106"/>
      <c r="D731" s="107"/>
      <c r="E731" s="108"/>
      <c r="F731" s="109"/>
      <c r="G731" s="103"/>
      <c r="H731" s="103"/>
      <c r="I731" s="102"/>
      <c r="J731" s="102"/>
      <c r="K731" s="78"/>
      <c r="L731" s="110"/>
      <c r="M731" s="105" t="str">
        <f t="shared" si="11"/>
        <v xml:space="preserve">   </v>
      </c>
    </row>
    <row r="732" spans="1:13" s="53" customFormat="1" ht="12.75" hidden="1" customHeight="1" x14ac:dyDescent="0.2">
      <c r="A732" s="382" t="s">
        <v>67</v>
      </c>
      <c r="B732" s="379" t="s">
        <v>88</v>
      </c>
      <c r="C732" s="102"/>
      <c r="D732" s="102"/>
      <c r="E732" s="102"/>
      <c r="F732" s="102"/>
      <c r="G732" s="103"/>
      <c r="H732" s="103"/>
      <c r="I732" s="102"/>
      <c r="J732" s="102"/>
      <c r="K732" s="78"/>
      <c r="L732" s="104" t="str">
        <f>CONCATENATE(C732," ",D732," ",E732," ",F732," ",C733," ",D733," ",E733," ",F733)</f>
        <v xml:space="preserve">       </v>
      </c>
      <c r="M732" s="105" t="str">
        <f t="shared" si="11"/>
        <v xml:space="preserve">   </v>
      </c>
    </row>
    <row r="733" spans="1:13" s="53" customFormat="1" hidden="1" x14ac:dyDescent="0.2">
      <c r="A733" s="382"/>
      <c r="B733" s="379"/>
      <c r="C733" s="106"/>
      <c r="D733" s="107"/>
      <c r="E733" s="108"/>
      <c r="F733" s="109"/>
      <c r="G733" s="103"/>
      <c r="H733" s="103"/>
      <c r="I733" s="102"/>
      <c r="J733" s="102"/>
      <c r="K733" s="78"/>
      <c r="L733" s="110"/>
      <c r="M733" s="105" t="str">
        <f t="shared" si="11"/>
        <v xml:space="preserve">   </v>
      </c>
    </row>
    <row r="734" spans="1:13" s="53" customFormat="1" hidden="1" x14ac:dyDescent="0.2">
      <c r="A734" s="382"/>
      <c r="B734" s="379"/>
      <c r="C734" s="106"/>
      <c r="D734" s="107"/>
      <c r="E734" s="108"/>
      <c r="F734" s="109"/>
      <c r="G734" s="103"/>
      <c r="H734" s="103"/>
      <c r="I734" s="102"/>
      <c r="J734" s="102"/>
      <c r="K734" s="78"/>
      <c r="L734" s="110"/>
      <c r="M734" s="105" t="str">
        <f t="shared" si="11"/>
        <v xml:space="preserve">   </v>
      </c>
    </row>
    <row r="735" spans="1:13" s="53" customFormat="1" hidden="1" x14ac:dyDescent="0.2">
      <c r="A735" s="382"/>
      <c r="B735" s="379"/>
      <c r="C735" s="106"/>
      <c r="D735" s="107"/>
      <c r="E735" s="108"/>
      <c r="F735" s="109"/>
      <c r="G735" s="103"/>
      <c r="H735" s="103"/>
      <c r="I735" s="102"/>
      <c r="J735" s="102"/>
      <c r="K735" s="78"/>
      <c r="L735" s="110"/>
      <c r="M735" s="105" t="str">
        <f t="shared" si="11"/>
        <v xml:space="preserve">   </v>
      </c>
    </row>
    <row r="736" spans="1:13" s="53" customFormat="1" hidden="1" x14ac:dyDescent="0.2">
      <c r="A736" s="382"/>
      <c r="B736" s="379"/>
      <c r="C736" s="106"/>
      <c r="D736" s="107"/>
      <c r="E736" s="108"/>
      <c r="F736" s="109"/>
      <c r="G736" s="103"/>
      <c r="H736" s="103"/>
      <c r="I736" s="102"/>
      <c r="J736" s="102"/>
      <c r="K736" s="78"/>
      <c r="L736" s="110"/>
      <c r="M736" s="105" t="str">
        <f t="shared" si="11"/>
        <v xml:space="preserve">   </v>
      </c>
    </row>
    <row r="737" spans="1:13" s="53" customFormat="1" hidden="1" x14ac:dyDescent="0.2">
      <c r="A737" s="382"/>
      <c r="B737" s="379"/>
      <c r="C737" s="106"/>
      <c r="D737" s="107"/>
      <c r="E737" s="108"/>
      <c r="F737" s="109"/>
      <c r="G737" s="103"/>
      <c r="H737" s="103"/>
      <c r="I737" s="102"/>
      <c r="J737" s="102"/>
      <c r="K737" s="78"/>
      <c r="L737" s="110"/>
      <c r="M737" s="105" t="str">
        <f t="shared" si="11"/>
        <v xml:space="preserve">   </v>
      </c>
    </row>
    <row r="738" spans="1:13" s="53" customFormat="1" hidden="1" x14ac:dyDescent="0.2">
      <c r="A738" s="382"/>
      <c r="B738" s="379"/>
      <c r="C738" s="106"/>
      <c r="D738" s="107"/>
      <c r="E738" s="108"/>
      <c r="F738" s="109"/>
      <c r="G738" s="103"/>
      <c r="H738" s="103"/>
      <c r="I738" s="102"/>
      <c r="J738" s="102"/>
      <c r="K738" s="78"/>
      <c r="L738" s="110"/>
      <c r="M738" s="105" t="str">
        <f t="shared" si="11"/>
        <v xml:space="preserve">   </v>
      </c>
    </row>
    <row r="739" spans="1:13" s="53" customFormat="1" hidden="1" x14ac:dyDescent="0.2">
      <c r="A739" s="382"/>
      <c r="B739" s="379"/>
      <c r="C739" s="106"/>
      <c r="D739" s="107"/>
      <c r="E739" s="108"/>
      <c r="F739" s="109"/>
      <c r="G739" s="103"/>
      <c r="H739" s="103"/>
      <c r="I739" s="102"/>
      <c r="J739" s="102"/>
      <c r="K739" s="78"/>
      <c r="L739" s="110"/>
      <c r="M739" s="105" t="str">
        <f t="shared" si="11"/>
        <v xml:space="preserve">   </v>
      </c>
    </row>
    <row r="740" spans="1:13" s="53" customFormat="1" hidden="1" x14ac:dyDescent="0.2">
      <c r="A740" s="382"/>
      <c r="B740" s="379"/>
      <c r="C740" s="106"/>
      <c r="D740" s="107"/>
      <c r="E740" s="108"/>
      <c r="F740" s="109"/>
      <c r="G740" s="103"/>
      <c r="H740" s="103"/>
      <c r="I740" s="102"/>
      <c r="J740" s="102"/>
      <c r="K740" s="78"/>
      <c r="L740" s="110"/>
      <c r="M740" s="105" t="str">
        <f t="shared" si="11"/>
        <v xml:space="preserve">   </v>
      </c>
    </row>
    <row r="741" spans="1:13" s="53" customFormat="1" hidden="1" x14ac:dyDescent="0.2">
      <c r="A741" s="382"/>
      <c r="B741" s="379"/>
      <c r="C741" s="106"/>
      <c r="D741" s="107"/>
      <c r="E741" s="108"/>
      <c r="F741" s="109"/>
      <c r="G741" s="103"/>
      <c r="H741" s="103"/>
      <c r="I741" s="102"/>
      <c r="J741" s="102"/>
      <c r="K741" s="78"/>
      <c r="L741" s="110"/>
      <c r="M741" s="105" t="str">
        <f t="shared" si="11"/>
        <v xml:space="preserve">   </v>
      </c>
    </row>
    <row r="742" spans="1:13" s="53" customFormat="1" ht="12.75" hidden="1" customHeight="1" x14ac:dyDescent="0.2">
      <c r="A742" s="382" t="s">
        <v>67</v>
      </c>
      <c r="B742" s="379" t="s">
        <v>88</v>
      </c>
      <c r="C742" s="102"/>
      <c r="D742" s="102"/>
      <c r="E742" s="102"/>
      <c r="F742" s="102"/>
      <c r="G742" s="103"/>
      <c r="H742" s="103"/>
      <c r="I742" s="102"/>
      <c r="J742" s="102"/>
      <c r="K742" s="78"/>
      <c r="L742" s="104" t="str">
        <f>CONCATENATE(C742," ",D742," ",E742," ",F742," ",C743," ",D743," ",E743," ",F743)</f>
        <v xml:space="preserve">       </v>
      </c>
      <c r="M742" s="105" t="str">
        <f t="shared" si="11"/>
        <v xml:space="preserve">   </v>
      </c>
    </row>
    <row r="743" spans="1:13" s="53" customFormat="1" hidden="1" x14ac:dyDescent="0.2">
      <c r="A743" s="382"/>
      <c r="B743" s="379"/>
      <c r="C743" s="106"/>
      <c r="D743" s="107"/>
      <c r="E743" s="108"/>
      <c r="F743" s="109"/>
      <c r="G743" s="103"/>
      <c r="H743" s="103"/>
      <c r="I743" s="102"/>
      <c r="J743" s="102"/>
      <c r="K743" s="78"/>
      <c r="L743" s="110"/>
      <c r="M743" s="105" t="str">
        <f t="shared" si="11"/>
        <v xml:space="preserve">   </v>
      </c>
    </row>
    <row r="744" spans="1:13" s="53" customFormat="1" hidden="1" x14ac:dyDescent="0.2">
      <c r="A744" s="382"/>
      <c r="B744" s="379"/>
      <c r="C744" s="106"/>
      <c r="D744" s="107"/>
      <c r="E744" s="108"/>
      <c r="F744" s="109"/>
      <c r="G744" s="103"/>
      <c r="H744" s="103"/>
      <c r="I744" s="102"/>
      <c r="J744" s="102"/>
      <c r="K744" s="78"/>
      <c r="L744" s="110"/>
      <c r="M744" s="105" t="str">
        <f t="shared" si="11"/>
        <v xml:space="preserve">   </v>
      </c>
    </row>
    <row r="745" spans="1:13" s="53" customFormat="1" hidden="1" x14ac:dyDescent="0.2">
      <c r="A745" s="382"/>
      <c r="B745" s="379"/>
      <c r="C745" s="106"/>
      <c r="D745" s="107"/>
      <c r="E745" s="108"/>
      <c r="F745" s="109"/>
      <c r="G745" s="103"/>
      <c r="H745" s="103"/>
      <c r="I745" s="102"/>
      <c r="J745" s="102"/>
      <c r="K745" s="78"/>
      <c r="L745" s="110"/>
      <c r="M745" s="105" t="str">
        <f t="shared" si="11"/>
        <v xml:space="preserve">   </v>
      </c>
    </row>
    <row r="746" spans="1:13" s="53" customFormat="1" hidden="1" x14ac:dyDescent="0.2">
      <c r="A746" s="382"/>
      <c r="B746" s="379"/>
      <c r="C746" s="106"/>
      <c r="D746" s="107"/>
      <c r="E746" s="108"/>
      <c r="F746" s="109"/>
      <c r="G746" s="103"/>
      <c r="H746" s="103"/>
      <c r="I746" s="102"/>
      <c r="J746" s="102"/>
      <c r="K746" s="78"/>
      <c r="L746" s="110"/>
      <c r="M746" s="105" t="str">
        <f t="shared" si="11"/>
        <v xml:space="preserve">   </v>
      </c>
    </row>
    <row r="747" spans="1:13" s="53" customFormat="1" hidden="1" x14ac:dyDescent="0.2">
      <c r="A747" s="382"/>
      <c r="B747" s="379"/>
      <c r="C747" s="106"/>
      <c r="D747" s="107"/>
      <c r="E747" s="108"/>
      <c r="F747" s="109"/>
      <c r="G747" s="103"/>
      <c r="H747" s="103"/>
      <c r="I747" s="102"/>
      <c r="J747" s="102"/>
      <c r="K747" s="78"/>
      <c r="L747" s="110"/>
      <c r="M747" s="105" t="str">
        <f t="shared" si="11"/>
        <v xml:space="preserve">   </v>
      </c>
    </row>
    <row r="748" spans="1:13" s="53" customFormat="1" hidden="1" x14ac:dyDescent="0.2">
      <c r="A748" s="382"/>
      <c r="B748" s="379"/>
      <c r="C748" s="106"/>
      <c r="D748" s="107"/>
      <c r="E748" s="108"/>
      <c r="F748" s="109"/>
      <c r="G748" s="103"/>
      <c r="H748" s="103"/>
      <c r="I748" s="102"/>
      <c r="J748" s="102"/>
      <c r="K748" s="78"/>
      <c r="L748" s="110"/>
      <c r="M748" s="105" t="str">
        <f t="shared" si="11"/>
        <v xml:space="preserve">   </v>
      </c>
    </row>
    <row r="749" spans="1:13" s="53" customFormat="1" hidden="1" x14ac:dyDescent="0.2">
      <c r="A749" s="382"/>
      <c r="B749" s="379"/>
      <c r="C749" s="106"/>
      <c r="D749" s="107"/>
      <c r="E749" s="108"/>
      <c r="F749" s="109"/>
      <c r="G749" s="103"/>
      <c r="H749" s="103"/>
      <c r="I749" s="102"/>
      <c r="J749" s="102"/>
      <c r="K749" s="78"/>
      <c r="L749" s="110"/>
      <c r="M749" s="105" t="str">
        <f t="shared" si="11"/>
        <v xml:space="preserve">   </v>
      </c>
    </row>
    <row r="750" spans="1:13" s="53" customFormat="1" hidden="1" x14ac:dyDescent="0.2">
      <c r="A750" s="382"/>
      <c r="B750" s="379"/>
      <c r="C750" s="106"/>
      <c r="D750" s="107"/>
      <c r="E750" s="108"/>
      <c r="F750" s="109"/>
      <c r="G750" s="103"/>
      <c r="H750" s="103"/>
      <c r="I750" s="102"/>
      <c r="J750" s="102"/>
      <c r="K750" s="78"/>
      <c r="L750" s="110"/>
      <c r="M750" s="105" t="str">
        <f t="shared" si="11"/>
        <v xml:space="preserve">   </v>
      </c>
    </row>
    <row r="751" spans="1:13" s="53" customFormat="1" hidden="1" x14ac:dyDescent="0.2">
      <c r="A751" s="382"/>
      <c r="B751" s="379"/>
      <c r="C751" s="106"/>
      <c r="D751" s="107"/>
      <c r="E751" s="108"/>
      <c r="F751" s="109"/>
      <c r="G751" s="103"/>
      <c r="H751" s="103"/>
      <c r="I751" s="102"/>
      <c r="J751" s="102"/>
      <c r="K751" s="78"/>
      <c r="L751" s="110"/>
      <c r="M751" s="105" t="str">
        <f t="shared" si="11"/>
        <v xml:space="preserve">   </v>
      </c>
    </row>
    <row r="752" spans="1:13" s="53" customFormat="1" ht="12.75" hidden="1" customHeight="1" x14ac:dyDescent="0.2">
      <c r="A752" s="382" t="s">
        <v>67</v>
      </c>
      <c r="B752" s="379" t="s">
        <v>88</v>
      </c>
      <c r="C752" s="102"/>
      <c r="D752" s="102"/>
      <c r="E752" s="102"/>
      <c r="F752" s="102"/>
      <c r="G752" s="103"/>
      <c r="H752" s="103"/>
      <c r="I752" s="102"/>
      <c r="J752" s="102"/>
      <c r="K752" s="78"/>
      <c r="L752" s="104" t="str">
        <f>CONCATENATE(C752," ",D752," ",E752," ",F752," ",C753," ",D753," ",E753," ",F753)</f>
        <v xml:space="preserve">       </v>
      </c>
      <c r="M752" s="105" t="str">
        <f t="shared" si="11"/>
        <v xml:space="preserve">   </v>
      </c>
    </row>
    <row r="753" spans="1:13" s="53" customFormat="1" hidden="1" x14ac:dyDescent="0.2">
      <c r="A753" s="382"/>
      <c r="B753" s="379"/>
      <c r="C753" s="106"/>
      <c r="D753" s="107"/>
      <c r="E753" s="108"/>
      <c r="F753" s="109"/>
      <c r="G753" s="103"/>
      <c r="H753" s="103"/>
      <c r="I753" s="102"/>
      <c r="J753" s="102"/>
      <c r="K753" s="78"/>
      <c r="L753" s="110"/>
      <c r="M753" s="105" t="str">
        <f t="shared" si="11"/>
        <v xml:space="preserve">   </v>
      </c>
    </row>
    <row r="754" spans="1:13" s="53" customFormat="1" hidden="1" x14ac:dyDescent="0.2">
      <c r="A754" s="382"/>
      <c r="B754" s="379"/>
      <c r="C754" s="106"/>
      <c r="D754" s="107"/>
      <c r="E754" s="108"/>
      <c r="F754" s="109"/>
      <c r="G754" s="103"/>
      <c r="H754" s="103"/>
      <c r="I754" s="102"/>
      <c r="J754" s="102"/>
      <c r="K754" s="78"/>
      <c r="L754" s="110"/>
      <c r="M754" s="105" t="str">
        <f t="shared" si="11"/>
        <v xml:space="preserve">   </v>
      </c>
    </row>
    <row r="755" spans="1:13" s="53" customFormat="1" hidden="1" x14ac:dyDescent="0.2">
      <c r="A755" s="382"/>
      <c r="B755" s="379"/>
      <c r="C755" s="106"/>
      <c r="D755" s="107"/>
      <c r="E755" s="108"/>
      <c r="F755" s="109"/>
      <c r="G755" s="103"/>
      <c r="H755" s="103"/>
      <c r="I755" s="102"/>
      <c r="J755" s="102"/>
      <c r="K755" s="78"/>
      <c r="L755" s="110"/>
      <c r="M755" s="105" t="str">
        <f t="shared" si="11"/>
        <v xml:space="preserve">   </v>
      </c>
    </row>
    <row r="756" spans="1:13" s="53" customFormat="1" hidden="1" x14ac:dyDescent="0.2">
      <c r="A756" s="382"/>
      <c r="B756" s="379"/>
      <c r="C756" s="106"/>
      <c r="D756" s="107"/>
      <c r="E756" s="108"/>
      <c r="F756" s="109"/>
      <c r="G756" s="103"/>
      <c r="H756" s="103"/>
      <c r="I756" s="102"/>
      <c r="J756" s="102"/>
      <c r="K756" s="78"/>
      <c r="L756" s="110"/>
      <c r="M756" s="105" t="str">
        <f t="shared" si="11"/>
        <v xml:space="preserve">   </v>
      </c>
    </row>
    <row r="757" spans="1:13" s="53" customFormat="1" hidden="1" x14ac:dyDescent="0.2">
      <c r="A757" s="382"/>
      <c r="B757" s="379"/>
      <c r="C757" s="106"/>
      <c r="D757" s="107"/>
      <c r="E757" s="108"/>
      <c r="F757" s="109"/>
      <c r="G757" s="103"/>
      <c r="H757" s="103"/>
      <c r="I757" s="102"/>
      <c r="J757" s="102"/>
      <c r="K757" s="78"/>
      <c r="L757" s="110"/>
      <c r="M757" s="105" t="str">
        <f t="shared" si="11"/>
        <v xml:space="preserve">   </v>
      </c>
    </row>
    <row r="758" spans="1:13" s="53" customFormat="1" hidden="1" x14ac:dyDescent="0.2">
      <c r="A758" s="382"/>
      <c r="B758" s="379"/>
      <c r="C758" s="106"/>
      <c r="D758" s="107"/>
      <c r="E758" s="108"/>
      <c r="F758" s="109"/>
      <c r="G758" s="103"/>
      <c r="H758" s="103"/>
      <c r="I758" s="102"/>
      <c r="J758" s="102"/>
      <c r="K758" s="78"/>
      <c r="L758" s="110"/>
      <c r="M758" s="105" t="str">
        <f t="shared" si="11"/>
        <v xml:space="preserve">   </v>
      </c>
    </row>
    <row r="759" spans="1:13" s="53" customFormat="1" hidden="1" x14ac:dyDescent="0.2">
      <c r="A759" s="382"/>
      <c r="B759" s="379"/>
      <c r="C759" s="106"/>
      <c r="D759" s="107"/>
      <c r="E759" s="108"/>
      <c r="F759" s="109"/>
      <c r="G759" s="103"/>
      <c r="H759" s="103"/>
      <c r="I759" s="102"/>
      <c r="J759" s="102"/>
      <c r="K759" s="78"/>
      <c r="L759" s="110"/>
      <c r="M759" s="105" t="str">
        <f t="shared" si="11"/>
        <v xml:space="preserve">   </v>
      </c>
    </row>
    <row r="760" spans="1:13" s="53" customFormat="1" hidden="1" x14ac:dyDescent="0.2">
      <c r="A760" s="382"/>
      <c r="B760" s="379"/>
      <c r="C760" s="106"/>
      <c r="D760" s="107"/>
      <c r="E760" s="108"/>
      <c r="F760" s="109"/>
      <c r="G760" s="103"/>
      <c r="H760" s="103"/>
      <c r="I760" s="102"/>
      <c r="J760" s="102"/>
      <c r="K760" s="78"/>
      <c r="L760" s="110"/>
      <c r="M760" s="105" t="str">
        <f t="shared" si="11"/>
        <v xml:space="preserve">   </v>
      </c>
    </row>
    <row r="761" spans="1:13" s="53" customFormat="1" hidden="1" x14ac:dyDescent="0.2">
      <c r="A761" s="382"/>
      <c r="B761" s="379"/>
      <c r="C761" s="106"/>
      <c r="D761" s="107"/>
      <c r="E761" s="108"/>
      <c r="F761" s="109"/>
      <c r="G761" s="103"/>
      <c r="H761" s="103"/>
      <c r="I761" s="102"/>
      <c r="J761" s="102"/>
      <c r="K761" s="78"/>
      <c r="L761" s="110"/>
      <c r="M761" s="105" t="str">
        <f t="shared" si="11"/>
        <v xml:space="preserve">   </v>
      </c>
    </row>
    <row r="762" spans="1:13" s="53" customFormat="1" ht="12.75" hidden="1" customHeight="1" x14ac:dyDescent="0.2">
      <c r="A762" s="382" t="s">
        <v>67</v>
      </c>
      <c r="B762" s="379" t="s">
        <v>88</v>
      </c>
      <c r="C762" s="102"/>
      <c r="D762" s="102"/>
      <c r="E762" s="102"/>
      <c r="F762" s="102"/>
      <c r="G762" s="103"/>
      <c r="H762" s="103"/>
      <c r="I762" s="102"/>
      <c r="J762" s="102"/>
      <c r="K762" s="78"/>
      <c r="L762" s="104" t="str">
        <f>CONCATENATE(C762," ",D762," ",E762," ",F762," ",C763," ",D763," ",E763," ",F763)</f>
        <v xml:space="preserve">       </v>
      </c>
      <c r="M762" s="105" t="str">
        <f t="shared" si="11"/>
        <v xml:space="preserve">   </v>
      </c>
    </row>
    <row r="763" spans="1:13" s="53" customFormat="1" hidden="1" x14ac:dyDescent="0.2">
      <c r="A763" s="382"/>
      <c r="B763" s="379"/>
      <c r="C763" s="106"/>
      <c r="D763" s="107"/>
      <c r="E763" s="108"/>
      <c r="F763" s="109"/>
      <c r="G763" s="103"/>
      <c r="H763" s="103"/>
      <c r="I763" s="102"/>
      <c r="J763" s="102"/>
      <c r="K763" s="78"/>
      <c r="L763" s="110"/>
      <c r="M763" s="105" t="str">
        <f t="shared" si="11"/>
        <v xml:space="preserve">   </v>
      </c>
    </row>
    <row r="764" spans="1:13" s="53" customFormat="1" hidden="1" x14ac:dyDescent="0.2">
      <c r="A764" s="382"/>
      <c r="B764" s="379"/>
      <c r="C764" s="106"/>
      <c r="D764" s="107"/>
      <c r="E764" s="108"/>
      <c r="F764" s="109"/>
      <c r="G764" s="103"/>
      <c r="H764" s="103"/>
      <c r="I764" s="102"/>
      <c r="J764" s="102"/>
      <c r="K764" s="78"/>
      <c r="L764" s="110"/>
      <c r="M764" s="105" t="str">
        <f t="shared" si="11"/>
        <v xml:space="preserve">   </v>
      </c>
    </row>
    <row r="765" spans="1:13" s="53" customFormat="1" hidden="1" x14ac:dyDescent="0.2">
      <c r="A765" s="382"/>
      <c r="B765" s="379"/>
      <c r="C765" s="106"/>
      <c r="D765" s="107"/>
      <c r="E765" s="108"/>
      <c r="F765" s="109"/>
      <c r="G765" s="103"/>
      <c r="H765" s="103"/>
      <c r="I765" s="102"/>
      <c r="J765" s="102"/>
      <c r="K765" s="78"/>
      <c r="L765" s="110"/>
      <c r="M765" s="105" t="str">
        <f t="shared" si="11"/>
        <v xml:space="preserve">   </v>
      </c>
    </row>
    <row r="766" spans="1:13" s="53" customFormat="1" hidden="1" x14ac:dyDescent="0.2">
      <c r="A766" s="382"/>
      <c r="B766" s="379"/>
      <c r="C766" s="106"/>
      <c r="D766" s="107"/>
      <c r="E766" s="108"/>
      <c r="F766" s="109"/>
      <c r="G766" s="103"/>
      <c r="H766" s="103"/>
      <c r="I766" s="102"/>
      <c r="J766" s="102"/>
      <c r="K766" s="78"/>
      <c r="L766" s="110"/>
      <c r="M766" s="105" t="str">
        <f t="shared" si="11"/>
        <v xml:space="preserve">   </v>
      </c>
    </row>
    <row r="767" spans="1:13" s="53" customFormat="1" hidden="1" x14ac:dyDescent="0.2">
      <c r="A767" s="382"/>
      <c r="B767" s="379"/>
      <c r="C767" s="106"/>
      <c r="D767" s="107"/>
      <c r="E767" s="108"/>
      <c r="F767" s="109"/>
      <c r="G767" s="103"/>
      <c r="H767" s="103"/>
      <c r="I767" s="102"/>
      <c r="J767" s="102"/>
      <c r="K767" s="78"/>
      <c r="L767" s="110"/>
      <c r="M767" s="105" t="str">
        <f t="shared" si="11"/>
        <v xml:space="preserve">   </v>
      </c>
    </row>
    <row r="768" spans="1:13" s="53" customFormat="1" hidden="1" x14ac:dyDescent="0.2">
      <c r="A768" s="382"/>
      <c r="B768" s="379"/>
      <c r="C768" s="106"/>
      <c r="D768" s="107"/>
      <c r="E768" s="108"/>
      <c r="F768" s="109"/>
      <c r="G768" s="103"/>
      <c r="H768" s="103"/>
      <c r="I768" s="102"/>
      <c r="J768" s="102"/>
      <c r="K768" s="78"/>
      <c r="L768" s="110"/>
      <c r="M768" s="105" t="str">
        <f t="shared" si="11"/>
        <v xml:space="preserve">   </v>
      </c>
    </row>
    <row r="769" spans="1:13" s="53" customFormat="1" hidden="1" x14ac:dyDescent="0.2">
      <c r="A769" s="382"/>
      <c r="B769" s="379"/>
      <c r="C769" s="106"/>
      <c r="D769" s="107"/>
      <c r="E769" s="108"/>
      <c r="F769" s="109"/>
      <c r="G769" s="103"/>
      <c r="H769" s="103"/>
      <c r="I769" s="102"/>
      <c r="J769" s="102"/>
      <c r="K769" s="78"/>
      <c r="L769" s="110"/>
      <c r="M769" s="105" t="str">
        <f t="shared" si="11"/>
        <v xml:space="preserve">   </v>
      </c>
    </row>
    <row r="770" spans="1:13" s="53" customFormat="1" hidden="1" x14ac:dyDescent="0.2">
      <c r="A770" s="382"/>
      <c r="B770" s="379"/>
      <c r="C770" s="106"/>
      <c r="D770" s="107"/>
      <c r="E770" s="108"/>
      <c r="F770" s="109"/>
      <c r="G770" s="103"/>
      <c r="H770" s="103"/>
      <c r="I770" s="102"/>
      <c r="J770" s="102"/>
      <c r="K770" s="78"/>
      <c r="L770" s="110"/>
      <c r="M770" s="105" t="str">
        <f t="shared" si="11"/>
        <v xml:space="preserve">   </v>
      </c>
    </row>
    <row r="771" spans="1:13" s="53" customFormat="1" hidden="1" x14ac:dyDescent="0.2">
      <c r="A771" s="382"/>
      <c r="B771" s="379"/>
      <c r="C771" s="106"/>
      <c r="D771" s="107"/>
      <c r="E771" s="108"/>
      <c r="F771" s="109"/>
      <c r="G771" s="103"/>
      <c r="H771" s="103"/>
      <c r="I771" s="102"/>
      <c r="J771" s="102"/>
      <c r="K771" s="78"/>
      <c r="L771" s="110"/>
      <c r="M771" s="105" t="str">
        <f t="shared" si="11"/>
        <v xml:space="preserve">   </v>
      </c>
    </row>
    <row r="772" spans="1:13" s="53" customFormat="1" ht="12.75" hidden="1" customHeight="1" x14ac:dyDescent="0.2">
      <c r="A772" s="382" t="s">
        <v>67</v>
      </c>
      <c r="B772" s="379" t="s">
        <v>88</v>
      </c>
      <c r="C772" s="102"/>
      <c r="D772" s="102"/>
      <c r="E772" s="102"/>
      <c r="F772" s="102"/>
      <c r="G772" s="103"/>
      <c r="H772" s="103"/>
      <c r="I772" s="102"/>
      <c r="J772" s="102"/>
      <c r="K772" s="78"/>
      <c r="L772" s="104" t="str">
        <f>CONCATENATE(C772," ",D772," ",E772," ",F772," ",C773," ",D773," ",E773," ",F773)</f>
        <v xml:space="preserve">       </v>
      </c>
      <c r="M772" s="105" t="str">
        <f t="shared" si="11"/>
        <v xml:space="preserve">   </v>
      </c>
    </row>
    <row r="773" spans="1:13" s="53" customFormat="1" hidden="1" x14ac:dyDescent="0.2">
      <c r="A773" s="382"/>
      <c r="B773" s="379"/>
      <c r="C773" s="106"/>
      <c r="D773" s="107"/>
      <c r="E773" s="108"/>
      <c r="F773" s="109"/>
      <c r="G773" s="103"/>
      <c r="H773" s="103"/>
      <c r="I773" s="102"/>
      <c r="J773" s="102"/>
      <c r="K773" s="78"/>
      <c r="L773" s="110"/>
      <c r="M773" s="105" t="str">
        <f t="shared" si="11"/>
        <v xml:space="preserve">   </v>
      </c>
    </row>
    <row r="774" spans="1:13" s="53" customFormat="1" hidden="1" x14ac:dyDescent="0.2">
      <c r="A774" s="382"/>
      <c r="B774" s="379"/>
      <c r="C774" s="106"/>
      <c r="D774" s="107"/>
      <c r="E774" s="108"/>
      <c r="F774" s="109"/>
      <c r="G774" s="103"/>
      <c r="H774" s="103"/>
      <c r="I774" s="102"/>
      <c r="J774" s="102"/>
      <c r="K774" s="78"/>
      <c r="L774" s="110"/>
      <c r="M774" s="105" t="str">
        <f t="shared" si="11"/>
        <v xml:space="preserve">   </v>
      </c>
    </row>
    <row r="775" spans="1:13" s="53" customFormat="1" hidden="1" x14ac:dyDescent="0.2">
      <c r="A775" s="382"/>
      <c r="B775" s="379"/>
      <c r="C775" s="106"/>
      <c r="D775" s="107"/>
      <c r="E775" s="108"/>
      <c r="F775" s="109"/>
      <c r="G775" s="103"/>
      <c r="H775" s="103"/>
      <c r="I775" s="102"/>
      <c r="J775" s="102"/>
      <c r="K775" s="78"/>
      <c r="L775" s="110"/>
      <c r="M775" s="105" t="str">
        <f t="shared" si="11"/>
        <v xml:space="preserve">   </v>
      </c>
    </row>
    <row r="776" spans="1:13" s="53" customFormat="1" hidden="1" x14ac:dyDescent="0.2">
      <c r="A776" s="382"/>
      <c r="B776" s="379"/>
      <c r="C776" s="106"/>
      <c r="D776" s="107"/>
      <c r="E776" s="108"/>
      <c r="F776" s="109"/>
      <c r="G776" s="103"/>
      <c r="H776" s="103"/>
      <c r="I776" s="102"/>
      <c r="J776" s="102"/>
      <c r="K776" s="78"/>
      <c r="L776" s="110"/>
      <c r="M776" s="105" t="str">
        <f t="shared" si="11"/>
        <v xml:space="preserve">   </v>
      </c>
    </row>
    <row r="777" spans="1:13" s="53" customFormat="1" hidden="1" x14ac:dyDescent="0.2">
      <c r="A777" s="382"/>
      <c r="B777" s="379"/>
      <c r="C777" s="106"/>
      <c r="D777" s="107"/>
      <c r="E777" s="108"/>
      <c r="F777" s="109"/>
      <c r="G777" s="103"/>
      <c r="H777" s="103"/>
      <c r="I777" s="102"/>
      <c r="J777" s="102"/>
      <c r="K777" s="78"/>
      <c r="L777" s="110"/>
      <c r="M777" s="105" t="str">
        <f t="shared" si="11"/>
        <v xml:space="preserve">   </v>
      </c>
    </row>
    <row r="778" spans="1:13" s="53" customFormat="1" hidden="1" x14ac:dyDescent="0.2">
      <c r="A778" s="382"/>
      <c r="B778" s="379"/>
      <c r="C778" s="106"/>
      <c r="D778" s="107"/>
      <c r="E778" s="108"/>
      <c r="F778" s="109"/>
      <c r="G778" s="103"/>
      <c r="H778" s="103"/>
      <c r="I778" s="102"/>
      <c r="J778" s="102"/>
      <c r="K778" s="78"/>
      <c r="L778" s="110"/>
      <c r="M778" s="105" t="str">
        <f t="shared" si="11"/>
        <v xml:space="preserve">   </v>
      </c>
    </row>
    <row r="779" spans="1:13" s="53" customFormat="1" hidden="1" x14ac:dyDescent="0.2">
      <c r="A779" s="382"/>
      <c r="B779" s="379"/>
      <c r="C779" s="106"/>
      <c r="D779" s="107"/>
      <c r="E779" s="108"/>
      <c r="F779" s="109"/>
      <c r="G779" s="103"/>
      <c r="H779" s="103"/>
      <c r="I779" s="102"/>
      <c r="J779" s="102"/>
      <c r="K779" s="78"/>
      <c r="L779" s="110"/>
      <c r="M779" s="105" t="str">
        <f t="shared" ref="M779:M842" si="12">CONCATENATE(G779," ",H779," ",I779," ",J779)</f>
        <v xml:space="preserve">   </v>
      </c>
    </row>
    <row r="780" spans="1:13" s="53" customFormat="1" hidden="1" x14ac:dyDescent="0.2">
      <c r="A780" s="382"/>
      <c r="B780" s="379"/>
      <c r="C780" s="106"/>
      <c r="D780" s="107"/>
      <c r="E780" s="108"/>
      <c r="F780" s="109"/>
      <c r="G780" s="103"/>
      <c r="H780" s="103"/>
      <c r="I780" s="102"/>
      <c r="J780" s="102"/>
      <c r="K780" s="78"/>
      <c r="L780" s="110"/>
      <c r="M780" s="105" t="str">
        <f t="shared" si="12"/>
        <v xml:space="preserve">   </v>
      </c>
    </row>
    <row r="781" spans="1:13" s="53" customFormat="1" hidden="1" x14ac:dyDescent="0.2">
      <c r="A781" s="382"/>
      <c r="B781" s="379"/>
      <c r="C781" s="106"/>
      <c r="D781" s="107"/>
      <c r="E781" s="108"/>
      <c r="F781" s="109"/>
      <c r="G781" s="103"/>
      <c r="H781" s="103"/>
      <c r="I781" s="102"/>
      <c r="J781" s="102"/>
      <c r="K781" s="78"/>
      <c r="L781" s="110"/>
      <c r="M781" s="105" t="str">
        <f t="shared" si="12"/>
        <v xml:space="preserve">   </v>
      </c>
    </row>
    <row r="782" spans="1:13" s="53" customFormat="1" ht="12.75" hidden="1" customHeight="1" x14ac:dyDescent="0.2">
      <c r="A782" s="382" t="s">
        <v>67</v>
      </c>
      <c r="B782" s="379" t="s">
        <v>88</v>
      </c>
      <c r="C782" s="102"/>
      <c r="D782" s="102"/>
      <c r="E782" s="102"/>
      <c r="F782" s="102"/>
      <c r="G782" s="103"/>
      <c r="H782" s="103"/>
      <c r="I782" s="102"/>
      <c r="J782" s="102"/>
      <c r="K782" s="78"/>
      <c r="L782" s="104" t="str">
        <f>CONCATENATE(C782," ",D782," ",E782," ",F782," ",C783," ",D783," ",E783," ",F783)</f>
        <v xml:space="preserve">       </v>
      </c>
      <c r="M782" s="105" t="str">
        <f t="shared" si="12"/>
        <v xml:space="preserve">   </v>
      </c>
    </row>
    <row r="783" spans="1:13" s="53" customFormat="1" hidden="1" x14ac:dyDescent="0.2">
      <c r="A783" s="382"/>
      <c r="B783" s="379"/>
      <c r="C783" s="106"/>
      <c r="D783" s="107"/>
      <c r="E783" s="108"/>
      <c r="F783" s="109"/>
      <c r="G783" s="103"/>
      <c r="H783" s="103"/>
      <c r="I783" s="102"/>
      <c r="J783" s="102"/>
      <c r="K783" s="78"/>
      <c r="L783" s="110"/>
      <c r="M783" s="105" t="str">
        <f t="shared" si="12"/>
        <v xml:space="preserve">   </v>
      </c>
    </row>
    <row r="784" spans="1:13" s="53" customFormat="1" hidden="1" x14ac:dyDescent="0.2">
      <c r="A784" s="382"/>
      <c r="B784" s="379"/>
      <c r="C784" s="106"/>
      <c r="D784" s="107"/>
      <c r="E784" s="108"/>
      <c r="F784" s="109"/>
      <c r="G784" s="103"/>
      <c r="H784" s="103"/>
      <c r="I784" s="102"/>
      <c r="J784" s="102"/>
      <c r="K784" s="78"/>
      <c r="L784" s="110"/>
      <c r="M784" s="105" t="str">
        <f t="shared" si="12"/>
        <v xml:space="preserve">   </v>
      </c>
    </row>
    <row r="785" spans="1:13" s="53" customFormat="1" hidden="1" x14ac:dyDescent="0.2">
      <c r="A785" s="382"/>
      <c r="B785" s="379"/>
      <c r="C785" s="106"/>
      <c r="D785" s="107"/>
      <c r="E785" s="108"/>
      <c r="F785" s="109"/>
      <c r="G785" s="103"/>
      <c r="H785" s="103"/>
      <c r="I785" s="102"/>
      <c r="J785" s="102"/>
      <c r="K785" s="78"/>
      <c r="L785" s="110"/>
      <c r="M785" s="105" t="str">
        <f t="shared" si="12"/>
        <v xml:space="preserve">   </v>
      </c>
    </row>
    <row r="786" spans="1:13" s="53" customFormat="1" hidden="1" x14ac:dyDescent="0.2">
      <c r="A786" s="382"/>
      <c r="B786" s="379"/>
      <c r="C786" s="106"/>
      <c r="D786" s="107"/>
      <c r="E786" s="108"/>
      <c r="F786" s="109"/>
      <c r="G786" s="103"/>
      <c r="H786" s="103"/>
      <c r="I786" s="102"/>
      <c r="J786" s="102"/>
      <c r="K786" s="78"/>
      <c r="L786" s="110"/>
      <c r="M786" s="105" t="str">
        <f t="shared" si="12"/>
        <v xml:space="preserve">   </v>
      </c>
    </row>
    <row r="787" spans="1:13" s="53" customFormat="1" hidden="1" x14ac:dyDescent="0.2">
      <c r="A787" s="382"/>
      <c r="B787" s="379"/>
      <c r="C787" s="106"/>
      <c r="D787" s="107"/>
      <c r="E787" s="108"/>
      <c r="F787" s="109"/>
      <c r="G787" s="103"/>
      <c r="H787" s="103"/>
      <c r="I787" s="102"/>
      <c r="J787" s="102"/>
      <c r="K787" s="78"/>
      <c r="L787" s="110"/>
      <c r="M787" s="105" t="str">
        <f t="shared" si="12"/>
        <v xml:space="preserve">   </v>
      </c>
    </row>
    <row r="788" spans="1:13" s="53" customFormat="1" hidden="1" x14ac:dyDescent="0.2">
      <c r="A788" s="382"/>
      <c r="B788" s="379"/>
      <c r="C788" s="106"/>
      <c r="D788" s="107"/>
      <c r="E788" s="108"/>
      <c r="F788" s="109"/>
      <c r="G788" s="103"/>
      <c r="H788" s="103"/>
      <c r="I788" s="102"/>
      <c r="J788" s="102"/>
      <c r="K788" s="78"/>
      <c r="L788" s="110"/>
      <c r="M788" s="105" t="str">
        <f t="shared" si="12"/>
        <v xml:space="preserve">   </v>
      </c>
    </row>
    <row r="789" spans="1:13" s="53" customFormat="1" hidden="1" x14ac:dyDescent="0.2">
      <c r="A789" s="382"/>
      <c r="B789" s="379"/>
      <c r="C789" s="106"/>
      <c r="D789" s="107"/>
      <c r="E789" s="108"/>
      <c r="F789" s="109"/>
      <c r="G789" s="103"/>
      <c r="H789" s="103"/>
      <c r="I789" s="102"/>
      <c r="J789" s="102"/>
      <c r="K789" s="78"/>
      <c r="L789" s="110"/>
      <c r="M789" s="105" t="str">
        <f t="shared" si="12"/>
        <v xml:space="preserve">   </v>
      </c>
    </row>
    <row r="790" spans="1:13" s="53" customFormat="1" hidden="1" x14ac:dyDescent="0.2">
      <c r="A790" s="382"/>
      <c r="B790" s="379"/>
      <c r="C790" s="106"/>
      <c r="D790" s="107"/>
      <c r="E790" s="108"/>
      <c r="F790" s="109"/>
      <c r="G790" s="103"/>
      <c r="H790" s="103"/>
      <c r="I790" s="102"/>
      <c r="J790" s="102"/>
      <c r="K790" s="78"/>
      <c r="L790" s="110"/>
      <c r="M790" s="105" t="str">
        <f t="shared" si="12"/>
        <v xml:space="preserve">   </v>
      </c>
    </row>
    <row r="791" spans="1:13" s="53" customFormat="1" hidden="1" x14ac:dyDescent="0.2">
      <c r="A791" s="382"/>
      <c r="B791" s="379"/>
      <c r="C791" s="106"/>
      <c r="D791" s="107"/>
      <c r="E791" s="108"/>
      <c r="F791" s="109"/>
      <c r="G791" s="103"/>
      <c r="H791" s="103"/>
      <c r="I791" s="102"/>
      <c r="J791" s="102"/>
      <c r="K791" s="78"/>
      <c r="L791" s="110"/>
      <c r="M791" s="105" t="str">
        <f t="shared" si="12"/>
        <v xml:space="preserve">   </v>
      </c>
    </row>
    <row r="792" spans="1:13" s="53" customFormat="1" ht="12.75" hidden="1" customHeight="1" x14ac:dyDescent="0.2">
      <c r="A792" s="382" t="s">
        <v>67</v>
      </c>
      <c r="B792" s="379" t="s">
        <v>88</v>
      </c>
      <c r="C792" s="102"/>
      <c r="D792" s="102"/>
      <c r="E792" s="102"/>
      <c r="F792" s="102"/>
      <c r="G792" s="103"/>
      <c r="H792" s="103"/>
      <c r="I792" s="102"/>
      <c r="J792" s="102"/>
      <c r="K792" s="78"/>
      <c r="L792" s="104" t="str">
        <f>CONCATENATE(C792," ",D792," ",E792," ",F792," ",C793," ",D793," ",E793," ",F793)</f>
        <v xml:space="preserve">       </v>
      </c>
      <c r="M792" s="105" t="str">
        <f t="shared" si="12"/>
        <v xml:space="preserve">   </v>
      </c>
    </row>
    <row r="793" spans="1:13" s="53" customFormat="1" hidden="1" x14ac:dyDescent="0.2">
      <c r="A793" s="382"/>
      <c r="B793" s="379"/>
      <c r="C793" s="106"/>
      <c r="D793" s="107"/>
      <c r="E793" s="108"/>
      <c r="F793" s="109"/>
      <c r="G793" s="103"/>
      <c r="H793" s="103"/>
      <c r="I793" s="102"/>
      <c r="J793" s="102"/>
      <c r="K793" s="78"/>
      <c r="L793" s="110"/>
      <c r="M793" s="105" t="str">
        <f t="shared" si="12"/>
        <v xml:space="preserve">   </v>
      </c>
    </row>
    <row r="794" spans="1:13" s="53" customFormat="1" hidden="1" x14ac:dyDescent="0.2">
      <c r="A794" s="382"/>
      <c r="B794" s="379"/>
      <c r="C794" s="106"/>
      <c r="D794" s="107"/>
      <c r="E794" s="108"/>
      <c r="F794" s="109"/>
      <c r="G794" s="103"/>
      <c r="H794" s="103"/>
      <c r="I794" s="102"/>
      <c r="J794" s="102"/>
      <c r="K794" s="78"/>
      <c r="L794" s="110"/>
      <c r="M794" s="105" t="str">
        <f t="shared" si="12"/>
        <v xml:space="preserve">   </v>
      </c>
    </row>
    <row r="795" spans="1:13" s="53" customFormat="1" hidden="1" x14ac:dyDescent="0.2">
      <c r="A795" s="382"/>
      <c r="B795" s="379"/>
      <c r="C795" s="106"/>
      <c r="D795" s="107"/>
      <c r="E795" s="108"/>
      <c r="F795" s="109"/>
      <c r="G795" s="103"/>
      <c r="H795" s="103"/>
      <c r="I795" s="102"/>
      <c r="J795" s="102"/>
      <c r="K795" s="78"/>
      <c r="L795" s="110"/>
      <c r="M795" s="105" t="str">
        <f t="shared" si="12"/>
        <v xml:space="preserve">   </v>
      </c>
    </row>
    <row r="796" spans="1:13" s="53" customFormat="1" hidden="1" x14ac:dyDescent="0.2">
      <c r="A796" s="382"/>
      <c r="B796" s="379"/>
      <c r="C796" s="106"/>
      <c r="D796" s="107"/>
      <c r="E796" s="108"/>
      <c r="F796" s="109"/>
      <c r="G796" s="103"/>
      <c r="H796" s="103"/>
      <c r="I796" s="102"/>
      <c r="J796" s="102"/>
      <c r="K796" s="78"/>
      <c r="L796" s="110"/>
      <c r="M796" s="105" t="str">
        <f t="shared" si="12"/>
        <v xml:space="preserve">   </v>
      </c>
    </row>
    <row r="797" spans="1:13" s="53" customFormat="1" hidden="1" x14ac:dyDescent="0.2">
      <c r="A797" s="382"/>
      <c r="B797" s="379"/>
      <c r="C797" s="106"/>
      <c r="D797" s="107"/>
      <c r="E797" s="108"/>
      <c r="F797" s="109"/>
      <c r="G797" s="103"/>
      <c r="H797" s="103"/>
      <c r="I797" s="102"/>
      <c r="J797" s="102"/>
      <c r="K797" s="78"/>
      <c r="L797" s="110"/>
      <c r="M797" s="105" t="str">
        <f t="shared" si="12"/>
        <v xml:space="preserve">   </v>
      </c>
    </row>
    <row r="798" spans="1:13" s="53" customFormat="1" hidden="1" x14ac:dyDescent="0.2">
      <c r="A798" s="382"/>
      <c r="B798" s="379"/>
      <c r="C798" s="106"/>
      <c r="D798" s="107"/>
      <c r="E798" s="108"/>
      <c r="F798" s="109"/>
      <c r="G798" s="103"/>
      <c r="H798" s="103"/>
      <c r="I798" s="102"/>
      <c r="J798" s="102"/>
      <c r="K798" s="78"/>
      <c r="L798" s="110"/>
      <c r="M798" s="105" t="str">
        <f t="shared" si="12"/>
        <v xml:space="preserve">   </v>
      </c>
    </row>
    <row r="799" spans="1:13" s="53" customFormat="1" hidden="1" x14ac:dyDescent="0.2">
      <c r="A799" s="382"/>
      <c r="B799" s="379"/>
      <c r="C799" s="106"/>
      <c r="D799" s="107"/>
      <c r="E799" s="108"/>
      <c r="F799" s="109"/>
      <c r="G799" s="103"/>
      <c r="H799" s="103"/>
      <c r="I799" s="102"/>
      <c r="J799" s="102"/>
      <c r="K799" s="78"/>
      <c r="L799" s="110"/>
      <c r="M799" s="105" t="str">
        <f t="shared" si="12"/>
        <v xml:space="preserve">   </v>
      </c>
    </row>
    <row r="800" spans="1:13" s="53" customFormat="1" hidden="1" x14ac:dyDescent="0.2">
      <c r="A800" s="382"/>
      <c r="B800" s="379"/>
      <c r="C800" s="106"/>
      <c r="D800" s="107"/>
      <c r="E800" s="108"/>
      <c r="F800" s="109"/>
      <c r="G800" s="103"/>
      <c r="H800" s="103"/>
      <c r="I800" s="102"/>
      <c r="J800" s="102"/>
      <c r="K800" s="78"/>
      <c r="L800" s="110"/>
      <c r="M800" s="105" t="str">
        <f t="shared" si="12"/>
        <v xml:space="preserve">   </v>
      </c>
    </row>
    <row r="801" spans="1:13" s="53" customFormat="1" hidden="1" x14ac:dyDescent="0.2">
      <c r="A801" s="382"/>
      <c r="B801" s="379"/>
      <c r="C801" s="106"/>
      <c r="D801" s="107"/>
      <c r="E801" s="108"/>
      <c r="F801" s="109"/>
      <c r="G801" s="103"/>
      <c r="H801" s="103"/>
      <c r="I801" s="102"/>
      <c r="J801" s="102"/>
      <c r="K801" s="78"/>
      <c r="L801" s="110"/>
      <c r="M801" s="105" t="str">
        <f t="shared" si="12"/>
        <v xml:space="preserve">   </v>
      </c>
    </row>
    <row r="802" spans="1:13" s="53" customFormat="1" ht="12.75" hidden="1" customHeight="1" x14ac:dyDescent="0.2">
      <c r="A802" s="382" t="s">
        <v>67</v>
      </c>
      <c r="B802" s="379" t="s">
        <v>88</v>
      </c>
      <c r="C802" s="102"/>
      <c r="D802" s="102"/>
      <c r="E802" s="102"/>
      <c r="F802" s="102"/>
      <c r="G802" s="103"/>
      <c r="H802" s="103"/>
      <c r="I802" s="102"/>
      <c r="J802" s="102"/>
      <c r="K802" s="78"/>
      <c r="L802" s="104" t="str">
        <f>CONCATENATE(C802," ",D802," ",E802," ",F802," ",C803," ",D803," ",E803," ",F803)</f>
        <v xml:space="preserve">       </v>
      </c>
      <c r="M802" s="105" t="str">
        <f t="shared" si="12"/>
        <v xml:space="preserve">   </v>
      </c>
    </row>
    <row r="803" spans="1:13" s="53" customFormat="1" hidden="1" x14ac:dyDescent="0.2">
      <c r="A803" s="382"/>
      <c r="B803" s="379"/>
      <c r="C803" s="106"/>
      <c r="D803" s="107"/>
      <c r="E803" s="108"/>
      <c r="F803" s="109"/>
      <c r="G803" s="103"/>
      <c r="H803" s="103"/>
      <c r="I803" s="102"/>
      <c r="J803" s="102"/>
      <c r="K803" s="78"/>
      <c r="L803" s="110"/>
      <c r="M803" s="105" t="str">
        <f t="shared" si="12"/>
        <v xml:space="preserve">   </v>
      </c>
    </row>
    <row r="804" spans="1:13" s="53" customFormat="1" hidden="1" x14ac:dyDescent="0.2">
      <c r="A804" s="382"/>
      <c r="B804" s="379"/>
      <c r="C804" s="106"/>
      <c r="D804" s="107"/>
      <c r="E804" s="108"/>
      <c r="F804" s="109"/>
      <c r="G804" s="103"/>
      <c r="H804" s="103"/>
      <c r="I804" s="102"/>
      <c r="J804" s="102"/>
      <c r="K804" s="78"/>
      <c r="L804" s="110"/>
      <c r="M804" s="105" t="str">
        <f t="shared" si="12"/>
        <v xml:space="preserve">   </v>
      </c>
    </row>
    <row r="805" spans="1:13" s="53" customFormat="1" hidden="1" x14ac:dyDescent="0.2">
      <c r="A805" s="382"/>
      <c r="B805" s="379"/>
      <c r="C805" s="106"/>
      <c r="D805" s="107"/>
      <c r="E805" s="108"/>
      <c r="F805" s="109"/>
      <c r="G805" s="103"/>
      <c r="H805" s="103"/>
      <c r="I805" s="102"/>
      <c r="J805" s="102"/>
      <c r="K805" s="78"/>
      <c r="L805" s="110"/>
      <c r="M805" s="105" t="str">
        <f t="shared" si="12"/>
        <v xml:space="preserve">   </v>
      </c>
    </row>
    <row r="806" spans="1:13" s="53" customFormat="1" hidden="1" x14ac:dyDescent="0.2">
      <c r="A806" s="382"/>
      <c r="B806" s="379"/>
      <c r="C806" s="106"/>
      <c r="D806" s="107"/>
      <c r="E806" s="108"/>
      <c r="F806" s="109"/>
      <c r="G806" s="103"/>
      <c r="H806" s="103"/>
      <c r="I806" s="102"/>
      <c r="J806" s="102"/>
      <c r="K806" s="78"/>
      <c r="L806" s="110"/>
      <c r="M806" s="105" t="str">
        <f t="shared" si="12"/>
        <v xml:space="preserve">   </v>
      </c>
    </row>
    <row r="807" spans="1:13" s="53" customFormat="1" hidden="1" x14ac:dyDescent="0.2">
      <c r="A807" s="382"/>
      <c r="B807" s="379"/>
      <c r="C807" s="106"/>
      <c r="D807" s="107"/>
      <c r="E807" s="108"/>
      <c r="F807" s="109"/>
      <c r="G807" s="103"/>
      <c r="H807" s="103"/>
      <c r="I807" s="102"/>
      <c r="J807" s="102"/>
      <c r="K807" s="78"/>
      <c r="L807" s="110"/>
      <c r="M807" s="105" t="str">
        <f t="shared" si="12"/>
        <v xml:space="preserve">   </v>
      </c>
    </row>
    <row r="808" spans="1:13" s="53" customFormat="1" hidden="1" x14ac:dyDescent="0.2">
      <c r="A808" s="382"/>
      <c r="B808" s="379"/>
      <c r="C808" s="106"/>
      <c r="D808" s="107"/>
      <c r="E808" s="108"/>
      <c r="F808" s="109"/>
      <c r="G808" s="103"/>
      <c r="H808" s="103"/>
      <c r="I808" s="102"/>
      <c r="J808" s="102"/>
      <c r="K808" s="78"/>
      <c r="L808" s="110"/>
      <c r="M808" s="105" t="str">
        <f t="shared" si="12"/>
        <v xml:space="preserve">   </v>
      </c>
    </row>
    <row r="809" spans="1:13" s="53" customFormat="1" hidden="1" x14ac:dyDescent="0.2">
      <c r="A809" s="382"/>
      <c r="B809" s="379"/>
      <c r="C809" s="106"/>
      <c r="D809" s="107"/>
      <c r="E809" s="108"/>
      <c r="F809" s="109"/>
      <c r="G809" s="103"/>
      <c r="H809" s="103"/>
      <c r="I809" s="102"/>
      <c r="J809" s="102"/>
      <c r="K809" s="78"/>
      <c r="L809" s="110"/>
      <c r="M809" s="105" t="str">
        <f t="shared" si="12"/>
        <v xml:space="preserve">   </v>
      </c>
    </row>
    <row r="810" spans="1:13" s="53" customFormat="1" hidden="1" x14ac:dyDescent="0.2">
      <c r="A810" s="382"/>
      <c r="B810" s="379"/>
      <c r="C810" s="106"/>
      <c r="D810" s="107"/>
      <c r="E810" s="108"/>
      <c r="F810" s="109"/>
      <c r="G810" s="103"/>
      <c r="H810" s="103"/>
      <c r="I810" s="102"/>
      <c r="J810" s="102"/>
      <c r="K810" s="78"/>
      <c r="L810" s="110"/>
      <c r="M810" s="105" t="str">
        <f t="shared" si="12"/>
        <v xml:space="preserve">   </v>
      </c>
    </row>
    <row r="811" spans="1:13" s="53" customFormat="1" hidden="1" x14ac:dyDescent="0.2">
      <c r="A811" s="382"/>
      <c r="B811" s="379"/>
      <c r="C811" s="106"/>
      <c r="D811" s="107"/>
      <c r="E811" s="108"/>
      <c r="F811" s="109"/>
      <c r="G811" s="103"/>
      <c r="H811" s="103"/>
      <c r="I811" s="102"/>
      <c r="J811" s="102"/>
      <c r="K811" s="78"/>
      <c r="L811" s="110"/>
      <c r="M811" s="105" t="str">
        <f t="shared" si="12"/>
        <v xml:space="preserve">   </v>
      </c>
    </row>
    <row r="812" spans="1:13" s="46" customFormat="1" ht="38.25" hidden="1" customHeight="1" x14ac:dyDescent="0.2">
      <c r="A812" s="382" t="s">
        <v>67</v>
      </c>
      <c r="B812" s="378" t="s">
        <v>89</v>
      </c>
      <c r="C812" s="102"/>
      <c r="D812" s="102"/>
      <c r="E812" s="172"/>
      <c r="F812" s="172"/>
      <c r="G812" s="103"/>
      <c r="H812" s="103"/>
      <c r="I812" s="172"/>
      <c r="J812" s="172"/>
      <c r="K812" s="78"/>
      <c r="L812" s="111" t="str">
        <f>CONCATENATE(C812," ",D812," ",E812," ",F812," ",C813," ",D813," ",E813," ",F813)</f>
        <v xml:space="preserve">       </v>
      </c>
      <c r="M812" s="105" t="str">
        <f t="shared" si="12"/>
        <v xml:space="preserve">   </v>
      </c>
    </row>
    <row r="813" spans="1:13" s="46" customFormat="1" ht="55.5" hidden="1" customHeight="1" x14ac:dyDescent="0.2">
      <c r="A813" s="382"/>
      <c r="B813" s="378"/>
      <c r="C813" s="102"/>
      <c r="D813" s="102"/>
      <c r="E813" s="172"/>
      <c r="F813" s="172"/>
      <c r="G813" s="103"/>
      <c r="H813" s="103"/>
      <c r="I813" s="172"/>
      <c r="J813" s="172"/>
      <c r="K813" s="78"/>
      <c r="L813" s="110"/>
      <c r="M813" s="105" t="str">
        <f t="shared" si="12"/>
        <v xml:space="preserve">   </v>
      </c>
    </row>
    <row r="814" spans="1:13" s="46" customFormat="1" ht="36" hidden="1" customHeight="1" x14ac:dyDescent="0.2">
      <c r="A814" s="382"/>
      <c r="B814" s="378"/>
      <c r="C814" s="106"/>
      <c r="D814" s="107"/>
      <c r="E814" s="108"/>
      <c r="F814" s="109"/>
      <c r="G814" s="103"/>
      <c r="H814" s="103"/>
      <c r="I814" s="172"/>
      <c r="J814" s="172"/>
      <c r="K814" s="78"/>
      <c r="L814" s="110"/>
      <c r="M814" s="105" t="str">
        <f t="shared" si="12"/>
        <v xml:space="preserve">   </v>
      </c>
    </row>
    <row r="815" spans="1:13" s="46" customFormat="1" ht="51" hidden="1" customHeight="1" x14ac:dyDescent="0.2">
      <c r="A815" s="382"/>
      <c r="B815" s="378"/>
      <c r="C815" s="106"/>
      <c r="D815" s="107"/>
      <c r="E815" s="108"/>
      <c r="F815" s="109"/>
      <c r="G815" s="103"/>
      <c r="H815" s="103"/>
      <c r="I815" s="172"/>
      <c r="J815" s="172"/>
      <c r="K815" s="78"/>
      <c r="L815" s="110"/>
      <c r="M815" s="105" t="str">
        <f t="shared" si="12"/>
        <v xml:space="preserve">   </v>
      </c>
    </row>
    <row r="816" spans="1:13" s="53" customFormat="1" hidden="1" x14ac:dyDescent="0.2">
      <c r="A816" s="382"/>
      <c r="B816" s="378"/>
      <c r="C816" s="106"/>
      <c r="D816" s="107"/>
      <c r="E816" s="108"/>
      <c r="F816" s="109"/>
      <c r="G816" s="103"/>
      <c r="H816" s="103"/>
      <c r="I816" s="102"/>
      <c r="J816" s="102"/>
      <c r="K816" s="78"/>
      <c r="L816" s="110"/>
      <c r="M816" s="105" t="str">
        <f t="shared" si="12"/>
        <v xml:space="preserve">   </v>
      </c>
    </row>
    <row r="817" spans="1:13" s="53" customFormat="1" hidden="1" x14ac:dyDescent="0.2">
      <c r="A817" s="382"/>
      <c r="B817" s="378"/>
      <c r="C817" s="106"/>
      <c r="D817" s="107"/>
      <c r="E817" s="108"/>
      <c r="F817" s="109"/>
      <c r="G817" s="103"/>
      <c r="H817" s="103"/>
      <c r="I817" s="102"/>
      <c r="J817" s="102"/>
      <c r="K817" s="78"/>
      <c r="L817" s="110"/>
      <c r="M817" s="105" t="str">
        <f t="shared" si="12"/>
        <v xml:space="preserve">   </v>
      </c>
    </row>
    <row r="818" spans="1:13" s="53" customFormat="1" hidden="1" x14ac:dyDescent="0.2">
      <c r="A818" s="382"/>
      <c r="B818" s="378"/>
      <c r="C818" s="106"/>
      <c r="D818" s="107"/>
      <c r="E818" s="108"/>
      <c r="F818" s="109"/>
      <c r="G818" s="103"/>
      <c r="H818" s="103"/>
      <c r="I818" s="102"/>
      <c r="J818" s="102"/>
      <c r="K818" s="78"/>
      <c r="L818" s="110"/>
      <c r="M818" s="105" t="str">
        <f t="shared" si="12"/>
        <v xml:space="preserve">   </v>
      </c>
    </row>
    <row r="819" spans="1:13" s="53" customFormat="1" hidden="1" x14ac:dyDescent="0.2">
      <c r="A819" s="382"/>
      <c r="B819" s="378"/>
      <c r="C819" s="106"/>
      <c r="D819" s="107"/>
      <c r="E819" s="108"/>
      <c r="F819" s="109"/>
      <c r="G819" s="103"/>
      <c r="H819" s="103"/>
      <c r="I819" s="102"/>
      <c r="J819" s="102"/>
      <c r="K819" s="78"/>
      <c r="L819" s="110"/>
      <c r="M819" s="105" t="str">
        <f t="shared" si="12"/>
        <v xml:space="preserve">   </v>
      </c>
    </row>
    <row r="820" spans="1:13" s="46" customFormat="1" hidden="1" x14ac:dyDescent="0.2">
      <c r="A820" s="382"/>
      <c r="B820" s="378"/>
      <c r="C820" s="106"/>
      <c r="D820" s="107"/>
      <c r="E820" s="108"/>
      <c r="F820" s="109"/>
      <c r="G820" s="103"/>
      <c r="H820" s="103"/>
      <c r="I820" s="102"/>
      <c r="J820" s="102"/>
      <c r="K820" s="78"/>
      <c r="L820" s="110"/>
      <c r="M820" s="105" t="str">
        <f t="shared" si="12"/>
        <v xml:space="preserve">   </v>
      </c>
    </row>
    <row r="821" spans="1:13" s="46" customFormat="1" hidden="1" x14ac:dyDescent="0.2">
      <c r="A821" s="382"/>
      <c r="B821" s="378"/>
      <c r="C821" s="113"/>
      <c r="D821" s="114"/>
      <c r="E821" s="115"/>
      <c r="F821" s="116"/>
      <c r="G821" s="103"/>
      <c r="H821" s="103"/>
      <c r="I821" s="102"/>
      <c r="J821" s="102"/>
      <c r="K821" s="78"/>
      <c r="L821" s="110"/>
      <c r="M821" s="105" t="str">
        <f t="shared" si="12"/>
        <v xml:space="preserve">   </v>
      </c>
    </row>
    <row r="822" spans="1:13" s="46" customFormat="1" ht="15" hidden="1" customHeight="1" x14ac:dyDescent="0.2">
      <c r="A822" s="382" t="s">
        <v>67</v>
      </c>
      <c r="B822" s="378" t="s">
        <v>89</v>
      </c>
      <c r="C822" s="102"/>
      <c r="D822" s="102"/>
      <c r="E822" s="102"/>
      <c r="F822" s="102"/>
      <c r="G822" s="103"/>
      <c r="H822" s="103"/>
      <c r="I822" s="102"/>
      <c r="J822" s="102"/>
      <c r="K822" s="78"/>
      <c r="L822" s="111" t="str">
        <f>CONCATENATE(C822," ",D822," ",E822," ",F822," ",C823," ",D823," ",E823," ",F823)</f>
        <v xml:space="preserve">       </v>
      </c>
      <c r="M822" s="105" t="str">
        <f t="shared" si="12"/>
        <v xml:space="preserve">   </v>
      </c>
    </row>
    <row r="823" spans="1:13" s="46" customFormat="1" hidden="1" x14ac:dyDescent="0.2">
      <c r="A823" s="382"/>
      <c r="B823" s="378"/>
      <c r="C823" s="112"/>
      <c r="D823" s="107"/>
      <c r="E823" s="108"/>
      <c r="F823" s="109"/>
      <c r="G823" s="103"/>
      <c r="H823" s="103"/>
      <c r="I823" s="102"/>
      <c r="J823" s="102"/>
      <c r="K823" s="78"/>
      <c r="L823" s="110"/>
      <c r="M823" s="105" t="str">
        <f t="shared" si="12"/>
        <v xml:space="preserve">   </v>
      </c>
    </row>
    <row r="824" spans="1:13" s="46" customFormat="1" hidden="1" x14ac:dyDescent="0.2">
      <c r="A824" s="382"/>
      <c r="B824" s="378"/>
      <c r="C824" s="106"/>
      <c r="D824" s="107"/>
      <c r="E824" s="108"/>
      <c r="F824" s="109"/>
      <c r="G824" s="103"/>
      <c r="H824" s="103"/>
      <c r="I824" s="102"/>
      <c r="J824" s="102"/>
      <c r="K824" s="78"/>
      <c r="L824" s="110"/>
      <c r="M824" s="105" t="str">
        <f t="shared" si="12"/>
        <v xml:space="preserve">   </v>
      </c>
    </row>
    <row r="825" spans="1:13" s="46" customFormat="1" hidden="1" x14ac:dyDescent="0.2">
      <c r="A825" s="382"/>
      <c r="B825" s="378"/>
      <c r="C825" s="106"/>
      <c r="D825" s="107"/>
      <c r="E825" s="108"/>
      <c r="F825" s="109"/>
      <c r="G825" s="103"/>
      <c r="H825" s="103"/>
      <c r="I825" s="102"/>
      <c r="J825" s="102"/>
      <c r="K825" s="78"/>
      <c r="L825" s="110"/>
      <c r="M825" s="105" t="str">
        <f t="shared" si="12"/>
        <v xml:space="preserve">   </v>
      </c>
    </row>
    <row r="826" spans="1:13" s="53" customFormat="1" hidden="1" x14ac:dyDescent="0.2">
      <c r="A826" s="382"/>
      <c r="B826" s="378"/>
      <c r="C826" s="106"/>
      <c r="D826" s="107"/>
      <c r="E826" s="108"/>
      <c r="F826" s="109"/>
      <c r="G826" s="103"/>
      <c r="H826" s="103"/>
      <c r="I826" s="102"/>
      <c r="J826" s="102"/>
      <c r="K826" s="78"/>
      <c r="L826" s="110"/>
      <c r="M826" s="105" t="str">
        <f t="shared" si="12"/>
        <v xml:space="preserve">   </v>
      </c>
    </row>
    <row r="827" spans="1:13" s="53" customFormat="1" hidden="1" x14ac:dyDescent="0.2">
      <c r="A827" s="382"/>
      <c r="B827" s="378"/>
      <c r="C827" s="106"/>
      <c r="D827" s="107"/>
      <c r="E827" s="108"/>
      <c r="F827" s="109"/>
      <c r="G827" s="103"/>
      <c r="H827" s="103"/>
      <c r="I827" s="102"/>
      <c r="J827" s="102"/>
      <c r="K827" s="78"/>
      <c r="L827" s="110"/>
      <c r="M827" s="105" t="str">
        <f t="shared" si="12"/>
        <v xml:space="preserve">   </v>
      </c>
    </row>
    <row r="828" spans="1:13" s="53" customFormat="1" hidden="1" x14ac:dyDescent="0.2">
      <c r="A828" s="382"/>
      <c r="B828" s="378"/>
      <c r="C828" s="106"/>
      <c r="D828" s="107"/>
      <c r="E828" s="108"/>
      <c r="F828" s="109"/>
      <c r="G828" s="103"/>
      <c r="H828" s="103"/>
      <c r="I828" s="102"/>
      <c r="J828" s="102"/>
      <c r="K828" s="78"/>
      <c r="L828" s="110"/>
      <c r="M828" s="105" t="str">
        <f t="shared" si="12"/>
        <v xml:space="preserve">   </v>
      </c>
    </row>
    <row r="829" spans="1:13" s="53" customFormat="1" hidden="1" x14ac:dyDescent="0.2">
      <c r="A829" s="382"/>
      <c r="B829" s="378"/>
      <c r="C829" s="106"/>
      <c r="D829" s="107"/>
      <c r="E829" s="108"/>
      <c r="F829" s="109"/>
      <c r="G829" s="103"/>
      <c r="H829" s="103"/>
      <c r="I829" s="102"/>
      <c r="J829" s="102"/>
      <c r="K829" s="78"/>
      <c r="L829" s="110"/>
      <c r="M829" s="105" t="str">
        <f t="shared" si="12"/>
        <v xml:space="preserve">   </v>
      </c>
    </row>
    <row r="830" spans="1:13" s="46" customFormat="1" hidden="1" x14ac:dyDescent="0.2">
      <c r="A830" s="382"/>
      <c r="B830" s="378"/>
      <c r="C830" s="106"/>
      <c r="D830" s="107"/>
      <c r="E830" s="108"/>
      <c r="F830" s="109"/>
      <c r="G830" s="103"/>
      <c r="H830" s="103"/>
      <c r="I830" s="102"/>
      <c r="J830" s="102"/>
      <c r="K830" s="78"/>
      <c r="L830" s="110"/>
      <c r="M830" s="105" t="str">
        <f t="shared" si="12"/>
        <v xml:space="preserve">   </v>
      </c>
    </row>
    <row r="831" spans="1:13" s="46" customFormat="1" hidden="1" x14ac:dyDescent="0.2">
      <c r="A831" s="382"/>
      <c r="B831" s="378"/>
      <c r="C831" s="113"/>
      <c r="D831" s="114"/>
      <c r="E831" s="115"/>
      <c r="F831" s="116"/>
      <c r="G831" s="103"/>
      <c r="H831" s="103"/>
      <c r="I831" s="102"/>
      <c r="J831" s="102"/>
      <c r="K831" s="78"/>
      <c r="L831" s="117"/>
      <c r="M831" s="105" t="str">
        <f t="shared" si="12"/>
        <v xml:space="preserve">   </v>
      </c>
    </row>
    <row r="832" spans="1:13" s="46" customFormat="1" ht="15" hidden="1" customHeight="1" x14ac:dyDescent="0.2">
      <c r="A832" s="382" t="s">
        <v>67</v>
      </c>
      <c r="B832" s="378" t="s">
        <v>89</v>
      </c>
      <c r="C832" s="102"/>
      <c r="D832" s="102"/>
      <c r="E832" s="102"/>
      <c r="F832" s="102"/>
      <c r="G832" s="103"/>
      <c r="H832" s="103"/>
      <c r="I832" s="102"/>
      <c r="J832" s="102"/>
      <c r="K832" s="78"/>
      <c r="L832" s="111" t="str">
        <f>CONCATENATE(C832," ",D832," ",E832," ",F832," ",C833," ",D833," ",E833," ",F833)</f>
        <v xml:space="preserve">       </v>
      </c>
      <c r="M832" s="105" t="str">
        <f t="shared" si="12"/>
        <v xml:space="preserve">   </v>
      </c>
    </row>
    <row r="833" spans="1:13" s="46" customFormat="1" hidden="1" x14ac:dyDescent="0.2">
      <c r="A833" s="382"/>
      <c r="B833" s="378"/>
      <c r="C833" s="112"/>
      <c r="D833" s="107"/>
      <c r="E833" s="108"/>
      <c r="F833" s="109"/>
      <c r="G833" s="103"/>
      <c r="H833" s="103"/>
      <c r="I833" s="102"/>
      <c r="J833" s="102"/>
      <c r="K833" s="78"/>
      <c r="L833" s="110"/>
      <c r="M833" s="105" t="str">
        <f t="shared" si="12"/>
        <v xml:space="preserve">   </v>
      </c>
    </row>
    <row r="834" spans="1:13" s="46" customFormat="1" hidden="1" x14ac:dyDescent="0.2">
      <c r="A834" s="382"/>
      <c r="B834" s="378"/>
      <c r="C834" s="106"/>
      <c r="D834" s="107"/>
      <c r="E834" s="108"/>
      <c r="F834" s="109"/>
      <c r="G834" s="103"/>
      <c r="H834" s="103"/>
      <c r="I834" s="102"/>
      <c r="J834" s="102"/>
      <c r="K834" s="78"/>
      <c r="L834" s="110"/>
      <c r="M834" s="105" t="str">
        <f t="shared" si="12"/>
        <v xml:space="preserve">   </v>
      </c>
    </row>
    <row r="835" spans="1:13" s="46" customFormat="1" hidden="1" x14ac:dyDescent="0.2">
      <c r="A835" s="382"/>
      <c r="B835" s="378"/>
      <c r="C835" s="106"/>
      <c r="D835" s="107"/>
      <c r="E835" s="108"/>
      <c r="F835" s="109"/>
      <c r="G835" s="103"/>
      <c r="H835" s="103"/>
      <c r="I835" s="102"/>
      <c r="J835" s="102"/>
      <c r="K835" s="78"/>
      <c r="L835" s="110"/>
      <c r="M835" s="105" t="str">
        <f t="shared" si="12"/>
        <v xml:space="preserve">   </v>
      </c>
    </row>
    <row r="836" spans="1:13" s="53" customFormat="1" hidden="1" x14ac:dyDescent="0.2">
      <c r="A836" s="382"/>
      <c r="B836" s="378"/>
      <c r="C836" s="106"/>
      <c r="D836" s="107"/>
      <c r="E836" s="108"/>
      <c r="F836" s="109"/>
      <c r="G836" s="103"/>
      <c r="H836" s="103"/>
      <c r="I836" s="102"/>
      <c r="J836" s="102"/>
      <c r="K836" s="78"/>
      <c r="L836" s="110"/>
      <c r="M836" s="105" t="str">
        <f t="shared" si="12"/>
        <v xml:space="preserve">   </v>
      </c>
    </row>
    <row r="837" spans="1:13" s="53" customFormat="1" hidden="1" x14ac:dyDescent="0.2">
      <c r="A837" s="382"/>
      <c r="B837" s="378"/>
      <c r="C837" s="106"/>
      <c r="D837" s="107"/>
      <c r="E837" s="108"/>
      <c r="F837" s="109"/>
      <c r="G837" s="103"/>
      <c r="H837" s="103"/>
      <c r="I837" s="102"/>
      <c r="J837" s="102"/>
      <c r="K837" s="78"/>
      <c r="L837" s="110"/>
      <c r="M837" s="105" t="str">
        <f t="shared" si="12"/>
        <v xml:space="preserve">   </v>
      </c>
    </row>
    <row r="838" spans="1:13" s="53" customFormat="1" hidden="1" x14ac:dyDescent="0.2">
      <c r="A838" s="382"/>
      <c r="B838" s="378"/>
      <c r="C838" s="106"/>
      <c r="D838" s="107"/>
      <c r="E838" s="108"/>
      <c r="F838" s="109"/>
      <c r="G838" s="103"/>
      <c r="H838" s="103"/>
      <c r="I838" s="102"/>
      <c r="J838" s="102"/>
      <c r="K838" s="78"/>
      <c r="L838" s="110"/>
      <c r="M838" s="105" t="str">
        <f t="shared" si="12"/>
        <v xml:space="preserve">   </v>
      </c>
    </row>
    <row r="839" spans="1:13" s="53" customFormat="1" hidden="1" x14ac:dyDescent="0.2">
      <c r="A839" s="382"/>
      <c r="B839" s="378"/>
      <c r="C839" s="106"/>
      <c r="D839" s="107"/>
      <c r="E839" s="108"/>
      <c r="F839" s="109"/>
      <c r="G839" s="103"/>
      <c r="H839" s="103"/>
      <c r="I839" s="102"/>
      <c r="J839" s="102"/>
      <c r="K839" s="78"/>
      <c r="L839" s="110"/>
      <c r="M839" s="105" t="str">
        <f t="shared" si="12"/>
        <v xml:space="preserve">   </v>
      </c>
    </row>
    <row r="840" spans="1:13" s="46" customFormat="1" hidden="1" x14ac:dyDescent="0.2">
      <c r="A840" s="382"/>
      <c r="B840" s="378"/>
      <c r="C840" s="106"/>
      <c r="D840" s="107"/>
      <c r="E840" s="108"/>
      <c r="F840" s="109"/>
      <c r="G840" s="103"/>
      <c r="H840" s="103"/>
      <c r="I840" s="102"/>
      <c r="J840" s="102"/>
      <c r="K840" s="78"/>
      <c r="L840" s="110"/>
      <c r="M840" s="105" t="str">
        <f t="shared" si="12"/>
        <v xml:space="preserve">   </v>
      </c>
    </row>
    <row r="841" spans="1:13" s="46" customFormat="1" hidden="1" x14ac:dyDescent="0.2">
      <c r="A841" s="382"/>
      <c r="B841" s="378"/>
      <c r="C841" s="113"/>
      <c r="D841" s="114"/>
      <c r="E841" s="115"/>
      <c r="F841" s="116"/>
      <c r="G841" s="103"/>
      <c r="H841" s="103"/>
      <c r="I841" s="102"/>
      <c r="J841" s="102"/>
      <c r="K841" s="78"/>
      <c r="L841" s="110"/>
      <c r="M841" s="105" t="str">
        <f t="shared" si="12"/>
        <v xml:space="preserve">   </v>
      </c>
    </row>
    <row r="842" spans="1:13" s="46" customFormat="1" ht="15" hidden="1" customHeight="1" x14ac:dyDescent="0.2">
      <c r="A842" s="382" t="s">
        <v>67</v>
      </c>
      <c r="B842" s="378" t="s">
        <v>89</v>
      </c>
      <c r="C842" s="102"/>
      <c r="D842" s="102"/>
      <c r="E842" s="102"/>
      <c r="F842" s="102"/>
      <c r="G842" s="103"/>
      <c r="H842" s="103"/>
      <c r="I842" s="102"/>
      <c r="J842" s="102"/>
      <c r="K842" s="78"/>
      <c r="L842" s="111" t="str">
        <f>CONCATENATE(C842," ",D842," ",E842," ",F842," ",C843," ",D843," ",E843," ",F843)</f>
        <v xml:space="preserve">       </v>
      </c>
      <c r="M842" s="105" t="str">
        <f t="shared" si="12"/>
        <v xml:space="preserve">   </v>
      </c>
    </row>
    <row r="843" spans="1:13" s="46" customFormat="1" hidden="1" x14ac:dyDescent="0.2">
      <c r="A843" s="382"/>
      <c r="B843" s="378"/>
      <c r="C843" s="112"/>
      <c r="D843" s="107"/>
      <c r="E843" s="108"/>
      <c r="F843" s="109"/>
      <c r="G843" s="103"/>
      <c r="H843" s="103"/>
      <c r="I843" s="102"/>
      <c r="J843" s="102"/>
      <c r="K843" s="78"/>
      <c r="L843" s="110"/>
      <c r="M843" s="105" t="str">
        <f t="shared" ref="M843:M906" si="13">CONCATENATE(G843," ",H843," ",I843," ",J843)</f>
        <v xml:space="preserve">   </v>
      </c>
    </row>
    <row r="844" spans="1:13" s="46" customFormat="1" hidden="1" x14ac:dyDescent="0.2">
      <c r="A844" s="382"/>
      <c r="B844" s="378"/>
      <c r="C844" s="106"/>
      <c r="D844" s="107"/>
      <c r="E844" s="108"/>
      <c r="F844" s="109"/>
      <c r="G844" s="103"/>
      <c r="H844" s="103"/>
      <c r="I844" s="102"/>
      <c r="J844" s="102"/>
      <c r="K844" s="78"/>
      <c r="L844" s="110"/>
      <c r="M844" s="105" t="str">
        <f t="shared" si="13"/>
        <v xml:space="preserve">   </v>
      </c>
    </row>
    <row r="845" spans="1:13" s="46" customFormat="1" hidden="1" x14ac:dyDescent="0.2">
      <c r="A845" s="382"/>
      <c r="B845" s="378"/>
      <c r="C845" s="106"/>
      <c r="D845" s="107"/>
      <c r="E845" s="108"/>
      <c r="F845" s="109"/>
      <c r="G845" s="103"/>
      <c r="H845" s="103"/>
      <c r="I845" s="102"/>
      <c r="J845" s="102"/>
      <c r="K845" s="78"/>
      <c r="L845" s="110"/>
      <c r="M845" s="105" t="str">
        <f t="shared" si="13"/>
        <v xml:space="preserve">   </v>
      </c>
    </row>
    <row r="846" spans="1:13" s="53" customFormat="1" hidden="1" x14ac:dyDescent="0.2">
      <c r="A846" s="382"/>
      <c r="B846" s="378"/>
      <c r="C846" s="106"/>
      <c r="D846" s="107"/>
      <c r="E846" s="108"/>
      <c r="F846" s="109"/>
      <c r="G846" s="103"/>
      <c r="H846" s="103"/>
      <c r="I846" s="102"/>
      <c r="J846" s="102"/>
      <c r="K846" s="78"/>
      <c r="L846" s="110"/>
      <c r="M846" s="105" t="str">
        <f t="shared" si="13"/>
        <v xml:space="preserve">   </v>
      </c>
    </row>
    <row r="847" spans="1:13" s="53" customFormat="1" hidden="1" x14ac:dyDescent="0.2">
      <c r="A847" s="382"/>
      <c r="B847" s="378"/>
      <c r="C847" s="106"/>
      <c r="D847" s="107"/>
      <c r="E847" s="108"/>
      <c r="F847" s="109"/>
      <c r="G847" s="103"/>
      <c r="H847" s="103"/>
      <c r="I847" s="102"/>
      <c r="J847" s="102"/>
      <c r="K847" s="78"/>
      <c r="L847" s="110"/>
      <c r="M847" s="105" t="str">
        <f t="shared" si="13"/>
        <v xml:space="preserve">   </v>
      </c>
    </row>
    <row r="848" spans="1:13" s="53" customFormat="1" hidden="1" x14ac:dyDescent="0.2">
      <c r="A848" s="382"/>
      <c r="B848" s="378"/>
      <c r="C848" s="106"/>
      <c r="D848" s="107"/>
      <c r="E848" s="108"/>
      <c r="F848" s="109"/>
      <c r="G848" s="103"/>
      <c r="H848" s="103"/>
      <c r="I848" s="102"/>
      <c r="J848" s="102"/>
      <c r="K848" s="78"/>
      <c r="L848" s="110"/>
      <c r="M848" s="105" t="str">
        <f t="shared" si="13"/>
        <v xml:space="preserve">   </v>
      </c>
    </row>
    <row r="849" spans="1:13" s="53" customFormat="1" hidden="1" x14ac:dyDescent="0.2">
      <c r="A849" s="382"/>
      <c r="B849" s="378"/>
      <c r="C849" s="106"/>
      <c r="D849" s="107"/>
      <c r="E849" s="108"/>
      <c r="F849" s="109"/>
      <c r="G849" s="103"/>
      <c r="H849" s="103"/>
      <c r="I849" s="102"/>
      <c r="J849" s="102"/>
      <c r="K849" s="78"/>
      <c r="L849" s="110"/>
      <c r="M849" s="105" t="str">
        <f t="shared" si="13"/>
        <v xml:space="preserve">   </v>
      </c>
    </row>
    <row r="850" spans="1:13" s="46" customFormat="1" hidden="1" x14ac:dyDescent="0.2">
      <c r="A850" s="382"/>
      <c r="B850" s="378"/>
      <c r="C850" s="106"/>
      <c r="D850" s="107"/>
      <c r="E850" s="108"/>
      <c r="F850" s="109"/>
      <c r="G850" s="103"/>
      <c r="H850" s="103"/>
      <c r="I850" s="102"/>
      <c r="J850" s="102"/>
      <c r="K850" s="78"/>
      <c r="L850" s="110"/>
      <c r="M850" s="105" t="str">
        <f t="shared" si="13"/>
        <v xml:space="preserve">   </v>
      </c>
    </row>
    <row r="851" spans="1:13" s="46" customFormat="1" hidden="1" x14ac:dyDescent="0.2">
      <c r="A851" s="382"/>
      <c r="B851" s="378"/>
      <c r="C851" s="113"/>
      <c r="D851" s="114"/>
      <c r="E851" s="115"/>
      <c r="F851" s="116"/>
      <c r="G851" s="103"/>
      <c r="H851" s="103"/>
      <c r="I851" s="102"/>
      <c r="J851" s="102"/>
      <c r="K851" s="78"/>
      <c r="L851" s="117"/>
      <c r="M851" s="105" t="str">
        <f t="shared" si="13"/>
        <v xml:space="preserve">   </v>
      </c>
    </row>
    <row r="852" spans="1:13" s="46" customFormat="1" ht="15" hidden="1" customHeight="1" x14ac:dyDescent="0.2">
      <c r="A852" s="382" t="s">
        <v>67</v>
      </c>
      <c r="B852" s="378" t="s">
        <v>89</v>
      </c>
      <c r="C852" s="102"/>
      <c r="D852" s="102"/>
      <c r="E852" s="102"/>
      <c r="F852" s="102"/>
      <c r="G852" s="103"/>
      <c r="H852" s="103"/>
      <c r="I852" s="102"/>
      <c r="J852" s="102"/>
      <c r="K852" s="78"/>
      <c r="L852" s="111" t="str">
        <f>CONCATENATE(C852," ",D852," ",E852," ",F852," ",C853," ",D853," ",E853," ",F853)</f>
        <v xml:space="preserve">       </v>
      </c>
      <c r="M852" s="105" t="str">
        <f t="shared" si="13"/>
        <v xml:space="preserve">   </v>
      </c>
    </row>
    <row r="853" spans="1:13" s="46" customFormat="1" hidden="1" x14ac:dyDescent="0.2">
      <c r="A853" s="382"/>
      <c r="B853" s="378"/>
      <c r="C853" s="112"/>
      <c r="D853" s="107"/>
      <c r="E853" s="108"/>
      <c r="F853" s="109"/>
      <c r="G853" s="103"/>
      <c r="H853" s="103"/>
      <c r="I853" s="102"/>
      <c r="J853" s="102"/>
      <c r="K853" s="78"/>
      <c r="L853" s="110"/>
      <c r="M853" s="105" t="str">
        <f t="shared" si="13"/>
        <v xml:space="preserve">   </v>
      </c>
    </row>
    <row r="854" spans="1:13" s="46" customFormat="1" hidden="1" x14ac:dyDescent="0.2">
      <c r="A854" s="382"/>
      <c r="B854" s="378"/>
      <c r="C854" s="106"/>
      <c r="D854" s="107"/>
      <c r="E854" s="108"/>
      <c r="F854" s="109"/>
      <c r="G854" s="103"/>
      <c r="H854" s="103"/>
      <c r="I854" s="102"/>
      <c r="J854" s="102"/>
      <c r="K854" s="78"/>
      <c r="L854" s="110"/>
      <c r="M854" s="105" t="str">
        <f t="shared" si="13"/>
        <v xml:space="preserve">   </v>
      </c>
    </row>
    <row r="855" spans="1:13" s="46" customFormat="1" hidden="1" x14ac:dyDescent="0.2">
      <c r="A855" s="382"/>
      <c r="B855" s="378"/>
      <c r="C855" s="106"/>
      <c r="D855" s="107"/>
      <c r="E855" s="108"/>
      <c r="F855" s="109"/>
      <c r="G855" s="103"/>
      <c r="H855" s="103"/>
      <c r="I855" s="102"/>
      <c r="J855" s="102"/>
      <c r="K855" s="78"/>
      <c r="L855" s="110"/>
      <c r="M855" s="105" t="str">
        <f t="shared" si="13"/>
        <v xml:space="preserve">   </v>
      </c>
    </row>
    <row r="856" spans="1:13" s="53" customFormat="1" hidden="1" x14ac:dyDescent="0.2">
      <c r="A856" s="382"/>
      <c r="B856" s="378"/>
      <c r="C856" s="106"/>
      <c r="D856" s="107"/>
      <c r="E856" s="108"/>
      <c r="F856" s="109"/>
      <c r="G856" s="103"/>
      <c r="H856" s="103"/>
      <c r="I856" s="102"/>
      <c r="J856" s="102"/>
      <c r="K856" s="78"/>
      <c r="L856" s="110"/>
      <c r="M856" s="105" t="str">
        <f t="shared" si="13"/>
        <v xml:space="preserve">   </v>
      </c>
    </row>
    <row r="857" spans="1:13" s="53" customFormat="1" hidden="1" x14ac:dyDescent="0.2">
      <c r="A857" s="382"/>
      <c r="B857" s="378"/>
      <c r="C857" s="106"/>
      <c r="D857" s="107"/>
      <c r="E857" s="108"/>
      <c r="F857" s="109"/>
      <c r="G857" s="103"/>
      <c r="H857" s="103"/>
      <c r="I857" s="102"/>
      <c r="J857" s="102"/>
      <c r="K857" s="78"/>
      <c r="L857" s="110"/>
      <c r="M857" s="105" t="str">
        <f t="shared" si="13"/>
        <v xml:space="preserve">   </v>
      </c>
    </row>
    <row r="858" spans="1:13" s="53" customFormat="1" hidden="1" x14ac:dyDescent="0.2">
      <c r="A858" s="382"/>
      <c r="B858" s="378"/>
      <c r="C858" s="106"/>
      <c r="D858" s="107"/>
      <c r="E858" s="108"/>
      <c r="F858" s="109"/>
      <c r="G858" s="103"/>
      <c r="H858" s="103"/>
      <c r="I858" s="102"/>
      <c r="J858" s="102"/>
      <c r="K858" s="78"/>
      <c r="L858" s="110"/>
      <c r="M858" s="105" t="str">
        <f t="shared" si="13"/>
        <v xml:space="preserve">   </v>
      </c>
    </row>
    <row r="859" spans="1:13" s="53" customFormat="1" hidden="1" x14ac:dyDescent="0.2">
      <c r="A859" s="382"/>
      <c r="B859" s="378"/>
      <c r="C859" s="106"/>
      <c r="D859" s="107"/>
      <c r="E859" s="108"/>
      <c r="F859" s="109"/>
      <c r="G859" s="103"/>
      <c r="H859" s="103"/>
      <c r="I859" s="102"/>
      <c r="J859" s="102"/>
      <c r="K859" s="78"/>
      <c r="L859" s="110"/>
      <c r="M859" s="105" t="str">
        <f t="shared" si="13"/>
        <v xml:space="preserve">   </v>
      </c>
    </row>
    <row r="860" spans="1:13" s="46" customFormat="1" hidden="1" x14ac:dyDescent="0.2">
      <c r="A860" s="382"/>
      <c r="B860" s="378"/>
      <c r="C860" s="106"/>
      <c r="D860" s="107"/>
      <c r="E860" s="108"/>
      <c r="F860" s="109"/>
      <c r="G860" s="103"/>
      <c r="H860" s="103"/>
      <c r="I860" s="102"/>
      <c r="J860" s="102"/>
      <c r="K860" s="78"/>
      <c r="L860" s="110"/>
      <c r="M860" s="105" t="str">
        <f t="shared" si="13"/>
        <v xml:space="preserve">   </v>
      </c>
    </row>
    <row r="861" spans="1:13" s="46" customFormat="1" hidden="1" x14ac:dyDescent="0.2">
      <c r="A861" s="382"/>
      <c r="B861" s="378"/>
      <c r="C861" s="113"/>
      <c r="D861" s="114"/>
      <c r="E861" s="115"/>
      <c r="F861" s="116"/>
      <c r="G861" s="103"/>
      <c r="H861" s="103"/>
      <c r="I861" s="102"/>
      <c r="J861" s="102"/>
      <c r="K861" s="78"/>
      <c r="L861" s="110"/>
      <c r="M861" s="105" t="str">
        <f t="shared" si="13"/>
        <v xml:space="preserve">   </v>
      </c>
    </row>
    <row r="862" spans="1:13" s="46" customFormat="1" ht="15" hidden="1" customHeight="1" x14ac:dyDescent="0.2">
      <c r="A862" s="382" t="s">
        <v>67</v>
      </c>
      <c r="B862" s="378" t="s">
        <v>89</v>
      </c>
      <c r="C862" s="102"/>
      <c r="D862" s="102"/>
      <c r="E862" s="102"/>
      <c r="F862" s="102"/>
      <c r="G862" s="103"/>
      <c r="H862" s="103"/>
      <c r="I862" s="102"/>
      <c r="J862" s="102"/>
      <c r="K862" s="78"/>
      <c r="L862" s="111" t="str">
        <f>CONCATENATE(C862," ",D862," ",E862," ",F862," ",C863," ",D863," ",E863," ",F863)</f>
        <v xml:space="preserve">       </v>
      </c>
      <c r="M862" s="105" t="str">
        <f t="shared" si="13"/>
        <v xml:space="preserve">   </v>
      </c>
    </row>
    <row r="863" spans="1:13" s="46" customFormat="1" hidden="1" x14ac:dyDescent="0.2">
      <c r="A863" s="382"/>
      <c r="B863" s="378"/>
      <c r="C863" s="112"/>
      <c r="D863" s="107"/>
      <c r="E863" s="108"/>
      <c r="F863" s="109"/>
      <c r="G863" s="103"/>
      <c r="H863" s="103"/>
      <c r="I863" s="102"/>
      <c r="J863" s="102"/>
      <c r="K863" s="78"/>
      <c r="L863" s="110"/>
      <c r="M863" s="105" t="str">
        <f t="shared" si="13"/>
        <v xml:space="preserve">   </v>
      </c>
    </row>
    <row r="864" spans="1:13" s="46" customFormat="1" hidden="1" x14ac:dyDescent="0.2">
      <c r="A864" s="382"/>
      <c r="B864" s="378"/>
      <c r="C864" s="106"/>
      <c r="D864" s="107"/>
      <c r="E864" s="108"/>
      <c r="F864" s="109"/>
      <c r="G864" s="103"/>
      <c r="H864" s="103"/>
      <c r="I864" s="102"/>
      <c r="J864" s="102"/>
      <c r="K864" s="78"/>
      <c r="L864" s="110"/>
      <c r="M864" s="105" t="str">
        <f t="shared" si="13"/>
        <v xml:space="preserve">   </v>
      </c>
    </row>
    <row r="865" spans="1:13" s="46" customFormat="1" hidden="1" x14ac:dyDescent="0.2">
      <c r="A865" s="382"/>
      <c r="B865" s="378"/>
      <c r="C865" s="106"/>
      <c r="D865" s="107"/>
      <c r="E865" s="108"/>
      <c r="F865" s="109"/>
      <c r="G865" s="103"/>
      <c r="H865" s="103"/>
      <c r="I865" s="102"/>
      <c r="J865" s="102"/>
      <c r="K865" s="78"/>
      <c r="L865" s="110"/>
      <c r="M865" s="105" t="str">
        <f t="shared" si="13"/>
        <v xml:space="preserve">   </v>
      </c>
    </row>
    <row r="866" spans="1:13" s="53" customFormat="1" hidden="1" x14ac:dyDescent="0.2">
      <c r="A866" s="382"/>
      <c r="B866" s="378"/>
      <c r="C866" s="106"/>
      <c r="D866" s="107"/>
      <c r="E866" s="108"/>
      <c r="F866" s="109"/>
      <c r="G866" s="103"/>
      <c r="H866" s="103"/>
      <c r="I866" s="102"/>
      <c r="J866" s="102"/>
      <c r="K866" s="78"/>
      <c r="L866" s="110"/>
      <c r="M866" s="105" t="str">
        <f t="shared" si="13"/>
        <v xml:space="preserve">   </v>
      </c>
    </row>
    <row r="867" spans="1:13" s="53" customFormat="1" hidden="1" x14ac:dyDescent="0.2">
      <c r="A867" s="382"/>
      <c r="B867" s="378"/>
      <c r="C867" s="106"/>
      <c r="D867" s="107"/>
      <c r="E867" s="108"/>
      <c r="F867" s="109"/>
      <c r="G867" s="103"/>
      <c r="H867" s="103"/>
      <c r="I867" s="102"/>
      <c r="J867" s="102"/>
      <c r="K867" s="78"/>
      <c r="L867" s="110"/>
      <c r="M867" s="105" t="str">
        <f t="shared" si="13"/>
        <v xml:space="preserve">   </v>
      </c>
    </row>
    <row r="868" spans="1:13" s="53" customFormat="1" hidden="1" x14ac:dyDescent="0.2">
      <c r="A868" s="382"/>
      <c r="B868" s="378"/>
      <c r="C868" s="106"/>
      <c r="D868" s="107"/>
      <c r="E868" s="108"/>
      <c r="F868" s="109"/>
      <c r="G868" s="103"/>
      <c r="H868" s="103"/>
      <c r="I868" s="102"/>
      <c r="J868" s="102"/>
      <c r="K868" s="78"/>
      <c r="L868" s="110"/>
      <c r="M868" s="105" t="str">
        <f t="shared" si="13"/>
        <v xml:space="preserve">   </v>
      </c>
    </row>
    <row r="869" spans="1:13" s="53" customFormat="1" hidden="1" x14ac:dyDescent="0.2">
      <c r="A869" s="382"/>
      <c r="B869" s="378"/>
      <c r="C869" s="106"/>
      <c r="D869" s="107"/>
      <c r="E869" s="108"/>
      <c r="F869" s="109"/>
      <c r="G869" s="103"/>
      <c r="H869" s="103"/>
      <c r="I869" s="102"/>
      <c r="J869" s="102"/>
      <c r="K869" s="78"/>
      <c r="L869" s="110"/>
      <c r="M869" s="105" t="str">
        <f t="shared" si="13"/>
        <v xml:space="preserve">   </v>
      </c>
    </row>
    <row r="870" spans="1:13" s="46" customFormat="1" hidden="1" x14ac:dyDescent="0.2">
      <c r="A870" s="382"/>
      <c r="B870" s="378"/>
      <c r="C870" s="106"/>
      <c r="D870" s="107"/>
      <c r="E870" s="108"/>
      <c r="F870" s="109"/>
      <c r="G870" s="103"/>
      <c r="H870" s="103"/>
      <c r="I870" s="102"/>
      <c r="J870" s="102"/>
      <c r="K870" s="78"/>
      <c r="L870" s="110"/>
      <c r="M870" s="105" t="str">
        <f t="shared" si="13"/>
        <v xml:space="preserve">   </v>
      </c>
    </row>
    <row r="871" spans="1:13" s="46" customFormat="1" hidden="1" x14ac:dyDescent="0.2">
      <c r="A871" s="382"/>
      <c r="B871" s="378"/>
      <c r="C871" s="113"/>
      <c r="D871" s="114"/>
      <c r="E871" s="115"/>
      <c r="F871" s="116"/>
      <c r="G871" s="103"/>
      <c r="H871" s="103"/>
      <c r="I871" s="102"/>
      <c r="J871" s="102"/>
      <c r="K871" s="78"/>
      <c r="L871" s="117"/>
      <c r="M871" s="105" t="str">
        <f t="shared" si="13"/>
        <v xml:space="preserve">   </v>
      </c>
    </row>
    <row r="872" spans="1:13" s="46" customFormat="1" ht="15" hidden="1" customHeight="1" x14ac:dyDescent="0.2">
      <c r="A872" s="382" t="s">
        <v>67</v>
      </c>
      <c r="B872" s="378" t="s">
        <v>89</v>
      </c>
      <c r="C872" s="102"/>
      <c r="D872" s="102"/>
      <c r="E872" s="102"/>
      <c r="F872" s="102"/>
      <c r="G872" s="103"/>
      <c r="H872" s="103"/>
      <c r="I872" s="102"/>
      <c r="J872" s="102"/>
      <c r="K872" s="78"/>
      <c r="L872" s="111" t="str">
        <f>CONCATENATE(C872," ",D872," ",E872," ",F872," ",C873," ",D873," ",E873," ",F873)</f>
        <v xml:space="preserve">       </v>
      </c>
      <c r="M872" s="105" t="str">
        <f t="shared" si="13"/>
        <v xml:space="preserve">   </v>
      </c>
    </row>
    <row r="873" spans="1:13" s="46" customFormat="1" hidden="1" x14ac:dyDescent="0.2">
      <c r="A873" s="382"/>
      <c r="B873" s="378"/>
      <c r="C873" s="112"/>
      <c r="D873" s="107"/>
      <c r="E873" s="108"/>
      <c r="F873" s="109"/>
      <c r="G873" s="103"/>
      <c r="H873" s="103"/>
      <c r="I873" s="102"/>
      <c r="J873" s="102"/>
      <c r="K873" s="78"/>
      <c r="L873" s="110"/>
      <c r="M873" s="105" t="str">
        <f t="shared" si="13"/>
        <v xml:space="preserve">   </v>
      </c>
    </row>
    <row r="874" spans="1:13" s="46" customFormat="1" hidden="1" x14ac:dyDescent="0.2">
      <c r="A874" s="382"/>
      <c r="B874" s="378"/>
      <c r="C874" s="106"/>
      <c r="D874" s="107"/>
      <c r="E874" s="108"/>
      <c r="F874" s="109"/>
      <c r="G874" s="103"/>
      <c r="H874" s="103"/>
      <c r="I874" s="102"/>
      <c r="J874" s="102"/>
      <c r="K874" s="78"/>
      <c r="L874" s="110"/>
      <c r="M874" s="105" t="str">
        <f t="shared" si="13"/>
        <v xml:space="preserve">   </v>
      </c>
    </row>
    <row r="875" spans="1:13" s="46" customFormat="1" hidden="1" x14ac:dyDescent="0.2">
      <c r="A875" s="382"/>
      <c r="B875" s="378"/>
      <c r="C875" s="106"/>
      <c r="D875" s="107"/>
      <c r="E875" s="108"/>
      <c r="F875" s="109"/>
      <c r="G875" s="103"/>
      <c r="H875" s="103"/>
      <c r="I875" s="102"/>
      <c r="J875" s="102"/>
      <c r="K875" s="78"/>
      <c r="L875" s="110"/>
      <c r="M875" s="105" t="str">
        <f t="shared" si="13"/>
        <v xml:space="preserve">   </v>
      </c>
    </row>
    <row r="876" spans="1:13" s="53" customFormat="1" hidden="1" x14ac:dyDescent="0.2">
      <c r="A876" s="382"/>
      <c r="B876" s="378"/>
      <c r="C876" s="106"/>
      <c r="D876" s="107"/>
      <c r="E876" s="108"/>
      <c r="F876" s="109"/>
      <c r="G876" s="103"/>
      <c r="H876" s="103"/>
      <c r="I876" s="102"/>
      <c r="J876" s="102"/>
      <c r="K876" s="78"/>
      <c r="L876" s="110"/>
      <c r="M876" s="105" t="str">
        <f t="shared" si="13"/>
        <v xml:space="preserve">   </v>
      </c>
    </row>
    <row r="877" spans="1:13" s="53" customFormat="1" hidden="1" x14ac:dyDescent="0.2">
      <c r="A877" s="382"/>
      <c r="B877" s="378"/>
      <c r="C877" s="106"/>
      <c r="D877" s="107"/>
      <c r="E877" s="108"/>
      <c r="F877" s="109"/>
      <c r="G877" s="103"/>
      <c r="H877" s="103"/>
      <c r="I877" s="102"/>
      <c r="J877" s="102"/>
      <c r="K877" s="78"/>
      <c r="L877" s="110"/>
      <c r="M877" s="105" t="str">
        <f t="shared" si="13"/>
        <v xml:space="preserve">   </v>
      </c>
    </row>
    <row r="878" spans="1:13" s="53" customFormat="1" hidden="1" x14ac:dyDescent="0.2">
      <c r="A878" s="382"/>
      <c r="B878" s="378"/>
      <c r="C878" s="106"/>
      <c r="D878" s="107"/>
      <c r="E878" s="108"/>
      <c r="F878" s="109"/>
      <c r="G878" s="103"/>
      <c r="H878" s="103"/>
      <c r="I878" s="102"/>
      <c r="J878" s="102"/>
      <c r="K878" s="78"/>
      <c r="L878" s="110"/>
      <c r="M878" s="105" t="str">
        <f t="shared" si="13"/>
        <v xml:space="preserve">   </v>
      </c>
    </row>
    <row r="879" spans="1:13" s="53" customFormat="1" hidden="1" x14ac:dyDescent="0.2">
      <c r="A879" s="382"/>
      <c r="B879" s="378"/>
      <c r="C879" s="106"/>
      <c r="D879" s="107"/>
      <c r="E879" s="108"/>
      <c r="F879" s="109"/>
      <c r="G879" s="103"/>
      <c r="H879" s="103"/>
      <c r="I879" s="102"/>
      <c r="J879" s="102"/>
      <c r="K879" s="78"/>
      <c r="L879" s="110"/>
      <c r="M879" s="105" t="str">
        <f t="shared" si="13"/>
        <v xml:space="preserve">   </v>
      </c>
    </row>
    <row r="880" spans="1:13" s="46" customFormat="1" hidden="1" x14ac:dyDescent="0.2">
      <c r="A880" s="382"/>
      <c r="B880" s="378"/>
      <c r="C880" s="106"/>
      <c r="D880" s="107"/>
      <c r="E880" s="108"/>
      <c r="F880" s="109"/>
      <c r="G880" s="103"/>
      <c r="H880" s="103"/>
      <c r="I880" s="102"/>
      <c r="J880" s="102"/>
      <c r="K880" s="78"/>
      <c r="L880" s="110"/>
      <c r="M880" s="105" t="str">
        <f t="shared" si="13"/>
        <v xml:space="preserve">   </v>
      </c>
    </row>
    <row r="881" spans="1:13" s="46" customFormat="1" hidden="1" x14ac:dyDescent="0.2">
      <c r="A881" s="382"/>
      <c r="B881" s="378"/>
      <c r="C881" s="113"/>
      <c r="D881" s="114"/>
      <c r="E881" s="115"/>
      <c r="F881" s="116"/>
      <c r="G881" s="103"/>
      <c r="H881" s="103"/>
      <c r="I881" s="102"/>
      <c r="J881" s="102"/>
      <c r="K881" s="78"/>
      <c r="L881" s="110"/>
      <c r="M881" s="105" t="str">
        <f t="shared" si="13"/>
        <v xml:space="preserve">   </v>
      </c>
    </row>
    <row r="882" spans="1:13" s="46" customFormat="1" ht="15" hidden="1" customHeight="1" x14ac:dyDescent="0.2">
      <c r="A882" s="382" t="s">
        <v>67</v>
      </c>
      <c r="B882" s="378" t="s">
        <v>89</v>
      </c>
      <c r="C882" s="102"/>
      <c r="D882" s="102"/>
      <c r="E882" s="102"/>
      <c r="F882" s="102"/>
      <c r="G882" s="103"/>
      <c r="H882" s="103"/>
      <c r="I882" s="102"/>
      <c r="J882" s="102"/>
      <c r="K882" s="78"/>
      <c r="L882" s="111" t="str">
        <f>CONCATENATE(C882," ",D882," ",E882," ",F882," ",C883," ",D883," ",E883," ",F883)</f>
        <v xml:space="preserve">       </v>
      </c>
      <c r="M882" s="105" t="str">
        <f t="shared" si="13"/>
        <v xml:space="preserve">   </v>
      </c>
    </row>
    <row r="883" spans="1:13" s="46" customFormat="1" hidden="1" x14ac:dyDescent="0.2">
      <c r="A883" s="382"/>
      <c r="B883" s="378"/>
      <c r="C883" s="112"/>
      <c r="D883" s="107"/>
      <c r="E883" s="108"/>
      <c r="F883" s="109"/>
      <c r="G883" s="103"/>
      <c r="H883" s="103"/>
      <c r="I883" s="102"/>
      <c r="J883" s="102"/>
      <c r="K883" s="78"/>
      <c r="L883" s="110"/>
      <c r="M883" s="105" t="str">
        <f t="shared" si="13"/>
        <v xml:space="preserve">   </v>
      </c>
    </row>
    <row r="884" spans="1:13" s="46" customFormat="1" hidden="1" x14ac:dyDescent="0.2">
      <c r="A884" s="382"/>
      <c r="B884" s="378"/>
      <c r="C884" s="106"/>
      <c r="D884" s="107"/>
      <c r="E884" s="108"/>
      <c r="F884" s="109"/>
      <c r="G884" s="103"/>
      <c r="H884" s="103"/>
      <c r="I884" s="102"/>
      <c r="J884" s="102"/>
      <c r="K884" s="78"/>
      <c r="L884" s="110"/>
      <c r="M884" s="105" t="str">
        <f t="shared" si="13"/>
        <v xml:space="preserve">   </v>
      </c>
    </row>
    <row r="885" spans="1:13" s="46" customFormat="1" hidden="1" x14ac:dyDescent="0.2">
      <c r="A885" s="382"/>
      <c r="B885" s="378"/>
      <c r="C885" s="106"/>
      <c r="D885" s="107"/>
      <c r="E885" s="108"/>
      <c r="F885" s="109"/>
      <c r="G885" s="103"/>
      <c r="H885" s="103"/>
      <c r="I885" s="102"/>
      <c r="J885" s="102"/>
      <c r="K885" s="78"/>
      <c r="L885" s="110"/>
      <c r="M885" s="105" t="str">
        <f t="shared" si="13"/>
        <v xml:space="preserve">   </v>
      </c>
    </row>
    <row r="886" spans="1:13" s="53" customFormat="1" hidden="1" x14ac:dyDescent="0.2">
      <c r="A886" s="382"/>
      <c r="B886" s="378"/>
      <c r="C886" s="106"/>
      <c r="D886" s="107"/>
      <c r="E886" s="108"/>
      <c r="F886" s="109"/>
      <c r="G886" s="103"/>
      <c r="H886" s="103"/>
      <c r="I886" s="102"/>
      <c r="J886" s="102"/>
      <c r="K886" s="78"/>
      <c r="L886" s="110"/>
      <c r="M886" s="105" t="str">
        <f t="shared" si="13"/>
        <v xml:space="preserve">   </v>
      </c>
    </row>
    <row r="887" spans="1:13" s="53" customFormat="1" hidden="1" x14ac:dyDescent="0.2">
      <c r="A887" s="382"/>
      <c r="B887" s="378"/>
      <c r="C887" s="106"/>
      <c r="D887" s="107"/>
      <c r="E887" s="108"/>
      <c r="F887" s="109"/>
      <c r="G887" s="103"/>
      <c r="H887" s="103"/>
      <c r="I887" s="102"/>
      <c r="J887" s="102"/>
      <c r="K887" s="78"/>
      <c r="L887" s="110"/>
      <c r="M887" s="105" t="str">
        <f t="shared" si="13"/>
        <v xml:space="preserve">   </v>
      </c>
    </row>
    <row r="888" spans="1:13" s="53" customFormat="1" hidden="1" x14ac:dyDescent="0.2">
      <c r="A888" s="382"/>
      <c r="B888" s="378"/>
      <c r="C888" s="106"/>
      <c r="D888" s="107"/>
      <c r="E888" s="108"/>
      <c r="F888" s="109"/>
      <c r="G888" s="103"/>
      <c r="H888" s="103"/>
      <c r="I888" s="102"/>
      <c r="J888" s="102"/>
      <c r="K888" s="78"/>
      <c r="L888" s="110"/>
      <c r="M888" s="105" t="str">
        <f t="shared" si="13"/>
        <v xml:space="preserve">   </v>
      </c>
    </row>
    <row r="889" spans="1:13" s="53" customFormat="1" hidden="1" x14ac:dyDescent="0.2">
      <c r="A889" s="382"/>
      <c r="B889" s="378"/>
      <c r="C889" s="106"/>
      <c r="D889" s="107"/>
      <c r="E889" s="108"/>
      <c r="F889" s="109"/>
      <c r="G889" s="103"/>
      <c r="H889" s="103"/>
      <c r="I889" s="102"/>
      <c r="J889" s="102"/>
      <c r="K889" s="78"/>
      <c r="L889" s="110"/>
      <c r="M889" s="105" t="str">
        <f t="shared" si="13"/>
        <v xml:space="preserve">   </v>
      </c>
    </row>
    <row r="890" spans="1:13" s="46" customFormat="1" hidden="1" x14ac:dyDescent="0.2">
      <c r="A890" s="382"/>
      <c r="B890" s="378"/>
      <c r="C890" s="106"/>
      <c r="D890" s="107"/>
      <c r="E890" s="108"/>
      <c r="F890" s="109"/>
      <c r="G890" s="103"/>
      <c r="H890" s="103"/>
      <c r="I890" s="102"/>
      <c r="J890" s="102"/>
      <c r="K890" s="78"/>
      <c r="L890" s="110"/>
      <c r="M890" s="105" t="str">
        <f t="shared" si="13"/>
        <v xml:space="preserve">   </v>
      </c>
    </row>
    <row r="891" spans="1:13" s="46" customFormat="1" hidden="1" x14ac:dyDescent="0.2">
      <c r="A891" s="382"/>
      <c r="B891" s="378"/>
      <c r="C891" s="113"/>
      <c r="D891" s="114"/>
      <c r="E891" s="115"/>
      <c r="F891" s="116"/>
      <c r="G891" s="103"/>
      <c r="H891" s="103"/>
      <c r="I891" s="102"/>
      <c r="J891" s="102"/>
      <c r="K891" s="78"/>
      <c r="L891" s="117"/>
      <c r="M891" s="105" t="str">
        <f t="shared" si="13"/>
        <v xml:space="preserve">   </v>
      </c>
    </row>
    <row r="892" spans="1:13" s="46" customFormat="1" ht="15" hidden="1" customHeight="1" x14ac:dyDescent="0.2">
      <c r="A892" s="382" t="s">
        <v>67</v>
      </c>
      <c r="B892" s="378" t="s">
        <v>89</v>
      </c>
      <c r="C892" s="102"/>
      <c r="D892" s="102"/>
      <c r="E892" s="102"/>
      <c r="F892" s="102"/>
      <c r="G892" s="103"/>
      <c r="H892" s="103"/>
      <c r="I892" s="102"/>
      <c r="J892" s="102"/>
      <c r="K892" s="78"/>
      <c r="L892" s="111" t="str">
        <f>CONCATENATE(C892," ",D892," ",E892," ",F892," ",C893," ",D893," ",E893," ",F893)</f>
        <v xml:space="preserve">       </v>
      </c>
      <c r="M892" s="105" t="str">
        <f t="shared" si="13"/>
        <v xml:space="preserve">   </v>
      </c>
    </row>
    <row r="893" spans="1:13" s="46" customFormat="1" hidden="1" x14ac:dyDescent="0.2">
      <c r="A893" s="382"/>
      <c r="B893" s="378"/>
      <c r="C893" s="112"/>
      <c r="D893" s="107"/>
      <c r="E893" s="108"/>
      <c r="F893" s="109"/>
      <c r="G893" s="103"/>
      <c r="H893" s="103"/>
      <c r="I893" s="102"/>
      <c r="J893" s="102"/>
      <c r="K893" s="78"/>
      <c r="L893" s="110"/>
      <c r="M893" s="105" t="str">
        <f t="shared" si="13"/>
        <v xml:space="preserve">   </v>
      </c>
    </row>
    <row r="894" spans="1:13" s="46" customFormat="1" hidden="1" x14ac:dyDescent="0.2">
      <c r="A894" s="382"/>
      <c r="B894" s="378"/>
      <c r="C894" s="106"/>
      <c r="D894" s="107"/>
      <c r="E894" s="108"/>
      <c r="F894" s="109"/>
      <c r="G894" s="103"/>
      <c r="H894" s="103"/>
      <c r="I894" s="102"/>
      <c r="J894" s="102"/>
      <c r="K894" s="78"/>
      <c r="L894" s="110"/>
      <c r="M894" s="105" t="str">
        <f t="shared" si="13"/>
        <v xml:space="preserve">   </v>
      </c>
    </row>
    <row r="895" spans="1:13" s="46" customFormat="1" hidden="1" x14ac:dyDescent="0.2">
      <c r="A895" s="382"/>
      <c r="B895" s="378"/>
      <c r="C895" s="106"/>
      <c r="D895" s="107"/>
      <c r="E895" s="108"/>
      <c r="F895" s="109"/>
      <c r="G895" s="103"/>
      <c r="H895" s="103"/>
      <c r="I895" s="102"/>
      <c r="J895" s="102"/>
      <c r="K895" s="78"/>
      <c r="L895" s="110"/>
      <c r="M895" s="105" t="str">
        <f t="shared" si="13"/>
        <v xml:space="preserve">   </v>
      </c>
    </row>
    <row r="896" spans="1:13" s="53" customFormat="1" hidden="1" x14ac:dyDescent="0.2">
      <c r="A896" s="382"/>
      <c r="B896" s="378"/>
      <c r="C896" s="106"/>
      <c r="D896" s="107"/>
      <c r="E896" s="108"/>
      <c r="F896" s="109"/>
      <c r="G896" s="103"/>
      <c r="H896" s="103"/>
      <c r="I896" s="102"/>
      <c r="J896" s="102"/>
      <c r="K896" s="78"/>
      <c r="L896" s="110"/>
      <c r="M896" s="105" t="str">
        <f t="shared" si="13"/>
        <v xml:space="preserve">   </v>
      </c>
    </row>
    <row r="897" spans="1:13" s="53" customFormat="1" hidden="1" x14ac:dyDescent="0.2">
      <c r="A897" s="382"/>
      <c r="B897" s="378"/>
      <c r="C897" s="106"/>
      <c r="D897" s="107"/>
      <c r="E897" s="108"/>
      <c r="F897" s="109"/>
      <c r="G897" s="103"/>
      <c r="H897" s="103"/>
      <c r="I897" s="102"/>
      <c r="J897" s="102"/>
      <c r="K897" s="78"/>
      <c r="L897" s="110"/>
      <c r="M897" s="105" t="str">
        <f t="shared" si="13"/>
        <v xml:space="preserve">   </v>
      </c>
    </row>
    <row r="898" spans="1:13" s="53" customFormat="1" hidden="1" x14ac:dyDescent="0.2">
      <c r="A898" s="382"/>
      <c r="B898" s="378"/>
      <c r="C898" s="106"/>
      <c r="D898" s="107"/>
      <c r="E898" s="108"/>
      <c r="F898" s="109"/>
      <c r="G898" s="103"/>
      <c r="H898" s="103"/>
      <c r="I898" s="102"/>
      <c r="J898" s="102"/>
      <c r="K898" s="78"/>
      <c r="L898" s="110"/>
      <c r="M898" s="105" t="str">
        <f t="shared" si="13"/>
        <v xml:space="preserve">   </v>
      </c>
    </row>
    <row r="899" spans="1:13" s="53" customFormat="1" hidden="1" x14ac:dyDescent="0.2">
      <c r="A899" s="382"/>
      <c r="B899" s="378"/>
      <c r="C899" s="106"/>
      <c r="D899" s="107"/>
      <c r="E899" s="108"/>
      <c r="F899" s="109"/>
      <c r="G899" s="103"/>
      <c r="H899" s="103"/>
      <c r="I899" s="102"/>
      <c r="J899" s="102"/>
      <c r="K899" s="78"/>
      <c r="L899" s="110"/>
      <c r="M899" s="105" t="str">
        <f t="shared" si="13"/>
        <v xml:space="preserve">   </v>
      </c>
    </row>
    <row r="900" spans="1:13" s="46" customFormat="1" hidden="1" x14ac:dyDescent="0.2">
      <c r="A900" s="382"/>
      <c r="B900" s="378"/>
      <c r="C900" s="106"/>
      <c r="D900" s="107"/>
      <c r="E900" s="108"/>
      <c r="F900" s="109"/>
      <c r="G900" s="103"/>
      <c r="H900" s="103"/>
      <c r="I900" s="102"/>
      <c r="J900" s="102"/>
      <c r="K900" s="78"/>
      <c r="L900" s="110"/>
      <c r="M900" s="105" t="str">
        <f t="shared" si="13"/>
        <v xml:space="preserve">   </v>
      </c>
    </row>
    <row r="901" spans="1:13" s="46" customFormat="1" hidden="1" x14ac:dyDescent="0.2">
      <c r="A901" s="382"/>
      <c r="B901" s="378"/>
      <c r="C901" s="113"/>
      <c r="D901" s="114"/>
      <c r="E901" s="115"/>
      <c r="F901" s="116"/>
      <c r="G901" s="103"/>
      <c r="H901" s="103"/>
      <c r="I901" s="102"/>
      <c r="J901" s="102"/>
      <c r="K901" s="78"/>
      <c r="L901" s="110"/>
      <c r="M901" s="105" t="str">
        <f t="shared" si="13"/>
        <v xml:space="preserve">   </v>
      </c>
    </row>
    <row r="902" spans="1:13" s="46" customFormat="1" ht="15" hidden="1" customHeight="1" x14ac:dyDescent="0.2">
      <c r="A902" s="382" t="s">
        <v>67</v>
      </c>
      <c r="B902" s="378" t="s">
        <v>89</v>
      </c>
      <c r="C902" s="102"/>
      <c r="D902" s="102"/>
      <c r="E902" s="102"/>
      <c r="F902" s="102"/>
      <c r="G902" s="103"/>
      <c r="H902" s="103"/>
      <c r="I902" s="102"/>
      <c r="J902" s="102"/>
      <c r="K902" s="78"/>
      <c r="L902" s="111" t="str">
        <f>CONCATENATE(C902," ",D902," ",E902," ",F902," ",C903," ",D903," ",E903," ",F903)</f>
        <v xml:space="preserve">       </v>
      </c>
      <c r="M902" s="105" t="str">
        <f t="shared" si="13"/>
        <v xml:space="preserve">   </v>
      </c>
    </row>
    <row r="903" spans="1:13" s="46" customFormat="1" hidden="1" x14ac:dyDescent="0.2">
      <c r="A903" s="382"/>
      <c r="B903" s="378"/>
      <c r="C903" s="112"/>
      <c r="D903" s="107"/>
      <c r="E903" s="108"/>
      <c r="F903" s="109"/>
      <c r="G903" s="103"/>
      <c r="H903" s="103"/>
      <c r="I903" s="102"/>
      <c r="J903" s="102"/>
      <c r="K903" s="78"/>
      <c r="L903" s="110"/>
      <c r="M903" s="105" t="str">
        <f t="shared" si="13"/>
        <v xml:space="preserve">   </v>
      </c>
    </row>
    <row r="904" spans="1:13" s="46" customFormat="1" hidden="1" x14ac:dyDescent="0.2">
      <c r="A904" s="382"/>
      <c r="B904" s="378"/>
      <c r="C904" s="106"/>
      <c r="D904" s="107"/>
      <c r="E904" s="108"/>
      <c r="F904" s="109"/>
      <c r="G904" s="103"/>
      <c r="H904" s="103"/>
      <c r="I904" s="102"/>
      <c r="J904" s="102"/>
      <c r="K904" s="78"/>
      <c r="L904" s="110"/>
      <c r="M904" s="105" t="str">
        <f t="shared" si="13"/>
        <v xml:space="preserve">   </v>
      </c>
    </row>
    <row r="905" spans="1:13" s="46" customFormat="1" hidden="1" x14ac:dyDescent="0.2">
      <c r="A905" s="382"/>
      <c r="B905" s="378"/>
      <c r="C905" s="106"/>
      <c r="D905" s="107"/>
      <c r="E905" s="108"/>
      <c r="F905" s="109"/>
      <c r="G905" s="103"/>
      <c r="H905" s="103"/>
      <c r="I905" s="102"/>
      <c r="J905" s="102"/>
      <c r="K905" s="78"/>
      <c r="L905" s="110"/>
      <c r="M905" s="105" t="str">
        <f t="shared" si="13"/>
        <v xml:space="preserve">   </v>
      </c>
    </row>
    <row r="906" spans="1:13" s="53" customFormat="1" hidden="1" x14ac:dyDescent="0.2">
      <c r="A906" s="382"/>
      <c r="B906" s="378"/>
      <c r="C906" s="106"/>
      <c r="D906" s="107"/>
      <c r="E906" s="108"/>
      <c r="F906" s="109"/>
      <c r="G906" s="103"/>
      <c r="H906" s="103"/>
      <c r="I906" s="102"/>
      <c r="J906" s="102"/>
      <c r="K906" s="78"/>
      <c r="L906" s="110"/>
      <c r="M906" s="105" t="str">
        <f t="shared" si="13"/>
        <v xml:space="preserve">   </v>
      </c>
    </row>
    <row r="907" spans="1:13" s="53" customFormat="1" hidden="1" x14ac:dyDescent="0.2">
      <c r="A907" s="382"/>
      <c r="B907" s="378"/>
      <c r="C907" s="106"/>
      <c r="D907" s="107"/>
      <c r="E907" s="108"/>
      <c r="F907" s="109"/>
      <c r="G907" s="103"/>
      <c r="H907" s="103"/>
      <c r="I907" s="102"/>
      <c r="J907" s="102"/>
      <c r="K907" s="78"/>
      <c r="L907" s="110"/>
      <c r="M907" s="105" t="str">
        <f t="shared" ref="M907:M970" si="14">CONCATENATE(G907," ",H907," ",I907," ",J907)</f>
        <v xml:space="preserve">   </v>
      </c>
    </row>
    <row r="908" spans="1:13" s="53" customFormat="1" hidden="1" x14ac:dyDescent="0.2">
      <c r="A908" s="382"/>
      <c r="B908" s="378"/>
      <c r="C908" s="106"/>
      <c r="D908" s="107"/>
      <c r="E908" s="108"/>
      <c r="F908" s="109"/>
      <c r="G908" s="103"/>
      <c r="H908" s="103"/>
      <c r="I908" s="102"/>
      <c r="J908" s="102"/>
      <c r="K908" s="78"/>
      <c r="L908" s="110"/>
      <c r="M908" s="105" t="str">
        <f t="shared" si="14"/>
        <v xml:space="preserve">   </v>
      </c>
    </row>
    <row r="909" spans="1:13" s="53" customFormat="1" hidden="1" x14ac:dyDescent="0.2">
      <c r="A909" s="382"/>
      <c r="B909" s="378"/>
      <c r="C909" s="106"/>
      <c r="D909" s="107"/>
      <c r="E909" s="108"/>
      <c r="F909" s="109"/>
      <c r="G909" s="103"/>
      <c r="H909" s="103"/>
      <c r="I909" s="102"/>
      <c r="J909" s="102"/>
      <c r="K909" s="78"/>
      <c r="L909" s="110"/>
      <c r="M909" s="105" t="str">
        <f t="shared" si="14"/>
        <v xml:space="preserve">   </v>
      </c>
    </row>
    <row r="910" spans="1:13" s="46" customFormat="1" hidden="1" x14ac:dyDescent="0.2">
      <c r="A910" s="382"/>
      <c r="B910" s="378"/>
      <c r="C910" s="106"/>
      <c r="D910" s="107"/>
      <c r="E910" s="108"/>
      <c r="F910" s="109"/>
      <c r="G910" s="103"/>
      <c r="H910" s="103"/>
      <c r="I910" s="102"/>
      <c r="J910" s="102"/>
      <c r="K910" s="78"/>
      <c r="L910" s="110"/>
      <c r="M910" s="105" t="str">
        <f t="shared" si="14"/>
        <v xml:space="preserve">   </v>
      </c>
    </row>
    <row r="911" spans="1:13" s="46" customFormat="1" hidden="1" x14ac:dyDescent="0.2">
      <c r="A911" s="382"/>
      <c r="B911" s="378"/>
      <c r="C911" s="113"/>
      <c r="D911" s="114"/>
      <c r="E911" s="115"/>
      <c r="F911" s="116"/>
      <c r="G911" s="103"/>
      <c r="H911" s="103"/>
      <c r="I911" s="102"/>
      <c r="J911" s="102"/>
      <c r="K911" s="78"/>
      <c r="L911" s="117"/>
      <c r="M911" s="105" t="str">
        <f t="shared" si="14"/>
        <v xml:space="preserve">   </v>
      </c>
    </row>
    <row r="912" spans="1:13" hidden="1" x14ac:dyDescent="0.2">
      <c r="A912" s="54"/>
      <c r="B912" s="54"/>
      <c r="C912" s="118"/>
      <c r="D912" s="193"/>
      <c r="E912" s="193"/>
      <c r="F912" s="193"/>
      <c r="G912" s="194"/>
      <c r="H912" s="193"/>
      <c r="I912" s="193"/>
      <c r="J912" s="193"/>
      <c r="K912" s="54"/>
      <c r="L912" s="119"/>
      <c r="M912" s="105" t="str">
        <f t="shared" si="14"/>
        <v xml:space="preserve">   </v>
      </c>
    </row>
    <row r="913" spans="1:13" s="53" customFormat="1" ht="32.25" hidden="1" customHeight="1" x14ac:dyDescent="0.2">
      <c r="A913" s="381" t="s">
        <v>68</v>
      </c>
      <c r="B913" s="379" t="s">
        <v>88</v>
      </c>
      <c r="C913" s="102"/>
      <c r="D913" s="181"/>
      <c r="E913" s="178"/>
      <c r="F913" s="178"/>
      <c r="G913" s="182"/>
      <c r="H913" s="182"/>
      <c r="I913" s="178"/>
      <c r="J913" s="178"/>
      <c r="K913" s="78"/>
      <c r="L913" s="104" t="str">
        <f>CONCATENATE(C913," ",D913," ",E913," ",F913," ",C914," ",D914," ",E914," ",F914)</f>
        <v xml:space="preserve">       </v>
      </c>
      <c r="M913" s="105" t="str">
        <f t="shared" si="14"/>
        <v xml:space="preserve">   </v>
      </c>
    </row>
    <row r="914" spans="1:13" s="53" customFormat="1" hidden="1" x14ac:dyDescent="0.2">
      <c r="A914" s="381"/>
      <c r="B914" s="379"/>
      <c r="C914" s="102"/>
      <c r="D914" s="181"/>
      <c r="E914" s="178"/>
      <c r="F914" s="178"/>
      <c r="G914" s="182"/>
      <c r="H914" s="182"/>
      <c r="I914" s="178"/>
      <c r="J914" s="178"/>
      <c r="K914" s="78"/>
      <c r="L914" s="110"/>
      <c r="M914" s="105" t="str">
        <f t="shared" si="14"/>
        <v xml:space="preserve">   </v>
      </c>
    </row>
    <row r="915" spans="1:13" s="53" customFormat="1" ht="29.25" hidden="1" customHeight="1" x14ac:dyDescent="0.2">
      <c r="A915" s="381"/>
      <c r="B915" s="379"/>
      <c r="C915" s="106"/>
      <c r="D915" s="183"/>
      <c r="E915" s="184"/>
      <c r="F915" s="185"/>
      <c r="G915" s="182"/>
      <c r="H915" s="182"/>
      <c r="I915" s="181"/>
      <c r="J915" s="181"/>
      <c r="K915" s="78"/>
      <c r="L915" s="110"/>
      <c r="M915" s="105" t="str">
        <f t="shared" si="14"/>
        <v xml:space="preserve">   </v>
      </c>
    </row>
    <row r="916" spans="1:13" s="53" customFormat="1" hidden="1" x14ac:dyDescent="0.2">
      <c r="A916" s="381"/>
      <c r="B916" s="379"/>
      <c r="C916" s="106"/>
      <c r="D916" s="183"/>
      <c r="E916" s="184"/>
      <c r="F916" s="185"/>
      <c r="G916" s="182"/>
      <c r="H916" s="182"/>
      <c r="I916" s="178"/>
      <c r="J916" s="178"/>
      <c r="K916" s="78"/>
      <c r="L916" s="110"/>
      <c r="M916" s="105" t="str">
        <f t="shared" si="14"/>
        <v xml:space="preserve">   </v>
      </c>
    </row>
    <row r="917" spans="1:13" s="53" customFormat="1" hidden="1" x14ac:dyDescent="0.2">
      <c r="A917" s="381"/>
      <c r="B917" s="379"/>
      <c r="C917" s="106"/>
      <c r="D917" s="107"/>
      <c r="E917" s="108"/>
      <c r="F917" s="109"/>
      <c r="G917" s="103"/>
      <c r="H917" s="103"/>
      <c r="I917" s="102"/>
      <c r="J917" s="102"/>
      <c r="K917" s="78"/>
      <c r="L917" s="110"/>
      <c r="M917" s="105" t="str">
        <f t="shared" si="14"/>
        <v xml:space="preserve">   </v>
      </c>
    </row>
    <row r="918" spans="1:13" s="53" customFormat="1" hidden="1" x14ac:dyDescent="0.2">
      <c r="A918" s="381"/>
      <c r="B918" s="379"/>
      <c r="C918" s="106"/>
      <c r="D918" s="107"/>
      <c r="E918" s="108"/>
      <c r="F918" s="109"/>
      <c r="G918" s="103"/>
      <c r="H918" s="103"/>
      <c r="I918" s="102"/>
      <c r="J918" s="102"/>
      <c r="K918" s="78"/>
      <c r="L918" s="110"/>
      <c r="M918" s="105" t="str">
        <f t="shared" si="14"/>
        <v xml:space="preserve">   </v>
      </c>
    </row>
    <row r="919" spans="1:13" s="53" customFormat="1" hidden="1" x14ac:dyDescent="0.2">
      <c r="A919" s="381"/>
      <c r="B919" s="379"/>
      <c r="C919" s="106"/>
      <c r="D919" s="107"/>
      <c r="E919" s="108"/>
      <c r="F919" s="109"/>
      <c r="G919" s="103"/>
      <c r="H919" s="103"/>
      <c r="I919" s="102"/>
      <c r="J919" s="102"/>
      <c r="K919" s="78"/>
      <c r="L919" s="110"/>
      <c r="M919" s="105" t="str">
        <f t="shared" si="14"/>
        <v xml:space="preserve">   </v>
      </c>
    </row>
    <row r="920" spans="1:13" s="53" customFormat="1" hidden="1" x14ac:dyDescent="0.2">
      <c r="A920" s="381"/>
      <c r="B920" s="379"/>
      <c r="C920" s="106"/>
      <c r="D920" s="107"/>
      <c r="E920" s="108"/>
      <c r="F920" s="109"/>
      <c r="G920" s="103"/>
      <c r="H920" s="103"/>
      <c r="I920" s="102"/>
      <c r="J920" s="102"/>
      <c r="K920" s="78"/>
      <c r="L920" s="110"/>
      <c r="M920" s="105" t="str">
        <f t="shared" si="14"/>
        <v xml:space="preserve">   </v>
      </c>
    </row>
    <row r="921" spans="1:13" s="53" customFormat="1" hidden="1" x14ac:dyDescent="0.2">
      <c r="A921" s="381"/>
      <c r="B921" s="379"/>
      <c r="C921" s="106"/>
      <c r="D921" s="107"/>
      <c r="E921" s="108"/>
      <c r="F921" s="109"/>
      <c r="G921" s="103"/>
      <c r="H921" s="103"/>
      <c r="I921" s="102"/>
      <c r="J921" s="102"/>
      <c r="K921" s="78"/>
      <c r="L921" s="110"/>
      <c r="M921" s="105" t="str">
        <f t="shared" si="14"/>
        <v xml:space="preserve">   </v>
      </c>
    </row>
    <row r="922" spans="1:13" s="53" customFormat="1" hidden="1" x14ac:dyDescent="0.2">
      <c r="A922" s="381"/>
      <c r="B922" s="379"/>
      <c r="C922" s="106"/>
      <c r="D922" s="107"/>
      <c r="E922" s="108"/>
      <c r="F922" s="109"/>
      <c r="G922" s="103"/>
      <c r="H922" s="103"/>
      <c r="I922" s="102"/>
      <c r="J922" s="102"/>
      <c r="K922" s="78"/>
      <c r="L922" s="110"/>
      <c r="M922" s="105" t="str">
        <f t="shared" si="14"/>
        <v xml:space="preserve">   </v>
      </c>
    </row>
    <row r="923" spans="1:13" s="53" customFormat="1" ht="36.75" hidden="1" customHeight="1" x14ac:dyDescent="0.2">
      <c r="A923" s="381" t="s">
        <v>68</v>
      </c>
      <c r="B923" s="379" t="s">
        <v>88</v>
      </c>
      <c r="C923" s="102"/>
      <c r="D923" s="181"/>
      <c r="E923" s="178"/>
      <c r="F923" s="178"/>
      <c r="G923" s="182"/>
      <c r="H923" s="182"/>
      <c r="I923" s="178"/>
      <c r="J923" s="178"/>
      <c r="K923" s="78"/>
      <c r="L923" s="104" t="str">
        <f>CONCATENATE(C923," ",D923," ",E923," ",F923," ",C924," ",D924," ",E924," ",F924)</f>
        <v xml:space="preserve">       </v>
      </c>
      <c r="M923" s="105" t="str">
        <f t="shared" si="14"/>
        <v xml:space="preserve">   </v>
      </c>
    </row>
    <row r="924" spans="1:13" s="53" customFormat="1" hidden="1" x14ac:dyDescent="0.2">
      <c r="A924" s="381"/>
      <c r="B924" s="379"/>
      <c r="C924" s="102"/>
      <c r="D924" s="181"/>
      <c r="E924" s="178"/>
      <c r="F924" s="178"/>
      <c r="G924" s="182"/>
      <c r="H924" s="182"/>
      <c r="I924" s="178"/>
      <c r="J924" s="178"/>
      <c r="K924" s="78"/>
      <c r="L924" s="110"/>
      <c r="M924" s="105" t="str">
        <f t="shared" si="14"/>
        <v xml:space="preserve">   </v>
      </c>
    </row>
    <row r="925" spans="1:13" s="53" customFormat="1" hidden="1" x14ac:dyDescent="0.2">
      <c r="A925" s="381"/>
      <c r="B925" s="379"/>
      <c r="C925" s="106"/>
      <c r="D925" s="183"/>
      <c r="E925" s="184"/>
      <c r="F925" s="185"/>
      <c r="G925" s="182"/>
      <c r="H925" s="182"/>
      <c r="I925" s="178"/>
      <c r="J925" s="178"/>
      <c r="K925" s="78"/>
      <c r="L925" s="110"/>
      <c r="M925" s="105" t="str">
        <f t="shared" si="14"/>
        <v xml:space="preserve">   </v>
      </c>
    </row>
    <row r="926" spans="1:13" s="53" customFormat="1" hidden="1" x14ac:dyDescent="0.2">
      <c r="A926" s="381"/>
      <c r="B926" s="379"/>
      <c r="C926" s="106"/>
      <c r="D926" s="183"/>
      <c r="E926" s="184"/>
      <c r="F926" s="185"/>
      <c r="G926" s="182"/>
      <c r="H926" s="182"/>
      <c r="I926" s="178"/>
      <c r="J926" s="178"/>
      <c r="K926" s="78"/>
      <c r="L926" s="110"/>
      <c r="M926" s="105" t="str">
        <f t="shared" si="14"/>
        <v xml:space="preserve">   </v>
      </c>
    </row>
    <row r="927" spans="1:13" s="53" customFormat="1" hidden="1" x14ac:dyDescent="0.2">
      <c r="A927" s="381"/>
      <c r="B927" s="379"/>
      <c r="C927" s="106"/>
      <c r="D927" s="183"/>
      <c r="E927" s="184"/>
      <c r="F927" s="185"/>
      <c r="G927" s="182"/>
      <c r="H927" s="182"/>
      <c r="I927" s="178"/>
      <c r="J927" s="178"/>
      <c r="K927" s="78"/>
      <c r="L927" s="110"/>
      <c r="M927" s="105" t="str">
        <f t="shared" si="14"/>
        <v xml:space="preserve">   </v>
      </c>
    </row>
    <row r="928" spans="1:13" s="53" customFormat="1" hidden="1" x14ac:dyDescent="0.2">
      <c r="A928" s="381"/>
      <c r="B928" s="379"/>
      <c r="C928" s="106"/>
      <c r="D928" s="107"/>
      <c r="E928" s="108"/>
      <c r="F928" s="109"/>
      <c r="G928" s="103"/>
      <c r="H928" s="103"/>
      <c r="I928" s="102"/>
      <c r="J928" s="102"/>
      <c r="K928" s="78"/>
      <c r="L928" s="110"/>
      <c r="M928" s="105" t="str">
        <f t="shared" si="14"/>
        <v xml:space="preserve">   </v>
      </c>
    </row>
    <row r="929" spans="1:13" s="53" customFormat="1" hidden="1" x14ac:dyDescent="0.2">
      <c r="A929" s="381"/>
      <c r="B929" s="379"/>
      <c r="C929" s="106"/>
      <c r="D929" s="107"/>
      <c r="E929" s="108"/>
      <c r="F929" s="109"/>
      <c r="G929" s="103"/>
      <c r="H929" s="103"/>
      <c r="I929" s="102"/>
      <c r="J929" s="102"/>
      <c r="K929" s="78"/>
      <c r="L929" s="110"/>
      <c r="M929" s="105" t="str">
        <f t="shared" si="14"/>
        <v xml:space="preserve">   </v>
      </c>
    </row>
    <row r="930" spans="1:13" s="53" customFormat="1" hidden="1" x14ac:dyDescent="0.2">
      <c r="A930" s="381"/>
      <c r="B930" s="379"/>
      <c r="C930" s="106"/>
      <c r="D930" s="107"/>
      <c r="E930" s="108"/>
      <c r="F930" s="109"/>
      <c r="G930" s="103"/>
      <c r="H930" s="103"/>
      <c r="I930" s="102"/>
      <c r="J930" s="102"/>
      <c r="K930" s="78"/>
      <c r="L930" s="110"/>
      <c r="M930" s="105" t="str">
        <f t="shared" si="14"/>
        <v xml:space="preserve">   </v>
      </c>
    </row>
    <row r="931" spans="1:13" s="53" customFormat="1" hidden="1" x14ac:dyDescent="0.2">
      <c r="A931" s="381"/>
      <c r="B931" s="379"/>
      <c r="C931" s="106"/>
      <c r="D931" s="107"/>
      <c r="E931" s="108"/>
      <c r="F931" s="109"/>
      <c r="G931" s="103"/>
      <c r="H931" s="103"/>
      <c r="I931" s="102"/>
      <c r="J931" s="102"/>
      <c r="K931" s="78"/>
      <c r="L931" s="110"/>
      <c r="M931" s="105" t="str">
        <f t="shared" si="14"/>
        <v xml:space="preserve">   </v>
      </c>
    </row>
    <row r="932" spans="1:13" s="53" customFormat="1" hidden="1" x14ac:dyDescent="0.2">
      <c r="A932" s="381"/>
      <c r="B932" s="379"/>
      <c r="C932" s="106"/>
      <c r="D932" s="107"/>
      <c r="E932" s="108"/>
      <c r="F932" s="109"/>
      <c r="G932" s="103"/>
      <c r="H932" s="103"/>
      <c r="I932" s="102"/>
      <c r="J932" s="102"/>
      <c r="K932" s="78"/>
      <c r="L932" s="110"/>
      <c r="M932" s="105" t="str">
        <f t="shared" si="14"/>
        <v xml:space="preserve">   </v>
      </c>
    </row>
    <row r="933" spans="1:13" s="53" customFormat="1" ht="52.5" hidden="1" customHeight="1" x14ac:dyDescent="0.2">
      <c r="A933" s="381" t="s">
        <v>68</v>
      </c>
      <c r="B933" s="379" t="s">
        <v>88</v>
      </c>
      <c r="C933" s="102"/>
      <c r="D933" s="181"/>
      <c r="E933" s="178"/>
      <c r="F933" s="181"/>
      <c r="G933" s="182"/>
      <c r="H933" s="182"/>
      <c r="I933" s="178"/>
      <c r="J933" s="178"/>
      <c r="K933" s="78"/>
      <c r="L933" s="104" t="str">
        <f>CONCATENATE(C933," ",D933," ",E933," ",F933," ",C934," ",D934," ",E934," ",F934)</f>
        <v xml:space="preserve">       </v>
      </c>
      <c r="M933" s="105" t="str">
        <f t="shared" si="14"/>
        <v xml:space="preserve">   </v>
      </c>
    </row>
    <row r="934" spans="1:13" s="53" customFormat="1" hidden="1" x14ac:dyDescent="0.2">
      <c r="A934" s="381"/>
      <c r="B934" s="379"/>
      <c r="C934" s="102"/>
      <c r="D934" s="181"/>
      <c r="E934" s="181"/>
      <c r="F934" s="178"/>
      <c r="G934" s="182"/>
      <c r="H934" s="182"/>
      <c r="I934" s="178"/>
      <c r="J934" s="178"/>
      <c r="K934" s="78"/>
      <c r="L934" s="110"/>
      <c r="M934" s="105" t="str">
        <f t="shared" si="14"/>
        <v xml:space="preserve">   </v>
      </c>
    </row>
    <row r="935" spans="1:13" s="53" customFormat="1" hidden="1" x14ac:dyDescent="0.2">
      <c r="A935" s="381"/>
      <c r="B935" s="379"/>
      <c r="C935" s="106"/>
      <c r="D935" s="183"/>
      <c r="E935" s="184"/>
      <c r="F935" s="185"/>
      <c r="G935" s="182"/>
      <c r="H935" s="182"/>
      <c r="I935" s="178"/>
      <c r="J935" s="178"/>
      <c r="K935" s="78"/>
      <c r="L935" s="110"/>
      <c r="M935" s="105" t="str">
        <f t="shared" si="14"/>
        <v xml:space="preserve">   </v>
      </c>
    </row>
    <row r="936" spans="1:13" s="53" customFormat="1" hidden="1" x14ac:dyDescent="0.2">
      <c r="A936" s="381"/>
      <c r="B936" s="379"/>
      <c r="C936" s="106"/>
      <c r="D936" s="183"/>
      <c r="E936" s="184"/>
      <c r="F936" s="185"/>
      <c r="G936" s="182"/>
      <c r="H936" s="182"/>
      <c r="I936" s="178"/>
      <c r="J936" s="178"/>
      <c r="K936" s="78"/>
      <c r="L936" s="110"/>
      <c r="M936" s="105" t="str">
        <f t="shared" si="14"/>
        <v xml:space="preserve">   </v>
      </c>
    </row>
    <row r="937" spans="1:13" s="53" customFormat="1" hidden="1" x14ac:dyDescent="0.2">
      <c r="A937" s="381"/>
      <c r="B937" s="379"/>
      <c r="C937" s="106"/>
      <c r="D937" s="107"/>
      <c r="E937" s="108"/>
      <c r="F937" s="109"/>
      <c r="G937" s="103"/>
      <c r="H937" s="103"/>
      <c r="I937" s="102"/>
      <c r="J937" s="102"/>
      <c r="K937" s="78"/>
      <c r="L937" s="110"/>
      <c r="M937" s="105" t="str">
        <f t="shared" si="14"/>
        <v xml:space="preserve">   </v>
      </c>
    </row>
    <row r="938" spans="1:13" s="53" customFormat="1" hidden="1" x14ac:dyDescent="0.2">
      <c r="A938" s="381"/>
      <c r="B938" s="379"/>
      <c r="C938" s="106"/>
      <c r="D938" s="107"/>
      <c r="E938" s="108"/>
      <c r="F938" s="109"/>
      <c r="G938" s="103"/>
      <c r="H938" s="103"/>
      <c r="I938" s="102"/>
      <c r="J938" s="102"/>
      <c r="K938" s="78"/>
      <c r="L938" s="110"/>
      <c r="M938" s="105" t="str">
        <f t="shared" si="14"/>
        <v xml:space="preserve">   </v>
      </c>
    </row>
    <row r="939" spans="1:13" s="53" customFormat="1" hidden="1" x14ac:dyDescent="0.2">
      <c r="A939" s="381"/>
      <c r="B939" s="379"/>
      <c r="C939" s="106"/>
      <c r="D939" s="107"/>
      <c r="E939" s="108"/>
      <c r="F939" s="109"/>
      <c r="G939" s="103"/>
      <c r="H939" s="103"/>
      <c r="I939" s="102"/>
      <c r="J939" s="102"/>
      <c r="K939" s="78"/>
      <c r="L939" s="110"/>
      <c r="M939" s="105" t="str">
        <f t="shared" si="14"/>
        <v xml:space="preserve">   </v>
      </c>
    </row>
    <row r="940" spans="1:13" s="53" customFormat="1" hidden="1" x14ac:dyDescent="0.2">
      <c r="A940" s="381"/>
      <c r="B940" s="379"/>
      <c r="C940" s="106"/>
      <c r="D940" s="107"/>
      <c r="E940" s="108"/>
      <c r="F940" s="109"/>
      <c r="G940" s="103"/>
      <c r="H940" s="103"/>
      <c r="I940" s="102"/>
      <c r="J940" s="102"/>
      <c r="K940" s="78"/>
      <c r="L940" s="110"/>
      <c r="M940" s="105" t="str">
        <f t="shared" si="14"/>
        <v xml:space="preserve">   </v>
      </c>
    </row>
    <row r="941" spans="1:13" s="53" customFormat="1" hidden="1" x14ac:dyDescent="0.2">
      <c r="A941" s="381"/>
      <c r="B941" s="379"/>
      <c r="C941" s="106"/>
      <c r="D941" s="107"/>
      <c r="E941" s="108"/>
      <c r="F941" s="109"/>
      <c r="G941" s="103"/>
      <c r="H941" s="103"/>
      <c r="I941" s="102"/>
      <c r="J941" s="102"/>
      <c r="K941" s="78"/>
      <c r="L941" s="110"/>
      <c r="M941" s="105" t="str">
        <f t="shared" si="14"/>
        <v xml:space="preserve">   </v>
      </c>
    </row>
    <row r="942" spans="1:13" s="53" customFormat="1" hidden="1" x14ac:dyDescent="0.2">
      <c r="A942" s="381"/>
      <c r="B942" s="379"/>
      <c r="C942" s="106"/>
      <c r="D942" s="107"/>
      <c r="E942" s="108"/>
      <c r="F942" s="109"/>
      <c r="G942" s="103"/>
      <c r="H942" s="103"/>
      <c r="I942" s="102"/>
      <c r="J942" s="102"/>
      <c r="K942" s="78"/>
      <c r="L942" s="110"/>
      <c r="M942" s="105" t="str">
        <f t="shared" si="14"/>
        <v xml:space="preserve">   </v>
      </c>
    </row>
    <row r="943" spans="1:13" s="53" customFormat="1" ht="12.75" hidden="1" customHeight="1" x14ac:dyDescent="0.2">
      <c r="A943" s="381" t="s">
        <v>68</v>
      </c>
      <c r="B943" s="379" t="s">
        <v>88</v>
      </c>
      <c r="C943" s="102"/>
      <c r="D943" s="102"/>
      <c r="E943" s="102"/>
      <c r="F943" s="102"/>
      <c r="G943" s="103"/>
      <c r="H943" s="103"/>
      <c r="I943" s="102"/>
      <c r="J943" s="102"/>
      <c r="K943" s="78"/>
      <c r="L943" s="104" t="str">
        <f>CONCATENATE(C943," ",D943," ",E943," ",F943," ",C944," ",D944," ",E944," ",F944)</f>
        <v xml:space="preserve">       </v>
      </c>
      <c r="M943" s="105" t="str">
        <f t="shared" si="14"/>
        <v xml:space="preserve">   </v>
      </c>
    </row>
    <row r="944" spans="1:13" s="53" customFormat="1" hidden="1" x14ac:dyDescent="0.2">
      <c r="A944" s="381"/>
      <c r="B944" s="379"/>
      <c r="C944" s="106"/>
      <c r="D944" s="107"/>
      <c r="E944" s="108"/>
      <c r="F944" s="109"/>
      <c r="G944" s="103"/>
      <c r="H944" s="103"/>
      <c r="I944" s="102"/>
      <c r="J944" s="102"/>
      <c r="K944" s="78"/>
      <c r="L944" s="110"/>
      <c r="M944" s="105" t="str">
        <f t="shared" si="14"/>
        <v xml:space="preserve">   </v>
      </c>
    </row>
    <row r="945" spans="1:13" s="53" customFormat="1" hidden="1" x14ac:dyDescent="0.2">
      <c r="A945" s="381"/>
      <c r="B945" s="379"/>
      <c r="C945" s="106"/>
      <c r="D945" s="107"/>
      <c r="E945" s="108"/>
      <c r="F945" s="109"/>
      <c r="G945" s="103"/>
      <c r="H945" s="103"/>
      <c r="I945" s="102"/>
      <c r="J945" s="102"/>
      <c r="K945" s="78"/>
      <c r="L945" s="110"/>
      <c r="M945" s="105" t="str">
        <f t="shared" si="14"/>
        <v xml:space="preserve">   </v>
      </c>
    </row>
    <row r="946" spans="1:13" s="53" customFormat="1" hidden="1" x14ac:dyDescent="0.2">
      <c r="A946" s="381"/>
      <c r="B946" s="379"/>
      <c r="C946" s="106"/>
      <c r="D946" s="107"/>
      <c r="E946" s="108"/>
      <c r="F946" s="109"/>
      <c r="G946" s="103"/>
      <c r="H946" s="103"/>
      <c r="I946" s="102"/>
      <c r="J946" s="102"/>
      <c r="K946" s="78"/>
      <c r="L946" s="110"/>
      <c r="M946" s="105" t="str">
        <f t="shared" si="14"/>
        <v xml:space="preserve">   </v>
      </c>
    </row>
    <row r="947" spans="1:13" s="53" customFormat="1" hidden="1" x14ac:dyDescent="0.2">
      <c r="A947" s="381"/>
      <c r="B947" s="379"/>
      <c r="C947" s="106"/>
      <c r="D947" s="107"/>
      <c r="E947" s="108"/>
      <c r="F947" s="109"/>
      <c r="G947" s="103"/>
      <c r="H947" s="103"/>
      <c r="I947" s="102"/>
      <c r="J947" s="102"/>
      <c r="K947" s="78"/>
      <c r="L947" s="110"/>
      <c r="M947" s="105" t="str">
        <f t="shared" si="14"/>
        <v xml:space="preserve">   </v>
      </c>
    </row>
    <row r="948" spans="1:13" s="53" customFormat="1" hidden="1" x14ac:dyDescent="0.2">
      <c r="A948" s="381"/>
      <c r="B948" s="379"/>
      <c r="C948" s="106"/>
      <c r="D948" s="107"/>
      <c r="E948" s="108"/>
      <c r="F948" s="109"/>
      <c r="G948" s="103"/>
      <c r="H948" s="103"/>
      <c r="I948" s="102"/>
      <c r="J948" s="102"/>
      <c r="K948" s="78"/>
      <c r="L948" s="110"/>
      <c r="M948" s="105" t="str">
        <f t="shared" si="14"/>
        <v xml:space="preserve">   </v>
      </c>
    </row>
    <row r="949" spans="1:13" s="53" customFormat="1" hidden="1" x14ac:dyDescent="0.2">
      <c r="A949" s="381"/>
      <c r="B949" s="379"/>
      <c r="C949" s="106"/>
      <c r="D949" s="107"/>
      <c r="E949" s="108"/>
      <c r="F949" s="109"/>
      <c r="G949" s="103"/>
      <c r="H949" s="103"/>
      <c r="I949" s="102"/>
      <c r="J949" s="102"/>
      <c r="K949" s="78"/>
      <c r="L949" s="110"/>
      <c r="M949" s="105" t="str">
        <f t="shared" si="14"/>
        <v xml:space="preserve">   </v>
      </c>
    </row>
    <row r="950" spans="1:13" s="53" customFormat="1" hidden="1" x14ac:dyDescent="0.2">
      <c r="A950" s="381"/>
      <c r="B950" s="379"/>
      <c r="C950" s="106"/>
      <c r="D950" s="107"/>
      <c r="E950" s="108"/>
      <c r="F950" s="109"/>
      <c r="G950" s="103"/>
      <c r="H950" s="103"/>
      <c r="I950" s="102"/>
      <c r="J950" s="102"/>
      <c r="K950" s="78"/>
      <c r="L950" s="110"/>
      <c r="M950" s="105" t="str">
        <f t="shared" si="14"/>
        <v xml:space="preserve">   </v>
      </c>
    </row>
    <row r="951" spans="1:13" s="53" customFormat="1" hidden="1" x14ac:dyDescent="0.2">
      <c r="A951" s="381"/>
      <c r="B951" s="379"/>
      <c r="C951" s="106"/>
      <c r="D951" s="107"/>
      <c r="E951" s="108"/>
      <c r="F951" s="109"/>
      <c r="G951" s="103"/>
      <c r="H951" s="103"/>
      <c r="I951" s="102"/>
      <c r="J951" s="102"/>
      <c r="K951" s="78"/>
      <c r="L951" s="110"/>
      <c r="M951" s="105" t="str">
        <f t="shared" si="14"/>
        <v xml:space="preserve">   </v>
      </c>
    </row>
    <row r="952" spans="1:13" s="53" customFormat="1" hidden="1" x14ac:dyDescent="0.2">
      <c r="A952" s="381"/>
      <c r="B952" s="379"/>
      <c r="C952" s="106"/>
      <c r="D952" s="107"/>
      <c r="E952" s="108"/>
      <c r="F952" s="109"/>
      <c r="G952" s="103"/>
      <c r="H952" s="103"/>
      <c r="I952" s="102"/>
      <c r="J952" s="102"/>
      <c r="K952" s="78"/>
      <c r="L952" s="110"/>
      <c r="M952" s="105" t="str">
        <f t="shared" si="14"/>
        <v xml:space="preserve">   </v>
      </c>
    </row>
    <row r="953" spans="1:13" s="53" customFormat="1" ht="12.75" hidden="1" customHeight="1" x14ac:dyDescent="0.2">
      <c r="A953" s="381" t="s">
        <v>68</v>
      </c>
      <c r="B953" s="379" t="s">
        <v>88</v>
      </c>
      <c r="C953" s="102"/>
      <c r="D953" s="102"/>
      <c r="E953" s="102"/>
      <c r="F953" s="102"/>
      <c r="G953" s="103"/>
      <c r="H953" s="103"/>
      <c r="I953" s="102"/>
      <c r="J953" s="102"/>
      <c r="K953" s="78"/>
      <c r="L953" s="104" t="str">
        <f>CONCATENATE(C953," ",D953," ",E953," ",F953," ",C954," ",D954," ",E954," ",F954)</f>
        <v xml:space="preserve">       </v>
      </c>
      <c r="M953" s="105" t="str">
        <f t="shared" si="14"/>
        <v xml:space="preserve">   </v>
      </c>
    </row>
    <row r="954" spans="1:13" s="53" customFormat="1" hidden="1" x14ac:dyDescent="0.2">
      <c r="A954" s="381"/>
      <c r="B954" s="379"/>
      <c r="C954" s="106"/>
      <c r="D954" s="107"/>
      <c r="E954" s="108"/>
      <c r="F954" s="109"/>
      <c r="G954" s="103"/>
      <c r="H954" s="103"/>
      <c r="I954" s="102"/>
      <c r="J954" s="102"/>
      <c r="K954" s="78"/>
      <c r="L954" s="110"/>
      <c r="M954" s="105" t="str">
        <f t="shared" si="14"/>
        <v xml:space="preserve">   </v>
      </c>
    </row>
    <row r="955" spans="1:13" s="53" customFormat="1" hidden="1" x14ac:dyDescent="0.2">
      <c r="A955" s="381"/>
      <c r="B955" s="379"/>
      <c r="C955" s="106"/>
      <c r="D955" s="107"/>
      <c r="E955" s="108"/>
      <c r="F955" s="109"/>
      <c r="G955" s="103"/>
      <c r="H955" s="103"/>
      <c r="I955" s="102"/>
      <c r="J955" s="102"/>
      <c r="K955" s="78"/>
      <c r="L955" s="110"/>
      <c r="M955" s="105" t="str">
        <f t="shared" si="14"/>
        <v xml:space="preserve">   </v>
      </c>
    </row>
    <row r="956" spans="1:13" s="53" customFormat="1" hidden="1" x14ac:dyDescent="0.2">
      <c r="A956" s="381"/>
      <c r="B956" s="379"/>
      <c r="C956" s="106"/>
      <c r="D956" s="107"/>
      <c r="E956" s="108"/>
      <c r="F956" s="109"/>
      <c r="G956" s="103"/>
      <c r="H956" s="103"/>
      <c r="I956" s="102"/>
      <c r="J956" s="102"/>
      <c r="K956" s="78"/>
      <c r="L956" s="110"/>
      <c r="M956" s="105" t="str">
        <f t="shared" si="14"/>
        <v xml:space="preserve">   </v>
      </c>
    </row>
    <row r="957" spans="1:13" s="53" customFormat="1" hidden="1" x14ac:dyDescent="0.2">
      <c r="A957" s="381"/>
      <c r="B957" s="379"/>
      <c r="C957" s="106"/>
      <c r="D957" s="107"/>
      <c r="E957" s="108"/>
      <c r="F957" s="109"/>
      <c r="G957" s="103"/>
      <c r="H957" s="103"/>
      <c r="I957" s="102"/>
      <c r="J957" s="102"/>
      <c r="K957" s="78"/>
      <c r="L957" s="110"/>
      <c r="M957" s="105" t="str">
        <f t="shared" si="14"/>
        <v xml:space="preserve">   </v>
      </c>
    </row>
    <row r="958" spans="1:13" s="53" customFormat="1" hidden="1" x14ac:dyDescent="0.2">
      <c r="A958" s="381"/>
      <c r="B958" s="379"/>
      <c r="C958" s="106"/>
      <c r="D958" s="107"/>
      <c r="E958" s="108"/>
      <c r="F958" s="109"/>
      <c r="G958" s="103"/>
      <c r="H958" s="103"/>
      <c r="I958" s="102"/>
      <c r="J958" s="102"/>
      <c r="K958" s="78"/>
      <c r="L958" s="110"/>
      <c r="M958" s="105" t="str">
        <f t="shared" si="14"/>
        <v xml:space="preserve">   </v>
      </c>
    </row>
    <row r="959" spans="1:13" s="53" customFormat="1" hidden="1" x14ac:dyDescent="0.2">
      <c r="A959" s="381"/>
      <c r="B959" s="379"/>
      <c r="C959" s="106"/>
      <c r="D959" s="107"/>
      <c r="E959" s="108"/>
      <c r="F959" s="109"/>
      <c r="G959" s="103"/>
      <c r="H959" s="103"/>
      <c r="I959" s="102"/>
      <c r="J959" s="102"/>
      <c r="K959" s="78"/>
      <c r="L959" s="110"/>
      <c r="M959" s="105" t="str">
        <f t="shared" si="14"/>
        <v xml:space="preserve">   </v>
      </c>
    </row>
    <row r="960" spans="1:13" s="53" customFormat="1" hidden="1" x14ac:dyDescent="0.2">
      <c r="A960" s="381"/>
      <c r="B960" s="379"/>
      <c r="C960" s="106"/>
      <c r="D960" s="107"/>
      <c r="E960" s="108"/>
      <c r="F960" s="109"/>
      <c r="G960" s="103"/>
      <c r="H960" s="103"/>
      <c r="I960" s="102"/>
      <c r="J960" s="102"/>
      <c r="K960" s="78"/>
      <c r="L960" s="110"/>
      <c r="M960" s="105" t="str">
        <f t="shared" si="14"/>
        <v xml:space="preserve">   </v>
      </c>
    </row>
    <row r="961" spans="1:13" s="53" customFormat="1" hidden="1" x14ac:dyDescent="0.2">
      <c r="A961" s="381"/>
      <c r="B961" s="379"/>
      <c r="C961" s="106"/>
      <c r="D961" s="107"/>
      <c r="E961" s="108"/>
      <c r="F961" s="109"/>
      <c r="G961" s="103"/>
      <c r="H961" s="103"/>
      <c r="I961" s="102"/>
      <c r="J961" s="102"/>
      <c r="K961" s="78"/>
      <c r="L961" s="110"/>
      <c r="M961" s="105" t="str">
        <f t="shared" si="14"/>
        <v xml:space="preserve">   </v>
      </c>
    </row>
    <row r="962" spans="1:13" s="53" customFormat="1" hidden="1" x14ac:dyDescent="0.2">
      <c r="A962" s="381"/>
      <c r="B962" s="379"/>
      <c r="C962" s="106"/>
      <c r="D962" s="107"/>
      <c r="E962" s="108"/>
      <c r="F962" s="109"/>
      <c r="G962" s="103"/>
      <c r="H962" s="103"/>
      <c r="I962" s="102"/>
      <c r="J962" s="102"/>
      <c r="K962" s="78"/>
      <c r="L962" s="110"/>
      <c r="M962" s="105" t="str">
        <f t="shared" si="14"/>
        <v xml:space="preserve">   </v>
      </c>
    </row>
    <row r="963" spans="1:13" s="53" customFormat="1" ht="12.75" hidden="1" customHeight="1" x14ac:dyDescent="0.2">
      <c r="A963" s="381" t="s">
        <v>68</v>
      </c>
      <c r="B963" s="379" t="s">
        <v>88</v>
      </c>
      <c r="C963" s="102"/>
      <c r="D963" s="102"/>
      <c r="E963" s="102"/>
      <c r="F963" s="102"/>
      <c r="G963" s="103"/>
      <c r="H963" s="103"/>
      <c r="I963" s="102"/>
      <c r="J963" s="102"/>
      <c r="K963" s="78"/>
      <c r="L963" s="104" t="str">
        <f>CONCATENATE(C963," ",D963," ",E963," ",F963," ",C964," ",D964," ",E964," ",F964)</f>
        <v xml:space="preserve">       </v>
      </c>
      <c r="M963" s="105" t="str">
        <f t="shared" si="14"/>
        <v xml:space="preserve">   </v>
      </c>
    </row>
    <row r="964" spans="1:13" s="53" customFormat="1" hidden="1" x14ac:dyDescent="0.2">
      <c r="A964" s="381"/>
      <c r="B964" s="379"/>
      <c r="C964" s="106"/>
      <c r="D964" s="107"/>
      <c r="E964" s="108"/>
      <c r="F964" s="109"/>
      <c r="G964" s="103"/>
      <c r="H964" s="103"/>
      <c r="I964" s="102"/>
      <c r="J964" s="102"/>
      <c r="K964" s="78"/>
      <c r="L964" s="110"/>
      <c r="M964" s="105" t="str">
        <f t="shared" si="14"/>
        <v xml:space="preserve">   </v>
      </c>
    </row>
    <row r="965" spans="1:13" s="53" customFormat="1" hidden="1" x14ac:dyDescent="0.2">
      <c r="A965" s="381"/>
      <c r="B965" s="379"/>
      <c r="C965" s="106"/>
      <c r="D965" s="107"/>
      <c r="E965" s="108"/>
      <c r="F965" s="109"/>
      <c r="G965" s="103"/>
      <c r="H965" s="103"/>
      <c r="I965" s="102"/>
      <c r="J965" s="102"/>
      <c r="K965" s="78"/>
      <c r="L965" s="110"/>
      <c r="M965" s="105" t="str">
        <f t="shared" si="14"/>
        <v xml:space="preserve">   </v>
      </c>
    </row>
    <row r="966" spans="1:13" s="53" customFormat="1" hidden="1" x14ac:dyDescent="0.2">
      <c r="A966" s="381"/>
      <c r="B966" s="379"/>
      <c r="C966" s="106"/>
      <c r="D966" s="107"/>
      <c r="E966" s="108"/>
      <c r="F966" s="109"/>
      <c r="G966" s="103"/>
      <c r="H966" s="103"/>
      <c r="I966" s="102"/>
      <c r="J966" s="102"/>
      <c r="K966" s="78"/>
      <c r="L966" s="110"/>
      <c r="M966" s="105" t="str">
        <f t="shared" si="14"/>
        <v xml:space="preserve">   </v>
      </c>
    </row>
    <row r="967" spans="1:13" s="53" customFormat="1" hidden="1" x14ac:dyDescent="0.2">
      <c r="A967" s="381"/>
      <c r="B967" s="379"/>
      <c r="C967" s="106"/>
      <c r="D967" s="107"/>
      <c r="E967" s="108"/>
      <c r="F967" s="109"/>
      <c r="G967" s="103"/>
      <c r="H967" s="103"/>
      <c r="I967" s="102"/>
      <c r="J967" s="102"/>
      <c r="K967" s="78"/>
      <c r="L967" s="110"/>
      <c r="M967" s="105" t="str">
        <f t="shared" si="14"/>
        <v xml:space="preserve">   </v>
      </c>
    </row>
    <row r="968" spans="1:13" s="53" customFormat="1" hidden="1" x14ac:dyDescent="0.2">
      <c r="A968" s="381"/>
      <c r="B968" s="379"/>
      <c r="C968" s="106"/>
      <c r="D968" s="107"/>
      <c r="E968" s="108"/>
      <c r="F968" s="109"/>
      <c r="G968" s="103"/>
      <c r="H968" s="103"/>
      <c r="I968" s="102"/>
      <c r="J968" s="102"/>
      <c r="K968" s="78"/>
      <c r="L968" s="110"/>
      <c r="M968" s="105" t="str">
        <f t="shared" si="14"/>
        <v xml:space="preserve">   </v>
      </c>
    </row>
    <row r="969" spans="1:13" s="53" customFormat="1" hidden="1" x14ac:dyDescent="0.2">
      <c r="A969" s="381"/>
      <c r="B969" s="379"/>
      <c r="C969" s="106"/>
      <c r="D969" s="107"/>
      <c r="E969" s="108"/>
      <c r="F969" s="109"/>
      <c r="G969" s="103"/>
      <c r="H969" s="103"/>
      <c r="I969" s="102"/>
      <c r="J969" s="102"/>
      <c r="K969" s="78"/>
      <c r="L969" s="110"/>
      <c r="M969" s="105" t="str">
        <f t="shared" si="14"/>
        <v xml:space="preserve">   </v>
      </c>
    </row>
    <row r="970" spans="1:13" s="53" customFormat="1" hidden="1" x14ac:dyDescent="0.2">
      <c r="A970" s="381"/>
      <c r="B970" s="379"/>
      <c r="C970" s="106"/>
      <c r="D970" s="107"/>
      <c r="E970" s="108"/>
      <c r="F970" s="109"/>
      <c r="G970" s="103"/>
      <c r="H970" s="103"/>
      <c r="I970" s="102"/>
      <c r="J970" s="102"/>
      <c r="K970" s="78"/>
      <c r="L970" s="110"/>
      <c r="M970" s="105" t="str">
        <f t="shared" si="14"/>
        <v xml:space="preserve">   </v>
      </c>
    </row>
    <row r="971" spans="1:13" s="53" customFormat="1" hidden="1" x14ac:dyDescent="0.2">
      <c r="A971" s="381"/>
      <c r="B971" s="379"/>
      <c r="C971" s="106"/>
      <c r="D971" s="107"/>
      <c r="E971" s="108"/>
      <c r="F971" s="109"/>
      <c r="G971" s="103"/>
      <c r="H971" s="103"/>
      <c r="I971" s="102"/>
      <c r="J971" s="102"/>
      <c r="K971" s="78"/>
      <c r="L971" s="110"/>
      <c r="M971" s="105" t="str">
        <f t="shared" ref="M971:M1034" si="15">CONCATENATE(G971," ",H971," ",I971," ",J971)</f>
        <v xml:space="preserve">   </v>
      </c>
    </row>
    <row r="972" spans="1:13" s="53" customFormat="1" hidden="1" x14ac:dyDescent="0.2">
      <c r="A972" s="381"/>
      <c r="B972" s="379"/>
      <c r="C972" s="106"/>
      <c r="D972" s="107"/>
      <c r="E972" s="108"/>
      <c r="F972" s="109"/>
      <c r="G972" s="103"/>
      <c r="H972" s="103"/>
      <c r="I972" s="102"/>
      <c r="J972" s="102"/>
      <c r="K972" s="78"/>
      <c r="L972" s="110"/>
      <c r="M972" s="105" t="str">
        <f t="shared" si="15"/>
        <v xml:space="preserve">   </v>
      </c>
    </row>
    <row r="973" spans="1:13" s="53" customFormat="1" ht="12.75" hidden="1" customHeight="1" x14ac:dyDescent="0.2">
      <c r="A973" s="381" t="s">
        <v>68</v>
      </c>
      <c r="B973" s="379" t="s">
        <v>88</v>
      </c>
      <c r="C973" s="102"/>
      <c r="D973" s="102"/>
      <c r="E973" s="102"/>
      <c r="F973" s="102"/>
      <c r="G973" s="103"/>
      <c r="H973" s="103"/>
      <c r="I973" s="102"/>
      <c r="J973" s="102"/>
      <c r="K973" s="78"/>
      <c r="L973" s="104" t="str">
        <f>CONCATENATE(C973," ",D973," ",E973," ",F973," ",C974," ",D974," ",E974," ",F974)</f>
        <v xml:space="preserve">       </v>
      </c>
      <c r="M973" s="105" t="str">
        <f t="shared" si="15"/>
        <v xml:space="preserve">   </v>
      </c>
    </row>
    <row r="974" spans="1:13" s="53" customFormat="1" hidden="1" x14ac:dyDescent="0.2">
      <c r="A974" s="381"/>
      <c r="B974" s="379"/>
      <c r="C974" s="106"/>
      <c r="D974" s="107"/>
      <c r="E974" s="108"/>
      <c r="F974" s="109"/>
      <c r="G974" s="103"/>
      <c r="H974" s="103"/>
      <c r="I974" s="102"/>
      <c r="J974" s="102"/>
      <c r="K974" s="78"/>
      <c r="L974" s="110"/>
      <c r="M974" s="105" t="str">
        <f t="shared" si="15"/>
        <v xml:space="preserve">   </v>
      </c>
    </row>
    <row r="975" spans="1:13" s="53" customFormat="1" hidden="1" x14ac:dyDescent="0.2">
      <c r="A975" s="381"/>
      <c r="B975" s="379"/>
      <c r="C975" s="106"/>
      <c r="D975" s="107"/>
      <c r="E975" s="108"/>
      <c r="F975" s="109"/>
      <c r="G975" s="103"/>
      <c r="H975" s="103"/>
      <c r="I975" s="102"/>
      <c r="J975" s="102"/>
      <c r="K975" s="78"/>
      <c r="L975" s="110"/>
      <c r="M975" s="105" t="str">
        <f t="shared" si="15"/>
        <v xml:space="preserve">   </v>
      </c>
    </row>
    <row r="976" spans="1:13" s="53" customFormat="1" hidden="1" x14ac:dyDescent="0.2">
      <c r="A976" s="381"/>
      <c r="B976" s="379"/>
      <c r="C976" s="106"/>
      <c r="D976" s="107"/>
      <c r="E976" s="108"/>
      <c r="F976" s="109"/>
      <c r="G976" s="103"/>
      <c r="H976" s="103"/>
      <c r="I976" s="102"/>
      <c r="J976" s="102"/>
      <c r="K976" s="78"/>
      <c r="L976" s="110"/>
      <c r="M976" s="105" t="str">
        <f t="shared" si="15"/>
        <v xml:space="preserve">   </v>
      </c>
    </row>
    <row r="977" spans="1:13" s="53" customFormat="1" hidden="1" x14ac:dyDescent="0.2">
      <c r="A977" s="381"/>
      <c r="B977" s="379"/>
      <c r="C977" s="106"/>
      <c r="D977" s="107"/>
      <c r="E977" s="108"/>
      <c r="F977" s="109"/>
      <c r="G977" s="103"/>
      <c r="H977" s="103"/>
      <c r="I977" s="102"/>
      <c r="J977" s="102"/>
      <c r="K977" s="78"/>
      <c r="L977" s="110"/>
      <c r="M977" s="105" t="str">
        <f t="shared" si="15"/>
        <v xml:space="preserve">   </v>
      </c>
    </row>
    <row r="978" spans="1:13" s="53" customFormat="1" hidden="1" x14ac:dyDescent="0.2">
      <c r="A978" s="381"/>
      <c r="B978" s="379"/>
      <c r="C978" s="106"/>
      <c r="D978" s="107"/>
      <c r="E978" s="108"/>
      <c r="F978" s="109"/>
      <c r="G978" s="103"/>
      <c r="H978" s="103"/>
      <c r="I978" s="102"/>
      <c r="J978" s="102"/>
      <c r="K978" s="78"/>
      <c r="L978" s="110"/>
      <c r="M978" s="105" t="str">
        <f t="shared" si="15"/>
        <v xml:space="preserve">   </v>
      </c>
    </row>
    <row r="979" spans="1:13" s="53" customFormat="1" hidden="1" x14ac:dyDescent="0.2">
      <c r="A979" s="381"/>
      <c r="B979" s="379"/>
      <c r="C979" s="106"/>
      <c r="D979" s="107"/>
      <c r="E979" s="108"/>
      <c r="F979" s="109"/>
      <c r="G979" s="103"/>
      <c r="H979" s="103"/>
      <c r="I979" s="102"/>
      <c r="J979" s="102"/>
      <c r="K979" s="78"/>
      <c r="L979" s="110"/>
      <c r="M979" s="105" t="str">
        <f t="shared" si="15"/>
        <v xml:space="preserve">   </v>
      </c>
    </row>
    <row r="980" spans="1:13" s="53" customFormat="1" hidden="1" x14ac:dyDescent="0.2">
      <c r="A980" s="381"/>
      <c r="B980" s="379"/>
      <c r="C980" s="106"/>
      <c r="D980" s="107"/>
      <c r="E980" s="108"/>
      <c r="F980" s="109"/>
      <c r="G980" s="103"/>
      <c r="H980" s="103"/>
      <c r="I980" s="102"/>
      <c r="J980" s="102"/>
      <c r="K980" s="78"/>
      <c r="L980" s="110"/>
      <c r="M980" s="105" t="str">
        <f t="shared" si="15"/>
        <v xml:space="preserve">   </v>
      </c>
    </row>
    <row r="981" spans="1:13" s="53" customFormat="1" hidden="1" x14ac:dyDescent="0.2">
      <c r="A981" s="381"/>
      <c r="B981" s="379"/>
      <c r="C981" s="106"/>
      <c r="D981" s="107"/>
      <c r="E981" s="108"/>
      <c r="F981" s="109"/>
      <c r="G981" s="103"/>
      <c r="H981" s="103"/>
      <c r="I981" s="102"/>
      <c r="J981" s="102"/>
      <c r="K981" s="78"/>
      <c r="L981" s="110"/>
      <c r="M981" s="105" t="str">
        <f t="shared" si="15"/>
        <v xml:space="preserve">   </v>
      </c>
    </row>
    <row r="982" spans="1:13" s="53" customFormat="1" hidden="1" x14ac:dyDescent="0.2">
      <c r="A982" s="381"/>
      <c r="B982" s="379"/>
      <c r="C982" s="106"/>
      <c r="D982" s="107"/>
      <c r="E982" s="108"/>
      <c r="F982" s="109"/>
      <c r="G982" s="103"/>
      <c r="H982" s="103"/>
      <c r="I982" s="102"/>
      <c r="J982" s="102"/>
      <c r="K982" s="78"/>
      <c r="L982" s="110"/>
      <c r="M982" s="105" t="str">
        <f t="shared" si="15"/>
        <v xml:space="preserve">   </v>
      </c>
    </row>
    <row r="983" spans="1:13" s="53" customFormat="1" ht="12.75" hidden="1" customHeight="1" x14ac:dyDescent="0.2">
      <c r="A983" s="381" t="s">
        <v>68</v>
      </c>
      <c r="B983" s="379" t="s">
        <v>88</v>
      </c>
      <c r="C983" s="102"/>
      <c r="D983" s="102"/>
      <c r="E983" s="102"/>
      <c r="F983" s="102"/>
      <c r="G983" s="103"/>
      <c r="H983" s="103"/>
      <c r="I983" s="102"/>
      <c r="J983" s="102"/>
      <c r="K983" s="78"/>
      <c r="L983" s="104" t="str">
        <f>CONCATENATE(C983," ",D983," ",E983," ",F983," ",C984," ",D984," ",E984," ",F984)</f>
        <v xml:space="preserve">       </v>
      </c>
      <c r="M983" s="105" t="str">
        <f t="shared" si="15"/>
        <v xml:space="preserve">   </v>
      </c>
    </row>
    <row r="984" spans="1:13" s="53" customFormat="1" hidden="1" x14ac:dyDescent="0.2">
      <c r="A984" s="381"/>
      <c r="B984" s="379"/>
      <c r="C984" s="106"/>
      <c r="D984" s="107"/>
      <c r="E984" s="108"/>
      <c r="F984" s="109"/>
      <c r="G984" s="103"/>
      <c r="H984" s="103"/>
      <c r="I984" s="102"/>
      <c r="J984" s="102"/>
      <c r="K984" s="78"/>
      <c r="L984" s="110"/>
      <c r="M984" s="105" t="str">
        <f t="shared" si="15"/>
        <v xml:space="preserve">   </v>
      </c>
    </row>
    <row r="985" spans="1:13" s="53" customFormat="1" hidden="1" x14ac:dyDescent="0.2">
      <c r="A985" s="381"/>
      <c r="B985" s="379"/>
      <c r="C985" s="106"/>
      <c r="D985" s="107"/>
      <c r="E985" s="108"/>
      <c r="F985" s="109"/>
      <c r="G985" s="103"/>
      <c r="H985" s="103"/>
      <c r="I985" s="102"/>
      <c r="J985" s="102"/>
      <c r="K985" s="78"/>
      <c r="L985" s="110"/>
      <c r="M985" s="105" t="str">
        <f t="shared" si="15"/>
        <v xml:space="preserve">   </v>
      </c>
    </row>
    <row r="986" spans="1:13" s="53" customFormat="1" hidden="1" x14ac:dyDescent="0.2">
      <c r="A986" s="381"/>
      <c r="B986" s="379"/>
      <c r="C986" s="106"/>
      <c r="D986" s="107"/>
      <c r="E986" s="108"/>
      <c r="F986" s="109"/>
      <c r="G986" s="103"/>
      <c r="H986" s="103"/>
      <c r="I986" s="102"/>
      <c r="J986" s="102"/>
      <c r="K986" s="78"/>
      <c r="L986" s="110"/>
      <c r="M986" s="105" t="str">
        <f t="shared" si="15"/>
        <v xml:space="preserve">   </v>
      </c>
    </row>
    <row r="987" spans="1:13" s="53" customFormat="1" hidden="1" x14ac:dyDescent="0.2">
      <c r="A987" s="381"/>
      <c r="B987" s="379"/>
      <c r="C987" s="106"/>
      <c r="D987" s="107"/>
      <c r="E987" s="108"/>
      <c r="F987" s="109"/>
      <c r="G987" s="103"/>
      <c r="H987" s="103"/>
      <c r="I987" s="102"/>
      <c r="J987" s="102"/>
      <c r="K987" s="78"/>
      <c r="L987" s="110"/>
      <c r="M987" s="105" t="str">
        <f t="shared" si="15"/>
        <v xml:space="preserve">   </v>
      </c>
    </row>
    <row r="988" spans="1:13" s="53" customFormat="1" hidden="1" x14ac:dyDescent="0.2">
      <c r="A988" s="381"/>
      <c r="B988" s="379"/>
      <c r="C988" s="106"/>
      <c r="D988" s="107"/>
      <c r="E988" s="108"/>
      <c r="F988" s="109"/>
      <c r="G988" s="103"/>
      <c r="H988" s="103"/>
      <c r="I988" s="102"/>
      <c r="J988" s="102"/>
      <c r="K988" s="78"/>
      <c r="L988" s="110"/>
      <c r="M988" s="105" t="str">
        <f t="shared" si="15"/>
        <v xml:space="preserve">   </v>
      </c>
    </row>
    <row r="989" spans="1:13" s="53" customFormat="1" hidden="1" x14ac:dyDescent="0.2">
      <c r="A989" s="381"/>
      <c r="B989" s="379"/>
      <c r="C989" s="106"/>
      <c r="D989" s="107"/>
      <c r="E989" s="108"/>
      <c r="F989" s="109"/>
      <c r="G989" s="103"/>
      <c r="H989" s="103"/>
      <c r="I989" s="102"/>
      <c r="J989" s="102"/>
      <c r="K989" s="78"/>
      <c r="L989" s="110"/>
      <c r="M989" s="105" t="str">
        <f t="shared" si="15"/>
        <v xml:space="preserve">   </v>
      </c>
    </row>
    <row r="990" spans="1:13" s="53" customFormat="1" hidden="1" x14ac:dyDescent="0.2">
      <c r="A990" s="381"/>
      <c r="B990" s="379"/>
      <c r="C990" s="106"/>
      <c r="D990" s="107"/>
      <c r="E990" s="108"/>
      <c r="F990" s="109"/>
      <c r="G990" s="103"/>
      <c r="H990" s="103"/>
      <c r="I990" s="102"/>
      <c r="J990" s="102"/>
      <c r="K990" s="78"/>
      <c r="L990" s="110"/>
      <c r="M990" s="105" t="str">
        <f t="shared" si="15"/>
        <v xml:space="preserve">   </v>
      </c>
    </row>
    <row r="991" spans="1:13" s="53" customFormat="1" hidden="1" x14ac:dyDescent="0.2">
      <c r="A991" s="381"/>
      <c r="B991" s="379"/>
      <c r="C991" s="106"/>
      <c r="D991" s="107"/>
      <c r="E991" s="108"/>
      <c r="F991" s="109"/>
      <c r="G991" s="103"/>
      <c r="H991" s="103"/>
      <c r="I991" s="102"/>
      <c r="J991" s="102"/>
      <c r="K991" s="78"/>
      <c r="L991" s="110"/>
      <c r="M991" s="105" t="str">
        <f t="shared" si="15"/>
        <v xml:space="preserve">   </v>
      </c>
    </row>
    <row r="992" spans="1:13" s="53" customFormat="1" hidden="1" x14ac:dyDescent="0.2">
      <c r="A992" s="381"/>
      <c r="B992" s="379"/>
      <c r="C992" s="106"/>
      <c r="D992" s="107"/>
      <c r="E992" s="108"/>
      <c r="F992" s="109"/>
      <c r="G992" s="103"/>
      <c r="H992" s="103"/>
      <c r="I992" s="102"/>
      <c r="J992" s="102"/>
      <c r="K992" s="78"/>
      <c r="L992" s="110"/>
      <c r="M992" s="105" t="str">
        <f t="shared" si="15"/>
        <v xml:space="preserve">   </v>
      </c>
    </row>
    <row r="993" spans="1:13" s="53" customFormat="1" ht="12.75" hidden="1" customHeight="1" x14ac:dyDescent="0.2">
      <c r="A993" s="381" t="s">
        <v>68</v>
      </c>
      <c r="B993" s="379" t="s">
        <v>88</v>
      </c>
      <c r="C993" s="102"/>
      <c r="D993" s="102"/>
      <c r="E993" s="102"/>
      <c r="F993" s="102"/>
      <c r="G993" s="103"/>
      <c r="H993" s="103"/>
      <c r="I993" s="102"/>
      <c r="J993" s="102"/>
      <c r="K993" s="78"/>
      <c r="L993" s="104" t="str">
        <f>CONCATENATE(C993," ",D993," ",E993," ",F993," ",C994," ",D994," ",E994," ",F994)</f>
        <v xml:space="preserve">       </v>
      </c>
      <c r="M993" s="105" t="str">
        <f t="shared" si="15"/>
        <v xml:space="preserve">   </v>
      </c>
    </row>
    <row r="994" spans="1:13" s="53" customFormat="1" hidden="1" x14ac:dyDescent="0.2">
      <c r="A994" s="381"/>
      <c r="B994" s="379"/>
      <c r="C994" s="106"/>
      <c r="D994" s="107"/>
      <c r="E994" s="108"/>
      <c r="F994" s="109"/>
      <c r="G994" s="103"/>
      <c r="H994" s="103"/>
      <c r="I994" s="102"/>
      <c r="J994" s="102"/>
      <c r="K994" s="78"/>
      <c r="L994" s="110"/>
      <c r="M994" s="105" t="str">
        <f t="shared" si="15"/>
        <v xml:space="preserve">   </v>
      </c>
    </row>
    <row r="995" spans="1:13" s="53" customFormat="1" hidden="1" x14ac:dyDescent="0.2">
      <c r="A995" s="381"/>
      <c r="B995" s="379"/>
      <c r="C995" s="106"/>
      <c r="D995" s="107"/>
      <c r="E995" s="108"/>
      <c r="F995" s="109"/>
      <c r="G995" s="103"/>
      <c r="H995" s="103"/>
      <c r="I995" s="102"/>
      <c r="J995" s="102"/>
      <c r="K995" s="78"/>
      <c r="L995" s="110"/>
      <c r="M995" s="105" t="str">
        <f t="shared" si="15"/>
        <v xml:space="preserve">   </v>
      </c>
    </row>
    <row r="996" spans="1:13" s="53" customFormat="1" hidden="1" x14ac:dyDescent="0.2">
      <c r="A996" s="381"/>
      <c r="B996" s="379"/>
      <c r="C996" s="106"/>
      <c r="D996" s="107"/>
      <c r="E996" s="108"/>
      <c r="F996" s="109"/>
      <c r="G996" s="103"/>
      <c r="H996" s="103"/>
      <c r="I996" s="102"/>
      <c r="J996" s="102"/>
      <c r="K996" s="78"/>
      <c r="L996" s="110"/>
      <c r="M996" s="105" t="str">
        <f t="shared" si="15"/>
        <v xml:space="preserve">   </v>
      </c>
    </row>
    <row r="997" spans="1:13" s="53" customFormat="1" hidden="1" x14ac:dyDescent="0.2">
      <c r="A997" s="381"/>
      <c r="B997" s="379"/>
      <c r="C997" s="106"/>
      <c r="D997" s="107"/>
      <c r="E997" s="108"/>
      <c r="F997" s="109"/>
      <c r="G997" s="103"/>
      <c r="H997" s="103"/>
      <c r="I997" s="102"/>
      <c r="J997" s="102"/>
      <c r="K997" s="78"/>
      <c r="L997" s="110"/>
      <c r="M997" s="105" t="str">
        <f t="shared" si="15"/>
        <v xml:space="preserve">   </v>
      </c>
    </row>
    <row r="998" spans="1:13" s="53" customFormat="1" hidden="1" x14ac:dyDescent="0.2">
      <c r="A998" s="381"/>
      <c r="B998" s="379"/>
      <c r="C998" s="106"/>
      <c r="D998" s="107"/>
      <c r="E998" s="108"/>
      <c r="F998" s="109"/>
      <c r="G998" s="103"/>
      <c r="H998" s="103"/>
      <c r="I998" s="102"/>
      <c r="J998" s="102"/>
      <c r="K998" s="78"/>
      <c r="L998" s="110"/>
      <c r="M998" s="105" t="str">
        <f t="shared" si="15"/>
        <v xml:space="preserve">   </v>
      </c>
    </row>
    <row r="999" spans="1:13" s="53" customFormat="1" hidden="1" x14ac:dyDescent="0.2">
      <c r="A999" s="381"/>
      <c r="B999" s="379"/>
      <c r="C999" s="106"/>
      <c r="D999" s="107"/>
      <c r="E999" s="108"/>
      <c r="F999" s="109"/>
      <c r="G999" s="103"/>
      <c r="H999" s="103"/>
      <c r="I999" s="102"/>
      <c r="J999" s="102"/>
      <c r="K999" s="78"/>
      <c r="L999" s="110"/>
      <c r="M999" s="105" t="str">
        <f t="shared" si="15"/>
        <v xml:space="preserve">   </v>
      </c>
    </row>
    <row r="1000" spans="1:13" s="53" customFormat="1" hidden="1" x14ac:dyDescent="0.2">
      <c r="A1000" s="381"/>
      <c r="B1000" s="379"/>
      <c r="C1000" s="106"/>
      <c r="D1000" s="107"/>
      <c r="E1000" s="108"/>
      <c r="F1000" s="109"/>
      <c r="G1000" s="103"/>
      <c r="H1000" s="103"/>
      <c r="I1000" s="102"/>
      <c r="J1000" s="102"/>
      <c r="K1000" s="78"/>
      <c r="L1000" s="110"/>
      <c r="M1000" s="105" t="str">
        <f t="shared" si="15"/>
        <v xml:space="preserve">   </v>
      </c>
    </row>
    <row r="1001" spans="1:13" s="53" customFormat="1" hidden="1" x14ac:dyDescent="0.2">
      <c r="A1001" s="381"/>
      <c r="B1001" s="379"/>
      <c r="C1001" s="106"/>
      <c r="D1001" s="107"/>
      <c r="E1001" s="108"/>
      <c r="F1001" s="109"/>
      <c r="G1001" s="103"/>
      <c r="H1001" s="103"/>
      <c r="I1001" s="102"/>
      <c r="J1001" s="102"/>
      <c r="K1001" s="78"/>
      <c r="L1001" s="110"/>
      <c r="M1001" s="105" t="str">
        <f t="shared" si="15"/>
        <v xml:space="preserve">   </v>
      </c>
    </row>
    <row r="1002" spans="1:13" s="53" customFormat="1" hidden="1" x14ac:dyDescent="0.2">
      <c r="A1002" s="381"/>
      <c r="B1002" s="379"/>
      <c r="C1002" s="106"/>
      <c r="D1002" s="107"/>
      <c r="E1002" s="108"/>
      <c r="F1002" s="109"/>
      <c r="G1002" s="103"/>
      <c r="H1002" s="103"/>
      <c r="I1002" s="102"/>
      <c r="J1002" s="102"/>
      <c r="K1002" s="78"/>
      <c r="L1002" s="110"/>
      <c r="M1002" s="105" t="str">
        <f t="shared" si="15"/>
        <v xml:space="preserve">   </v>
      </c>
    </row>
    <row r="1003" spans="1:13" s="53" customFormat="1" ht="12.75" hidden="1" customHeight="1" x14ac:dyDescent="0.2">
      <c r="A1003" s="381" t="s">
        <v>68</v>
      </c>
      <c r="B1003" s="379" t="s">
        <v>88</v>
      </c>
      <c r="C1003" s="102"/>
      <c r="D1003" s="102"/>
      <c r="E1003" s="102"/>
      <c r="F1003" s="102"/>
      <c r="G1003" s="103"/>
      <c r="H1003" s="103"/>
      <c r="I1003" s="102"/>
      <c r="J1003" s="102"/>
      <c r="K1003" s="78"/>
      <c r="L1003" s="104" t="str">
        <f>CONCATENATE(C1003," ",D1003," ",E1003," ",F1003," ",C1004," ",D1004," ",E1004," ",F1004)</f>
        <v xml:space="preserve">       </v>
      </c>
      <c r="M1003" s="105" t="str">
        <f t="shared" si="15"/>
        <v xml:space="preserve">   </v>
      </c>
    </row>
    <row r="1004" spans="1:13" s="53" customFormat="1" hidden="1" x14ac:dyDescent="0.2">
      <c r="A1004" s="381"/>
      <c r="B1004" s="379"/>
      <c r="C1004" s="106"/>
      <c r="D1004" s="107"/>
      <c r="E1004" s="108"/>
      <c r="F1004" s="109"/>
      <c r="G1004" s="103"/>
      <c r="H1004" s="103"/>
      <c r="I1004" s="102"/>
      <c r="J1004" s="102"/>
      <c r="K1004" s="78"/>
      <c r="L1004" s="110"/>
      <c r="M1004" s="105" t="str">
        <f t="shared" si="15"/>
        <v xml:space="preserve">   </v>
      </c>
    </row>
    <row r="1005" spans="1:13" s="53" customFormat="1" hidden="1" x14ac:dyDescent="0.2">
      <c r="A1005" s="381"/>
      <c r="B1005" s="379"/>
      <c r="C1005" s="106"/>
      <c r="D1005" s="107"/>
      <c r="E1005" s="108"/>
      <c r="F1005" s="109"/>
      <c r="G1005" s="103"/>
      <c r="H1005" s="103"/>
      <c r="I1005" s="102"/>
      <c r="J1005" s="102"/>
      <c r="K1005" s="78"/>
      <c r="L1005" s="110"/>
      <c r="M1005" s="105" t="str">
        <f t="shared" si="15"/>
        <v xml:space="preserve">   </v>
      </c>
    </row>
    <row r="1006" spans="1:13" s="53" customFormat="1" hidden="1" x14ac:dyDescent="0.2">
      <c r="A1006" s="381"/>
      <c r="B1006" s="379"/>
      <c r="C1006" s="106"/>
      <c r="D1006" s="107"/>
      <c r="E1006" s="108"/>
      <c r="F1006" s="109"/>
      <c r="G1006" s="103"/>
      <c r="H1006" s="103"/>
      <c r="I1006" s="102"/>
      <c r="J1006" s="102"/>
      <c r="K1006" s="78"/>
      <c r="L1006" s="110"/>
      <c r="M1006" s="105" t="str">
        <f t="shared" si="15"/>
        <v xml:space="preserve">   </v>
      </c>
    </row>
    <row r="1007" spans="1:13" s="53" customFormat="1" hidden="1" x14ac:dyDescent="0.2">
      <c r="A1007" s="381"/>
      <c r="B1007" s="379"/>
      <c r="C1007" s="106"/>
      <c r="D1007" s="107"/>
      <c r="E1007" s="108"/>
      <c r="F1007" s="109"/>
      <c r="G1007" s="103"/>
      <c r="H1007" s="103"/>
      <c r="I1007" s="102"/>
      <c r="J1007" s="102"/>
      <c r="K1007" s="78"/>
      <c r="L1007" s="110"/>
      <c r="M1007" s="105" t="str">
        <f t="shared" si="15"/>
        <v xml:space="preserve">   </v>
      </c>
    </row>
    <row r="1008" spans="1:13" s="53" customFormat="1" hidden="1" x14ac:dyDescent="0.2">
      <c r="A1008" s="381"/>
      <c r="B1008" s="379"/>
      <c r="C1008" s="106"/>
      <c r="D1008" s="107"/>
      <c r="E1008" s="108"/>
      <c r="F1008" s="109"/>
      <c r="G1008" s="103"/>
      <c r="H1008" s="103"/>
      <c r="I1008" s="102"/>
      <c r="J1008" s="102"/>
      <c r="K1008" s="78"/>
      <c r="L1008" s="110"/>
      <c r="M1008" s="105" t="str">
        <f t="shared" si="15"/>
        <v xml:space="preserve">   </v>
      </c>
    </row>
    <row r="1009" spans="1:13" s="53" customFormat="1" hidden="1" x14ac:dyDescent="0.2">
      <c r="A1009" s="381"/>
      <c r="B1009" s="379"/>
      <c r="C1009" s="106"/>
      <c r="D1009" s="107"/>
      <c r="E1009" s="108"/>
      <c r="F1009" s="109"/>
      <c r="G1009" s="103"/>
      <c r="H1009" s="103"/>
      <c r="I1009" s="102"/>
      <c r="J1009" s="102"/>
      <c r="K1009" s="78"/>
      <c r="L1009" s="110"/>
      <c r="M1009" s="105" t="str">
        <f t="shared" si="15"/>
        <v xml:space="preserve">   </v>
      </c>
    </row>
    <row r="1010" spans="1:13" s="53" customFormat="1" hidden="1" x14ac:dyDescent="0.2">
      <c r="A1010" s="381"/>
      <c r="B1010" s="379"/>
      <c r="C1010" s="106"/>
      <c r="D1010" s="107"/>
      <c r="E1010" s="108"/>
      <c r="F1010" s="109"/>
      <c r="G1010" s="103"/>
      <c r="H1010" s="103"/>
      <c r="I1010" s="102"/>
      <c r="J1010" s="102"/>
      <c r="K1010" s="78"/>
      <c r="L1010" s="110"/>
      <c r="M1010" s="105" t="str">
        <f t="shared" si="15"/>
        <v xml:space="preserve">   </v>
      </c>
    </row>
    <row r="1011" spans="1:13" s="53" customFormat="1" hidden="1" x14ac:dyDescent="0.2">
      <c r="A1011" s="381"/>
      <c r="B1011" s="379"/>
      <c r="C1011" s="106"/>
      <c r="D1011" s="107"/>
      <c r="E1011" s="108"/>
      <c r="F1011" s="109"/>
      <c r="G1011" s="103"/>
      <c r="H1011" s="103"/>
      <c r="I1011" s="102"/>
      <c r="J1011" s="102"/>
      <c r="K1011" s="78"/>
      <c r="L1011" s="110"/>
      <c r="M1011" s="105" t="str">
        <f t="shared" si="15"/>
        <v xml:space="preserve">   </v>
      </c>
    </row>
    <row r="1012" spans="1:13" s="53" customFormat="1" hidden="1" x14ac:dyDescent="0.2">
      <c r="A1012" s="381"/>
      <c r="B1012" s="379"/>
      <c r="C1012" s="106"/>
      <c r="D1012" s="107"/>
      <c r="E1012" s="108"/>
      <c r="F1012" s="109"/>
      <c r="G1012" s="103"/>
      <c r="H1012" s="103"/>
      <c r="I1012" s="102"/>
      <c r="J1012" s="102"/>
      <c r="K1012" s="78"/>
      <c r="L1012" s="110"/>
      <c r="M1012" s="105" t="str">
        <f t="shared" si="15"/>
        <v xml:space="preserve">   </v>
      </c>
    </row>
    <row r="1013" spans="1:13" s="53" customFormat="1" ht="12.75" hidden="1" customHeight="1" x14ac:dyDescent="0.2">
      <c r="A1013" s="381" t="s">
        <v>68</v>
      </c>
      <c r="B1013" s="379" t="s">
        <v>88</v>
      </c>
      <c r="C1013" s="102"/>
      <c r="D1013" s="102"/>
      <c r="E1013" s="102"/>
      <c r="F1013" s="102"/>
      <c r="G1013" s="103"/>
      <c r="H1013" s="103"/>
      <c r="I1013" s="102"/>
      <c r="J1013" s="102"/>
      <c r="K1013" s="78"/>
      <c r="L1013" s="104" t="str">
        <f>CONCATENATE(C1013," ",D1013," ",E1013," ",F1013," ",C1014," ",D1014," ",E1014," ",F1014)</f>
        <v xml:space="preserve">       </v>
      </c>
      <c r="M1013" s="105" t="str">
        <f t="shared" si="15"/>
        <v xml:space="preserve">   </v>
      </c>
    </row>
    <row r="1014" spans="1:13" s="53" customFormat="1" hidden="1" x14ac:dyDescent="0.2">
      <c r="A1014" s="381"/>
      <c r="B1014" s="379"/>
      <c r="C1014" s="106"/>
      <c r="D1014" s="107"/>
      <c r="E1014" s="108"/>
      <c r="F1014" s="109"/>
      <c r="G1014" s="103"/>
      <c r="H1014" s="103"/>
      <c r="I1014" s="102"/>
      <c r="J1014" s="102"/>
      <c r="K1014" s="78"/>
      <c r="L1014" s="110"/>
      <c r="M1014" s="105" t="str">
        <f t="shared" si="15"/>
        <v xml:space="preserve">   </v>
      </c>
    </row>
    <row r="1015" spans="1:13" s="53" customFormat="1" hidden="1" x14ac:dyDescent="0.2">
      <c r="A1015" s="381"/>
      <c r="B1015" s="379"/>
      <c r="C1015" s="106"/>
      <c r="D1015" s="107"/>
      <c r="E1015" s="108"/>
      <c r="F1015" s="109"/>
      <c r="G1015" s="103"/>
      <c r="H1015" s="103"/>
      <c r="I1015" s="102"/>
      <c r="J1015" s="102"/>
      <c r="K1015" s="78"/>
      <c r="L1015" s="110"/>
      <c r="M1015" s="105" t="str">
        <f t="shared" si="15"/>
        <v xml:space="preserve">   </v>
      </c>
    </row>
    <row r="1016" spans="1:13" s="53" customFormat="1" hidden="1" x14ac:dyDescent="0.2">
      <c r="A1016" s="381"/>
      <c r="B1016" s="379"/>
      <c r="C1016" s="106"/>
      <c r="D1016" s="107"/>
      <c r="E1016" s="108"/>
      <c r="F1016" s="109"/>
      <c r="G1016" s="103"/>
      <c r="H1016" s="103"/>
      <c r="I1016" s="102"/>
      <c r="J1016" s="102"/>
      <c r="K1016" s="78"/>
      <c r="L1016" s="110"/>
      <c r="M1016" s="105" t="str">
        <f t="shared" si="15"/>
        <v xml:space="preserve">   </v>
      </c>
    </row>
    <row r="1017" spans="1:13" s="53" customFormat="1" hidden="1" x14ac:dyDescent="0.2">
      <c r="A1017" s="381"/>
      <c r="B1017" s="379"/>
      <c r="C1017" s="106"/>
      <c r="D1017" s="107"/>
      <c r="E1017" s="108"/>
      <c r="F1017" s="109"/>
      <c r="G1017" s="103"/>
      <c r="H1017" s="103"/>
      <c r="I1017" s="102"/>
      <c r="J1017" s="102"/>
      <c r="K1017" s="78"/>
      <c r="L1017" s="110"/>
      <c r="M1017" s="105" t="str">
        <f t="shared" si="15"/>
        <v xml:space="preserve">   </v>
      </c>
    </row>
    <row r="1018" spans="1:13" s="53" customFormat="1" hidden="1" x14ac:dyDescent="0.2">
      <c r="A1018" s="381"/>
      <c r="B1018" s="379"/>
      <c r="C1018" s="106"/>
      <c r="D1018" s="107"/>
      <c r="E1018" s="108"/>
      <c r="F1018" s="109"/>
      <c r="G1018" s="103"/>
      <c r="H1018" s="103"/>
      <c r="I1018" s="102"/>
      <c r="J1018" s="102"/>
      <c r="K1018" s="78"/>
      <c r="L1018" s="110"/>
      <c r="M1018" s="105" t="str">
        <f t="shared" si="15"/>
        <v xml:space="preserve">   </v>
      </c>
    </row>
    <row r="1019" spans="1:13" s="53" customFormat="1" hidden="1" x14ac:dyDescent="0.2">
      <c r="A1019" s="381"/>
      <c r="B1019" s="379"/>
      <c r="C1019" s="106"/>
      <c r="D1019" s="107"/>
      <c r="E1019" s="108"/>
      <c r="F1019" s="109"/>
      <c r="G1019" s="103"/>
      <c r="H1019" s="103"/>
      <c r="I1019" s="102"/>
      <c r="J1019" s="102"/>
      <c r="K1019" s="78"/>
      <c r="L1019" s="110"/>
      <c r="M1019" s="105" t="str">
        <f t="shared" si="15"/>
        <v xml:space="preserve">   </v>
      </c>
    </row>
    <row r="1020" spans="1:13" s="53" customFormat="1" hidden="1" x14ac:dyDescent="0.2">
      <c r="A1020" s="381"/>
      <c r="B1020" s="379"/>
      <c r="C1020" s="106"/>
      <c r="D1020" s="107"/>
      <c r="E1020" s="108"/>
      <c r="F1020" s="109"/>
      <c r="G1020" s="103"/>
      <c r="H1020" s="103"/>
      <c r="I1020" s="102"/>
      <c r="J1020" s="102"/>
      <c r="K1020" s="78"/>
      <c r="L1020" s="110"/>
      <c r="M1020" s="105" t="str">
        <f t="shared" si="15"/>
        <v xml:space="preserve">   </v>
      </c>
    </row>
    <row r="1021" spans="1:13" s="53" customFormat="1" hidden="1" x14ac:dyDescent="0.2">
      <c r="A1021" s="381"/>
      <c r="B1021" s="379"/>
      <c r="C1021" s="106"/>
      <c r="D1021" s="107"/>
      <c r="E1021" s="108"/>
      <c r="F1021" s="109"/>
      <c r="G1021" s="103"/>
      <c r="H1021" s="103"/>
      <c r="I1021" s="102"/>
      <c r="J1021" s="102"/>
      <c r="K1021" s="78"/>
      <c r="L1021" s="110"/>
      <c r="M1021" s="105" t="str">
        <f t="shared" si="15"/>
        <v xml:space="preserve">   </v>
      </c>
    </row>
    <row r="1022" spans="1:13" s="53" customFormat="1" hidden="1" x14ac:dyDescent="0.2">
      <c r="A1022" s="381"/>
      <c r="B1022" s="379"/>
      <c r="C1022" s="106"/>
      <c r="D1022" s="107"/>
      <c r="E1022" s="108"/>
      <c r="F1022" s="109"/>
      <c r="G1022" s="103"/>
      <c r="H1022" s="103"/>
      <c r="I1022" s="102"/>
      <c r="J1022" s="102"/>
      <c r="K1022" s="78"/>
      <c r="L1022" s="110"/>
      <c r="M1022" s="105" t="str">
        <f t="shared" si="15"/>
        <v xml:space="preserve">   </v>
      </c>
    </row>
    <row r="1023" spans="1:13" s="53" customFormat="1" ht="12.75" hidden="1" customHeight="1" x14ac:dyDescent="0.2">
      <c r="A1023" s="381" t="s">
        <v>68</v>
      </c>
      <c r="B1023" s="379" t="s">
        <v>88</v>
      </c>
      <c r="C1023" s="102"/>
      <c r="D1023" s="102"/>
      <c r="E1023" s="102"/>
      <c r="F1023" s="102"/>
      <c r="G1023" s="103"/>
      <c r="H1023" s="103"/>
      <c r="I1023" s="102"/>
      <c r="J1023" s="102"/>
      <c r="K1023" s="78"/>
      <c r="L1023" s="104" t="str">
        <f>CONCATENATE(C1023," ",D1023," ",E1023," ",F1023," ",C1024," ",D1024," ",E1024," ",F1024)</f>
        <v xml:space="preserve">       </v>
      </c>
      <c r="M1023" s="105" t="str">
        <f t="shared" si="15"/>
        <v xml:space="preserve">   </v>
      </c>
    </row>
    <row r="1024" spans="1:13" s="53" customFormat="1" hidden="1" x14ac:dyDescent="0.2">
      <c r="A1024" s="381"/>
      <c r="B1024" s="379"/>
      <c r="C1024" s="106"/>
      <c r="D1024" s="107"/>
      <c r="E1024" s="108"/>
      <c r="F1024" s="109"/>
      <c r="G1024" s="103"/>
      <c r="H1024" s="103"/>
      <c r="I1024" s="102"/>
      <c r="J1024" s="102"/>
      <c r="K1024" s="78"/>
      <c r="L1024" s="110"/>
      <c r="M1024" s="105" t="str">
        <f t="shared" si="15"/>
        <v xml:space="preserve">   </v>
      </c>
    </row>
    <row r="1025" spans="1:13" s="53" customFormat="1" hidden="1" x14ac:dyDescent="0.2">
      <c r="A1025" s="381"/>
      <c r="B1025" s="379"/>
      <c r="C1025" s="106"/>
      <c r="D1025" s="107"/>
      <c r="E1025" s="108"/>
      <c r="F1025" s="109"/>
      <c r="G1025" s="103"/>
      <c r="H1025" s="103"/>
      <c r="I1025" s="102"/>
      <c r="J1025" s="102"/>
      <c r="K1025" s="78"/>
      <c r="L1025" s="110"/>
      <c r="M1025" s="105" t="str">
        <f t="shared" si="15"/>
        <v xml:space="preserve">   </v>
      </c>
    </row>
    <row r="1026" spans="1:13" s="53" customFormat="1" hidden="1" x14ac:dyDescent="0.2">
      <c r="A1026" s="381"/>
      <c r="B1026" s="379"/>
      <c r="C1026" s="106"/>
      <c r="D1026" s="107"/>
      <c r="E1026" s="108"/>
      <c r="F1026" s="109"/>
      <c r="G1026" s="103"/>
      <c r="H1026" s="103"/>
      <c r="I1026" s="102"/>
      <c r="J1026" s="102"/>
      <c r="K1026" s="78"/>
      <c r="L1026" s="110"/>
      <c r="M1026" s="105" t="str">
        <f t="shared" si="15"/>
        <v xml:space="preserve">   </v>
      </c>
    </row>
    <row r="1027" spans="1:13" s="53" customFormat="1" hidden="1" x14ac:dyDescent="0.2">
      <c r="A1027" s="381"/>
      <c r="B1027" s="379"/>
      <c r="C1027" s="106"/>
      <c r="D1027" s="107"/>
      <c r="E1027" s="108"/>
      <c r="F1027" s="109"/>
      <c r="G1027" s="103"/>
      <c r="H1027" s="103"/>
      <c r="I1027" s="102"/>
      <c r="J1027" s="102"/>
      <c r="K1027" s="78"/>
      <c r="L1027" s="110"/>
      <c r="M1027" s="105" t="str">
        <f t="shared" si="15"/>
        <v xml:space="preserve">   </v>
      </c>
    </row>
    <row r="1028" spans="1:13" s="53" customFormat="1" hidden="1" x14ac:dyDescent="0.2">
      <c r="A1028" s="381"/>
      <c r="B1028" s="379"/>
      <c r="C1028" s="106"/>
      <c r="D1028" s="107"/>
      <c r="E1028" s="108"/>
      <c r="F1028" s="109"/>
      <c r="G1028" s="103"/>
      <c r="H1028" s="103"/>
      <c r="I1028" s="102"/>
      <c r="J1028" s="102"/>
      <c r="K1028" s="78"/>
      <c r="L1028" s="110"/>
      <c r="M1028" s="105" t="str">
        <f t="shared" si="15"/>
        <v xml:space="preserve">   </v>
      </c>
    </row>
    <row r="1029" spans="1:13" s="53" customFormat="1" hidden="1" x14ac:dyDescent="0.2">
      <c r="A1029" s="381"/>
      <c r="B1029" s="379"/>
      <c r="C1029" s="106"/>
      <c r="D1029" s="107"/>
      <c r="E1029" s="108"/>
      <c r="F1029" s="109"/>
      <c r="G1029" s="103"/>
      <c r="H1029" s="103"/>
      <c r="I1029" s="102"/>
      <c r="J1029" s="102"/>
      <c r="K1029" s="78"/>
      <c r="L1029" s="110"/>
      <c r="M1029" s="105" t="str">
        <f t="shared" si="15"/>
        <v xml:space="preserve">   </v>
      </c>
    </row>
    <row r="1030" spans="1:13" s="53" customFormat="1" hidden="1" x14ac:dyDescent="0.2">
      <c r="A1030" s="381"/>
      <c r="B1030" s="379"/>
      <c r="C1030" s="106"/>
      <c r="D1030" s="107"/>
      <c r="E1030" s="108"/>
      <c r="F1030" s="109"/>
      <c r="G1030" s="103"/>
      <c r="H1030" s="103"/>
      <c r="I1030" s="102"/>
      <c r="J1030" s="102"/>
      <c r="K1030" s="78"/>
      <c r="L1030" s="110"/>
      <c r="M1030" s="105" t="str">
        <f t="shared" si="15"/>
        <v xml:space="preserve">   </v>
      </c>
    </row>
    <row r="1031" spans="1:13" s="53" customFormat="1" hidden="1" x14ac:dyDescent="0.2">
      <c r="A1031" s="381"/>
      <c r="B1031" s="379"/>
      <c r="C1031" s="106"/>
      <c r="D1031" s="107"/>
      <c r="E1031" s="108"/>
      <c r="F1031" s="109"/>
      <c r="G1031" s="103"/>
      <c r="H1031" s="103"/>
      <c r="I1031" s="102"/>
      <c r="J1031" s="102"/>
      <c r="K1031" s="78"/>
      <c r="L1031" s="110"/>
      <c r="M1031" s="105" t="str">
        <f t="shared" si="15"/>
        <v xml:space="preserve">   </v>
      </c>
    </row>
    <row r="1032" spans="1:13" s="53" customFormat="1" hidden="1" x14ac:dyDescent="0.2">
      <c r="A1032" s="381"/>
      <c r="B1032" s="379"/>
      <c r="C1032" s="106"/>
      <c r="D1032" s="107"/>
      <c r="E1032" s="108"/>
      <c r="F1032" s="109"/>
      <c r="G1032" s="103"/>
      <c r="H1032" s="103"/>
      <c r="I1032" s="102"/>
      <c r="J1032" s="102"/>
      <c r="K1032" s="78"/>
      <c r="L1032" s="110"/>
      <c r="M1032" s="105" t="str">
        <f t="shared" si="15"/>
        <v xml:space="preserve">   </v>
      </c>
    </row>
    <row r="1033" spans="1:13" s="53" customFormat="1" ht="12.75" hidden="1" customHeight="1" x14ac:dyDescent="0.2">
      <c r="A1033" s="381" t="s">
        <v>68</v>
      </c>
      <c r="B1033" s="379" t="s">
        <v>88</v>
      </c>
      <c r="C1033" s="102"/>
      <c r="D1033" s="102"/>
      <c r="E1033" s="102"/>
      <c r="F1033" s="102"/>
      <c r="G1033" s="103"/>
      <c r="H1033" s="103"/>
      <c r="I1033" s="102"/>
      <c r="J1033" s="102"/>
      <c r="K1033" s="78"/>
      <c r="L1033" s="104" t="str">
        <f>CONCATENATE(C1033," ",D1033," ",E1033," ",F1033," ",C1034," ",D1034," ",E1034," ",F1034)</f>
        <v xml:space="preserve">       </v>
      </c>
      <c r="M1033" s="105" t="str">
        <f t="shared" si="15"/>
        <v xml:space="preserve">   </v>
      </c>
    </row>
    <row r="1034" spans="1:13" s="53" customFormat="1" hidden="1" x14ac:dyDescent="0.2">
      <c r="A1034" s="381"/>
      <c r="B1034" s="379"/>
      <c r="C1034" s="106"/>
      <c r="D1034" s="107"/>
      <c r="E1034" s="108"/>
      <c r="F1034" s="109"/>
      <c r="G1034" s="103"/>
      <c r="H1034" s="103"/>
      <c r="I1034" s="102"/>
      <c r="J1034" s="102"/>
      <c r="K1034" s="78"/>
      <c r="L1034" s="110"/>
      <c r="M1034" s="105" t="str">
        <f t="shared" si="15"/>
        <v xml:space="preserve">   </v>
      </c>
    </row>
    <row r="1035" spans="1:13" s="53" customFormat="1" hidden="1" x14ac:dyDescent="0.2">
      <c r="A1035" s="381"/>
      <c r="B1035" s="379"/>
      <c r="C1035" s="106"/>
      <c r="D1035" s="107"/>
      <c r="E1035" s="108"/>
      <c r="F1035" s="109"/>
      <c r="G1035" s="103"/>
      <c r="H1035" s="103"/>
      <c r="I1035" s="102"/>
      <c r="J1035" s="102"/>
      <c r="K1035" s="78"/>
      <c r="L1035" s="110"/>
      <c r="M1035" s="105" t="str">
        <f t="shared" ref="M1035:M1098" si="16">CONCATENATE(G1035," ",H1035," ",I1035," ",J1035)</f>
        <v xml:space="preserve">   </v>
      </c>
    </row>
    <row r="1036" spans="1:13" s="53" customFormat="1" hidden="1" x14ac:dyDescent="0.2">
      <c r="A1036" s="381"/>
      <c r="B1036" s="379"/>
      <c r="C1036" s="106"/>
      <c r="D1036" s="107"/>
      <c r="E1036" s="108"/>
      <c r="F1036" s="109"/>
      <c r="G1036" s="103"/>
      <c r="H1036" s="103"/>
      <c r="I1036" s="102"/>
      <c r="J1036" s="102"/>
      <c r="K1036" s="78"/>
      <c r="L1036" s="110"/>
      <c r="M1036" s="105" t="str">
        <f t="shared" si="16"/>
        <v xml:space="preserve">   </v>
      </c>
    </row>
    <row r="1037" spans="1:13" s="53" customFormat="1" hidden="1" x14ac:dyDescent="0.2">
      <c r="A1037" s="381"/>
      <c r="B1037" s="379"/>
      <c r="C1037" s="106"/>
      <c r="D1037" s="107"/>
      <c r="E1037" s="108"/>
      <c r="F1037" s="109"/>
      <c r="G1037" s="103"/>
      <c r="H1037" s="103"/>
      <c r="I1037" s="102"/>
      <c r="J1037" s="102"/>
      <c r="K1037" s="78"/>
      <c r="L1037" s="110"/>
      <c r="M1037" s="105" t="str">
        <f t="shared" si="16"/>
        <v xml:space="preserve">   </v>
      </c>
    </row>
    <row r="1038" spans="1:13" s="53" customFormat="1" hidden="1" x14ac:dyDescent="0.2">
      <c r="A1038" s="381"/>
      <c r="B1038" s="379"/>
      <c r="C1038" s="106"/>
      <c r="D1038" s="107"/>
      <c r="E1038" s="108"/>
      <c r="F1038" s="109"/>
      <c r="G1038" s="103"/>
      <c r="H1038" s="103"/>
      <c r="I1038" s="102"/>
      <c r="J1038" s="102"/>
      <c r="K1038" s="78"/>
      <c r="L1038" s="110"/>
      <c r="M1038" s="105" t="str">
        <f t="shared" si="16"/>
        <v xml:space="preserve">   </v>
      </c>
    </row>
    <row r="1039" spans="1:13" s="53" customFormat="1" hidden="1" x14ac:dyDescent="0.2">
      <c r="A1039" s="381"/>
      <c r="B1039" s="379"/>
      <c r="C1039" s="106"/>
      <c r="D1039" s="107"/>
      <c r="E1039" s="108"/>
      <c r="F1039" s="109"/>
      <c r="G1039" s="103"/>
      <c r="H1039" s="103"/>
      <c r="I1039" s="102"/>
      <c r="J1039" s="102"/>
      <c r="K1039" s="78"/>
      <c r="L1039" s="110"/>
      <c r="M1039" s="105" t="str">
        <f t="shared" si="16"/>
        <v xml:space="preserve">   </v>
      </c>
    </row>
    <row r="1040" spans="1:13" s="53" customFormat="1" hidden="1" x14ac:dyDescent="0.2">
      <c r="A1040" s="381"/>
      <c r="B1040" s="379"/>
      <c r="C1040" s="106"/>
      <c r="D1040" s="107"/>
      <c r="E1040" s="108"/>
      <c r="F1040" s="109"/>
      <c r="G1040" s="103"/>
      <c r="H1040" s="103"/>
      <c r="I1040" s="102"/>
      <c r="J1040" s="102"/>
      <c r="K1040" s="78"/>
      <c r="L1040" s="110"/>
      <c r="M1040" s="105" t="str">
        <f t="shared" si="16"/>
        <v xml:space="preserve">   </v>
      </c>
    </row>
    <row r="1041" spans="1:13" s="53" customFormat="1" hidden="1" x14ac:dyDescent="0.2">
      <c r="A1041" s="381"/>
      <c r="B1041" s="379"/>
      <c r="C1041" s="106"/>
      <c r="D1041" s="107"/>
      <c r="E1041" s="108"/>
      <c r="F1041" s="109"/>
      <c r="G1041" s="103"/>
      <c r="H1041" s="103"/>
      <c r="I1041" s="102"/>
      <c r="J1041" s="102"/>
      <c r="K1041" s="78"/>
      <c r="L1041" s="110"/>
      <c r="M1041" s="105" t="str">
        <f t="shared" si="16"/>
        <v xml:space="preserve">   </v>
      </c>
    </row>
    <row r="1042" spans="1:13" s="53" customFormat="1" hidden="1" x14ac:dyDescent="0.2">
      <c r="A1042" s="381"/>
      <c r="B1042" s="379"/>
      <c r="C1042" s="106"/>
      <c r="D1042" s="107"/>
      <c r="E1042" s="108"/>
      <c r="F1042" s="109"/>
      <c r="G1042" s="103"/>
      <c r="H1042" s="103"/>
      <c r="I1042" s="102"/>
      <c r="J1042" s="102"/>
      <c r="K1042" s="78"/>
      <c r="L1042" s="110"/>
      <c r="M1042" s="105" t="str">
        <f t="shared" si="16"/>
        <v xml:space="preserve">   </v>
      </c>
    </row>
    <row r="1043" spans="1:13" s="53" customFormat="1" ht="12.75" hidden="1" customHeight="1" x14ac:dyDescent="0.2">
      <c r="A1043" s="381" t="s">
        <v>68</v>
      </c>
      <c r="B1043" s="379" t="s">
        <v>88</v>
      </c>
      <c r="C1043" s="102"/>
      <c r="D1043" s="102"/>
      <c r="E1043" s="102"/>
      <c r="F1043" s="102"/>
      <c r="G1043" s="103"/>
      <c r="H1043" s="103"/>
      <c r="I1043" s="102"/>
      <c r="J1043" s="102"/>
      <c r="K1043" s="78"/>
      <c r="L1043" s="104" t="str">
        <f>CONCATENATE(C1043," ",D1043," ",E1043," ",F1043," ",C1044," ",D1044," ",E1044," ",F1044)</f>
        <v xml:space="preserve">       </v>
      </c>
      <c r="M1043" s="105" t="str">
        <f t="shared" si="16"/>
        <v xml:space="preserve">   </v>
      </c>
    </row>
    <row r="1044" spans="1:13" s="53" customFormat="1" hidden="1" x14ac:dyDescent="0.2">
      <c r="A1044" s="381"/>
      <c r="B1044" s="379"/>
      <c r="C1044" s="106"/>
      <c r="D1044" s="107"/>
      <c r="E1044" s="108"/>
      <c r="F1044" s="109"/>
      <c r="G1044" s="103"/>
      <c r="H1044" s="103"/>
      <c r="I1044" s="102"/>
      <c r="J1044" s="102"/>
      <c r="K1044" s="78"/>
      <c r="L1044" s="110"/>
      <c r="M1044" s="105" t="str">
        <f t="shared" si="16"/>
        <v xml:space="preserve">   </v>
      </c>
    </row>
    <row r="1045" spans="1:13" s="53" customFormat="1" hidden="1" x14ac:dyDescent="0.2">
      <c r="A1045" s="381"/>
      <c r="B1045" s="379"/>
      <c r="C1045" s="106"/>
      <c r="D1045" s="107"/>
      <c r="E1045" s="108"/>
      <c r="F1045" s="109"/>
      <c r="G1045" s="103"/>
      <c r="H1045" s="103"/>
      <c r="I1045" s="102"/>
      <c r="J1045" s="102"/>
      <c r="K1045" s="78"/>
      <c r="L1045" s="110"/>
      <c r="M1045" s="105" t="str">
        <f t="shared" si="16"/>
        <v xml:space="preserve">   </v>
      </c>
    </row>
    <row r="1046" spans="1:13" s="53" customFormat="1" hidden="1" x14ac:dyDescent="0.2">
      <c r="A1046" s="381"/>
      <c r="B1046" s="379"/>
      <c r="C1046" s="106"/>
      <c r="D1046" s="107"/>
      <c r="E1046" s="108"/>
      <c r="F1046" s="109"/>
      <c r="G1046" s="103"/>
      <c r="H1046" s="103"/>
      <c r="I1046" s="102"/>
      <c r="J1046" s="102"/>
      <c r="K1046" s="78"/>
      <c r="L1046" s="110"/>
      <c r="M1046" s="105" t="str">
        <f t="shared" si="16"/>
        <v xml:space="preserve">   </v>
      </c>
    </row>
    <row r="1047" spans="1:13" s="53" customFormat="1" hidden="1" x14ac:dyDescent="0.2">
      <c r="A1047" s="381"/>
      <c r="B1047" s="379"/>
      <c r="C1047" s="106"/>
      <c r="D1047" s="107"/>
      <c r="E1047" s="108"/>
      <c r="F1047" s="109"/>
      <c r="G1047" s="103"/>
      <c r="H1047" s="103"/>
      <c r="I1047" s="102"/>
      <c r="J1047" s="102"/>
      <c r="K1047" s="78"/>
      <c r="L1047" s="110"/>
      <c r="M1047" s="105" t="str">
        <f t="shared" si="16"/>
        <v xml:space="preserve">   </v>
      </c>
    </row>
    <row r="1048" spans="1:13" s="53" customFormat="1" hidden="1" x14ac:dyDescent="0.2">
      <c r="A1048" s="381"/>
      <c r="B1048" s="379"/>
      <c r="C1048" s="106"/>
      <c r="D1048" s="107"/>
      <c r="E1048" s="108"/>
      <c r="F1048" s="109"/>
      <c r="G1048" s="103"/>
      <c r="H1048" s="103"/>
      <c r="I1048" s="102"/>
      <c r="J1048" s="102"/>
      <c r="K1048" s="78"/>
      <c r="L1048" s="110"/>
      <c r="M1048" s="105" t="str">
        <f t="shared" si="16"/>
        <v xml:space="preserve">   </v>
      </c>
    </row>
    <row r="1049" spans="1:13" s="53" customFormat="1" hidden="1" x14ac:dyDescent="0.2">
      <c r="A1049" s="381"/>
      <c r="B1049" s="379"/>
      <c r="C1049" s="106"/>
      <c r="D1049" s="107"/>
      <c r="E1049" s="108"/>
      <c r="F1049" s="109"/>
      <c r="G1049" s="103"/>
      <c r="H1049" s="103"/>
      <c r="I1049" s="102"/>
      <c r="J1049" s="102"/>
      <c r="K1049" s="78"/>
      <c r="L1049" s="110"/>
      <c r="M1049" s="105" t="str">
        <f t="shared" si="16"/>
        <v xml:space="preserve">   </v>
      </c>
    </row>
    <row r="1050" spans="1:13" s="53" customFormat="1" hidden="1" x14ac:dyDescent="0.2">
      <c r="A1050" s="381"/>
      <c r="B1050" s="379"/>
      <c r="C1050" s="106"/>
      <c r="D1050" s="107"/>
      <c r="E1050" s="108"/>
      <c r="F1050" s="109"/>
      <c r="G1050" s="103"/>
      <c r="H1050" s="103"/>
      <c r="I1050" s="102"/>
      <c r="J1050" s="102"/>
      <c r="K1050" s="78"/>
      <c r="L1050" s="110"/>
      <c r="M1050" s="105" t="str">
        <f t="shared" si="16"/>
        <v xml:space="preserve">   </v>
      </c>
    </row>
    <row r="1051" spans="1:13" s="53" customFormat="1" hidden="1" x14ac:dyDescent="0.2">
      <c r="A1051" s="381"/>
      <c r="B1051" s="379"/>
      <c r="C1051" s="106"/>
      <c r="D1051" s="107"/>
      <c r="E1051" s="108"/>
      <c r="F1051" s="109"/>
      <c r="G1051" s="103"/>
      <c r="H1051" s="103"/>
      <c r="I1051" s="102"/>
      <c r="J1051" s="102"/>
      <c r="K1051" s="78"/>
      <c r="L1051" s="110"/>
      <c r="M1051" s="105" t="str">
        <f t="shared" si="16"/>
        <v xml:space="preserve">   </v>
      </c>
    </row>
    <row r="1052" spans="1:13" s="53" customFormat="1" hidden="1" x14ac:dyDescent="0.2">
      <c r="A1052" s="381"/>
      <c r="B1052" s="379"/>
      <c r="C1052" s="106"/>
      <c r="D1052" s="107"/>
      <c r="E1052" s="108"/>
      <c r="F1052" s="109"/>
      <c r="G1052" s="103"/>
      <c r="H1052" s="103"/>
      <c r="I1052" s="102"/>
      <c r="J1052" s="102"/>
      <c r="K1052" s="78"/>
      <c r="L1052" s="110"/>
      <c r="M1052" s="105" t="str">
        <f t="shared" si="16"/>
        <v xml:space="preserve">   </v>
      </c>
    </row>
    <row r="1053" spans="1:13" s="53" customFormat="1" ht="12.75" hidden="1" customHeight="1" x14ac:dyDescent="0.2">
      <c r="A1053" s="381" t="s">
        <v>68</v>
      </c>
      <c r="B1053" s="379" t="s">
        <v>88</v>
      </c>
      <c r="C1053" s="102"/>
      <c r="D1053" s="102"/>
      <c r="E1053" s="102"/>
      <c r="F1053" s="102"/>
      <c r="G1053" s="103"/>
      <c r="H1053" s="103"/>
      <c r="I1053" s="102"/>
      <c r="J1053" s="102"/>
      <c r="K1053" s="78"/>
      <c r="L1053" s="104" t="str">
        <f>CONCATENATE(C1053," ",D1053," ",E1053," ",F1053," ",C1054," ",D1054," ",E1054," ",F1054)</f>
        <v xml:space="preserve">       </v>
      </c>
      <c r="M1053" s="105" t="str">
        <f t="shared" si="16"/>
        <v xml:space="preserve">   </v>
      </c>
    </row>
    <row r="1054" spans="1:13" s="53" customFormat="1" hidden="1" x14ac:dyDescent="0.2">
      <c r="A1054" s="381"/>
      <c r="B1054" s="379"/>
      <c r="C1054" s="106"/>
      <c r="D1054" s="107"/>
      <c r="E1054" s="108"/>
      <c r="F1054" s="109"/>
      <c r="G1054" s="103"/>
      <c r="H1054" s="103"/>
      <c r="I1054" s="102"/>
      <c r="J1054" s="102"/>
      <c r="K1054" s="78"/>
      <c r="L1054" s="110"/>
      <c r="M1054" s="105" t="str">
        <f t="shared" si="16"/>
        <v xml:space="preserve">   </v>
      </c>
    </row>
    <row r="1055" spans="1:13" s="53" customFormat="1" hidden="1" x14ac:dyDescent="0.2">
      <c r="A1055" s="381"/>
      <c r="B1055" s="379"/>
      <c r="C1055" s="106"/>
      <c r="D1055" s="107"/>
      <c r="E1055" s="108"/>
      <c r="F1055" s="109"/>
      <c r="G1055" s="103"/>
      <c r="H1055" s="103"/>
      <c r="I1055" s="102"/>
      <c r="J1055" s="102"/>
      <c r="K1055" s="78"/>
      <c r="L1055" s="110"/>
      <c r="M1055" s="105" t="str">
        <f t="shared" si="16"/>
        <v xml:space="preserve">   </v>
      </c>
    </row>
    <row r="1056" spans="1:13" s="53" customFormat="1" hidden="1" x14ac:dyDescent="0.2">
      <c r="A1056" s="381"/>
      <c r="B1056" s="379"/>
      <c r="C1056" s="106"/>
      <c r="D1056" s="107"/>
      <c r="E1056" s="108"/>
      <c r="F1056" s="109"/>
      <c r="G1056" s="103"/>
      <c r="H1056" s="103"/>
      <c r="I1056" s="102"/>
      <c r="J1056" s="102"/>
      <c r="K1056" s="78"/>
      <c r="L1056" s="110"/>
      <c r="M1056" s="105" t="str">
        <f t="shared" si="16"/>
        <v xml:space="preserve">   </v>
      </c>
    </row>
    <row r="1057" spans="1:13" s="53" customFormat="1" hidden="1" x14ac:dyDescent="0.2">
      <c r="A1057" s="381"/>
      <c r="B1057" s="379"/>
      <c r="C1057" s="106"/>
      <c r="D1057" s="107"/>
      <c r="E1057" s="108"/>
      <c r="F1057" s="109"/>
      <c r="G1057" s="103"/>
      <c r="H1057" s="103"/>
      <c r="I1057" s="102"/>
      <c r="J1057" s="102"/>
      <c r="K1057" s="78"/>
      <c r="L1057" s="110"/>
      <c r="M1057" s="105" t="str">
        <f t="shared" si="16"/>
        <v xml:space="preserve">   </v>
      </c>
    </row>
    <row r="1058" spans="1:13" s="53" customFormat="1" hidden="1" x14ac:dyDescent="0.2">
      <c r="A1058" s="381"/>
      <c r="B1058" s="379"/>
      <c r="C1058" s="106"/>
      <c r="D1058" s="107"/>
      <c r="E1058" s="108"/>
      <c r="F1058" s="109"/>
      <c r="G1058" s="103"/>
      <c r="H1058" s="103"/>
      <c r="I1058" s="102"/>
      <c r="J1058" s="102"/>
      <c r="K1058" s="78"/>
      <c r="L1058" s="110"/>
      <c r="M1058" s="105" t="str">
        <f t="shared" si="16"/>
        <v xml:space="preserve">   </v>
      </c>
    </row>
    <row r="1059" spans="1:13" s="53" customFormat="1" hidden="1" x14ac:dyDescent="0.2">
      <c r="A1059" s="381"/>
      <c r="B1059" s="379"/>
      <c r="C1059" s="106"/>
      <c r="D1059" s="107"/>
      <c r="E1059" s="108"/>
      <c r="F1059" s="109"/>
      <c r="G1059" s="103"/>
      <c r="H1059" s="103"/>
      <c r="I1059" s="102"/>
      <c r="J1059" s="102"/>
      <c r="K1059" s="78"/>
      <c r="L1059" s="110"/>
      <c r="M1059" s="105" t="str">
        <f t="shared" si="16"/>
        <v xml:space="preserve">   </v>
      </c>
    </row>
    <row r="1060" spans="1:13" s="53" customFormat="1" hidden="1" x14ac:dyDescent="0.2">
      <c r="A1060" s="381"/>
      <c r="B1060" s="379"/>
      <c r="C1060" s="106"/>
      <c r="D1060" s="107"/>
      <c r="E1060" s="108"/>
      <c r="F1060" s="109"/>
      <c r="G1060" s="103"/>
      <c r="H1060" s="103"/>
      <c r="I1060" s="102"/>
      <c r="J1060" s="102"/>
      <c r="K1060" s="78"/>
      <c r="L1060" s="110"/>
      <c r="M1060" s="105" t="str">
        <f t="shared" si="16"/>
        <v xml:space="preserve">   </v>
      </c>
    </row>
    <row r="1061" spans="1:13" s="53" customFormat="1" hidden="1" x14ac:dyDescent="0.2">
      <c r="A1061" s="381"/>
      <c r="B1061" s="379"/>
      <c r="C1061" s="106"/>
      <c r="D1061" s="107"/>
      <c r="E1061" s="108"/>
      <c r="F1061" s="109"/>
      <c r="G1061" s="103"/>
      <c r="H1061" s="103"/>
      <c r="I1061" s="102"/>
      <c r="J1061" s="102"/>
      <c r="K1061" s="78"/>
      <c r="L1061" s="110"/>
      <c r="M1061" s="105" t="str">
        <f t="shared" si="16"/>
        <v xml:space="preserve">   </v>
      </c>
    </row>
    <row r="1062" spans="1:13" s="53" customFormat="1" hidden="1" x14ac:dyDescent="0.2">
      <c r="A1062" s="381"/>
      <c r="B1062" s="379"/>
      <c r="C1062" s="106"/>
      <c r="D1062" s="107"/>
      <c r="E1062" s="108"/>
      <c r="F1062" s="109"/>
      <c r="G1062" s="103"/>
      <c r="H1062" s="103"/>
      <c r="I1062" s="102"/>
      <c r="J1062" s="102"/>
      <c r="K1062" s="78"/>
      <c r="L1062" s="110"/>
      <c r="M1062" s="105" t="str">
        <f t="shared" si="16"/>
        <v xml:space="preserve">   </v>
      </c>
    </row>
    <row r="1063" spans="1:13" s="53" customFormat="1" ht="12.75" hidden="1" customHeight="1" x14ac:dyDescent="0.2">
      <c r="A1063" s="381" t="s">
        <v>68</v>
      </c>
      <c r="B1063" s="379" t="s">
        <v>88</v>
      </c>
      <c r="C1063" s="102"/>
      <c r="D1063" s="102"/>
      <c r="E1063" s="102"/>
      <c r="F1063" s="102"/>
      <c r="G1063" s="103"/>
      <c r="H1063" s="103"/>
      <c r="I1063" s="102"/>
      <c r="J1063" s="102"/>
      <c r="K1063" s="78"/>
      <c r="L1063" s="104" t="str">
        <f>CONCATENATE(C1063," ",D1063," ",E1063," ",F1063," ",C1064," ",D1064," ",E1064," ",F1064)</f>
        <v xml:space="preserve">       </v>
      </c>
      <c r="M1063" s="105" t="str">
        <f t="shared" si="16"/>
        <v xml:space="preserve">   </v>
      </c>
    </row>
    <row r="1064" spans="1:13" s="53" customFormat="1" hidden="1" x14ac:dyDescent="0.2">
      <c r="A1064" s="381"/>
      <c r="B1064" s="379"/>
      <c r="C1064" s="106"/>
      <c r="D1064" s="107"/>
      <c r="E1064" s="108"/>
      <c r="F1064" s="109"/>
      <c r="G1064" s="103"/>
      <c r="H1064" s="103"/>
      <c r="I1064" s="102"/>
      <c r="J1064" s="102"/>
      <c r="K1064" s="78"/>
      <c r="L1064" s="110"/>
      <c r="M1064" s="105" t="str">
        <f t="shared" si="16"/>
        <v xml:space="preserve">   </v>
      </c>
    </row>
    <row r="1065" spans="1:13" s="53" customFormat="1" hidden="1" x14ac:dyDescent="0.2">
      <c r="A1065" s="381"/>
      <c r="B1065" s="379"/>
      <c r="C1065" s="106"/>
      <c r="D1065" s="107"/>
      <c r="E1065" s="108"/>
      <c r="F1065" s="109"/>
      <c r="G1065" s="103"/>
      <c r="H1065" s="103"/>
      <c r="I1065" s="102"/>
      <c r="J1065" s="102"/>
      <c r="K1065" s="78"/>
      <c r="L1065" s="110"/>
      <c r="M1065" s="105" t="str">
        <f t="shared" si="16"/>
        <v xml:space="preserve">   </v>
      </c>
    </row>
    <row r="1066" spans="1:13" s="53" customFormat="1" hidden="1" x14ac:dyDescent="0.2">
      <c r="A1066" s="381"/>
      <c r="B1066" s="379"/>
      <c r="C1066" s="106"/>
      <c r="D1066" s="107"/>
      <c r="E1066" s="108"/>
      <c r="F1066" s="109"/>
      <c r="G1066" s="103"/>
      <c r="H1066" s="103"/>
      <c r="I1066" s="102"/>
      <c r="J1066" s="102"/>
      <c r="K1066" s="78"/>
      <c r="L1066" s="110"/>
      <c r="M1066" s="105" t="str">
        <f t="shared" si="16"/>
        <v xml:space="preserve">   </v>
      </c>
    </row>
    <row r="1067" spans="1:13" s="53" customFormat="1" hidden="1" x14ac:dyDescent="0.2">
      <c r="A1067" s="381"/>
      <c r="B1067" s="379"/>
      <c r="C1067" s="106"/>
      <c r="D1067" s="107"/>
      <c r="E1067" s="108"/>
      <c r="F1067" s="109"/>
      <c r="G1067" s="103"/>
      <c r="H1067" s="103"/>
      <c r="I1067" s="102"/>
      <c r="J1067" s="102"/>
      <c r="K1067" s="78"/>
      <c r="L1067" s="110"/>
      <c r="M1067" s="105" t="str">
        <f t="shared" si="16"/>
        <v xml:space="preserve">   </v>
      </c>
    </row>
    <row r="1068" spans="1:13" s="53" customFormat="1" hidden="1" x14ac:dyDescent="0.2">
      <c r="A1068" s="381"/>
      <c r="B1068" s="379"/>
      <c r="C1068" s="106"/>
      <c r="D1068" s="107"/>
      <c r="E1068" s="108"/>
      <c r="F1068" s="109"/>
      <c r="G1068" s="103"/>
      <c r="H1068" s="103"/>
      <c r="I1068" s="102"/>
      <c r="J1068" s="102"/>
      <c r="K1068" s="78"/>
      <c r="L1068" s="110"/>
      <c r="M1068" s="105" t="str">
        <f t="shared" si="16"/>
        <v xml:space="preserve">   </v>
      </c>
    </row>
    <row r="1069" spans="1:13" s="53" customFormat="1" hidden="1" x14ac:dyDescent="0.2">
      <c r="A1069" s="381"/>
      <c r="B1069" s="379"/>
      <c r="C1069" s="106"/>
      <c r="D1069" s="107"/>
      <c r="E1069" s="108"/>
      <c r="F1069" s="109"/>
      <c r="G1069" s="103"/>
      <c r="H1069" s="103"/>
      <c r="I1069" s="102"/>
      <c r="J1069" s="102"/>
      <c r="K1069" s="78"/>
      <c r="L1069" s="110"/>
      <c r="M1069" s="105" t="str">
        <f t="shared" si="16"/>
        <v xml:space="preserve">   </v>
      </c>
    </row>
    <row r="1070" spans="1:13" s="53" customFormat="1" hidden="1" x14ac:dyDescent="0.2">
      <c r="A1070" s="381"/>
      <c r="B1070" s="379"/>
      <c r="C1070" s="106"/>
      <c r="D1070" s="107"/>
      <c r="E1070" s="108"/>
      <c r="F1070" s="109"/>
      <c r="G1070" s="103"/>
      <c r="H1070" s="103"/>
      <c r="I1070" s="102"/>
      <c r="J1070" s="102"/>
      <c r="K1070" s="78"/>
      <c r="L1070" s="110"/>
      <c r="M1070" s="105" t="str">
        <f t="shared" si="16"/>
        <v xml:space="preserve">   </v>
      </c>
    </row>
    <row r="1071" spans="1:13" s="53" customFormat="1" hidden="1" x14ac:dyDescent="0.2">
      <c r="A1071" s="381"/>
      <c r="B1071" s="379"/>
      <c r="C1071" s="106"/>
      <c r="D1071" s="107"/>
      <c r="E1071" s="108"/>
      <c r="F1071" s="109"/>
      <c r="G1071" s="103"/>
      <c r="H1071" s="103"/>
      <c r="I1071" s="102"/>
      <c r="J1071" s="102"/>
      <c r="K1071" s="78"/>
      <c r="L1071" s="110"/>
      <c r="M1071" s="105" t="str">
        <f t="shared" si="16"/>
        <v xml:space="preserve">   </v>
      </c>
    </row>
    <row r="1072" spans="1:13" s="53" customFormat="1" hidden="1" x14ac:dyDescent="0.2">
      <c r="A1072" s="381"/>
      <c r="B1072" s="379"/>
      <c r="C1072" s="106"/>
      <c r="D1072" s="107"/>
      <c r="E1072" s="108"/>
      <c r="F1072" s="109"/>
      <c r="G1072" s="103"/>
      <c r="H1072" s="103"/>
      <c r="I1072" s="102"/>
      <c r="J1072" s="102"/>
      <c r="K1072" s="78"/>
      <c r="L1072" s="110"/>
      <c r="M1072" s="105" t="str">
        <f t="shared" si="16"/>
        <v xml:space="preserve">   </v>
      </c>
    </row>
    <row r="1073" spans="1:13" s="53" customFormat="1" ht="12.75" hidden="1" customHeight="1" x14ac:dyDescent="0.2">
      <c r="A1073" s="381" t="s">
        <v>68</v>
      </c>
      <c r="B1073" s="379" t="s">
        <v>88</v>
      </c>
      <c r="C1073" s="102"/>
      <c r="D1073" s="102"/>
      <c r="E1073" s="102"/>
      <c r="F1073" s="102"/>
      <c r="G1073" s="103"/>
      <c r="H1073" s="103"/>
      <c r="I1073" s="102"/>
      <c r="J1073" s="102"/>
      <c r="K1073" s="78"/>
      <c r="L1073" s="104" t="str">
        <f>CONCATENATE(C1073," ",D1073," ",E1073," ",F1073," ",C1074," ",D1074," ",E1074," ",F1074)</f>
        <v xml:space="preserve">       </v>
      </c>
      <c r="M1073" s="105" t="str">
        <f t="shared" si="16"/>
        <v xml:space="preserve">   </v>
      </c>
    </row>
    <row r="1074" spans="1:13" s="53" customFormat="1" hidden="1" x14ac:dyDescent="0.2">
      <c r="A1074" s="381"/>
      <c r="B1074" s="379"/>
      <c r="C1074" s="106"/>
      <c r="D1074" s="107"/>
      <c r="E1074" s="108"/>
      <c r="F1074" s="109"/>
      <c r="G1074" s="103"/>
      <c r="H1074" s="103"/>
      <c r="I1074" s="102"/>
      <c r="J1074" s="102"/>
      <c r="K1074" s="78"/>
      <c r="L1074" s="110"/>
      <c r="M1074" s="105" t="str">
        <f t="shared" si="16"/>
        <v xml:space="preserve">   </v>
      </c>
    </row>
    <row r="1075" spans="1:13" s="53" customFormat="1" hidden="1" x14ac:dyDescent="0.2">
      <c r="A1075" s="381"/>
      <c r="B1075" s="379"/>
      <c r="C1075" s="106"/>
      <c r="D1075" s="107"/>
      <c r="E1075" s="108"/>
      <c r="F1075" s="109"/>
      <c r="G1075" s="103"/>
      <c r="H1075" s="103"/>
      <c r="I1075" s="102"/>
      <c r="J1075" s="102"/>
      <c r="K1075" s="78"/>
      <c r="L1075" s="110"/>
      <c r="M1075" s="105" t="str">
        <f t="shared" si="16"/>
        <v xml:space="preserve">   </v>
      </c>
    </row>
    <row r="1076" spans="1:13" s="53" customFormat="1" hidden="1" x14ac:dyDescent="0.2">
      <c r="A1076" s="381"/>
      <c r="B1076" s="379"/>
      <c r="C1076" s="106"/>
      <c r="D1076" s="107"/>
      <c r="E1076" s="108"/>
      <c r="F1076" s="109"/>
      <c r="G1076" s="103"/>
      <c r="H1076" s="103"/>
      <c r="I1076" s="102"/>
      <c r="J1076" s="102"/>
      <c r="K1076" s="78"/>
      <c r="L1076" s="110"/>
      <c r="M1076" s="105" t="str">
        <f t="shared" si="16"/>
        <v xml:space="preserve">   </v>
      </c>
    </row>
    <row r="1077" spans="1:13" s="53" customFormat="1" hidden="1" x14ac:dyDescent="0.2">
      <c r="A1077" s="381"/>
      <c r="B1077" s="379"/>
      <c r="C1077" s="106"/>
      <c r="D1077" s="107"/>
      <c r="E1077" s="108"/>
      <c r="F1077" s="109"/>
      <c r="G1077" s="103"/>
      <c r="H1077" s="103"/>
      <c r="I1077" s="102"/>
      <c r="J1077" s="102"/>
      <c r="K1077" s="78"/>
      <c r="L1077" s="110"/>
      <c r="M1077" s="105" t="str">
        <f t="shared" si="16"/>
        <v xml:space="preserve">   </v>
      </c>
    </row>
    <row r="1078" spans="1:13" s="53" customFormat="1" hidden="1" x14ac:dyDescent="0.2">
      <c r="A1078" s="381"/>
      <c r="B1078" s="379"/>
      <c r="C1078" s="106"/>
      <c r="D1078" s="107"/>
      <c r="E1078" s="108"/>
      <c r="F1078" s="109"/>
      <c r="G1078" s="103"/>
      <c r="H1078" s="103"/>
      <c r="I1078" s="102"/>
      <c r="J1078" s="102"/>
      <c r="K1078" s="78"/>
      <c r="L1078" s="110"/>
      <c r="M1078" s="105" t="str">
        <f t="shared" si="16"/>
        <v xml:space="preserve">   </v>
      </c>
    </row>
    <row r="1079" spans="1:13" s="53" customFormat="1" hidden="1" x14ac:dyDescent="0.2">
      <c r="A1079" s="381"/>
      <c r="B1079" s="379"/>
      <c r="C1079" s="106"/>
      <c r="D1079" s="107"/>
      <c r="E1079" s="108"/>
      <c r="F1079" s="109"/>
      <c r="G1079" s="103"/>
      <c r="H1079" s="103"/>
      <c r="I1079" s="102"/>
      <c r="J1079" s="102"/>
      <c r="K1079" s="78"/>
      <c r="L1079" s="110"/>
      <c r="M1079" s="105" t="str">
        <f t="shared" si="16"/>
        <v xml:space="preserve">   </v>
      </c>
    </row>
    <row r="1080" spans="1:13" s="53" customFormat="1" hidden="1" x14ac:dyDescent="0.2">
      <c r="A1080" s="381"/>
      <c r="B1080" s="379"/>
      <c r="C1080" s="106"/>
      <c r="D1080" s="107"/>
      <c r="E1080" s="108"/>
      <c r="F1080" s="109"/>
      <c r="G1080" s="103"/>
      <c r="H1080" s="103"/>
      <c r="I1080" s="102"/>
      <c r="J1080" s="102"/>
      <c r="K1080" s="78"/>
      <c r="L1080" s="110"/>
      <c r="M1080" s="105" t="str">
        <f t="shared" si="16"/>
        <v xml:space="preserve">   </v>
      </c>
    </row>
    <row r="1081" spans="1:13" s="53" customFormat="1" hidden="1" x14ac:dyDescent="0.2">
      <c r="A1081" s="381"/>
      <c r="B1081" s="379"/>
      <c r="C1081" s="106"/>
      <c r="D1081" s="107"/>
      <c r="E1081" s="108"/>
      <c r="F1081" s="109"/>
      <c r="G1081" s="103"/>
      <c r="H1081" s="103"/>
      <c r="I1081" s="102"/>
      <c r="J1081" s="102"/>
      <c r="K1081" s="78"/>
      <c r="L1081" s="110"/>
      <c r="M1081" s="105" t="str">
        <f t="shared" si="16"/>
        <v xml:space="preserve">   </v>
      </c>
    </row>
    <row r="1082" spans="1:13" s="53" customFormat="1" hidden="1" x14ac:dyDescent="0.2">
      <c r="A1082" s="381"/>
      <c r="B1082" s="379"/>
      <c r="C1082" s="106"/>
      <c r="D1082" s="107"/>
      <c r="E1082" s="108"/>
      <c r="F1082" s="109"/>
      <c r="G1082" s="103"/>
      <c r="H1082" s="103"/>
      <c r="I1082" s="102"/>
      <c r="J1082" s="102"/>
      <c r="K1082" s="78"/>
      <c r="L1082" s="110"/>
      <c r="M1082" s="105" t="str">
        <f t="shared" si="16"/>
        <v xml:space="preserve">   </v>
      </c>
    </row>
    <row r="1083" spans="1:13" s="53" customFormat="1" ht="12.75" hidden="1" customHeight="1" x14ac:dyDescent="0.2">
      <c r="A1083" s="381" t="s">
        <v>68</v>
      </c>
      <c r="B1083" s="379" t="s">
        <v>88</v>
      </c>
      <c r="C1083" s="102"/>
      <c r="D1083" s="102"/>
      <c r="E1083" s="102"/>
      <c r="F1083" s="102"/>
      <c r="G1083" s="103"/>
      <c r="H1083" s="103"/>
      <c r="I1083" s="102"/>
      <c r="J1083" s="102"/>
      <c r="K1083" s="78"/>
      <c r="L1083" s="104" t="str">
        <f>CONCATENATE(C1083," ",D1083," ",E1083," ",F1083," ",C1084," ",D1084," ",E1084," ",F1084)</f>
        <v xml:space="preserve">       </v>
      </c>
      <c r="M1083" s="105" t="str">
        <f t="shared" si="16"/>
        <v xml:space="preserve">   </v>
      </c>
    </row>
    <row r="1084" spans="1:13" s="53" customFormat="1" hidden="1" x14ac:dyDescent="0.2">
      <c r="A1084" s="381"/>
      <c r="B1084" s="379"/>
      <c r="C1084" s="106"/>
      <c r="D1084" s="107"/>
      <c r="E1084" s="108"/>
      <c r="F1084" s="109"/>
      <c r="G1084" s="103"/>
      <c r="H1084" s="103"/>
      <c r="I1084" s="102"/>
      <c r="J1084" s="102"/>
      <c r="K1084" s="78"/>
      <c r="L1084" s="110"/>
      <c r="M1084" s="105" t="str">
        <f t="shared" si="16"/>
        <v xml:space="preserve">   </v>
      </c>
    </row>
    <row r="1085" spans="1:13" s="53" customFormat="1" hidden="1" x14ac:dyDescent="0.2">
      <c r="A1085" s="381"/>
      <c r="B1085" s="379"/>
      <c r="C1085" s="106"/>
      <c r="D1085" s="107"/>
      <c r="E1085" s="108"/>
      <c r="F1085" s="109"/>
      <c r="G1085" s="103"/>
      <c r="H1085" s="103"/>
      <c r="I1085" s="102"/>
      <c r="J1085" s="102"/>
      <c r="K1085" s="78"/>
      <c r="L1085" s="110"/>
      <c r="M1085" s="105" t="str">
        <f t="shared" si="16"/>
        <v xml:space="preserve">   </v>
      </c>
    </row>
    <row r="1086" spans="1:13" s="53" customFormat="1" hidden="1" x14ac:dyDescent="0.2">
      <c r="A1086" s="381"/>
      <c r="B1086" s="379"/>
      <c r="C1086" s="106"/>
      <c r="D1086" s="107"/>
      <c r="E1086" s="108"/>
      <c r="F1086" s="109"/>
      <c r="G1086" s="103"/>
      <c r="H1086" s="103"/>
      <c r="I1086" s="102"/>
      <c r="J1086" s="102"/>
      <c r="K1086" s="78"/>
      <c r="L1086" s="110"/>
      <c r="M1086" s="105" t="str">
        <f t="shared" si="16"/>
        <v xml:space="preserve">   </v>
      </c>
    </row>
    <row r="1087" spans="1:13" s="53" customFormat="1" hidden="1" x14ac:dyDescent="0.2">
      <c r="A1087" s="381"/>
      <c r="B1087" s="379"/>
      <c r="C1087" s="106"/>
      <c r="D1087" s="107"/>
      <c r="E1087" s="108"/>
      <c r="F1087" s="109"/>
      <c r="G1087" s="103"/>
      <c r="H1087" s="103"/>
      <c r="I1087" s="102"/>
      <c r="J1087" s="102"/>
      <c r="K1087" s="78"/>
      <c r="L1087" s="110"/>
      <c r="M1087" s="105" t="str">
        <f t="shared" si="16"/>
        <v xml:space="preserve">   </v>
      </c>
    </row>
    <row r="1088" spans="1:13" s="53" customFormat="1" hidden="1" x14ac:dyDescent="0.2">
      <c r="A1088" s="381"/>
      <c r="B1088" s="379"/>
      <c r="C1088" s="106"/>
      <c r="D1088" s="107"/>
      <c r="E1088" s="108"/>
      <c r="F1088" s="109"/>
      <c r="G1088" s="103"/>
      <c r="H1088" s="103"/>
      <c r="I1088" s="102"/>
      <c r="J1088" s="102"/>
      <c r="K1088" s="78"/>
      <c r="L1088" s="110"/>
      <c r="M1088" s="105" t="str">
        <f t="shared" si="16"/>
        <v xml:space="preserve">   </v>
      </c>
    </row>
    <row r="1089" spans="1:13" s="53" customFormat="1" hidden="1" x14ac:dyDescent="0.2">
      <c r="A1089" s="381"/>
      <c r="B1089" s="379"/>
      <c r="C1089" s="106"/>
      <c r="D1089" s="107"/>
      <c r="E1089" s="108"/>
      <c r="F1089" s="109"/>
      <c r="G1089" s="103"/>
      <c r="H1089" s="103"/>
      <c r="I1089" s="102"/>
      <c r="J1089" s="102"/>
      <c r="K1089" s="78"/>
      <c r="L1089" s="110"/>
      <c r="M1089" s="105" t="str">
        <f t="shared" si="16"/>
        <v xml:space="preserve">   </v>
      </c>
    </row>
    <row r="1090" spans="1:13" s="53" customFormat="1" hidden="1" x14ac:dyDescent="0.2">
      <c r="A1090" s="381"/>
      <c r="B1090" s="379"/>
      <c r="C1090" s="106"/>
      <c r="D1090" s="107"/>
      <c r="E1090" s="108"/>
      <c r="F1090" s="109"/>
      <c r="G1090" s="103"/>
      <c r="H1090" s="103"/>
      <c r="I1090" s="102"/>
      <c r="J1090" s="102"/>
      <c r="K1090" s="78"/>
      <c r="L1090" s="110"/>
      <c r="M1090" s="105" t="str">
        <f t="shared" si="16"/>
        <v xml:space="preserve">   </v>
      </c>
    </row>
    <row r="1091" spans="1:13" s="53" customFormat="1" hidden="1" x14ac:dyDescent="0.2">
      <c r="A1091" s="381"/>
      <c r="B1091" s="379"/>
      <c r="C1091" s="106"/>
      <c r="D1091" s="107"/>
      <c r="E1091" s="108"/>
      <c r="F1091" s="109"/>
      <c r="G1091" s="103"/>
      <c r="H1091" s="103"/>
      <c r="I1091" s="102"/>
      <c r="J1091" s="102"/>
      <c r="K1091" s="78"/>
      <c r="L1091" s="110"/>
      <c r="M1091" s="105" t="str">
        <f t="shared" si="16"/>
        <v xml:space="preserve">   </v>
      </c>
    </row>
    <row r="1092" spans="1:13" s="53" customFormat="1" hidden="1" x14ac:dyDescent="0.2">
      <c r="A1092" s="381"/>
      <c r="B1092" s="379"/>
      <c r="C1092" s="106"/>
      <c r="D1092" s="107"/>
      <c r="E1092" s="108"/>
      <c r="F1092" s="109"/>
      <c r="G1092" s="103"/>
      <c r="H1092" s="103"/>
      <c r="I1092" s="102"/>
      <c r="J1092" s="102"/>
      <c r="K1092" s="78"/>
      <c r="L1092" s="110"/>
      <c r="M1092" s="105" t="str">
        <f t="shared" si="16"/>
        <v xml:space="preserve">   </v>
      </c>
    </row>
    <row r="1093" spans="1:13" s="53" customFormat="1" ht="12.75" hidden="1" customHeight="1" x14ac:dyDescent="0.2">
      <c r="A1093" s="381" t="s">
        <v>68</v>
      </c>
      <c r="B1093" s="379" t="s">
        <v>88</v>
      </c>
      <c r="C1093" s="102"/>
      <c r="D1093" s="102"/>
      <c r="E1093" s="102"/>
      <c r="F1093" s="102"/>
      <c r="G1093" s="103"/>
      <c r="H1093" s="103"/>
      <c r="I1093" s="102"/>
      <c r="J1093" s="102"/>
      <c r="K1093" s="78"/>
      <c r="L1093" s="104" t="str">
        <f>CONCATENATE(C1093," ",D1093," ",E1093," ",F1093," ",C1094," ",D1094," ",E1094," ",F1094)</f>
        <v xml:space="preserve">       </v>
      </c>
      <c r="M1093" s="105" t="str">
        <f t="shared" si="16"/>
        <v xml:space="preserve">   </v>
      </c>
    </row>
    <row r="1094" spans="1:13" s="53" customFormat="1" hidden="1" x14ac:dyDescent="0.2">
      <c r="A1094" s="381"/>
      <c r="B1094" s="379"/>
      <c r="C1094" s="106"/>
      <c r="D1094" s="107"/>
      <c r="E1094" s="108"/>
      <c r="F1094" s="109"/>
      <c r="G1094" s="103"/>
      <c r="H1094" s="103"/>
      <c r="I1094" s="102"/>
      <c r="J1094" s="102"/>
      <c r="K1094" s="78"/>
      <c r="L1094" s="110"/>
      <c r="M1094" s="105" t="str">
        <f t="shared" si="16"/>
        <v xml:space="preserve">   </v>
      </c>
    </row>
    <row r="1095" spans="1:13" s="53" customFormat="1" hidden="1" x14ac:dyDescent="0.2">
      <c r="A1095" s="381"/>
      <c r="B1095" s="379"/>
      <c r="C1095" s="106"/>
      <c r="D1095" s="107"/>
      <c r="E1095" s="108"/>
      <c r="F1095" s="109"/>
      <c r="G1095" s="103"/>
      <c r="H1095" s="103"/>
      <c r="I1095" s="102"/>
      <c r="J1095" s="102"/>
      <c r="K1095" s="78"/>
      <c r="L1095" s="110"/>
      <c r="M1095" s="105" t="str">
        <f t="shared" si="16"/>
        <v xml:space="preserve">   </v>
      </c>
    </row>
    <row r="1096" spans="1:13" s="53" customFormat="1" hidden="1" x14ac:dyDescent="0.2">
      <c r="A1096" s="381"/>
      <c r="B1096" s="379"/>
      <c r="C1096" s="106"/>
      <c r="D1096" s="107"/>
      <c r="E1096" s="108"/>
      <c r="F1096" s="109"/>
      <c r="G1096" s="103"/>
      <c r="H1096" s="103"/>
      <c r="I1096" s="102"/>
      <c r="J1096" s="102"/>
      <c r="K1096" s="78"/>
      <c r="L1096" s="110"/>
      <c r="M1096" s="105" t="str">
        <f t="shared" si="16"/>
        <v xml:space="preserve">   </v>
      </c>
    </row>
    <row r="1097" spans="1:13" s="53" customFormat="1" hidden="1" x14ac:dyDescent="0.2">
      <c r="A1097" s="381"/>
      <c r="B1097" s="379"/>
      <c r="C1097" s="106"/>
      <c r="D1097" s="107"/>
      <c r="E1097" s="108"/>
      <c r="F1097" s="109"/>
      <c r="G1097" s="103"/>
      <c r="H1097" s="103"/>
      <c r="I1097" s="102"/>
      <c r="J1097" s="102"/>
      <c r="K1097" s="78"/>
      <c r="L1097" s="110"/>
      <c r="M1097" s="105" t="str">
        <f t="shared" si="16"/>
        <v xml:space="preserve">   </v>
      </c>
    </row>
    <row r="1098" spans="1:13" s="53" customFormat="1" hidden="1" x14ac:dyDescent="0.2">
      <c r="A1098" s="381"/>
      <c r="B1098" s="379"/>
      <c r="C1098" s="106"/>
      <c r="D1098" s="107"/>
      <c r="E1098" s="108"/>
      <c r="F1098" s="109"/>
      <c r="G1098" s="103"/>
      <c r="H1098" s="103"/>
      <c r="I1098" s="102"/>
      <c r="J1098" s="102"/>
      <c r="K1098" s="78"/>
      <c r="L1098" s="110"/>
      <c r="M1098" s="105" t="str">
        <f t="shared" si="16"/>
        <v xml:space="preserve">   </v>
      </c>
    </row>
    <row r="1099" spans="1:13" s="53" customFormat="1" hidden="1" x14ac:dyDescent="0.2">
      <c r="A1099" s="381"/>
      <c r="B1099" s="379"/>
      <c r="C1099" s="106"/>
      <c r="D1099" s="107"/>
      <c r="E1099" s="108"/>
      <c r="F1099" s="109"/>
      <c r="G1099" s="103"/>
      <c r="H1099" s="103"/>
      <c r="I1099" s="102"/>
      <c r="J1099" s="102"/>
      <c r="K1099" s="78"/>
      <c r="L1099" s="110"/>
      <c r="M1099" s="105" t="str">
        <f t="shared" ref="M1099:M1162" si="17">CONCATENATE(G1099," ",H1099," ",I1099," ",J1099)</f>
        <v xml:space="preserve">   </v>
      </c>
    </row>
    <row r="1100" spans="1:13" s="53" customFormat="1" hidden="1" x14ac:dyDescent="0.2">
      <c r="A1100" s="381"/>
      <c r="B1100" s="379"/>
      <c r="C1100" s="106"/>
      <c r="D1100" s="107"/>
      <c r="E1100" s="108"/>
      <c r="F1100" s="109"/>
      <c r="G1100" s="103"/>
      <c r="H1100" s="103"/>
      <c r="I1100" s="102"/>
      <c r="J1100" s="102"/>
      <c r="K1100" s="78"/>
      <c r="L1100" s="110"/>
      <c r="M1100" s="105" t="str">
        <f t="shared" si="17"/>
        <v xml:space="preserve">   </v>
      </c>
    </row>
    <row r="1101" spans="1:13" s="53" customFormat="1" hidden="1" x14ac:dyDescent="0.2">
      <c r="A1101" s="381"/>
      <c r="B1101" s="379"/>
      <c r="C1101" s="106"/>
      <c r="D1101" s="107"/>
      <c r="E1101" s="108"/>
      <c r="F1101" s="109"/>
      <c r="G1101" s="103"/>
      <c r="H1101" s="103"/>
      <c r="I1101" s="102"/>
      <c r="J1101" s="102"/>
      <c r="K1101" s="78"/>
      <c r="L1101" s="110"/>
      <c r="M1101" s="105" t="str">
        <f t="shared" si="17"/>
        <v xml:space="preserve">   </v>
      </c>
    </row>
    <row r="1102" spans="1:13" s="53" customFormat="1" hidden="1" x14ac:dyDescent="0.2">
      <c r="A1102" s="381"/>
      <c r="B1102" s="379"/>
      <c r="C1102" s="106"/>
      <c r="D1102" s="107"/>
      <c r="E1102" s="108"/>
      <c r="F1102" s="109"/>
      <c r="G1102" s="103"/>
      <c r="H1102" s="103"/>
      <c r="I1102" s="102"/>
      <c r="J1102" s="102"/>
      <c r="K1102" s="78"/>
      <c r="L1102" s="110"/>
      <c r="M1102" s="105" t="str">
        <f t="shared" si="17"/>
        <v xml:space="preserve">   </v>
      </c>
    </row>
    <row r="1103" spans="1:13" s="53" customFormat="1" ht="12.75" hidden="1" customHeight="1" x14ac:dyDescent="0.2">
      <c r="A1103" s="381" t="s">
        <v>68</v>
      </c>
      <c r="B1103" s="379" t="s">
        <v>88</v>
      </c>
      <c r="C1103" s="102"/>
      <c r="D1103" s="102"/>
      <c r="E1103" s="102"/>
      <c r="F1103" s="102"/>
      <c r="G1103" s="103"/>
      <c r="H1103" s="103"/>
      <c r="I1103" s="102"/>
      <c r="J1103" s="102"/>
      <c r="K1103" s="78"/>
      <c r="L1103" s="104" t="str">
        <f>CONCATENATE(C1103," ",D1103," ",E1103," ",F1103," ",C1104," ",D1104," ",E1104," ",F1104)</f>
        <v xml:space="preserve">       </v>
      </c>
      <c r="M1103" s="105" t="str">
        <f t="shared" si="17"/>
        <v xml:space="preserve">   </v>
      </c>
    </row>
    <row r="1104" spans="1:13" s="53" customFormat="1" hidden="1" x14ac:dyDescent="0.2">
      <c r="A1104" s="381"/>
      <c r="B1104" s="379"/>
      <c r="C1104" s="106"/>
      <c r="D1104" s="107"/>
      <c r="E1104" s="108"/>
      <c r="F1104" s="109"/>
      <c r="G1104" s="103"/>
      <c r="H1104" s="103"/>
      <c r="I1104" s="102"/>
      <c r="J1104" s="102"/>
      <c r="K1104" s="78"/>
      <c r="L1104" s="110"/>
      <c r="M1104" s="105" t="str">
        <f t="shared" si="17"/>
        <v xml:space="preserve">   </v>
      </c>
    </row>
    <row r="1105" spans="1:13" s="53" customFormat="1" hidden="1" x14ac:dyDescent="0.2">
      <c r="A1105" s="381"/>
      <c r="B1105" s="379"/>
      <c r="C1105" s="106"/>
      <c r="D1105" s="107"/>
      <c r="E1105" s="108"/>
      <c r="F1105" s="109"/>
      <c r="G1105" s="103"/>
      <c r="H1105" s="103"/>
      <c r="I1105" s="102"/>
      <c r="J1105" s="102"/>
      <c r="K1105" s="78"/>
      <c r="L1105" s="110"/>
      <c r="M1105" s="105" t="str">
        <f t="shared" si="17"/>
        <v xml:space="preserve">   </v>
      </c>
    </row>
    <row r="1106" spans="1:13" s="53" customFormat="1" hidden="1" x14ac:dyDescent="0.2">
      <c r="A1106" s="381"/>
      <c r="B1106" s="379"/>
      <c r="C1106" s="106"/>
      <c r="D1106" s="107"/>
      <c r="E1106" s="108"/>
      <c r="F1106" s="109"/>
      <c r="G1106" s="103"/>
      <c r="H1106" s="103"/>
      <c r="I1106" s="102"/>
      <c r="J1106" s="102"/>
      <c r="K1106" s="78"/>
      <c r="L1106" s="110"/>
      <c r="M1106" s="105" t="str">
        <f t="shared" si="17"/>
        <v xml:space="preserve">   </v>
      </c>
    </row>
    <row r="1107" spans="1:13" s="53" customFormat="1" hidden="1" x14ac:dyDescent="0.2">
      <c r="A1107" s="381"/>
      <c r="B1107" s="379"/>
      <c r="C1107" s="106"/>
      <c r="D1107" s="107"/>
      <c r="E1107" s="108"/>
      <c r="F1107" s="109"/>
      <c r="G1107" s="103"/>
      <c r="H1107" s="103"/>
      <c r="I1107" s="102"/>
      <c r="J1107" s="102"/>
      <c r="K1107" s="78"/>
      <c r="L1107" s="110"/>
      <c r="M1107" s="105" t="str">
        <f t="shared" si="17"/>
        <v xml:space="preserve">   </v>
      </c>
    </row>
    <row r="1108" spans="1:13" s="53" customFormat="1" hidden="1" x14ac:dyDescent="0.2">
      <c r="A1108" s="381"/>
      <c r="B1108" s="379"/>
      <c r="C1108" s="106"/>
      <c r="D1108" s="107"/>
      <c r="E1108" s="108"/>
      <c r="F1108" s="109"/>
      <c r="G1108" s="103"/>
      <c r="H1108" s="103"/>
      <c r="I1108" s="102"/>
      <c r="J1108" s="102"/>
      <c r="K1108" s="78"/>
      <c r="L1108" s="110"/>
      <c r="M1108" s="105" t="str">
        <f t="shared" si="17"/>
        <v xml:space="preserve">   </v>
      </c>
    </row>
    <row r="1109" spans="1:13" s="53" customFormat="1" hidden="1" x14ac:dyDescent="0.2">
      <c r="A1109" s="381"/>
      <c r="B1109" s="379"/>
      <c r="C1109" s="106"/>
      <c r="D1109" s="107"/>
      <c r="E1109" s="108"/>
      <c r="F1109" s="109"/>
      <c r="G1109" s="103"/>
      <c r="H1109" s="103"/>
      <c r="I1109" s="102"/>
      <c r="J1109" s="102"/>
      <c r="K1109" s="78"/>
      <c r="L1109" s="110"/>
      <c r="M1109" s="105" t="str">
        <f t="shared" si="17"/>
        <v xml:space="preserve">   </v>
      </c>
    </row>
    <row r="1110" spans="1:13" s="53" customFormat="1" hidden="1" x14ac:dyDescent="0.2">
      <c r="A1110" s="381"/>
      <c r="B1110" s="379"/>
      <c r="C1110" s="106"/>
      <c r="D1110" s="107"/>
      <c r="E1110" s="108"/>
      <c r="F1110" s="109"/>
      <c r="G1110" s="103"/>
      <c r="H1110" s="103"/>
      <c r="I1110" s="102"/>
      <c r="J1110" s="102"/>
      <c r="K1110" s="78"/>
      <c r="L1110" s="110"/>
      <c r="M1110" s="105" t="str">
        <f t="shared" si="17"/>
        <v xml:space="preserve">   </v>
      </c>
    </row>
    <row r="1111" spans="1:13" s="53" customFormat="1" hidden="1" x14ac:dyDescent="0.2">
      <c r="A1111" s="381"/>
      <c r="B1111" s="379"/>
      <c r="C1111" s="106"/>
      <c r="D1111" s="107"/>
      <c r="E1111" s="108"/>
      <c r="F1111" s="109"/>
      <c r="G1111" s="103"/>
      <c r="H1111" s="103"/>
      <c r="I1111" s="102"/>
      <c r="J1111" s="102"/>
      <c r="K1111" s="78"/>
      <c r="L1111" s="110"/>
      <c r="M1111" s="105" t="str">
        <f t="shared" si="17"/>
        <v xml:space="preserve">   </v>
      </c>
    </row>
    <row r="1112" spans="1:13" s="53" customFormat="1" hidden="1" x14ac:dyDescent="0.2">
      <c r="A1112" s="381"/>
      <c r="B1112" s="379"/>
      <c r="C1112" s="106"/>
      <c r="D1112" s="107"/>
      <c r="E1112" s="108"/>
      <c r="F1112" s="109"/>
      <c r="G1112" s="103"/>
      <c r="H1112" s="103"/>
      <c r="I1112" s="102"/>
      <c r="J1112" s="102"/>
      <c r="K1112" s="78"/>
      <c r="L1112" s="110"/>
      <c r="M1112" s="105" t="str">
        <f t="shared" si="17"/>
        <v xml:space="preserve">   </v>
      </c>
    </row>
    <row r="1113" spans="1:13" s="46" customFormat="1" ht="56.25" hidden="1" customHeight="1" x14ac:dyDescent="0.2">
      <c r="A1113" s="381" t="s">
        <v>68</v>
      </c>
      <c r="B1113" s="378" t="s">
        <v>89</v>
      </c>
      <c r="C1113" s="102"/>
      <c r="D1113" s="102"/>
      <c r="E1113" s="172"/>
      <c r="F1113" s="102"/>
      <c r="G1113" s="103"/>
      <c r="H1113" s="103"/>
      <c r="I1113" s="172"/>
      <c r="J1113" s="172"/>
      <c r="K1113" s="78"/>
      <c r="L1113" s="111" t="str">
        <f>CONCATENATE(C1113," ",D1113," ",E1113," ",F1113," ",C1114," ",D1114," ",E1114," ",F1114)</f>
        <v xml:space="preserve">       </v>
      </c>
      <c r="M1113" s="105" t="str">
        <f t="shared" si="17"/>
        <v xml:space="preserve">   </v>
      </c>
    </row>
    <row r="1114" spans="1:13" s="46" customFormat="1" ht="57.75" hidden="1" customHeight="1" x14ac:dyDescent="0.2">
      <c r="A1114" s="381"/>
      <c r="B1114" s="378"/>
      <c r="C1114" s="102"/>
      <c r="D1114" s="102"/>
      <c r="E1114" s="172"/>
      <c r="F1114" s="172"/>
      <c r="G1114" s="103"/>
      <c r="H1114" s="186"/>
      <c r="I1114" s="187"/>
      <c r="J1114" s="187"/>
      <c r="K1114" s="78"/>
      <c r="L1114" s="110"/>
      <c r="M1114" s="105" t="str">
        <f t="shared" si="17"/>
        <v xml:space="preserve">   </v>
      </c>
    </row>
    <row r="1115" spans="1:13" s="46" customFormat="1" hidden="1" x14ac:dyDescent="0.2">
      <c r="A1115" s="381"/>
      <c r="B1115" s="378"/>
      <c r="C1115" s="106"/>
      <c r="D1115" s="107"/>
      <c r="E1115" s="108"/>
      <c r="F1115" s="109"/>
      <c r="G1115" s="188"/>
      <c r="H1115" s="223"/>
      <c r="I1115" s="224"/>
      <c r="J1115" s="224"/>
      <c r="K1115" s="78"/>
      <c r="L1115" s="110"/>
      <c r="M1115" s="105" t="str">
        <f t="shared" si="17"/>
        <v xml:space="preserve">   </v>
      </c>
    </row>
    <row r="1116" spans="1:13" s="46" customFormat="1" ht="48.75" hidden="1" customHeight="1" x14ac:dyDescent="0.2">
      <c r="A1116" s="381"/>
      <c r="B1116" s="378"/>
      <c r="C1116" s="106"/>
      <c r="D1116" s="107"/>
      <c r="E1116" s="108"/>
      <c r="F1116" s="109"/>
      <c r="G1116" s="222"/>
      <c r="H1116" s="226"/>
      <c r="I1116" s="176"/>
      <c r="J1116" s="176"/>
      <c r="K1116" s="78"/>
      <c r="L1116" s="110"/>
      <c r="M1116" s="105" t="str">
        <f t="shared" si="17"/>
        <v xml:space="preserve">   </v>
      </c>
    </row>
    <row r="1117" spans="1:13" s="53" customFormat="1" hidden="1" x14ac:dyDescent="0.2">
      <c r="A1117" s="381"/>
      <c r="B1117" s="378"/>
      <c r="C1117" s="106"/>
      <c r="D1117" s="107"/>
      <c r="E1117" s="108"/>
      <c r="F1117" s="109"/>
      <c r="G1117" s="103"/>
      <c r="H1117" s="188"/>
      <c r="I1117" s="225"/>
      <c r="J1117" s="225"/>
      <c r="K1117" s="78"/>
      <c r="L1117" s="110"/>
      <c r="M1117" s="105" t="str">
        <f t="shared" si="17"/>
        <v xml:space="preserve">   </v>
      </c>
    </row>
    <row r="1118" spans="1:13" s="53" customFormat="1" hidden="1" x14ac:dyDescent="0.2">
      <c r="A1118" s="381"/>
      <c r="B1118" s="378"/>
      <c r="C1118" s="106"/>
      <c r="D1118" s="107"/>
      <c r="E1118" s="108"/>
      <c r="F1118" s="109"/>
      <c r="G1118" s="103"/>
      <c r="H1118" s="103"/>
      <c r="I1118" s="102"/>
      <c r="J1118" s="102"/>
      <c r="K1118" s="78"/>
      <c r="L1118" s="110"/>
      <c r="M1118" s="105" t="str">
        <f t="shared" si="17"/>
        <v xml:space="preserve">   </v>
      </c>
    </row>
    <row r="1119" spans="1:13" s="53" customFormat="1" hidden="1" x14ac:dyDescent="0.2">
      <c r="A1119" s="381"/>
      <c r="B1119" s="378"/>
      <c r="C1119" s="106"/>
      <c r="D1119" s="107"/>
      <c r="E1119" s="108"/>
      <c r="F1119" s="109"/>
      <c r="G1119" s="103"/>
      <c r="H1119" s="103"/>
      <c r="I1119" s="102"/>
      <c r="J1119" s="102"/>
      <c r="K1119" s="78"/>
      <c r="L1119" s="110"/>
      <c r="M1119" s="105" t="str">
        <f t="shared" si="17"/>
        <v xml:space="preserve">   </v>
      </c>
    </row>
    <row r="1120" spans="1:13" s="53" customFormat="1" hidden="1" x14ac:dyDescent="0.2">
      <c r="A1120" s="381"/>
      <c r="B1120" s="378"/>
      <c r="C1120" s="106"/>
      <c r="D1120" s="107"/>
      <c r="E1120" s="108"/>
      <c r="F1120" s="109"/>
      <c r="G1120" s="103"/>
      <c r="H1120" s="103"/>
      <c r="I1120" s="102"/>
      <c r="J1120" s="102"/>
      <c r="K1120" s="78"/>
      <c r="L1120" s="110"/>
      <c r="M1120" s="105" t="str">
        <f t="shared" si="17"/>
        <v xml:space="preserve">   </v>
      </c>
    </row>
    <row r="1121" spans="1:13" s="46" customFormat="1" hidden="1" x14ac:dyDescent="0.2">
      <c r="A1121" s="381"/>
      <c r="B1121" s="378"/>
      <c r="C1121" s="106"/>
      <c r="D1121" s="107"/>
      <c r="E1121" s="108"/>
      <c r="F1121" s="109"/>
      <c r="G1121" s="103"/>
      <c r="H1121" s="103"/>
      <c r="I1121" s="102"/>
      <c r="J1121" s="102"/>
      <c r="K1121" s="78"/>
      <c r="L1121" s="110"/>
      <c r="M1121" s="105" t="str">
        <f t="shared" si="17"/>
        <v xml:space="preserve">   </v>
      </c>
    </row>
    <row r="1122" spans="1:13" s="46" customFormat="1" hidden="1" x14ac:dyDescent="0.2">
      <c r="A1122" s="381"/>
      <c r="B1122" s="378"/>
      <c r="C1122" s="113"/>
      <c r="D1122" s="114"/>
      <c r="E1122" s="115"/>
      <c r="F1122" s="116"/>
      <c r="G1122" s="103"/>
      <c r="H1122" s="103"/>
      <c r="I1122" s="102"/>
      <c r="J1122" s="102"/>
      <c r="K1122" s="78"/>
      <c r="L1122" s="110"/>
      <c r="M1122" s="105" t="str">
        <f t="shared" si="17"/>
        <v xml:space="preserve">   </v>
      </c>
    </row>
    <row r="1123" spans="1:13" s="46" customFormat="1" ht="15" hidden="1" customHeight="1" x14ac:dyDescent="0.2">
      <c r="A1123" s="381" t="s">
        <v>68</v>
      </c>
      <c r="B1123" s="378" t="s">
        <v>89</v>
      </c>
      <c r="C1123" s="102"/>
      <c r="D1123" s="102"/>
      <c r="E1123" s="102"/>
      <c r="F1123" s="102"/>
      <c r="G1123" s="103"/>
      <c r="H1123" s="103"/>
      <c r="I1123" s="102"/>
      <c r="J1123" s="102"/>
      <c r="K1123" s="78"/>
      <c r="L1123" s="111" t="str">
        <f>CONCATENATE(C1123," ",D1123," ",E1123," ",F1123," ",C1124," ",D1124," ",E1124," ",F1124)</f>
        <v xml:space="preserve">       </v>
      </c>
      <c r="M1123" s="105" t="str">
        <f t="shared" si="17"/>
        <v xml:space="preserve">   </v>
      </c>
    </row>
    <row r="1124" spans="1:13" s="46" customFormat="1" hidden="1" x14ac:dyDescent="0.2">
      <c r="A1124" s="381"/>
      <c r="B1124" s="378"/>
      <c r="C1124" s="112"/>
      <c r="D1124" s="107"/>
      <c r="E1124" s="108"/>
      <c r="F1124" s="109"/>
      <c r="G1124" s="103"/>
      <c r="H1124" s="103"/>
      <c r="I1124" s="102"/>
      <c r="J1124" s="102"/>
      <c r="K1124" s="78"/>
      <c r="L1124" s="110"/>
      <c r="M1124" s="105" t="str">
        <f t="shared" si="17"/>
        <v xml:space="preserve">   </v>
      </c>
    </row>
    <row r="1125" spans="1:13" s="46" customFormat="1" hidden="1" x14ac:dyDescent="0.2">
      <c r="A1125" s="381"/>
      <c r="B1125" s="378"/>
      <c r="C1125" s="106"/>
      <c r="D1125" s="107"/>
      <c r="E1125" s="108"/>
      <c r="F1125" s="109"/>
      <c r="G1125" s="103"/>
      <c r="H1125" s="103"/>
      <c r="I1125" s="102"/>
      <c r="J1125" s="102"/>
      <c r="K1125" s="78"/>
      <c r="L1125" s="110"/>
      <c r="M1125" s="105" t="str">
        <f t="shared" si="17"/>
        <v xml:space="preserve">   </v>
      </c>
    </row>
    <row r="1126" spans="1:13" s="46" customFormat="1" hidden="1" x14ac:dyDescent="0.2">
      <c r="A1126" s="381"/>
      <c r="B1126" s="378"/>
      <c r="C1126" s="106"/>
      <c r="D1126" s="107"/>
      <c r="E1126" s="108"/>
      <c r="F1126" s="109"/>
      <c r="G1126" s="103"/>
      <c r="H1126" s="103"/>
      <c r="I1126" s="102"/>
      <c r="J1126" s="102"/>
      <c r="K1126" s="78"/>
      <c r="L1126" s="110"/>
      <c r="M1126" s="105" t="str">
        <f t="shared" si="17"/>
        <v xml:space="preserve">   </v>
      </c>
    </row>
    <row r="1127" spans="1:13" s="53" customFormat="1" hidden="1" x14ac:dyDescent="0.2">
      <c r="A1127" s="381"/>
      <c r="B1127" s="378"/>
      <c r="C1127" s="106"/>
      <c r="D1127" s="107"/>
      <c r="E1127" s="108"/>
      <c r="F1127" s="109"/>
      <c r="G1127" s="103"/>
      <c r="H1127" s="103"/>
      <c r="I1127" s="102"/>
      <c r="J1127" s="102"/>
      <c r="K1127" s="78"/>
      <c r="L1127" s="110"/>
      <c r="M1127" s="105" t="str">
        <f t="shared" si="17"/>
        <v xml:space="preserve">   </v>
      </c>
    </row>
    <row r="1128" spans="1:13" s="53" customFormat="1" hidden="1" x14ac:dyDescent="0.2">
      <c r="A1128" s="381"/>
      <c r="B1128" s="378"/>
      <c r="C1128" s="106"/>
      <c r="D1128" s="107"/>
      <c r="E1128" s="108"/>
      <c r="F1128" s="109"/>
      <c r="G1128" s="103"/>
      <c r="H1128" s="103"/>
      <c r="I1128" s="102"/>
      <c r="J1128" s="102"/>
      <c r="K1128" s="78"/>
      <c r="L1128" s="110"/>
      <c r="M1128" s="105" t="str">
        <f t="shared" si="17"/>
        <v xml:space="preserve">   </v>
      </c>
    </row>
    <row r="1129" spans="1:13" s="53" customFormat="1" hidden="1" x14ac:dyDescent="0.2">
      <c r="A1129" s="381"/>
      <c r="B1129" s="378"/>
      <c r="C1129" s="106"/>
      <c r="D1129" s="107"/>
      <c r="E1129" s="108"/>
      <c r="F1129" s="109"/>
      <c r="G1129" s="103"/>
      <c r="H1129" s="103"/>
      <c r="I1129" s="102"/>
      <c r="J1129" s="102"/>
      <c r="K1129" s="78"/>
      <c r="L1129" s="110"/>
      <c r="M1129" s="105" t="str">
        <f t="shared" si="17"/>
        <v xml:space="preserve">   </v>
      </c>
    </row>
    <row r="1130" spans="1:13" s="53" customFormat="1" hidden="1" x14ac:dyDescent="0.2">
      <c r="A1130" s="381"/>
      <c r="B1130" s="378"/>
      <c r="C1130" s="106"/>
      <c r="D1130" s="107"/>
      <c r="E1130" s="108"/>
      <c r="F1130" s="109"/>
      <c r="G1130" s="103"/>
      <c r="H1130" s="103"/>
      <c r="I1130" s="102"/>
      <c r="J1130" s="102"/>
      <c r="K1130" s="78"/>
      <c r="L1130" s="110"/>
      <c r="M1130" s="105" t="str">
        <f t="shared" si="17"/>
        <v xml:space="preserve">   </v>
      </c>
    </row>
    <row r="1131" spans="1:13" s="46" customFormat="1" hidden="1" x14ac:dyDescent="0.2">
      <c r="A1131" s="381"/>
      <c r="B1131" s="378"/>
      <c r="C1131" s="106"/>
      <c r="D1131" s="107"/>
      <c r="E1131" s="108"/>
      <c r="F1131" s="109"/>
      <c r="G1131" s="103"/>
      <c r="H1131" s="103"/>
      <c r="I1131" s="102"/>
      <c r="J1131" s="102"/>
      <c r="K1131" s="78"/>
      <c r="L1131" s="110"/>
      <c r="M1131" s="105" t="str">
        <f t="shared" si="17"/>
        <v xml:space="preserve">   </v>
      </c>
    </row>
    <row r="1132" spans="1:13" s="46" customFormat="1" hidden="1" x14ac:dyDescent="0.2">
      <c r="A1132" s="381"/>
      <c r="B1132" s="378"/>
      <c r="C1132" s="113"/>
      <c r="D1132" s="114"/>
      <c r="E1132" s="115"/>
      <c r="F1132" s="116"/>
      <c r="G1132" s="103"/>
      <c r="H1132" s="103"/>
      <c r="I1132" s="102"/>
      <c r="J1132" s="102"/>
      <c r="K1132" s="78"/>
      <c r="L1132" s="117"/>
      <c r="M1132" s="105" t="str">
        <f t="shared" si="17"/>
        <v xml:space="preserve">   </v>
      </c>
    </row>
    <row r="1133" spans="1:13" s="46" customFormat="1" ht="15" hidden="1" customHeight="1" x14ac:dyDescent="0.2">
      <c r="A1133" s="381" t="s">
        <v>68</v>
      </c>
      <c r="B1133" s="378" t="s">
        <v>89</v>
      </c>
      <c r="C1133" s="102"/>
      <c r="D1133" s="102"/>
      <c r="E1133" s="102"/>
      <c r="F1133" s="102"/>
      <c r="G1133" s="103"/>
      <c r="H1133" s="103"/>
      <c r="I1133" s="102"/>
      <c r="J1133" s="102"/>
      <c r="K1133" s="78"/>
      <c r="L1133" s="111" t="str">
        <f>CONCATENATE(C1133," ",D1133," ",E1133," ",F1133," ",C1134," ",D1134," ",E1134," ",F1134)</f>
        <v xml:space="preserve">       </v>
      </c>
      <c r="M1133" s="105" t="str">
        <f t="shared" si="17"/>
        <v xml:space="preserve">   </v>
      </c>
    </row>
    <row r="1134" spans="1:13" s="46" customFormat="1" hidden="1" x14ac:dyDescent="0.2">
      <c r="A1134" s="381"/>
      <c r="B1134" s="378"/>
      <c r="C1134" s="112"/>
      <c r="D1134" s="107"/>
      <c r="E1134" s="108"/>
      <c r="F1134" s="109"/>
      <c r="G1134" s="103"/>
      <c r="H1134" s="103"/>
      <c r="I1134" s="102"/>
      <c r="J1134" s="102"/>
      <c r="K1134" s="78"/>
      <c r="L1134" s="110"/>
      <c r="M1134" s="105" t="str">
        <f t="shared" si="17"/>
        <v xml:space="preserve">   </v>
      </c>
    </row>
    <row r="1135" spans="1:13" s="46" customFormat="1" hidden="1" x14ac:dyDescent="0.2">
      <c r="A1135" s="381"/>
      <c r="B1135" s="378"/>
      <c r="C1135" s="106"/>
      <c r="D1135" s="107"/>
      <c r="E1135" s="108"/>
      <c r="F1135" s="109"/>
      <c r="G1135" s="103"/>
      <c r="H1135" s="103"/>
      <c r="I1135" s="102"/>
      <c r="J1135" s="102"/>
      <c r="K1135" s="78"/>
      <c r="L1135" s="110"/>
      <c r="M1135" s="105" t="str">
        <f t="shared" si="17"/>
        <v xml:space="preserve">   </v>
      </c>
    </row>
    <row r="1136" spans="1:13" s="46" customFormat="1" hidden="1" x14ac:dyDescent="0.2">
      <c r="A1136" s="381"/>
      <c r="B1136" s="378"/>
      <c r="C1136" s="106"/>
      <c r="D1136" s="107"/>
      <c r="E1136" s="108"/>
      <c r="F1136" s="109"/>
      <c r="G1136" s="103"/>
      <c r="H1136" s="103"/>
      <c r="I1136" s="102"/>
      <c r="J1136" s="102"/>
      <c r="K1136" s="78"/>
      <c r="L1136" s="110"/>
      <c r="M1136" s="105" t="str">
        <f t="shared" si="17"/>
        <v xml:space="preserve">   </v>
      </c>
    </row>
    <row r="1137" spans="1:13" s="53" customFormat="1" hidden="1" x14ac:dyDescent="0.2">
      <c r="A1137" s="381"/>
      <c r="B1137" s="378"/>
      <c r="C1137" s="106"/>
      <c r="D1137" s="107"/>
      <c r="E1137" s="108"/>
      <c r="F1137" s="109"/>
      <c r="G1137" s="103"/>
      <c r="H1137" s="103"/>
      <c r="I1137" s="102"/>
      <c r="J1137" s="102"/>
      <c r="K1137" s="78"/>
      <c r="L1137" s="110"/>
      <c r="M1137" s="105" t="str">
        <f t="shared" si="17"/>
        <v xml:space="preserve">   </v>
      </c>
    </row>
    <row r="1138" spans="1:13" s="53" customFormat="1" hidden="1" x14ac:dyDescent="0.2">
      <c r="A1138" s="381"/>
      <c r="B1138" s="378"/>
      <c r="C1138" s="106"/>
      <c r="D1138" s="107"/>
      <c r="E1138" s="108"/>
      <c r="F1138" s="109"/>
      <c r="G1138" s="103"/>
      <c r="H1138" s="103"/>
      <c r="I1138" s="102"/>
      <c r="J1138" s="102"/>
      <c r="K1138" s="78"/>
      <c r="L1138" s="110"/>
      <c r="M1138" s="105" t="str">
        <f t="shared" si="17"/>
        <v xml:space="preserve">   </v>
      </c>
    </row>
    <row r="1139" spans="1:13" s="53" customFormat="1" hidden="1" x14ac:dyDescent="0.2">
      <c r="A1139" s="381"/>
      <c r="B1139" s="378"/>
      <c r="C1139" s="106"/>
      <c r="D1139" s="107"/>
      <c r="E1139" s="108"/>
      <c r="F1139" s="109"/>
      <c r="G1139" s="103"/>
      <c r="H1139" s="103"/>
      <c r="I1139" s="102"/>
      <c r="J1139" s="102"/>
      <c r="K1139" s="78"/>
      <c r="L1139" s="110"/>
      <c r="M1139" s="105" t="str">
        <f t="shared" si="17"/>
        <v xml:space="preserve">   </v>
      </c>
    </row>
    <row r="1140" spans="1:13" s="53" customFormat="1" hidden="1" x14ac:dyDescent="0.2">
      <c r="A1140" s="381"/>
      <c r="B1140" s="378"/>
      <c r="C1140" s="106"/>
      <c r="D1140" s="107"/>
      <c r="E1140" s="108"/>
      <c r="F1140" s="109"/>
      <c r="G1140" s="103"/>
      <c r="H1140" s="103"/>
      <c r="I1140" s="102"/>
      <c r="J1140" s="102"/>
      <c r="K1140" s="78"/>
      <c r="L1140" s="110"/>
      <c r="M1140" s="105" t="str">
        <f t="shared" si="17"/>
        <v xml:space="preserve">   </v>
      </c>
    </row>
    <row r="1141" spans="1:13" s="46" customFormat="1" hidden="1" x14ac:dyDescent="0.2">
      <c r="A1141" s="381"/>
      <c r="B1141" s="378"/>
      <c r="C1141" s="106"/>
      <c r="D1141" s="107"/>
      <c r="E1141" s="108"/>
      <c r="F1141" s="109"/>
      <c r="G1141" s="103"/>
      <c r="H1141" s="103"/>
      <c r="I1141" s="102"/>
      <c r="J1141" s="102"/>
      <c r="K1141" s="78"/>
      <c r="L1141" s="110"/>
      <c r="M1141" s="105" t="str">
        <f t="shared" si="17"/>
        <v xml:space="preserve">   </v>
      </c>
    </row>
    <row r="1142" spans="1:13" s="46" customFormat="1" hidden="1" x14ac:dyDescent="0.2">
      <c r="A1142" s="381"/>
      <c r="B1142" s="378"/>
      <c r="C1142" s="113"/>
      <c r="D1142" s="114"/>
      <c r="E1142" s="115"/>
      <c r="F1142" s="116"/>
      <c r="G1142" s="103"/>
      <c r="H1142" s="103"/>
      <c r="I1142" s="102"/>
      <c r="J1142" s="102"/>
      <c r="K1142" s="78"/>
      <c r="L1142" s="110"/>
      <c r="M1142" s="105" t="str">
        <f t="shared" si="17"/>
        <v xml:space="preserve">   </v>
      </c>
    </row>
    <row r="1143" spans="1:13" s="46" customFormat="1" ht="15" hidden="1" customHeight="1" x14ac:dyDescent="0.2">
      <c r="A1143" s="381" t="s">
        <v>68</v>
      </c>
      <c r="B1143" s="378" t="s">
        <v>89</v>
      </c>
      <c r="C1143" s="102"/>
      <c r="D1143" s="102"/>
      <c r="E1143" s="102"/>
      <c r="F1143" s="102"/>
      <c r="G1143" s="103"/>
      <c r="H1143" s="103"/>
      <c r="I1143" s="102"/>
      <c r="J1143" s="102"/>
      <c r="K1143" s="78"/>
      <c r="L1143" s="111" t="str">
        <f>CONCATENATE(C1143," ",D1143," ",E1143," ",F1143," ",C1144," ",D1144," ",E1144," ",F1144)</f>
        <v xml:space="preserve">       </v>
      </c>
      <c r="M1143" s="105" t="str">
        <f t="shared" si="17"/>
        <v xml:space="preserve">   </v>
      </c>
    </row>
    <row r="1144" spans="1:13" s="46" customFormat="1" hidden="1" x14ac:dyDescent="0.2">
      <c r="A1144" s="381"/>
      <c r="B1144" s="378"/>
      <c r="C1144" s="112"/>
      <c r="D1144" s="107"/>
      <c r="E1144" s="108"/>
      <c r="F1144" s="109"/>
      <c r="G1144" s="103"/>
      <c r="H1144" s="103"/>
      <c r="I1144" s="102"/>
      <c r="J1144" s="102"/>
      <c r="K1144" s="78"/>
      <c r="L1144" s="110"/>
      <c r="M1144" s="105" t="str">
        <f t="shared" si="17"/>
        <v xml:space="preserve">   </v>
      </c>
    </row>
    <row r="1145" spans="1:13" s="46" customFormat="1" hidden="1" x14ac:dyDescent="0.2">
      <c r="A1145" s="381"/>
      <c r="B1145" s="378"/>
      <c r="C1145" s="106"/>
      <c r="D1145" s="107"/>
      <c r="E1145" s="108"/>
      <c r="F1145" s="109"/>
      <c r="G1145" s="103"/>
      <c r="H1145" s="103"/>
      <c r="I1145" s="102"/>
      <c r="J1145" s="102"/>
      <c r="K1145" s="78"/>
      <c r="L1145" s="110"/>
      <c r="M1145" s="105" t="str">
        <f t="shared" si="17"/>
        <v xml:space="preserve">   </v>
      </c>
    </row>
    <row r="1146" spans="1:13" s="46" customFormat="1" hidden="1" x14ac:dyDescent="0.2">
      <c r="A1146" s="381"/>
      <c r="B1146" s="378"/>
      <c r="C1146" s="106"/>
      <c r="D1146" s="107"/>
      <c r="E1146" s="108"/>
      <c r="F1146" s="109"/>
      <c r="G1146" s="103"/>
      <c r="H1146" s="103"/>
      <c r="I1146" s="102"/>
      <c r="J1146" s="102"/>
      <c r="K1146" s="78"/>
      <c r="L1146" s="110"/>
      <c r="M1146" s="105" t="str">
        <f t="shared" si="17"/>
        <v xml:space="preserve">   </v>
      </c>
    </row>
    <row r="1147" spans="1:13" s="53" customFormat="1" hidden="1" x14ac:dyDescent="0.2">
      <c r="A1147" s="381"/>
      <c r="B1147" s="378"/>
      <c r="C1147" s="106"/>
      <c r="D1147" s="107"/>
      <c r="E1147" s="108"/>
      <c r="F1147" s="109"/>
      <c r="G1147" s="103"/>
      <c r="H1147" s="103"/>
      <c r="I1147" s="102"/>
      <c r="J1147" s="102"/>
      <c r="K1147" s="78"/>
      <c r="L1147" s="110"/>
      <c r="M1147" s="105" t="str">
        <f t="shared" si="17"/>
        <v xml:space="preserve">   </v>
      </c>
    </row>
    <row r="1148" spans="1:13" s="53" customFormat="1" hidden="1" x14ac:dyDescent="0.2">
      <c r="A1148" s="381"/>
      <c r="B1148" s="378"/>
      <c r="C1148" s="106"/>
      <c r="D1148" s="107"/>
      <c r="E1148" s="108"/>
      <c r="F1148" s="109"/>
      <c r="G1148" s="103"/>
      <c r="H1148" s="103"/>
      <c r="I1148" s="102"/>
      <c r="J1148" s="102"/>
      <c r="K1148" s="78"/>
      <c r="L1148" s="110"/>
      <c r="M1148" s="105" t="str">
        <f t="shared" si="17"/>
        <v xml:space="preserve">   </v>
      </c>
    </row>
    <row r="1149" spans="1:13" s="53" customFormat="1" hidden="1" x14ac:dyDescent="0.2">
      <c r="A1149" s="381"/>
      <c r="B1149" s="378"/>
      <c r="C1149" s="106"/>
      <c r="D1149" s="107"/>
      <c r="E1149" s="108"/>
      <c r="F1149" s="109"/>
      <c r="G1149" s="103"/>
      <c r="H1149" s="103"/>
      <c r="I1149" s="102"/>
      <c r="J1149" s="102"/>
      <c r="K1149" s="78"/>
      <c r="L1149" s="110"/>
      <c r="M1149" s="105" t="str">
        <f t="shared" si="17"/>
        <v xml:space="preserve">   </v>
      </c>
    </row>
    <row r="1150" spans="1:13" s="53" customFormat="1" hidden="1" x14ac:dyDescent="0.2">
      <c r="A1150" s="381"/>
      <c r="B1150" s="378"/>
      <c r="C1150" s="106"/>
      <c r="D1150" s="107"/>
      <c r="E1150" s="108"/>
      <c r="F1150" s="109"/>
      <c r="G1150" s="103"/>
      <c r="H1150" s="103"/>
      <c r="I1150" s="102"/>
      <c r="J1150" s="102"/>
      <c r="K1150" s="78"/>
      <c r="L1150" s="110"/>
      <c r="M1150" s="105" t="str">
        <f t="shared" si="17"/>
        <v xml:space="preserve">   </v>
      </c>
    </row>
    <row r="1151" spans="1:13" s="46" customFormat="1" hidden="1" x14ac:dyDescent="0.2">
      <c r="A1151" s="381"/>
      <c r="B1151" s="378"/>
      <c r="C1151" s="106"/>
      <c r="D1151" s="107"/>
      <c r="E1151" s="108"/>
      <c r="F1151" s="109"/>
      <c r="G1151" s="103"/>
      <c r="H1151" s="103"/>
      <c r="I1151" s="102"/>
      <c r="J1151" s="102"/>
      <c r="K1151" s="78"/>
      <c r="L1151" s="110"/>
      <c r="M1151" s="105" t="str">
        <f t="shared" si="17"/>
        <v xml:space="preserve">   </v>
      </c>
    </row>
    <row r="1152" spans="1:13" s="46" customFormat="1" hidden="1" x14ac:dyDescent="0.2">
      <c r="A1152" s="381"/>
      <c r="B1152" s="378"/>
      <c r="C1152" s="113"/>
      <c r="D1152" s="114"/>
      <c r="E1152" s="115"/>
      <c r="F1152" s="116"/>
      <c r="G1152" s="103"/>
      <c r="H1152" s="103"/>
      <c r="I1152" s="102"/>
      <c r="J1152" s="102"/>
      <c r="K1152" s="78"/>
      <c r="L1152" s="117"/>
      <c r="M1152" s="105" t="str">
        <f t="shared" si="17"/>
        <v xml:space="preserve">   </v>
      </c>
    </row>
    <row r="1153" spans="1:13" s="46" customFormat="1" ht="15" hidden="1" customHeight="1" x14ac:dyDescent="0.2">
      <c r="A1153" s="381" t="s">
        <v>68</v>
      </c>
      <c r="B1153" s="378" t="s">
        <v>89</v>
      </c>
      <c r="C1153" s="102"/>
      <c r="D1153" s="102"/>
      <c r="E1153" s="102"/>
      <c r="F1153" s="102"/>
      <c r="G1153" s="103"/>
      <c r="H1153" s="103"/>
      <c r="I1153" s="102"/>
      <c r="J1153" s="102"/>
      <c r="K1153" s="78"/>
      <c r="L1153" s="111" t="str">
        <f>CONCATENATE(C1153," ",D1153," ",E1153," ",F1153," ",C1154," ",D1154," ",E1154," ",F1154)</f>
        <v xml:space="preserve">       </v>
      </c>
      <c r="M1153" s="105" t="str">
        <f t="shared" si="17"/>
        <v xml:space="preserve">   </v>
      </c>
    </row>
    <row r="1154" spans="1:13" s="46" customFormat="1" hidden="1" x14ac:dyDescent="0.2">
      <c r="A1154" s="381"/>
      <c r="B1154" s="378"/>
      <c r="C1154" s="112"/>
      <c r="D1154" s="107"/>
      <c r="E1154" s="108"/>
      <c r="F1154" s="109"/>
      <c r="G1154" s="103"/>
      <c r="H1154" s="103"/>
      <c r="I1154" s="102"/>
      <c r="J1154" s="102"/>
      <c r="K1154" s="78"/>
      <c r="L1154" s="110"/>
      <c r="M1154" s="105" t="str">
        <f t="shared" si="17"/>
        <v xml:space="preserve">   </v>
      </c>
    </row>
    <row r="1155" spans="1:13" s="46" customFormat="1" hidden="1" x14ac:dyDescent="0.2">
      <c r="A1155" s="381"/>
      <c r="B1155" s="378"/>
      <c r="C1155" s="106"/>
      <c r="D1155" s="107"/>
      <c r="E1155" s="108"/>
      <c r="F1155" s="109"/>
      <c r="G1155" s="103"/>
      <c r="H1155" s="103"/>
      <c r="I1155" s="102"/>
      <c r="J1155" s="102"/>
      <c r="K1155" s="78"/>
      <c r="L1155" s="110"/>
      <c r="M1155" s="105" t="str">
        <f t="shared" si="17"/>
        <v xml:space="preserve">   </v>
      </c>
    </row>
    <row r="1156" spans="1:13" s="46" customFormat="1" hidden="1" x14ac:dyDescent="0.2">
      <c r="A1156" s="381"/>
      <c r="B1156" s="378"/>
      <c r="C1156" s="106"/>
      <c r="D1156" s="107"/>
      <c r="E1156" s="108"/>
      <c r="F1156" s="109"/>
      <c r="G1156" s="103"/>
      <c r="H1156" s="103"/>
      <c r="I1156" s="102"/>
      <c r="J1156" s="102"/>
      <c r="K1156" s="78"/>
      <c r="L1156" s="110"/>
      <c r="M1156" s="105" t="str">
        <f t="shared" si="17"/>
        <v xml:space="preserve">   </v>
      </c>
    </row>
    <row r="1157" spans="1:13" s="53" customFormat="1" hidden="1" x14ac:dyDescent="0.2">
      <c r="A1157" s="381"/>
      <c r="B1157" s="378"/>
      <c r="C1157" s="106"/>
      <c r="D1157" s="107"/>
      <c r="E1157" s="108"/>
      <c r="F1157" s="109"/>
      <c r="G1157" s="103"/>
      <c r="H1157" s="103"/>
      <c r="I1157" s="102"/>
      <c r="J1157" s="102"/>
      <c r="K1157" s="78"/>
      <c r="L1157" s="110"/>
      <c r="M1157" s="105" t="str">
        <f t="shared" si="17"/>
        <v xml:space="preserve">   </v>
      </c>
    </row>
    <row r="1158" spans="1:13" s="53" customFormat="1" hidden="1" x14ac:dyDescent="0.2">
      <c r="A1158" s="381"/>
      <c r="B1158" s="378"/>
      <c r="C1158" s="106"/>
      <c r="D1158" s="107"/>
      <c r="E1158" s="108"/>
      <c r="F1158" s="109"/>
      <c r="G1158" s="103"/>
      <c r="H1158" s="103"/>
      <c r="I1158" s="102"/>
      <c r="J1158" s="102"/>
      <c r="K1158" s="78"/>
      <c r="L1158" s="110"/>
      <c r="M1158" s="105" t="str">
        <f t="shared" si="17"/>
        <v xml:space="preserve">   </v>
      </c>
    </row>
    <row r="1159" spans="1:13" s="53" customFormat="1" hidden="1" x14ac:dyDescent="0.2">
      <c r="A1159" s="381"/>
      <c r="B1159" s="378"/>
      <c r="C1159" s="106"/>
      <c r="D1159" s="107"/>
      <c r="E1159" s="108"/>
      <c r="F1159" s="109"/>
      <c r="G1159" s="103"/>
      <c r="H1159" s="103"/>
      <c r="I1159" s="102"/>
      <c r="J1159" s="102"/>
      <c r="K1159" s="78"/>
      <c r="L1159" s="110"/>
      <c r="M1159" s="105" t="str">
        <f t="shared" si="17"/>
        <v xml:space="preserve">   </v>
      </c>
    </row>
    <row r="1160" spans="1:13" s="53" customFormat="1" hidden="1" x14ac:dyDescent="0.2">
      <c r="A1160" s="381"/>
      <c r="B1160" s="378"/>
      <c r="C1160" s="106"/>
      <c r="D1160" s="107"/>
      <c r="E1160" s="108"/>
      <c r="F1160" s="109"/>
      <c r="G1160" s="103"/>
      <c r="H1160" s="103"/>
      <c r="I1160" s="102"/>
      <c r="J1160" s="102"/>
      <c r="K1160" s="78"/>
      <c r="L1160" s="110"/>
      <c r="M1160" s="105" t="str">
        <f t="shared" si="17"/>
        <v xml:space="preserve">   </v>
      </c>
    </row>
    <row r="1161" spans="1:13" s="46" customFormat="1" hidden="1" x14ac:dyDescent="0.2">
      <c r="A1161" s="381"/>
      <c r="B1161" s="378"/>
      <c r="C1161" s="106"/>
      <c r="D1161" s="107"/>
      <c r="E1161" s="108"/>
      <c r="F1161" s="109"/>
      <c r="G1161" s="103"/>
      <c r="H1161" s="103"/>
      <c r="I1161" s="102"/>
      <c r="J1161" s="102"/>
      <c r="K1161" s="78"/>
      <c r="L1161" s="110"/>
      <c r="M1161" s="105" t="str">
        <f t="shared" si="17"/>
        <v xml:space="preserve">   </v>
      </c>
    </row>
    <row r="1162" spans="1:13" s="46" customFormat="1" hidden="1" x14ac:dyDescent="0.2">
      <c r="A1162" s="381"/>
      <c r="B1162" s="378"/>
      <c r="C1162" s="113"/>
      <c r="D1162" s="114"/>
      <c r="E1162" s="115"/>
      <c r="F1162" s="116"/>
      <c r="G1162" s="103"/>
      <c r="H1162" s="103"/>
      <c r="I1162" s="102"/>
      <c r="J1162" s="102"/>
      <c r="K1162" s="78"/>
      <c r="L1162" s="110"/>
      <c r="M1162" s="105" t="str">
        <f t="shared" si="17"/>
        <v xml:space="preserve">   </v>
      </c>
    </row>
    <row r="1163" spans="1:13" s="46" customFormat="1" ht="15" hidden="1" customHeight="1" x14ac:dyDescent="0.2">
      <c r="A1163" s="381" t="s">
        <v>68</v>
      </c>
      <c r="B1163" s="378" t="s">
        <v>89</v>
      </c>
      <c r="C1163" s="102"/>
      <c r="D1163" s="102"/>
      <c r="E1163" s="102"/>
      <c r="F1163" s="102"/>
      <c r="G1163" s="103"/>
      <c r="H1163" s="103"/>
      <c r="I1163" s="102"/>
      <c r="J1163" s="102"/>
      <c r="K1163" s="78"/>
      <c r="L1163" s="111" t="str">
        <f>CONCATENATE(C1163," ",D1163," ",E1163," ",F1163," ",C1164," ",D1164," ",E1164," ",F1164)</f>
        <v xml:space="preserve">       </v>
      </c>
      <c r="M1163" s="105" t="str">
        <f t="shared" ref="M1163:M1226" si="18">CONCATENATE(G1163," ",H1163," ",I1163," ",J1163)</f>
        <v xml:space="preserve">   </v>
      </c>
    </row>
    <row r="1164" spans="1:13" s="46" customFormat="1" hidden="1" x14ac:dyDescent="0.2">
      <c r="A1164" s="381"/>
      <c r="B1164" s="378"/>
      <c r="C1164" s="112"/>
      <c r="D1164" s="107"/>
      <c r="E1164" s="108"/>
      <c r="F1164" s="109"/>
      <c r="G1164" s="103"/>
      <c r="H1164" s="103"/>
      <c r="I1164" s="102"/>
      <c r="J1164" s="102"/>
      <c r="K1164" s="78"/>
      <c r="L1164" s="110"/>
      <c r="M1164" s="105" t="str">
        <f t="shared" si="18"/>
        <v xml:space="preserve">   </v>
      </c>
    </row>
    <row r="1165" spans="1:13" s="46" customFormat="1" hidden="1" x14ac:dyDescent="0.2">
      <c r="A1165" s="381"/>
      <c r="B1165" s="378"/>
      <c r="C1165" s="106"/>
      <c r="D1165" s="107"/>
      <c r="E1165" s="108"/>
      <c r="F1165" s="109"/>
      <c r="G1165" s="103"/>
      <c r="H1165" s="103"/>
      <c r="I1165" s="102"/>
      <c r="J1165" s="102"/>
      <c r="K1165" s="78"/>
      <c r="L1165" s="110"/>
      <c r="M1165" s="105" t="str">
        <f t="shared" si="18"/>
        <v xml:space="preserve">   </v>
      </c>
    </row>
    <row r="1166" spans="1:13" s="46" customFormat="1" hidden="1" x14ac:dyDescent="0.2">
      <c r="A1166" s="381"/>
      <c r="B1166" s="378"/>
      <c r="C1166" s="106"/>
      <c r="D1166" s="107"/>
      <c r="E1166" s="108"/>
      <c r="F1166" s="109"/>
      <c r="G1166" s="103"/>
      <c r="H1166" s="103"/>
      <c r="I1166" s="102"/>
      <c r="J1166" s="102"/>
      <c r="K1166" s="78"/>
      <c r="L1166" s="110"/>
      <c r="M1166" s="105" t="str">
        <f t="shared" si="18"/>
        <v xml:space="preserve">   </v>
      </c>
    </row>
    <row r="1167" spans="1:13" s="53" customFormat="1" hidden="1" x14ac:dyDescent="0.2">
      <c r="A1167" s="381"/>
      <c r="B1167" s="378"/>
      <c r="C1167" s="106"/>
      <c r="D1167" s="107"/>
      <c r="E1167" s="108"/>
      <c r="F1167" s="109"/>
      <c r="G1167" s="103"/>
      <c r="H1167" s="103"/>
      <c r="I1167" s="102"/>
      <c r="J1167" s="102"/>
      <c r="K1167" s="78"/>
      <c r="L1167" s="110"/>
      <c r="M1167" s="105" t="str">
        <f t="shared" si="18"/>
        <v xml:space="preserve">   </v>
      </c>
    </row>
    <row r="1168" spans="1:13" s="53" customFormat="1" hidden="1" x14ac:dyDescent="0.2">
      <c r="A1168" s="381"/>
      <c r="B1168" s="378"/>
      <c r="C1168" s="106"/>
      <c r="D1168" s="107"/>
      <c r="E1168" s="108"/>
      <c r="F1168" s="109"/>
      <c r="G1168" s="103"/>
      <c r="H1168" s="103"/>
      <c r="I1168" s="102"/>
      <c r="J1168" s="102"/>
      <c r="K1168" s="78"/>
      <c r="L1168" s="110"/>
      <c r="M1168" s="105" t="str">
        <f t="shared" si="18"/>
        <v xml:space="preserve">   </v>
      </c>
    </row>
    <row r="1169" spans="1:13" s="53" customFormat="1" hidden="1" x14ac:dyDescent="0.2">
      <c r="A1169" s="381"/>
      <c r="B1169" s="378"/>
      <c r="C1169" s="106"/>
      <c r="D1169" s="107"/>
      <c r="E1169" s="108"/>
      <c r="F1169" s="109"/>
      <c r="G1169" s="103"/>
      <c r="H1169" s="103"/>
      <c r="I1169" s="102"/>
      <c r="J1169" s="102"/>
      <c r="K1169" s="78"/>
      <c r="L1169" s="110"/>
      <c r="M1169" s="105" t="str">
        <f t="shared" si="18"/>
        <v xml:space="preserve">   </v>
      </c>
    </row>
    <row r="1170" spans="1:13" s="53" customFormat="1" hidden="1" x14ac:dyDescent="0.2">
      <c r="A1170" s="381"/>
      <c r="B1170" s="378"/>
      <c r="C1170" s="106"/>
      <c r="D1170" s="107"/>
      <c r="E1170" s="108"/>
      <c r="F1170" s="109"/>
      <c r="G1170" s="103"/>
      <c r="H1170" s="103"/>
      <c r="I1170" s="102"/>
      <c r="J1170" s="102"/>
      <c r="K1170" s="78"/>
      <c r="L1170" s="110"/>
      <c r="M1170" s="105" t="str">
        <f t="shared" si="18"/>
        <v xml:space="preserve">   </v>
      </c>
    </row>
    <row r="1171" spans="1:13" s="46" customFormat="1" hidden="1" x14ac:dyDescent="0.2">
      <c r="A1171" s="381"/>
      <c r="B1171" s="378"/>
      <c r="C1171" s="106"/>
      <c r="D1171" s="107"/>
      <c r="E1171" s="108"/>
      <c r="F1171" s="109"/>
      <c r="G1171" s="103"/>
      <c r="H1171" s="103"/>
      <c r="I1171" s="102"/>
      <c r="J1171" s="102"/>
      <c r="K1171" s="78"/>
      <c r="L1171" s="110"/>
      <c r="M1171" s="105" t="str">
        <f t="shared" si="18"/>
        <v xml:space="preserve">   </v>
      </c>
    </row>
    <row r="1172" spans="1:13" s="46" customFormat="1" hidden="1" x14ac:dyDescent="0.2">
      <c r="A1172" s="381"/>
      <c r="B1172" s="378"/>
      <c r="C1172" s="113"/>
      <c r="D1172" s="114"/>
      <c r="E1172" s="115"/>
      <c r="F1172" s="116"/>
      <c r="G1172" s="103"/>
      <c r="H1172" s="103"/>
      <c r="I1172" s="102"/>
      <c r="J1172" s="102"/>
      <c r="K1172" s="78"/>
      <c r="L1172" s="117"/>
      <c r="M1172" s="105" t="str">
        <f t="shared" si="18"/>
        <v xml:space="preserve">   </v>
      </c>
    </row>
    <row r="1173" spans="1:13" s="46" customFormat="1" ht="15" hidden="1" customHeight="1" x14ac:dyDescent="0.2">
      <c r="A1173" s="381" t="s">
        <v>68</v>
      </c>
      <c r="B1173" s="378" t="s">
        <v>89</v>
      </c>
      <c r="C1173" s="102"/>
      <c r="D1173" s="102"/>
      <c r="E1173" s="102"/>
      <c r="F1173" s="102"/>
      <c r="G1173" s="103"/>
      <c r="H1173" s="103"/>
      <c r="I1173" s="102"/>
      <c r="J1173" s="102"/>
      <c r="K1173" s="78"/>
      <c r="L1173" s="111" t="str">
        <f>CONCATENATE(C1173," ",D1173," ",E1173," ",F1173," ",C1174," ",D1174," ",E1174," ",F1174)</f>
        <v xml:space="preserve">       </v>
      </c>
      <c r="M1173" s="105" t="str">
        <f t="shared" si="18"/>
        <v xml:space="preserve">   </v>
      </c>
    </row>
    <row r="1174" spans="1:13" s="46" customFormat="1" hidden="1" x14ac:dyDescent="0.2">
      <c r="A1174" s="381"/>
      <c r="B1174" s="378"/>
      <c r="C1174" s="112"/>
      <c r="D1174" s="107"/>
      <c r="E1174" s="108"/>
      <c r="F1174" s="109"/>
      <c r="G1174" s="103"/>
      <c r="H1174" s="103"/>
      <c r="I1174" s="102"/>
      <c r="J1174" s="102"/>
      <c r="K1174" s="78"/>
      <c r="L1174" s="110"/>
      <c r="M1174" s="105" t="str">
        <f t="shared" si="18"/>
        <v xml:space="preserve">   </v>
      </c>
    </row>
    <row r="1175" spans="1:13" s="46" customFormat="1" hidden="1" x14ac:dyDescent="0.2">
      <c r="A1175" s="381"/>
      <c r="B1175" s="378"/>
      <c r="C1175" s="106"/>
      <c r="D1175" s="107"/>
      <c r="E1175" s="108"/>
      <c r="F1175" s="109"/>
      <c r="G1175" s="103"/>
      <c r="H1175" s="103"/>
      <c r="I1175" s="102"/>
      <c r="J1175" s="102"/>
      <c r="K1175" s="78"/>
      <c r="L1175" s="110"/>
      <c r="M1175" s="105" t="str">
        <f t="shared" si="18"/>
        <v xml:space="preserve">   </v>
      </c>
    </row>
    <row r="1176" spans="1:13" s="46" customFormat="1" hidden="1" x14ac:dyDescent="0.2">
      <c r="A1176" s="381"/>
      <c r="B1176" s="378"/>
      <c r="C1176" s="106"/>
      <c r="D1176" s="107"/>
      <c r="E1176" s="108"/>
      <c r="F1176" s="109"/>
      <c r="G1176" s="103"/>
      <c r="H1176" s="103"/>
      <c r="I1176" s="102"/>
      <c r="J1176" s="102"/>
      <c r="K1176" s="78"/>
      <c r="L1176" s="110"/>
      <c r="M1176" s="105" t="str">
        <f t="shared" si="18"/>
        <v xml:space="preserve">   </v>
      </c>
    </row>
    <row r="1177" spans="1:13" s="53" customFormat="1" hidden="1" x14ac:dyDescent="0.2">
      <c r="A1177" s="381"/>
      <c r="B1177" s="378"/>
      <c r="C1177" s="106"/>
      <c r="D1177" s="107"/>
      <c r="E1177" s="108"/>
      <c r="F1177" s="109"/>
      <c r="G1177" s="103"/>
      <c r="H1177" s="103"/>
      <c r="I1177" s="102"/>
      <c r="J1177" s="102"/>
      <c r="K1177" s="78"/>
      <c r="L1177" s="110"/>
      <c r="M1177" s="105" t="str">
        <f t="shared" si="18"/>
        <v xml:space="preserve">   </v>
      </c>
    </row>
    <row r="1178" spans="1:13" s="53" customFormat="1" hidden="1" x14ac:dyDescent="0.2">
      <c r="A1178" s="381"/>
      <c r="B1178" s="378"/>
      <c r="C1178" s="106"/>
      <c r="D1178" s="107"/>
      <c r="E1178" s="108"/>
      <c r="F1178" s="109"/>
      <c r="G1178" s="103"/>
      <c r="H1178" s="103"/>
      <c r="I1178" s="102"/>
      <c r="J1178" s="102"/>
      <c r="K1178" s="78"/>
      <c r="L1178" s="110"/>
      <c r="M1178" s="105" t="str">
        <f t="shared" si="18"/>
        <v xml:space="preserve">   </v>
      </c>
    </row>
    <row r="1179" spans="1:13" s="53" customFormat="1" hidden="1" x14ac:dyDescent="0.2">
      <c r="A1179" s="381"/>
      <c r="B1179" s="378"/>
      <c r="C1179" s="106"/>
      <c r="D1179" s="107"/>
      <c r="E1179" s="108"/>
      <c r="F1179" s="109"/>
      <c r="G1179" s="103"/>
      <c r="H1179" s="103"/>
      <c r="I1179" s="102"/>
      <c r="J1179" s="102"/>
      <c r="K1179" s="78"/>
      <c r="L1179" s="110"/>
      <c r="M1179" s="105" t="str">
        <f t="shared" si="18"/>
        <v xml:space="preserve">   </v>
      </c>
    </row>
    <row r="1180" spans="1:13" s="53" customFormat="1" hidden="1" x14ac:dyDescent="0.2">
      <c r="A1180" s="381"/>
      <c r="B1180" s="378"/>
      <c r="C1180" s="106"/>
      <c r="D1180" s="107"/>
      <c r="E1180" s="108"/>
      <c r="F1180" s="109"/>
      <c r="G1180" s="103"/>
      <c r="H1180" s="103"/>
      <c r="I1180" s="102"/>
      <c r="J1180" s="102"/>
      <c r="K1180" s="78"/>
      <c r="L1180" s="110"/>
      <c r="M1180" s="105" t="str">
        <f t="shared" si="18"/>
        <v xml:space="preserve">   </v>
      </c>
    </row>
    <row r="1181" spans="1:13" s="46" customFormat="1" hidden="1" x14ac:dyDescent="0.2">
      <c r="A1181" s="381"/>
      <c r="B1181" s="378"/>
      <c r="C1181" s="106"/>
      <c r="D1181" s="107"/>
      <c r="E1181" s="108"/>
      <c r="F1181" s="109"/>
      <c r="G1181" s="103"/>
      <c r="H1181" s="103"/>
      <c r="I1181" s="102"/>
      <c r="J1181" s="102"/>
      <c r="K1181" s="78"/>
      <c r="L1181" s="110"/>
      <c r="M1181" s="105" t="str">
        <f t="shared" si="18"/>
        <v xml:space="preserve">   </v>
      </c>
    </row>
    <row r="1182" spans="1:13" s="46" customFormat="1" hidden="1" x14ac:dyDescent="0.2">
      <c r="A1182" s="381"/>
      <c r="B1182" s="378"/>
      <c r="C1182" s="113"/>
      <c r="D1182" s="114"/>
      <c r="E1182" s="115"/>
      <c r="F1182" s="116"/>
      <c r="G1182" s="103"/>
      <c r="H1182" s="103"/>
      <c r="I1182" s="102"/>
      <c r="J1182" s="102"/>
      <c r="K1182" s="78"/>
      <c r="L1182" s="110"/>
      <c r="M1182" s="105" t="str">
        <f t="shared" si="18"/>
        <v xml:space="preserve">   </v>
      </c>
    </row>
    <row r="1183" spans="1:13" s="46" customFormat="1" ht="15" hidden="1" customHeight="1" x14ac:dyDescent="0.2">
      <c r="A1183" s="381" t="s">
        <v>68</v>
      </c>
      <c r="B1183" s="378" t="s">
        <v>89</v>
      </c>
      <c r="C1183" s="102"/>
      <c r="D1183" s="102"/>
      <c r="E1183" s="102"/>
      <c r="F1183" s="102"/>
      <c r="G1183" s="103"/>
      <c r="H1183" s="103"/>
      <c r="I1183" s="102"/>
      <c r="J1183" s="102"/>
      <c r="K1183" s="78"/>
      <c r="L1183" s="111" t="str">
        <f>CONCATENATE(C1183," ",D1183," ",E1183," ",F1183," ",C1184," ",D1184," ",E1184," ",F1184)</f>
        <v xml:space="preserve">       </v>
      </c>
      <c r="M1183" s="105" t="str">
        <f t="shared" si="18"/>
        <v xml:space="preserve">   </v>
      </c>
    </row>
    <row r="1184" spans="1:13" s="46" customFormat="1" hidden="1" x14ac:dyDescent="0.2">
      <c r="A1184" s="381"/>
      <c r="B1184" s="378"/>
      <c r="C1184" s="112"/>
      <c r="D1184" s="107"/>
      <c r="E1184" s="108"/>
      <c r="F1184" s="109"/>
      <c r="G1184" s="103"/>
      <c r="H1184" s="103"/>
      <c r="I1184" s="102"/>
      <c r="J1184" s="102"/>
      <c r="K1184" s="78"/>
      <c r="L1184" s="110"/>
      <c r="M1184" s="105" t="str">
        <f t="shared" si="18"/>
        <v xml:space="preserve">   </v>
      </c>
    </row>
    <row r="1185" spans="1:13" s="46" customFormat="1" hidden="1" x14ac:dyDescent="0.2">
      <c r="A1185" s="381"/>
      <c r="B1185" s="378"/>
      <c r="C1185" s="106"/>
      <c r="D1185" s="107"/>
      <c r="E1185" s="108"/>
      <c r="F1185" s="109"/>
      <c r="G1185" s="103"/>
      <c r="H1185" s="103"/>
      <c r="I1185" s="102"/>
      <c r="J1185" s="102"/>
      <c r="K1185" s="78"/>
      <c r="L1185" s="110"/>
      <c r="M1185" s="105" t="str">
        <f t="shared" si="18"/>
        <v xml:space="preserve">   </v>
      </c>
    </row>
    <row r="1186" spans="1:13" s="46" customFormat="1" hidden="1" x14ac:dyDescent="0.2">
      <c r="A1186" s="381"/>
      <c r="B1186" s="378"/>
      <c r="C1186" s="106"/>
      <c r="D1186" s="107"/>
      <c r="E1186" s="108"/>
      <c r="F1186" s="109"/>
      <c r="G1186" s="103"/>
      <c r="H1186" s="103"/>
      <c r="I1186" s="102"/>
      <c r="J1186" s="102"/>
      <c r="K1186" s="78"/>
      <c r="L1186" s="110"/>
      <c r="M1186" s="105" t="str">
        <f t="shared" si="18"/>
        <v xml:space="preserve">   </v>
      </c>
    </row>
    <row r="1187" spans="1:13" s="53" customFormat="1" hidden="1" x14ac:dyDescent="0.2">
      <c r="A1187" s="381"/>
      <c r="B1187" s="378"/>
      <c r="C1187" s="106"/>
      <c r="D1187" s="107"/>
      <c r="E1187" s="108"/>
      <c r="F1187" s="109"/>
      <c r="G1187" s="103"/>
      <c r="H1187" s="103"/>
      <c r="I1187" s="102"/>
      <c r="J1187" s="102"/>
      <c r="K1187" s="78"/>
      <c r="L1187" s="110"/>
      <c r="M1187" s="105" t="str">
        <f t="shared" si="18"/>
        <v xml:space="preserve">   </v>
      </c>
    </row>
    <row r="1188" spans="1:13" s="53" customFormat="1" hidden="1" x14ac:dyDescent="0.2">
      <c r="A1188" s="381"/>
      <c r="B1188" s="378"/>
      <c r="C1188" s="106"/>
      <c r="D1188" s="107"/>
      <c r="E1188" s="108"/>
      <c r="F1188" s="109"/>
      <c r="G1188" s="103"/>
      <c r="H1188" s="103"/>
      <c r="I1188" s="102"/>
      <c r="J1188" s="102"/>
      <c r="K1188" s="78"/>
      <c r="L1188" s="110"/>
      <c r="M1188" s="105" t="str">
        <f t="shared" si="18"/>
        <v xml:space="preserve">   </v>
      </c>
    </row>
    <row r="1189" spans="1:13" s="53" customFormat="1" hidden="1" x14ac:dyDescent="0.2">
      <c r="A1189" s="381"/>
      <c r="B1189" s="378"/>
      <c r="C1189" s="106"/>
      <c r="D1189" s="107"/>
      <c r="E1189" s="108"/>
      <c r="F1189" s="109"/>
      <c r="G1189" s="103"/>
      <c r="H1189" s="103"/>
      <c r="I1189" s="102"/>
      <c r="J1189" s="102"/>
      <c r="K1189" s="78"/>
      <c r="L1189" s="110"/>
      <c r="M1189" s="105" t="str">
        <f t="shared" si="18"/>
        <v xml:space="preserve">   </v>
      </c>
    </row>
    <row r="1190" spans="1:13" s="53" customFormat="1" hidden="1" x14ac:dyDescent="0.2">
      <c r="A1190" s="381"/>
      <c r="B1190" s="378"/>
      <c r="C1190" s="106"/>
      <c r="D1190" s="107"/>
      <c r="E1190" s="108"/>
      <c r="F1190" s="109"/>
      <c r="G1190" s="103"/>
      <c r="H1190" s="103"/>
      <c r="I1190" s="102"/>
      <c r="J1190" s="102"/>
      <c r="K1190" s="78"/>
      <c r="L1190" s="110"/>
      <c r="M1190" s="105" t="str">
        <f t="shared" si="18"/>
        <v xml:space="preserve">   </v>
      </c>
    </row>
    <row r="1191" spans="1:13" s="46" customFormat="1" hidden="1" x14ac:dyDescent="0.2">
      <c r="A1191" s="381"/>
      <c r="B1191" s="378"/>
      <c r="C1191" s="106"/>
      <c r="D1191" s="107"/>
      <c r="E1191" s="108"/>
      <c r="F1191" s="109"/>
      <c r="G1191" s="103"/>
      <c r="H1191" s="103"/>
      <c r="I1191" s="102"/>
      <c r="J1191" s="102"/>
      <c r="K1191" s="78"/>
      <c r="L1191" s="110"/>
      <c r="M1191" s="105" t="str">
        <f t="shared" si="18"/>
        <v xml:space="preserve">   </v>
      </c>
    </row>
    <row r="1192" spans="1:13" s="46" customFormat="1" hidden="1" x14ac:dyDescent="0.2">
      <c r="A1192" s="381"/>
      <c r="B1192" s="378"/>
      <c r="C1192" s="113"/>
      <c r="D1192" s="114"/>
      <c r="E1192" s="115"/>
      <c r="F1192" s="116"/>
      <c r="G1192" s="103"/>
      <c r="H1192" s="103"/>
      <c r="I1192" s="102"/>
      <c r="J1192" s="102"/>
      <c r="K1192" s="78"/>
      <c r="L1192" s="117"/>
      <c r="M1192" s="105" t="str">
        <f t="shared" si="18"/>
        <v xml:space="preserve">   </v>
      </c>
    </row>
    <row r="1193" spans="1:13" s="46" customFormat="1" ht="15" hidden="1" customHeight="1" x14ac:dyDescent="0.2">
      <c r="A1193" s="381" t="s">
        <v>68</v>
      </c>
      <c r="B1193" s="378" t="s">
        <v>89</v>
      </c>
      <c r="C1193" s="102"/>
      <c r="D1193" s="102"/>
      <c r="E1193" s="102"/>
      <c r="F1193" s="102"/>
      <c r="G1193" s="103"/>
      <c r="H1193" s="103"/>
      <c r="I1193" s="102"/>
      <c r="J1193" s="102"/>
      <c r="K1193" s="78"/>
      <c r="L1193" s="111" t="str">
        <f>CONCATENATE(C1193," ",D1193," ",E1193," ",F1193," ",C1194," ",D1194," ",E1194," ",F1194)</f>
        <v xml:space="preserve">       </v>
      </c>
      <c r="M1193" s="105" t="str">
        <f t="shared" si="18"/>
        <v xml:space="preserve">   </v>
      </c>
    </row>
    <row r="1194" spans="1:13" s="46" customFormat="1" hidden="1" x14ac:dyDescent="0.2">
      <c r="A1194" s="381"/>
      <c r="B1194" s="378"/>
      <c r="C1194" s="112"/>
      <c r="D1194" s="107"/>
      <c r="E1194" s="108"/>
      <c r="F1194" s="109"/>
      <c r="G1194" s="103"/>
      <c r="H1194" s="103"/>
      <c r="I1194" s="102"/>
      <c r="J1194" s="102"/>
      <c r="K1194" s="78"/>
      <c r="L1194" s="110"/>
      <c r="M1194" s="105" t="str">
        <f t="shared" si="18"/>
        <v xml:space="preserve">   </v>
      </c>
    </row>
    <row r="1195" spans="1:13" s="46" customFormat="1" hidden="1" x14ac:dyDescent="0.2">
      <c r="A1195" s="381"/>
      <c r="B1195" s="378"/>
      <c r="C1195" s="106"/>
      <c r="D1195" s="107"/>
      <c r="E1195" s="108"/>
      <c r="F1195" s="109"/>
      <c r="G1195" s="103"/>
      <c r="H1195" s="103"/>
      <c r="I1195" s="102"/>
      <c r="J1195" s="102"/>
      <c r="K1195" s="78"/>
      <c r="L1195" s="110"/>
      <c r="M1195" s="105" t="str">
        <f t="shared" si="18"/>
        <v xml:space="preserve">   </v>
      </c>
    </row>
    <row r="1196" spans="1:13" s="53" customFormat="1" hidden="1" x14ac:dyDescent="0.2">
      <c r="A1196" s="381"/>
      <c r="B1196" s="378"/>
      <c r="C1196" s="106"/>
      <c r="D1196" s="107"/>
      <c r="E1196" s="108"/>
      <c r="F1196" s="109"/>
      <c r="G1196" s="103"/>
      <c r="H1196" s="103"/>
      <c r="I1196" s="102"/>
      <c r="J1196" s="102"/>
      <c r="K1196" s="78"/>
      <c r="L1196" s="110"/>
      <c r="M1196" s="105" t="str">
        <f t="shared" si="18"/>
        <v xml:space="preserve">   </v>
      </c>
    </row>
    <row r="1197" spans="1:13" s="53" customFormat="1" hidden="1" x14ac:dyDescent="0.2">
      <c r="A1197" s="381"/>
      <c r="B1197" s="378"/>
      <c r="C1197" s="106"/>
      <c r="D1197" s="107"/>
      <c r="E1197" s="108"/>
      <c r="F1197" s="109"/>
      <c r="G1197" s="103"/>
      <c r="H1197" s="103"/>
      <c r="I1197" s="102"/>
      <c r="J1197" s="102"/>
      <c r="K1197" s="78"/>
      <c r="L1197" s="110"/>
      <c r="M1197" s="105" t="str">
        <f t="shared" si="18"/>
        <v xml:space="preserve">   </v>
      </c>
    </row>
    <row r="1198" spans="1:13" s="53" customFormat="1" hidden="1" x14ac:dyDescent="0.2">
      <c r="A1198" s="381"/>
      <c r="B1198" s="378"/>
      <c r="C1198" s="106"/>
      <c r="D1198" s="107"/>
      <c r="E1198" s="108"/>
      <c r="F1198" s="109"/>
      <c r="G1198" s="103"/>
      <c r="H1198" s="103"/>
      <c r="I1198" s="102"/>
      <c r="J1198" s="102"/>
      <c r="K1198" s="78"/>
      <c r="L1198" s="110"/>
      <c r="M1198" s="105" t="str">
        <f t="shared" si="18"/>
        <v xml:space="preserve">   </v>
      </c>
    </row>
    <row r="1199" spans="1:13" s="53" customFormat="1" hidden="1" x14ac:dyDescent="0.2">
      <c r="A1199" s="381"/>
      <c r="B1199" s="378"/>
      <c r="C1199" s="106"/>
      <c r="D1199" s="107"/>
      <c r="E1199" s="108"/>
      <c r="F1199" s="109"/>
      <c r="G1199" s="103"/>
      <c r="H1199" s="103"/>
      <c r="I1199" s="102"/>
      <c r="J1199" s="102"/>
      <c r="K1199" s="78"/>
      <c r="L1199" s="110"/>
      <c r="M1199" s="105" t="str">
        <f t="shared" si="18"/>
        <v xml:space="preserve">   </v>
      </c>
    </row>
    <row r="1200" spans="1:13" s="46" customFormat="1" hidden="1" x14ac:dyDescent="0.2">
      <c r="A1200" s="381"/>
      <c r="B1200" s="378"/>
      <c r="C1200" s="106"/>
      <c r="D1200" s="107"/>
      <c r="E1200" s="108"/>
      <c r="F1200" s="109"/>
      <c r="G1200" s="103"/>
      <c r="H1200" s="103"/>
      <c r="I1200" s="102"/>
      <c r="J1200" s="102"/>
      <c r="K1200" s="78"/>
      <c r="L1200" s="110"/>
      <c r="M1200" s="105" t="str">
        <f t="shared" si="18"/>
        <v xml:space="preserve">   </v>
      </c>
    </row>
    <row r="1201" spans="1:13" s="46" customFormat="1" hidden="1" x14ac:dyDescent="0.2">
      <c r="A1201" s="381"/>
      <c r="B1201" s="378"/>
      <c r="C1201" s="106"/>
      <c r="D1201" s="107"/>
      <c r="E1201" s="108"/>
      <c r="F1201" s="109"/>
      <c r="G1201" s="103"/>
      <c r="H1201" s="103"/>
      <c r="I1201" s="102"/>
      <c r="J1201" s="102"/>
      <c r="K1201" s="78"/>
      <c r="L1201" s="110"/>
      <c r="M1201" s="105" t="str">
        <f t="shared" si="18"/>
        <v xml:space="preserve">   </v>
      </c>
    </row>
    <row r="1202" spans="1:13" s="46" customFormat="1" hidden="1" x14ac:dyDescent="0.2">
      <c r="A1202" s="381"/>
      <c r="B1202" s="378"/>
      <c r="C1202" s="113"/>
      <c r="D1202" s="114"/>
      <c r="E1202" s="115"/>
      <c r="F1202" s="116"/>
      <c r="G1202" s="103"/>
      <c r="H1202" s="103"/>
      <c r="I1202" s="102"/>
      <c r="J1202" s="102"/>
      <c r="K1202" s="78"/>
      <c r="L1202" s="110"/>
      <c r="M1202" s="105" t="str">
        <f t="shared" si="18"/>
        <v xml:space="preserve">   </v>
      </c>
    </row>
    <row r="1203" spans="1:13" s="46" customFormat="1" ht="15" hidden="1" customHeight="1" x14ac:dyDescent="0.2">
      <c r="A1203" s="381" t="s">
        <v>68</v>
      </c>
      <c r="B1203" s="378" t="s">
        <v>89</v>
      </c>
      <c r="C1203" s="102"/>
      <c r="D1203" s="102"/>
      <c r="E1203" s="102"/>
      <c r="F1203" s="102"/>
      <c r="G1203" s="103"/>
      <c r="H1203" s="103"/>
      <c r="I1203" s="102"/>
      <c r="J1203" s="102"/>
      <c r="K1203" s="78"/>
      <c r="L1203" s="111" t="str">
        <f>CONCATENATE(C1203," ",D1203," ",E1203," ",F1203," ",C1204," ",D1204," ",E1204," ",F1204)</f>
        <v xml:space="preserve">       </v>
      </c>
      <c r="M1203" s="105" t="str">
        <f t="shared" si="18"/>
        <v xml:space="preserve">   </v>
      </c>
    </row>
    <row r="1204" spans="1:13" s="46" customFormat="1" hidden="1" x14ac:dyDescent="0.2">
      <c r="A1204" s="381"/>
      <c r="B1204" s="378"/>
      <c r="C1204" s="112"/>
      <c r="D1204" s="107"/>
      <c r="E1204" s="108"/>
      <c r="F1204" s="109"/>
      <c r="G1204" s="103"/>
      <c r="H1204" s="103"/>
      <c r="I1204" s="102"/>
      <c r="J1204" s="102"/>
      <c r="K1204" s="78"/>
      <c r="L1204" s="110"/>
      <c r="M1204" s="105" t="str">
        <f t="shared" si="18"/>
        <v xml:space="preserve">   </v>
      </c>
    </row>
    <row r="1205" spans="1:13" s="46" customFormat="1" hidden="1" x14ac:dyDescent="0.2">
      <c r="A1205" s="381"/>
      <c r="B1205" s="378"/>
      <c r="C1205" s="106"/>
      <c r="D1205" s="107"/>
      <c r="E1205" s="108"/>
      <c r="F1205" s="109"/>
      <c r="G1205" s="103"/>
      <c r="H1205" s="103"/>
      <c r="I1205" s="102"/>
      <c r="J1205" s="102"/>
      <c r="K1205" s="78"/>
      <c r="L1205" s="110"/>
      <c r="M1205" s="105" t="str">
        <f t="shared" si="18"/>
        <v xml:space="preserve">   </v>
      </c>
    </row>
    <row r="1206" spans="1:13" s="53" customFormat="1" hidden="1" x14ac:dyDescent="0.2">
      <c r="A1206" s="381"/>
      <c r="B1206" s="378"/>
      <c r="C1206" s="106"/>
      <c r="D1206" s="107"/>
      <c r="E1206" s="108"/>
      <c r="F1206" s="109"/>
      <c r="G1206" s="103"/>
      <c r="H1206" s="103"/>
      <c r="I1206" s="102"/>
      <c r="J1206" s="102"/>
      <c r="K1206" s="78"/>
      <c r="L1206" s="110"/>
      <c r="M1206" s="105" t="str">
        <f t="shared" si="18"/>
        <v xml:space="preserve">   </v>
      </c>
    </row>
    <row r="1207" spans="1:13" s="53" customFormat="1" hidden="1" x14ac:dyDescent="0.2">
      <c r="A1207" s="381"/>
      <c r="B1207" s="378"/>
      <c r="C1207" s="106"/>
      <c r="D1207" s="107"/>
      <c r="E1207" s="108"/>
      <c r="F1207" s="109"/>
      <c r="G1207" s="103"/>
      <c r="H1207" s="103"/>
      <c r="I1207" s="102"/>
      <c r="J1207" s="102"/>
      <c r="K1207" s="78"/>
      <c r="L1207" s="110"/>
      <c r="M1207" s="105" t="str">
        <f t="shared" si="18"/>
        <v xml:space="preserve">   </v>
      </c>
    </row>
    <row r="1208" spans="1:13" s="53" customFormat="1" hidden="1" x14ac:dyDescent="0.2">
      <c r="A1208" s="381"/>
      <c r="B1208" s="378"/>
      <c r="C1208" s="106"/>
      <c r="D1208" s="107"/>
      <c r="E1208" s="108"/>
      <c r="F1208" s="109"/>
      <c r="G1208" s="103"/>
      <c r="H1208" s="103"/>
      <c r="I1208" s="102"/>
      <c r="J1208" s="102"/>
      <c r="K1208" s="78"/>
      <c r="L1208" s="110"/>
      <c r="M1208" s="105" t="str">
        <f t="shared" si="18"/>
        <v xml:space="preserve">   </v>
      </c>
    </row>
    <row r="1209" spans="1:13" s="53" customFormat="1" hidden="1" x14ac:dyDescent="0.2">
      <c r="A1209" s="381"/>
      <c r="B1209" s="378"/>
      <c r="C1209" s="106"/>
      <c r="D1209" s="107"/>
      <c r="E1209" s="108"/>
      <c r="F1209" s="109"/>
      <c r="G1209" s="103"/>
      <c r="H1209" s="103"/>
      <c r="I1209" s="102"/>
      <c r="J1209" s="102"/>
      <c r="K1209" s="78"/>
      <c r="L1209" s="110"/>
      <c r="M1209" s="105" t="str">
        <f t="shared" si="18"/>
        <v xml:space="preserve">   </v>
      </c>
    </row>
    <row r="1210" spans="1:13" s="46" customFormat="1" hidden="1" x14ac:dyDescent="0.2">
      <c r="A1210" s="381"/>
      <c r="B1210" s="378"/>
      <c r="C1210" s="106"/>
      <c r="D1210" s="107"/>
      <c r="E1210" s="108"/>
      <c r="F1210" s="109"/>
      <c r="G1210" s="103"/>
      <c r="H1210" s="103"/>
      <c r="I1210" s="102"/>
      <c r="J1210" s="102"/>
      <c r="K1210" s="78"/>
      <c r="L1210" s="110"/>
      <c r="M1210" s="105" t="str">
        <f t="shared" si="18"/>
        <v xml:space="preserve">   </v>
      </c>
    </row>
    <row r="1211" spans="1:13" s="46" customFormat="1" hidden="1" x14ac:dyDescent="0.2">
      <c r="A1211" s="381"/>
      <c r="B1211" s="378"/>
      <c r="C1211" s="106"/>
      <c r="D1211" s="107"/>
      <c r="E1211" s="108"/>
      <c r="F1211" s="109"/>
      <c r="G1211" s="103"/>
      <c r="H1211" s="103"/>
      <c r="I1211" s="102"/>
      <c r="J1211" s="102"/>
      <c r="K1211" s="78"/>
      <c r="L1211" s="110"/>
      <c r="M1211" s="105" t="str">
        <f t="shared" si="18"/>
        <v xml:space="preserve">   </v>
      </c>
    </row>
    <row r="1212" spans="1:13" s="46" customFormat="1" hidden="1" x14ac:dyDescent="0.2">
      <c r="A1212" s="381"/>
      <c r="B1212" s="378"/>
      <c r="C1212" s="113"/>
      <c r="D1212" s="114"/>
      <c r="E1212" s="115"/>
      <c r="F1212" s="116"/>
      <c r="G1212" s="103"/>
      <c r="H1212" s="103"/>
      <c r="I1212" s="102"/>
      <c r="J1212" s="102"/>
      <c r="K1212" s="78"/>
      <c r="L1212" s="117"/>
      <c r="M1212" s="105" t="str">
        <f t="shared" si="18"/>
        <v xml:space="preserve">   </v>
      </c>
    </row>
    <row r="1213" spans="1:13" hidden="1" x14ac:dyDescent="0.2">
      <c r="A1213" s="54"/>
      <c r="B1213" s="54"/>
      <c r="C1213" s="118"/>
      <c r="D1213" s="54"/>
      <c r="E1213" s="54"/>
      <c r="F1213" s="54"/>
      <c r="G1213" s="118"/>
      <c r="H1213" s="54"/>
      <c r="I1213" s="54"/>
      <c r="J1213" s="54"/>
      <c r="K1213" s="54"/>
      <c r="L1213" s="119"/>
      <c r="M1213" s="105" t="str">
        <f t="shared" si="18"/>
        <v xml:space="preserve">   </v>
      </c>
    </row>
    <row r="1214" spans="1:13" s="53" customFormat="1" ht="12.75" hidden="1" customHeight="1" x14ac:dyDescent="0.2">
      <c r="A1214" s="380" t="s">
        <v>69</v>
      </c>
      <c r="B1214" s="379" t="s">
        <v>88</v>
      </c>
      <c r="C1214" s="102"/>
      <c r="D1214" s="102"/>
      <c r="E1214" s="102"/>
      <c r="F1214" s="102"/>
      <c r="G1214" s="103"/>
      <c r="H1214" s="103"/>
      <c r="I1214" s="102"/>
      <c r="J1214" s="102"/>
      <c r="K1214" s="78"/>
      <c r="L1214" s="104" t="str">
        <f>CONCATENATE(C1214," ",D1214," ",E1214," ",F1214," ",C1215," ",D1215," ",E1215," ",F1215)</f>
        <v xml:space="preserve">       </v>
      </c>
      <c r="M1214" s="105" t="str">
        <f t="shared" si="18"/>
        <v xml:space="preserve">   </v>
      </c>
    </row>
    <row r="1215" spans="1:13" s="53" customFormat="1" hidden="1" x14ac:dyDescent="0.2">
      <c r="A1215" s="380"/>
      <c r="B1215" s="379"/>
      <c r="C1215" s="106"/>
      <c r="D1215" s="107"/>
      <c r="E1215" s="108"/>
      <c r="F1215" s="109"/>
      <c r="G1215" s="103"/>
      <c r="H1215" s="103"/>
      <c r="I1215" s="102"/>
      <c r="J1215" s="102"/>
      <c r="K1215" s="78"/>
      <c r="L1215" s="110"/>
      <c r="M1215" s="105" t="str">
        <f t="shared" si="18"/>
        <v xml:space="preserve">   </v>
      </c>
    </row>
    <row r="1216" spans="1:13" s="53" customFormat="1" hidden="1" x14ac:dyDescent="0.2">
      <c r="A1216" s="380"/>
      <c r="B1216" s="379"/>
      <c r="C1216" s="106"/>
      <c r="D1216" s="107"/>
      <c r="E1216" s="108"/>
      <c r="F1216" s="109"/>
      <c r="G1216" s="103"/>
      <c r="H1216" s="103"/>
      <c r="I1216" s="102"/>
      <c r="J1216" s="102"/>
      <c r="K1216" s="78"/>
      <c r="L1216" s="110"/>
      <c r="M1216" s="105" t="str">
        <f t="shared" si="18"/>
        <v xml:space="preserve">   </v>
      </c>
    </row>
    <row r="1217" spans="1:13" s="53" customFormat="1" hidden="1" x14ac:dyDescent="0.2">
      <c r="A1217" s="380"/>
      <c r="B1217" s="379"/>
      <c r="C1217" s="106"/>
      <c r="D1217" s="107"/>
      <c r="E1217" s="108"/>
      <c r="F1217" s="109"/>
      <c r="G1217" s="103"/>
      <c r="H1217" s="103"/>
      <c r="I1217" s="102"/>
      <c r="J1217" s="102"/>
      <c r="K1217" s="78"/>
      <c r="L1217" s="110"/>
      <c r="M1217" s="105" t="str">
        <f t="shared" si="18"/>
        <v xml:space="preserve">   </v>
      </c>
    </row>
    <row r="1218" spans="1:13" s="53" customFormat="1" hidden="1" x14ac:dyDescent="0.2">
      <c r="A1218" s="380"/>
      <c r="B1218" s="379"/>
      <c r="C1218" s="106"/>
      <c r="D1218" s="107"/>
      <c r="E1218" s="108"/>
      <c r="F1218" s="109"/>
      <c r="G1218" s="103"/>
      <c r="H1218" s="103"/>
      <c r="I1218" s="102"/>
      <c r="J1218" s="102"/>
      <c r="K1218" s="78"/>
      <c r="L1218" s="110"/>
      <c r="M1218" s="105" t="str">
        <f t="shared" si="18"/>
        <v xml:space="preserve">   </v>
      </c>
    </row>
    <row r="1219" spans="1:13" s="53" customFormat="1" hidden="1" x14ac:dyDescent="0.2">
      <c r="A1219" s="380"/>
      <c r="B1219" s="379"/>
      <c r="C1219" s="106"/>
      <c r="D1219" s="107"/>
      <c r="E1219" s="108"/>
      <c r="F1219" s="109"/>
      <c r="G1219" s="103"/>
      <c r="H1219" s="103"/>
      <c r="I1219" s="102"/>
      <c r="J1219" s="102"/>
      <c r="K1219" s="78"/>
      <c r="L1219" s="110"/>
      <c r="M1219" s="105" t="str">
        <f t="shared" si="18"/>
        <v xml:space="preserve">   </v>
      </c>
    </row>
    <row r="1220" spans="1:13" s="53" customFormat="1" hidden="1" x14ac:dyDescent="0.2">
      <c r="A1220" s="380"/>
      <c r="B1220" s="379"/>
      <c r="C1220" s="106"/>
      <c r="D1220" s="107"/>
      <c r="E1220" s="108"/>
      <c r="F1220" s="109"/>
      <c r="G1220" s="103"/>
      <c r="H1220" s="103"/>
      <c r="I1220" s="102"/>
      <c r="J1220" s="102"/>
      <c r="K1220" s="78"/>
      <c r="L1220" s="110"/>
      <c r="M1220" s="105" t="str">
        <f t="shared" si="18"/>
        <v xml:space="preserve">   </v>
      </c>
    </row>
    <row r="1221" spans="1:13" s="53" customFormat="1" hidden="1" x14ac:dyDescent="0.2">
      <c r="A1221" s="380"/>
      <c r="B1221" s="379"/>
      <c r="C1221" s="106"/>
      <c r="D1221" s="107"/>
      <c r="E1221" s="108"/>
      <c r="F1221" s="109"/>
      <c r="G1221" s="103"/>
      <c r="H1221" s="103"/>
      <c r="I1221" s="102"/>
      <c r="J1221" s="102"/>
      <c r="K1221" s="78"/>
      <c r="L1221" s="110"/>
      <c r="M1221" s="105" t="str">
        <f t="shared" si="18"/>
        <v xml:space="preserve">   </v>
      </c>
    </row>
    <row r="1222" spans="1:13" s="53" customFormat="1" hidden="1" x14ac:dyDescent="0.2">
      <c r="A1222" s="380"/>
      <c r="B1222" s="379"/>
      <c r="C1222" s="106"/>
      <c r="D1222" s="107"/>
      <c r="E1222" s="108"/>
      <c r="F1222" s="109"/>
      <c r="G1222" s="103"/>
      <c r="H1222" s="103"/>
      <c r="I1222" s="102"/>
      <c r="J1222" s="102"/>
      <c r="K1222" s="78"/>
      <c r="L1222" s="110"/>
      <c r="M1222" s="105" t="str">
        <f t="shared" si="18"/>
        <v xml:space="preserve">   </v>
      </c>
    </row>
    <row r="1223" spans="1:13" s="53" customFormat="1" hidden="1" x14ac:dyDescent="0.2">
      <c r="A1223" s="380"/>
      <c r="B1223" s="379"/>
      <c r="C1223" s="106"/>
      <c r="D1223" s="107"/>
      <c r="E1223" s="108"/>
      <c r="F1223" s="109"/>
      <c r="G1223" s="103"/>
      <c r="H1223" s="103"/>
      <c r="I1223" s="102"/>
      <c r="J1223" s="102"/>
      <c r="K1223" s="78"/>
      <c r="L1223" s="110"/>
      <c r="M1223" s="105" t="str">
        <f t="shared" si="18"/>
        <v xml:space="preserve">   </v>
      </c>
    </row>
    <row r="1224" spans="1:13" s="53" customFormat="1" ht="12.75" hidden="1" customHeight="1" x14ac:dyDescent="0.2">
      <c r="A1224" s="380" t="s">
        <v>69</v>
      </c>
      <c r="B1224" s="379" t="s">
        <v>88</v>
      </c>
      <c r="C1224" s="102"/>
      <c r="D1224" s="102"/>
      <c r="E1224" s="102"/>
      <c r="F1224" s="102"/>
      <c r="G1224" s="103"/>
      <c r="H1224" s="103"/>
      <c r="I1224" s="102"/>
      <c r="J1224" s="102"/>
      <c r="K1224" s="78"/>
      <c r="L1224" s="104" t="str">
        <f>CONCATENATE(C1224," ",D1224," ",E1224," ",F1224," ",C1225," ",D1225," ",E1225," ",F1225)</f>
        <v xml:space="preserve">       </v>
      </c>
      <c r="M1224" s="105" t="str">
        <f t="shared" si="18"/>
        <v xml:space="preserve">   </v>
      </c>
    </row>
    <row r="1225" spans="1:13" s="53" customFormat="1" hidden="1" x14ac:dyDescent="0.2">
      <c r="A1225" s="380"/>
      <c r="B1225" s="379"/>
      <c r="C1225" s="106"/>
      <c r="D1225" s="107"/>
      <c r="E1225" s="108"/>
      <c r="F1225" s="109"/>
      <c r="G1225" s="103"/>
      <c r="H1225" s="103"/>
      <c r="I1225" s="102"/>
      <c r="J1225" s="102"/>
      <c r="K1225" s="78"/>
      <c r="L1225" s="110"/>
      <c r="M1225" s="105" t="str">
        <f t="shared" si="18"/>
        <v xml:space="preserve">   </v>
      </c>
    </row>
    <row r="1226" spans="1:13" s="53" customFormat="1" hidden="1" x14ac:dyDescent="0.2">
      <c r="A1226" s="380"/>
      <c r="B1226" s="379"/>
      <c r="C1226" s="106"/>
      <c r="D1226" s="107"/>
      <c r="E1226" s="108"/>
      <c r="F1226" s="109"/>
      <c r="G1226" s="103"/>
      <c r="H1226" s="103"/>
      <c r="I1226" s="102"/>
      <c r="J1226" s="102"/>
      <c r="K1226" s="78"/>
      <c r="L1226" s="110"/>
      <c r="M1226" s="105" t="str">
        <f t="shared" si="18"/>
        <v xml:space="preserve">   </v>
      </c>
    </row>
    <row r="1227" spans="1:13" s="53" customFormat="1" hidden="1" x14ac:dyDescent="0.2">
      <c r="A1227" s="380"/>
      <c r="B1227" s="379"/>
      <c r="C1227" s="106"/>
      <c r="D1227" s="107"/>
      <c r="E1227" s="108"/>
      <c r="F1227" s="109"/>
      <c r="G1227" s="103"/>
      <c r="H1227" s="103"/>
      <c r="I1227" s="102"/>
      <c r="J1227" s="102"/>
      <c r="K1227" s="78"/>
      <c r="L1227" s="110"/>
      <c r="M1227" s="105" t="str">
        <f t="shared" ref="M1227:M1290" si="19">CONCATENATE(G1227," ",H1227," ",I1227," ",J1227)</f>
        <v xml:space="preserve">   </v>
      </c>
    </row>
    <row r="1228" spans="1:13" s="53" customFormat="1" hidden="1" x14ac:dyDescent="0.2">
      <c r="A1228" s="380"/>
      <c r="B1228" s="379"/>
      <c r="C1228" s="106"/>
      <c r="D1228" s="107"/>
      <c r="E1228" s="108"/>
      <c r="F1228" s="109"/>
      <c r="G1228" s="103"/>
      <c r="H1228" s="103"/>
      <c r="I1228" s="102"/>
      <c r="J1228" s="102"/>
      <c r="K1228" s="78"/>
      <c r="L1228" s="110"/>
      <c r="M1228" s="105" t="str">
        <f t="shared" si="19"/>
        <v xml:space="preserve">   </v>
      </c>
    </row>
    <row r="1229" spans="1:13" s="53" customFormat="1" hidden="1" x14ac:dyDescent="0.2">
      <c r="A1229" s="380"/>
      <c r="B1229" s="379"/>
      <c r="C1229" s="106"/>
      <c r="D1229" s="107"/>
      <c r="E1229" s="108"/>
      <c r="F1229" s="109"/>
      <c r="G1229" s="103"/>
      <c r="H1229" s="103"/>
      <c r="I1229" s="102"/>
      <c r="J1229" s="102"/>
      <c r="K1229" s="78"/>
      <c r="L1229" s="110"/>
      <c r="M1229" s="105" t="str">
        <f t="shared" si="19"/>
        <v xml:space="preserve">   </v>
      </c>
    </row>
    <row r="1230" spans="1:13" s="53" customFormat="1" hidden="1" x14ac:dyDescent="0.2">
      <c r="A1230" s="380"/>
      <c r="B1230" s="379"/>
      <c r="C1230" s="106"/>
      <c r="D1230" s="107"/>
      <c r="E1230" s="108"/>
      <c r="F1230" s="109"/>
      <c r="G1230" s="103"/>
      <c r="H1230" s="103"/>
      <c r="I1230" s="102"/>
      <c r="J1230" s="102"/>
      <c r="K1230" s="78"/>
      <c r="L1230" s="110"/>
      <c r="M1230" s="105" t="str">
        <f t="shared" si="19"/>
        <v xml:space="preserve">   </v>
      </c>
    </row>
    <row r="1231" spans="1:13" s="53" customFormat="1" hidden="1" x14ac:dyDescent="0.2">
      <c r="A1231" s="380"/>
      <c r="B1231" s="379"/>
      <c r="C1231" s="106"/>
      <c r="D1231" s="107"/>
      <c r="E1231" s="108"/>
      <c r="F1231" s="109"/>
      <c r="G1231" s="103"/>
      <c r="H1231" s="103"/>
      <c r="I1231" s="102"/>
      <c r="J1231" s="102"/>
      <c r="K1231" s="78"/>
      <c r="L1231" s="110"/>
      <c r="M1231" s="105" t="str">
        <f t="shared" si="19"/>
        <v xml:space="preserve">   </v>
      </c>
    </row>
    <row r="1232" spans="1:13" s="53" customFormat="1" hidden="1" x14ac:dyDescent="0.2">
      <c r="A1232" s="380"/>
      <c r="B1232" s="379"/>
      <c r="C1232" s="106"/>
      <c r="D1232" s="107"/>
      <c r="E1232" s="108"/>
      <c r="F1232" s="109"/>
      <c r="G1232" s="103"/>
      <c r="H1232" s="103"/>
      <c r="I1232" s="102"/>
      <c r="J1232" s="102"/>
      <c r="K1232" s="78"/>
      <c r="L1232" s="110"/>
      <c r="M1232" s="105" t="str">
        <f t="shared" si="19"/>
        <v xml:space="preserve">   </v>
      </c>
    </row>
    <row r="1233" spans="1:13" s="53" customFormat="1" hidden="1" x14ac:dyDescent="0.2">
      <c r="A1233" s="380"/>
      <c r="B1233" s="379"/>
      <c r="C1233" s="106"/>
      <c r="D1233" s="107"/>
      <c r="E1233" s="108"/>
      <c r="F1233" s="109"/>
      <c r="G1233" s="103"/>
      <c r="H1233" s="103"/>
      <c r="I1233" s="102"/>
      <c r="J1233" s="102"/>
      <c r="K1233" s="78"/>
      <c r="L1233" s="110"/>
      <c r="M1233" s="105" t="str">
        <f t="shared" si="19"/>
        <v xml:space="preserve">   </v>
      </c>
    </row>
    <row r="1234" spans="1:13" s="53" customFormat="1" ht="12.75" hidden="1" customHeight="1" x14ac:dyDescent="0.2">
      <c r="A1234" s="380" t="s">
        <v>69</v>
      </c>
      <c r="B1234" s="379" t="s">
        <v>88</v>
      </c>
      <c r="C1234" s="102"/>
      <c r="D1234" s="102"/>
      <c r="E1234" s="102"/>
      <c r="F1234" s="102"/>
      <c r="G1234" s="103"/>
      <c r="H1234" s="103"/>
      <c r="I1234" s="102"/>
      <c r="J1234" s="102"/>
      <c r="K1234" s="78"/>
      <c r="L1234" s="104" t="str">
        <f>CONCATENATE(C1234," ",D1234," ",E1234," ",F1234," ",C1235," ",D1235," ",E1235," ",F1235)</f>
        <v xml:space="preserve">       </v>
      </c>
      <c r="M1234" s="105" t="str">
        <f t="shared" si="19"/>
        <v xml:space="preserve">   </v>
      </c>
    </row>
    <row r="1235" spans="1:13" s="53" customFormat="1" hidden="1" x14ac:dyDescent="0.2">
      <c r="A1235" s="380"/>
      <c r="B1235" s="379"/>
      <c r="C1235" s="106"/>
      <c r="D1235" s="107"/>
      <c r="E1235" s="108"/>
      <c r="F1235" s="109"/>
      <c r="G1235" s="103"/>
      <c r="H1235" s="103"/>
      <c r="I1235" s="102"/>
      <c r="J1235" s="102"/>
      <c r="K1235" s="78"/>
      <c r="L1235" s="110"/>
      <c r="M1235" s="105" t="str">
        <f t="shared" si="19"/>
        <v xml:space="preserve">   </v>
      </c>
    </row>
    <row r="1236" spans="1:13" s="53" customFormat="1" hidden="1" x14ac:dyDescent="0.2">
      <c r="A1236" s="380"/>
      <c r="B1236" s="379"/>
      <c r="C1236" s="106"/>
      <c r="D1236" s="107"/>
      <c r="E1236" s="108"/>
      <c r="F1236" s="109"/>
      <c r="G1236" s="103"/>
      <c r="H1236" s="103"/>
      <c r="I1236" s="102"/>
      <c r="J1236" s="102"/>
      <c r="K1236" s="78"/>
      <c r="L1236" s="110"/>
      <c r="M1236" s="105" t="str">
        <f t="shared" si="19"/>
        <v xml:space="preserve">   </v>
      </c>
    </row>
    <row r="1237" spans="1:13" s="53" customFormat="1" hidden="1" x14ac:dyDescent="0.2">
      <c r="A1237" s="380"/>
      <c r="B1237" s="379"/>
      <c r="C1237" s="106"/>
      <c r="D1237" s="107"/>
      <c r="E1237" s="108"/>
      <c r="F1237" s="109"/>
      <c r="G1237" s="103"/>
      <c r="H1237" s="103"/>
      <c r="I1237" s="102"/>
      <c r="J1237" s="102"/>
      <c r="K1237" s="78"/>
      <c r="L1237" s="110"/>
      <c r="M1237" s="105" t="str">
        <f t="shared" si="19"/>
        <v xml:space="preserve">   </v>
      </c>
    </row>
    <row r="1238" spans="1:13" s="53" customFormat="1" hidden="1" x14ac:dyDescent="0.2">
      <c r="A1238" s="380"/>
      <c r="B1238" s="379"/>
      <c r="C1238" s="106"/>
      <c r="D1238" s="107"/>
      <c r="E1238" s="108"/>
      <c r="F1238" s="109"/>
      <c r="G1238" s="103"/>
      <c r="H1238" s="103"/>
      <c r="I1238" s="102"/>
      <c r="J1238" s="102"/>
      <c r="K1238" s="78"/>
      <c r="L1238" s="110"/>
      <c r="M1238" s="105" t="str">
        <f t="shared" si="19"/>
        <v xml:space="preserve">   </v>
      </c>
    </row>
    <row r="1239" spans="1:13" s="53" customFormat="1" hidden="1" x14ac:dyDescent="0.2">
      <c r="A1239" s="380"/>
      <c r="B1239" s="379"/>
      <c r="C1239" s="106"/>
      <c r="D1239" s="107"/>
      <c r="E1239" s="108"/>
      <c r="F1239" s="109"/>
      <c r="G1239" s="103"/>
      <c r="H1239" s="103"/>
      <c r="I1239" s="102"/>
      <c r="J1239" s="102"/>
      <c r="K1239" s="78"/>
      <c r="L1239" s="110"/>
      <c r="M1239" s="105" t="str">
        <f t="shared" si="19"/>
        <v xml:space="preserve">   </v>
      </c>
    </row>
    <row r="1240" spans="1:13" s="53" customFormat="1" hidden="1" x14ac:dyDescent="0.2">
      <c r="A1240" s="380"/>
      <c r="B1240" s="379"/>
      <c r="C1240" s="106"/>
      <c r="D1240" s="107"/>
      <c r="E1240" s="108"/>
      <c r="F1240" s="109"/>
      <c r="G1240" s="103"/>
      <c r="H1240" s="103"/>
      <c r="I1240" s="102"/>
      <c r="J1240" s="102"/>
      <c r="K1240" s="78"/>
      <c r="L1240" s="110"/>
      <c r="M1240" s="105" t="str">
        <f t="shared" si="19"/>
        <v xml:space="preserve">   </v>
      </c>
    </row>
    <row r="1241" spans="1:13" s="53" customFormat="1" hidden="1" x14ac:dyDescent="0.2">
      <c r="A1241" s="380"/>
      <c r="B1241" s="379"/>
      <c r="C1241" s="106"/>
      <c r="D1241" s="107"/>
      <c r="E1241" s="108"/>
      <c r="F1241" s="109"/>
      <c r="G1241" s="103"/>
      <c r="H1241" s="103"/>
      <c r="I1241" s="102"/>
      <c r="J1241" s="102"/>
      <c r="K1241" s="78"/>
      <c r="L1241" s="110"/>
      <c r="M1241" s="105" t="str">
        <f t="shared" si="19"/>
        <v xml:space="preserve">   </v>
      </c>
    </row>
    <row r="1242" spans="1:13" s="53" customFormat="1" hidden="1" x14ac:dyDescent="0.2">
      <c r="A1242" s="380"/>
      <c r="B1242" s="379"/>
      <c r="C1242" s="106"/>
      <c r="D1242" s="107"/>
      <c r="E1242" s="108"/>
      <c r="F1242" s="109"/>
      <c r="G1242" s="103"/>
      <c r="H1242" s="103"/>
      <c r="I1242" s="102"/>
      <c r="J1242" s="102"/>
      <c r="K1242" s="78"/>
      <c r="L1242" s="110"/>
      <c r="M1242" s="105" t="str">
        <f t="shared" si="19"/>
        <v xml:space="preserve">   </v>
      </c>
    </row>
    <row r="1243" spans="1:13" s="53" customFormat="1" hidden="1" x14ac:dyDescent="0.2">
      <c r="A1243" s="380"/>
      <c r="B1243" s="379"/>
      <c r="C1243" s="106"/>
      <c r="D1243" s="107"/>
      <c r="E1243" s="108"/>
      <c r="F1243" s="109"/>
      <c r="G1243" s="103"/>
      <c r="H1243" s="103"/>
      <c r="I1243" s="102"/>
      <c r="J1243" s="102"/>
      <c r="K1243" s="78"/>
      <c r="L1243" s="110"/>
      <c r="M1243" s="105" t="str">
        <f t="shared" si="19"/>
        <v xml:space="preserve">   </v>
      </c>
    </row>
    <row r="1244" spans="1:13" s="53" customFormat="1" ht="12.75" hidden="1" customHeight="1" x14ac:dyDescent="0.2">
      <c r="A1244" s="380" t="s">
        <v>69</v>
      </c>
      <c r="B1244" s="379" t="s">
        <v>88</v>
      </c>
      <c r="C1244" s="102"/>
      <c r="D1244" s="102"/>
      <c r="E1244" s="102"/>
      <c r="F1244" s="102"/>
      <c r="G1244" s="103"/>
      <c r="H1244" s="103"/>
      <c r="I1244" s="102"/>
      <c r="J1244" s="102"/>
      <c r="K1244" s="78"/>
      <c r="L1244" s="104" t="str">
        <f>CONCATENATE(C1244," ",D1244," ",E1244," ",F1244," ",C1245," ",D1245," ",E1245," ",F1245)</f>
        <v xml:space="preserve">       </v>
      </c>
      <c r="M1244" s="105" t="str">
        <f t="shared" si="19"/>
        <v xml:space="preserve">   </v>
      </c>
    </row>
    <row r="1245" spans="1:13" s="53" customFormat="1" hidden="1" x14ac:dyDescent="0.2">
      <c r="A1245" s="380"/>
      <c r="B1245" s="379"/>
      <c r="C1245" s="106"/>
      <c r="D1245" s="107"/>
      <c r="E1245" s="108"/>
      <c r="F1245" s="109"/>
      <c r="G1245" s="103"/>
      <c r="H1245" s="103"/>
      <c r="I1245" s="102"/>
      <c r="J1245" s="102"/>
      <c r="K1245" s="78"/>
      <c r="L1245" s="110"/>
      <c r="M1245" s="105" t="str">
        <f t="shared" si="19"/>
        <v xml:space="preserve">   </v>
      </c>
    </row>
    <row r="1246" spans="1:13" s="53" customFormat="1" hidden="1" x14ac:dyDescent="0.2">
      <c r="A1246" s="380"/>
      <c r="B1246" s="379"/>
      <c r="C1246" s="106"/>
      <c r="D1246" s="107"/>
      <c r="E1246" s="108"/>
      <c r="F1246" s="109"/>
      <c r="G1246" s="103"/>
      <c r="H1246" s="103"/>
      <c r="I1246" s="102"/>
      <c r="J1246" s="102"/>
      <c r="K1246" s="78"/>
      <c r="L1246" s="110"/>
      <c r="M1246" s="105" t="str">
        <f t="shared" si="19"/>
        <v xml:space="preserve">   </v>
      </c>
    </row>
    <row r="1247" spans="1:13" s="53" customFormat="1" hidden="1" x14ac:dyDescent="0.2">
      <c r="A1247" s="380"/>
      <c r="B1247" s="379"/>
      <c r="C1247" s="106"/>
      <c r="D1247" s="107"/>
      <c r="E1247" s="108"/>
      <c r="F1247" s="109"/>
      <c r="G1247" s="103"/>
      <c r="H1247" s="103"/>
      <c r="I1247" s="102"/>
      <c r="J1247" s="102"/>
      <c r="K1247" s="78"/>
      <c r="L1247" s="110"/>
      <c r="M1247" s="105" t="str">
        <f t="shared" si="19"/>
        <v xml:space="preserve">   </v>
      </c>
    </row>
    <row r="1248" spans="1:13" s="53" customFormat="1" hidden="1" x14ac:dyDescent="0.2">
      <c r="A1248" s="380"/>
      <c r="B1248" s="379"/>
      <c r="C1248" s="106"/>
      <c r="D1248" s="107"/>
      <c r="E1248" s="108"/>
      <c r="F1248" s="109"/>
      <c r="G1248" s="103"/>
      <c r="H1248" s="103"/>
      <c r="I1248" s="102"/>
      <c r="J1248" s="102"/>
      <c r="K1248" s="78"/>
      <c r="L1248" s="110"/>
      <c r="M1248" s="105" t="str">
        <f t="shared" si="19"/>
        <v xml:space="preserve">   </v>
      </c>
    </row>
    <row r="1249" spans="1:13" s="53" customFormat="1" hidden="1" x14ac:dyDescent="0.2">
      <c r="A1249" s="380"/>
      <c r="B1249" s="379"/>
      <c r="C1249" s="106"/>
      <c r="D1249" s="107"/>
      <c r="E1249" s="108"/>
      <c r="F1249" s="109"/>
      <c r="G1249" s="103"/>
      <c r="H1249" s="103"/>
      <c r="I1249" s="102"/>
      <c r="J1249" s="102"/>
      <c r="K1249" s="78"/>
      <c r="L1249" s="110"/>
      <c r="M1249" s="105" t="str">
        <f t="shared" si="19"/>
        <v xml:space="preserve">   </v>
      </c>
    </row>
    <row r="1250" spans="1:13" s="53" customFormat="1" hidden="1" x14ac:dyDescent="0.2">
      <c r="A1250" s="380"/>
      <c r="B1250" s="379"/>
      <c r="C1250" s="106"/>
      <c r="D1250" s="107"/>
      <c r="E1250" s="108"/>
      <c r="F1250" s="109"/>
      <c r="G1250" s="103"/>
      <c r="H1250" s="103"/>
      <c r="I1250" s="102"/>
      <c r="J1250" s="102"/>
      <c r="K1250" s="78"/>
      <c r="L1250" s="110"/>
      <c r="M1250" s="105" t="str">
        <f t="shared" si="19"/>
        <v xml:space="preserve">   </v>
      </c>
    </row>
    <row r="1251" spans="1:13" s="53" customFormat="1" hidden="1" x14ac:dyDescent="0.2">
      <c r="A1251" s="380"/>
      <c r="B1251" s="379"/>
      <c r="C1251" s="106"/>
      <c r="D1251" s="107"/>
      <c r="E1251" s="108"/>
      <c r="F1251" s="109"/>
      <c r="G1251" s="103"/>
      <c r="H1251" s="103"/>
      <c r="I1251" s="102"/>
      <c r="J1251" s="102"/>
      <c r="K1251" s="78"/>
      <c r="L1251" s="110"/>
      <c r="M1251" s="105" t="str">
        <f t="shared" si="19"/>
        <v xml:space="preserve">   </v>
      </c>
    </row>
    <row r="1252" spans="1:13" s="53" customFormat="1" hidden="1" x14ac:dyDescent="0.2">
      <c r="A1252" s="380"/>
      <c r="B1252" s="379"/>
      <c r="C1252" s="106"/>
      <c r="D1252" s="107"/>
      <c r="E1252" s="108"/>
      <c r="F1252" s="109"/>
      <c r="G1252" s="103"/>
      <c r="H1252" s="103"/>
      <c r="I1252" s="102"/>
      <c r="J1252" s="102"/>
      <c r="K1252" s="78"/>
      <c r="L1252" s="110"/>
      <c r="M1252" s="105" t="str">
        <f t="shared" si="19"/>
        <v xml:space="preserve">   </v>
      </c>
    </row>
    <row r="1253" spans="1:13" s="53" customFormat="1" hidden="1" x14ac:dyDescent="0.2">
      <c r="A1253" s="380"/>
      <c r="B1253" s="379"/>
      <c r="C1253" s="106"/>
      <c r="D1253" s="107"/>
      <c r="E1253" s="108"/>
      <c r="F1253" s="109"/>
      <c r="G1253" s="103"/>
      <c r="H1253" s="103"/>
      <c r="I1253" s="102"/>
      <c r="J1253" s="102"/>
      <c r="K1253" s="78"/>
      <c r="L1253" s="110"/>
      <c r="M1253" s="105" t="str">
        <f t="shared" si="19"/>
        <v xml:space="preserve">   </v>
      </c>
    </row>
    <row r="1254" spans="1:13" s="53" customFormat="1" ht="12.75" hidden="1" customHeight="1" x14ac:dyDescent="0.2">
      <c r="A1254" s="380" t="s">
        <v>69</v>
      </c>
      <c r="B1254" s="379" t="s">
        <v>88</v>
      </c>
      <c r="C1254" s="102"/>
      <c r="D1254" s="102"/>
      <c r="E1254" s="102"/>
      <c r="F1254" s="102"/>
      <c r="G1254" s="103"/>
      <c r="H1254" s="103"/>
      <c r="I1254" s="102"/>
      <c r="J1254" s="102"/>
      <c r="K1254" s="78"/>
      <c r="L1254" s="104" t="str">
        <f>CONCATENATE(C1254," ",D1254," ",E1254," ",F1254," ",C1255," ",D1255," ",E1255," ",F1255)</f>
        <v xml:space="preserve">       </v>
      </c>
      <c r="M1254" s="105" t="str">
        <f t="shared" si="19"/>
        <v xml:space="preserve">   </v>
      </c>
    </row>
    <row r="1255" spans="1:13" s="53" customFormat="1" hidden="1" x14ac:dyDescent="0.2">
      <c r="A1255" s="380"/>
      <c r="B1255" s="379"/>
      <c r="C1255" s="106"/>
      <c r="D1255" s="107"/>
      <c r="E1255" s="108"/>
      <c r="F1255" s="109"/>
      <c r="G1255" s="103"/>
      <c r="H1255" s="103"/>
      <c r="I1255" s="102"/>
      <c r="J1255" s="102"/>
      <c r="K1255" s="78"/>
      <c r="L1255" s="110"/>
      <c r="M1255" s="105" t="str">
        <f t="shared" si="19"/>
        <v xml:space="preserve">   </v>
      </c>
    </row>
    <row r="1256" spans="1:13" s="53" customFormat="1" hidden="1" x14ac:dyDescent="0.2">
      <c r="A1256" s="380"/>
      <c r="B1256" s="379"/>
      <c r="C1256" s="106"/>
      <c r="D1256" s="107"/>
      <c r="E1256" s="108"/>
      <c r="F1256" s="109"/>
      <c r="G1256" s="103"/>
      <c r="H1256" s="103"/>
      <c r="I1256" s="102"/>
      <c r="J1256" s="102"/>
      <c r="K1256" s="78"/>
      <c r="L1256" s="110"/>
      <c r="M1256" s="105" t="str">
        <f t="shared" si="19"/>
        <v xml:space="preserve">   </v>
      </c>
    </row>
    <row r="1257" spans="1:13" s="53" customFormat="1" hidden="1" x14ac:dyDescent="0.2">
      <c r="A1257" s="380"/>
      <c r="B1257" s="379"/>
      <c r="C1257" s="106"/>
      <c r="D1257" s="107"/>
      <c r="E1257" s="108"/>
      <c r="F1257" s="109"/>
      <c r="G1257" s="103"/>
      <c r="H1257" s="103"/>
      <c r="I1257" s="102"/>
      <c r="J1257" s="102"/>
      <c r="K1257" s="78"/>
      <c r="L1257" s="110"/>
      <c r="M1257" s="105" t="str">
        <f t="shared" si="19"/>
        <v xml:space="preserve">   </v>
      </c>
    </row>
    <row r="1258" spans="1:13" s="53" customFormat="1" hidden="1" x14ac:dyDescent="0.2">
      <c r="A1258" s="380"/>
      <c r="B1258" s="379"/>
      <c r="C1258" s="106"/>
      <c r="D1258" s="107"/>
      <c r="E1258" s="108"/>
      <c r="F1258" s="109"/>
      <c r="G1258" s="103"/>
      <c r="H1258" s="103"/>
      <c r="I1258" s="102"/>
      <c r="J1258" s="102"/>
      <c r="K1258" s="78"/>
      <c r="L1258" s="110"/>
      <c r="M1258" s="105" t="str">
        <f t="shared" si="19"/>
        <v xml:space="preserve">   </v>
      </c>
    </row>
    <row r="1259" spans="1:13" s="53" customFormat="1" hidden="1" x14ac:dyDescent="0.2">
      <c r="A1259" s="380"/>
      <c r="B1259" s="379"/>
      <c r="C1259" s="106"/>
      <c r="D1259" s="107"/>
      <c r="E1259" s="108"/>
      <c r="F1259" s="109"/>
      <c r="G1259" s="103"/>
      <c r="H1259" s="103"/>
      <c r="I1259" s="102"/>
      <c r="J1259" s="102"/>
      <c r="K1259" s="78"/>
      <c r="L1259" s="110"/>
      <c r="M1259" s="105" t="str">
        <f t="shared" si="19"/>
        <v xml:space="preserve">   </v>
      </c>
    </row>
    <row r="1260" spans="1:13" s="53" customFormat="1" hidden="1" x14ac:dyDescent="0.2">
      <c r="A1260" s="380"/>
      <c r="B1260" s="379"/>
      <c r="C1260" s="106"/>
      <c r="D1260" s="107"/>
      <c r="E1260" s="108"/>
      <c r="F1260" s="109"/>
      <c r="G1260" s="103"/>
      <c r="H1260" s="103"/>
      <c r="I1260" s="102"/>
      <c r="J1260" s="102"/>
      <c r="K1260" s="78"/>
      <c r="L1260" s="110"/>
      <c r="M1260" s="105" t="str">
        <f t="shared" si="19"/>
        <v xml:space="preserve">   </v>
      </c>
    </row>
    <row r="1261" spans="1:13" s="53" customFormat="1" hidden="1" x14ac:dyDescent="0.2">
      <c r="A1261" s="380"/>
      <c r="B1261" s="379"/>
      <c r="C1261" s="106"/>
      <c r="D1261" s="107"/>
      <c r="E1261" s="108"/>
      <c r="F1261" s="109"/>
      <c r="G1261" s="103"/>
      <c r="H1261" s="103"/>
      <c r="I1261" s="102"/>
      <c r="J1261" s="102"/>
      <c r="K1261" s="78"/>
      <c r="L1261" s="110"/>
      <c r="M1261" s="105" t="str">
        <f t="shared" si="19"/>
        <v xml:space="preserve">   </v>
      </c>
    </row>
    <row r="1262" spans="1:13" s="53" customFormat="1" hidden="1" x14ac:dyDescent="0.2">
      <c r="A1262" s="380"/>
      <c r="B1262" s="379"/>
      <c r="C1262" s="106"/>
      <c r="D1262" s="107"/>
      <c r="E1262" s="108"/>
      <c r="F1262" s="109"/>
      <c r="G1262" s="103"/>
      <c r="H1262" s="103"/>
      <c r="I1262" s="102"/>
      <c r="J1262" s="102"/>
      <c r="K1262" s="78"/>
      <c r="L1262" s="110"/>
      <c r="M1262" s="105" t="str">
        <f t="shared" si="19"/>
        <v xml:space="preserve">   </v>
      </c>
    </row>
    <row r="1263" spans="1:13" s="53" customFormat="1" hidden="1" x14ac:dyDescent="0.2">
      <c r="A1263" s="380"/>
      <c r="B1263" s="379"/>
      <c r="C1263" s="106"/>
      <c r="D1263" s="107"/>
      <c r="E1263" s="108"/>
      <c r="F1263" s="109"/>
      <c r="G1263" s="103"/>
      <c r="H1263" s="103"/>
      <c r="I1263" s="102"/>
      <c r="J1263" s="102"/>
      <c r="K1263" s="78"/>
      <c r="L1263" s="110"/>
      <c r="M1263" s="105" t="str">
        <f t="shared" si="19"/>
        <v xml:space="preserve">   </v>
      </c>
    </row>
    <row r="1264" spans="1:13" s="53" customFormat="1" ht="12.75" hidden="1" customHeight="1" x14ac:dyDescent="0.2">
      <c r="A1264" s="380" t="s">
        <v>69</v>
      </c>
      <c r="B1264" s="379" t="s">
        <v>88</v>
      </c>
      <c r="C1264" s="102"/>
      <c r="D1264" s="102"/>
      <c r="E1264" s="102"/>
      <c r="F1264" s="102"/>
      <c r="G1264" s="103"/>
      <c r="H1264" s="103"/>
      <c r="I1264" s="102"/>
      <c r="J1264" s="102"/>
      <c r="K1264" s="78"/>
      <c r="L1264" s="104" t="str">
        <f>CONCATENATE(C1264," ",D1264," ",E1264," ",F1264," ",C1265," ",D1265," ",E1265," ",F1265)</f>
        <v xml:space="preserve">       </v>
      </c>
      <c r="M1264" s="105" t="str">
        <f t="shared" si="19"/>
        <v xml:space="preserve">   </v>
      </c>
    </row>
    <row r="1265" spans="1:13" s="53" customFormat="1" hidden="1" x14ac:dyDescent="0.2">
      <c r="A1265" s="380"/>
      <c r="B1265" s="379"/>
      <c r="C1265" s="106"/>
      <c r="D1265" s="107"/>
      <c r="E1265" s="108"/>
      <c r="F1265" s="109"/>
      <c r="G1265" s="103"/>
      <c r="H1265" s="103"/>
      <c r="I1265" s="102"/>
      <c r="J1265" s="102"/>
      <c r="K1265" s="78"/>
      <c r="L1265" s="110"/>
      <c r="M1265" s="105" t="str">
        <f t="shared" si="19"/>
        <v xml:space="preserve">   </v>
      </c>
    </row>
    <row r="1266" spans="1:13" s="53" customFormat="1" hidden="1" x14ac:dyDescent="0.2">
      <c r="A1266" s="380"/>
      <c r="B1266" s="379"/>
      <c r="C1266" s="106"/>
      <c r="D1266" s="107"/>
      <c r="E1266" s="108"/>
      <c r="F1266" s="109"/>
      <c r="G1266" s="103"/>
      <c r="H1266" s="103"/>
      <c r="I1266" s="102"/>
      <c r="J1266" s="102"/>
      <c r="K1266" s="78"/>
      <c r="L1266" s="110"/>
      <c r="M1266" s="105" t="str">
        <f t="shared" si="19"/>
        <v xml:space="preserve">   </v>
      </c>
    </row>
    <row r="1267" spans="1:13" s="53" customFormat="1" hidden="1" x14ac:dyDescent="0.2">
      <c r="A1267" s="380"/>
      <c r="B1267" s="379"/>
      <c r="C1267" s="106"/>
      <c r="D1267" s="107"/>
      <c r="E1267" s="108"/>
      <c r="F1267" s="109"/>
      <c r="G1267" s="103"/>
      <c r="H1267" s="103"/>
      <c r="I1267" s="102"/>
      <c r="J1267" s="102"/>
      <c r="K1267" s="78"/>
      <c r="L1267" s="110"/>
      <c r="M1267" s="105" t="str">
        <f t="shared" si="19"/>
        <v xml:space="preserve">   </v>
      </c>
    </row>
    <row r="1268" spans="1:13" s="53" customFormat="1" hidden="1" x14ac:dyDescent="0.2">
      <c r="A1268" s="380"/>
      <c r="B1268" s="379"/>
      <c r="C1268" s="106"/>
      <c r="D1268" s="107"/>
      <c r="E1268" s="108"/>
      <c r="F1268" s="109"/>
      <c r="G1268" s="103"/>
      <c r="H1268" s="103"/>
      <c r="I1268" s="102"/>
      <c r="J1268" s="102"/>
      <c r="K1268" s="78"/>
      <c r="L1268" s="110"/>
      <c r="M1268" s="105" t="str">
        <f t="shared" si="19"/>
        <v xml:space="preserve">   </v>
      </c>
    </row>
    <row r="1269" spans="1:13" s="53" customFormat="1" hidden="1" x14ac:dyDescent="0.2">
      <c r="A1269" s="380"/>
      <c r="B1269" s="379"/>
      <c r="C1269" s="106"/>
      <c r="D1269" s="107"/>
      <c r="E1269" s="108"/>
      <c r="F1269" s="109"/>
      <c r="G1269" s="103"/>
      <c r="H1269" s="103"/>
      <c r="I1269" s="102"/>
      <c r="J1269" s="102"/>
      <c r="K1269" s="78"/>
      <c r="L1269" s="110"/>
      <c r="M1269" s="105" t="str">
        <f t="shared" si="19"/>
        <v xml:space="preserve">   </v>
      </c>
    </row>
    <row r="1270" spans="1:13" s="53" customFormat="1" hidden="1" x14ac:dyDescent="0.2">
      <c r="A1270" s="380"/>
      <c r="B1270" s="379"/>
      <c r="C1270" s="106"/>
      <c r="D1270" s="107"/>
      <c r="E1270" s="108"/>
      <c r="F1270" s="109"/>
      <c r="G1270" s="103"/>
      <c r="H1270" s="103"/>
      <c r="I1270" s="102"/>
      <c r="J1270" s="102"/>
      <c r="K1270" s="78"/>
      <c r="L1270" s="110"/>
      <c r="M1270" s="105" t="str">
        <f t="shared" si="19"/>
        <v xml:space="preserve">   </v>
      </c>
    </row>
    <row r="1271" spans="1:13" s="53" customFormat="1" hidden="1" x14ac:dyDescent="0.2">
      <c r="A1271" s="380"/>
      <c r="B1271" s="379"/>
      <c r="C1271" s="106"/>
      <c r="D1271" s="107"/>
      <c r="E1271" s="108"/>
      <c r="F1271" s="109"/>
      <c r="G1271" s="103"/>
      <c r="H1271" s="103"/>
      <c r="I1271" s="102"/>
      <c r="J1271" s="102"/>
      <c r="K1271" s="78"/>
      <c r="L1271" s="110"/>
      <c r="M1271" s="105" t="str">
        <f t="shared" si="19"/>
        <v xml:space="preserve">   </v>
      </c>
    </row>
    <row r="1272" spans="1:13" s="53" customFormat="1" hidden="1" x14ac:dyDescent="0.2">
      <c r="A1272" s="380"/>
      <c r="B1272" s="379"/>
      <c r="C1272" s="106"/>
      <c r="D1272" s="107"/>
      <c r="E1272" s="108"/>
      <c r="F1272" s="109"/>
      <c r="G1272" s="103"/>
      <c r="H1272" s="103"/>
      <c r="I1272" s="102"/>
      <c r="J1272" s="102"/>
      <c r="K1272" s="78"/>
      <c r="L1272" s="110"/>
      <c r="M1272" s="105" t="str">
        <f t="shared" si="19"/>
        <v xml:space="preserve">   </v>
      </c>
    </row>
    <row r="1273" spans="1:13" s="53" customFormat="1" hidden="1" x14ac:dyDescent="0.2">
      <c r="A1273" s="380"/>
      <c r="B1273" s="379"/>
      <c r="C1273" s="106"/>
      <c r="D1273" s="107"/>
      <c r="E1273" s="108"/>
      <c r="F1273" s="109"/>
      <c r="G1273" s="103"/>
      <c r="H1273" s="103"/>
      <c r="I1273" s="102"/>
      <c r="J1273" s="102"/>
      <c r="K1273" s="78"/>
      <c r="L1273" s="110"/>
      <c r="M1273" s="105" t="str">
        <f t="shared" si="19"/>
        <v xml:space="preserve">   </v>
      </c>
    </row>
    <row r="1274" spans="1:13" s="53" customFormat="1" ht="12.75" hidden="1" customHeight="1" x14ac:dyDescent="0.2">
      <c r="A1274" s="380" t="s">
        <v>69</v>
      </c>
      <c r="B1274" s="379" t="s">
        <v>88</v>
      </c>
      <c r="C1274" s="102"/>
      <c r="D1274" s="102"/>
      <c r="E1274" s="102"/>
      <c r="F1274" s="102"/>
      <c r="G1274" s="103"/>
      <c r="H1274" s="103"/>
      <c r="I1274" s="102"/>
      <c r="J1274" s="102"/>
      <c r="K1274" s="78"/>
      <c r="L1274" s="104" t="str">
        <f>CONCATENATE(C1274," ",D1274," ",E1274," ",F1274," ",C1275," ",D1275," ",E1275," ",F1275)</f>
        <v xml:space="preserve">       </v>
      </c>
      <c r="M1274" s="105" t="str">
        <f t="shared" si="19"/>
        <v xml:space="preserve">   </v>
      </c>
    </row>
    <row r="1275" spans="1:13" s="53" customFormat="1" hidden="1" x14ac:dyDescent="0.2">
      <c r="A1275" s="380"/>
      <c r="B1275" s="379"/>
      <c r="C1275" s="106"/>
      <c r="D1275" s="107"/>
      <c r="E1275" s="108"/>
      <c r="F1275" s="109"/>
      <c r="G1275" s="103"/>
      <c r="H1275" s="103"/>
      <c r="I1275" s="102"/>
      <c r="J1275" s="102"/>
      <c r="K1275" s="78"/>
      <c r="L1275" s="110"/>
      <c r="M1275" s="105" t="str">
        <f t="shared" si="19"/>
        <v xml:space="preserve">   </v>
      </c>
    </row>
    <row r="1276" spans="1:13" s="53" customFormat="1" hidden="1" x14ac:dyDescent="0.2">
      <c r="A1276" s="380"/>
      <c r="B1276" s="379"/>
      <c r="C1276" s="106"/>
      <c r="D1276" s="107"/>
      <c r="E1276" s="108"/>
      <c r="F1276" s="109"/>
      <c r="G1276" s="103"/>
      <c r="H1276" s="103"/>
      <c r="I1276" s="102"/>
      <c r="J1276" s="102"/>
      <c r="K1276" s="78"/>
      <c r="L1276" s="110"/>
      <c r="M1276" s="105" t="str">
        <f t="shared" si="19"/>
        <v xml:space="preserve">   </v>
      </c>
    </row>
    <row r="1277" spans="1:13" s="53" customFormat="1" hidden="1" x14ac:dyDescent="0.2">
      <c r="A1277" s="380"/>
      <c r="B1277" s="379"/>
      <c r="C1277" s="106"/>
      <c r="D1277" s="107"/>
      <c r="E1277" s="108"/>
      <c r="F1277" s="109"/>
      <c r="G1277" s="103"/>
      <c r="H1277" s="103"/>
      <c r="I1277" s="102"/>
      <c r="J1277" s="102"/>
      <c r="K1277" s="78"/>
      <c r="L1277" s="110"/>
      <c r="M1277" s="105" t="str">
        <f t="shared" si="19"/>
        <v xml:space="preserve">   </v>
      </c>
    </row>
    <row r="1278" spans="1:13" s="53" customFormat="1" hidden="1" x14ac:dyDescent="0.2">
      <c r="A1278" s="380"/>
      <c r="B1278" s="379"/>
      <c r="C1278" s="106"/>
      <c r="D1278" s="107"/>
      <c r="E1278" s="108"/>
      <c r="F1278" s="109"/>
      <c r="G1278" s="103"/>
      <c r="H1278" s="103"/>
      <c r="I1278" s="102"/>
      <c r="J1278" s="102"/>
      <c r="K1278" s="78"/>
      <c r="L1278" s="110"/>
      <c r="M1278" s="105" t="str">
        <f t="shared" si="19"/>
        <v xml:space="preserve">   </v>
      </c>
    </row>
    <row r="1279" spans="1:13" s="53" customFormat="1" hidden="1" x14ac:dyDescent="0.2">
      <c r="A1279" s="380"/>
      <c r="B1279" s="379"/>
      <c r="C1279" s="106"/>
      <c r="D1279" s="107"/>
      <c r="E1279" s="108"/>
      <c r="F1279" s="109"/>
      <c r="G1279" s="103"/>
      <c r="H1279" s="103"/>
      <c r="I1279" s="102"/>
      <c r="J1279" s="102"/>
      <c r="K1279" s="78"/>
      <c r="L1279" s="110"/>
      <c r="M1279" s="105" t="str">
        <f t="shared" si="19"/>
        <v xml:space="preserve">   </v>
      </c>
    </row>
    <row r="1280" spans="1:13" s="53" customFormat="1" hidden="1" x14ac:dyDescent="0.2">
      <c r="A1280" s="380"/>
      <c r="B1280" s="379"/>
      <c r="C1280" s="106"/>
      <c r="D1280" s="107"/>
      <c r="E1280" s="108"/>
      <c r="F1280" s="109"/>
      <c r="G1280" s="103"/>
      <c r="H1280" s="103"/>
      <c r="I1280" s="102"/>
      <c r="J1280" s="102"/>
      <c r="K1280" s="78"/>
      <c r="L1280" s="110"/>
      <c r="M1280" s="105" t="str">
        <f t="shared" si="19"/>
        <v xml:space="preserve">   </v>
      </c>
    </row>
    <row r="1281" spans="1:13" s="53" customFormat="1" hidden="1" x14ac:dyDescent="0.2">
      <c r="A1281" s="380"/>
      <c r="B1281" s="379"/>
      <c r="C1281" s="106"/>
      <c r="D1281" s="107"/>
      <c r="E1281" s="108"/>
      <c r="F1281" s="109"/>
      <c r="G1281" s="103"/>
      <c r="H1281" s="103"/>
      <c r="I1281" s="102"/>
      <c r="J1281" s="102"/>
      <c r="K1281" s="78"/>
      <c r="L1281" s="110"/>
      <c r="M1281" s="105" t="str">
        <f t="shared" si="19"/>
        <v xml:space="preserve">   </v>
      </c>
    </row>
    <row r="1282" spans="1:13" s="53" customFormat="1" hidden="1" x14ac:dyDescent="0.2">
      <c r="A1282" s="380"/>
      <c r="B1282" s="379"/>
      <c r="C1282" s="106"/>
      <c r="D1282" s="107"/>
      <c r="E1282" s="108"/>
      <c r="F1282" s="109"/>
      <c r="G1282" s="103"/>
      <c r="H1282" s="103"/>
      <c r="I1282" s="102"/>
      <c r="J1282" s="102"/>
      <c r="K1282" s="78"/>
      <c r="L1282" s="110"/>
      <c r="M1282" s="105" t="str">
        <f t="shared" si="19"/>
        <v xml:space="preserve">   </v>
      </c>
    </row>
    <row r="1283" spans="1:13" s="53" customFormat="1" hidden="1" x14ac:dyDescent="0.2">
      <c r="A1283" s="380"/>
      <c r="B1283" s="379"/>
      <c r="C1283" s="106"/>
      <c r="D1283" s="107"/>
      <c r="E1283" s="108"/>
      <c r="F1283" s="109"/>
      <c r="G1283" s="103"/>
      <c r="H1283" s="103"/>
      <c r="I1283" s="102"/>
      <c r="J1283" s="102"/>
      <c r="K1283" s="78"/>
      <c r="L1283" s="110"/>
      <c r="M1283" s="105" t="str">
        <f t="shared" si="19"/>
        <v xml:space="preserve">   </v>
      </c>
    </row>
    <row r="1284" spans="1:13" s="53" customFormat="1" ht="12.75" hidden="1" customHeight="1" x14ac:dyDescent="0.2">
      <c r="A1284" s="380" t="s">
        <v>69</v>
      </c>
      <c r="B1284" s="379" t="s">
        <v>88</v>
      </c>
      <c r="C1284" s="102"/>
      <c r="D1284" s="102"/>
      <c r="E1284" s="102"/>
      <c r="F1284" s="102"/>
      <c r="G1284" s="103"/>
      <c r="H1284" s="103"/>
      <c r="I1284" s="102"/>
      <c r="J1284" s="102"/>
      <c r="K1284" s="78"/>
      <c r="L1284" s="104" t="str">
        <f>CONCATENATE(C1284," ",D1284," ",E1284," ",F1284," ",C1285," ",D1285," ",E1285," ",F1285)</f>
        <v xml:space="preserve">       </v>
      </c>
      <c r="M1284" s="105" t="str">
        <f t="shared" si="19"/>
        <v xml:space="preserve">   </v>
      </c>
    </row>
    <row r="1285" spans="1:13" s="53" customFormat="1" hidden="1" x14ac:dyDescent="0.2">
      <c r="A1285" s="380"/>
      <c r="B1285" s="379"/>
      <c r="C1285" s="106"/>
      <c r="D1285" s="107"/>
      <c r="E1285" s="108"/>
      <c r="F1285" s="109"/>
      <c r="G1285" s="103"/>
      <c r="H1285" s="103"/>
      <c r="I1285" s="102"/>
      <c r="J1285" s="102"/>
      <c r="K1285" s="78"/>
      <c r="L1285" s="110"/>
      <c r="M1285" s="105" t="str">
        <f t="shared" si="19"/>
        <v xml:space="preserve">   </v>
      </c>
    </row>
    <row r="1286" spans="1:13" s="53" customFormat="1" hidden="1" x14ac:dyDescent="0.2">
      <c r="A1286" s="380"/>
      <c r="B1286" s="379"/>
      <c r="C1286" s="106"/>
      <c r="D1286" s="107"/>
      <c r="E1286" s="108"/>
      <c r="F1286" s="109"/>
      <c r="G1286" s="103"/>
      <c r="H1286" s="103"/>
      <c r="I1286" s="102"/>
      <c r="J1286" s="102"/>
      <c r="K1286" s="78"/>
      <c r="L1286" s="110"/>
      <c r="M1286" s="105" t="str">
        <f t="shared" si="19"/>
        <v xml:space="preserve">   </v>
      </c>
    </row>
    <row r="1287" spans="1:13" s="53" customFormat="1" hidden="1" x14ac:dyDescent="0.2">
      <c r="A1287" s="380"/>
      <c r="B1287" s="379"/>
      <c r="C1287" s="106"/>
      <c r="D1287" s="107"/>
      <c r="E1287" s="108"/>
      <c r="F1287" s="109"/>
      <c r="G1287" s="103"/>
      <c r="H1287" s="103"/>
      <c r="I1287" s="102"/>
      <c r="J1287" s="102"/>
      <c r="K1287" s="78"/>
      <c r="L1287" s="110"/>
      <c r="M1287" s="105" t="str">
        <f t="shared" si="19"/>
        <v xml:space="preserve">   </v>
      </c>
    </row>
    <row r="1288" spans="1:13" s="53" customFormat="1" hidden="1" x14ac:dyDescent="0.2">
      <c r="A1288" s="380"/>
      <c r="B1288" s="379"/>
      <c r="C1288" s="106"/>
      <c r="D1288" s="107"/>
      <c r="E1288" s="108"/>
      <c r="F1288" s="109"/>
      <c r="G1288" s="103"/>
      <c r="H1288" s="103"/>
      <c r="I1288" s="102"/>
      <c r="J1288" s="102"/>
      <c r="K1288" s="78"/>
      <c r="L1288" s="110"/>
      <c r="M1288" s="105" t="str">
        <f t="shared" si="19"/>
        <v xml:space="preserve">   </v>
      </c>
    </row>
    <row r="1289" spans="1:13" s="53" customFormat="1" hidden="1" x14ac:dyDescent="0.2">
      <c r="A1289" s="380"/>
      <c r="B1289" s="379"/>
      <c r="C1289" s="106"/>
      <c r="D1289" s="107"/>
      <c r="E1289" s="108"/>
      <c r="F1289" s="109"/>
      <c r="G1289" s="103"/>
      <c r="H1289" s="103"/>
      <c r="I1289" s="102"/>
      <c r="J1289" s="102"/>
      <c r="K1289" s="78"/>
      <c r="L1289" s="110"/>
      <c r="M1289" s="105" t="str">
        <f t="shared" si="19"/>
        <v xml:space="preserve">   </v>
      </c>
    </row>
    <row r="1290" spans="1:13" s="53" customFormat="1" hidden="1" x14ac:dyDescent="0.2">
      <c r="A1290" s="380"/>
      <c r="B1290" s="379"/>
      <c r="C1290" s="106"/>
      <c r="D1290" s="107"/>
      <c r="E1290" s="108"/>
      <c r="F1290" s="109"/>
      <c r="G1290" s="103"/>
      <c r="H1290" s="103"/>
      <c r="I1290" s="102"/>
      <c r="J1290" s="102"/>
      <c r="K1290" s="78"/>
      <c r="L1290" s="110"/>
      <c r="M1290" s="105" t="str">
        <f t="shared" si="19"/>
        <v xml:space="preserve">   </v>
      </c>
    </row>
    <row r="1291" spans="1:13" s="53" customFormat="1" hidden="1" x14ac:dyDescent="0.2">
      <c r="A1291" s="380"/>
      <c r="B1291" s="379"/>
      <c r="C1291" s="106"/>
      <c r="D1291" s="107"/>
      <c r="E1291" s="108"/>
      <c r="F1291" s="109"/>
      <c r="G1291" s="103"/>
      <c r="H1291" s="103"/>
      <c r="I1291" s="102"/>
      <c r="J1291" s="102"/>
      <c r="K1291" s="78"/>
      <c r="L1291" s="110"/>
      <c r="M1291" s="105" t="str">
        <f t="shared" ref="M1291:M1354" si="20">CONCATENATE(G1291," ",H1291," ",I1291," ",J1291)</f>
        <v xml:space="preserve">   </v>
      </c>
    </row>
    <row r="1292" spans="1:13" s="53" customFormat="1" hidden="1" x14ac:dyDescent="0.2">
      <c r="A1292" s="380"/>
      <c r="B1292" s="379"/>
      <c r="C1292" s="106"/>
      <c r="D1292" s="107"/>
      <c r="E1292" s="108"/>
      <c r="F1292" s="109"/>
      <c r="G1292" s="103"/>
      <c r="H1292" s="103"/>
      <c r="I1292" s="102"/>
      <c r="J1292" s="102"/>
      <c r="K1292" s="78"/>
      <c r="L1292" s="110"/>
      <c r="M1292" s="105" t="str">
        <f t="shared" si="20"/>
        <v xml:space="preserve">   </v>
      </c>
    </row>
    <row r="1293" spans="1:13" s="53" customFormat="1" hidden="1" x14ac:dyDescent="0.2">
      <c r="A1293" s="380"/>
      <c r="B1293" s="379"/>
      <c r="C1293" s="106"/>
      <c r="D1293" s="107"/>
      <c r="E1293" s="108"/>
      <c r="F1293" s="109"/>
      <c r="G1293" s="103"/>
      <c r="H1293" s="103"/>
      <c r="I1293" s="102"/>
      <c r="J1293" s="102"/>
      <c r="K1293" s="78"/>
      <c r="L1293" s="110"/>
      <c r="M1293" s="105" t="str">
        <f t="shared" si="20"/>
        <v xml:space="preserve">   </v>
      </c>
    </row>
    <row r="1294" spans="1:13" s="53" customFormat="1" ht="12.75" hidden="1" customHeight="1" x14ac:dyDescent="0.2">
      <c r="A1294" s="380" t="s">
        <v>69</v>
      </c>
      <c r="B1294" s="379" t="s">
        <v>88</v>
      </c>
      <c r="C1294" s="102"/>
      <c r="D1294" s="102"/>
      <c r="E1294" s="102"/>
      <c r="F1294" s="102"/>
      <c r="G1294" s="103"/>
      <c r="H1294" s="103"/>
      <c r="I1294" s="102"/>
      <c r="J1294" s="102"/>
      <c r="K1294" s="78"/>
      <c r="L1294" s="104" t="str">
        <f>CONCATENATE(C1294," ",D1294," ",E1294," ",F1294," ",C1295," ",D1295," ",E1295," ",F1295)</f>
        <v xml:space="preserve">       </v>
      </c>
      <c r="M1294" s="105" t="str">
        <f t="shared" si="20"/>
        <v xml:space="preserve">   </v>
      </c>
    </row>
    <row r="1295" spans="1:13" s="53" customFormat="1" hidden="1" x14ac:dyDescent="0.2">
      <c r="A1295" s="380"/>
      <c r="B1295" s="379"/>
      <c r="C1295" s="106"/>
      <c r="D1295" s="107"/>
      <c r="E1295" s="108"/>
      <c r="F1295" s="109"/>
      <c r="G1295" s="103"/>
      <c r="H1295" s="103"/>
      <c r="I1295" s="102"/>
      <c r="J1295" s="102"/>
      <c r="K1295" s="78"/>
      <c r="L1295" s="110"/>
      <c r="M1295" s="105" t="str">
        <f t="shared" si="20"/>
        <v xml:space="preserve">   </v>
      </c>
    </row>
    <row r="1296" spans="1:13" s="53" customFormat="1" hidden="1" x14ac:dyDescent="0.2">
      <c r="A1296" s="380"/>
      <c r="B1296" s="379"/>
      <c r="C1296" s="106"/>
      <c r="D1296" s="107"/>
      <c r="E1296" s="108"/>
      <c r="F1296" s="109"/>
      <c r="G1296" s="103"/>
      <c r="H1296" s="103"/>
      <c r="I1296" s="102"/>
      <c r="J1296" s="102"/>
      <c r="K1296" s="78"/>
      <c r="L1296" s="110"/>
      <c r="M1296" s="105" t="str">
        <f t="shared" si="20"/>
        <v xml:space="preserve">   </v>
      </c>
    </row>
    <row r="1297" spans="1:13" s="53" customFormat="1" hidden="1" x14ac:dyDescent="0.2">
      <c r="A1297" s="380"/>
      <c r="B1297" s="379"/>
      <c r="C1297" s="106"/>
      <c r="D1297" s="107"/>
      <c r="E1297" s="108"/>
      <c r="F1297" s="109"/>
      <c r="G1297" s="103"/>
      <c r="H1297" s="103"/>
      <c r="I1297" s="102"/>
      <c r="J1297" s="102"/>
      <c r="K1297" s="78"/>
      <c r="L1297" s="110"/>
      <c r="M1297" s="105" t="str">
        <f t="shared" si="20"/>
        <v xml:space="preserve">   </v>
      </c>
    </row>
    <row r="1298" spans="1:13" s="53" customFormat="1" hidden="1" x14ac:dyDescent="0.2">
      <c r="A1298" s="380"/>
      <c r="B1298" s="379"/>
      <c r="C1298" s="106"/>
      <c r="D1298" s="107"/>
      <c r="E1298" s="108"/>
      <c r="F1298" s="109"/>
      <c r="G1298" s="103"/>
      <c r="H1298" s="103"/>
      <c r="I1298" s="102"/>
      <c r="J1298" s="102"/>
      <c r="K1298" s="78"/>
      <c r="L1298" s="110"/>
      <c r="M1298" s="105" t="str">
        <f t="shared" si="20"/>
        <v xml:space="preserve">   </v>
      </c>
    </row>
    <row r="1299" spans="1:13" s="53" customFormat="1" hidden="1" x14ac:dyDescent="0.2">
      <c r="A1299" s="380"/>
      <c r="B1299" s="379"/>
      <c r="C1299" s="106"/>
      <c r="D1299" s="107"/>
      <c r="E1299" s="108"/>
      <c r="F1299" s="109"/>
      <c r="G1299" s="103"/>
      <c r="H1299" s="103"/>
      <c r="I1299" s="102"/>
      <c r="J1299" s="102"/>
      <c r="K1299" s="78"/>
      <c r="L1299" s="110"/>
      <c r="M1299" s="105" t="str">
        <f t="shared" si="20"/>
        <v xml:space="preserve">   </v>
      </c>
    </row>
    <row r="1300" spans="1:13" s="53" customFormat="1" hidden="1" x14ac:dyDescent="0.2">
      <c r="A1300" s="380"/>
      <c r="B1300" s="379"/>
      <c r="C1300" s="106"/>
      <c r="D1300" s="107"/>
      <c r="E1300" s="108"/>
      <c r="F1300" s="109"/>
      <c r="G1300" s="103"/>
      <c r="H1300" s="103"/>
      <c r="I1300" s="102"/>
      <c r="J1300" s="102"/>
      <c r="K1300" s="78"/>
      <c r="L1300" s="110"/>
      <c r="M1300" s="105" t="str">
        <f t="shared" si="20"/>
        <v xml:space="preserve">   </v>
      </c>
    </row>
    <row r="1301" spans="1:13" s="53" customFormat="1" hidden="1" x14ac:dyDescent="0.2">
      <c r="A1301" s="380"/>
      <c r="B1301" s="379"/>
      <c r="C1301" s="106"/>
      <c r="D1301" s="107"/>
      <c r="E1301" s="108"/>
      <c r="F1301" s="109"/>
      <c r="G1301" s="103"/>
      <c r="H1301" s="103"/>
      <c r="I1301" s="102"/>
      <c r="J1301" s="102"/>
      <c r="K1301" s="78"/>
      <c r="L1301" s="110"/>
      <c r="M1301" s="105" t="str">
        <f t="shared" si="20"/>
        <v xml:space="preserve">   </v>
      </c>
    </row>
    <row r="1302" spans="1:13" s="53" customFormat="1" hidden="1" x14ac:dyDescent="0.2">
      <c r="A1302" s="380"/>
      <c r="B1302" s="379"/>
      <c r="C1302" s="106"/>
      <c r="D1302" s="107"/>
      <c r="E1302" s="108"/>
      <c r="F1302" s="109"/>
      <c r="G1302" s="103"/>
      <c r="H1302" s="103"/>
      <c r="I1302" s="102"/>
      <c r="J1302" s="102"/>
      <c r="K1302" s="78"/>
      <c r="L1302" s="110"/>
      <c r="M1302" s="105" t="str">
        <f t="shared" si="20"/>
        <v xml:space="preserve">   </v>
      </c>
    </row>
    <row r="1303" spans="1:13" s="53" customFormat="1" hidden="1" x14ac:dyDescent="0.2">
      <c r="A1303" s="380"/>
      <c r="B1303" s="379"/>
      <c r="C1303" s="106"/>
      <c r="D1303" s="107"/>
      <c r="E1303" s="108"/>
      <c r="F1303" s="109"/>
      <c r="G1303" s="103"/>
      <c r="H1303" s="103"/>
      <c r="I1303" s="102"/>
      <c r="J1303" s="102"/>
      <c r="K1303" s="78"/>
      <c r="L1303" s="110"/>
      <c r="M1303" s="105" t="str">
        <f t="shared" si="20"/>
        <v xml:space="preserve">   </v>
      </c>
    </row>
    <row r="1304" spans="1:13" s="53" customFormat="1" ht="12.75" hidden="1" customHeight="1" x14ac:dyDescent="0.2">
      <c r="A1304" s="380" t="s">
        <v>69</v>
      </c>
      <c r="B1304" s="379" t="s">
        <v>88</v>
      </c>
      <c r="C1304" s="102"/>
      <c r="D1304" s="102"/>
      <c r="E1304" s="102"/>
      <c r="F1304" s="102"/>
      <c r="G1304" s="103"/>
      <c r="H1304" s="103"/>
      <c r="I1304" s="102"/>
      <c r="J1304" s="102"/>
      <c r="K1304" s="78"/>
      <c r="L1304" s="104" t="str">
        <f>CONCATENATE(C1304," ",D1304," ",E1304," ",F1304," ",C1305," ",D1305," ",E1305," ",F1305)</f>
        <v xml:space="preserve">       </v>
      </c>
      <c r="M1304" s="105" t="str">
        <f t="shared" si="20"/>
        <v xml:space="preserve">   </v>
      </c>
    </row>
    <row r="1305" spans="1:13" s="53" customFormat="1" hidden="1" x14ac:dyDescent="0.2">
      <c r="A1305" s="380"/>
      <c r="B1305" s="379"/>
      <c r="C1305" s="106"/>
      <c r="D1305" s="107"/>
      <c r="E1305" s="108"/>
      <c r="F1305" s="109"/>
      <c r="G1305" s="103"/>
      <c r="H1305" s="103"/>
      <c r="I1305" s="102"/>
      <c r="J1305" s="102"/>
      <c r="K1305" s="78"/>
      <c r="L1305" s="110"/>
      <c r="M1305" s="105" t="str">
        <f t="shared" si="20"/>
        <v xml:space="preserve">   </v>
      </c>
    </row>
    <row r="1306" spans="1:13" s="53" customFormat="1" hidden="1" x14ac:dyDescent="0.2">
      <c r="A1306" s="380"/>
      <c r="B1306" s="379"/>
      <c r="C1306" s="106"/>
      <c r="D1306" s="107"/>
      <c r="E1306" s="108"/>
      <c r="F1306" s="109"/>
      <c r="G1306" s="103"/>
      <c r="H1306" s="103"/>
      <c r="I1306" s="102"/>
      <c r="J1306" s="102"/>
      <c r="K1306" s="78"/>
      <c r="L1306" s="110"/>
      <c r="M1306" s="105" t="str">
        <f t="shared" si="20"/>
        <v xml:space="preserve">   </v>
      </c>
    </row>
    <row r="1307" spans="1:13" s="53" customFormat="1" hidden="1" x14ac:dyDescent="0.2">
      <c r="A1307" s="380"/>
      <c r="B1307" s="379"/>
      <c r="C1307" s="106"/>
      <c r="D1307" s="107"/>
      <c r="E1307" s="108"/>
      <c r="F1307" s="109"/>
      <c r="G1307" s="103"/>
      <c r="H1307" s="103"/>
      <c r="I1307" s="102"/>
      <c r="J1307" s="102"/>
      <c r="K1307" s="78"/>
      <c r="L1307" s="110"/>
      <c r="M1307" s="105" t="str">
        <f t="shared" si="20"/>
        <v xml:space="preserve">   </v>
      </c>
    </row>
    <row r="1308" spans="1:13" s="53" customFormat="1" hidden="1" x14ac:dyDescent="0.2">
      <c r="A1308" s="380"/>
      <c r="B1308" s="379"/>
      <c r="C1308" s="106"/>
      <c r="D1308" s="107"/>
      <c r="E1308" s="108"/>
      <c r="F1308" s="109"/>
      <c r="G1308" s="103"/>
      <c r="H1308" s="103"/>
      <c r="I1308" s="102"/>
      <c r="J1308" s="102"/>
      <c r="K1308" s="78"/>
      <c r="L1308" s="110"/>
      <c r="M1308" s="105" t="str">
        <f t="shared" si="20"/>
        <v xml:space="preserve">   </v>
      </c>
    </row>
    <row r="1309" spans="1:13" s="53" customFormat="1" hidden="1" x14ac:dyDescent="0.2">
      <c r="A1309" s="380"/>
      <c r="B1309" s="379"/>
      <c r="C1309" s="106"/>
      <c r="D1309" s="107"/>
      <c r="E1309" s="108"/>
      <c r="F1309" s="109"/>
      <c r="G1309" s="103"/>
      <c r="H1309" s="103"/>
      <c r="I1309" s="102"/>
      <c r="J1309" s="102"/>
      <c r="K1309" s="78"/>
      <c r="L1309" s="110"/>
      <c r="M1309" s="105" t="str">
        <f t="shared" si="20"/>
        <v xml:space="preserve">   </v>
      </c>
    </row>
    <row r="1310" spans="1:13" s="53" customFormat="1" hidden="1" x14ac:dyDescent="0.2">
      <c r="A1310" s="380"/>
      <c r="B1310" s="379"/>
      <c r="C1310" s="106"/>
      <c r="D1310" s="107"/>
      <c r="E1310" s="108"/>
      <c r="F1310" s="109"/>
      <c r="G1310" s="103"/>
      <c r="H1310" s="103"/>
      <c r="I1310" s="102"/>
      <c r="J1310" s="102"/>
      <c r="K1310" s="78"/>
      <c r="L1310" s="110"/>
      <c r="M1310" s="105" t="str">
        <f t="shared" si="20"/>
        <v xml:space="preserve">   </v>
      </c>
    </row>
    <row r="1311" spans="1:13" s="53" customFormat="1" hidden="1" x14ac:dyDescent="0.2">
      <c r="A1311" s="380"/>
      <c r="B1311" s="379"/>
      <c r="C1311" s="106"/>
      <c r="D1311" s="107"/>
      <c r="E1311" s="108"/>
      <c r="F1311" s="109"/>
      <c r="G1311" s="103"/>
      <c r="H1311" s="103"/>
      <c r="I1311" s="102"/>
      <c r="J1311" s="102"/>
      <c r="K1311" s="78"/>
      <c r="L1311" s="110"/>
      <c r="M1311" s="105" t="str">
        <f t="shared" si="20"/>
        <v xml:space="preserve">   </v>
      </c>
    </row>
    <row r="1312" spans="1:13" s="53" customFormat="1" hidden="1" x14ac:dyDescent="0.2">
      <c r="A1312" s="380"/>
      <c r="B1312" s="379"/>
      <c r="C1312" s="106"/>
      <c r="D1312" s="107"/>
      <c r="E1312" s="108"/>
      <c r="F1312" s="109"/>
      <c r="G1312" s="103"/>
      <c r="H1312" s="103"/>
      <c r="I1312" s="102"/>
      <c r="J1312" s="102"/>
      <c r="K1312" s="78"/>
      <c r="L1312" s="110"/>
      <c r="M1312" s="105" t="str">
        <f t="shared" si="20"/>
        <v xml:space="preserve">   </v>
      </c>
    </row>
    <row r="1313" spans="1:13" s="53" customFormat="1" hidden="1" x14ac:dyDescent="0.2">
      <c r="A1313" s="380"/>
      <c r="B1313" s="379"/>
      <c r="C1313" s="106"/>
      <c r="D1313" s="107"/>
      <c r="E1313" s="108"/>
      <c r="F1313" s="109"/>
      <c r="G1313" s="103"/>
      <c r="H1313" s="103"/>
      <c r="I1313" s="102"/>
      <c r="J1313" s="102"/>
      <c r="K1313" s="78"/>
      <c r="L1313" s="110"/>
      <c r="M1313" s="105" t="str">
        <f t="shared" si="20"/>
        <v xml:space="preserve">   </v>
      </c>
    </row>
    <row r="1314" spans="1:13" s="53" customFormat="1" ht="12.75" hidden="1" customHeight="1" x14ac:dyDescent="0.2">
      <c r="A1314" s="380" t="s">
        <v>69</v>
      </c>
      <c r="B1314" s="379" t="s">
        <v>88</v>
      </c>
      <c r="C1314" s="102"/>
      <c r="D1314" s="102"/>
      <c r="E1314" s="102"/>
      <c r="F1314" s="102"/>
      <c r="G1314" s="103"/>
      <c r="H1314" s="103"/>
      <c r="I1314" s="102"/>
      <c r="J1314" s="102"/>
      <c r="K1314" s="78"/>
      <c r="L1314" s="104" t="str">
        <f>CONCATENATE(C1314," ",D1314," ",E1314," ",F1314," ",C1315," ",D1315," ",E1315," ",F1315)</f>
        <v xml:space="preserve">       </v>
      </c>
      <c r="M1314" s="105" t="str">
        <f t="shared" si="20"/>
        <v xml:space="preserve">   </v>
      </c>
    </row>
    <row r="1315" spans="1:13" s="53" customFormat="1" hidden="1" x14ac:dyDescent="0.2">
      <c r="A1315" s="380"/>
      <c r="B1315" s="379"/>
      <c r="C1315" s="106"/>
      <c r="D1315" s="107"/>
      <c r="E1315" s="108"/>
      <c r="F1315" s="109"/>
      <c r="G1315" s="103"/>
      <c r="H1315" s="103"/>
      <c r="I1315" s="102"/>
      <c r="J1315" s="102"/>
      <c r="K1315" s="78"/>
      <c r="L1315" s="110"/>
      <c r="M1315" s="105" t="str">
        <f t="shared" si="20"/>
        <v xml:space="preserve">   </v>
      </c>
    </row>
    <row r="1316" spans="1:13" s="53" customFormat="1" hidden="1" x14ac:dyDescent="0.2">
      <c r="A1316" s="380"/>
      <c r="B1316" s="379"/>
      <c r="C1316" s="106"/>
      <c r="D1316" s="107"/>
      <c r="E1316" s="108"/>
      <c r="F1316" s="109"/>
      <c r="G1316" s="103"/>
      <c r="H1316" s="103"/>
      <c r="I1316" s="102"/>
      <c r="J1316" s="102"/>
      <c r="K1316" s="78"/>
      <c r="L1316" s="110"/>
      <c r="M1316" s="105" t="str">
        <f t="shared" si="20"/>
        <v xml:space="preserve">   </v>
      </c>
    </row>
    <row r="1317" spans="1:13" s="53" customFormat="1" hidden="1" x14ac:dyDescent="0.2">
      <c r="A1317" s="380"/>
      <c r="B1317" s="379"/>
      <c r="C1317" s="106"/>
      <c r="D1317" s="107"/>
      <c r="E1317" s="108"/>
      <c r="F1317" s="109"/>
      <c r="G1317" s="103"/>
      <c r="H1317" s="103"/>
      <c r="I1317" s="102"/>
      <c r="J1317" s="102"/>
      <c r="K1317" s="78"/>
      <c r="L1317" s="110"/>
      <c r="M1317" s="105" t="str">
        <f t="shared" si="20"/>
        <v xml:space="preserve">   </v>
      </c>
    </row>
    <row r="1318" spans="1:13" s="53" customFormat="1" hidden="1" x14ac:dyDescent="0.2">
      <c r="A1318" s="380"/>
      <c r="B1318" s="379"/>
      <c r="C1318" s="106"/>
      <c r="D1318" s="107"/>
      <c r="E1318" s="108"/>
      <c r="F1318" s="109"/>
      <c r="G1318" s="103"/>
      <c r="H1318" s="103"/>
      <c r="I1318" s="102"/>
      <c r="J1318" s="102"/>
      <c r="K1318" s="78"/>
      <c r="L1318" s="110"/>
      <c r="M1318" s="105" t="str">
        <f t="shared" si="20"/>
        <v xml:space="preserve">   </v>
      </c>
    </row>
    <row r="1319" spans="1:13" s="53" customFormat="1" hidden="1" x14ac:dyDescent="0.2">
      <c r="A1319" s="380"/>
      <c r="B1319" s="379"/>
      <c r="C1319" s="106"/>
      <c r="D1319" s="107"/>
      <c r="E1319" s="108"/>
      <c r="F1319" s="109"/>
      <c r="G1319" s="103"/>
      <c r="H1319" s="103"/>
      <c r="I1319" s="102"/>
      <c r="J1319" s="102"/>
      <c r="K1319" s="78"/>
      <c r="L1319" s="110"/>
      <c r="M1319" s="105" t="str">
        <f t="shared" si="20"/>
        <v xml:space="preserve">   </v>
      </c>
    </row>
    <row r="1320" spans="1:13" s="53" customFormat="1" hidden="1" x14ac:dyDescent="0.2">
      <c r="A1320" s="380"/>
      <c r="B1320" s="379"/>
      <c r="C1320" s="106"/>
      <c r="D1320" s="107"/>
      <c r="E1320" s="108"/>
      <c r="F1320" s="109"/>
      <c r="G1320" s="103"/>
      <c r="H1320" s="103"/>
      <c r="I1320" s="102"/>
      <c r="J1320" s="102"/>
      <c r="K1320" s="78"/>
      <c r="L1320" s="110"/>
      <c r="M1320" s="105" t="str">
        <f t="shared" si="20"/>
        <v xml:space="preserve">   </v>
      </c>
    </row>
    <row r="1321" spans="1:13" s="53" customFormat="1" hidden="1" x14ac:dyDescent="0.2">
      <c r="A1321" s="380"/>
      <c r="B1321" s="379"/>
      <c r="C1321" s="106"/>
      <c r="D1321" s="107"/>
      <c r="E1321" s="108"/>
      <c r="F1321" s="109"/>
      <c r="G1321" s="103"/>
      <c r="H1321" s="103"/>
      <c r="I1321" s="102"/>
      <c r="J1321" s="102"/>
      <c r="K1321" s="78"/>
      <c r="L1321" s="110"/>
      <c r="M1321" s="105" t="str">
        <f t="shared" si="20"/>
        <v xml:space="preserve">   </v>
      </c>
    </row>
    <row r="1322" spans="1:13" s="53" customFormat="1" hidden="1" x14ac:dyDescent="0.2">
      <c r="A1322" s="380"/>
      <c r="B1322" s="379"/>
      <c r="C1322" s="106"/>
      <c r="D1322" s="107"/>
      <c r="E1322" s="108"/>
      <c r="F1322" s="109"/>
      <c r="G1322" s="103"/>
      <c r="H1322" s="103"/>
      <c r="I1322" s="102"/>
      <c r="J1322" s="102"/>
      <c r="K1322" s="78"/>
      <c r="L1322" s="110"/>
      <c r="M1322" s="105" t="str">
        <f t="shared" si="20"/>
        <v xml:space="preserve">   </v>
      </c>
    </row>
    <row r="1323" spans="1:13" s="53" customFormat="1" hidden="1" x14ac:dyDescent="0.2">
      <c r="A1323" s="380"/>
      <c r="B1323" s="379"/>
      <c r="C1323" s="106"/>
      <c r="D1323" s="107"/>
      <c r="E1323" s="108"/>
      <c r="F1323" s="109"/>
      <c r="G1323" s="103"/>
      <c r="H1323" s="103"/>
      <c r="I1323" s="102"/>
      <c r="J1323" s="102"/>
      <c r="K1323" s="78"/>
      <c r="L1323" s="110"/>
      <c r="M1323" s="105" t="str">
        <f t="shared" si="20"/>
        <v xml:space="preserve">   </v>
      </c>
    </row>
    <row r="1324" spans="1:13" s="53" customFormat="1" ht="12.75" hidden="1" customHeight="1" x14ac:dyDescent="0.2">
      <c r="A1324" s="380" t="s">
        <v>69</v>
      </c>
      <c r="B1324" s="379" t="s">
        <v>88</v>
      </c>
      <c r="C1324" s="102"/>
      <c r="D1324" s="102"/>
      <c r="E1324" s="102"/>
      <c r="F1324" s="102"/>
      <c r="G1324" s="103"/>
      <c r="H1324" s="103"/>
      <c r="I1324" s="102"/>
      <c r="J1324" s="102"/>
      <c r="K1324" s="78"/>
      <c r="L1324" s="104" t="str">
        <f>CONCATENATE(C1324," ",D1324," ",E1324," ",F1324," ",C1325," ",D1325," ",E1325," ",F1325)</f>
        <v xml:space="preserve">       </v>
      </c>
      <c r="M1324" s="105" t="str">
        <f t="shared" si="20"/>
        <v xml:space="preserve">   </v>
      </c>
    </row>
    <row r="1325" spans="1:13" s="53" customFormat="1" hidden="1" x14ac:dyDescent="0.2">
      <c r="A1325" s="380"/>
      <c r="B1325" s="379"/>
      <c r="C1325" s="106"/>
      <c r="D1325" s="107"/>
      <c r="E1325" s="108"/>
      <c r="F1325" s="109"/>
      <c r="G1325" s="103"/>
      <c r="H1325" s="103"/>
      <c r="I1325" s="102"/>
      <c r="J1325" s="102"/>
      <c r="K1325" s="78"/>
      <c r="L1325" s="110"/>
      <c r="M1325" s="105" t="str">
        <f t="shared" si="20"/>
        <v xml:space="preserve">   </v>
      </c>
    </row>
    <row r="1326" spans="1:13" s="53" customFormat="1" hidden="1" x14ac:dyDescent="0.2">
      <c r="A1326" s="380"/>
      <c r="B1326" s="379"/>
      <c r="C1326" s="106"/>
      <c r="D1326" s="107"/>
      <c r="E1326" s="108"/>
      <c r="F1326" s="109"/>
      <c r="G1326" s="103"/>
      <c r="H1326" s="103"/>
      <c r="I1326" s="102"/>
      <c r="J1326" s="102"/>
      <c r="K1326" s="78"/>
      <c r="L1326" s="110"/>
      <c r="M1326" s="105" t="str">
        <f t="shared" si="20"/>
        <v xml:space="preserve">   </v>
      </c>
    </row>
    <row r="1327" spans="1:13" s="53" customFormat="1" hidden="1" x14ac:dyDescent="0.2">
      <c r="A1327" s="380"/>
      <c r="B1327" s="379"/>
      <c r="C1327" s="106"/>
      <c r="D1327" s="107"/>
      <c r="E1327" s="108"/>
      <c r="F1327" s="109"/>
      <c r="G1327" s="103"/>
      <c r="H1327" s="103"/>
      <c r="I1327" s="102"/>
      <c r="J1327" s="102"/>
      <c r="K1327" s="78"/>
      <c r="L1327" s="110"/>
      <c r="M1327" s="105" t="str">
        <f t="shared" si="20"/>
        <v xml:space="preserve">   </v>
      </c>
    </row>
    <row r="1328" spans="1:13" s="53" customFormat="1" hidden="1" x14ac:dyDescent="0.2">
      <c r="A1328" s="380"/>
      <c r="B1328" s="379"/>
      <c r="C1328" s="106"/>
      <c r="D1328" s="107"/>
      <c r="E1328" s="108"/>
      <c r="F1328" s="109"/>
      <c r="G1328" s="103"/>
      <c r="H1328" s="103"/>
      <c r="I1328" s="102"/>
      <c r="J1328" s="102"/>
      <c r="K1328" s="78"/>
      <c r="L1328" s="110"/>
      <c r="M1328" s="105" t="str">
        <f t="shared" si="20"/>
        <v xml:space="preserve">   </v>
      </c>
    </row>
    <row r="1329" spans="1:13" s="53" customFormat="1" hidden="1" x14ac:dyDescent="0.2">
      <c r="A1329" s="380"/>
      <c r="B1329" s="379"/>
      <c r="C1329" s="106"/>
      <c r="D1329" s="107"/>
      <c r="E1329" s="108"/>
      <c r="F1329" s="109"/>
      <c r="G1329" s="103"/>
      <c r="H1329" s="103"/>
      <c r="I1329" s="102"/>
      <c r="J1329" s="102"/>
      <c r="K1329" s="78"/>
      <c r="L1329" s="110"/>
      <c r="M1329" s="105" t="str">
        <f t="shared" si="20"/>
        <v xml:space="preserve">   </v>
      </c>
    </row>
    <row r="1330" spans="1:13" s="53" customFormat="1" hidden="1" x14ac:dyDescent="0.2">
      <c r="A1330" s="380"/>
      <c r="B1330" s="379"/>
      <c r="C1330" s="106"/>
      <c r="D1330" s="107"/>
      <c r="E1330" s="108"/>
      <c r="F1330" s="109"/>
      <c r="G1330" s="103"/>
      <c r="H1330" s="103"/>
      <c r="I1330" s="102"/>
      <c r="J1330" s="102"/>
      <c r="K1330" s="78"/>
      <c r="L1330" s="110"/>
      <c r="M1330" s="105" t="str">
        <f t="shared" si="20"/>
        <v xml:space="preserve">   </v>
      </c>
    </row>
    <row r="1331" spans="1:13" s="53" customFormat="1" hidden="1" x14ac:dyDescent="0.2">
      <c r="A1331" s="380"/>
      <c r="B1331" s="379"/>
      <c r="C1331" s="106"/>
      <c r="D1331" s="107"/>
      <c r="E1331" s="108"/>
      <c r="F1331" s="109"/>
      <c r="G1331" s="103"/>
      <c r="H1331" s="103"/>
      <c r="I1331" s="102"/>
      <c r="J1331" s="102"/>
      <c r="K1331" s="78"/>
      <c r="L1331" s="110"/>
      <c r="M1331" s="105" t="str">
        <f t="shared" si="20"/>
        <v xml:space="preserve">   </v>
      </c>
    </row>
    <row r="1332" spans="1:13" s="53" customFormat="1" hidden="1" x14ac:dyDescent="0.2">
      <c r="A1332" s="380"/>
      <c r="B1332" s="379"/>
      <c r="C1332" s="106"/>
      <c r="D1332" s="107"/>
      <c r="E1332" s="108"/>
      <c r="F1332" s="109"/>
      <c r="G1332" s="103"/>
      <c r="H1332" s="103"/>
      <c r="I1332" s="102"/>
      <c r="J1332" s="102"/>
      <c r="K1332" s="78"/>
      <c r="L1332" s="110"/>
      <c r="M1332" s="105" t="str">
        <f t="shared" si="20"/>
        <v xml:space="preserve">   </v>
      </c>
    </row>
    <row r="1333" spans="1:13" s="53" customFormat="1" hidden="1" x14ac:dyDescent="0.2">
      <c r="A1333" s="380"/>
      <c r="B1333" s="379"/>
      <c r="C1333" s="106"/>
      <c r="D1333" s="107"/>
      <c r="E1333" s="108"/>
      <c r="F1333" s="109"/>
      <c r="G1333" s="103"/>
      <c r="H1333" s="103"/>
      <c r="I1333" s="102"/>
      <c r="J1333" s="102"/>
      <c r="K1333" s="78"/>
      <c r="L1333" s="110"/>
      <c r="M1333" s="105" t="str">
        <f t="shared" si="20"/>
        <v xml:space="preserve">   </v>
      </c>
    </row>
    <row r="1334" spans="1:13" s="53" customFormat="1" ht="12.75" hidden="1" customHeight="1" x14ac:dyDescent="0.2">
      <c r="A1334" s="380" t="s">
        <v>69</v>
      </c>
      <c r="B1334" s="379" t="s">
        <v>88</v>
      </c>
      <c r="C1334" s="102"/>
      <c r="D1334" s="102"/>
      <c r="E1334" s="102"/>
      <c r="F1334" s="102"/>
      <c r="G1334" s="103"/>
      <c r="H1334" s="103"/>
      <c r="I1334" s="102"/>
      <c r="J1334" s="102"/>
      <c r="K1334" s="78"/>
      <c r="L1334" s="104" t="str">
        <f>CONCATENATE(C1334," ",D1334," ",E1334," ",F1334," ",C1335," ",D1335," ",E1335," ",F1335)</f>
        <v xml:space="preserve">       </v>
      </c>
      <c r="M1334" s="105" t="str">
        <f t="shared" si="20"/>
        <v xml:space="preserve">   </v>
      </c>
    </row>
    <row r="1335" spans="1:13" s="53" customFormat="1" hidden="1" x14ac:dyDescent="0.2">
      <c r="A1335" s="380"/>
      <c r="B1335" s="379"/>
      <c r="C1335" s="106"/>
      <c r="D1335" s="107"/>
      <c r="E1335" s="108"/>
      <c r="F1335" s="109"/>
      <c r="G1335" s="103"/>
      <c r="H1335" s="103"/>
      <c r="I1335" s="102"/>
      <c r="J1335" s="102"/>
      <c r="K1335" s="78"/>
      <c r="L1335" s="110"/>
      <c r="M1335" s="105" t="str">
        <f t="shared" si="20"/>
        <v xml:space="preserve">   </v>
      </c>
    </row>
    <row r="1336" spans="1:13" s="53" customFormat="1" hidden="1" x14ac:dyDescent="0.2">
      <c r="A1336" s="380"/>
      <c r="B1336" s="379"/>
      <c r="C1336" s="106"/>
      <c r="D1336" s="107"/>
      <c r="E1336" s="108"/>
      <c r="F1336" s="109"/>
      <c r="G1336" s="103"/>
      <c r="H1336" s="103"/>
      <c r="I1336" s="102"/>
      <c r="J1336" s="102"/>
      <c r="K1336" s="78"/>
      <c r="L1336" s="110"/>
      <c r="M1336" s="105" t="str">
        <f t="shared" si="20"/>
        <v xml:space="preserve">   </v>
      </c>
    </row>
    <row r="1337" spans="1:13" s="53" customFormat="1" hidden="1" x14ac:dyDescent="0.2">
      <c r="A1337" s="380"/>
      <c r="B1337" s="379"/>
      <c r="C1337" s="106"/>
      <c r="D1337" s="107"/>
      <c r="E1337" s="108"/>
      <c r="F1337" s="109"/>
      <c r="G1337" s="103"/>
      <c r="H1337" s="103"/>
      <c r="I1337" s="102"/>
      <c r="J1337" s="102"/>
      <c r="K1337" s="78"/>
      <c r="L1337" s="110"/>
      <c r="M1337" s="105" t="str">
        <f t="shared" si="20"/>
        <v xml:space="preserve">   </v>
      </c>
    </row>
    <row r="1338" spans="1:13" s="53" customFormat="1" hidden="1" x14ac:dyDescent="0.2">
      <c r="A1338" s="380"/>
      <c r="B1338" s="379"/>
      <c r="C1338" s="106"/>
      <c r="D1338" s="107"/>
      <c r="E1338" s="108"/>
      <c r="F1338" s="109"/>
      <c r="G1338" s="103"/>
      <c r="H1338" s="103"/>
      <c r="I1338" s="102"/>
      <c r="J1338" s="102"/>
      <c r="K1338" s="78"/>
      <c r="L1338" s="110"/>
      <c r="M1338" s="105" t="str">
        <f t="shared" si="20"/>
        <v xml:space="preserve">   </v>
      </c>
    </row>
    <row r="1339" spans="1:13" s="53" customFormat="1" hidden="1" x14ac:dyDescent="0.2">
      <c r="A1339" s="380"/>
      <c r="B1339" s="379"/>
      <c r="C1339" s="106"/>
      <c r="D1339" s="107"/>
      <c r="E1339" s="108"/>
      <c r="F1339" s="109"/>
      <c r="G1339" s="103"/>
      <c r="H1339" s="103"/>
      <c r="I1339" s="102"/>
      <c r="J1339" s="102"/>
      <c r="K1339" s="78"/>
      <c r="L1339" s="110"/>
      <c r="M1339" s="105" t="str">
        <f t="shared" si="20"/>
        <v xml:space="preserve">   </v>
      </c>
    </row>
    <row r="1340" spans="1:13" s="53" customFormat="1" hidden="1" x14ac:dyDescent="0.2">
      <c r="A1340" s="380"/>
      <c r="B1340" s="379"/>
      <c r="C1340" s="106"/>
      <c r="D1340" s="107"/>
      <c r="E1340" s="108"/>
      <c r="F1340" s="109"/>
      <c r="G1340" s="103"/>
      <c r="H1340" s="103"/>
      <c r="I1340" s="102"/>
      <c r="J1340" s="102"/>
      <c r="K1340" s="78"/>
      <c r="L1340" s="110"/>
      <c r="M1340" s="105" t="str">
        <f t="shared" si="20"/>
        <v xml:space="preserve">   </v>
      </c>
    </row>
    <row r="1341" spans="1:13" s="53" customFormat="1" hidden="1" x14ac:dyDescent="0.2">
      <c r="A1341" s="380"/>
      <c r="B1341" s="379"/>
      <c r="C1341" s="106"/>
      <c r="D1341" s="107"/>
      <c r="E1341" s="108"/>
      <c r="F1341" s="109"/>
      <c r="G1341" s="103"/>
      <c r="H1341" s="103"/>
      <c r="I1341" s="102"/>
      <c r="J1341" s="102"/>
      <c r="K1341" s="78"/>
      <c r="L1341" s="110"/>
      <c r="M1341" s="105" t="str">
        <f t="shared" si="20"/>
        <v xml:space="preserve">   </v>
      </c>
    </row>
    <row r="1342" spans="1:13" s="53" customFormat="1" hidden="1" x14ac:dyDescent="0.2">
      <c r="A1342" s="380"/>
      <c r="B1342" s="379"/>
      <c r="C1342" s="106"/>
      <c r="D1342" s="107"/>
      <c r="E1342" s="108"/>
      <c r="F1342" s="109"/>
      <c r="G1342" s="103"/>
      <c r="H1342" s="103"/>
      <c r="I1342" s="102"/>
      <c r="J1342" s="102"/>
      <c r="K1342" s="78"/>
      <c r="L1342" s="110"/>
      <c r="M1342" s="105" t="str">
        <f t="shared" si="20"/>
        <v xml:space="preserve">   </v>
      </c>
    </row>
    <row r="1343" spans="1:13" s="53" customFormat="1" hidden="1" x14ac:dyDescent="0.2">
      <c r="A1343" s="380"/>
      <c r="B1343" s="379"/>
      <c r="C1343" s="106"/>
      <c r="D1343" s="107"/>
      <c r="E1343" s="108"/>
      <c r="F1343" s="109"/>
      <c r="G1343" s="103"/>
      <c r="H1343" s="103"/>
      <c r="I1343" s="102"/>
      <c r="J1343" s="102"/>
      <c r="K1343" s="78"/>
      <c r="L1343" s="110"/>
      <c r="M1343" s="105" t="str">
        <f t="shared" si="20"/>
        <v xml:space="preserve">   </v>
      </c>
    </row>
    <row r="1344" spans="1:13" s="53" customFormat="1" ht="12.75" hidden="1" customHeight="1" x14ac:dyDescent="0.2">
      <c r="A1344" s="380" t="s">
        <v>69</v>
      </c>
      <c r="B1344" s="379" t="s">
        <v>88</v>
      </c>
      <c r="C1344" s="102"/>
      <c r="D1344" s="102"/>
      <c r="E1344" s="102"/>
      <c r="F1344" s="102"/>
      <c r="G1344" s="103"/>
      <c r="H1344" s="103"/>
      <c r="I1344" s="102"/>
      <c r="J1344" s="102"/>
      <c r="K1344" s="78"/>
      <c r="L1344" s="104" t="str">
        <f>CONCATENATE(C1344," ",D1344," ",E1344," ",F1344," ",C1345," ",D1345," ",E1345," ",F1345)</f>
        <v xml:space="preserve">       </v>
      </c>
      <c r="M1344" s="105" t="str">
        <f t="shared" si="20"/>
        <v xml:space="preserve">   </v>
      </c>
    </row>
    <row r="1345" spans="1:13" s="53" customFormat="1" hidden="1" x14ac:dyDescent="0.2">
      <c r="A1345" s="380"/>
      <c r="B1345" s="379"/>
      <c r="C1345" s="106"/>
      <c r="D1345" s="107"/>
      <c r="E1345" s="108"/>
      <c r="F1345" s="109"/>
      <c r="G1345" s="103"/>
      <c r="H1345" s="103"/>
      <c r="I1345" s="102"/>
      <c r="J1345" s="102"/>
      <c r="K1345" s="78"/>
      <c r="L1345" s="110"/>
      <c r="M1345" s="105" t="str">
        <f t="shared" si="20"/>
        <v xml:space="preserve">   </v>
      </c>
    </row>
    <row r="1346" spans="1:13" s="53" customFormat="1" hidden="1" x14ac:dyDescent="0.2">
      <c r="A1346" s="380"/>
      <c r="B1346" s="379"/>
      <c r="C1346" s="106"/>
      <c r="D1346" s="107"/>
      <c r="E1346" s="108"/>
      <c r="F1346" s="109"/>
      <c r="G1346" s="103"/>
      <c r="H1346" s="103"/>
      <c r="I1346" s="102"/>
      <c r="J1346" s="102"/>
      <c r="K1346" s="78"/>
      <c r="L1346" s="110"/>
      <c r="M1346" s="105" t="str">
        <f t="shared" si="20"/>
        <v xml:space="preserve">   </v>
      </c>
    </row>
    <row r="1347" spans="1:13" s="53" customFormat="1" hidden="1" x14ac:dyDescent="0.2">
      <c r="A1347" s="380"/>
      <c r="B1347" s="379"/>
      <c r="C1347" s="106"/>
      <c r="D1347" s="107"/>
      <c r="E1347" s="108"/>
      <c r="F1347" s="109"/>
      <c r="G1347" s="103"/>
      <c r="H1347" s="103"/>
      <c r="I1347" s="102"/>
      <c r="J1347" s="102"/>
      <c r="K1347" s="78"/>
      <c r="L1347" s="110"/>
      <c r="M1347" s="105" t="str">
        <f t="shared" si="20"/>
        <v xml:space="preserve">   </v>
      </c>
    </row>
    <row r="1348" spans="1:13" s="53" customFormat="1" hidden="1" x14ac:dyDescent="0.2">
      <c r="A1348" s="380"/>
      <c r="B1348" s="379"/>
      <c r="C1348" s="106"/>
      <c r="D1348" s="107"/>
      <c r="E1348" s="108"/>
      <c r="F1348" s="109"/>
      <c r="G1348" s="103"/>
      <c r="H1348" s="103"/>
      <c r="I1348" s="102"/>
      <c r="J1348" s="102"/>
      <c r="K1348" s="78"/>
      <c r="L1348" s="110"/>
      <c r="M1348" s="105" t="str">
        <f t="shared" si="20"/>
        <v xml:space="preserve">   </v>
      </c>
    </row>
    <row r="1349" spans="1:13" s="53" customFormat="1" hidden="1" x14ac:dyDescent="0.2">
      <c r="A1349" s="380"/>
      <c r="B1349" s="379"/>
      <c r="C1349" s="106"/>
      <c r="D1349" s="107"/>
      <c r="E1349" s="108"/>
      <c r="F1349" s="109"/>
      <c r="G1349" s="103"/>
      <c r="H1349" s="103"/>
      <c r="I1349" s="102"/>
      <c r="J1349" s="102"/>
      <c r="K1349" s="78"/>
      <c r="L1349" s="110"/>
      <c r="M1349" s="105" t="str">
        <f t="shared" si="20"/>
        <v xml:space="preserve">   </v>
      </c>
    </row>
    <row r="1350" spans="1:13" s="53" customFormat="1" hidden="1" x14ac:dyDescent="0.2">
      <c r="A1350" s="380"/>
      <c r="B1350" s="379"/>
      <c r="C1350" s="106"/>
      <c r="D1350" s="107"/>
      <c r="E1350" s="108"/>
      <c r="F1350" s="109"/>
      <c r="G1350" s="103"/>
      <c r="H1350" s="103"/>
      <c r="I1350" s="102"/>
      <c r="J1350" s="102"/>
      <c r="K1350" s="78"/>
      <c r="L1350" s="110"/>
      <c r="M1350" s="105" t="str">
        <f t="shared" si="20"/>
        <v xml:space="preserve">   </v>
      </c>
    </row>
    <row r="1351" spans="1:13" s="53" customFormat="1" hidden="1" x14ac:dyDescent="0.2">
      <c r="A1351" s="380"/>
      <c r="B1351" s="379"/>
      <c r="C1351" s="106"/>
      <c r="D1351" s="107"/>
      <c r="E1351" s="108"/>
      <c r="F1351" s="109"/>
      <c r="G1351" s="103"/>
      <c r="H1351" s="103"/>
      <c r="I1351" s="102"/>
      <c r="J1351" s="102"/>
      <c r="K1351" s="78"/>
      <c r="L1351" s="110"/>
      <c r="M1351" s="105" t="str">
        <f t="shared" si="20"/>
        <v xml:space="preserve">   </v>
      </c>
    </row>
    <row r="1352" spans="1:13" s="53" customFormat="1" hidden="1" x14ac:dyDescent="0.2">
      <c r="A1352" s="380"/>
      <c r="B1352" s="379"/>
      <c r="C1352" s="106"/>
      <c r="D1352" s="107"/>
      <c r="E1352" s="108"/>
      <c r="F1352" s="109"/>
      <c r="G1352" s="103"/>
      <c r="H1352" s="103"/>
      <c r="I1352" s="102"/>
      <c r="J1352" s="102"/>
      <c r="K1352" s="78"/>
      <c r="L1352" s="110"/>
      <c r="M1352" s="105" t="str">
        <f t="shared" si="20"/>
        <v xml:space="preserve">   </v>
      </c>
    </row>
    <row r="1353" spans="1:13" s="53" customFormat="1" hidden="1" x14ac:dyDescent="0.2">
      <c r="A1353" s="380"/>
      <c r="B1353" s="379"/>
      <c r="C1353" s="106"/>
      <c r="D1353" s="107"/>
      <c r="E1353" s="108"/>
      <c r="F1353" s="109"/>
      <c r="G1353" s="103"/>
      <c r="H1353" s="103"/>
      <c r="I1353" s="102"/>
      <c r="J1353" s="102"/>
      <c r="K1353" s="78"/>
      <c r="L1353" s="110"/>
      <c r="M1353" s="105" t="str">
        <f t="shared" si="20"/>
        <v xml:space="preserve">   </v>
      </c>
    </row>
    <row r="1354" spans="1:13" s="53" customFormat="1" ht="12.75" hidden="1" customHeight="1" x14ac:dyDescent="0.2">
      <c r="A1354" s="380" t="s">
        <v>69</v>
      </c>
      <c r="B1354" s="379" t="s">
        <v>88</v>
      </c>
      <c r="C1354" s="102"/>
      <c r="D1354" s="102"/>
      <c r="E1354" s="102"/>
      <c r="F1354" s="102"/>
      <c r="G1354" s="103"/>
      <c r="H1354" s="103"/>
      <c r="I1354" s="102"/>
      <c r="J1354" s="102"/>
      <c r="K1354" s="78"/>
      <c r="L1354" s="104" t="str">
        <f>CONCATENATE(C1354," ",D1354," ",E1354," ",F1354," ",C1355," ",D1355," ",E1355," ",F1355)</f>
        <v xml:space="preserve">       </v>
      </c>
      <c r="M1354" s="105" t="str">
        <f t="shared" si="20"/>
        <v xml:space="preserve">   </v>
      </c>
    </row>
    <row r="1355" spans="1:13" s="53" customFormat="1" hidden="1" x14ac:dyDescent="0.2">
      <c r="A1355" s="380"/>
      <c r="B1355" s="379"/>
      <c r="C1355" s="106"/>
      <c r="D1355" s="107"/>
      <c r="E1355" s="108"/>
      <c r="F1355" s="109"/>
      <c r="G1355" s="103"/>
      <c r="H1355" s="103"/>
      <c r="I1355" s="102"/>
      <c r="J1355" s="102"/>
      <c r="K1355" s="78"/>
      <c r="L1355" s="110"/>
      <c r="M1355" s="105" t="str">
        <f t="shared" ref="M1355:M1418" si="21">CONCATENATE(G1355," ",H1355," ",I1355," ",J1355)</f>
        <v xml:space="preserve">   </v>
      </c>
    </row>
    <row r="1356" spans="1:13" s="53" customFormat="1" hidden="1" x14ac:dyDescent="0.2">
      <c r="A1356" s="380"/>
      <c r="B1356" s="379"/>
      <c r="C1356" s="106"/>
      <c r="D1356" s="107"/>
      <c r="E1356" s="108"/>
      <c r="F1356" s="109"/>
      <c r="G1356" s="103"/>
      <c r="H1356" s="103"/>
      <c r="I1356" s="102"/>
      <c r="J1356" s="102"/>
      <c r="K1356" s="78"/>
      <c r="L1356" s="110"/>
      <c r="M1356" s="105" t="str">
        <f t="shared" si="21"/>
        <v xml:space="preserve">   </v>
      </c>
    </row>
    <row r="1357" spans="1:13" s="53" customFormat="1" hidden="1" x14ac:dyDescent="0.2">
      <c r="A1357" s="380"/>
      <c r="B1357" s="379"/>
      <c r="C1357" s="106"/>
      <c r="D1357" s="107"/>
      <c r="E1357" s="108"/>
      <c r="F1357" s="109"/>
      <c r="G1357" s="103"/>
      <c r="H1357" s="103"/>
      <c r="I1357" s="102"/>
      <c r="J1357" s="102"/>
      <c r="K1357" s="78"/>
      <c r="L1357" s="110"/>
      <c r="M1357" s="105" t="str">
        <f t="shared" si="21"/>
        <v xml:space="preserve">   </v>
      </c>
    </row>
    <row r="1358" spans="1:13" s="53" customFormat="1" hidden="1" x14ac:dyDescent="0.2">
      <c r="A1358" s="380"/>
      <c r="B1358" s="379"/>
      <c r="C1358" s="106"/>
      <c r="D1358" s="107"/>
      <c r="E1358" s="108"/>
      <c r="F1358" s="109"/>
      <c r="G1358" s="103"/>
      <c r="H1358" s="103"/>
      <c r="I1358" s="102"/>
      <c r="J1358" s="102"/>
      <c r="K1358" s="78"/>
      <c r="L1358" s="110"/>
      <c r="M1358" s="105" t="str">
        <f t="shared" si="21"/>
        <v xml:space="preserve">   </v>
      </c>
    </row>
    <row r="1359" spans="1:13" s="53" customFormat="1" hidden="1" x14ac:dyDescent="0.2">
      <c r="A1359" s="380"/>
      <c r="B1359" s="379"/>
      <c r="C1359" s="106"/>
      <c r="D1359" s="107"/>
      <c r="E1359" s="108"/>
      <c r="F1359" s="109"/>
      <c r="G1359" s="103"/>
      <c r="H1359" s="103"/>
      <c r="I1359" s="102"/>
      <c r="J1359" s="102"/>
      <c r="K1359" s="78"/>
      <c r="L1359" s="110"/>
      <c r="M1359" s="105" t="str">
        <f t="shared" si="21"/>
        <v xml:space="preserve">   </v>
      </c>
    </row>
    <row r="1360" spans="1:13" s="53" customFormat="1" hidden="1" x14ac:dyDescent="0.2">
      <c r="A1360" s="380"/>
      <c r="B1360" s="379"/>
      <c r="C1360" s="106"/>
      <c r="D1360" s="107"/>
      <c r="E1360" s="108"/>
      <c r="F1360" s="109"/>
      <c r="G1360" s="103"/>
      <c r="H1360" s="103"/>
      <c r="I1360" s="102"/>
      <c r="J1360" s="102"/>
      <c r="K1360" s="78"/>
      <c r="L1360" s="110"/>
      <c r="M1360" s="105" t="str">
        <f t="shared" si="21"/>
        <v xml:space="preserve">   </v>
      </c>
    </row>
    <row r="1361" spans="1:13" s="53" customFormat="1" hidden="1" x14ac:dyDescent="0.2">
      <c r="A1361" s="380"/>
      <c r="B1361" s="379"/>
      <c r="C1361" s="106"/>
      <c r="D1361" s="107"/>
      <c r="E1361" s="108"/>
      <c r="F1361" s="109"/>
      <c r="G1361" s="103"/>
      <c r="H1361" s="103"/>
      <c r="I1361" s="102"/>
      <c r="J1361" s="102"/>
      <c r="K1361" s="78"/>
      <c r="L1361" s="110"/>
      <c r="M1361" s="105" t="str">
        <f t="shared" si="21"/>
        <v xml:space="preserve">   </v>
      </c>
    </row>
    <row r="1362" spans="1:13" s="53" customFormat="1" hidden="1" x14ac:dyDescent="0.2">
      <c r="A1362" s="380"/>
      <c r="B1362" s="379"/>
      <c r="C1362" s="106"/>
      <c r="D1362" s="107"/>
      <c r="E1362" s="108"/>
      <c r="F1362" s="109"/>
      <c r="G1362" s="103"/>
      <c r="H1362" s="103"/>
      <c r="I1362" s="102"/>
      <c r="J1362" s="102"/>
      <c r="K1362" s="78"/>
      <c r="L1362" s="110"/>
      <c r="M1362" s="105" t="str">
        <f t="shared" si="21"/>
        <v xml:space="preserve">   </v>
      </c>
    </row>
    <row r="1363" spans="1:13" s="53" customFormat="1" hidden="1" x14ac:dyDescent="0.2">
      <c r="A1363" s="380"/>
      <c r="B1363" s="379"/>
      <c r="C1363" s="106"/>
      <c r="D1363" s="107"/>
      <c r="E1363" s="108"/>
      <c r="F1363" s="109"/>
      <c r="G1363" s="103"/>
      <c r="H1363" s="103"/>
      <c r="I1363" s="102"/>
      <c r="J1363" s="102"/>
      <c r="K1363" s="78"/>
      <c r="L1363" s="110"/>
      <c r="M1363" s="105" t="str">
        <f t="shared" si="21"/>
        <v xml:space="preserve">   </v>
      </c>
    </row>
    <row r="1364" spans="1:13" s="53" customFormat="1" ht="12.75" hidden="1" customHeight="1" x14ac:dyDescent="0.2">
      <c r="A1364" s="380" t="s">
        <v>69</v>
      </c>
      <c r="B1364" s="379" t="s">
        <v>88</v>
      </c>
      <c r="C1364" s="102"/>
      <c r="D1364" s="102"/>
      <c r="E1364" s="102"/>
      <c r="F1364" s="102"/>
      <c r="G1364" s="103"/>
      <c r="H1364" s="103"/>
      <c r="I1364" s="102"/>
      <c r="J1364" s="102"/>
      <c r="K1364" s="78"/>
      <c r="L1364" s="104" t="str">
        <f>CONCATENATE(C1364," ",D1364," ",E1364," ",F1364," ",C1365," ",D1365," ",E1365," ",F1365)</f>
        <v xml:space="preserve">       </v>
      </c>
      <c r="M1364" s="105" t="str">
        <f t="shared" si="21"/>
        <v xml:space="preserve">   </v>
      </c>
    </row>
    <row r="1365" spans="1:13" s="53" customFormat="1" hidden="1" x14ac:dyDescent="0.2">
      <c r="A1365" s="380"/>
      <c r="B1365" s="379"/>
      <c r="C1365" s="106"/>
      <c r="D1365" s="107"/>
      <c r="E1365" s="108"/>
      <c r="F1365" s="109"/>
      <c r="G1365" s="103"/>
      <c r="H1365" s="103"/>
      <c r="I1365" s="102"/>
      <c r="J1365" s="102"/>
      <c r="K1365" s="78"/>
      <c r="L1365" s="110"/>
      <c r="M1365" s="105" t="str">
        <f t="shared" si="21"/>
        <v xml:space="preserve">   </v>
      </c>
    </row>
    <row r="1366" spans="1:13" s="53" customFormat="1" hidden="1" x14ac:dyDescent="0.2">
      <c r="A1366" s="380"/>
      <c r="B1366" s="379"/>
      <c r="C1366" s="106"/>
      <c r="D1366" s="107"/>
      <c r="E1366" s="108"/>
      <c r="F1366" s="109"/>
      <c r="G1366" s="103"/>
      <c r="H1366" s="103"/>
      <c r="I1366" s="102"/>
      <c r="J1366" s="102"/>
      <c r="K1366" s="78"/>
      <c r="L1366" s="110"/>
      <c r="M1366" s="105" t="str">
        <f t="shared" si="21"/>
        <v xml:space="preserve">   </v>
      </c>
    </row>
    <row r="1367" spans="1:13" s="53" customFormat="1" hidden="1" x14ac:dyDescent="0.2">
      <c r="A1367" s="380"/>
      <c r="B1367" s="379"/>
      <c r="C1367" s="106"/>
      <c r="D1367" s="107"/>
      <c r="E1367" s="108"/>
      <c r="F1367" s="109"/>
      <c r="G1367" s="103"/>
      <c r="H1367" s="103"/>
      <c r="I1367" s="102"/>
      <c r="J1367" s="102"/>
      <c r="K1367" s="78"/>
      <c r="L1367" s="110"/>
      <c r="M1367" s="105" t="str">
        <f t="shared" si="21"/>
        <v xml:space="preserve">   </v>
      </c>
    </row>
    <row r="1368" spans="1:13" s="53" customFormat="1" hidden="1" x14ac:dyDescent="0.2">
      <c r="A1368" s="380"/>
      <c r="B1368" s="379"/>
      <c r="C1368" s="106"/>
      <c r="D1368" s="107"/>
      <c r="E1368" s="108"/>
      <c r="F1368" s="109"/>
      <c r="G1368" s="103"/>
      <c r="H1368" s="103"/>
      <c r="I1368" s="102"/>
      <c r="J1368" s="102"/>
      <c r="K1368" s="78"/>
      <c r="L1368" s="110"/>
      <c r="M1368" s="105" t="str">
        <f t="shared" si="21"/>
        <v xml:space="preserve">   </v>
      </c>
    </row>
    <row r="1369" spans="1:13" s="53" customFormat="1" hidden="1" x14ac:dyDescent="0.2">
      <c r="A1369" s="380"/>
      <c r="B1369" s="379"/>
      <c r="C1369" s="106"/>
      <c r="D1369" s="107"/>
      <c r="E1369" s="108"/>
      <c r="F1369" s="109"/>
      <c r="G1369" s="103"/>
      <c r="H1369" s="103"/>
      <c r="I1369" s="102"/>
      <c r="J1369" s="102"/>
      <c r="K1369" s="78"/>
      <c r="L1369" s="110"/>
      <c r="M1369" s="105" t="str">
        <f t="shared" si="21"/>
        <v xml:space="preserve">   </v>
      </c>
    </row>
    <row r="1370" spans="1:13" s="53" customFormat="1" hidden="1" x14ac:dyDescent="0.2">
      <c r="A1370" s="380"/>
      <c r="B1370" s="379"/>
      <c r="C1370" s="106"/>
      <c r="D1370" s="107"/>
      <c r="E1370" s="108"/>
      <c r="F1370" s="109"/>
      <c r="G1370" s="103"/>
      <c r="H1370" s="103"/>
      <c r="I1370" s="102"/>
      <c r="J1370" s="102"/>
      <c r="K1370" s="78"/>
      <c r="L1370" s="110"/>
      <c r="M1370" s="105" t="str">
        <f t="shared" si="21"/>
        <v xml:space="preserve">   </v>
      </c>
    </row>
    <row r="1371" spans="1:13" s="53" customFormat="1" hidden="1" x14ac:dyDescent="0.2">
      <c r="A1371" s="380"/>
      <c r="B1371" s="379"/>
      <c r="C1371" s="106"/>
      <c r="D1371" s="107"/>
      <c r="E1371" s="108"/>
      <c r="F1371" s="109"/>
      <c r="G1371" s="103"/>
      <c r="H1371" s="103"/>
      <c r="I1371" s="102"/>
      <c r="J1371" s="102"/>
      <c r="K1371" s="78"/>
      <c r="L1371" s="110"/>
      <c r="M1371" s="105" t="str">
        <f t="shared" si="21"/>
        <v xml:space="preserve">   </v>
      </c>
    </row>
    <row r="1372" spans="1:13" s="53" customFormat="1" hidden="1" x14ac:dyDescent="0.2">
      <c r="A1372" s="380"/>
      <c r="B1372" s="379"/>
      <c r="C1372" s="106"/>
      <c r="D1372" s="107"/>
      <c r="E1372" s="108"/>
      <c r="F1372" s="109"/>
      <c r="G1372" s="103"/>
      <c r="H1372" s="103"/>
      <c r="I1372" s="102"/>
      <c r="J1372" s="102"/>
      <c r="K1372" s="78"/>
      <c r="L1372" s="110"/>
      <c r="M1372" s="105" t="str">
        <f t="shared" si="21"/>
        <v xml:space="preserve">   </v>
      </c>
    </row>
    <row r="1373" spans="1:13" s="53" customFormat="1" hidden="1" x14ac:dyDescent="0.2">
      <c r="A1373" s="380"/>
      <c r="B1373" s="379"/>
      <c r="C1373" s="106"/>
      <c r="D1373" s="107"/>
      <c r="E1373" s="108"/>
      <c r="F1373" s="109"/>
      <c r="G1373" s="103"/>
      <c r="H1373" s="103"/>
      <c r="I1373" s="102"/>
      <c r="J1373" s="102"/>
      <c r="K1373" s="78"/>
      <c r="L1373" s="110"/>
      <c r="M1373" s="105" t="str">
        <f t="shared" si="21"/>
        <v xml:space="preserve">   </v>
      </c>
    </row>
    <row r="1374" spans="1:13" s="53" customFormat="1" ht="12.75" hidden="1" customHeight="1" x14ac:dyDescent="0.2">
      <c r="A1374" s="380" t="s">
        <v>69</v>
      </c>
      <c r="B1374" s="379" t="s">
        <v>88</v>
      </c>
      <c r="C1374" s="102"/>
      <c r="D1374" s="102"/>
      <c r="E1374" s="102"/>
      <c r="F1374" s="102"/>
      <c r="G1374" s="103"/>
      <c r="H1374" s="103"/>
      <c r="I1374" s="102"/>
      <c r="J1374" s="102"/>
      <c r="K1374" s="78"/>
      <c r="L1374" s="104" t="str">
        <f>CONCATENATE(C1374," ",D1374," ",E1374," ",F1374," ",C1375," ",D1375," ",E1375," ",F1375)</f>
        <v xml:space="preserve">       </v>
      </c>
      <c r="M1374" s="105" t="str">
        <f t="shared" si="21"/>
        <v xml:space="preserve">   </v>
      </c>
    </row>
    <row r="1375" spans="1:13" s="53" customFormat="1" hidden="1" x14ac:dyDescent="0.2">
      <c r="A1375" s="380"/>
      <c r="B1375" s="379"/>
      <c r="C1375" s="106"/>
      <c r="D1375" s="107"/>
      <c r="E1375" s="108"/>
      <c r="F1375" s="109"/>
      <c r="G1375" s="103"/>
      <c r="H1375" s="103"/>
      <c r="I1375" s="102"/>
      <c r="J1375" s="102"/>
      <c r="K1375" s="78"/>
      <c r="L1375" s="110"/>
      <c r="M1375" s="105" t="str">
        <f t="shared" si="21"/>
        <v xml:space="preserve">   </v>
      </c>
    </row>
    <row r="1376" spans="1:13" s="53" customFormat="1" hidden="1" x14ac:dyDescent="0.2">
      <c r="A1376" s="380"/>
      <c r="B1376" s="379"/>
      <c r="C1376" s="106"/>
      <c r="D1376" s="107"/>
      <c r="E1376" s="108"/>
      <c r="F1376" s="109"/>
      <c r="G1376" s="103"/>
      <c r="H1376" s="103"/>
      <c r="I1376" s="102"/>
      <c r="J1376" s="102"/>
      <c r="K1376" s="78"/>
      <c r="L1376" s="110"/>
      <c r="M1376" s="105" t="str">
        <f t="shared" si="21"/>
        <v xml:space="preserve">   </v>
      </c>
    </row>
    <row r="1377" spans="1:13" s="53" customFormat="1" hidden="1" x14ac:dyDescent="0.2">
      <c r="A1377" s="380"/>
      <c r="B1377" s="379"/>
      <c r="C1377" s="106"/>
      <c r="D1377" s="107"/>
      <c r="E1377" s="108"/>
      <c r="F1377" s="109"/>
      <c r="G1377" s="103"/>
      <c r="H1377" s="103"/>
      <c r="I1377" s="102"/>
      <c r="J1377" s="102"/>
      <c r="K1377" s="78"/>
      <c r="L1377" s="110"/>
      <c r="M1377" s="105" t="str">
        <f t="shared" si="21"/>
        <v xml:space="preserve">   </v>
      </c>
    </row>
    <row r="1378" spans="1:13" s="53" customFormat="1" hidden="1" x14ac:dyDescent="0.2">
      <c r="A1378" s="380"/>
      <c r="B1378" s="379"/>
      <c r="C1378" s="106"/>
      <c r="D1378" s="107"/>
      <c r="E1378" s="108"/>
      <c r="F1378" s="109"/>
      <c r="G1378" s="103"/>
      <c r="H1378" s="103"/>
      <c r="I1378" s="102"/>
      <c r="J1378" s="102"/>
      <c r="K1378" s="78"/>
      <c r="L1378" s="110"/>
      <c r="M1378" s="105" t="str">
        <f t="shared" si="21"/>
        <v xml:space="preserve">   </v>
      </c>
    </row>
    <row r="1379" spans="1:13" s="53" customFormat="1" hidden="1" x14ac:dyDescent="0.2">
      <c r="A1379" s="380"/>
      <c r="B1379" s="379"/>
      <c r="C1379" s="106"/>
      <c r="D1379" s="107"/>
      <c r="E1379" s="108"/>
      <c r="F1379" s="109"/>
      <c r="G1379" s="103"/>
      <c r="H1379" s="103"/>
      <c r="I1379" s="102"/>
      <c r="J1379" s="102"/>
      <c r="K1379" s="78"/>
      <c r="L1379" s="110"/>
      <c r="M1379" s="105" t="str">
        <f t="shared" si="21"/>
        <v xml:space="preserve">   </v>
      </c>
    </row>
    <row r="1380" spans="1:13" s="53" customFormat="1" hidden="1" x14ac:dyDescent="0.2">
      <c r="A1380" s="380"/>
      <c r="B1380" s="379"/>
      <c r="C1380" s="106"/>
      <c r="D1380" s="107"/>
      <c r="E1380" s="108"/>
      <c r="F1380" s="109"/>
      <c r="G1380" s="103"/>
      <c r="H1380" s="103"/>
      <c r="I1380" s="102"/>
      <c r="J1380" s="102"/>
      <c r="K1380" s="78"/>
      <c r="L1380" s="110"/>
      <c r="M1380" s="105" t="str">
        <f t="shared" si="21"/>
        <v xml:space="preserve">   </v>
      </c>
    </row>
    <row r="1381" spans="1:13" s="53" customFormat="1" hidden="1" x14ac:dyDescent="0.2">
      <c r="A1381" s="380"/>
      <c r="B1381" s="379"/>
      <c r="C1381" s="106"/>
      <c r="D1381" s="107"/>
      <c r="E1381" s="108"/>
      <c r="F1381" s="109"/>
      <c r="G1381" s="103"/>
      <c r="H1381" s="103"/>
      <c r="I1381" s="102"/>
      <c r="J1381" s="102"/>
      <c r="K1381" s="78"/>
      <c r="L1381" s="110"/>
      <c r="M1381" s="105" t="str">
        <f t="shared" si="21"/>
        <v xml:space="preserve">   </v>
      </c>
    </row>
    <row r="1382" spans="1:13" s="53" customFormat="1" hidden="1" x14ac:dyDescent="0.2">
      <c r="A1382" s="380"/>
      <c r="B1382" s="379"/>
      <c r="C1382" s="106"/>
      <c r="D1382" s="107"/>
      <c r="E1382" s="108"/>
      <c r="F1382" s="109"/>
      <c r="G1382" s="103"/>
      <c r="H1382" s="103"/>
      <c r="I1382" s="102"/>
      <c r="J1382" s="102"/>
      <c r="K1382" s="78"/>
      <c r="L1382" s="110"/>
      <c r="M1382" s="105" t="str">
        <f t="shared" si="21"/>
        <v xml:space="preserve">   </v>
      </c>
    </row>
    <row r="1383" spans="1:13" s="53" customFormat="1" hidden="1" x14ac:dyDescent="0.2">
      <c r="A1383" s="380"/>
      <c r="B1383" s="379"/>
      <c r="C1383" s="106"/>
      <c r="D1383" s="107"/>
      <c r="E1383" s="108"/>
      <c r="F1383" s="109"/>
      <c r="G1383" s="103"/>
      <c r="H1383" s="103"/>
      <c r="I1383" s="102"/>
      <c r="J1383" s="102"/>
      <c r="K1383" s="78"/>
      <c r="L1383" s="110"/>
      <c r="M1383" s="105" t="str">
        <f t="shared" si="21"/>
        <v xml:space="preserve">   </v>
      </c>
    </row>
    <row r="1384" spans="1:13" s="53" customFormat="1" ht="12.75" hidden="1" customHeight="1" x14ac:dyDescent="0.2">
      <c r="A1384" s="380" t="s">
        <v>69</v>
      </c>
      <c r="B1384" s="379" t="s">
        <v>88</v>
      </c>
      <c r="C1384" s="102"/>
      <c r="D1384" s="102"/>
      <c r="E1384" s="102"/>
      <c r="F1384" s="102"/>
      <c r="G1384" s="103"/>
      <c r="H1384" s="103"/>
      <c r="I1384" s="102"/>
      <c r="J1384" s="102"/>
      <c r="K1384" s="78"/>
      <c r="L1384" s="104" t="str">
        <f>CONCATENATE(C1384," ",D1384," ",E1384," ",F1384," ",C1385," ",D1385," ",E1385," ",F1385)</f>
        <v xml:space="preserve">       </v>
      </c>
      <c r="M1384" s="105" t="str">
        <f t="shared" si="21"/>
        <v xml:space="preserve">   </v>
      </c>
    </row>
    <row r="1385" spans="1:13" s="53" customFormat="1" hidden="1" x14ac:dyDescent="0.2">
      <c r="A1385" s="380"/>
      <c r="B1385" s="379"/>
      <c r="C1385" s="106"/>
      <c r="D1385" s="107"/>
      <c r="E1385" s="108"/>
      <c r="F1385" s="109"/>
      <c r="G1385" s="103"/>
      <c r="H1385" s="103"/>
      <c r="I1385" s="102"/>
      <c r="J1385" s="102"/>
      <c r="K1385" s="78"/>
      <c r="L1385" s="110"/>
      <c r="M1385" s="105" t="str">
        <f t="shared" si="21"/>
        <v xml:space="preserve">   </v>
      </c>
    </row>
    <row r="1386" spans="1:13" s="53" customFormat="1" hidden="1" x14ac:dyDescent="0.2">
      <c r="A1386" s="380"/>
      <c r="B1386" s="379"/>
      <c r="C1386" s="106"/>
      <c r="D1386" s="107"/>
      <c r="E1386" s="108"/>
      <c r="F1386" s="109"/>
      <c r="G1386" s="103"/>
      <c r="H1386" s="103"/>
      <c r="I1386" s="102"/>
      <c r="J1386" s="102"/>
      <c r="K1386" s="78"/>
      <c r="L1386" s="110"/>
      <c r="M1386" s="105" t="str">
        <f t="shared" si="21"/>
        <v xml:space="preserve">   </v>
      </c>
    </row>
    <row r="1387" spans="1:13" s="53" customFormat="1" hidden="1" x14ac:dyDescent="0.2">
      <c r="A1387" s="380"/>
      <c r="B1387" s="379"/>
      <c r="C1387" s="106"/>
      <c r="D1387" s="107"/>
      <c r="E1387" s="108"/>
      <c r="F1387" s="109"/>
      <c r="G1387" s="103"/>
      <c r="H1387" s="103"/>
      <c r="I1387" s="102"/>
      <c r="J1387" s="102"/>
      <c r="K1387" s="78"/>
      <c r="L1387" s="110"/>
      <c r="M1387" s="105" t="str">
        <f t="shared" si="21"/>
        <v xml:space="preserve">   </v>
      </c>
    </row>
    <row r="1388" spans="1:13" s="53" customFormat="1" hidden="1" x14ac:dyDescent="0.2">
      <c r="A1388" s="380"/>
      <c r="B1388" s="379"/>
      <c r="C1388" s="106"/>
      <c r="D1388" s="107"/>
      <c r="E1388" s="108"/>
      <c r="F1388" s="109"/>
      <c r="G1388" s="103"/>
      <c r="H1388" s="103"/>
      <c r="I1388" s="102"/>
      <c r="J1388" s="102"/>
      <c r="K1388" s="78"/>
      <c r="L1388" s="110"/>
      <c r="M1388" s="105" t="str">
        <f t="shared" si="21"/>
        <v xml:space="preserve">   </v>
      </c>
    </row>
    <row r="1389" spans="1:13" s="53" customFormat="1" hidden="1" x14ac:dyDescent="0.2">
      <c r="A1389" s="380"/>
      <c r="B1389" s="379"/>
      <c r="C1389" s="106"/>
      <c r="D1389" s="107"/>
      <c r="E1389" s="108"/>
      <c r="F1389" s="109"/>
      <c r="G1389" s="103"/>
      <c r="H1389" s="103"/>
      <c r="I1389" s="102"/>
      <c r="J1389" s="102"/>
      <c r="K1389" s="78"/>
      <c r="L1389" s="110"/>
      <c r="M1389" s="105" t="str">
        <f t="shared" si="21"/>
        <v xml:space="preserve">   </v>
      </c>
    </row>
    <row r="1390" spans="1:13" s="53" customFormat="1" hidden="1" x14ac:dyDescent="0.2">
      <c r="A1390" s="380"/>
      <c r="B1390" s="379"/>
      <c r="C1390" s="106"/>
      <c r="D1390" s="107"/>
      <c r="E1390" s="108"/>
      <c r="F1390" s="109"/>
      <c r="G1390" s="103"/>
      <c r="H1390" s="103"/>
      <c r="I1390" s="102"/>
      <c r="J1390" s="102"/>
      <c r="K1390" s="78"/>
      <c r="L1390" s="110"/>
      <c r="M1390" s="105" t="str">
        <f t="shared" si="21"/>
        <v xml:space="preserve">   </v>
      </c>
    </row>
    <row r="1391" spans="1:13" s="53" customFormat="1" hidden="1" x14ac:dyDescent="0.2">
      <c r="A1391" s="380"/>
      <c r="B1391" s="379"/>
      <c r="C1391" s="106"/>
      <c r="D1391" s="107"/>
      <c r="E1391" s="108"/>
      <c r="F1391" s="109"/>
      <c r="G1391" s="103"/>
      <c r="H1391" s="103"/>
      <c r="I1391" s="102"/>
      <c r="J1391" s="102"/>
      <c r="K1391" s="78"/>
      <c r="L1391" s="110"/>
      <c r="M1391" s="105" t="str">
        <f t="shared" si="21"/>
        <v xml:space="preserve">   </v>
      </c>
    </row>
    <row r="1392" spans="1:13" s="53" customFormat="1" hidden="1" x14ac:dyDescent="0.2">
      <c r="A1392" s="380"/>
      <c r="B1392" s="379"/>
      <c r="C1392" s="106"/>
      <c r="D1392" s="107"/>
      <c r="E1392" s="108"/>
      <c r="F1392" s="109"/>
      <c r="G1392" s="103"/>
      <c r="H1392" s="103"/>
      <c r="I1392" s="102"/>
      <c r="J1392" s="102"/>
      <c r="K1392" s="78"/>
      <c r="L1392" s="110"/>
      <c r="M1392" s="105" t="str">
        <f t="shared" si="21"/>
        <v xml:space="preserve">   </v>
      </c>
    </row>
    <row r="1393" spans="1:13" s="53" customFormat="1" hidden="1" x14ac:dyDescent="0.2">
      <c r="A1393" s="380"/>
      <c r="B1393" s="379"/>
      <c r="C1393" s="106"/>
      <c r="D1393" s="107"/>
      <c r="E1393" s="108"/>
      <c r="F1393" s="109"/>
      <c r="G1393" s="103"/>
      <c r="H1393" s="103"/>
      <c r="I1393" s="102"/>
      <c r="J1393" s="102"/>
      <c r="K1393" s="78"/>
      <c r="L1393" s="110"/>
      <c r="M1393" s="105" t="str">
        <f t="shared" si="21"/>
        <v xml:space="preserve">   </v>
      </c>
    </row>
    <row r="1394" spans="1:13" s="53" customFormat="1" ht="12.75" hidden="1" customHeight="1" x14ac:dyDescent="0.2">
      <c r="A1394" s="380" t="s">
        <v>69</v>
      </c>
      <c r="B1394" s="379" t="s">
        <v>88</v>
      </c>
      <c r="C1394" s="102"/>
      <c r="D1394" s="102"/>
      <c r="E1394" s="102"/>
      <c r="F1394" s="102"/>
      <c r="G1394" s="103"/>
      <c r="H1394" s="103"/>
      <c r="I1394" s="102"/>
      <c r="J1394" s="102"/>
      <c r="K1394" s="78"/>
      <c r="L1394" s="104" t="str">
        <f>CONCATENATE(C1394," ",D1394," ",E1394," ",F1394," ",C1395," ",D1395," ",E1395," ",F1395)</f>
        <v xml:space="preserve">       </v>
      </c>
      <c r="M1394" s="105" t="str">
        <f t="shared" si="21"/>
        <v xml:space="preserve">   </v>
      </c>
    </row>
    <row r="1395" spans="1:13" s="53" customFormat="1" hidden="1" x14ac:dyDescent="0.2">
      <c r="A1395" s="380"/>
      <c r="B1395" s="379"/>
      <c r="C1395" s="106"/>
      <c r="D1395" s="107"/>
      <c r="E1395" s="108"/>
      <c r="F1395" s="109"/>
      <c r="G1395" s="103"/>
      <c r="H1395" s="103"/>
      <c r="I1395" s="102"/>
      <c r="J1395" s="102"/>
      <c r="K1395" s="78"/>
      <c r="L1395" s="110"/>
      <c r="M1395" s="105" t="str">
        <f t="shared" si="21"/>
        <v xml:space="preserve">   </v>
      </c>
    </row>
    <row r="1396" spans="1:13" s="53" customFormat="1" hidden="1" x14ac:dyDescent="0.2">
      <c r="A1396" s="380"/>
      <c r="B1396" s="379"/>
      <c r="C1396" s="106"/>
      <c r="D1396" s="107"/>
      <c r="E1396" s="108"/>
      <c r="F1396" s="109"/>
      <c r="G1396" s="103"/>
      <c r="H1396" s="103"/>
      <c r="I1396" s="102"/>
      <c r="J1396" s="102"/>
      <c r="K1396" s="78"/>
      <c r="L1396" s="110"/>
      <c r="M1396" s="105" t="str">
        <f t="shared" si="21"/>
        <v xml:space="preserve">   </v>
      </c>
    </row>
    <row r="1397" spans="1:13" s="53" customFormat="1" hidden="1" x14ac:dyDescent="0.2">
      <c r="A1397" s="380"/>
      <c r="B1397" s="379"/>
      <c r="C1397" s="106"/>
      <c r="D1397" s="107"/>
      <c r="E1397" s="108"/>
      <c r="F1397" s="109"/>
      <c r="G1397" s="103"/>
      <c r="H1397" s="103"/>
      <c r="I1397" s="102"/>
      <c r="J1397" s="102"/>
      <c r="K1397" s="78"/>
      <c r="L1397" s="110"/>
      <c r="M1397" s="105" t="str">
        <f t="shared" si="21"/>
        <v xml:space="preserve">   </v>
      </c>
    </row>
    <row r="1398" spans="1:13" s="53" customFormat="1" hidden="1" x14ac:dyDescent="0.2">
      <c r="A1398" s="380"/>
      <c r="B1398" s="379"/>
      <c r="C1398" s="106"/>
      <c r="D1398" s="107"/>
      <c r="E1398" s="108"/>
      <c r="F1398" s="109"/>
      <c r="G1398" s="103"/>
      <c r="H1398" s="103"/>
      <c r="I1398" s="102"/>
      <c r="J1398" s="102"/>
      <c r="K1398" s="78"/>
      <c r="L1398" s="110"/>
      <c r="M1398" s="105" t="str">
        <f t="shared" si="21"/>
        <v xml:space="preserve">   </v>
      </c>
    </row>
    <row r="1399" spans="1:13" s="53" customFormat="1" hidden="1" x14ac:dyDescent="0.2">
      <c r="A1399" s="380"/>
      <c r="B1399" s="379"/>
      <c r="C1399" s="106"/>
      <c r="D1399" s="107"/>
      <c r="E1399" s="108"/>
      <c r="F1399" s="109"/>
      <c r="G1399" s="103"/>
      <c r="H1399" s="103"/>
      <c r="I1399" s="102"/>
      <c r="J1399" s="102"/>
      <c r="K1399" s="78"/>
      <c r="L1399" s="110"/>
      <c r="M1399" s="105" t="str">
        <f t="shared" si="21"/>
        <v xml:space="preserve">   </v>
      </c>
    </row>
    <row r="1400" spans="1:13" s="53" customFormat="1" hidden="1" x14ac:dyDescent="0.2">
      <c r="A1400" s="380"/>
      <c r="B1400" s="379"/>
      <c r="C1400" s="106"/>
      <c r="D1400" s="107"/>
      <c r="E1400" s="108"/>
      <c r="F1400" s="109"/>
      <c r="G1400" s="103"/>
      <c r="H1400" s="103"/>
      <c r="I1400" s="102"/>
      <c r="J1400" s="102"/>
      <c r="K1400" s="78"/>
      <c r="L1400" s="110"/>
      <c r="M1400" s="105" t="str">
        <f t="shared" si="21"/>
        <v xml:space="preserve">   </v>
      </c>
    </row>
    <row r="1401" spans="1:13" s="53" customFormat="1" hidden="1" x14ac:dyDescent="0.2">
      <c r="A1401" s="380"/>
      <c r="B1401" s="379"/>
      <c r="C1401" s="106"/>
      <c r="D1401" s="107"/>
      <c r="E1401" s="108"/>
      <c r="F1401" s="109"/>
      <c r="G1401" s="103"/>
      <c r="H1401" s="103"/>
      <c r="I1401" s="102"/>
      <c r="J1401" s="102"/>
      <c r="K1401" s="78"/>
      <c r="L1401" s="110"/>
      <c r="M1401" s="105" t="str">
        <f t="shared" si="21"/>
        <v xml:space="preserve">   </v>
      </c>
    </row>
    <row r="1402" spans="1:13" s="53" customFormat="1" hidden="1" x14ac:dyDescent="0.2">
      <c r="A1402" s="380"/>
      <c r="B1402" s="379"/>
      <c r="C1402" s="106"/>
      <c r="D1402" s="107"/>
      <c r="E1402" s="108"/>
      <c r="F1402" s="109"/>
      <c r="G1402" s="103"/>
      <c r="H1402" s="103"/>
      <c r="I1402" s="102"/>
      <c r="J1402" s="102"/>
      <c r="K1402" s="78"/>
      <c r="L1402" s="110"/>
      <c r="M1402" s="105" t="str">
        <f t="shared" si="21"/>
        <v xml:space="preserve">   </v>
      </c>
    </row>
    <row r="1403" spans="1:13" s="53" customFormat="1" hidden="1" x14ac:dyDescent="0.2">
      <c r="A1403" s="380"/>
      <c r="B1403" s="379"/>
      <c r="C1403" s="106"/>
      <c r="D1403" s="107"/>
      <c r="E1403" s="108"/>
      <c r="F1403" s="109"/>
      <c r="G1403" s="103"/>
      <c r="H1403" s="103"/>
      <c r="I1403" s="102"/>
      <c r="J1403" s="102"/>
      <c r="K1403" s="78"/>
      <c r="L1403" s="110"/>
      <c r="M1403" s="105" t="str">
        <f t="shared" si="21"/>
        <v xml:space="preserve">   </v>
      </c>
    </row>
    <row r="1404" spans="1:13" s="53" customFormat="1" ht="12.75" hidden="1" customHeight="1" x14ac:dyDescent="0.2">
      <c r="A1404" s="380" t="s">
        <v>69</v>
      </c>
      <c r="B1404" s="379" t="s">
        <v>88</v>
      </c>
      <c r="C1404" s="102"/>
      <c r="D1404" s="102"/>
      <c r="E1404" s="102"/>
      <c r="F1404" s="102"/>
      <c r="G1404" s="103"/>
      <c r="H1404" s="103"/>
      <c r="I1404" s="102"/>
      <c r="J1404" s="102"/>
      <c r="K1404" s="78"/>
      <c r="L1404" s="104" t="str">
        <f>CONCATENATE(C1404," ",D1404," ",E1404," ",F1404," ",C1405," ",D1405," ",E1405," ",F1405)</f>
        <v xml:space="preserve">       </v>
      </c>
      <c r="M1404" s="105" t="str">
        <f t="shared" si="21"/>
        <v xml:space="preserve">   </v>
      </c>
    </row>
    <row r="1405" spans="1:13" s="53" customFormat="1" hidden="1" x14ac:dyDescent="0.2">
      <c r="A1405" s="380"/>
      <c r="B1405" s="379"/>
      <c r="C1405" s="106"/>
      <c r="D1405" s="107"/>
      <c r="E1405" s="108"/>
      <c r="F1405" s="109"/>
      <c r="G1405" s="103"/>
      <c r="H1405" s="103"/>
      <c r="I1405" s="102"/>
      <c r="J1405" s="102"/>
      <c r="K1405" s="78"/>
      <c r="L1405" s="110"/>
      <c r="M1405" s="105" t="str">
        <f t="shared" si="21"/>
        <v xml:space="preserve">   </v>
      </c>
    </row>
    <row r="1406" spans="1:13" s="53" customFormat="1" hidden="1" x14ac:dyDescent="0.2">
      <c r="A1406" s="380"/>
      <c r="B1406" s="379"/>
      <c r="C1406" s="106"/>
      <c r="D1406" s="107"/>
      <c r="E1406" s="108"/>
      <c r="F1406" s="109"/>
      <c r="G1406" s="103"/>
      <c r="H1406" s="103"/>
      <c r="I1406" s="102"/>
      <c r="J1406" s="102"/>
      <c r="K1406" s="78"/>
      <c r="L1406" s="110"/>
      <c r="M1406" s="105" t="str">
        <f t="shared" si="21"/>
        <v xml:space="preserve">   </v>
      </c>
    </row>
    <row r="1407" spans="1:13" s="53" customFormat="1" hidden="1" x14ac:dyDescent="0.2">
      <c r="A1407" s="380"/>
      <c r="B1407" s="379"/>
      <c r="C1407" s="106"/>
      <c r="D1407" s="107"/>
      <c r="E1407" s="108"/>
      <c r="F1407" s="109"/>
      <c r="G1407" s="103"/>
      <c r="H1407" s="103"/>
      <c r="I1407" s="102"/>
      <c r="J1407" s="102"/>
      <c r="K1407" s="78"/>
      <c r="L1407" s="110"/>
      <c r="M1407" s="105" t="str">
        <f t="shared" si="21"/>
        <v xml:space="preserve">   </v>
      </c>
    </row>
    <row r="1408" spans="1:13" s="53" customFormat="1" hidden="1" x14ac:dyDescent="0.2">
      <c r="A1408" s="380"/>
      <c r="B1408" s="379"/>
      <c r="C1408" s="106"/>
      <c r="D1408" s="107"/>
      <c r="E1408" s="108"/>
      <c r="F1408" s="109"/>
      <c r="G1408" s="103"/>
      <c r="H1408" s="103"/>
      <c r="I1408" s="102"/>
      <c r="J1408" s="102"/>
      <c r="K1408" s="78"/>
      <c r="L1408" s="110"/>
      <c r="M1408" s="105" t="str">
        <f t="shared" si="21"/>
        <v xml:space="preserve">   </v>
      </c>
    </row>
    <row r="1409" spans="1:13" s="53" customFormat="1" hidden="1" x14ac:dyDescent="0.2">
      <c r="A1409" s="380"/>
      <c r="B1409" s="379"/>
      <c r="C1409" s="106"/>
      <c r="D1409" s="107"/>
      <c r="E1409" s="108"/>
      <c r="F1409" s="109"/>
      <c r="G1409" s="103"/>
      <c r="H1409" s="103"/>
      <c r="I1409" s="102"/>
      <c r="J1409" s="102"/>
      <c r="K1409" s="78"/>
      <c r="L1409" s="110"/>
      <c r="M1409" s="105" t="str">
        <f t="shared" si="21"/>
        <v xml:space="preserve">   </v>
      </c>
    </row>
    <row r="1410" spans="1:13" s="53" customFormat="1" hidden="1" x14ac:dyDescent="0.2">
      <c r="A1410" s="380"/>
      <c r="B1410" s="379"/>
      <c r="C1410" s="106"/>
      <c r="D1410" s="107"/>
      <c r="E1410" s="108"/>
      <c r="F1410" s="109"/>
      <c r="G1410" s="103"/>
      <c r="H1410" s="103"/>
      <c r="I1410" s="102"/>
      <c r="J1410" s="102"/>
      <c r="K1410" s="78"/>
      <c r="L1410" s="110"/>
      <c r="M1410" s="105" t="str">
        <f t="shared" si="21"/>
        <v xml:space="preserve">   </v>
      </c>
    </row>
    <row r="1411" spans="1:13" s="53" customFormat="1" hidden="1" x14ac:dyDescent="0.2">
      <c r="A1411" s="380"/>
      <c r="B1411" s="379"/>
      <c r="C1411" s="106"/>
      <c r="D1411" s="107"/>
      <c r="E1411" s="108"/>
      <c r="F1411" s="109"/>
      <c r="G1411" s="103"/>
      <c r="H1411" s="103"/>
      <c r="I1411" s="102"/>
      <c r="J1411" s="102"/>
      <c r="K1411" s="78"/>
      <c r="L1411" s="110"/>
      <c r="M1411" s="105" t="str">
        <f t="shared" si="21"/>
        <v xml:space="preserve">   </v>
      </c>
    </row>
    <row r="1412" spans="1:13" s="53" customFormat="1" hidden="1" x14ac:dyDescent="0.2">
      <c r="A1412" s="380"/>
      <c r="B1412" s="379"/>
      <c r="C1412" s="106"/>
      <c r="D1412" s="107"/>
      <c r="E1412" s="108"/>
      <c r="F1412" s="109"/>
      <c r="G1412" s="103"/>
      <c r="H1412" s="103"/>
      <c r="I1412" s="102"/>
      <c r="J1412" s="102"/>
      <c r="K1412" s="78"/>
      <c r="L1412" s="110"/>
      <c r="M1412" s="105" t="str">
        <f t="shared" si="21"/>
        <v xml:space="preserve">   </v>
      </c>
    </row>
    <row r="1413" spans="1:13" s="53" customFormat="1" hidden="1" x14ac:dyDescent="0.2">
      <c r="A1413" s="380"/>
      <c r="B1413" s="379"/>
      <c r="C1413" s="106"/>
      <c r="D1413" s="107"/>
      <c r="E1413" s="108"/>
      <c r="F1413" s="109"/>
      <c r="G1413" s="103"/>
      <c r="H1413" s="103"/>
      <c r="I1413" s="102"/>
      <c r="J1413" s="102"/>
      <c r="K1413" s="78"/>
      <c r="L1413" s="110"/>
      <c r="M1413" s="105" t="str">
        <f t="shared" si="21"/>
        <v xml:space="preserve">   </v>
      </c>
    </row>
    <row r="1414" spans="1:13" s="46" customFormat="1" ht="15" hidden="1" customHeight="1" x14ac:dyDescent="0.2">
      <c r="A1414" s="380" t="s">
        <v>69</v>
      </c>
      <c r="B1414" s="378" t="s">
        <v>89</v>
      </c>
      <c r="C1414" s="102"/>
      <c r="D1414" s="102"/>
      <c r="E1414" s="102"/>
      <c r="F1414" s="102"/>
      <c r="G1414" s="103"/>
      <c r="H1414" s="103"/>
      <c r="I1414" s="102"/>
      <c r="J1414" s="102"/>
      <c r="K1414" s="78"/>
      <c r="L1414" s="111" t="str">
        <f>CONCATENATE(C1414," ",D1414," ",E1414," ",F1414," ",C1415," ",D1415," ",E1415," ",F1415)</f>
        <v xml:space="preserve">       </v>
      </c>
      <c r="M1414" s="105" t="str">
        <f t="shared" si="21"/>
        <v xml:space="preserve">   </v>
      </c>
    </row>
    <row r="1415" spans="1:13" s="46" customFormat="1" hidden="1" x14ac:dyDescent="0.2">
      <c r="A1415" s="380"/>
      <c r="B1415" s="378"/>
      <c r="C1415" s="112"/>
      <c r="D1415" s="107"/>
      <c r="E1415" s="108"/>
      <c r="F1415" s="109"/>
      <c r="G1415" s="103"/>
      <c r="H1415" s="103"/>
      <c r="I1415" s="102"/>
      <c r="J1415" s="102"/>
      <c r="K1415" s="78"/>
      <c r="L1415" s="110"/>
      <c r="M1415" s="105" t="str">
        <f t="shared" si="21"/>
        <v xml:space="preserve">   </v>
      </c>
    </row>
    <row r="1416" spans="1:13" s="46" customFormat="1" hidden="1" x14ac:dyDescent="0.2">
      <c r="A1416" s="380"/>
      <c r="B1416" s="378"/>
      <c r="C1416" s="106"/>
      <c r="D1416" s="107"/>
      <c r="E1416" s="108"/>
      <c r="F1416" s="109"/>
      <c r="G1416" s="103"/>
      <c r="H1416" s="103"/>
      <c r="I1416" s="102"/>
      <c r="J1416" s="102"/>
      <c r="K1416" s="78"/>
      <c r="L1416" s="110"/>
      <c r="M1416" s="105" t="str">
        <f t="shared" si="21"/>
        <v xml:space="preserve">   </v>
      </c>
    </row>
    <row r="1417" spans="1:13" s="46" customFormat="1" hidden="1" x14ac:dyDescent="0.2">
      <c r="A1417" s="380"/>
      <c r="B1417" s="378"/>
      <c r="C1417" s="106"/>
      <c r="D1417" s="107"/>
      <c r="E1417" s="108"/>
      <c r="F1417" s="109"/>
      <c r="G1417" s="103"/>
      <c r="H1417" s="103"/>
      <c r="I1417" s="102"/>
      <c r="J1417" s="102"/>
      <c r="K1417" s="78"/>
      <c r="L1417" s="110"/>
      <c r="M1417" s="105" t="str">
        <f t="shared" si="21"/>
        <v xml:space="preserve">   </v>
      </c>
    </row>
    <row r="1418" spans="1:13" s="53" customFormat="1" hidden="1" x14ac:dyDescent="0.2">
      <c r="A1418" s="380"/>
      <c r="B1418" s="378"/>
      <c r="C1418" s="106"/>
      <c r="D1418" s="107"/>
      <c r="E1418" s="108"/>
      <c r="F1418" s="109"/>
      <c r="G1418" s="103"/>
      <c r="H1418" s="103"/>
      <c r="I1418" s="102"/>
      <c r="J1418" s="102"/>
      <c r="K1418" s="78"/>
      <c r="L1418" s="110"/>
      <c r="M1418" s="105" t="str">
        <f t="shared" si="21"/>
        <v xml:space="preserve">   </v>
      </c>
    </row>
    <row r="1419" spans="1:13" s="53" customFormat="1" hidden="1" x14ac:dyDescent="0.2">
      <c r="A1419" s="380"/>
      <c r="B1419" s="378"/>
      <c r="C1419" s="106"/>
      <c r="D1419" s="107"/>
      <c r="E1419" s="108"/>
      <c r="F1419" s="109"/>
      <c r="G1419" s="103"/>
      <c r="H1419" s="103"/>
      <c r="I1419" s="102"/>
      <c r="J1419" s="102"/>
      <c r="K1419" s="78"/>
      <c r="L1419" s="110"/>
      <c r="M1419" s="105" t="str">
        <f t="shared" ref="M1419:M1482" si="22">CONCATENATE(G1419," ",H1419," ",I1419," ",J1419)</f>
        <v xml:space="preserve">   </v>
      </c>
    </row>
    <row r="1420" spans="1:13" s="53" customFormat="1" hidden="1" x14ac:dyDescent="0.2">
      <c r="A1420" s="380"/>
      <c r="B1420" s="378"/>
      <c r="C1420" s="106"/>
      <c r="D1420" s="107"/>
      <c r="E1420" s="108"/>
      <c r="F1420" s="109"/>
      <c r="G1420" s="103"/>
      <c r="H1420" s="103"/>
      <c r="I1420" s="102"/>
      <c r="J1420" s="102"/>
      <c r="K1420" s="78"/>
      <c r="L1420" s="110"/>
      <c r="M1420" s="105" t="str">
        <f t="shared" si="22"/>
        <v xml:space="preserve">   </v>
      </c>
    </row>
    <row r="1421" spans="1:13" s="53" customFormat="1" hidden="1" x14ac:dyDescent="0.2">
      <c r="A1421" s="380"/>
      <c r="B1421" s="378"/>
      <c r="C1421" s="106"/>
      <c r="D1421" s="107"/>
      <c r="E1421" s="108"/>
      <c r="F1421" s="109"/>
      <c r="G1421" s="103"/>
      <c r="H1421" s="103"/>
      <c r="I1421" s="102"/>
      <c r="J1421" s="102"/>
      <c r="K1421" s="78"/>
      <c r="L1421" s="110"/>
      <c r="M1421" s="105" t="str">
        <f t="shared" si="22"/>
        <v xml:space="preserve">   </v>
      </c>
    </row>
    <row r="1422" spans="1:13" s="46" customFormat="1" hidden="1" x14ac:dyDescent="0.2">
      <c r="A1422" s="380"/>
      <c r="B1422" s="378"/>
      <c r="C1422" s="106"/>
      <c r="D1422" s="107"/>
      <c r="E1422" s="108"/>
      <c r="F1422" s="109"/>
      <c r="G1422" s="103"/>
      <c r="H1422" s="103"/>
      <c r="I1422" s="102"/>
      <c r="J1422" s="102"/>
      <c r="K1422" s="78"/>
      <c r="L1422" s="110"/>
      <c r="M1422" s="105" t="str">
        <f t="shared" si="22"/>
        <v xml:space="preserve">   </v>
      </c>
    </row>
    <row r="1423" spans="1:13" s="46" customFormat="1" hidden="1" x14ac:dyDescent="0.2">
      <c r="A1423" s="380"/>
      <c r="B1423" s="378"/>
      <c r="C1423" s="113"/>
      <c r="D1423" s="114"/>
      <c r="E1423" s="115"/>
      <c r="F1423" s="116"/>
      <c r="G1423" s="103"/>
      <c r="H1423" s="103"/>
      <c r="I1423" s="102"/>
      <c r="J1423" s="102"/>
      <c r="K1423" s="78"/>
      <c r="L1423" s="110"/>
      <c r="M1423" s="105" t="str">
        <f t="shared" si="22"/>
        <v xml:space="preserve">   </v>
      </c>
    </row>
    <row r="1424" spans="1:13" s="46" customFormat="1" ht="15" hidden="1" customHeight="1" x14ac:dyDescent="0.2">
      <c r="A1424" s="380" t="s">
        <v>69</v>
      </c>
      <c r="B1424" s="378" t="s">
        <v>89</v>
      </c>
      <c r="C1424" s="102"/>
      <c r="D1424" s="102"/>
      <c r="E1424" s="102"/>
      <c r="F1424" s="102"/>
      <c r="G1424" s="103"/>
      <c r="H1424" s="103"/>
      <c r="I1424" s="102"/>
      <c r="J1424" s="102"/>
      <c r="K1424" s="78"/>
      <c r="L1424" s="111" t="str">
        <f>CONCATENATE(C1424," ",D1424," ",E1424," ",F1424," ",C1425," ",D1425," ",E1425," ",F1425)</f>
        <v xml:space="preserve">       </v>
      </c>
      <c r="M1424" s="105" t="str">
        <f t="shared" si="22"/>
        <v xml:space="preserve">   </v>
      </c>
    </row>
    <row r="1425" spans="1:13" s="46" customFormat="1" hidden="1" x14ac:dyDescent="0.2">
      <c r="A1425" s="380"/>
      <c r="B1425" s="378"/>
      <c r="C1425" s="112"/>
      <c r="D1425" s="107"/>
      <c r="E1425" s="108"/>
      <c r="F1425" s="109"/>
      <c r="G1425" s="103"/>
      <c r="H1425" s="103"/>
      <c r="I1425" s="102"/>
      <c r="J1425" s="102"/>
      <c r="K1425" s="78"/>
      <c r="L1425" s="110"/>
      <c r="M1425" s="105" t="str">
        <f t="shared" si="22"/>
        <v xml:space="preserve">   </v>
      </c>
    </row>
    <row r="1426" spans="1:13" s="46" customFormat="1" hidden="1" x14ac:dyDescent="0.2">
      <c r="A1426" s="380"/>
      <c r="B1426" s="378"/>
      <c r="C1426" s="106"/>
      <c r="D1426" s="107"/>
      <c r="E1426" s="108"/>
      <c r="F1426" s="109"/>
      <c r="G1426" s="103"/>
      <c r="H1426" s="103"/>
      <c r="I1426" s="102"/>
      <c r="J1426" s="102"/>
      <c r="K1426" s="78"/>
      <c r="L1426" s="110"/>
      <c r="M1426" s="105" t="str">
        <f t="shared" si="22"/>
        <v xml:space="preserve">   </v>
      </c>
    </row>
    <row r="1427" spans="1:13" s="46" customFormat="1" hidden="1" x14ac:dyDescent="0.2">
      <c r="A1427" s="380"/>
      <c r="B1427" s="378"/>
      <c r="C1427" s="106"/>
      <c r="D1427" s="107"/>
      <c r="E1427" s="108"/>
      <c r="F1427" s="109"/>
      <c r="G1427" s="103"/>
      <c r="H1427" s="103"/>
      <c r="I1427" s="102"/>
      <c r="J1427" s="102"/>
      <c r="K1427" s="78"/>
      <c r="L1427" s="110"/>
      <c r="M1427" s="105" t="str">
        <f t="shared" si="22"/>
        <v xml:space="preserve">   </v>
      </c>
    </row>
    <row r="1428" spans="1:13" s="53" customFormat="1" hidden="1" x14ac:dyDescent="0.2">
      <c r="A1428" s="380"/>
      <c r="B1428" s="378"/>
      <c r="C1428" s="106"/>
      <c r="D1428" s="107"/>
      <c r="E1428" s="108"/>
      <c r="F1428" s="109"/>
      <c r="G1428" s="103"/>
      <c r="H1428" s="103"/>
      <c r="I1428" s="102"/>
      <c r="J1428" s="102"/>
      <c r="K1428" s="78"/>
      <c r="L1428" s="110"/>
      <c r="M1428" s="105" t="str">
        <f t="shared" si="22"/>
        <v xml:space="preserve">   </v>
      </c>
    </row>
    <row r="1429" spans="1:13" s="53" customFormat="1" hidden="1" x14ac:dyDescent="0.2">
      <c r="A1429" s="380"/>
      <c r="B1429" s="378"/>
      <c r="C1429" s="106"/>
      <c r="D1429" s="107"/>
      <c r="E1429" s="108"/>
      <c r="F1429" s="109"/>
      <c r="G1429" s="103"/>
      <c r="H1429" s="103"/>
      <c r="I1429" s="102"/>
      <c r="J1429" s="102"/>
      <c r="K1429" s="78"/>
      <c r="L1429" s="110"/>
      <c r="M1429" s="105" t="str">
        <f t="shared" si="22"/>
        <v xml:space="preserve">   </v>
      </c>
    </row>
    <row r="1430" spans="1:13" s="53" customFormat="1" hidden="1" x14ac:dyDescent="0.2">
      <c r="A1430" s="380"/>
      <c r="B1430" s="378"/>
      <c r="C1430" s="106"/>
      <c r="D1430" s="107"/>
      <c r="E1430" s="108"/>
      <c r="F1430" s="109"/>
      <c r="G1430" s="103"/>
      <c r="H1430" s="103"/>
      <c r="I1430" s="102"/>
      <c r="J1430" s="102"/>
      <c r="K1430" s="78"/>
      <c r="L1430" s="110"/>
      <c r="M1430" s="105" t="str">
        <f t="shared" si="22"/>
        <v xml:space="preserve">   </v>
      </c>
    </row>
    <row r="1431" spans="1:13" s="53" customFormat="1" hidden="1" x14ac:dyDescent="0.2">
      <c r="A1431" s="380"/>
      <c r="B1431" s="378"/>
      <c r="C1431" s="106"/>
      <c r="D1431" s="107"/>
      <c r="E1431" s="108"/>
      <c r="F1431" s="109"/>
      <c r="G1431" s="103"/>
      <c r="H1431" s="103"/>
      <c r="I1431" s="102"/>
      <c r="J1431" s="102"/>
      <c r="K1431" s="78"/>
      <c r="L1431" s="110"/>
      <c r="M1431" s="105" t="str">
        <f t="shared" si="22"/>
        <v xml:space="preserve">   </v>
      </c>
    </row>
    <row r="1432" spans="1:13" s="46" customFormat="1" hidden="1" x14ac:dyDescent="0.2">
      <c r="A1432" s="380"/>
      <c r="B1432" s="378"/>
      <c r="C1432" s="106"/>
      <c r="D1432" s="107"/>
      <c r="E1432" s="108"/>
      <c r="F1432" s="109"/>
      <c r="G1432" s="103"/>
      <c r="H1432" s="103"/>
      <c r="I1432" s="102"/>
      <c r="J1432" s="102"/>
      <c r="K1432" s="78"/>
      <c r="L1432" s="110"/>
      <c r="M1432" s="105" t="str">
        <f t="shared" si="22"/>
        <v xml:space="preserve">   </v>
      </c>
    </row>
    <row r="1433" spans="1:13" s="46" customFormat="1" hidden="1" x14ac:dyDescent="0.2">
      <c r="A1433" s="380"/>
      <c r="B1433" s="378"/>
      <c r="C1433" s="113"/>
      <c r="D1433" s="114"/>
      <c r="E1433" s="115"/>
      <c r="F1433" s="116"/>
      <c r="G1433" s="103"/>
      <c r="H1433" s="103"/>
      <c r="I1433" s="102"/>
      <c r="J1433" s="102"/>
      <c r="K1433" s="78"/>
      <c r="L1433" s="117"/>
      <c r="M1433" s="105" t="str">
        <f t="shared" si="22"/>
        <v xml:space="preserve">   </v>
      </c>
    </row>
    <row r="1434" spans="1:13" s="46" customFormat="1" ht="15" hidden="1" customHeight="1" x14ac:dyDescent="0.2">
      <c r="A1434" s="380" t="s">
        <v>69</v>
      </c>
      <c r="B1434" s="378" t="s">
        <v>89</v>
      </c>
      <c r="C1434" s="102"/>
      <c r="D1434" s="102"/>
      <c r="E1434" s="102"/>
      <c r="F1434" s="102"/>
      <c r="G1434" s="103"/>
      <c r="H1434" s="103"/>
      <c r="I1434" s="102"/>
      <c r="J1434" s="102"/>
      <c r="K1434" s="78"/>
      <c r="L1434" s="111" t="str">
        <f>CONCATENATE(C1434," ",D1434," ",E1434," ",F1434," ",C1435," ",D1435," ",E1435," ",F1435)</f>
        <v xml:space="preserve">       </v>
      </c>
      <c r="M1434" s="105" t="str">
        <f t="shared" si="22"/>
        <v xml:space="preserve">   </v>
      </c>
    </row>
    <row r="1435" spans="1:13" s="46" customFormat="1" hidden="1" x14ac:dyDescent="0.2">
      <c r="A1435" s="380"/>
      <c r="B1435" s="378"/>
      <c r="C1435" s="112"/>
      <c r="D1435" s="107"/>
      <c r="E1435" s="108"/>
      <c r="F1435" s="109"/>
      <c r="G1435" s="103"/>
      <c r="H1435" s="103"/>
      <c r="I1435" s="102"/>
      <c r="J1435" s="102"/>
      <c r="K1435" s="78"/>
      <c r="L1435" s="110"/>
      <c r="M1435" s="105" t="str">
        <f t="shared" si="22"/>
        <v xml:space="preserve">   </v>
      </c>
    </row>
    <row r="1436" spans="1:13" s="46" customFormat="1" hidden="1" x14ac:dyDescent="0.2">
      <c r="A1436" s="380"/>
      <c r="B1436" s="378"/>
      <c r="C1436" s="106"/>
      <c r="D1436" s="107"/>
      <c r="E1436" s="108"/>
      <c r="F1436" s="109"/>
      <c r="G1436" s="103"/>
      <c r="H1436" s="103"/>
      <c r="I1436" s="102"/>
      <c r="J1436" s="102"/>
      <c r="K1436" s="78"/>
      <c r="L1436" s="110"/>
      <c r="M1436" s="105" t="str">
        <f t="shared" si="22"/>
        <v xml:space="preserve">   </v>
      </c>
    </row>
    <row r="1437" spans="1:13" s="46" customFormat="1" hidden="1" x14ac:dyDescent="0.2">
      <c r="A1437" s="380"/>
      <c r="B1437" s="378"/>
      <c r="C1437" s="106"/>
      <c r="D1437" s="107"/>
      <c r="E1437" s="108"/>
      <c r="F1437" s="109"/>
      <c r="G1437" s="103"/>
      <c r="H1437" s="103"/>
      <c r="I1437" s="102"/>
      <c r="J1437" s="102"/>
      <c r="K1437" s="78"/>
      <c r="L1437" s="110"/>
      <c r="M1437" s="105" t="str">
        <f t="shared" si="22"/>
        <v xml:space="preserve">   </v>
      </c>
    </row>
    <row r="1438" spans="1:13" s="53" customFormat="1" hidden="1" x14ac:dyDescent="0.2">
      <c r="A1438" s="380"/>
      <c r="B1438" s="378"/>
      <c r="C1438" s="106"/>
      <c r="D1438" s="107"/>
      <c r="E1438" s="108"/>
      <c r="F1438" s="109"/>
      <c r="G1438" s="103"/>
      <c r="H1438" s="103"/>
      <c r="I1438" s="102"/>
      <c r="J1438" s="102"/>
      <c r="K1438" s="78"/>
      <c r="L1438" s="110"/>
      <c r="M1438" s="105" t="str">
        <f t="shared" si="22"/>
        <v xml:space="preserve">   </v>
      </c>
    </row>
    <row r="1439" spans="1:13" s="53" customFormat="1" hidden="1" x14ac:dyDescent="0.2">
      <c r="A1439" s="380"/>
      <c r="B1439" s="378"/>
      <c r="C1439" s="106"/>
      <c r="D1439" s="107"/>
      <c r="E1439" s="108"/>
      <c r="F1439" s="109"/>
      <c r="G1439" s="103"/>
      <c r="H1439" s="103"/>
      <c r="I1439" s="102"/>
      <c r="J1439" s="102"/>
      <c r="K1439" s="78"/>
      <c r="L1439" s="110"/>
      <c r="M1439" s="105" t="str">
        <f t="shared" si="22"/>
        <v xml:space="preserve">   </v>
      </c>
    </row>
    <row r="1440" spans="1:13" s="53" customFormat="1" hidden="1" x14ac:dyDescent="0.2">
      <c r="A1440" s="380"/>
      <c r="B1440" s="378"/>
      <c r="C1440" s="106"/>
      <c r="D1440" s="107"/>
      <c r="E1440" s="108"/>
      <c r="F1440" s="109"/>
      <c r="G1440" s="103"/>
      <c r="H1440" s="103"/>
      <c r="I1440" s="102"/>
      <c r="J1440" s="102"/>
      <c r="K1440" s="78"/>
      <c r="L1440" s="110"/>
      <c r="M1440" s="105" t="str">
        <f t="shared" si="22"/>
        <v xml:space="preserve">   </v>
      </c>
    </row>
    <row r="1441" spans="1:13" s="53" customFormat="1" hidden="1" x14ac:dyDescent="0.2">
      <c r="A1441" s="380"/>
      <c r="B1441" s="378"/>
      <c r="C1441" s="106"/>
      <c r="D1441" s="107"/>
      <c r="E1441" s="108"/>
      <c r="F1441" s="109"/>
      <c r="G1441" s="103"/>
      <c r="H1441" s="103"/>
      <c r="I1441" s="102"/>
      <c r="J1441" s="102"/>
      <c r="K1441" s="78"/>
      <c r="L1441" s="110"/>
      <c r="M1441" s="105" t="str">
        <f t="shared" si="22"/>
        <v xml:space="preserve">   </v>
      </c>
    </row>
    <row r="1442" spans="1:13" s="46" customFormat="1" hidden="1" x14ac:dyDescent="0.2">
      <c r="A1442" s="380"/>
      <c r="B1442" s="378"/>
      <c r="C1442" s="106"/>
      <c r="D1442" s="107"/>
      <c r="E1442" s="108"/>
      <c r="F1442" s="109"/>
      <c r="G1442" s="103"/>
      <c r="H1442" s="103"/>
      <c r="I1442" s="102"/>
      <c r="J1442" s="102"/>
      <c r="K1442" s="78"/>
      <c r="L1442" s="110"/>
      <c r="M1442" s="105" t="str">
        <f t="shared" si="22"/>
        <v xml:space="preserve">   </v>
      </c>
    </row>
    <row r="1443" spans="1:13" s="46" customFormat="1" hidden="1" x14ac:dyDescent="0.2">
      <c r="A1443" s="380"/>
      <c r="B1443" s="378"/>
      <c r="C1443" s="113"/>
      <c r="D1443" s="114"/>
      <c r="E1443" s="115"/>
      <c r="F1443" s="116"/>
      <c r="G1443" s="103"/>
      <c r="H1443" s="103"/>
      <c r="I1443" s="102"/>
      <c r="J1443" s="102"/>
      <c r="K1443" s="78"/>
      <c r="L1443" s="110"/>
      <c r="M1443" s="105" t="str">
        <f t="shared" si="22"/>
        <v xml:space="preserve">   </v>
      </c>
    </row>
    <row r="1444" spans="1:13" s="46" customFormat="1" ht="15" hidden="1" customHeight="1" x14ac:dyDescent="0.2">
      <c r="A1444" s="380" t="s">
        <v>69</v>
      </c>
      <c r="B1444" s="378" t="s">
        <v>89</v>
      </c>
      <c r="C1444" s="102"/>
      <c r="D1444" s="102"/>
      <c r="E1444" s="102"/>
      <c r="F1444" s="102"/>
      <c r="G1444" s="103"/>
      <c r="H1444" s="103"/>
      <c r="I1444" s="102"/>
      <c r="J1444" s="102"/>
      <c r="K1444" s="78"/>
      <c r="L1444" s="111" t="str">
        <f>CONCATENATE(C1444," ",D1444," ",E1444," ",F1444," ",C1445," ",D1445," ",E1445," ",F1445)</f>
        <v xml:space="preserve">       </v>
      </c>
      <c r="M1444" s="105" t="str">
        <f t="shared" si="22"/>
        <v xml:space="preserve">   </v>
      </c>
    </row>
    <row r="1445" spans="1:13" s="46" customFormat="1" hidden="1" x14ac:dyDescent="0.2">
      <c r="A1445" s="380"/>
      <c r="B1445" s="378"/>
      <c r="C1445" s="112"/>
      <c r="D1445" s="107"/>
      <c r="E1445" s="108"/>
      <c r="F1445" s="109"/>
      <c r="G1445" s="103"/>
      <c r="H1445" s="103"/>
      <c r="I1445" s="102"/>
      <c r="J1445" s="102"/>
      <c r="K1445" s="78"/>
      <c r="L1445" s="110"/>
      <c r="M1445" s="105" t="str">
        <f t="shared" si="22"/>
        <v xml:space="preserve">   </v>
      </c>
    </row>
    <row r="1446" spans="1:13" s="46" customFormat="1" hidden="1" x14ac:dyDescent="0.2">
      <c r="A1446" s="380"/>
      <c r="B1446" s="378"/>
      <c r="C1446" s="106"/>
      <c r="D1446" s="107"/>
      <c r="E1446" s="108"/>
      <c r="F1446" s="109"/>
      <c r="G1446" s="103"/>
      <c r="H1446" s="103"/>
      <c r="I1446" s="102"/>
      <c r="J1446" s="102"/>
      <c r="K1446" s="78"/>
      <c r="L1446" s="110"/>
      <c r="M1446" s="105" t="str">
        <f t="shared" si="22"/>
        <v xml:space="preserve">   </v>
      </c>
    </row>
    <row r="1447" spans="1:13" s="46" customFormat="1" hidden="1" x14ac:dyDescent="0.2">
      <c r="A1447" s="380"/>
      <c r="B1447" s="378"/>
      <c r="C1447" s="106"/>
      <c r="D1447" s="107"/>
      <c r="E1447" s="108"/>
      <c r="F1447" s="109"/>
      <c r="G1447" s="103"/>
      <c r="H1447" s="103"/>
      <c r="I1447" s="102"/>
      <c r="J1447" s="102"/>
      <c r="K1447" s="78"/>
      <c r="L1447" s="110"/>
      <c r="M1447" s="105" t="str">
        <f t="shared" si="22"/>
        <v xml:space="preserve">   </v>
      </c>
    </row>
    <row r="1448" spans="1:13" s="53" customFormat="1" hidden="1" x14ac:dyDescent="0.2">
      <c r="A1448" s="380"/>
      <c r="B1448" s="378"/>
      <c r="C1448" s="106"/>
      <c r="D1448" s="107"/>
      <c r="E1448" s="108"/>
      <c r="F1448" s="109"/>
      <c r="G1448" s="103"/>
      <c r="H1448" s="103"/>
      <c r="I1448" s="102"/>
      <c r="J1448" s="102"/>
      <c r="K1448" s="78"/>
      <c r="L1448" s="110"/>
      <c r="M1448" s="105" t="str">
        <f t="shared" si="22"/>
        <v xml:space="preserve">   </v>
      </c>
    </row>
    <row r="1449" spans="1:13" s="53" customFormat="1" hidden="1" x14ac:dyDescent="0.2">
      <c r="A1449" s="380"/>
      <c r="B1449" s="378"/>
      <c r="C1449" s="106"/>
      <c r="D1449" s="107"/>
      <c r="E1449" s="108"/>
      <c r="F1449" s="109"/>
      <c r="G1449" s="103"/>
      <c r="H1449" s="103"/>
      <c r="I1449" s="102"/>
      <c r="J1449" s="102"/>
      <c r="K1449" s="78"/>
      <c r="L1449" s="110"/>
      <c r="M1449" s="105" t="str">
        <f t="shared" si="22"/>
        <v xml:space="preserve">   </v>
      </c>
    </row>
    <row r="1450" spans="1:13" s="53" customFormat="1" hidden="1" x14ac:dyDescent="0.2">
      <c r="A1450" s="380"/>
      <c r="B1450" s="378"/>
      <c r="C1450" s="106"/>
      <c r="D1450" s="107"/>
      <c r="E1450" s="108"/>
      <c r="F1450" s="109"/>
      <c r="G1450" s="103"/>
      <c r="H1450" s="103"/>
      <c r="I1450" s="102"/>
      <c r="J1450" s="102"/>
      <c r="K1450" s="78"/>
      <c r="L1450" s="110"/>
      <c r="M1450" s="105" t="str">
        <f t="shared" si="22"/>
        <v xml:space="preserve">   </v>
      </c>
    </row>
    <row r="1451" spans="1:13" s="53" customFormat="1" hidden="1" x14ac:dyDescent="0.2">
      <c r="A1451" s="380"/>
      <c r="B1451" s="378"/>
      <c r="C1451" s="106"/>
      <c r="D1451" s="107"/>
      <c r="E1451" s="108"/>
      <c r="F1451" s="109"/>
      <c r="G1451" s="103"/>
      <c r="H1451" s="103"/>
      <c r="I1451" s="102"/>
      <c r="J1451" s="102"/>
      <c r="K1451" s="78"/>
      <c r="L1451" s="110"/>
      <c r="M1451" s="105" t="str">
        <f t="shared" si="22"/>
        <v xml:space="preserve">   </v>
      </c>
    </row>
    <row r="1452" spans="1:13" s="46" customFormat="1" hidden="1" x14ac:dyDescent="0.2">
      <c r="A1452" s="380"/>
      <c r="B1452" s="378"/>
      <c r="C1452" s="106"/>
      <c r="D1452" s="107"/>
      <c r="E1452" s="108"/>
      <c r="F1452" s="109"/>
      <c r="G1452" s="103"/>
      <c r="H1452" s="103"/>
      <c r="I1452" s="102"/>
      <c r="J1452" s="102"/>
      <c r="K1452" s="78"/>
      <c r="L1452" s="110"/>
      <c r="M1452" s="105" t="str">
        <f t="shared" si="22"/>
        <v xml:space="preserve">   </v>
      </c>
    </row>
    <row r="1453" spans="1:13" s="46" customFormat="1" hidden="1" x14ac:dyDescent="0.2">
      <c r="A1453" s="380"/>
      <c r="B1453" s="378"/>
      <c r="C1453" s="113"/>
      <c r="D1453" s="114"/>
      <c r="E1453" s="115"/>
      <c r="F1453" s="116"/>
      <c r="G1453" s="103"/>
      <c r="H1453" s="103"/>
      <c r="I1453" s="102"/>
      <c r="J1453" s="102"/>
      <c r="K1453" s="78"/>
      <c r="L1453" s="117"/>
      <c r="M1453" s="105" t="str">
        <f t="shared" si="22"/>
        <v xml:space="preserve">   </v>
      </c>
    </row>
    <row r="1454" spans="1:13" s="46" customFormat="1" ht="15" hidden="1" customHeight="1" x14ac:dyDescent="0.2">
      <c r="A1454" s="380" t="s">
        <v>69</v>
      </c>
      <c r="B1454" s="378" t="s">
        <v>89</v>
      </c>
      <c r="C1454" s="102"/>
      <c r="D1454" s="102"/>
      <c r="E1454" s="102"/>
      <c r="F1454" s="102"/>
      <c r="G1454" s="103"/>
      <c r="H1454" s="103"/>
      <c r="I1454" s="102"/>
      <c r="J1454" s="102"/>
      <c r="K1454" s="78"/>
      <c r="L1454" s="111" t="str">
        <f>CONCATENATE(C1454," ",D1454," ",E1454," ",F1454," ",C1455," ",D1455," ",E1455," ",F1455)</f>
        <v xml:space="preserve">       </v>
      </c>
      <c r="M1454" s="105" t="str">
        <f t="shared" si="22"/>
        <v xml:space="preserve">   </v>
      </c>
    </row>
    <row r="1455" spans="1:13" s="46" customFormat="1" hidden="1" x14ac:dyDescent="0.2">
      <c r="A1455" s="380"/>
      <c r="B1455" s="378"/>
      <c r="C1455" s="112"/>
      <c r="D1455" s="107"/>
      <c r="E1455" s="108"/>
      <c r="F1455" s="109"/>
      <c r="G1455" s="103"/>
      <c r="H1455" s="103"/>
      <c r="I1455" s="102"/>
      <c r="J1455" s="102"/>
      <c r="K1455" s="78"/>
      <c r="L1455" s="110"/>
      <c r="M1455" s="105" t="str">
        <f t="shared" si="22"/>
        <v xml:space="preserve">   </v>
      </c>
    </row>
    <row r="1456" spans="1:13" s="46" customFormat="1" hidden="1" x14ac:dyDescent="0.2">
      <c r="A1456" s="380"/>
      <c r="B1456" s="378"/>
      <c r="C1456" s="106"/>
      <c r="D1456" s="107"/>
      <c r="E1456" s="108"/>
      <c r="F1456" s="109"/>
      <c r="G1456" s="103"/>
      <c r="H1456" s="103"/>
      <c r="I1456" s="102"/>
      <c r="J1456" s="102"/>
      <c r="K1456" s="78"/>
      <c r="L1456" s="110"/>
      <c r="M1456" s="105" t="str">
        <f t="shared" si="22"/>
        <v xml:space="preserve">   </v>
      </c>
    </row>
    <row r="1457" spans="1:13" s="46" customFormat="1" hidden="1" x14ac:dyDescent="0.2">
      <c r="A1457" s="380"/>
      <c r="B1457" s="378"/>
      <c r="C1457" s="106"/>
      <c r="D1457" s="107"/>
      <c r="E1457" s="108"/>
      <c r="F1457" s="109"/>
      <c r="G1457" s="103"/>
      <c r="H1457" s="103"/>
      <c r="I1457" s="102"/>
      <c r="J1457" s="102"/>
      <c r="K1457" s="78"/>
      <c r="L1457" s="110"/>
      <c r="M1457" s="105" t="str">
        <f t="shared" si="22"/>
        <v xml:space="preserve">   </v>
      </c>
    </row>
    <row r="1458" spans="1:13" s="53" customFormat="1" hidden="1" x14ac:dyDescent="0.2">
      <c r="A1458" s="380"/>
      <c r="B1458" s="378"/>
      <c r="C1458" s="106"/>
      <c r="D1458" s="107"/>
      <c r="E1458" s="108"/>
      <c r="F1458" s="109"/>
      <c r="G1458" s="103"/>
      <c r="H1458" s="103"/>
      <c r="I1458" s="102"/>
      <c r="J1458" s="102"/>
      <c r="K1458" s="78"/>
      <c r="L1458" s="110"/>
      <c r="M1458" s="105" t="str">
        <f t="shared" si="22"/>
        <v xml:space="preserve">   </v>
      </c>
    </row>
    <row r="1459" spans="1:13" s="53" customFormat="1" hidden="1" x14ac:dyDescent="0.2">
      <c r="A1459" s="380"/>
      <c r="B1459" s="378"/>
      <c r="C1459" s="106"/>
      <c r="D1459" s="107"/>
      <c r="E1459" s="108"/>
      <c r="F1459" s="109"/>
      <c r="G1459" s="103"/>
      <c r="H1459" s="103"/>
      <c r="I1459" s="102"/>
      <c r="J1459" s="102"/>
      <c r="K1459" s="78"/>
      <c r="L1459" s="110"/>
      <c r="M1459" s="105" t="str">
        <f t="shared" si="22"/>
        <v xml:space="preserve">   </v>
      </c>
    </row>
    <row r="1460" spans="1:13" s="53" customFormat="1" hidden="1" x14ac:dyDescent="0.2">
      <c r="A1460" s="380"/>
      <c r="B1460" s="378"/>
      <c r="C1460" s="106"/>
      <c r="D1460" s="107"/>
      <c r="E1460" s="108"/>
      <c r="F1460" s="109"/>
      <c r="G1460" s="103"/>
      <c r="H1460" s="103"/>
      <c r="I1460" s="102"/>
      <c r="J1460" s="102"/>
      <c r="K1460" s="78"/>
      <c r="L1460" s="110"/>
      <c r="M1460" s="105" t="str">
        <f t="shared" si="22"/>
        <v xml:space="preserve">   </v>
      </c>
    </row>
    <row r="1461" spans="1:13" s="53" customFormat="1" hidden="1" x14ac:dyDescent="0.2">
      <c r="A1461" s="380"/>
      <c r="B1461" s="378"/>
      <c r="C1461" s="106"/>
      <c r="D1461" s="107"/>
      <c r="E1461" s="108"/>
      <c r="F1461" s="109"/>
      <c r="G1461" s="103"/>
      <c r="H1461" s="103"/>
      <c r="I1461" s="102"/>
      <c r="J1461" s="102"/>
      <c r="K1461" s="78"/>
      <c r="L1461" s="110"/>
      <c r="M1461" s="105" t="str">
        <f t="shared" si="22"/>
        <v xml:space="preserve">   </v>
      </c>
    </row>
    <row r="1462" spans="1:13" s="46" customFormat="1" hidden="1" x14ac:dyDescent="0.2">
      <c r="A1462" s="380"/>
      <c r="B1462" s="378"/>
      <c r="C1462" s="106"/>
      <c r="D1462" s="107"/>
      <c r="E1462" s="108"/>
      <c r="F1462" s="109"/>
      <c r="G1462" s="103"/>
      <c r="H1462" s="103"/>
      <c r="I1462" s="102"/>
      <c r="J1462" s="102"/>
      <c r="K1462" s="78"/>
      <c r="L1462" s="110"/>
      <c r="M1462" s="105" t="str">
        <f t="shared" si="22"/>
        <v xml:space="preserve">   </v>
      </c>
    </row>
    <row r="1463" spans="1:13" s="46" customFormat="1" hidden="1" x14ac:dyDescent="0.2">
      <c r="A1463" s="380"/>
      <c r="B1463" s="378"/>
      <c r="C1463" s="113"/>
      <c r="D1463" s="114"/>
      <c r="E1463" s="115"/>
      <c r="F1463" s="116"/>
      <c r="G1463" s="103"/>
      <c r="H1463" s="103"/>
      <c r="I1463" s="102"/>
      <c r="J1463" s="102"/>
      <c r="K1463" s="78"/>
      <c r="L1463" s="110"/>
      <c r="M1463" s="105" t="str">
        <f t="shared" si="22"/>
        <v xml:space="preserve">   </v>
      </c>
    </row>
    <row r="1464" spans="1:13" s="46" customFormat="1" ht="15" hidden="1" customHeight="1" x14ac:dyDescent="0.2">
      <c r="A1464" s="380" t="s">
        <v>69</v>
      </c>
      <c r="B1464" s="378" t="s">
        <v>89</v>
      </c>
      <c r="C1464" s="102"/>
      <c r="D1464" s="102"/>
      <c r="E1464" s="102"/>
      <c r="F1464" s="102"/>
      <c r="G1464" s="103"/>
      <c r="H1464" s="103"/>
      <c r="I1464" s="102"/>
      <c r="J1464" s="102"/>
      <c r="K1464" s="78"/>
      <c r="L1464" s="111" t="str">
        <f>CONCATENATE(C1464," ",D1464," ",E1464," ",F1464," ",C1465," ",D1465," ",E1465," ",F1465)</f>
        <v xml:space="preserve">       </v>
      </c>
      <c r="M1464" s="105" t="str">
        <f t="shared" si="22"/>
        <v xml:space="preserve">   </v>
      </c>
    </row>
    <row r="1465" spans="1:13" s="46" customFormat="1" hidden="1" x14ac:dyDescent="0.2">
      <c r="A1465" s="380"/>
      <c r="B1465" s="378"/>
      <c r="C1465" s="112"/>
      <c r="D1465" s="107"/>
      <c r="E1465" s="108"/>
      <c r="F1465" s="109"/>
      <c r="G1465" s="103"/>
      <c r="H1465" s="103"/>
      <c r="I1465" s="102"/>
      <c r="J1465" s="102"/>
      <c r="K1465" s="78"/>
      <c r="L1465" s="110"/>
      <c r="M1465" s="105" t="str">
        <f t="shared" si="22"/>
        <v xml:space="preserve">   </v>
      </c>
    </row>
    <row r="1466" spans="1:13" s="46" customFormat="1" hidden="1" x14ac:dyDescent="0.2">
      <c r="A1466" s="380"/>
      <c r="B1466" s="378"/>
      <c r="C1466" s="106"/>
      <c r="D1466" s="107"/>
      <c r="E1466" s="108"/>
      <c r="F1466" s="109"/>
      <c r="G1466" s="103"/>
      <c r="H1466" s="103"/>
      <c r="I1466" s="102"/>
      <c r="J1466" s="102"/>
      <c r="K1466" s="78"/>
      <c r="L1466" s="110"/>
      <c r="M1466" s="105" t="str">
        <f t="shared" si="22"/>
        <v xml:space="preserve">   </v>
      </c>
    </row>
    <row r="1467" spans="1:13" s="46" customFormat="1" hidden="1" x14ac:dyDescent="0.2">
      <c r="A1467" s="380"/>
      <c r="B1467" s="378"/>
      <c r="C1467" s="106"/>
      <c r="D1467" s="107"/>
      <c r="E1467" s="108"/>
      <c r="F1467" s="109"/>
      <c r="G1467" s="103"/>
      <c r="H1467" s="103"/>
      <c r="I1467" s="102"/>
      <c r="J1467" s="102"/>
      <c r="K1467" s="78"/>
      <c r="L1467" s="110"/>
      <c r="M1467" s="105" t="str">
        <f t="shared" si="22"/>
        <v xml:space="preserve">   </v>
      </c>
    </row>
    <row r="1468" spans="1:13" s="53" customFormat="1" hidden="1" x14ac:dyDescent="0.2">
      <c r="A1468" s="380"/>
      <c r="B1468" s="378"/>
      <c r="C1468" s="106"/>
      <c r="D1468" s="107"/>
      <c r="E1468" s="108"/>
      <c r="F1468" s="109"/>
      <c r="G1468" s="103"/>
      <c r="H1468" s="103"/>
      <c r="I1468" s="102"/>
      <c r="J1468" s="102"/>
      <c r="K1468" s="78"/>
      <c r="L1468" s="110"/>
      <c r="M1468" s="105" t="str">
        <f t="shared" si="22"/>
        <v xml:space="preserve">   </v>
      </c>
    </row>
    <row r="1469" spans="1:13" s="53" customFormat="1" hidden="1" x14ac:dyDescent="0.2">
      <c r="A1469" s="380"/>
      <c r="B1469" s="378"/>
      <c r="C1469" s="106"/>
      <c r="D1469" s="107"/>
      <c r="E1469" s="108"/>
      <c r="F1469" s="109"/>
      <c r="G1469" s="103"/>
      <c r="H1469" s="103"/>
      <c r="I1469" s="102"/>
      <c r="J1469" s="102"/>
      <c r="K1469" s="78"/>
      <c r="L1469" s="110"/>
      <c r="M1469" s="105" t="str">
        <f t="shared" si="22"/>
        <v xml:space="preserve">   </v>
      </c>
    </row>
    <row r="1470" spans="1:13" s="53" customFormat="1" hidden="1" x14ac:dyDescent="0.2">
      <c r="A1470" s="380"/>
      <c r="B1470" s="378"/>
      <c r="C1470" s="106"/>
      <c r="D1470" s="107"/>
      <c r="E1470" s="108"/>
      <c r="F1470" s="109"/>
      <c r="G1470" s="103"/>
      <c r="H1470" s="103"/>
      <c r="I1470" s="102"/>
      <c r="J1470" s="102"/>
      <c r="K1470" s="78"/>
      <c r="L1470" s="110"/>
      <c r="M1470" s="105" t="str">
        <f t="shared" si="22"/>
        <v xml:space="preserve">   </v>
      </c>
    </row>
    <row r="1471" spans="1:13" s="53" customFormat="1" hidden="1" x14ac:dyDescent="0.2">
      <c r="A1471" s="380"/>
      <c r="B1471" s="378"/>
      <c r="C1471" s="106"/>
      <c r="D1471" s="107"/>
      <c r="E1471" s="108"/>
      <c r="F1471" s="109"/>
      <c r="G1471" s="103"/>
      <c r="H1471" s="103"/>
      <c r="I1471" s="102"/>
      <c r="J1471" s="102"/>
      <c r="K1471" s="78"/>
      <c r="L1471" s="110"/>
      <c r="M1471" s="105" t="str">
        <f t="shared" si="22"/>
        <v xml:space="preserve">   </v>
      </c>
    </row>
    <row r="1472" spans="1:13" s="46" customFormat="1" hidden="1" x14ac:dyDescent="0.2">
      <c r="A1472" s="380"/>
      <c r="B1472" s="378"/>
      <c r="C1472" s="106"/>
      <c r="D1472" s="107"/>
      <c r="E1472" s="108"/>
      <c r="F1472" s="109"/>
      <c r="G1472" s="103"/>
      <c r="H1472" s="103"/>
      <c r="I1472" s="102"/>
      <c r="J1472" s="102"/>
      <c r="K1472" s="78"/>
      <c r="L1472" s="110"/>
      <c r="M1472" s="105" t="str">
        <f t="shared" si="22"/>
        <v xml:space="preserve">   </v>
      </c>
    </row>
    <row r="1473" spans="1:13" s="46" customFormat="1" hidden="1" x14ac:dyDescent="0.2">
      <c r="A1473" s="380"/>
      <c r="B1473" s="378"/>
      <c r="C1473" s="113"/>
      <c r="D1473" s="114"/>
      <c r="E1473" s="115"/>
      <c r="F1473" s="116"/>
      <c r="G1473" s="103"/>
      <c r="H1473" s="103"/>
      <c r="I1473" s="102"/>
      <c r="J1473" s="102"/>
      <c r="K1473" s="78"/>
      <c r="L1473" s="117"/>
      <c r="M1473" s="105" t="str">
        <f t="shared" si="22"/>
        <v xml:space="preserve">   </v>
      </c>
    </row>
    <row r="1474" spans="1:13" s="46" customFormat="1" ht="15" hidden="1" customHeight="1" x14ac:dyDescent="0.2">
      <c r="A1474" s="380" t="s">
        <v>69</v>
      </c>
      <c r="B1474" s="378" t="s">
        <v>89</v>
      </c>
      <c r="C1474" s="102"/>
      <c r="D1474" s="102"/>
      <c r="E1474" s="102"/>
      <c r="F1474" s="102"/>
      <c r="G1474" s="103"/>
      <c r="H1474" s="103"/>
      <c r="I1474" s="102"/>
      <c r="J1474" s="102"/>
      <c r="K1474" s="78"/>
      <c r="L1474" s="111" t="str">
        <f>CONCATENATE(C1474," ",D1474," ",E1474," ",F1474," ",C1475," ",D1475," ",E1475," ",F1475)</f>
        <v xml:space="preserve">       </v>
      </c>
      <c r="M1474" s="105" t="str">
        <f t="shared" si="22"/>
        <v xml:space="preserve">   </v>
      </c>
    </row>
    <row r="1475" spans="1:13" s="46" customFormat="1" hidden="1" x14ac:dyDescent="0.2">
      <c r="A1475" s="380"/>
      <c r="B1475" s="378"/>
      <c r="C1475" s="112"/>
      <c r="D1475" s="107"/>
      <c r="E1475" s="108"/>
      <c r="F1475" s="109"/>
      <c r="G1475" s="103"/>
      <c r="H1475" s="103"/>
      <c r="I1475" s="102"/>
      <c r="J1475" s="102"/>
      <c r="K1475" s="78"/>
      <c r="L1475" s="110"/>
      <c r="M1475" s="105" t="str">
        <f t="shared" si="22"/>
        <v xml:space="preserve">   </v>
      </c>
    </row>
    <row r="1476" spans="1:13" s="46" customFormat="1" hidden="1" x14ac:dyDescent="0.2">
      <c r="A1476" s="380"/>
      <c r="B1476" s="378"/>
      <c r="C1476" s="106"/>
      <c r="D1476" s="107"/>
      <c r="E1476" s="108"/>
      <c r="F1476" s="109"/>
      <c r="G1476" s="103"/>
      <c r="H1476" s="103"/>
      <c r="I1476" s="102"/>
      <c r="J1476" s="102"/>
      <c r="K1476" s="78"/>
      <c r="L1476" s="110"/>
      <c r="M1476" s="105" t="str">
        <f t="shared" si="22"/>
        <v xml:space="preserve">   </v>
      </c>
    </row>
    <row r="1477" spans="1:13" s="46" customFormat="1" hidden="1" x14ac:dyDescent="0.2">
      <c r="A1477" s="380"/>
      <c r="B1477" s="378"/>
      <c r="C1477" s="106"/>
      <c r="D1477" s="107"/>
      <c r="E1477" s="108"/>
      <c r="F1477" s="109"/>
      <c r="G1477" s="103"/>
      <c r="H1477" s="103"/>
      <c r="I1477" s="102"/>
      <c r="J1477" s="102"/>
      <c r="K1477" s="78"/>
      <c r="L1477" s="110"/>
      <c r="M1477" s="105" t="str">
        <f t="shared" si="22"/>
        <v xml:space="preserve">   </v>
      </c>
    </row>
    <row r="1478" spans="1:13" s="53" customFormat="1" hidden="1" x14ac:dyDescent="0.2">
      <c r="A1478" s="380"/>
      <c r="B1478" s="378"/>
      <c r="C1478" s="106"/>
      <c r="D1478" s="107"/>
      <c r="E1478" s="108"/>
      <c r="F1478" s="109"/>
      <c r="G1478" s="103"/>
      <c r="H1478" s="103"/>
      <c r="I1478" s="102"/>
      <c r="J1478" s="102"/>
      <c r="K1478" s="78"/>
      <c r="L1478" s="110"/>
      <c r="M1478" s="105" t="str">
        <f t="shared" si="22"/>
        <v xml:space="preserve">   </v>
      </c>
    </row>
    <row r="1479" spans="1:13" s="53" customFormat="1" hidden="1" x14ac:dyDescent="0.2">
      <c r="A1479" s="380"/>
      <c r="B1479" s="378"/>
      <c r="C1479" s="106"/>
      <c r="D1479" s="107"/>
      <c r="E1479" s="108"/>
      <c r="F1479" s="109"/>
      <c r="G1479" s="103"/>
      <c r="H1479" s="103"/>
      <c r="I1479" s="102"/>
      <c r="J1479" s="102"/>
      <c r="K1479" s="78"/>
      <c r="L1479" s="110"/>
      <c r="M1479" s="105" t="str">
        <f t="shared" si="22"/>
        <v xml:space="preserve">   </v>
      </c>
    </row>
    <row r="1480" spans="1:13" s="53" customFormat="1" hidden="1" x14ac:dyDescent="0.2">
      <c r="A1480" s="380"/>
      <c r="B1480" s="378"/>
      <c r="C1480" s="106"/>
      <c r="D1480" s="107"/>
      <c r="E1480" s="108"/>
      <c r="F1480" s="109"/>
      <c r="G1480" s="103"/>
      <c r="H1480" s="103"/>
      <c r="I1480" s="102"/>
      <c r="J1480" s="102"/>
      <c r="K1480" s="78"/>
      <c r="L1480" s="110"/>
      <c r="M1480" s="105" t="str">
        <f t="shared" si="22"/>
        <v xml:space="preserve">   </v>
      </c>
    </row>
    <row r="1481" spans="1:13" s="53" customFormat="1" hidden="1" x14ac:dyDescent="0.2">
      <c r="A1481" s="380"/>
      <c r="B1481" s="378"/>
      <c r="C1481" s="106"/>
      <c r="D1481" s="107"/>
      <c r="E1481" s="108"/>
      <c r="F1481" s="109"/>
      <c r="G1481" s="103"/>
      <c r="H1481" s="103"/>
      <c r="I1481" s="102"/>
      <c r="J1481" s="102"/>
      <c r="K1481" s="78"/>
      <c r="L1481" s="110"/>
      <c r="M1481" s="105" t="str">
        <f t="shared" si="22"/>
        <v xml:space="preserve">   </v>
      </c>
    </row>
    <row r="1482" spans="1:13" s="46" customFormat="1" hidden="1" x14ac:dyDescent="0.2">
      <c r="A1482" s="380"/>
      <c r="B1482" s="378"/>
      <c r="C1482" s="106"/>
      <c r="D1482" s="107"/>
      <c r="E1482" s="108"/>
      <c r="F1482" s="109"/>
      <c r="G1482" s="103"/>
      <c r="H1482" s="103"/>
      <c r="I1482" s="102"/>
      <c r="J1482" s="102"/>
      <c r="K1482" s="78"/>
      <c r="L1482" s="110"/>
      <c r="M1482" s="105" t="str">
        <f t="shared" si="22"/>
        <v xml:space="preserve">   </v>
      </c>
    </row>
    <row r="1483" spans="1:13" s="46" customFormat="1" hidden="1" x14ac:dyDescent="0.2">
      <c r="A1483" s="380"/>
      <c r="B1483" s="378"/>
      <c r="C1483" s="113"/>
      <c r="D1483" s="114"/>
      <c r="E1483" s="115"/>
      <c r="F1483" s="116"/>
      <c r="G1483" s="103"/>
      <c r="H1483" s="103"/>
      <c r="I1483" s="102"/>
      <c r="J1483" s="102"/>
      <c r="K1483" s="78"/>
      <c r="L1483" s="110"/>
      <c r="M1483" s="105" t="str">
        <f t="shared" ref="M1483:M1546" si="23">CONCATENATE(G1483," ",H1483," ",I1483," ",J1483)</f>
        <v xml:space="preserve">   </v>
      </c>
    </row>
    <row r="1484" spans="1:13" s="46" customFormat="1" ht="15" hidden="1" customHeight="1" x14ac:dyDescent="0.2">
      <c r="A1484" s="380" t="s">
        <v>69</v>
      </c>
      <c r="B1484" s="378" t="s">
        <v>89</v>
      </c>
      <c r="C1484" s="102"/>
      <c r="D1484" s="102"/>
      <c r="E1484" s="102"/>
      <c r="F1484" s="102"/>
      <c r="G1484" s="103"/>
      <c r="H1484" s="103"/>
      <c r="I1484" s="102"/>
      <c r="J1484" s="102"/>
      <c r="K1484" s="78"/>
      <c r="L1484" s="111" t="str">
        <f>CONCATENATE(C1484," ",D1484," ",E1484," ",F1484," ",C1485," ",D1485," ",E1485," ",F1485)</f>
        <v xml:space="preserve">       </v>
      </c>
      <c r="M1484" s="105" t="str">
        <f t="shared" si="23"/>
        <v xml:space="preserve">   </v>
      </c>
    </row>
    <row r="1485" spans="1:13" s="46" customFormat="1" hidden="1" x14ac:dyDescent="0.2">
      <c r="A1485" s="380"/>
      <c r="B1485" s="378"/>
      <c r="C1485" s="112"/>
      <c r="D1485" s="107"/>
      <c r="E1485" s="108"/>
      <c r="F1485" s="109"/>
      <c r="G1485" s="103"/>
      <c r="H1485" s="103"/>
      <c r="I1485" s="102"/>
      <c r="J1485" s="102"/>
      <c r="K1485" s="78"/>
      <c r="L1485" s="110"/>
      <c r="M1485" s="105" t="str">
        <f t="shared" si="23"/>
        <v xml:space="preserve">   </v>
      </c>
    </row>
    <row r="1486" spans="1:13" s="46" customFormat="1" hidden="1" x14ac:dyDescent="0.2">
      <c r="A1486" s="380"/>
      <c r="B1486" s="378"/>
      <c r="C1486" s="106"/>
      <c r="D1486" s="107"/>
      <c r="E1486" s="108"/>
      <c r="F1486" s="109"/>
      <c r="G1486" s="103"/>
      <c r="H1486" s="103"/>
      <c r="I1486" s="102"/>
      <c r="J1486" s="102"/>
      <c r="K1486" s="78"/>
      <c r="L1486" s="110"/>
      <c r="M1486" s="105" t="str">
        <f t="shared" si="23"/>
        <v xml:space="preserve">   </v>
      </c>
    </row>
    <row r="1487" spans="1:13" s="46" customFormat="1" hidden="1" x14ac:dyDescent="0.2">
      <c r="A1487" s="380"/>
      <c r="B1487" s="378"/>
      <c r="C1487" s="106"/>
      <c r="D1487" s="107"/>
      <c r="E1487" s="108"/>
      <c r="F1487" s="109"/>
      <c r="G1487" s="103"/>
      <c r="H1487" s="103"/>
      <c r="I1487" s="102"/>
      <c r="J1487" s="102"/>
      <c r="K1487" s="78"/>
      <c r="L1487" s="110"/>
      <c r="M1487" s="105" t="str">
        <f t="shared" si="23"/>
        <v xml:space="preserve">   </v>
      </c>
    </row>
    <row r="1488" spans="1:13" s="53" customFormat="1" hidden="1" x14ac:dyDescent="0.2">
      <c r="A1488" s="380"/>
      <c r="B1488" s="378"/>
      <c r="C1488" s="106"/>
      <c r="D1488" s="107"/>
      <c r="E1488" s="108"/>
      <c r="F1488" s="109"/>
      <c r="G1488" s="103"/>
      <c r="H1488" s="103"/>
      <c r="I1488" s="102"/>
      <c r="J1488" s="102"/>
      <c r="K1488" s="78"/>
      <c r="L1488" s="110"/>
      <c r="M1488" s="105" t="str">
        <f t="shared" si="23"/>
        <v xml:space="preserve">   </v>
      </c>
    </row>
    <row r="1489" spans="1:13" s="53" customFormat="1" hidden="1" x14ac:dyDescent="0.2">
      <c r="A1489" s="380"/>
      <c r="B1489" s="378"/>
      <c r="C1489" s="106"/>
      <c r="D1489" s="107"/>
      <c r="E1489" s="108"/>
      <c r="F1489" s="109"/>
      <c r="G1489" s="103"/>
      <c r="H1489" s="103"/>
      <c r="I1489" s="102"/>
      <c r="J1489" s="102"/>
      <c r="K1489" s="78"/>
      <c r="L1489" s="110"/>
      <c r="M1489" s="105" t="str">
        <f t="shared" si="23"/>
        <v xml:space="preserve">   </v>
      </c>
    </row>
    <row r="1490" spans="1:13" s="53" customFormat="1" hidden="1" x14ac:dyDescent="0.2">
      <c r="A1490" s="380"/>
      <c r="B1490" s="378"/>
      <c r="C1490" s="106"/>
      <c r="D1490" s="107"/>
      <c r="E1490" s="108"/>
      <c r="F1490" s="109"/>
      <c r="G1490" s="103"/>
      <c r="H1490" s="103"/>
      <c r="I1490" s="102"/>
      <c r="J1490" s="102"/>
      <c r="K1490" s="78"/>
      <c r="L1490" s="110"/>
      <c r="M1490" s="105" t="str">
        <f t="shared" si="23"/>
        <v xml:space="preserve">   </v>
      </c>
    </row>
    <row r="1491" spans="1:13" s="53" customFormat="1" hidden="1" x14ac:dyDescent="0.2">
      <c r="A1491" s="380"/>
      <c r="B1491" s="378"/>
      <c r="C1491" s="106"/>
      <c r="D1491" s="107"/>
      <c r="E1491" s="108"/>
      <c r="F1491" s="109"/>
      <c r="G1491" s="103"/>
      <c r="H1491" s="103"/>
      <c r="I1491" s="102"/>
      <c r="J1491" s="102"/>
      <c r="K1491" s="78"/>
      <c r="L1491" s="110"/>
      <c r="M1491" s="105" t="str">
        <f t="shared" si="23"/>
        <v xml:space="preserve">   </v>
      </c>
    </row>
    <row r="1492" spans="1:13" s="46" customFormat="1" hidden="1" x14ac:dyDescent="0.2">
      <c r="A1492" s="380"/>
      <c r="B1492" s="378"/>
      <c r="C1492" s="106"/>
      <c r="D1492" s="107"/>
      <c r="E1492" s="108"/>
      <c r="F1492" s="109"/>
      <c r="G1492" s="103"/>
      <c r="H1492" s="103"/>
      <c r="I1492" s="102"/>
      <c r="J1492" s="102"/>
      <c r="K1492" s="78"/>
      <c r="L1492" s="110"/>
      <c r="M1492" s="105" t="str">
        <f t="shared" si="23"/>
        <v xml:space="preserve">   </v>
      </c>
    </row>
    <row r="1493" spans="1:13" s="46" customFormat="1" hidden="1" x14ac:dyDescent="0.2">
      <c r="A1493" s="380"/>
      <c r="B1493" s="378"/>
      <c r="C1493" s="113"/>
      <c r="D1493" s="114"/>
      <c r="E1493" s="115"/>
      <c r="F1493" s="116"/>
      <c r="G1493" s="103"/>
      <c r="H1493" s="103"/>
      <c r="I1493" s="102"/>
      <c r="J1493" s="102"/>
      <c r="K1493" s="78"/>
      <c r="L1493" s="117"/>
      <c r="M1493" s="105" t="str">
        <f t="shared" si="23"/>
        <v xml:space="preserve">   </v>
      </c>
    </row>
    <row r="1494" spans="1:13" s="46" customFormat="1" ht="15" hidden="1" customHeight="1" x14ac:dyDescent="0.2">
      <c r="A1494" s="380" t="s">
        <v>69</v>
      </c>
      <c r="B1494" s="378" t="s">
        <v>89</v>
      </c>
      <c r="C1494" s="102"/>
      <c r="D1494" s="102"/>
      <c r="E1494" s="102"/>
      <c r="F1494" s="102"/>
      <c r="G1494" s="103"/>
      <c r="H1494" s="103"/>
      <c r="I1494" s="102"/>
      <c r="J1494" s="102"/>
      <c r="K1494" s="78"/>
      <c r="L1494" s="111" t="str">
        <f>CONCATENATE(C1494," ",D1494," ",E1494," ",F1494," ",C1495," ",D1495," ",E1495," ",F1495)</f>
        <v xml:space="preserve">       </v>
      </c>
      <c r="M1494" s="105" t="str">
        <f t="shared" si="23"/>
        <v xml:space="preserve">   </v>
      </c>
    </row>
    <row r="1495" spans="1:13" s="46" customFormat="1" hidden="1" x14ac:dyDescent="0.2">
      <c r="A1495" s="380"/>
      <c r="B1495" s="378"/>
      <c r="C1495" s="112"/>
      <c r="D1495" s="107"/>
      <c r="E1495" s="108"/>
      <c r="F1495" s="109"/>
      <c r="G1495" s="103"/>
      <c r="H1495" s="103"/>
      <c r="I1495" s="102"/>
      <c r="J1495" s="102"/>
      <c r="K1495" s="78"/>
      <c r="L1495" s="110"/>
      <c r="M1495" s="105" t="str">
        <f t="shared" si="23"/>
        <v xml:space="preserve">   </v>
      </c>
    </row>
    <row r="1496" spans="1:13" s="46" customFormat="1" hidden="1" x14ac:dyDescent="0.2">
      <c r="A1496" s="380"/>
      <c r="B1496" s="378"/>
      <c r="C1496" s="106"/>
      <c r="D1496" s="107"/>
      <c r="E1496" s="108"/>
      <c r="F1496" s="109"/>
      <c r="G1496" s="103"/>
      <c r="H1496" s="103"/>
      <c r="I1496" s="102"/>
      <c r="J1496" s="102"/>
      <c r="K1496" s="78"/>
      <c r="L1496" s="110"/>
      <c r="M1496" s="105" t="str">
        <f t="shared" si="23"/>
        <v xml:space="preserve">   </v>
      </c>
    </row>
    <row r="1497" spans="1:13" s="46" customFormat="1" hidden="1" x14ac:dyDescent="0.2">
      <c r="A1497" s="380"/>
      <c r="B1497" s="378"/>
      <c r="C1497" s="106"/>
      <c r="D1497" s="107"/>
      <c r="E1497" s="108"/>
      <c r="F1497" s="109"/>
      <c r="G1497" s="103"/>
      <c r="H1497" s="103"/>
      <c r="I1497" s="102"/>
      <c r="J1497" s="102"/>
      <c r="K1497" s="78"/>
      <c r="L1497" s="110"/>
      <c r="M1497" s="105" t="str">
        <f t="shared" si="23"/>
        <v xml:space="preserve">   </v>
      </c>
    </row>
    <row r="1498" spans="1:13" s="53" customFormat="1" hidden="1" x14ac:dyDescent="0.2">
      <c r="A1498" s="380"/>
      <c r="B1498" s="378"/>
      <c r="C1498" s="106"/>
      <c r="D1498" s="107"/>
      <c r="E1498" s="108"/>
      <c r="F1498" s="109"/>
      <c r="G1498" s="103"/>
      <c r="H1498" s="103"/>
      <c r="I1498" s="102"/>
      <c r="J1498" s="102"/>
      <c r="K1498" s="78"/>
      <c r="L1498" s="110"/>
      <c r="M1498" s="105" t="str">
        <f t="shared" si="23"/>
        <v xml:space="preserve">   </v>
      </c>
    </row>
    <row r="1499" spans="1:13" s="53" customFormat="1" hidden="1" x14ac:dyDescent="0.2">
      <c r="A1499" s="380"/>
      <c r="B1499" s="378"/>
      <c r="C1499" s="106"/>
      <c r="D1499" s="107"/>
      <c r="E1499" s="108"/>
      <c r="F1499" s="109"/>
      <c r="G1499" s="103"/>
      <c r="H1499" s="103"/>
      <c r="I1499" s="102"/>
      <c r="J1499" s="102"/>
      <c r="K1499" s="78"/>
      <c r="L1499" s="110"/>
      <c r="M1499" s="105" t="str">
        <f t="shared" si="23"/>
        <v xml:space="preserve">   </v>
      </c>
    </row>
    <row r="1500" spans="1:13" s="53" customFormat="1" hidden="1" x14ac:dyDescent="0.2">
      <c r="A1500" s="380"/>
      <c r="B1500" s="378"/>
      <c r="C1500" s="106"/>
      <c r="D1500" s="107"/>
      <c r="E1500" s="108"/>
      <c r="F1500" s="109"/>
      <c r="G1500" s="103"/>
      <c r="H1500" s="103"/>
      <c r="I1500" s="102"/>
      <c r="J1500" s="102"/>
      <c r="K1500" s="78"/>
      <c r="L1500" s="110"/>
      <c r="M1500" s="105" t="str">
        <f t="shared" si="23"/>
        <v xml:space="preserve">   </v>
      </c>
    </row>
    <row r="1501" spans="1:13" s="53" customFormat="1" hidden="1" x14ac:dyDescent="0.2">
      <c r="A1501" s="380"/>
      <c r="B1501" s="378"/>
      <c r="C1501" s="106"/>
      <c r="D1501" s="107"/>
      <c r="E1501" s="108"/>
      <c r="F1501" s="109"/>
      <c r="G1501" s="103"/>
      <c r="H1501" s="103"/>
      <c r="I1501" s="102"/>
      <c r="J1501" s="102"/>
      <c r="K1501" s="78"/>
      <c r="L1501" s="110"/>
      <c r="M1501" s="105" t="str">
        <f t="shared" si="23"/>
        <v xml:space="preserve">   </v>
      </c>
    </row>
    <row r="1502" spans="1:13" s="46" customFormat="1" hidden="1" x14ac:dyDescent="0.2">
      <c r="A1502" s="380"/>
      <c r="B1502" s="378"/>
      <c r="C1502" s="106"/>
      <c r="D1502" s="107"/>
      <c r="E1502" s="108"/>
      <c r="F1502" s="109"/>
      <c r="G1502" s="103"/>
      <c r="H1502" s="103"/>
      <c r="I1502" s="102"/>
      <c r="J1502" s="102"/>
      <c r="K1502" s="78"/>
      <c r="L1502" s="110"/>
      <c r="M1502" s="105" t="str">
        <f t="shared" si="23"/>
        <v xml:space="preserve">   </v>
      </c>
    </row>
    <row r="1503" spans="1:13" s="46" customFormat="1" hidden="1" x14ac:dyDescent="0.2">
      <c r="A1503" s="380"/>
      <c r="B1503" s="378"/>
      <c r="C1503" s="113"/>
      <c r="D1503" s="114"/>
      <c r="E1503" s="115"/>
      <c r="F1503" s="116"/>
      <c r="G1503" s="103"/>
      <c r="H1503" s="103"/>
      <c r="I1503" s="102"/>
      <c r="J1503" s="102"/>
      <c r="K1503" s="78"/>
      <c r="L1503" s="110"/>
      <c r="M1503" s="105" t="str">
        <f t="shared" si="23"/>
        <v xml:space="preserve">   </v>
      </c>
    </row>
    <row r="1504" spans="1:13" s="46" customFormat="1" ht="15" hidden="1" customHeight="1" x14ac:dyDescent="0.2">
      <c r="A1504" s="380" t="s">
        <v>69</v>
      </c>
      <c r="B1504" s="378" t="s">
        <v>89</v>
      </c>
      <c r="C1504" s="102"/>
      <c r="D1504" s="102"/>
      <c r="E1504" s="102"/>
      <c r="F1504" s="102"/>
      <c r="G1504" s="103"/>
      <c r="H1504" s="103"/>
      <c r="I1504" s="102"/>
      <c r="J1504" s="102"/>
      <c r="K1504" s="78"/>
      <c r="L1504" s="111" t="str">
        <f>CONCATENATE(C1504," ",D1504," ",E1504," ",F1504," ",C1505," ",D1505," ",E1505," ",F1505)</f>
        <v xml:space="preserve">       </v>
      </c>
      <c r="M1504" s="105" t="str">
        <f t="shared" si="23"/>
        <v xml:space="preserve">   </v>
      </c>
    </row>
    <row r="1505" spans="1:13" s="46" customFormat="1" hidden="1" x14ac:dyDescent="0.2">
      <c r="A1505" s="380"/>
      <c r="B1505" s="378"/>
      <c r="C1505" s="112"/>
      <c r="D1505" s="107"/>
      <c r="E1505" s="108"/>
      <c r="F1505" s="109"/>
      <c r="G1505" s="103"/>
      <c r="H1505" s="103"/>
      <c r="I1505" s="102"/>
      <c r="J1505" s="102"/>
      <c r="K1505" s="78"/>
      <c r="L1505" s="110"/>
      <c r="M1505" s="105" t="str">
        <f t="shared" si="23"/>
        <v xml:space="preserve">   </v>
      </c>
    </row>
    <row r="1506" spans="1:13" s="46" customFormat="1" hidden="1" x14ac:dyDescent="0.2">
      <c r="A1506" s="380"/>
      <c r="B1506" s="378"/>
      <c r="C1506" s="106"/>
      <c r="D1506" s="107"/>
      <c r="E1506" s="108"/>
      <c r="F1506" s="109"/>
      <c r="G1506" s="103"/>
      <c r="H1506" s="103"/>
      <c r="I1506" s="102"/>
      <c r="J1506" s="102"/>
      <c r="K1506" s="78"/>
      <c r="L1506" s="110"/>
      <c r="M1506" s="105" t="str">
        <f t="shared" si="23"/>
        <v xml:space="preserve">   </v>
      </c>
    </row>
    <row r="1507" spans="1:13" s="46" customFormat="1" hidden="1" x14ac:dyDescent="0.2">
      <c r="A1507" s="380"/>
      <c r="B1507" s="378"/>
      <c r="C1507" s="106"/>
      <c r="D1507" s="107"/>
      <c r="E1507" s="108"/>
      <c r="F1507" s="109"/>
      <c r="G1507" s="103"/>
      <c r="H1507" s="103"/>
      <c r="I1507" s="102"/>
      <c r="J1507" s="102"/>
      <c r="K1507" s="78"/>
      <c r="L1507" s="110"/>
      <c r="M1507" s="105" t="str">
        <f t="shared" si="23"/>
        <v xml:space="preserve">   </v>
      </c>
    </row>
    <row r="1508" spans="1:13" s="53" customFormat="1" hidden="1" x14ac:dyDescent="0.2">
      <c r="A1508" s="380"/>
      <c r="B1508" s="378"/>
      <c r="C1508" s="106"/>
      <c r="D1508" s="107"/>
      <c r="E1508" s="108"/>
      <c r="F1508" s="109"/>
      <c r="G1508" s="103"/>
      <c r="H1508" s="103"/>
      <c r="I1508" s="102"/>
      <c r="J1508" s="102"/>
      <c r="K1508" s="78"/>
      <c r="L1508" s="110"/>
      <c r="M1508" s="105" t="str">
        <f t="shared" si="23"/>
        <v xml:space="preserve">   </v>
      </c>
    </row>
    <row r="1509" spans="1:13" s="53" customFormat="1" hidden="1" x14ac:dyDescent="0.2">
      <c r="A1509" s="380"/>
      <c r="B1509" s="378"/>
      <c r="C1509" s="106"/>
      <c r="D1509" s="107"/>
      <c r="E1509" s="108"/>
      <c r="F1509" s="109"/>
      <c r="G1509" s="103"/>
      <c r="H1509" s="103"/>
      <c r="I1509" s="102"/>
      <c r="J1509" s="102"/>
      <c r="K1509" s="78"/>
      <c r="L1509" s="110"/>
      <c r="M1509" s="105" t="str">
        <f t="shared" si="23"/>
        <v xml:space="preserve">   </v>
      </c>
    </row>
    <row r="1510" spans="1:13" s="53" customFormat="1" hidden="1" x14ac:dyDescent="0.2">
      <c r="A1510" s="380"/>
      <c r="B1510" s="378"/>
      <c r="C1510" s="106"/>
      <c r="D1510" s="107"/>
      <c r="E1510" s="108"/>
      <c r="F1510" s="109"/>
      <c r="G1510" s="103"/>
      <c r="H1510" s="103"/>
      <c r="I1510" s="102"/>
      <c r="J1510" s="102"/>
      <c r="K1510" s="78"/>
      <c r="L1510" s="110"/>
      <c r="M1510" s="105" t="str">
        <f t="shared" si="23"/>
        <v xml:space="preserve">   </v>
      </c>
    </row>
    <row r="1511" spans="1:13" s="53" customFormat="1" hidden="1" x14ac:dyDescent="0.2">
      <c r="A1511" s="380"/>
      <c r="B1511" s="378"/>
      <c r="C1511" s="106"/>
      <c r="D1511" s="107"/>
      <c r="E1511" s="108"/>
      <c r="F1511" s="109"/>
      <c r="G1511" s="103"/>
      <c r="H1511" s="103"/>
      <c r="I1511" s="102"/>
      <c r="J1511" s="102"/>
      <c r="K1511" s="78"/>
      <c r="L1511" s="110"/>
      <c r="M1511" s="105" t="str">
        <f t="shared" si="23"/>
        <v xml:space="preserve">   </v>
      </c>
    </row>
    <row r="1512" spans="1:13" s="46" customFormat="1" hidden="1" x14ac:dyDescent="0.2">
      <c r="A1512" s="380"/>
      <c r="B1512" s="378"/>
      <c r="C1512" s="106"/>
      <c r="D1512" s="107"/>
      <c r="E1512" s="108"/>
      <c r="F1512" s="109"/>
      <c r="G1512" s="103"/>
      <c r="H1512" s="103"/>
      <c r="I1512" s="102"/>
      <c r="J1512" s="102"/>
      <c r="K1512" s="78"/>
      <c r="L1512" s="110"/>
      <c r="M1512" s="105" t="str">
        <f t="shared" si="23"/>
        <v xml:space="preserve">   </v>
      </c>
    </row>
    <row r="1513" spans="1:13" s="46" customFormat="1" hidden="1" x14ac:dyDescent="0.2">
      <c r="A1513" s="380"/>
      <c r="B1513" s="378"/>
      <c r="C1513" s="113"/>
      <c r="D1513" s="114"/>
      <c r="E1513" s="115"/>
      <c r="F1513" s="116"/>
      <c r="G1513" s="103"/>
      <c r="H1513" s="103"/>
      <c r="I1513" s="102"/>
      <c r="J1513" s="102"/>
      <c r="K1513" s="78"/>
      <c r="L1513" s="117"/>
      <c r="M1513" s="105" t="str">
        <f t="shared" si="23"/>
        <v xml:space="preserve">   </v>
      </c>
    </row>
    <row r="1514" spans="1:13" hidden="1" x14ac:dyDescent="0.2">
      <c r="A1514" s="54"/>
      <c r="B1514" s="54"/>
      <c r="C1514" s="118"/>
      <c r="D1514" s="54"/>
      <c r="E1514" s="54"/>
      <c r="F1514" s="54"/>
      <c r="G1514" s="118"/>
      <c r="H1514" s="54"/>
      <c r="I1514" s="54"/>
      <c r="J1514" s="54"/>
      <c r="K1514" s="54"/>
      <c r="L1514" s="119"/>
      <c r="M1514" s="105" t="str">
        <f t="shared" si="23"/>
        <v xml:space="preserve">   </v>
      </c>
    </row>
    <row r="1515" spans="1:13" s="53" customFormat="1" ht="12.75" hidden="1" customHeight="1" x14ac:dyDescent="0.2">
      <c r="A1515" s="377" t="s">
        <v>101</v>
      </c>
      <c r="B1515" s="379" t="s">
        <v>88</v>
      </c>
      <c r="C1515" s="102"/>
      <c r="D1515" s="102"/>
      <c r="E1515" s="102"/>
      <c r="F1515" s="102"/>
      <c r="G1515" s="103"/>
      <c r="H1515" s="103"/>
      <c r="I1515" s="102"/>
      <c r="J1515" s="102"/>
      <c r="K1515" s="78"/>
      <c r="L1515" s="104" t="str">
        <f>CONCATENATE(C1515," ",D1515," ",E1515," ",F1515," ",C1516," ",D1516," ",E1516," ",F1516)</f>
        <v xml:space="preserve">       </v>
      </c>
      <c r="M1515" s="105" t="str">
        <f t="shared" si="23"/>
        <v xml:space="preserve">   </v>
      </c>
    </row>
    <row r="1516" spans="1:13" s="53" customFormat="1" hidden="1" x14ac:dyDescent="0.2">
      <c r="A1516" s="377"/>
      <c r="B1516" s="379"/>
      <c r="C1516" s="106"/>
      <c r="D1516" s="107"/>
      <c r="E1516" s="108"/>
      <c r="F1516" s="109"/>
      <c r="G1516" s="103"/>
      <c r="H1516" s="103"/>
      <c r="I1516" s="102"/>
      <c r="J1516" s="102"/>
      <c r="K1516" s="78"/>
      <c r="L1516" s="110"/>
      <c r="M1516" s="105" t="str">
        <f t="shared" si="23"/>
        <v xml:space="preserve">   </v>
      </c>
    </row>
    <row r="1517" spans="1:13" s="53" customFormat="1" hidden="1" x14ac:dyDescent="0.2">
      <c r="A1517" s="377"/>
      <c r="B1517" s="379"/>
      <c r="C1517" s="106"/>
      <c r="D1517" s="107"/>
      <c r="E1517" s="108"/>
      <c r="F1517" s="109"/>
      <c r="G1517" s="103"/>
      <c r="H1517" s="103"/>
      <c r="I1517" s="102"/>
      <c r="J1517" s="102"/>
      <c r="K1517" s="78"/>
      <c r="L1517" s="110"/>
      <c r="M1517" s="105" t="str">
        <f t="shared" si="23"/>
        <v xml:space="preserve">   </v>
      </c>
    </row>
    <row r="1518" spans="1:13" s="53" customFormat="1" hidden="1" x14ac:dyDescent="0.2">
      <c r="A1518" s="377"/>
      <c r="B1518" s="379"/>
      <c r="C1518" s="106"/>
      <c r="D1518" s="107"/>
      <c r="E1518" s="108"/>
      <c r="F1518" s="109"/>
      <c r="G1518" s="103"/>
      <c r="H1518" s="103"/>
      <c r="I1518" s="102"/>
      <c r="J1518" s="102"/>
      <c r="K1518" s="78"/>
      <c r="L1518" s="110"/>
      <c r="M1518" s="105" t="str">
        <f t="shared" si="23"/>
        <v xml:space="preserve">   </v>
      </c>
    </row>
    <row r="1519" spans="1:13" s="53" customFormat="1" hidden="1" x14ac:dyDescent="0.2">
      <c r="A1519" s="377"/>
      <c r="B1519" s="379"/>
      <c r="C1519" s="106"/>
      <c r="D1519" s="107"/>
      <c r="E1519" s="108"/>
      <c r="F1519" s="109"/>
      <c r="G1519" s="103"/>
      <c r="H1519" s="103"/>
      <c r="I1519" s="102"/>
      <c r="J1519" s="102"/>
      <c r="K1519" s="78"/>
      <c r="L1519" s="110"/>
      <c r="M1519" s="105" t="str">
        <f t="shared" si="23"/>
        <v xml:space="preserve">   </v>
      </c>
    </row>
    <row r="1520" spans="1:13" s="53" customFormat="1" hidden="1" x14ac:dyDescent="0.2">
      <c r="A1520" s="377"/>
      <c r="B1520" s="379"/>
      <c r="C1520" s="106"/>
      <c r="D1520" s="107"/>
      <c r="E1520" s="108"/>
      <c r="F1520" s="109"/>
      <c r="G1520" s="103"/>
      <c r="H1520" s="103"/>
      <c r="I1520" s="102"/>
      <c r="J1520" s="102"/>
      <c r="K1520" s="78"/>
      <c r="L1520" s="110"/>
      <c r="M1520" s="105" t="str">
        <f t="shared" si="23"/>
        <v xml:space="preserve">   </v>
      </c>
    </row>
    <row r="1521" spans="1:13" s="53" customFormat="1" hidden="1" x14ac:dyDescent="0.2">
      <c r="A1521" s="377"/>
      <c r="B1521" s="379"/>
      <c r="C1521" s="106"/>
      <c r="D1521" s="107"/>
      <c r="E1521" s="108"/>
      <c r="F1521" s="109"/>
      <c r="G1521" s="103"/>
      <c r="H1521" s="103"/>
      <c r="I1521" s="102"/>
      <c r="J1521" s="102"/>
      <c r="K1521" s="78"/>
      <c r="L1521" s="110"/>
      <c r="M1521" s="105" t="str">
        <f t="shared" si="23"/>
        <v xml:space="preserve">   </v>
      </c>
    </row>
    <row r="1522" spans="1:13" s="53" customFormat="1" hidden="1" x14ac:dyDescent="0.2">
      <c r="A1522" s="377"/>
      <c r="B1522" s="379"/>
      <c r="C1522" s="106"/>
      <c r="D1522" s="107"/>
      <c r="E1522" s="108"/>
      <c r="F1522" s="109"/>
      <c r="G1522" s="103"/>
      <c r="H1522" s="103"/>
      <c r="I1522" s="102"/>
      <c r="J1522" s="102"/>
      <c r="K1522" s="78"/>
      <c r="L1522" s="110"/>
      <c r="M1522" s="105" t="str">
        <f t="shared" si="23"/>
        <v xml:space="preserve">   </v>
      </c>
    </row>
    <row r="1523" spans="1:13" s="53" customFormat="1" hidden="1" x14ac:dyDescent="0.2">
      <c r="A1523" s="377"/>
      <c r="B1523" s="379"/>
      <c r="C1523" s="106"/>
      <c r="D1523" s="107"/>
      <c r="E1523" s="108"/>
      <c r="F1523" s="109"/>
      <c r="G1523" s="103"/>
      <c r="H1523" s="103"/>
      <c r="I1523" s="102"/>
      <c r="J1523" s="102"/>
      <c r="K1523" s="78"/>
      <c r="L1523" s="110"/>
      <c r="M1523" s="105" t="str">
        <f t="shared" si="23"/>
        <v xml:space="preserve">   </v>
      </c>
    </row>
    <row r="1524" spans="1:13" s="53" customFormat="1" hidden="1" x14ac:dyDescent="0.2">
      <c r="A1524" s="377"/>
      <c r="B1524" s="379"/>
      <c r="C1524" s="106"/>
      <c r="D1524" s="107"/>
      <c r="E1524" s="108"/>
      <c r="F1524" s="109"/>
      <c r="G1524" s="103"/>
      <c r="H1524" s="103"/>
      <c r="I1524" s="102"/>
      <c r="J1524" s="102"/>
      <c r="K1524" s="78"/>
      <c r="L1524" s="110"/>
      <c r="M1524" s="105" t="str">
        <f t="shared" si="23"/>
        <v xml:space="preserve">   </v>
      </c>
    </row>
    <row r="1525" spans="1:13" s="53" customFormat="1" ht="12.75" hidden="1" customHeight="1" x14ac:dyDescent="0.2">
      <c r="A1525" s="377" t="s">
        <v>101</v>
      </c>
      <c r="B1525" s="379" t="s">
        <v>88</v>
      </c>
      <c r="C1525" s="102"/>
      <c r="D1525" s="102"/>
      <c r="E1525" s="102"/>
      <c r="F1525" s="102"/>
      <c r="G1525" s="103"/>
      <c r="H1525" s="103"/>
      <c r="I1525" s="102"/>
      <c r="J1525" s="102"/>
      <c r="K1525" s="78"/>
      <c r="L1525" s="104" t="str">
        <f>CONCATENATE(C1525," ",D1525," ",E1525," ",F1525," ",C1526," ",D1526," ",E1526," ",F1526)</f>
        <v xml:space="preserve">       </v>
      </c>
      <c r="M1525" s="105" t="str">
        <f t="shared" si="23"/>
        <v xml:space="preserve">   </v>
      </c>
    </row>
    <row r="1526" spans="1:13" s="53" customFormat="1" hidden="1" x14ac:dyDescent="0.2">
      <c r="A1526" s="377"/>
      <c r="B1526" s="379"/>
      <c r="C1526" s="106"/>
      <c r="D1526" s="107"/>
      <c r="E1526" s="108"/>
      <c r="F1526" s="109"/>
      <c r="G1526" s="103"/>
      <c r="H1526" s="103"/>
      <c r="I1526" s="102"/>
      <c r="J1526" s="102"/>
      <c r="K1526" s="78"/>
      <c r="L1526" s="110"/>
      <c r="M1526" s="105" t="str">
        <f t="shared" si="23"/>
        <v xml:space="preserve">   </v>
      </c>
    </row>
    <row r="1527" spans="1:13" s="53" customFormat="1" hidden="1" x14ac:dyDescent="0.2">
      <c r="A1527" s="377"/>
      <c r="B1527" s="379"/>
      <c r="C1527" s="106"/>
      <c r="D1527" s="107"/>
      <c r="E1527" s="108"/>
      <c r="F1527" s="109"/>
      <c r="G1527" s="103"/>
      <c r="H1527" s="103"/>
      <c r="I1527" s="102"/>
      <c r="J1527" s="102"/>
      <c r="K1527" s="78"/>
      <c r="L1527" s="110"/>
      <c r="M1527" s="105" t="str">
        <f t="shared" si="23"/>
        <v xml:space="preserve">   </v>
      </c>
    </row>
    <row r="1528" spans="1:13" s="53" customFormat="1" hidden="1" x14ac:dyDescent="0.2">
      <c r="A1528" s="377"/>
      <c r="B1528" s="379"/>
      <c r="C1528" s="106"/>
      <c r="D1528" s="107"/>
      <c r="E1528" s="108"/>
      <c r="F1528" s="109"/>
      <c r="G1528" s="103"/>
      <c r="H1528" s="103"/>
      <c r="I1528" s="102"/>
      <c r="J1528" s="102"/>
      <c r="K1528" s="78"/>
      <c r="L1528" s="110"/>
      <c r="M1528" s="105" t="str">
        <f t="shared" si="23"/>
        <v xml:space="preserve">   </v>
      </c>
    </row>
    <row r="1529" spans="1:13" s="53" customFormat="1" hidden="1" x14ac:dyDescent="0.2">
      <c r="A1529" s="377"/>
      <c r="B1529" s="379"/>
      <c r="C1529" s="106"/>
      <c r="D1529" s="107"/>
      <c r="E1529" s="108"/>
      <c r="F1529" s="109"/>
      <c r="G1529" s="103"/>
      <c r="H1529" s="103"/>
      <c r="I1529" s="102"/>
      <c r="J1529" s="102"/>
      <c r="K1529" s="78"/>
      <c r="L1529" s="110"/>
      <c r="M1529" s="105" t="str">
        <f t="shared" si="23"/>
        <v xml:space="preserve">   </v>
      </c>
    </row>
    <row r="1530" spans="1:13" s="53" customFormat="1" hidden="1" x14ac:dyDescent="0.2">
      <c r="A1530" s="377"/>
      <c r="B1530" s="379"/>
      <c r="C1530" s="106"/>
      <c r="D1530" s="107"/>
      <c r="E1530" s="108"/>
      <c r="F1530" s="109"/>
      <c r="G1530" s="103"/>
      <c r="H1530" s="103"/>
      <c r="I1530" s="102"/>
      <c r="J1530" s="102"/>
      <c r="K1530" s="78"/>
      <c r="L1530" s="110"/>
      <c r="M1530" s="105" t="str">
        <f t="shared" si="23"/>
        <v xml:space="preserve">   </v>
      </c>
    </row>
    <row r="1531" spans="1:13" s="53" customFormat="1" hidden="1" x14ac:dyDescent="0.2">
      <c r="A1531" s="377"/>
      <c r="B1531" s="379"/>
      <c r="C1531" s="106"/>
      <c r="D1531" s="107"/>
      <c r="E1531" s="108"/>
      <c r="F1531" s="109"/>
      <c r="G1531" s="103"/>
      <c r="H1531" s="103"/>
      <c r="I1531" s="102"/>
      <c r="J1531" s="102"/>
      <c r="K1531" s="78"/>
      <c r="L1531" s="110"/>
      <c r="M1531" s="105" t="str">
        <f t="shared" si="23"/>
        <v xml:space="preserve">   </v>
      </c>
    </row>
    <row r="1532" spans="1:13" s="53" customFormat="1" hidden="1" x14ac:dyDescent="0.2">
      <c r="A1532" s="377"/>
      <c r="B1532" s="379"/>
      <c r="C1532" s="106"/>
      <c r="D1532" s="107"/>
      <c r="E1532" s="108"/>
      <c r="F1532" s="109"/>
      <c r="G1532" s="103"/>
      <c r="H1532" s="103"/>
      <c r="I1532" s="102"/>
      <c r="J1532" s="102"/>
      <c r="K1532" s="78"/>
      <c r="L1532" s="110"/>
      <c r="M1532" s="105" t="str">
        <f t="shared" si="23"/>
        <v xml:space="preserve">   </v>
      </c>
    </row>
    <row r="1533" spans="1:13" s="53" customFormat="1" hidden="1" x14ac:dyDescent="0.2">
      <c r="A1533" s="377"/>
      <c r="B1533" s="379"/>
      <c r="C1533" s="106"/>
      <c r="D1533" s="107"/>
      <c r="E1533" s="108"/>
      <c r="F1533" s="109"/>
      <c r="G1533" s="103"/>
      <c r="H1533" s="103"/>
      <c r="I1533" s="102"/>
      <c r="J1533" s="102"/>
      <c r="K1533" s="78"/>
      <c r="L1533" s="110"/>
      <c r="M1533" s="105" t="str">
        <f t="shared" si="23"/>
        <v xml:space="preserve">   </v>
      </c>
    </row>
    <row r="1534" spans="1:13" s="53" customFormat="1" hidden="1" x14ac:dyDescent="0.2">
      <c r="A1534" s="377"/>
      <c r="B1534" s="379"/>
      <c r="C1534" s="106"/>
      <c r="D1534" s="107"/>
      <c r="E1534" s="108"/>
      <c r="F1534" s="109"/>
      <c r="G1534" s="103"/>
      <c r="H1534" s="103"/>
      <c r="I1534" s="102"/>
      <c r="J1534" s="102"/>
      <c r="K1534" s="78"/>
      <c r="L1534" s="110"/>
      <c r="M1534" s="105" t="str">
        <f t="shared" si="23"/>
        <v xml:space="preserve">   </v>
      </c>
    </row>
    <row r="1535" spans="1:13" s="53" customFormat="1" ht="12.75" hidden="1" customHeight="1" x14ac:dyDescent="0.2">
      <c r="A1535" s="377" t="s">
        <v>101</v>
      </c>
      <c r="B1535" s="379" t="s">
        <v>88</v>
      </c>
      <c r="C1535" s="102"/>
      <c r="D1535" s="102"/>
      <c r="E1535" s="102"/>
      <c r="F1535" s="102"/>
      <c r="G1535" s="103"/>
      <c r="H1535" s="103"/>
      <c r="I1535" s="102"/>
      <c r="J1535" s="102"/>
      <c r="K1535" s="78"/>
      <c r="L1535" s="104" t="str">
        <f>CONCATENATE(C1535," ",D1535," ",E1535," ",F1535," ",C1536," ",D1536," ",E1536," ",F1536)</f>
        <v xml:space="preserve">       </v>
      </c>
      <c r="M1535" s="105" t="str">
        <f t="shared" si="23"/>
        <v xml:space="preserve">   </v>
      </c>
    </row>
    <row r="1536" spans="1:13" s="53" customFormat="1" hidden="1" x14ac:dyDescent="0.2">
      <c r="A1536" s="377"/>
      <c r="B1536" s="379"/>
      <c r="C1536" s="106"/>
      <c r="D1536" s="107"/>
      <c r="E1536" s="108"/>
      <c r="F1536" s="109"/>
      <c r="G1536" s="103"/>
      <c r="H1536" s="103"/>
      <c r="I1536" s="102"/>
      <c r="J1536" s="102"/>
      <c r="K1536" s="78"/>
      <c r="L1536" s="110"/>
      <c r="M1536" s="105" t="str">
        <f t="shared" si="23"/>
        <v xml:space="preserve">   </v>
      </c>
    </row>
    <row r="1537" spans="1:13" s="53" customFormat="1" hidden="1" x14ac:dyDescent="0.2">
      <c r="A1537" s="377"/>
      <c r="B1537" s="379"/>
      <c r="C1537" s="106"/>
      <c r="D1537" s="107"/>
      <c r="E1537" s="108"/>
      <c r="F1537" s="109"/>
      <c r="G1537" s="103"/>
      <c r="H1537" s="103"/>
      <c r="I1537" s="102"/>
      <c r="J1537" s="102"/>
      <c r="K1537" s="78"/>
      <c r="L1537" s="110"/>
      <c r="M1537" s="105" t="str">
        <f t="shared" si="23"/>
        <v xml:space="preserve">   </v>
      </c>
    </row>
    <row r="1538" spans="1:13" s="53" customFormat="1" hidden="1" x14ac:dyDescent="0.2">
      <c r="A1538" s="377"/>
      <c r="B1538" s="379"/>
      <c r="C1538" s="106"/>
      <c r="D1538" s="107"/>
      <c r="E1538" s="108"/>
      <c r="F1538" s="109"/>
      <c r="G1538" s="103"/>
      <c r="H1538" s="103"/>
      <c r="I1538" s="102"/>
      <c r="J1538" s="102"/>
      <c r="K1538" s="78"/>
      <c r="L1538" s="110"/>
      <c r="M1538" s="105" t="str">
        <f t="shared" si="23"/>
        <v xml:space="preserve">   </v>
      </c>
    </row>
    <row r="1539" spans="1:13" s="53" customFormat="1" hidden="1" x14ac:dyDescent="0.2">
      <c r="A1539" s="377"/>
      <c r="B1539" s="379"/>
      <c r="C1539" s="106"/>
      <c r="D1539" s="107"/>
      <c r="E1539" s="108"/>
      <c r="F1539" s="109"/>
      <c r="G1539" s="103"/>
      <c r="H1539" s="103"/>
      <c r="I1539" s="102"/>
      <c r="J1539" s="102"/>
      <c r="K1539" s="78"/>
      <c r="L1539" s="110"/>
      <c r="M1539" s="105" t="str">
        <f t="shared" si="23"/>
        <v xml:space="preserve">   </v>
      </c>
    </row>
    <row r="1540" spans="1:13" s="53" customFormat="1" hidden="1" x14ac:dyDescent="0.2">
      <c r="A1540" s="377"/>
      <c r="B1540" s="379"/>
      <c r="C1540" s="106"/>
      <c r="D1540" s="107"/>
      <c r="E1540" s="108"/>
      <c r="F1540" s="109"/>
      <c r="G1540" s="103"/>
      <c r="H1540" s="103"/>
      <c r="I1540" s="102"/>
      <c r="J1540" s="102"/>
      <c r="K1540" s="78"/>
      <c r="L1540" s="110"/>
      <c r="M1540" s="105" t="str">
        <f t="shared" si="23"/>
        <v xml:space="preserve">   </v>
      </c>
    </row>
    <row r="1541" spans="1:13" s="53" customFormat="1" hidden="1" x14ac:dyDescent="0.2">
      <c r="A1541" s="377"/>
      <c r="B1541" s="379"/>
      <c r="C1541" s="106"/>
      <c r="D1541" s="107"/>
      <c r="E1541" s="108"/>
      <c r="F1541" s="109"/>
      <c r="G1541" s="103"/>
      <c r="H1541" s="103"/>
      <c r="I1541" s="102"/>
      <c r="J1541" s="102"/>
      <c r="K1541" s="78"/>
      <c r="L1541" s="110"/>
      <c r="M1541" s="105" t="str">
        <f t="shared" si="23"/>
        <v xml:space="preserve">   </v>
      </c>
    </row>
    <row r="1542" spans="1:13" s="53" customFormat="1" hidden="1" x14ac:dyDescent="0.2">
      <c r="A1542" s="377"/>
      <c r="B1542" s="379"/>
      <c r="C1542" s="106"/>
      <c r="D1542" s="107"/>
      <c r="E1542" s="108"/>
      <c r="F1542" s="109"/>
      <c r="G1542" s="103"/>
      <c r="H1542" s="103"/>
      <c r="I1542" s="102"/>
      <c r="J1542" s="102"/>
      <c r="K1542" s="78"/>
      <c r="L1542" s="110"/>
      <c r="M1542" s="105" t="str">
        <f t="shared" si="23"/>
        <v xml:space="preserve">   </v>
      </c>
    </row>
    <row r="1543" spans="1:13" s="53" customFormat="1" hidden="1" x14ac:dyDescent="0.2">
      <c r="A1543" s="377"/>
      <c r="B1543" s="379"/>
      <c r="C1543" s="106"/>
      <c r="D1543" s="107"/>
      <c r="E1543" s="108"/>
      <c r="F1543" s="109"/>
      <c r="G1543" s="103"/>
      <c r="H1543" s="103"/>
      <c r="I1543" s="102"/>
      <c r="J1543" s="102"/>
      <c r="K1543" s="78"/>
      <c r="L1543" s="110"/>
      <c r="M1543" s="105" t="str">
        <f t="shared" si="23"/>
        <v xml:space="preserve">   </v>
      </c>
    </row>
    <row r="1544" spans="1:13" s="53" customFormat="1" hidden="1" x14ac:dyDescent="0.2">
      <c r="A1544" s="377"/>
      <c r="B1544" s="379"/>
      <c r="C1544" s="106"/>
      <c r="D1544" s="107"/>
      <c r="E1544" s="108"/>
      <c r="F1544" s="109"/>
      <c r="G1544" s="103"/>
      <c r="H1544" s="103"/>
      <c r="I1544" s="102"/>
      <c r="J1544" s="102"/>
      <c r="K1544" s="78"/>
      <c r="L1544" s="110"/>
      <c r="M1544" s="105" t="str">
        <f t="shared" si="23"/>
        <v xml:space="preserve">   </v>
      </c>
    </row>
    <row r="1545" spans="1:13" s="53" customFormat="1" ht="12.75" hidden="1" customHeight="1" x14ac:dyDescent="0.2">
      <c r="A1545" s="377" t="s">
        <v>101</v>
      </c>
      <c r="B1545" s="379" t="s">
        <v>88</v>
      </c>
      <c r="C1545" s="102"/>
      <c r="D1545" s="102"/>
      <c r="E1545" s="102"/>
      <c r="F1545" s="102"/>
      <c r="G1545" s="103"/>
      <c r="H1545" s="103"/>
      <c r="I1545" s="102"/>
      <c r="J1545" s="102"/>
      <c r="K1545" s="78"/>
      <c r="L1545" s="104" t="str">
        <f>CONCATENATE(C1545," ",D1545," ",E1545," ",F1545," ",C1546," ",D1546," ",E1546," ",F1546)</f>
        <v xml:space="preserve">       </v>
      </c>
      <c r="M1545" s="105" t="str">
        <f t="shared" si="23"/>
        <v xml:space="preserve">   </v>
      </c>
    </row>
    <row r="1546" spans="1:13" s="53" customFormat="1" hidden="1" x14ac:dyDescent="0.2">
      <c r="A1546" s="377"/>
      <c r="B1546" s="379"/>
      <c r="C1546" s="106"/>
      <c r="D1546" s="107"/>
      <c r="E1546" s="108"/>
      <c r="F1546" s="109"/>
      <c r="G1546" s="103"/>
      <c r="H1546" s="103"/>
      <c r="I1546" s="102"/>
      <c r="J1546" s="102"/>
      <c r="K1546" s="78"/>
      <c r="L1546" s="110"/>
      <c r="M1546" s="105" t="str">
        <f t="shared" si="23"/>
        <v xml:space="preserve">   </v>
      </c>
    </row>
    <row r="1547" spans="1:13" s="53" customFormat="1" hidden="1" x14ac:dyDescent="0.2">
      <c r="A1547" s="377"/>
      <c r="B1547" s="379"/>
      <c r="C1547" s="106"/>
      <c r="D1547" s="107"/>
      <c r="E1547" s="108"/>
      <c r="F1547" s="109"/>
      <c r="G1547" s="103"/>
      <c r="H1547" s="103"/>
      <c r="I1547" s="102"/>
      <c r="J1547" s="102"/>
      <c r="K1547" s="78"/>
      <c r="L1547" s="110"/>
      <c r="M1547" s="105" t="str">
        <f t="shared" ref="M1547:M1610" si="24">CONCATENATE(G1547," ",H1547," ",I1547," ",J1547)</f>
        <v xml:space="preserve">   </v>
      </c>
    </row>
    <row r="1548" spans="1:13" s="53" customFormat="1" hidden="1" x14ac:dyDescent="0.2">
      <c r="A1548" s="377"/>
      <c r="B1548" s="379"/>
      <c r="C1548" s="106"/>
      <c r="D1548" s="107"/>
      <c r="E1548" s="108"/>
      <c r="F1548" s="109"/>
      <c r="G1548" s="103"/>
      <c r="H1548" s="103"/>
      <c r="I1548" s="102"/>
      <c r="J1548" s="102"/>
      <c r="K1548" s="78"/>
      <c r="L1548" s="110"/>
      <c r="M1548" s="105" t="str">
        <f t="shared" si="24"/>
        <v xml:space="preserve">   </v>
      </c>
    </row>
    <row r="1549" spans="1:13" s="53" customFormat="1" hidden="1" x14ac:dyDescent="0.2">
      <c r="A1549" s="377"/>
      <c r="B1549" s="379"/>
      <c r="C1549" s="106"/>
      <c r="D1549" s="107"/>
      <c r="E1549" s="108"/>
      <c r="F1549" s="109"/>
      <c r="G1549" s="103"/>
      <c r="H1549" s="103"/>
      <c r="I1549" s="102"/>
      <c r="J1549" s="102"/>
      <c r="K1549" s="78"/>
      <c r="L1549" s="110"/>
      <c r="M1549" s="105" t="str">
        <f t="shared" si="24"/>
        <v xml:space="preserve">   </v>
      </c>
    </row>
    <row r="1550" spans="1:13" s="53" customFormat="1" hidden="1" x14ac:dyDescent="0.2">
      <c r="A1550" s="377"/>
      <c r="B1550" s="379"/>
      <c r="C1550" s="106"/>
      <c r="D1550" s="107"/>
      <c r="E1550" s="108"/>
      <c r="F1550" s="109"/>
      <c r="G1550" s="103"/>
      <c r="H1550" s="103"/>
      <c r="I1550" s="102"/>
      <c r="J1550" s="102"/>
      <c r="K1550" s="78"/>
      <c r="L1550" s="110"/>
      <c r="M1550" s="105" t="str">
        <f t="shared" si="24"/>
        <v xml:space="preserve">   </v>
      </c>
    </row>
    <row r="1551" spans="1:13" s="53" customFormat="1" hidden="1" x14ac:dyDescent="0.2">
      <c r="A1551" s="377"/>
      <c r="B1551" s="379"/>
      <c r="C1551" s="106"/>
      <c r="D1551" s="107"/>
      <c r="E1551" s="108"/>
      <c r="F1551" s="109"/>
      <c r="G1551" s="103"/>
      <c r="H1551" s="103"/>
      <c r="I1551" s="102"/>
      <c r="J1551" s="102"/>
      <c r="K1551" s="78"/>
      <c r="L1551" s="110"/>
      <c r="M1551" s="105" t="str">
        <f t="shared" si="24"/>
        <v xml:space="preserve">   </v>
      </c>
    </row>
    <row r="1552" spans="1:13" s="53" customFormat="1" hidden="1" x14ac:dyDescent="0.2">
      <c r="A1552" s="377"/>
      <c r="B1552" s="379"/>
      <c r="C1552" s="106"/>
      <c r="D1552" s="107"/>
      <c r="E1552" s="108"/>
      <c r="F1552" s="109"/>
      <c r="G1552" s="103"/>
      <c r="H1552" s="103"/>
      <c r="I1552" s="102"/>
      <c r="J1552" s="102"/>
      <c r="K1552" s="78"/>
      <c r="L1552" s="110"/>
      <c r="M1552" s="105" t="str">
        <f t="shared" si="24"/>
        <v xml:space="preserve">   </v>
      </c>
    </row>
    <row r="1553" spans="1:13" s="53" customFormat="1" hidden="1" x14ac:dyDescent="0.2">
      <c r="A1553" s="377"/>
      <c r="B1553" s="379"/>
      <c r="C1553" s="106"/>
      <c r="D1553" s="107"/>
      <c r="E1553" s="108"/>
      <c r="F1553" s="109"/>
      <c r="G1553" s="103"/>
      <c r="H1553" s="103"/>
      <c r="I1553" s="102"/>
      <c r="J1553" s="102"/>
      <c r="K1553" s="78"/>
      <c r="L1553" s="110"/>
      <c r="M1553" s="105" t="str">
        <f t="shared" si="24"/>
        <v xml:space="preserve">   </v>
      </c>
    </row>
    <row r="1554" spans="1:13" s="53" customFormat="1" hidden="1" x14ac:dyDescent="0.2">
      <c r="A1554" s="377"/>
      <c r="B1554" s="379"/>
      <c r="C1554" s="106"/>
      <c r="D1554" s="107"/>
      <c r="E1554" s="108"/>
      <c r="F1554" s="109"/>
      <c r="G1554" s="103"/>
      <c r="H1554" s="103"/>
      <c r="I1554" s="102"/>
      <c r="J1554" s="102"/>
      <c r="K1554" s="78"/>
      <c r="L1554" s="110"/>
      <c r="M1554" s="105" t="str">
        <f t="shared" si="24"/>
        <v xml:space="preserve">   </v>
      </c>
    </row>
    <row r="1555" spans="1:13" s="53" customFormat="1" ht="12.75" hidden="1" customHeight="1" x14ac:dyDescent="0.2">
      <c r="A1555" s="377" t="s">
        <v>101</v>
      </c>
      <c r="B1555" s="379" t="s">
        <v>88</v>
      </c>
      <c r="C1555" s="102"/>
      <c r="D1555" s="102"/>
      <c r="E1555" s="102"/>
      <c r="F1555" s="102"/>
      <c r="G1555" s="103"/>
      <c r="H1555" s="103"/>
      <c r="I1555" s="102"/>
      <c r="J1555" s="102"/>
      <c r="K1555" s="78"/>
      <c r="L1555" s="104" t="str">
        <f>CONCATENATE(C1555," ",D1555," ",E1555," ",F1555," ",C1556," ",D1556," ",E1556," ",F1556)</f>
        <v xml:space="preserve">       </v>
      </c>
      <c r="M1555" s="105" t="str">
        <f t="shared" si="24"/>
        <v xml:space="preserve">   </v>
      </c>
    </row>
    <row r="1556" spans="1:13" s="53" customFormat="1" hidden="1" x14ac:dyDescent="0.2">
      <c r="A1556" s="377"/>
      <c r="B1556" s="379"/>
      <c r="C1556" s="106"/>
      <c r="D1556" s="107"/>
      <c r="E1556" s="108"/>
      <c r="F1556" s="109"/>
      <c r="G1556" s="103"/>
      <c r="H1556" s="103"/>
      <c r="I1556" s="102"/>
      <c r="J1556" s="102"/>
      <c r="K1556" s="78"/>
      <c r="L1556" s="110"/>
      <c r="M1556" s="105" t="str">
        <f t="shared" si="24"/>
        <v xml:space="preserve">   </v>
      </c>
    </row>
    <row r="1557" spans="1:13" s="53" customFormat="1" hidden="1" x14ac:dyDescent="0.2">
      <c r="A1557" s="377"/>
      <c r="B1557" s="379"/>
      <c r="C1557" s="106"/>
      <c r="D1557" s="107"/>
      <c r="E1557" s="108"/>
      <c r="F1557" s="109"/>
      <c r="G1557" s="103"/>
      <c r="H1557" s="103"/>
      <c r="I1557" s="102"/>
      <c r="J1557" s="102"/>
      <c r="K1557" s="78"/>
      <c r="L1557" s="110"/>
      <c r="M1557" s="105" t="str">
        <f t="shared" si="24"/>
        <v xml:space="preserve">   </v>
      </c>
    </row>
    <row r="1558" spans="1:13" s="53" customFormat="1" hidden="1" x14ac:dyDescent="0.2">
      <c r="A1558" s="377"/>
      <c r="B1558" s="379"/>
      <c r="C1558" s="106"/>
      <c r="D1558" s="107"/>
      <c r="E1558" s="108"/>
      <c r="F1558" s="109"/>
      <c r="G1558" s="103"/>
      <c r="H1558" s="103"/>
      <c r="I1558" s="102"/>
      <c r="J1558" s="102"/>
      <c r="K1558" s="78"/>
      <c r="L1558" s="110"/>
      <c r="M1558" s="105" t="str">
        <f t="shared" si="24"/>
        <v xml:space="preserve">   </v>
      </c>
    </row>
    <row r="1559" spans="1:13" s="53" customFormat="1" hidden="1" x14ac:dyDescent="0.2">
      <c r="A1559" s="377"/>
      <c r="B1559" s="379"/>
      <c r="C1559" s="106"/>
      <c r="D1559" s="107"/>
      <c r="E1559" s="108"/>
      <c r="F1559" s="109"/>
      <c r="G1559" s="103"/>
      <c r="H1559" s="103"/>
      <c r="I1559" s="102"/>
      <c r="J1559" s="102"/>
      <c r="K1559" s="78"/>
      <c r="L1559" s="110"/>
      <c r="M1559" s="105" t="str">
        <f t="shared" si="24"/>
        <v xml:space="preserve">   </v>
      </c>
    </row>
    <row r="1560" spans="1:13" s="53" customFormat="1" hidden="1" x14ac:dyDescent="0.2">
      <c r="A1560" s="377"/>
      <c r="B1560" s="379"/>
      <c r="C1560" s="106"/>
      <c r="D1560" s="107"/>
      <c r="E1560" s="108"/>
      <c r="F1560" s="109"/>
      <c r="G1560" s="103"/>
      <c r="H1560" s="103"/>
      <c r="I1560" s="102"/>
      <c r="J1560" s="102"/>
      <c r="K1560" s="78"/>
      <c r="L1560" s="110"/>
      <c r="M1560" s="105" t="str">
        <f t="shared" si="24"/>
        <v xml:space="preserve">   </v>
      </c>
    </row>
    <row r="1561" spans="1:13" s="53" customFormat="1" hidden="1" x14ac:dyDescent="0.2">
      <c r="A1561" s="377"/>
      <c r="B1561" s="379"/>
      <c r="C1561" s="106"/>
      <c r="D1561" s="107"/>
      <c r="E1561" s="108"/>
      <c r="F1561" s="109"/>
      <c r="G1561" s="103"/>
      <c r="H1561" s="103"/>
      <c r="I1561" s="102"/>
      <c r="J1561" s="102"/>
      <c r="K1561" s="78"/>
      <c r="L1561" s="110"/>
      <c r="M1561" s="105" t="str">
        <f t="shared" si="24"/>
        <v xml:space="preserve">   </v>
      </c>
    </row>
    <row r="1562" spans="1:13" s="53" customFormat="1" hidden="1" x14ac:dyDescent="0.2">
      <c r="A1562" s="377"/>
      <c r="B1562" s="379"/>
      <c r="C1562" s="106"/>
      <c r="D1562" s="107"/>
      <c r="E1562" s="108"/>
      <c r="F1562" s="109"/>
      <c r="G1562" s="103"/>
      <c r="H1562" s="103"/>
      <c r="I1562" s="102"/>
      <c r="J1562" s="102"/>
      <c r="K1562" s="78"/>
      <c r="L1562" s="110"/>
      <c r="M1562" s="105" t="str">
        <f t="shared" si="24"/>
        <v xml:space="preserve">   </v>
      </c>
    </row>
    <row r="1563" spans="1:13" s="53" customFormat="1" hidden="1" x14ac:dyDescent="0.2">
      <c r="A1563" s="377"/>
      <c r="B1563" s="379"/>
      <c r="C1563" s="106"/>
      <c r="D1563" s="107"/>
      <c r="E1563" s="108"/>
      <c r="F1563" s="109"/>
      <c r="G1563" s="103"/>
      <c r="H1563" s="103"/>
      <c r="I1563" s="102"/>
      <c r="J1563" s="102"/>
      <c r="K1563" s="78"/>
      <c r="L1563" s="110"/>
      <c r="M1563" s="105" t="str">
        <f t="shared" si="24"/>
        <v xml:space="preserve">   </v>
      </c>
    </row>
    <row r="1564" spans="1:13" s="53" customFormat="1" hidden="1" x14ac:dyDescent="0.2">
      <c r="A1564" s="377"/>
      <c r="B1564" s="379"/>
      <c r="C1564" s="106"/>
      <c r="D1564" s="107"/>
      <c r="E1564" s="108"/>
      <c r="F1564" s="109"/>
      <c r="G1564" s="103"/>
      <c r="H1564" s="103"/>
      <c r="I1564" s="102"/>
      <c r="J1564" s="102"/>
      <c r="K1564" s="78"/>
      <c r="L1564" s="110"/>
      <c r="M1564" s="105" t="str">
        <f t="shared" si="24"/>
        <v xml:space="preserve">   </v>
      </c>
    </row>
    <row r="1565" spans="1:13" s="53" customFormat="1" ht="12.75" hidden="1" customHeight="1" x14ac:dyDescent="0.2">
      <c r="A1565" s="377" t="s">
        <v>101</v>
      </c>
      <c r="B1565" s="379" t="s">
        <v>88</v>
      </c>
      <c r="C1565" s="102"/>
      <c r="D1565" s="102"/>
      <c r="E1565" s="102"/>
      <c r="F1565" s="102"/>
      <c r="G1565" s="103"/>
      <c r="H1565" s="103"/>
      <c r="I1565" s="102"/>
      <c r="J1565" s="102"/>
      <c r="K1565" s="78"/>
      <c r="L1565" s="104" t="str">
        <f>CONCATENATE(C1565," ",D1565," ",E1565," ",F1565," ",C1566," ",D1566," ",E1566," ",F1566)</f>
        <v xml:space="preserve">       </v>
      </c>
      <c r="M1565" s="105" t="str">
        <f t="shared" si="24"/>
        <v xml:space="preserve">   </v>
      </c>
    </row>
    <row r="1566" spans="1:13" s="53" customFormat="1" hidden="1" x14ac:dyDescent="0.2">
      <c r="A1566" s="377"/>
      <c r="B1566" s="379"/>
      <c r="C1566" s="106"/>
      <c r="D1566" s="107"/>
      <c r="E1566" s="108"/>
      <c r="F1566" s="109"/>
      <c r="G1566" s="103"/>
      <c r="H1566" s="103"/>
      <c r="I1566" s="102"/>
      <c r="J1566" s="102"/>
      <c r="K1566" s="78"/>
      <c r="L1566" s="110"/>
      <c r="M1566" s="105" t="str">
        <f t="shared" si="24"/>
        <v xml:space="preserve">   </v>
      </c>
    </row>
    <row r="1567" spans="1:13" s="53" customFormat="1" hidden="1" x14ac:dyDescent="0.2">
      <c r="A1567" s="377"/>
      <c r="B1567" s="379"/>
      <c r="C1567" s="106"/>
      <c r="D1567" s="107"/>
      <c r="E1567" s="108"/>
      <c r="F1567" s="109"/>
      <c r="G1567" s="103"/>
      <c r="H1567" s="103"/>
      <c r="I1567" s="102"/>
      <c r="J1567" s="102"/>
      <c r="K1567" s="78"/>
      <c r="L1567" s="110"/>
      <c r="M1567" s="105" t="str">
        <f t="shared" si="24"/>
        <v xml:space="preserve">   </v>
      </c>
    </row>
    <row r="1568" spans="1:13" s="53" customFormat="1" hidden="1" x14ac:dyDescent="0.2">
      <c r="A1568" s="377"/>
      <c r="B1568" s="379"/>
      <c r="C1568" s="106"/>
      <c r="D1568" s="107"/>
      <c r="E1568" s="108"/>
      <c r="F1568" s="109"/>
      <c r="G1568" s="103"/>
      <c r="H1568" s="103"/>
      <c r="I1568" s="102"/>
      <c r="J1568" s="102"/>
      <c r="K1568" s="78"/>
      <c r="L1568" s="110"/>
      <c r="M1568" s="105" t="str">
        <f t="shared" si="24"/>
        <v xml:space="preserve">   </v>
      </c>
    </row>
    <row r="1569" spans="1:13" s="53" customFormat="1" hidden="1" x14ac:dyDescent="0.2">
      <c r="A1569" s="377"/>
      <c r="B1569" s="379"/>
      <c r="C1569" s="106"/>
      <c r="D1569" s="107"/>
      <c r="E1569" s="108"/>
      <c r="F1569" s="109"/>
      <c r="G1569" s="103"/>
      <c r="H1569" s="103"/>
      <c r="I1569" s="102"/>
      <c r="J1569" s="102"/>
      <c r="K1569" s="78"/>
      <c r="L1569" s="110"/>
      <c r="M1569" s="105" t="str">
        <f t="shared" si="24"/>
        <v xml:space="preserve">   </v>
      </c>
    </row>
    <row r="1570" spans="1:13" s="53" customFormat="1" hidden="1" x14ac:dyDescent="0.2">
      <c r="A1570" s="377"/>
      <c r="B1570" s="379"/>
      <c r="C1570" s="106"/>
      <c r="D1570" s="107"/>
      <c r="E1570" s="108"/>
      <c r="F1570" s="109"/>
      <c r="G1570" s="103"/>
      <c r="H1570" s="103"/>
      <c r="I1570" s="102"/>
      <c r="J1570" s="102"/>
      <c r="K1570" s="78"/>
      <c r="L1570" s="110"/>
      <c r="M1570" s="105" t="str">
        <f t="shared" si="24"/>
        <v xml:space="preserve">   </v>
      </c>
    </row>
    <row r="1571" spans="1:13" s="53" customFormat="1" hidden="1" x14ac:dyDescent="0.2">
      <c r="A1571" s="377"/>
      <c r="B1571" s="379"/>
      <c r="C1571" s="106"/>
      <c r="D1571" s="107"/>
      <c r="E1571" s="108"/>
      <c r="F1571" s="109"/>
      <c r="G1571" s="103"/>
      <c r="H1571" s="103"/>
      <c r="I1571" s="102"/>
      <c r="J1571" s="102"/>
      <c r="K1571" s="78"/>
      <c r="L1571" s="110"/>
      <c r="M1571" s="105" t="str">
        <f t="shared" si="24"/>
        <v xml:space="preserve">   </v>
      </c>
    </row>
    <row r="1572" spans="1:13" s="53" customFormat="1" hidden="1" x14ac:dyDescent="0.2">
      <c r="A1572" s="377"/>
      <c r="B1572" s="379"/>
      <c r="C1572" s="106"/>
      <c r="D1572" s="107"/>
      <c r="E1572" s="108"/>
      <c r="F1572" s="109"/>
      <c r="G1572" s="103"/>
      <c r="H1572" s="103"/>
      <c r="I1572" s="102"/>
      <c r="J1572" s="102"/>
      <c r="K1572" s="78"/>
      <c r="L1572" s="110"/>
      <c r="M1572" s="105" t="str">
        <f t="shared" si="24"/>
        <v xml:space="preserve">   </v>
      </c>
    </row>
    <row r="1573" spans="1:13" s="53" customFormat="1" hidden="1" x14ac:dyDescent="0.2">
      <c r="A1573" s="377"/>
      <c r="B1573" s="379"/>
      <c r="C1573" s="106"/>
      <c r="D1573" s="107"/>
      <c r="E1573" s="108"/>
      <c r="F1573" s="109"/>
      <c r="G1573" s="103"/>
      <c r="H1573" s="103"/>
      <c r="I1573" s="102"/>
      <c r="J1573" s="102"/>
      <c r="K1573" s="78"/>
      <c r="L1573" s="110"/>
      <c r="M1573" s="105" t="str">
        <f t="shared" si="24"/>
        <v xml:space="preserve">   </v>
      </c>
    </row>
    <row r="1574" spans="1:13" s="53" customFormat="1" hidden="1" x14ac:dyDescent="0.2">
      <c r="A1574" s="377"/>
      <c r="B1574" s="379"/>
      <c r="C1574" s="106"/>
      <c r="D1574" s="107"/>
      <c r="E1574" s="108"/>
      <c r="F1574" s="109"/>
      <c r="G1574" s="103"/>
      <c r="H1574" s="103"/>
      <c r="I1574" s="102"/>
      <c r="J1574" s="102"/>
      <c r="K1574" s="78"/>
      <c r="L1574" s="110"/>
      <c r="M1574" s="105" t="str">
        <f t="shared" si="24"/>
        <v xml:space="preserve">   </v>
      </c>
    </row>
    <row r="1575" spans="1:13" s="53" customFormat="1" ht="12.75" hidden="1" customHeight="1" x14ac:dyDescent="0.2">
      <c r="A1575" s="377" t="s">
        <v>101</v>
      </c>
      <c r="B1575" s="379" t="s">
        <v>88</v>
      </c>
      <c r="C1575" s="102"/>
      <c r="D1575" s="102"/>
      <c r="E1575" s="102"/>
      <c r="F1575" s="102"/>
      <c r="G1575" s="103"/>
      <c r="H1575" s="103"/>
      <c r="I1575" s="102"/>
      <c r="J1575" s="102"/>
      <c r="K1575" s="78"/>
      <c r="L1575" s="104" t="str">
        <f>CONCATENATE(C1575," ",D1575," ",E1575," ",F1575," ",C1576," ",D1576," ",E1576," ",F1576)</f>
        <v xml:space="preserve">       </v>
      </c>
      <c r="M1575" s="105" t="str">
        <f t="shared" si="24"/>
        <v xml:space="preserve">   </v>
      </c>
    </row>
    <row r="1576" spans="1:13" s="53" customFormat="1" hidden="1" x14ac:dyDescent="0.2">
      <c r="A1576" s="377"/>
      <c r="B1576" s="379"/>
      <c r="C1576" s="106"/>
      <c r="D1576" s="107"/>
      <c r="E1576" s="108"/>
      <c r="F1576" s="109"/>
      <c r="G1576" s="103"/>
      <c r="H1576" s="103"/>
      <c r="I1576" s="102"/>
      <c r="J1576" s="102"/>
      <c r="K1576" s="78"/>
      <c r="L1576" s="110"/>
      <c r="M1576" s="105" t="str">
        <f t="shared" si="24"/>
        <v xml:space="preserve">   </v>
      </c>
    </row>
    <row r="1577" spans="1:13" s="53" customFormat="1" hidden="1" x14ac:dyDescent="0.2">
      <c r="A1577" s="377"/>
      <c r="B1577" s="379"/>
      <c r="C1577" s="106"/>
      <c r="D1577" s="107"/>
      <c r="E1577" s="108"/>
      <c r="F1577" s="109"/>
      <c r="G1577" s="103"/>
      <c r="H1577" s="103"/>
      <c r="I1577" s="102"/>
      <c r="J1577" s="102"/>
      <c r="K1577" s="78"/>
      <c r="L1577" s="110"/>
      <c r="M1577" s="105" t="str">
        <f t="shared" si="24"/>
        <v xml:space="preserve">   </v>
      </c>
    </row>
    <row r="1578" spans="1:13" s="53" customFormat="1" hidden="1" x14ac:dyDescent="0.2">
      <c r="A1578" s="377"/>
      <c r="B1578" s="379"/>
      <c r="C1578" s="106"/>
      <c r="D1578" s="107"/>
      <c r="E1578" s="108"/>
      <c r="F1578" s="109"/>
      <c r="G1578" s="103"/>
      <c r="H1578" s="103"/>
      <c r="I1578" s="102"/>
      <c r="J1578" s="102"/>
      <c r="K1578" s="78"/>
      <c r="L1578" s="110"/>
      <c r="M1578" s="105" t="str">
        <f t="shared" si="24"/>
        <v xml:space="preserve">   </v>
      </c>
    </row>
    <row r="1579" spans="1:13" s="53" customFormat="1" hidden="1" x14ac:dyDescent="0.2">
      <c r="A1579" s="377"/>
      <c r="B1579" s="379"/>
      <c r="C1579" s="106"/>
      <c r="D1579" s="107"/>
      <c r="E1579" s="108"/>
      <c r="F1579" s="109"/>
      <c r="G1579" s="103"/>
      <c r="H1579" s="103"/>
      <c r="I1579" s="102"/>
      <c r="J1579" s="102"/>
      <c r="K1579" s="78"/>
      <c r="L1579" s="110"/>
      <c r="M1579" s="105" t="str">
        <f t="shared" si="24"/>
        <v xml:space="preserve">   </v>
      </c>
    </row>
    <row r="1580" spans="1:13" s="53" customFormat="1" hidden="1" x14ac:dyDescent="0.2">
      <c r="A1580" s="377"/>
      <c r="B1580" s="379"/>
      <c r="C1580" s="106"/>
      <c r="D1580" s="107"/>
      <c r="E1580" s="108"/>
      <c r="F1580" s="109"/>
      <c r="G1580" s="103"/>
      <c r="H1580" s="103"/>
      <c r="I1580" s="102"/>
      <c r="J1580" s="102"/>
      <c r="K1580" s="78"/>
      <c r="L1580" s="110"/>
      <c r="M1580" s="105" t="str">
        <f t="shared" si="24"/>
        <v xml:space="preserve">   </v>
      </c>
    </row>
    <row r="1581" spans="1:13" s="53" customFormat="1" hidden="1" x14ac:dyDescent="0.2">
      <c r="A1581" s="377"/>
      <c r="B1581" s="379"/>
      <c r="C1581" s="106"/>
      <c r="D1581" s="107"/>
      <c r="E1581" s="108"/>
      <c r="F1581" s="109"/>
      <c r="G1581" s="103"/>
      <c r="H1581" s="103"/>
      <c r="I1581" s="102"/>
      <c r="J1581" s="102"/>
      <c r="K1581" s="78"/>
      <c r="L1581" s="110"/>
      <c r="M1581" s="105" t="str">
        <f t="shared" si="24"/>
        <v xml:space="preserve">   </v>
      </c>
    </row>
    <row r="1582" spans="1:13" s="53" customFormat="1" hidden="1" x14ac:dyDescent="0.2">
      <c r="A1582" s="377"/>
      <c r="B1582" s="379"/>
      <c r="C1582" s="106"/>
      <c r="D1582" s="107"/>
      <c r="E1582" s="108"/>
      <c r="F1582" s="109"/>
      <c r="G1582" s="103"/>
      <c r="H1582" s="103"/>
      <c r="I1582" s="102"/>
      <c r="J1582" s="102"/>
      <c r="K1582" s="78"/>
      <c r="L1582" s="110"/>
      <c r="M1582" s="105" t="str">
        <f t="shared" si="24"/>
        <v xml:space="preserve">   </v>
      </c>
    </row>
    <row r="1583" spans="1:13" s="53" customFormat="1" hidden="1" x14ac:dyDescent="0.2">
      <c r="A1583" s="377"/>
      <c r="B1583" s="379"/>
      <c r="C1583" s="106"/>
      <c r="D1583" s="107"/>
      <c r="E1583" s="108"/>
      <c r="F1583" s="109"/>
      <c r="G1583" s="103"/>
      <c r="H1583" s="103"/>
      <c r="I1583" s="102"/>
      <c r="J1583" s="102"/>
      <c r="K1583" s="78"/>
      <c r="L1583" s="110"/>
      <c r="M1583" s="105" t="str">
        <f t="shared" si="24"/>
        <v xml:space="preserve">   </v>
      </c>
    </row>
    <row r="1584" spans="1:13" s="53" customFormat="1" hidden="1" x14ac:dyDescent="0.2">
      <c r="A1584" s="377"/>
      <c r="B1584" s="379"/>
      <c r="C1584" s="106"/>
      <c r="D1584" s="107"/>
      <c r="E1584" s="108"/>
      <c r="F1584" s="109"/>
      <c r="G1584" s="103"/>
      <c r="H1584" s="103"/>
      <c r="I1584" s="102"/>
      <c r="J1584" s="102"/>
      <c r="K1584" s="78"/>
      <c r="L1584" s="110"/>
      <c r="M1584" s="105" t="str">
        <f t="shared" si="24"/>
        <v xml:space="preserve">   </v>
      </c>
    </row>
    <row r="1585" spans="1:13" s="53" customFormat="1" ht="12.75" hidden="1" customHeight="1" x14ac:dyDescent="0.2">
      <c r="A1585" s="377" t="s">
        <v>101</v>
      </c>
      <c r="B1585" s="379" t="s">
        <v>88</v>
      </c>
      <c r="C1585" s="102"/>
      <c r="D1585" s="102"/>
      <c r="E1585" s="102"/>
      <c r="F1585" s="102"/>
      <c r="G1585" s="103"/>
      <c r="H1585" s="103"/>
      <c r="I1585" s="102"/>
      <c r="J1585" s="102"/>
      <c r="K1585" s="78"/>
      <c r="L1585" s="104" t="str">
        <f>CONCATENATE(C1585," ",D1585," ",E1585," ",F1585," ",C1586," ",D1586," ",E1586," ",F1586)</f>
        <v xml:space="preserve">       </v>
      </c>
      <c r="M1585" s="105" t="str">
        <f t="shared" si="24"/>
        <v xml:space="preserve">   </v>
      </c>
    </row>
    <row r="1586" spans="1:13" s="53" customFormat="1" hidden="1" x14ac:dyDescent="0.2">
      <c r="A1586" s="377"/>
      <c r="B1586" s="379"/>
      <c r="C1586" s="106"/>
      <c r="D1586" s="107"/>
      <c r="E1586" s="108"/>
      <c r="F1586" s="109"/>
      <c r="G1586" s="103"/>
      <c r="H1586" s="103"/>
      <c r="I1586" s="102"/>
      <c r="J1586" s="102"/>
      <c r="K1586" s="78"/>
      <c r="L1586" s="110"/>
      <c r="M1586" s="105" t="str">
        <f t="shared" si="24"/>
        <v xml:space="preserve">   </v>
      </c>
    </row>
    <row r="1587" spans="1:13" s="53" customFormat="1" hidden="1" x14ac:dyDescent="0.2">
      <c r="A1587" s="377"/>
      <c r="B1587" s="379"/>
      <c r="C1587" s="106"/>
      <c r="D1587" s="107"/>
      <c r="E1587" s="108"/>
      <c r="F1587" s="109"/>
      <c r="G1587" s="103"/>
      <c r="H1587" s="103"/>
      <c r="I1587" s="102"/>
      <c r="J1587" s="102"/>
      <c r="K1587" s="78"/>
      <c r="L1587" s="110"/>
      <c r="M1587" s="105" t="str">
        <f t="shared" si="24"/>
        <v xml:space="preserve">   </v>
      </c>
    </row>
    <row r="1588" spans="1:13" s="53" customFormat="1" hidden="1" x14ac:dyDescent="0.2">
      <c r="A1588" s="377"/>
      <c r="B1588" s="379"/>
      <c r="C1588" s="106"/>
      <c r="D1588" s="107"/>
      <c r="E1588" s="108"/>
      <c r="F1588" s="109"/>
      <c r="G1588" s="103"/>
      <c r="H1588" s="103"/>
      <c r="I1588" s="102"/>
      <c r="J1588" s="102"/>
      <c r="K1588" s="78"/>
      <c r="L1588" s="110"/>
      <c r="M1588" s="105" t="str">
        <f t="shared" si="24"/>
        <v xml:space="preserve">   </v>
      </c>
    </row>
    <row r="1589" spans="1:13" s="53" customFormat="1" hidden="1" x14ac:dyDescent="0.2">
      <c r="A1589" s="377"/>
      <c r="B1589" s="379"/>
      <c r="C1589" s="106"/>
      <c r="D1589" s="107"/>
      <c r="E1589" s="108"/>
      <c r="F1589" s="109"/>
      <c r="G1589" s="103"/>
      <c r="H1589" s="103"/>
      <c r="I1589" s="102"/>
      <c r="J1589" s="102"/>
      <c r="K1589" s="78"/>
      <c r="L1589" s="110"/>
      <c r="M1589" s="105" t="str">
        <f t="shared" si="24"/>
        <v xml:space="preserve">   </v>
      </c>
    </row>
    <row r="1590" spans="1:13" s="53" customFormat="1" hidden="1" x14ac:dyDescent="0.2">
      <c r="A1590" s="377"/>
      <c r="B1590" s="379"/>
      <c r="C1590" s="106"/>
      <c r="D1590" s="107"/>
      <c r="E1590" s="108"/>
      <c r="F1590" s="109"/>
      <c r="G1590" s="103"/>
      <c r="H1590" s="103"/>
      <c r="I1590" s="102"/>
      <c r="J1590" s="102"/>
      <c r="K1590" s="78"/>
      <c r="L1590" s="110"/>
      <c r="M1590" s="105" t="str">
        <f t="shared" si="24"/>
        <v xml:space="preserve">   </v>
      </c>
    </row>
    <row r="1591" spans="1:13" s="53" customFormat="1" hidden="1" x14ac:dyDescent="0.2">
      <c r="A1591" s="377"/>
      <c r="B1591" s="379"/>
      <c r="C1591" s="106"/>
      <c r="D1591" s="107"/>
      <c r="E1591" s="108"/>
      <c r="F1591" s="109"/>
      <c r="G1591" s="103"/>
      <c r="H1591" s="103"/>
      <c r="I1591" s="102"/>
      <c r="J1591" s="102"/>
      <c r="K1591" s="78"/>
      <c r="L1591" s="110"/>
      <c r="M1591" s="105" t="str">
        <f t="shared" si="24"/>
        <v xml:space="preserve">   </v>
      </c>
    </row>
    <row r="1592" spans="1:13" s="53" customFormat="1" hidden="1" x14ac:dyDescent="0.2">
      <c r="A1592" s="377"/>
      <c r="B1592" s="379"/>
      <c r="C1592" s="106"/>
      <c r="D1592" s="107"/>
      <c r="E1592" s="108"/>
      <c r="F1592" s="109"/>
      <c r="G1592" s="103"/>
      <c r="H1592" s="103"/>
      <c r="I1592" s="102"/>
      <c r="J1592" s="102"/>
      <c r="K1592" s="78"/>
      <c r="L1592" s="110"/>
      <c r="M1592" s="105" t="str">
        <f t="shared" si="24"/>
        <v xml:space="preserve">   </v>
      </c>
    </row>
    <row r="1593" spans="1:13" s="53" customFormat="1" hidden="1" x14ac:dyDescent="0.2">
      <c r="A1593" s="377"/>
      <c r="B1593" s="379"/>
      <c r="C1593" s="106"/>
      <c r="D1593" s="107"/>
      <c r="E1593" s="108"/>
      <c r="F1593" s="109"/>
      <c r="G1593" s="103"/>
      <c r="H1593" s="103"/>
      <c r="I1593" s="102"/>
      <c r="J1593" s="102"/>
      <c r="K1593" s="78"/>
      <c r="L1593" s="110"/>
      <c r="M1593" s="105" t="str">
        <f t="shared" si="24"/>
        <v xml:space="preserve">   </v>
      </c>
    </row>
    <row r="1594" spans="1:13" s="53" customFormat="1" hidden="1" x14ac:dyDescent="0.2">
      <c r="A1594" s="377"/>
      <c r="B1594" s="379"/>
      <c r="C1594" s="106"/>
      <c r="D1594" s="107"/>
      <c r="E1594" s="108"/>
      <c r="F1594" s="109"/>
      <c r="G1594" s="103"/>
      <c r="H1594" s="103"/>
      <c r="I1594" s="102"/>
      <c r="J1594" s="102"/>
      <c r="K1594" s="78"/>
      <c r="L1594" s="110"/>
      <c r="M1594" s="105" t="str">
        <f t="shared" si="24"/>
        <v xml:space="preserve">   </v>
      </c>
    </row>
    <row r="1595" spans="1:13" s="53" customFormat="1" ht="12.75" hidden="1" customHeight="1" x14ac:dyDescent="0.2">
      <c r="A1595" s="377" t="s">
        <v>101</v>
      </c>
      <c r="B1595" s="379" t="s">
        <v>88</v>
      </c>
      <c r="C1595" s="102"/>
      <c r="D1595" s="102"/>
      <c r="E1595" s="102"/>
      <c r="F1595" s="102"/>
      <c r="G1595" s="103"/>
      <c r="H1595" s="103"/>
      <c r="I1595" s="102"/>
      <c r="J1595" s="102"/>
      <c r="K1595" s="78"/>
      <c r="L1595" s="104" t="str">
        <f>CONCATENATE(C1595," ",D1595," ",E1595," ",F1595," ",C1596," ",D1596," ",E1596," ",F1596)</f>
        <v xml:space="preserve">       </v>
      </c>
      <c r="M1595" s="105" t="str">
        <f t="shared" si="24"/>
        <v xml:space="preserve">   </v>
      </c>
    </row>
    <row r="1596" spans="1:13" s="53" customFormat="1" hidden="1" x14ac:dyDescent="0.2">
      <c r="A1596" s="377"/>
      <c r="B1596" s="379"/>
      <c r="C1596" s="106"/>
      <c r="D1596" s="107"/>
      <c r="E1596" s="108"/>
      <c r="F1596" s="109"/>
      <c r="G1596" s="103"/>
      <c r="H1596" s="103"/>
      <c r="I1596" s="102"/>
      <c r="J1596" s="102"/>
      <c r="K1596" s="78"/>
      <c r="L1596" s="110"/>
      <c r="M1596" s="105" t="str">
        <f t="shared" si="24"/>
        <v xml:space="preserve">   </v>
      </c>
    </row>
    <row r="1597" spans="1:13" s="53" customFormat="1" hidden="1" x14ac:dyDescent="0.2">
      <c r="A1597" s="377"/>
      <c r="B1597" s="379"/>
      <c r="C1597" s="106"/>
      <c r="D1597" s="107"/>
      <c r="E1597" s="108"/>
      <c r="F1597" s="109"/>
      <c r="G1597" s="103"/>
      <c r="H1597" s="103"/>
      <c r="I1597" s="102"/>
      <c r="J1597" s="102"/>
      <c r="K1597" s="78"/>
      <c r="L1597" s="110"/>
      <c r="M1597" s="105" t="str">
        <f t="shared" si="24"/>
        <v xml:space="preserve">   </v>
      </c>
    </row>
    <row r="1598" spans="1:13" s="53" customFormat="1" hidden="1" x14ac:dyDescent="0.2">
      <c r="A1598" s="377"/>
      <c r="B1598" s="379"/>
      <c r="C1598" s="106"/>
      <c r="D1598" s="107"/>
      <c r="E1598" s="108"/>
      <c r="F1598" s="109"/>
      <c r="G1598" s="103"/>
      <c r="H1598" s="103"/>
      <c r="I1598" s="102"/>
      <c r="J1598" s="102"/>
      <c r="K1598" s="78"/>
      <c r="L1598" s="110"/>
      <c r="M1598" s="105" t="str">
        <f t="shared" si="24"/>
        <v xml:space="preserve">   </v>
      </c>
    </row>
    <row r="1599" spans="1:13" s="53" customFormat="1" hidden="1" x14ac:dyDescent="0.2">
      <c r="A1599" s="377"/>
      <c r="B1599" s="379"/>
      <c r="C1599" s="106"/>
      <c r="D1599" s="107"/>
      <c r="E1599" s="108"/>
      <c r="F1599" s="109"/>
      <c r="G1599" s="103"/>
      <c r="H1599" s="103"/>
      <c r="I1599" s="102"/>
      <c r="J1599" s="102"/>
      <c r="K1599" s="78"/>
      <c r="L1599" s="110"/>
      <c r="M1599" s="105" t="str">
        <f t="shared" si="24"/>
        <v xml:space="preserve">   </v>
      </c>
    </row>
    <row r="1600" spans="1:13" s="53" customFormat="1" hidden="1" x14ac:dyDescent="0.2">
      <c r="A1600" s="377"/>
      <c r="B1600" s="379"/>
      <c r="C1600" s="106"/>
      <c r="D1600" s="107"/>
      <c r="E1600" s="108"/>
      <c r="F1600" s="109"/>
      <c r="G1600" s="103"/>
      <c r="H1600" s="103"/>
      <c r="I1600" s="102"/>
      <c r="J1600" s="102"/>
      <c r="K1600" s="78"/>
      <c r="L1600" s="110"/>
      <c r="M1600" s="105" t="str">
        <f t="shared" si="24"/>
        <v xml:space="preserve">   </v>
      </c>
    </row>
    <row r="1601" spans="1:13" s="53" customFormat="1" hidden="1" x14ac:dyDescent="0.2">
      <c r="A1601" s="377"/>
      <c r="B1601" s="379"/>
      <c r="C1601" s="106"/>
      <c r="D1601" s="107"/>
      <c r="E1601" s="108"/>
      <c r="F1601" s="109"/>
      <c r="G1601" s="103"/>
      <c r="H1601" s="103"/>
      <c r="I1601" s="102"/>
      <c r="J1601" s="102"/>
      <c r="K1601" s="78"/>
      <c r="L1601" s="110"/>
      <c r="M1601" s="105" t="str">
        <f t="shared" si="24"/>
        <v xml:space="preserve">   </v>
      </c>
    </row>
    <row r="1602" spans="1:13" s="53" customFormat="1" hidden="1" x14ac:dyDescent="0.2">
      <c r="A1602" s="377"/>
      <c r="B1602" s="379"/>
      <c r="C1602" s="106"/>
      <c r="D1602" s="107"/>
      <c r="E1602" s="108"/>
      <c r="F1602" s="109"/>
      <c r="G1602" s="103"/>
      <c r="H1602" s="103"/>
      <c r="I1602" s="102"/>
      <c r="J1602" s="102"/>
      <c r="K1602" s="78"/>
      <c r="L1602" s="110"/>
      <c r="M1602" s="105" t="str">
        <f t="shared" si="24"/>
        <v xml:space="preserve">   </v>
      </c>
    </row>
    <row r="1603" spans="1:13" s="53" customFormat="1" hidden="1" x14ac:dyDescent="0.2">
      <c r="A1603" s="377"/>
      <c r="B1603" s="379"/>
      <c r="C1603" s="106"/>
      <c r="D1603" s="107"/>
      <c r="E1603" s="108"/>
      <c r="F1603" s="109"/>
      <c r="G1603" s="103"/>
      <c r="H1603" s="103"/>
      <c r="I1603" s="102"/>
      <c r="J1603" s="102"/>
      <c r="K1603" s="78"/>
      <c r="L1603" s="110"/>
      <c r="M1603" s="105" t="str">
        <f t="shared" si="24"/>
        <v xml:space="preserve">   </v>
      </c>
    </row>
    <row r="1604" spans="1:13" s="53" customFormat="1" hidden="1" x14ac:dyDescent="0.2">
      <c r="A1604" s="377"/>
      <c r="B1604" s="379"/>
      <c r="C1604" s="106"/>
      <c r="D1604" s="107"/>
      <c r="E1604" s="108"/>
      <c r="F1604" s="109"/>
      <c r="G1604" s="103"/>
      <c r="H1604" s="103"/>
      <c r="I1604" s="102"/>
      <c r="J1604" s="102"/>
      <c r="K1604" s="78"/>
      <c r="L1604" s="110"/>
      <c r="M1604" s="105" t="str">
        <f t="shared" si="24"/>
        <v xml:space="preserve">   </v>
      </c>
    </row>
    <row r="1605" spans="1:13" s="53" customFormat="1" ht="12.75" hidden="1" customHeight="1" x14ac:dyDescent="0.2">
      <c r="A1605" s="377" t="s">
        <v>101</v>
      </c>
      <c r="B1605" s="379" t="s">
        <v>88</v>
      </c>
      <c r="C1605" s="102"/>
      <c r="D1605" s="102"/>
      <c r="E1605" s="102"/>
      <c r="F1605" s="102"/>
      <c r="G1605" s="103"/>
      <c r="H1605" s="103"/>
      <c r="I1605" s="102"/>
      <c r="J1605" s="102"/>
      <c r="K1605" s="78"/>
      <c r="L1605" s="104" t="str">
        <f>CONCATENATE(C1605," ",D1605," ",E1605," ",F1605," ",C1606," ",D1606," ",E1606," ",F1606)</f>
        <v xml:space="preserve">       </v>
      </c>
      <c r="M1605" s="105" t="str">
        <f t="shared" si="24"/>
        <v xml:space="preserve">   </v>
      </c>
    </row>
    <row r="1606" spans="1:13" s="53" customFormat="1" hidden="1" x14ac:dyDescent="0.2">
      <c r="A1606" s="377"/>
      <c r="B1606" s="379"/>
      <c r="C1606" s="106"/>
      <c r="D1606" s="107"/>
      <c r="E1606" s="108"/>
      <c r="F1606" s="109"/>
      <c r="G1606" s="103"/>
      <c r="H1606" s="103"/>
      <c r="I1606" s="102"/>
      <c r="J1606" s="102"/>
      <c r="K1606" s="78"/>
      <c r="L1606" s="110"/>
      <c r="M1606" s="105" t="str">
        <f t="shared" si="24"/>
        <v xml:space="preserve">   </v>
      </c>
    </row>
    <row r="1607" spans="1:13" s="53" customFormat="1" hidden="1" x14ac:dyDescent="0.2">
      <c r="A1607" s="377"/>
      <c r="B1607" s="379"/>
      <c r="C1607" s="106"/>
      <c r="D1607" s="107"/>
      <c r="E1607" s="108"/>
      <c r="F1607" s="109"/>
      <c r="G1607" s="103"/>
      <c r="H1607" s="103"/>
      <c r="I1607" s="102"/>
      <c r="J1607" s="102"/>
      <c r="K1607" s="78"/>
      <c r="L1607" s="110"/>
      <c r="M1607" s="105" t="str">
        <f t="shared" si="24"/>
        <v xml:space="preserve">   </v>
      </c>
    </row>
    <row r="1608" spans="1:13" s="53" customFormat="1" hidden="1" x14ac:dyDescent="0.2">
      <c r="A1608" s="377"/>
      <c r="B1608" s="379"/>
      <c r="C1608" s="106"/>
      <c r="D1608" s="107"/>
      <c r="E1608" s="108"/>
      <c r="F1608" s="109"/>
      <c r="G1608" s="103"/>
      <c r="H1608" s="103"/>
      <c r="I1608" s="102"/>
      <c r="J1608" s="102"/>
      <c r="K1608" s="78"/>
      <c r="L1608" s="110"/>
      <c r="M1608" s="105" t="str">
        <f t="shared" si="24"/>
        <v xml:space="preserve">   </v>
      </c>
    </row>
    <row r="1609" spans="1:13" s="53" customFormat="1" hidden="1" x14ac:dyDescent="0.2">
      <c r="A1609" s="377"/>
      <c r="B1609" s="379"/>
      <c r="C1609" s="106"/>
      <c r="D1609" s="107"/>
      <c r="E1609" s="108"/>
      <c r="F1609" s="109"/>
      <c r="G1609" s="103"/>
      <c r="H1609" s="103"/>
      <c r="I1609" s="102"/>
      <c r="J1609" s="102"/>
      <c r="K1609" s="78"/>
      <c r="L1609" s="110"/>
      <c r="M1609" s="105" t="str">
        <f t="shared" si="24"/>
        <v xml:space="preserve">   </v>
      </c>
    </row>
    <row r="1610" spans="1:13" s="53" customFormat="1" hidden="1" x14ac:dyDescent="0.2">
      <c r="A1610" s="377"/>
      <c r="B1610" s="379"/>
      <c r="C1610" s="106"/>
      <c r="D1610" s="107"/>
      <c r="E1610" s="108"/>
      <c r="F1610" s="109"/>
      <c r="G1610" s="103"/>
      <c r="H1610" s="103"/>
      <c r="I1610" s="102"/>
      <c r="J1610" s="102"/>
      <c r="K1610" s="78"/>
      <c r="L1610" s="110"/>
      <c r="M1610" s="105" t="str">
        <f t="shared" si="24"/>
        <v xml:space="preserve">   </v>
      </c>
    </row>
    <row r="1611" spans="1:13" s="53" customFormat="1" hidden="1" x14ac:dyDescent="0.2">
      <c r="A1611" s="377"/>
      <c r="B1611" s="379"/>
      <c r="C1611" s="106"/>
      <c r="D1611" s="107"/>
      <c r="E1611" s="108"/>
      <c r="F1611" s="109"/>
      <c r="G1611" s="103"/>
      <c r="H1611" s="103"/>
      <c r="I1611" s="102"/>
      <c r="J1611" s="102"/>
      <c r="K1611" s="78"/>
      <c r="L1611" s="110"/>
      <c r="M1611" s="105" t="str">
        <f t="shared" ref="M1611:M1674" si="25">CONCATENATE(G1611," ",H1611," ",I1611," ",J1611)</f>
        <v xml:space="preserve">   </v>
      </c>
    </row>
    <row r="1612" spans="1:13" s="53" customFormat="1" hidden="1" x14ac:dyDescent="0.2">
      <c r="A1612" s="377"/>
      <c r="B1612" s="379"/>
      <c r="C1612" s="106"/>
      <c r="D1612" s="107"/>
      <c r="E1612" s="108"/>
      <c r="F1612" s="109"/>
      <c r="G1612" s="103"/>
      <c r="H1612" s="103"/>
      <c r="I1612" s="102"/>
      <c r="J1612" s="102"/>
      <c r="K1612" s="78"/>
      <c r="L1612" s="110"/>
      <c r="M1612" s="105" t="str">
        <f t="shared" si="25"/>
        <v xml:space="preserve">   </v>
      </c>
    </row>
    <row r="1613" spans="1:13" s="53" customFormat="1" hidden="1" x14ac:dyDescent="0.2">
      <c r="A1613" s="377"/>
      <c r="B1613" s="379"/>
      <c r="C1613" s="106"/>
      <c r="D1613" s="107"/>
      <c r="E1613" s="108"/>
      <c r="F1613" s="109"/>
      <c r="G1613" s="103"/>
      <c r="H1613" s="103"/>
      <c r="I1613" s="102"/>
      <c r="J1613" s="102"/>
      <c r="K1613" s="78"/>
      <c r="L1613" s="110"/>
      <c r="M1613" s="105" t="str">
        <f t="shared" si="25"/>
        <v xml:space="preserve">   </v>
      </c>
    </row>
    <row r="1614" spans="1:13" s="53" customFormat="1" hidden="1" x14ac:dyDescent="0.2">
      <c r="A1614" s="377"/>
      <c r="B1614" s="379"/>
      <c r="C1614" s="106"/>
      <c r="D1614" s="107"/>
      <c r="E1614" s="108"/>
      <c r="F1614" s="109"/>
      <c r="G1614" s="103"/>
      <c r="H1614" s="103"/>
      <c r="I1614" s="102"/>
      <c r="J1614" s="102"/>
      <c r="K1614" s="78"/>
      <c r="L1614" s="110"/>
      <c r="M1614" s="105" t="str">
        <f t="shared" si="25"/>
        <v xml:space="preserve">   </v>
      </c>
    </row>
    <row r="1615" spans="1:13" s="53" customFormat="1" ht="12.75" hidden="1" customHeight="1" x14ac:dyDescent="0.2">
      <c r="A1615" s="377" t="s">
        <v>101</v>
      </c>
      <c r="B1615" s="379" t="s">
        <v>88</v>
      </c>
      <c r="C1615" s="102"/>
      <c r="D1615" s="102"/>
      <c r="E1615" s="102"/>
      <c r="F1615" s="102"/>
      <c r="G1615" s="103"/>
      <c r="H1615" s="103"/>
      <c r="I1615" s="102"/>
      <c r="J1615" s="102"/>
      <c r="K1615" s="78"/>
      <c r="L1615" s="104" t="str">
        <f>CONCATENATE(C1615," ",D1615," ",E1615," ",F1615," ",C1616," ",D1616," ",E1616," ",F1616)</f>
        <v xml:space="preserve">       </v>
      </c>
      <c r="M1615" s="105" t="str">
        <f t="shared" si="25"/>
        <v xml:space="preserve">   </v>
      </c>
    </row>
    <row r="1616" spans="1:13" s="53" customFormat="1" hidden="1" x14ac:dyDescent="0.2">
      <c r="A1616" s="377"/>
      <c r="B1616" s="379"/>
      <c r="C1616" s="106"/>
      <c r="D1616" s="107"/>
      <c r="E1616" s="108"/>
      <c r="F1616" s="109"/>
      <c r="G1616" s="103"/>
      <c r="H1616" s="103"/>
      <c r="I1616" s="102"/>
      <c r="J1616" s="102"/>
      <c r="K1616" s="78"/>
      <c r="L1616" s="110"/>
      <c r="M1616" s="105" t="str">
        <f t="shared" si="25"/>
        <v xml:space="preserve">   </v>
      </c>
    </row>
    <row r="1617" spans="1:13" s="53" customFormat="1" hidden="1" x14ac:dyDescent="0.2">
      <c r="A1617" s="377"/>
      <c r="B1617" s="379"/>
      <c r="C1617" s="106"/>
      <c r="D1617" s="107"/>
      <c r="E1617" s="108"/>
      <c r="F1617" s="109"/>
      <c r="G1617" s="103"/>
      <c r="H1617" s="103"/>
      <c r="I1617" s="102"/>
      <c r="J1617" s="102"/>
      <c r="K1617" s="78"/>
      <c r="L1617" s="110"/>
      <c r="M1617" s="105" t="str">
        <f t="shared" si="25"/>
        <v xml:space="preserve">   </v>
      </c>
    </row>
    <row r="1618" spans="1:13" s="53" customFormat="1" hidden="1" x14ac:dyDescent="0.2">
      <c r="A1618" s="377"/>
      <c r="B1618" s="379"/>
      <c r="C1618" s="106"/>
      <c r="D1618" s="107"/>
      <c r="E1618" s="108"/>
      <c r="F1618" s="109"/>
      <c r="G1618" s="103"/>
      <c r="H1618" s="103"/>
      <c r="I1618" s="102"/>
      <c r="J1618" s="102"/>
      <c r="K1618" s="78"/>
      <c r="L1618" s="110"/>
      <c r="M1618" s="105" t="str">
        <f t="shared" si="25"/>
        <v xml:space="preserve">   </v>
      </c>
    </row>
    <row r="1619" spans="1:13" s="53" customFormat="1" hidden="1" x14ac:dyDescent="0.2">
      <c r="A1619" s="377"/>
      <c r="B1619" s="379"/>
      <c r="C1619" s="106"/>
      <c r="D1619" s="107"/>
      <c r="E1619" s="108"/>
      <c r="F1619" s="109"/>
      <c r="G1619" s="103"/>
      <c r="H1619" s="103"/>
      <c r="I1619" s="102"/>
      <c r="J1619" s="102"/>
      <c r="K1619" s="78"/>
      <c r="L1619" s="110"/>
      <c r="M1619" s="105" t="str">
        <f t="shared" si="25"/>
        <v xml:space="preserve">   </v>
      </c>
    </row>
    <row r="1620" spans="1:13" s="53" customFormat="1" hidden="1" x14ac:dyDescent="0.2">
      <c r="A1620" s="377"/>
      <c r="B1620" s="379"/>
      <c r="C1620" s="106"/>
      <c r="D1620" s="107"/>
      <c r="E1620" s="108"/>
      <c r="F1620" s="109"/>
      <c r="G1620" s="103"/>
      <c r="H1620" s="103"/>
      <c r="I1620" s="102"/>
      <c r="J1620" s="102"/>
      <c r="K1620" s="78"/>
      <c r="L1620" s="110"/>
      <c r="M1620" s="105" t="str">
        <f t="shared" si="25"/>
        <v xml:space="preserve">   </v>
      </c>
    </row>
    <row r="1621" spans="1:13" s="53" customFormat="1" hidden="1" x14ac:dyDescent="0.2">
      <c r="A1621" s="377"/>
      <c r="B1621" s="379"/>
      <c r="C1621" s="106"/>
      <c r="D1621" s="107"/>
      <c r="E1621" s="108"/>
      <c r="F1621" s="109"/>
      <c r="G1621" s="103"/>
      <c r="H1621" s="103"/>
      <c r="I1621" s="102"/>
      <c r="J1621" s="102"/>
      <c r="K1621" s="78"/>
      <c r="L1621" s="110"/>
      <c r="M1621" s="105" t="str">
        <f t="shared" si="25"/>
        <v xml:space="preserve">   </v>
      </c>
    </row>
    <row r="1622" spans="1:13" s="53" customFormat="1" hidden="1" x14ac:dyDescent="0.2">
      <c r="A1622" s="377"/>
      <c r="B1622" s="379"/>
      <c r="C1622" s="106"/>
      <c r="D1622" s="107"/>
      <c r="E1622" s="108"/>
      <c r="F1622" s="109"/>
      <c r="G1622" s="103"/>
      <c r="H1622" s="103"/>
      <c r="I1622" s="102"/>
      <c r="J1622" s="102"/>
      <c r="K1622" s="78"/>
      <c r="L1622" s="110"/>
      <c r="M1622" s="105" t="str">
        <f t="shared" si="25"/>
        <v xml:space="preserve">   </v>
      </c>
    </row>
    <row r="1623" spans="1:13" s="53" customFormat="1" hidden="1" x14ac:dyDescent="0.2">
      <c r="A1623" s="377"/>
      <c r="B1623" s="379"/>
      <c r="C1623" s="106"/>
      <c r="D1623" s="107"/>
      <c r="E1623" s="108"/>
      <c r="F1623" s="109"/>
      <c r="G1623" s="103"/>
      <c r="H1623" s="103"/>
      <c r="I1623" s="102"/>
      <c r="J1623" s="102"/>
      <c r="K1623" s="78"/>
      <c r="L1623" s="110"/>
      <c r="M1623" s="105" t="str">
        <f t="shared" si="25"/>
        <v xml:space="preserve">   </v>
      </c>
    </row>
    <row r="1624" spans="1:13" s="53" customFormat="1" hidden="1" x14ac:dyDescent="0.2">
      <c r="A1624" s="377"/>
      <c r="B1624" s="379"/>
      <c r="C1624" s="106"/>
      <c r="D1624" s="107"/>
      <c r="E1624" s="108"/>
      <c r="F1624" s="109"/>
      <c r="G1624" s="103"/>
      <c r="H1624" s="103"/>
      <c r="I1624" s="102"/>
      <c r="J1624" s="102"/>
      <c r="K1624" s="78"/>
      <c r="L1624" s="110"/>
      <c r="M1624" s="105" t="str">
        <f t="shared" si="25"/>
        <v xml:space="preserve">   </v>
      </c>
    </row>
    <row r="1625" spans="1:13" s="53" customFormat="1" ht="12.75" hidden="1" customHeight="1" x14ac:dyDescent="0.2">
      <c r="A1625" s="377" t="s">
        <v>101</v>
      </c>
      <c r="B1625" s="379" t="s">
        <v>88</v>
      </c>
      <c r="C1625" s="102"/>
      <c r="D1625" s="102"/>
      <c r="E1625" s="102"/>
      <c r="F1625" s="102"/>
      <c r="G1625" s="103"/>
      <c r="H1625" s="103"/>
      <c r="I1625" s="102"/>
      <c r="J1625" s="102"/>
      <c r="K1625" s="78"/>
      <c r="L1625" s="104" t="str">
        <f>CONCATENATE(C1625," ",D1625," ",E1625," ",F1625," ",C1626," ",D1626," ",E1626," ",F1626)</f>
        <v xml:space="preserve">       </v>
      </c>
      <c r="M1625" s="105" t="str">
        <f t="shared" si="25"/>
        <v xml:space="preserve">   </v>
      </c>
    </row>
    <row r="1626" spans="1:13" s="53" customFormat="1" hidden="1" x14ac:dyDescent="0.2">
      <c r="A1626" s="377"/>
      <c r="B1626" s="379"/>
      <c r="C1626" s="106"/>
      <c r="D1626" s="107"/>
      <c r="E1626" s="108"/>
      <c r="F1626" s="109"/>
      <c r="G1626" s="103"/>
      <c r="H1626" s="103"/>
      <c r="I1626" s="102"/>
      <c r="J1626" s="102"/>
      <c r="K1626" s="78"/>
      <c r="L1626" s="110"/>
      <c r="M1626" s="105" t="str">
        <f t="shared" si="25"/>
        <v xml:space="preserve">   </v>
      </c>
    </row>
    <row r="1627" spans="1:13" s="53" customFormat="1" hidden="1" x14ac:dyDescent="0.2">
      <c r="A1627" s="377"/>
      <c r="B1627" s="379"/>
      <c r="C1627" s="106"/>
      <c r="D1627" s="107"/>
      <c r="E1627" s="108"/>
      <c r="F1627" s="109"/>
      <c r="G1627" s="103"/>
      <c r="H1627" s="103"/>
      <c r="I1627" s="102"/>
      <c r="J1627" s="102"/>
      <c r="K1627" s="78"/>
      <c r="L1627" s="110"/>
      <c r="M1627" s="105" t="str">
        <f t="shared" si="25"/>
        <v xml:space="preserve">   </v>
      </c>
    </row>
    <row r="1628" spans="1:13" s="53" customFormat="1" hidden="1" x14ac:dyDescent="0.2">
      <c r="A1628" s="377"/>
      <c r="B1628" s="379"/>
      <c r="C1628" s="106"/>
      <c r="D1628" s="107"/>
      <c r="E1628" s="108"/>
      <c r="F1628" s="109"/>
      <c r="G1628" s="103"/>
      <c r="H1628" s="103"/>
      <c r="I1628" s="102"/>
      <c r="J1628" s="102"/>
      <c r="K1628" s="78"/>
      <c r="L1628" s="110"/>
      <c r="M1628" s="105" t="str">
        <f t="shared" si="25"/>
        <v xml:space="preserve">   </v>
      </c>
    </row>
    <row r="1629" spans="1:13" s="53" customFormat="1" hidden="1" x14ac:dyDescent="0.2">
      <c r="A1629" s="377"/>
      <c r="B1629" s="379"/>
      <c r="C1629" s="106"/>
      <c r="D1629" s="107"/>
      <c r="E1629" s="108"/>
      <c r="F1629" s="109"/>
      <c r="G1629" s="103"/>
      <c r="H1629" s="103"/>
      <c r="I1629" s="102"/>
      <c r="J1629" s="102"/>
      <c r="K1629" s="78"/>
      <c r="L1629" s="110"/>
      <c r="M1629" s="105" t="str">
        <f t="shared" si="25"/>
        <v xml:space="preserve">   </v>
      </c>
    </row>
    <row r="1630" spans="1:13" s="53" customFormat="1" hidden="1" x14ac:dyDescent="0.2">
      <c r="A1630" s="377"/>
      <c r="B1630" s="379"/>
      <c r="C1630" s="106"/>
      <c r="D1630" s="107"/>
      <c r="E1630" s="108"/>
      <c r="F1630" s="109"/>
      <c r="G1630" s="103"/>
      <c r="H1630" s="103"/>
      <c r="I1630" s="102"/>
      <c r="J1630" s="102"/>
      <c r="K1630" s="78"/>
      <c r="L1630" s="110"/>
      <c r="M1630" s="105" t="str">
        <f t="shared" si="25"/>
        <v xml:space="preserve">   </v>
      </c>
    </row>
    <row r="1631" spans="1:13" s="53" customFormat="1" hidden="1" x14ac:dyDescent="0.2">
      <c r="A1631" s="377"/>
      <c r="B1631" s="379"/>
      <c r="C1631" s="106"/>
      <c r="D1631" s="107"/>
      <c r="E1631" s="108"/>
      <c r="F1631" s="109"/>
      <c r="G1631" s="103"/>
      <c r="H1631" s="103"/>
      <c r="I1631" s="102"/>
      <c r="J1631" s="102"/>
      <c r="K1631" s="78"/>
      <c r="L1631" s="110"/>
      <c r="M1631" s="105" t="str">
        <f t="shared" si="25"/>
        <v xml:space="preserve">   </v>
      </c>
    </row>
    <row r="1632" spans="1:13" s="53" customFormat="1" hidden="1" x14ac:dyDescent="0.2">
      <c r="A1632" s="377"/>
      <c r="B1632" s="379"/>
      <c r="C1632" s="106"/>
      <c r="D1632" s="107"/>
      <c r="E1632" s="108"/>
      <c r="F1632" s="109"/>
      <c r="G1632" s="103"/>
      <c r="H1632" s="103"/>
      <c r="I1632" s="102"/>
      <c r="J1632" s="102"/>
      <c r="K1632" s="78"/>
      <c r="L1632" s="110"/>
      <c r="M1632" s="105" t="str">
        <f t="shared" si="25"/>
        <v xml:space="preserve">   </v>
      </c>
    </row>
    <row r="1633" spans="1:13" s="53" customFormat="1" hidden="1" x14ac:dyDescent="0.2">
      <c r="A1633" s="377"/>
      <c r="B1633" s="379"/>
      <c r="C1633" s="106"/>
      <c r="D1633" s="107"/>
      <c r="E1633" s="108"/>
      <c r="F1633" s="109"/>
      <c r="G1633" s="103"/>
      <c r="H1633" s="103"/>
      <c r="I1633" s="102"/>
      <c r="J1633" s="102"/>
      <c r="K1633" s="78"/>
      <c r="L1633" s="110"/>
      <c r="M1633" s="105" t="str">
        <f t="shared" si="25"/>
        <v xml:space="preserve">   </v>
      </c>
    </row>
    <row r="1634" spans="1:13" s="53" customFormat="1" hidden="1" x14ac:dyDescent="0.2">
      <c r="A1634" s="377"/>
      <c r="B1634" s="379"/>
      <c r="C1634" s="106"/>
      <c r="D1634" s="107"/>
      <c r="E1634" s="108"/>
      <c r="F1634" s="109"/>
      <c r="G1634" s="103"/>
      <c r="H1634" s="103"/>
      <c r="I1634" s="102"/>
      <c r="J1634" s="102"/>
      <c r="K1634" s="78"/>
      <c r="L1634" s="110"/>
      <c r="M1634" s="105" t="str">
        <f t="shared" si="25"/>
        <v xml:space="preserve">   </v>
      </c>
    </row>
    <row r="1635" spans="1:13" s="53" customFormat="1" ht="12.75" hidden="1" customHeight="1" x14ac:dyDescent="0.2">
      <c r="A1635" s="377" t="s">
        <v>101</v>
      </c>
      <c r="B1635" s="379" t="s">
        <v>88</v>
      </c>
      <c r="C1635" s="102"/>
      <c r="D1635" s="102"/>
      <c r="E1635" s="102"/>
      <c r="F1635" s="102"/>
      <c r="G1635" s="103"/>
      <c r="H1635" s="103"/>
      <c r="I1635" s="102"/>
      <c r="J1635" s="102"/>
      <c r="K1635" s="78"/>
      <c r="L1635" s="104" t="str">
        <f>CONCATENATE(C1635," ",D1635," ",E1635," ",F1635," ",C1636," ",D1636," ",E1636," ",F1636)</f>
        <v xml:space="preserve">       </v>
      </c>
      <c r="M1635" s="105" t="str">
        <f t="shared" si="25"/>
        <v xml:space="preserve">   </v>
      </c>
    </row>
    <row r="1636" spans="1:13" s="53" customFormat="1" hidden="1" x14ac:dyDescent="0.2">
      <c r="A1636" s="377"/>
      <c r="B1636" s="379"/>
      <c r="C1636" s="106"/>
      <c r="D1636" s="107"/>
      <c r="E1636" s="108"/>
      <c r="F1636" s="109"/>
      <c r="G1636" s="103"/>
      <c r="H1636" s="103"/>
      <c r="I1636" s="102"/>
      <c r="J1636" s="102"/>
      <c r="K1636" s="78"/>
      <c r="L1636" s="110"/>
      <c r="M1636" s="105" t="str">
        <f t="shared" si="25"/>
        <v xml:space="preserve">   </v>
      </c>
    </row>
    <row r="1637" spans="1:13" s="53" customFormat="1" hidden="1" x14ac:dyDescent="0.2">
      <c r="A1637" s="377"/>
      <c r="B1637" s="379"/>
      <c r="C1637" s="106"/>
      <c r="D1637" s="107"/>
      <c r="E1637" s="108"/>
      <c r="F1637" s="109"/>
      <c r="G1637" s="103"/>
      <c r="H1637" s="103"/>
      <c r="I1637" s="102"/>
      <c r="J1637" s="102"/>
      <c r="K1637" s="78"/>
      <c r="L1637" s="110"/>
      <c r="M1637" s="105" t="str">
        <f t="shared" si="25"/>
        <v xml:space="preserve">   </v>
      </c>
    </row>
    <row r="1638" spans="1:13" s="53" customFormat="1" hidden="1" x14ac:dyDescent="0.2">
      <c r="A1638" s="377"/>
      <c r="B1638" s="379"/>
      <c r="C1638" s="106"/>
      <c r="D1638" s="107"/>
      <c r="E1638" s="108"/>
      <c r="F1638" s="109"/>
      <c r="G1638" s="103"/>
      <c r="H1638" s="103"/>
      <c r="I1638" s="102"/>
      <c r="J1638" s="102"/>
      <c r="K1638" s="78"/>
      <c r="L1638" s="110"/>
      <c r="M1638" s="105" t="str">
        <f t="shared" si="25"/>
        <v xml:space="preserve">   </v>
      </c>
    </row>
    <row r="1639" spans="1:13" s="53" customFormat="1" hidden="1" x14ac:dyDescent="0.2">
      <c r="A1639" s="377"/>
      <c r="B1639" s="379"/>
      <c r="C1639" s="106"/>
      <c r="D1639" s="107"/>
      <c r="E1639" s="108"/>
      <c r="F1639" s="109"/>
      <c r="G1639" s="103"/>
      <c r="H1639" s="103"/>
      <c r="I1639" s="102"/>
      <c r="J1639" s="102"/>
      <c r="K1639" s="78"/>
      <c r="L1639" s="110"/>
      <c r="M1639" s="105" t="str">
        <f t="shared" si="25"/>
        <v xml:space="preserve">   </v>
      </c>
    </row>
    <row r="1640" spans="1:13" s="53" customFormat="1" hidden="1" x14ac:dyDescent="0.2">
      <c r="A1640" s="377"/>
      <c r="B1640" s="379"/>
      <c r="C1640" s="106"/>
      <c r="D1640" s="107"/>
      <c r="E1640" s="108"/>
      <c r="F1640" s="109"/>
      <c r="G1640" s="103"/>
      <c r="H1640" s="103"/>
      <c r="I1640" s="102"/>
      <c r="J1640" s="102"/>
      <c r="K1640" s="78"/>
      <c r="L1640" s="110"/>
      <c r="M1640" s="105" t="str">
        <f t="shared" si="25"/>
        <v xml:space="preserve">   </v>
      </c>
    </row>
    <row r="1641" spans="1:13" s="53" customFormat="1" hidden="1" x14ac:dyDescent="0.2">
      <c r="A1641" s="377"/>
      <c r="B1641" s="379"/>
      <c r="C1641" s="106"/>
      <c r="D1641" s="107"/>
      <c r="E1641" s="108"/>
      <c r="F1641" s="109"/>
      <c r="G1641" s="103"/>
      <c r="H1641" s="103"/>
      <c r="I1641" s="102"/>
      <c r="J1641" s="102"/>
      <c r="K1641" s="78"/>
      <c r="L1641" s="110"/>
      <c r="M1641" s="105" t="str">
        <f t="shared" si="25"/>
        <v xml:space="preserve">   </v>
      </c>
    </row>
    <row r="1642" spans="1:13" s="53" customFormat="1" hidden="1" x14ac:dyDescent="0.2">
      <c r="A1642" s="377"/>
      <c r="B1642" s="379"/>
      <c r="C1642" s="106"/>
      <c r="D1642" s="107"/>
      <c r="E1642" s="108"/>
      <c r="F1642" s="109"/>
      <c r="G1642" s="103"/>
      <c r="H1642" s="103"/>
      <c r="I1642" s="102"/>
      <c r="J1642" s="102"/>
      <c r="K1642" s="78"/>
      <c r="L1642" s="110"/>
      <c r="M1642" s="105" t="str">
        <f t="shared" si="25"/>
        <v xml:space="preserve">   </v>
      </c>
    </row>
    <row r="1643" spans="1:13" s="53" customFormat="1" hidden="1" x14ac:dyDescent="0.2">
      <c r="A1643" s="377"/>
      <c r="B1643" s="379"/>
      <c r="C1643" s="106"/>
      <c r="D1643" s="107"/>
      <c r="E1643" s="108"/>
      <c r="F1643" s="109"/>
      <c r="G1643" s="103"/>
      <c r="H1643" s="103"/>
      <c r="I1643" s="102"/>
      <c r="J1643" s="102"/>
      <c r="K1643" s="78"/>
      <c r="L1643" s="110"/>
      <c r="M1643" s="105" t="str">
        <f t="shared" si="25"/>
        <v xml:space="preserve">   </v>
      </c>
    </row>
    <row r="1644" spans="1:13" s="53" customFormat="1" hidden="1" x14ac:dyDescent="0.2">
      <c r="A1644" s="377"/>
      <c r="B1644" s="379"/>
      <c r="C1644" s="106"/>
      <c r="D1644" s="107"/>
      <c r="E1644" s="108"/>
      <c r="F1644" s="109"/>
      <c r="G1644" s="103"/>
      <c r="H1644" s="103"/>
      <c r="I1644" s="102"/>
      <c r="J1644" s="102"/>
      <c r="K1644" s="78"/>
      <c r="L1644" s="110"/>
      <c r="M1644" s="105" t="str">
        <f t="shared" si="25"/>
        <v xml:space="preserve">   </v>
      </c>
    </row>
    <row r="1645" spans="1:13" s="53" customFormat="1" ht="12.75" hidden="1" customHeight="1" x14ac:dyDescent="0.2">
      <c r="A1645" s="377" t="s">
        <v>101</v>
      </c>
      <c r="B1645" s="379" t="s">
        <v>88</v>
      </c>
      <c r="C1645" s="102"/>
      <c r="D1645" s="102"/>
      <c r="E1645" s="102"/>
      <c r="F1645" s="102"/>
      <c r="G1645" s="103"/>
      <c r="H1645" s="103"/>
      <c r="I1645" s="102"/>
      <c r="J1645" s="102"/>
      <c r="K1645" s="78"/>
      <c r="L1645" s="104" t="str">
        <f>CONCATENATE(C1645," ",D1645," ",E1645," ",F1645," ",C1646," ",D1646," ",E1646," ",F1646)</f>
        <v xml:space="preserve">       </v>
      </c>
      <c r="M1645" s="105" t="str">
        <f t="shared" si="25"/>
        <v xml:space="preserve">   </v>
      </c>
    </row>
    <row r="1646" spans="1:13" s="53" customFormat="1" hidden="1" x14ac:dyDescent="0.2">
      <c r="A1646" s="377"/>
      <c r="B1646" s="379"/>
      <c r="C1646" s="106"/>
      <c r="D1646" s="107"/>
      <c r="E1646" s="108"/>
      <c r="F1646" s="109"/>
      <c r="G1646" s="103"/>
      <c r="H1646" s="103"/>
      <c r="I1646" s="102"/>
      <c r="J1646" s="102"/>
      <c r="K1646" s="78"/>
      <c r="L1646" s="110"/>
      <c r="M1646" s="105" t="str">
        <f t="shared" si="25"/>
        <v xml:space="preserve">   </v>
      </c>
    </row>
    <row r="1647" spans="1:13" s="53" customFormat="1" hidden="1" x14ac:dyDescent="0.2">
      <c r="A1647" s="377"/>
      <c r="B1647" s="379"/>
      <c r="C1647" s="106"/>
      <c r="D1647" s="107"/>
      <c r="E1647" s="108"/>
      <c r="F1647" s="109"/>
      <c r="G1647" s="103"/>
      <c r="H1647" s="103"/>
      <c r="I1647" s="102"/>
      <c r="J1647" s="102"/>
      <c r="K1647" s="78"/>
      <c r="L1647" s="110"/>
      <c r="M1647" s="105" t="str">
        <f t="shared" si="25"/>
        <v xml:space="preserve">   </v>
      </c>
    </row>
    <row r="1648" spans="1:13" s="53" customFormat="1" hidden="1" x14ac:dyDescent="0.2">
      <c r="A1648" s="377"/>
      <c r="B1648" s="379"/>
      <c r="C1648" s="106"/>
      <c r="D1648" s="107"/>
      <c r="E1648" s="108"/>
      <c r="F1648" s="109"/>
      <c r="G1648" s="103"/>
      <c r="H1648" s="103"/>
      <c r="I1648" s="102"/>
      <c r="J1648" s="102"/>
      <c r="K1648" s="78"/>
      <c r="L1648" s="110"/>
      <c r="M1648" s="105" t="str">
        <f t="shared" si="25"/>
        <v xml:space="preserve">   </v>
      </c>
    </row>
    <row r="1649" spans="1:13" s="53" customFormat="1" hidden="1" x14ac:dyDescent="0.2">
      <c r="A1649" s="377"/>
      <c r="B1649" s="379"/>
      <c r="C1649" s="106"/>
      <c r="D1649" s="107"/>
      <c r="E1649" s="108"/>
      <c r="F1649" s="109"/>
      <c r="G1649" s="103"/>
      <c r="H1649" s="103"/>
      <c r="I1649" s="102"/>
      <c r="J1649" s="102"/>
      <c r="K1649" s="78"/>
      <c r="L1649" s="110"/>
      <c r="M1649" s="105" t="str">
        <f t="shared" si="25"/>
        <v xml:space="preserve">   </v>
      </c>
    </row>
    <row r="1650" spans="1:13" s="53" customFormat="1" hidden="1" x14ac:dyDescent="0.2">
      <c r="A1650" s="377"/>
      <c r="B1650" s="379"/>
      <c r="C1650" s="106"/>
      <c r="D1650" s="107"/>
      <c r="E1650" s="108"/>
      <c r="F1650" s="109"/>
      <c r="G1650" s="103"/>
      <c r="H1650" s="103"/>
      <c r="I1650" s="102"/>
      <c r="J1650" s="102"/>
      <c r="K1650" s="78"/>
      <c r="L1650" s="110"/>
      <c r="M1650" s="105" t="str">
        <f t="shared" si="25"/>
        <v xml:space="preserve">   </v>
      </c>
    </row>
    <row r="1651" spans="1:13" s="53" customFormat="1" hidden="1" x14ac:dyDescent="0.2">
      <c r="A1651" s="377"/>
      <c r="B1651" s="379"/>
      <c r="C1651" s="106"/>
      <c r="D1651" s="107"/>
      <c r="E1651" s="108"/>
      <c r="F1651" s="109"/>
      <c r="G1651" s="103"/>
      <c r="H1651" s="103"/>
      <c r="I1651" s="102"/>
      <c r="J1651" s="102"/>
      <c r="K1651" s="78"/>
      <c r="L1651" s="110"/>
      <c r="M1651" s="105" t="str">
        <f t="shared" si="25"/>
        <v xml:space="preserve">   </v>
      </c>
    </row>
    <row r="1652" spans="1:13" s="53" customFormat="1" hidden="1" x14ac:dyDescent="0.2">
      <c r="A1652" s="377"/>
      <c r="B1652" s="379"/>
      <c r="C1652" s="106"/>
      <c r="D1652" s="107"/>
      <c r="E1652" s="108"/>
      <c r="F1652" s="109"/>
      <c r="G1652" s="103"/>
      <c r="H1652" s="103"/>
      <c r="I1652" s="102"/>
      <c r="J1652" s="102"/>
      <c r="K1652" s="78"/>
      <c r="L1652" s="110"/>
      <c r="M1652" s="105" t="str">
        <f t="shared" si="25"/>
        <v xml:space="preserve">   </v>
      </c>
    </row>
    <row r="1653" spans="1:13" s="53" customFormat="1" hidden="1" x14ac:dyDescent="0.2">
      <c r="A1653" s="377"/>
      <c r="B1653" s="379"/>
      <c r="C1653" s="106"/>
      <c r="D1653" s="107"/>
      <c r="E1653" s="108"/>
      <c r="F1653" s="109"/>
      <c r="G1653" s="103"/>
      <c r="H1653" s="103"/>
      <c r="I1653" s="102"/>
      <c r="J1653" s="102"/>
      <c r="K1653" s="78"/>
      <c r="L1653" s="110"/>
      <c r="M1653" s="105" t="str">
        <f t="shared" si="25"/>
        <v xml:space="preserve">   </v>
      </c>
    </row>
    <row r="1654" spans="1:13" s="53" customFormat="1" hidden="1" x14ac:dyDescent="0.2">
      <c r="A1654" s="377"/>
      <c r="B1654" s="379"/>
      <c r="C1654" s="106"/>
      <c r="D1654" s="107"/>
      <c r="E1654" s="108"/>
      <c r="F1654" s="109"/>
      <c r="G1654" s="103"/>
      <c r="H1654" s="103"/>
      <c r="I1654" s="102"/>
      <c r="J1654" s="102"/>
      <c r="K1654" s="78"/>
      <c r="L1654" s="110"/>
      <c r="M1654" s="105" t="str">
        <f t="shared" si="25"/>
        <v xml:space="preserve">   </v>
      </c>
    </row>
    <row r="1655" spans="1:13" s="53" customFormat="1" ht="12.75" hidden="1" customHeight="1" x14ac:dyDescent="0.2">
      <c r="A1655" s="377" t="s">
        <v>101</v>
      </c>
      <c r="B1655" s="379" t="s">
        <v>88</v>
      </c>
      <c r="C1655" s="102"/>
      <c r="D1655" s="102"/>
      <c r="E1655" s="102"/>
      <c r="F1655" s="102"/>
      <c r="G1655" s="103"/>
      <c r="H1655" s="103"/>
      <c r="I1655" s="102"/>
      <c r="J1655" s="102"/>
      <c r="K1655" s="78"/>
      <c r="L1655" s="104" t="str">
        <f>CONCATENATE(C1655," ",D1655," ",E1655," ",F1655," ",C1656," ",D1656," ",E1656," ",F1656)</f>
        <v xml:space="preserve">       </v>
      </c>
      <c r="M1655" s="105" t="str">
        <f t="shared" si="25"/>
        <v xml:space="preserve">   </v>
      </c>
    </row>
    <row r="1656" spans="1:13" s="53" customFormat="1" hidden="1" x14ac:dyDescent="0.2">
      <c r="A1656" s="377"/>
      <c r="B1656" s="379"/>
      <c r="C1656" s="106"/>
      <c r="D1656" s="107"/>
      <c r="E1656" s="108"/>
      <c r="F1656" s="109"/>
      <c r="G1656" s="103"/>
      <c r="H1656" s="103"/>
      <c r="I1656" s="102"/>
      <c r="J1656" s="102"/>
      <c r="K1656" s="78"/>
      <c r="L1656" s="110"/>
      <c r="M1656" s="105" t="str">
        <f t="shared" si="25"/>
        <v xml:space="preserve">   </v>
      </c>
    </row>
    <row r="1657" spans="1:13" s="53" customFormat="1" hidden="1" x14ac:dyDescent="0.2">
      <c r="A1657" s="377"/>
      <c r="B1657" s="379"/>
      <c r="C1657" s="106"/>
      <c r="D1657" s="107"/>
      <c r="E1657" s="108"/>
      <c r="F1657" s="109"/>
      <c r="G1657" s="103"/>
      <c r="H1657" s="103"/>
      <c r="I1657" s="102"/>
      <c r="J1657" s="102"/>
      <c r="K1657" s="78"/>
      <c r="L1657" s="110"/>
      <c r="M1657" s="105" t="str">
        <f t="shared" si="25"/>
        <v xml:space="preserve">   </v>
      </c>
    </row>
    <row r="1658" spans="1:13" s="53" customFormat="1" hidden="1" x14ac:dyDescent="0.2">
      <c r="A1658" s="377"/>
      <c r="B1658" s="379"/>
      <c r="C1658" s="106"/>
      <c r="D1658" s="107"/>
      <c r="E1658" s="108"/>
      <c r="F1658" s="109"/>
      <c r="G1658" s="103"/>
      <c r="H1658" s="103"/>
      <c r="I1658" s="102"/>
      <c r="J1658" s="102"/>
      <c r="K1658" s="78"/>
      <c r="L1658" s="110"/>
      <c r="M1658" s="105" t="str">
        <f t="shared" si="25"/>
        <v xml:space="preserve">   </v>
      </c>
    </row>
    <row r="1659" spans="1:13" s="53" customFormat="1" hidden="1" x14ac:dyDescent="0.2">
      <c r="A1659" s="377"/>
      <c r="B1659" s="379"/>
      <c r="C1659" s="106"/>
      <c r="D1659" s="107"/>
      <c r="E1659" s="108"/>
      <c r="F1659" s="109"/>
      <c r="G1659" s="103"/>
      <c r="H1659" s="103"/>
      <c r="I1659" s="102"/>
      <c r="J1659" s="102"/>
      <c r="K1659" s="78"/>
      <c r="L1659" s="110"/>
      <c r="M1659" s="105" t="str">
        <f t="shared" si="25"/>
        <v xml:space="preserve">   </v>
      </c>
    </row>
    <row r="1660" spans="1:13" s="53" customFormat="1" hidden="1" x14ac:dyDescent="0.2">
      <c r="A1660" s="377"/>
      <c r="B1660" s="379"/>
      <c r="C1660" s="106"/>
      <c r="D1660" s="107"/>
      <c r="E1660" s="108"/>
      <c r="F1660" s="109"/>
      <c r="G1660" s="103"/>
      <c r="H1660" s="103"/>
      <c r="I1660" s="102"/>
      <c r="J1660" s="102"/>
      <c r="K1660" s="78"/>
      <c r="L1660" s="110"/>
      <c r="M1660" s="105" t="str">
        <f t="shared" si="25"/>
        <v xml:space="preserve">   </v>
      </c>
    </row>
    <row r="1661" spans="1:13" s="53" customFormat="1" hidden="1" x14ac:dyDescent="0.2">
      <c r="A1661" s="377"/>
      <c r="B1661" s="379"/>
      <c r="C1661" s="106"/>
      <c r="D1661" s="107"/>
      <c r="E1661" s="108"/>
      <c r="F1661" s="109"/>
      <c r="G1661" s="103"/>
      <c r="H1661" s="103"/>
      <c r="I1661" s="102"/>
      <c r="J1661" s="102"/>
      <c r="K1661" s="78"/>
      <c r="L1661" s="110"/>
      <c r="M1661" s="105" t="str">
        <f t="shared" si="25"/>
        <v xml:space="preserve">   </v>
      </c>
    </row>
    <row r="1662" spans="1:13" s="53" customFormat="1" hidden="1" x14ac:dyDescent="0.2">
      <c r="A1662" s="377"/>
      <c r="B1662" s="379"/>
      <c r="C1662" s="106"/>
      <c r="D1662" s="107"/>
      <c r="E1662" s="108"/>
      <c r="F1662" s="109"/>
      <c r="G1662" s="103"/>
      <c r="H1662" s="103"/>
      <c r="I1662" s="102"/>
      <c r="J1662" s="102"/>
      <c r="K1662" s="78"/>
      <c r="L1662" s="110"/>
      <c r="M1662" s="105" t="str">
        <f t="shared" si="25"/>
        <v xml:space="preserve">   </v>
      </c>
    </row>
    <row r="1663" spans="1:13" s="53" customFormat="1" hidden="1" x14ac:dyDescent="0.2">
      <c r="A1663" s="377"/>
      <c r="B1663" s="379"/>
      <c r="C1663" s="106"/>
      <c r="D1663" s="107"/>
      <c r="E1663" s="108"/>
      <c r="F1663" s="109"/>
      <c r="G1663" s="103"/>
      <c r="H1663" s="103"/>
      <c r="I1663" s="102"/>
      <c r="J1663" s="102"/>
      <c r="K1663" s="78"/>
      <c r="L1663" s="110"/>
      <c r="M1663" s="105" t="str">
        <f t="shared" si="25"/>
        <v xml:space="preserve">   </v>
      </c>
    </row>
    <row r="1664" spans="1:13" s="53" customFormat="1" hidden="1" x14ac:dyDescent="0.2">
      <c r="A1664" s="377"/>
      <c r="B1664" s="379"/>
      <c r="C1664" s="106"/>
      <c r="D1664" s="107"/>
      <c r="E1664" s="108"/>
      <c r="F1664" s="109"/>
      <c r="G1664" s="103"/>
      <c r="H1664" s="103"/>
      <c r="I1664" s="102"/>
      <c r="J1664" s="102"/>
      <c r="K1664" s="78"/>
      <c r="L1664" s="110"/>
      <c r="M1664" s="105" t="str">
        <f t="shared" si="25"/>
        <v xml:space="preserve">   </v>
      </c>
    </row>
    <row r="1665" spans="1:13" s="53" customFormat="1" ht="12.75" hidden="1" customHeight="1" x14ac:dyDescent="0.2">
      <c r="A1665" s="377" t="s">
        <v>101</v>
      </c>
      <c r="B1665" s="379" t="s">
        <v>88</v>
      </c>
      <c r="C1665" s="102"/>
      <c r="D1665" s="102"/>
      <c r="E1665" s="102"/>
      <c r="F1665" s="102"/>
      <c r="G1665" s="103"/>
      <c r="H1665" s="103"/>
      <c r="I1665" s="102"/>
      <c r="J1665" s="102"/>
      <c r="K1665" s="78"/>
      <c r="L1665" s="104" t="str">
        <f>CONCATENATE(C1665," ",D1665," ",E1665," ",F1665," ",C1666," ",D1666," ",E1666," ",F1666)</f>
        <v xml:space="preserve">       </v>
      </c>
      <c r="M1665" s="105" t="str">
        <f t="shared" si="25"/>
        <v xml:space="preserve">   </v>
      </c>
    </row>
    <row r="1666" spans="1:13" s="53" customFormat="1" hidden="1" x14ac:dyDescent="0.2">
      <c r="A1666" s="377"/>
      <c r="B1666" s="379"/>
      <c r="C1666" s="106"/>
      <c r="D1666" s="107"/>
      <c r="E1666" s="108"/>
      <c r="F1666" s="109"/>
      <c r="G1666" s="103"/>
      <c r="H1666" s="103"/>
      <c r="I1666" s="102"/>
      <c r="J1666" s="102"/>
      <c r="K1666" s="78"/>
      <c r="L1666" s="110"/>
      <c r="M1666" s="105" t="str">
        <f t="shared" si="25"/>
        <v xml:space="preserve">   </v>
      </c>
    </row>
    <row r="1667" spans="1:13" s="53" customFormat="1" hidden="1" x14ac:dyDescent="0.2">
      <c r="A1667" s="377"/>
      <c r="B1667" s="379"/>
      <c r="C1667" s="106"/>
      <c r="D1667" s="107"/>
      <c r="E1667" s="108"/>
      <c r="F1667" s="109"/>
      <c r="G1667" s="103"/>
      <c r="H1667" s="103"/>
      <c r="I1667" s="102"/>
      <c r="J1667" s="102"/>
      <c r="K1667" s="78"/>
      <c r="L1667" s="110"/>
      <c r="M1667" s="105" t="str">
        <f t="shared" si="25"/>
        <v xml:space="preserve">   </v>
      </c>
    </row>
    <row r="1668" spans="1:13" s="53" customFormat="1" hidden="1" x14ac:dyDescent="0.2">
      <c r="A1668" s="377"/>
      <c r="B1668" s="379"/>
      <c r="C1668" s="106"/>
      <c r="D1668" s="107"/>
      <c r="E1668" s="108"/>
      <c r="F1668" s="109"/>
      <c r="G1668" s="103"/>
      <c r="H1668" s="103"/>
      <c r="I1668" s="102"/>
      <c r="J1668" s="102"/>
      <c r="K1668" s="78"/>
      <c r="L1668" s="110"/>
      <c r="M1668" s="105" t="str">
        <f t="shared" si="25"/>
        <v xml:space="preserve">   </v>
      </c>
    </row>
    <row r="1669" spans="1:13" s="53" customFormat="1" hidden="1" x14ac:dyDescent="0.2">
      <c r="A1669" s="377"/>
      <c r="B1669" s="379"/>
      <c r="C1669" s="106"/>
      <c r="D1669" s="107"/>
      <c r="E1669" s="108"/>
      <c r="F1669" s="109"/>
      <c r="G1669" s="103"/>
      <c r="H1669" s="103"/>
      <c r="I1669" s="102"/>
      <c r="J1669" s="102"/>
      <c r="K1669" s="78"/>
      <c r="L1669" s="110"/>
      <c r="M1669" s="105" t="str">
        <f t="shared" si="25"/>
        <v xml:space="preserve">   </v>
      </c>
    </row>
    <row r="1670" spans="1:13" s="53" customFormat="1" hidden="1" x14ac:dyDescent="0.2">
      <c r="A1670" s="377"/>
      <c r="B1670" s="379"/>
      <c r="C1670" s="106"/>
      <c r="D1670" s="107"/>
      <c r="E1670" s="108"/>
      <c r="F1670" s="109"/>
      <c r="G1670" s="103"/>
      <c r="H1670" s="103"/>
      <c r="I1670" s="102"/>
      <c r="J1670" s="102"/>
      <c r="K1670" s="78"/>
      <c r="L1670" s="110"/>
      <c r="M1670" s="105" t="str">
        <f t="shared" si="25"/>
        <v xml:space="preserve">   </v>
      </c>
    </row>
    <row r="1671" spans="1:13" s="53" customFormat="1" hidden="1" x14ac:dyDescent="0.2">
      <c r="A1671" s="377"/>
      <c r="B1671" s="379"/>
      <c r="C1671" s="106"/>
      <c r="D1671" s="107"/>
      <c r="E1671" s="108"/>
      <c r="F1671" s="109"/>
      <c r="G1671" s="103"/>
      <c r="H1671" s="103"/>
      <c r="I1671" s="102"/>
      <c r="J1671" s="102"/>
      <c r="K1671" s="78"/>
      <c r="L1671" s="110"/>
      <c r="M1671" s="105" t="str">
        <f t="shared" si="25"/>
        <v xml:space="preserve">   </v>
      </c>
    </row>
    <row r="1672" spans="1:13" s="53" customFormat="1" hidden="1" x14ac:dyDescent="0.2">
      <c r="A1672" s="377"/>
      <c r="B1672" s="379"/>
      <c r="C1672" s="106"/>
      <c r="D1672" s="107"/>
      <c r="E1672" s="108"/>
      <c r="F1672" s="109"/>
      <c r="G1672" s="103"/>
      <c r="H1672" s="103"/>
      <c r="I1672" s="102"/>
      <c r="J1672" s="102"/>
      <c r="K1672" s="78"/>
      <c r="L1672" s="110"/>
      <c r="M1672" s="105" t="str">
        <f t="shared" si="25"/>
        <v xml:space="preserve">   </v>
      </c>
    </row>
    <row r="1673" spans="1:13" s="53" customFormat="1" hidden="1" x14ac:dyDescent="0.2">
      <c r="A1673" s="377"/>
      <c r="B1673" s="379"/>
      <c r="C1673" s="106"/>
      <c r="D1673" s="107"/>
      <c r="E1673" s="108"/>
      <c r="F1673" s="109"/>
      <c r="G1673" s="103"/>
      <c r="H1673" s="103"/>
      <c r="I1673" s="102"/>
      <c r="J1673" s="102"/>
      <c r="K1673" s="78"/>
      <c r="L1673" s="110"/>
      <c r="M1673" s="105" t="str">
        <f t="shared" si="25"/>
        <v xml:space="preserve">   </v>
      </c>
    </row>
    <row r="1674" spans="1:13" s="53" customFormat="1" hidden="1" x14ac:dyDescent="0.2">
      <c r="A1674" s="377"/>
      <c r="B1674" s="379"/>
      <c r="C1674" s="106"/>
      <c r="D1674" s="107"/>
      <c r="E1674" s="108"/>
      <c r="F1674" s="109"/>
      <c r="G1674" s="103"/>
      <c r="H1674" s="103"/>
      <c r="I1674" s="102"/>
      <c r="J1674" s="102"/>
      <c r="K1674" s="78"/>
      <c r="L1674" s="110"/>
      <c r="M1674" s="105" t="str">
        <f t="shared" si="25"/>
        <v xml:space="preserve">   </v>
      </c>
    </row>
    <row r="1675" spans="1:13" s="53" customFormat="1" ht="12.75" hidden="1" customHeight="1" x14ac:dyDescent="0.2">
      <c r="A1675" s="377" t="s">
        <v>101</v>
      </c>
      <c r="B1675" s="379" t="s">
        <v>88</v>
      </c>
      <c r="C1675" s="102"/>
      <c r="D1675" s="102"/>
      <c r="E1675" s="102"/>
      <c r="F1675" s="102"/>
      <c r="G1675" s="103"/>
      <c r="H1675" s="103"/>
      <c r="I1675" s="102"/>
      <c r="J1675" s="102"/>
      <c r="K1675" s="78"/>
      <c r="L1675" s="104" t="str">
        <f>CONCATENATE(C1675," ",D1675," ",E1675," ",F1675," ",C1676," ",D1676," ",E1676," ",F1676)</f>
        <v xml:space="preserve">       </v>
      </c>
      <c r="M1675" s="105" t="str">
        <f t="shared" ref="M1675:M1738" si="26">CONCATENATE(G1675," ",H1675," ",I1675," ",J1675)</f>
        <v xml:space="preserve">   </v>
      </c>
    </row>
    <row r="1676" spans="1:13" s="53" customFormat="1" hidden="1" x14ac:dyDescent="0.2">
      <c r="A1676" s="377"/>
      <c r="B1676" s="379"/>
      <c r="C1676" s="106"/>
      <c r="D1676" s="107"/>
      <c r="E1676" s="108"/>
      <c r="F1676" s="109"/>
      <c r="G1676" s="103"/>
      <c r="H1676" s="103"/>
      <c r="I1676" s="102"/>
      <c r="J1676" s="102"/>
      <c r="K1676" s="78"/>
      <c r="L1676" s="110"/>
      <c r="M1676" s="105" t="str">
        <f t="shared" si="26"/>
        <v xml:space="preserve">   </v>
      </c>
    </row>
    <row r="1677" spans="1:13" s="53" customFormat="1" hidden="1" x14ac:dyDescent="0.2">
      <c r="A1677" s="377"/>
      <c r="B1677" s="379"/>
      <c r="C1677" s="106"/>
      <c r="D1677" s="107"/>
      <c r="E1677" s="108"/>
      <c r="F1677" s="109"/>
      <c r="G1677" s="103"/>
      <c r="H1677" s="103"/>
      <c r="I1677" s="102"/>
      <c r="J1677" s="102"/>
      <c r="K1677" s="78"/>
      <c r="L1677" s="110"/>
      <c r="M1677" s="105" t="str">
        <f t="shared" si="26"/>
        <v xml:space="preserve">   </v>
      </c>
    </row>
    <row r="1678" spans="1:13" s="53" customFormat="1" hidden="1" x14ac:dyDescent="0.2">
      <c r="A1678" s="377"/>
      <c r="B1678" s="379"/>
      <c r="C1678" s="106"/>
      <c r="D1678" s="107"/>
      <c r="E1678" s="108"/>
      <c r="F1678" s="109"/>
      <c r="G1678" s="103"/>
      <c r="H1678" s="103"/>
      <c r="I1678" s="102"/>
      <c r="J1678" s="102"/>
      <c r="K1678" s="78"/>
      <c r="L1678" s="110"/>
      <c r="M1678" s="105" t="str">
        <f t="shared" si="26"/>
        <v xml:space="preserve">   </v>
      </c>
    </row>
    <row r="1679" spans="1:13" s="53" customFormat="1" hidden="1" x14ac:dyDescent="0.2">
      <c r="A1679" s="377"/>
      <c r="B1679" s="379"/>
      <c r="C1679" s="106"/>
      <c r="D1679" s="107"/>
      <c r="E1679" s="108"/>
      <c r="F1679" s="109"/>
      <c r="G1679" s="103"/>
      <c r="H1679" s="103"/>
      <c r="I1679" s="102"/>
      <c r="J1679" s="102"/>
      <c r="K1679" s="78"/>
      <c r="L1679" s="110"/>
      <c r="M1679" s="105" t="str">
        <f t="shared" si="26"/>
        <v xml:space="preserve">   </v>
      </c>
    </row>
    <row r="1680" spans="1:13" s="53" customFormat="1" hidden="1" x14ac:dyDescent="0.2">
      <c r="A1680" s="377"/>
      <c r="B1680" s="379"/>
      <c r="C1680" s="106"/>
      <c r="D1680" s="107"/>
      <c r="E1680" s="108"/>
      <c r="F1680" s="109"/>
      <c r="G1680" s="103"/>
      <c r="H1680" s="103"/>
      <c r="I1680" s="102"/>
      <c r="J1680" s="102"/>
      <c r="K1680" s="78"/>
      <c r="L1680" s="110"/>
      <c r="M1680" s="105" t="str">
        <f t="shared" si="26"/>
        <v xml:space="preserve">   </v>
      </c>
    </row>
    <row r="1681" spans="1:13" s="53" customFormat="1" hidden="1" x14ac:dyDescent="0.2">
      <c r="A1681" s="377"/>
      <c r="B1681" s="379"/>
      <c r="C1681" s="106"/>
      <c r="D1681" s="107"/>
      <c r="E1681" s="108"/>
      <c r="F1681" s="109"/>
      <c r="G1681" s="103"/>
      <c r="H1681" s="103"/>
      <c r="I1681" s="102"/>
      <c r="J1681" s="102"/>
      <c r="K1681" s="78"/>
      <c r="L1681" s="110"/>
      <c r="M1681" s="105" t="str">
        <f t="shared" si="26"/>
        <v xml:space="preserve">   </v>
      </c>
    </row>
    <row r="1682" spans="1:13" s="53" customFormat="1" hidden="1" x14ac:dyDescent="0.2">
      <c r="A1682" s="377"/>
      <c r="B1682" s="379"/>
      <c r="C1682" s="106"/>
      <c r="D1682" s="107"/>
      <c r="E1682" s="108"/>
      <c r="F1682" s="109"/>
      <c r="G1682" s="103"/>
      <c r="H1682" s="103"/>
      <c r="I1682" s="102"/>
      <c r="J1682" s="102"/>
      <c r="K1682" s="78"/>
      <c r="L1682" s="110"/>
      <c r="M1682" s="105" t="str">
        <f t="shared" si="26"/>
        <v xml:space="preserve">   </v>
      </c>
    </row>
    <row r="1683" spans="1:13" s="53" customFormat="1" hidden="1" x14ac:dyDescent="0.2">
      <c r="A1683" s="377"/>
      <c r="B1683" s="379"/>
      <c r="C1683" s="106"/>
      <c r="D1683" s="107"/>
      <c r="E1683" s="108"/>
      <c r="F1683" s="109"/>
      <c r="G1683" s="103"/>
      <c r="H1683" s="103"/>
      <c r="I1683" s="102"/>
      <c r="J1683" s="102"/>
      <c r="K1683" s="78"/>
      <c r="L1683" s="110"/>
      <c r="M1683" s="105" t="str">
        <f t="shared" si="26"/>
        <v xml:space="preserve">   </v>
      </c>
    </row>
    <row r="1684" spans="1:13" s="53" customFormat="1" hidden="1" x14ac:dyDescent="0.2">
      <c r="A1684" s="377"/>
      <c r="B1684" s="379"/>
      <c r="C1684" s="106"/>
      <c r="D1684" s="107"/>
      <c r="E1684" s="108"/>
      <c r="F1684" s="109"/>
      <c r="G1684" s="103"/>
      <c r="H1684" s="103"/>
      <c r="I1684" s="102"/>
      <c r="J1684" s="102"/>
      <c r="K1684" s="78"/>
      <c r="L1684" s="110"/>
      <c r="M1684" s="105" t="str">
        <f t="shared" si="26"/>
        <v xml:space="preserve">   </v>
      </c>
    </row>
    <row r="1685" spans="1:13" s="53" customFormat="1" ht="12.75" hidden="1" customHeight="1" x14ac:dyDescent="0.2">
      <c r="A1685" s="377" t="s">
        <v>101</v>
      </c>
      <c r="B1685" s="379" t="s">
        <v>88</v>
      </c>
      <c r="C1685" s="102"/>
      <c r="D1685" s="102"/>
      <c r="E1685" s="102"/>
      <c r="F1685" s="102"/>
      <c r="G1685" s="103"/>
      <c r="H1685" s="103"/>
      <c r="I1685" s="102"/>
      <c r="J1685" s="102"/>
      <c r="K1685" s="78"/>
      <c r="L1685" s="104" t="str">
        <f>CONCATENATE(C1685," ",D1685," ",E1685," ",F1685," ",C1686," ",D1686," ",E1686," ",F1686)</f>
        <v xml:space="preserve">       </v>
      </c>
      <c r="M1685" s="105" t="str">
        <f t="shared" si="26"/>
        <v xml:space="preserve">   </v>
      </c>
    </row>
    <row r="1686" spans="1:13" s="53" customFormat="1" hidden="1" x14ac:dyDescent="0.2">
      <c r="A1686" s="377"/>
      <c r="B1686" s="379"/>
      <c r="C1686" s="106"/>
      <c r="D1686" s="107"/>
      <c r="E1686" s="108"/>
      <c r="F1686" s="109"/>
      <c r="G1686" s="103"/>
      <c r="H1686" s="103"/>
      <c r="I1686" s="102"/>
      <c r="J1686" s="102"/>
      <c r="K1686" s="78"/>
      <c r="L1686" s="110"/>
      <c r="M1686" s="105" t="str">
        <f t="shared" si="26"/>
        <v xml:space="preserve">   </v>
      </c>
    </row>
    <row r="1687" spans="1:13" s="53" customFormat="1" hidden="1" x14ac:dyDescent="0.2">
      <c r="A1687" s="377"/>
      <c r="B1687" s="379"/>
      <c r="C1687" s="106"/>
      <c r="D1687" s="107"/>
      <c r="E1687" s="108"/>
      <c r="F1687" s="109"/>
      <c r="G1687" s="103"/>
      <c r="H1687" s="103"/>
      <c r="I1687" s="102"/>
      <c r="J1687" s="102"/>
      <c r="K1687" s="78"/>
      <c r="L1687" s="110"/>
      <c r="M1687" s="105" t="str">
        <f t="shared" si="26"/>
        <v xml:space="preserve">   </v>
      </c>
    </row>
    <row r="1688" spans="1:13" s="53" customFormat="1" hidden="1" x14ac:dyDescent="0.2">
      <c r="A1688" s="377"/>
      <c r="B1688" s="379"/>
      <c r="C1688" s="106"/>
      <c r="D1688" s="107"/>
      <c r="E1688" s="108"/>
      <c r="F1688" s="109"/>
      <c r="G1688" s="103"/>
      <c r="H1688" s="103"/>
      <c r="I1688" s="102"/>
      <c r="J1688" s="102"/>
      <c r="K1688" s="78"/>
      <c r="L1688" s="110"/>
      <c r="M1688" s="105" t="str">
        <f t="shared" si="26"/>
        <v xml:space="preserve">   </v>
      </c>
    </row>
    <row r="1689" spans="1:13" s="53" customFormat="1" hidden="1" x14ac:dyDescent="0.2">
      <c r="A1689" s="377"/>
      <c r="B1689" s="379"/>
      <c r="C1689" s="106"/>
      <c r="D1689" s="107"/>
      <c r="E1689" s="108"/>
      <c r="F1689" s="109"/>
      <c r="G1689" s="103"/>
      <c r="H1689" s="103"/>
      <c r="I1689" s="102"/>
      <c r="J1689" s="102"/>
      <c r="K1689" s="78"/>
      <c r="L1689" s="110"/>
      <c r="M1689" s="105" t="str">
        <f t="shared" si="26"/>
        <v xml:space="preserve">   </v>
      </c>
    </row>
    <row r="1690" spans="1:13" s="53" customFormat="1" hidden="1" x14ac:dyDescent="0.2">
      <c r="A1690" s="377"/>
      <c r="B1690" s="379"/>
      <c r="C1690" s="106"/>
      <c r="D1690" s="107"/>
      <c r="E1690" s="108"/>
      <c r="F1690" s="109"/>
      <c r="G1690" s="103"/>
      <c r="H1690" s="103"/>
      <c r="I1690" s="102"/>
      <c r="J1690" s="102"/>
      <c r="K1690" s="78"/>
      <c r="L1690" s="110"/>
      <c r="M1690" s="105" t="str">
        <f t="shared" si="26"/>
        <v xml:space="preserve">   </v>
      </c>
    </row>
    <row r="1691" spans="1:13" s="53" customFormat="1" hidden="1" x14ac:dyDescent="0.2">
      <c r="A1691" s="377"/>
      <c r="B1691" s="379"/>
      <c r="C1691" s="106"/>
      <c r="D1691" s="107"/>
      <c r="E1691" s="108"/>
      <c r="F1691" s="109"/>
      <c r="G1691" s="103"/>
      <c r="H1691" s="103"/>
      <c r="I1691" s="102"/>
      <c r="J1691" s="102"/>
      <c r="K1691" s="78"/>
      <c r="L1691" s="110"/>
      <c r="M1691" s="105" t="str">
        <f t="shared" si="26"/>
        <v xml:space="preserve">   </v>
      </c>
    </row>
    <row r="1692" spans="1:13" s="53" customFormat="1" hidden="1" x14ac:dyDescent="0.2">
      <c r="A1692" s="377"/>
      <c r="B1692" s="379"/>
      <c r="C1692" s="106"/>
      <c r="D1692" s="107"/>
      <c r="E1692" s="108"/>
      <c r="F1692" s="109"/>
      <c r="G1692" s="103"/>
      <c r="H1692" s="103"/>
      <c r="I1692" s="102"/>
      <c r="J1692" s="102"/>
      <c r="K1692" s="78"/>
      <c r="L1692" s="110"/>
      <c r="M1692" s="105" t="str">
        <f t="shared" si="26"/>
        <v xml:space="preserve">   </v>
      </c>
    </row>
    <row r="1693" spans="1:13" s="53" customFormat="1" hidden="1" x14ac:dyDescent="0.2">
      <c r="A1693" s="377"/>
      <c r="B1693" s="379"/>
      <c r="C1693" s="106"/>
      <c r="D1693" s="107"/>
      <c r="E1693" s="108"/>
      <c r="F1693" s="109"/>
      <c r="G1693" s="103"/>
      <c r="H1693" s="103"/>
      <c r="I1693" s="102"/>
      <c r="J1693" s="102"/>
      <c r="K1693" s="78"/>
      <c r="L1693" s="110"/>
      <c r="M1693" s="105" t="str">
        <f t="shared" si="26"/>
        <v xml:space="preserve">   </v>
      </c>
    </row>
    <row r="1694" spans="1:13" s="53" customFormat="1" hidden="1" x14ac:dyDescent="0.2">
      <c r="A1694" s="377"/>
      <c r="B1694" s="379"/>
      <c r="C1694" s="106"/>
      <c r="D1694" s="107"/>
      <c r="E1694" s="108"/>
      <c r="F1694" s="109"/>
      <c r="G1694" s="103"/>
      <c r="H1694" s="103"/>
      <c r="I1694" s="102"/>
      <c r="J1694" s="102"/>
      <c r="K1694" s="78"/>
      <c r="L1694" s="110"/>
      <c r="M1694" s="105" t="str">
        <f t="shared" si="26"/>
        <v xml:space="preserve">   </v>
      </c>
    </row>
    <row r="1695" spans="1:13" s="53" customFormat="1" ht="12.75" hidden="1" customHeight="1" x14ac:dyDescent="0.2">
      <c r="A1695" s="377" t="s">
        <v>101</v>
      </c>
      <c r="B1695" s="379" t="s">
        <v>88</v>
      </c>
      <c r="C1695" s="102"/>
      <c r="D1695" s="102"/>
      <c r="E1695" s="102"/>
      <c r="F1695" s="102"/>
      <c r="G1695" s="103"/>
      <c r="H1695" s="103"/>
      <c r="I1695" s="102"/>
      <c r="J1695" s="102"/>
      <c r="K1695" s="78"/>
      <c r="L1695" s="104" t="str">
        <f>CONCATENATE(C1695," ",D1695," ",E1695," ",F1695," ",C1696," ",D1696," ",E1696," ",F1696)</f>
        <v xml:space="preserve">       </v>
      </c>
      <c r="M1695" s="105" t="str">
        <f t="shared" si="26"/>
        <v xml:space="preserve">   </v>
      </c>
    </row>
    <row r="1696" spans="1:13" s="53" customFormat="1" hidden="1" x14ac:dyDescent="0.2">
      <c r="A1696" s="377"/>
      <c r="B1696" s="379"/>
      <c r="C1696" s="106"/>
      <c r="D1696" s="107"/>
      <c r="E1696" s="108"/>
      <c r="F1696" s="109"/>
      <c r="G1696" s="103"/>
      <c r="H1696" s="103"/>
      <c r="I1696" s="102"/>
      <c r="J1696" s="102"/>
      <c r="K1696" s="78"/>
      <c r="L1696" s="110"/>
      <c r="M1696" s="105" t="str">
        <f t="shared" si="26"/>
        <v xml:space="preserve">   </v>
      </c>
    </row>
    <row r="1697" spans="1:13" s="53" customFormat="1" hidden="1" x14ac:dyDescent="0.2">
      <c r="A1697" s="377"/>
      <c r="B1697" s="379"/>
      <c r="C1697" s="106"/>
      <c r="D1697" s="107"/>
      <c r="E1697" s="108"/>
      <c r="F1697" s="109"/>
      <c r="G1697" s="103"/>
      <c r="H1697" s="103"/>
      <c r="I1697" s="102"/>
      <c r="J1697" s="102"/>
      <c r="K1697" s="78"/>
      <c r="L1697" s="110"/>
      <c r="M1697" s="105" t="str">
        <f t="shared" si="26"/>
        <v xml:space="preserve">   </v>
      </c>
    </row>
    <row r="1698" spans="1:13" s="53" customFormat="1" hidden="1" x14ac:dyDescent="0.2">
      <c r="A1698" s="377"/>
      <c r="B1698" s="379"/>
      <c r="C1698" s="106"/>
      <c r="D1698" s="107"/>
      <c r="E1698" s="108"/>
      <c r="F1698" s="109"/>
      <c r="G1698" s="103"/>
      <c r="H1698" s="103"/>
      <c r="I1698" s="102"/>
      <c r="J1698" s="102"/>
      <c r="K1698" s="78"/>
      <c r="L1698" s="110"/>
      <c r="M1698" s="105" t="str">
        <f t="shared" si="26"/>
        <v xml:space="preserve">   </v>
      </c>
    </row>
    <row r="1699" spans="1:13" s="53" customFormat="1" hidden="1" x14ac:dyDescent="0.2">
      <c r="A1699" s="377"/>
      <c r="B1699" s="379"/>
      <c r="C1699" s="106"/>
      <c r="D1699" s="107"/>
      <c r="E1699" s="108"/>
      <c r="F1699" s="109"/>
      <c r="G1699" s="103"/>
      <c r="H1699" s="103"/>
      <c r="I1699" s="102"/>
      <c r="J1699" s="102"/>
      <c r="K1699" s="78"/>
      <c r="L1699" s="110"/>
      <c r="M1699" s="105" t="str">
        <f t="shared" si="26"/>
        <v xml:space="preserve">   </v>
      </c>
    </row>
    <row r="1700" spans="1:13" s="53" customFormat="1" hidden="1" x14ac:dyDescent="0.2">
      <c r="A1700" s="377"/>
      <c r="B1700" s="379"/>
      <c r="C1700" s="106"/>
      <c r="D1700" s="107"/>
      <c r="E1700" s="108"/>
      <c r="F1700" s="109"/>
      <c r="G1700" s="103"/>
      <c r="H1700" s="103"/>
      <c r="I1700" s="102"/>
      <c r="J1700" s="102"/>
      <c r="K1700" s="78"/>
      <c r="L1700" s="110"/>
      <c r="M1700" s="105" t="str">
        <f t="shared" si="26"/>
        <v xml:space="preserve">   </v>
      </c>
    </row>
    <row r="1701" spans="1:13" s="53" customFormat="1" hidden="1" x14ac:dyDescent="0.2">
      <c r="A1701" s="377"/>
      <c r="B1701" s="379"/>
      <c r="C1701" s="106"/>
      <c r="D1701" s="107"/>
      <c r="E1701" s="108"/>
      <c r="F1701" s="109"/>
      <c r="G1701" s="103"/>
      <c r="H1701" s="103"/>
      <c r="I1701" s="102"/>
      <c r="J1701" s="102"/>
      <c r="K1701" s="78"/>
      <c r="L1701" s="110"/>
      <c r="M1701" s="105" t="str">
        <f t="shared" si="26"/>
        <v xml:space="preserve">   </v>
      </c>
    </row>
    <row r="1702" spans="1:13" s="53" customFormat="1" hidden="1" x14ac:dyDescent="0.2">
      <c r="A1702" s="377"/>
      <c r="B1702" s="379"/>
      <c r="C1702" s="106"/>
      <c r="D1702" s="107"/>
      <c r="E1702" s="108"/>
      <c r="F1702" s="109"/>
      <c r="G1702" s="103"/>
      <c r="H1702" s="103"/>
      <c r="I1702" s="102"/>
      <c r="J1702" s="102"/>
      <c r="K1702" s="78"/>
      <c r="L1702" s="110"/>
      <c r="M1702" s="105" t="str">
        <f t="shared" si="26"/>
        <v xml:space="preserve">   </v>
      </c>
    </row>
    <row r="1703" spans="1:13" s="53" customFormat="1" hidden="1" x14ac:dyDescent="0.2">
      <c r="A1703" s="377"/>
      <c r="B1703" s="379"/>
      <c r="C1703" s="106"/>
      <c r="D1703" s="107"/>
      <c r="E1703" s="108"/>
      <c r="F1703" s="109"/>
      <c r="G1703" s="103"/>
      <c r="H1703" s="103"/>
      <c r="I1703" s="102"/>
      <c r="J1703" s="102"/>
      <c r="K1703" s="78"/>
      <c r="L1703" s="110"/>
      <c r="M1703" s="105" t="str">
        <f t="shared" si="26"/>
        <v xml:space="preserve">   </v>
      </c>
    </row>
    <row r="1704" spans="1:13" s="53" customFormat="1" hidden="1" x14ac:dyDescent="0.2">
      <c r="A1704" s="377"/>
      <c r="B1704" s="379"/>
      <c r="C1704" s="106"/>
      <c r="D1704" s="107"/>
      <c r="E1704" s="108"/>
      <c r="F1704" s="109"/>
      <c r="G1704" s="103"/>
      <c r="H1704" s="103"/>
      <c r="I1704" s="102"/>
      <c r="J1704" s="102"/>
      <c r="K1704" s="78"/>
      <c r="L1704" s="110"/>
      <c r="M1704" s="105" t="str">
        <f t="shared" si="26"/>
        <v xml:space="preserve">   </v>
      </c>
    </row>
    <row r="1705" spans="1:13" s="53" customFormat="1" ht="12.75" hidden="1" customHeight="1" x14ac:dyDescent="0.2">
      <c r="A1705" s="377" t="s">
        <v>101</v>
      </c>
      <c r="B1705" s="379" t="s">
        <v>88</v>
      </c>
      <c r="C1705" s="102"/>
      <c r="D1705" s="102"/>
      <c r="E1705" s="102"/>
      <c r="F1705" s="102"/>
      <c r="G1705" s="103"/>
      <c r="H1705" s="103"/>
      <c r="I1705" s="102"/>
      <c r="J1705" s="102"/>
      <c r="K1705" s="78"/>
      <c r="L1705" s="104" t="str">
        <f>CONCATENATE(C1705," ",D1705," ",E1705," ",F1705," ",C1706," ",D1706," ",E1706," ",F1706)</f>
        <v xml:space="preserve">       </v>
      </c>
      <c r="M1705" s="105" t="str">
        <f t="shared" si="26"/>
        <v xml:space="preserve">   </v>
      </c>
    </row>
    <row r="1706" spans="1:13" s="53" customFormat="1" hidden="1" x14ac:dyDescent="0.2">
      <c r="A1706" s="377"/>
      <c r="B1706" s="379"/>
      <c r="C1706" s="106"/>
      <c r="D1706" s="107"/>
      <c r="E1706" s="108"/>
      <c r="F1706" s="109"/>
      <c r="G1706" s="103"/>
      <c r="H1706" s="103"/>
      <c r="I1706" s="102"/>
      <c r="J1706" s="102"/>
      <c r="K1706" s="78"/>
      <c r="L1706" s="110"/>
      <c r="M1706" s="105" t="str">
        <f t="shared" si="26"/>
        <v xml:space="preserve">   </v>
      </c>
    </row>
    <row r="1707" spans="1:13" s="53" customFormat="1" hidden="1" x14ac:dyDescent="0.2">
      <c r="A1707" s="377"/>
      <c r="B1707" s="379"/>
      <c r="C1707" s="106"/>
      <c r="D1707" s="107"/>
      <c r="E1707" s="108"/>
      <c r="F1707" s="109"/>
      <c r="G1707" s="103"/>
      <c r="H1707" s="103"/>
      <c r="I1707" s="102"/>
      <c r="J1707" s="102"/>
      <c r="K1707" s="78"/>
      <c r="L1707" s="110"/>
      <c r="M1707" s="105" t="str">
        <f t="shared" si="26"/>
        <v xml:space="preserve">   </v>
      </c>
    </row>
    <row r="1708" spans="1:13" s="53" customFormat="1" hidden="1" x14ac:dyDescent="0.2">
      <c r="A1708" s="377"/>
      <c r="B1708" s="379"/>
      <c r="C1708" s="106"/>
      <c r="D1708" s="107"/>
      <c r="E1708" s="108"/>
      <c r="F1708" s="109"/>
      <c r="G1708" s="103"/>
      <c r="H1708" s="103"/>
      <c r="I1708" s="102"/>
      <c r="J1708" s="102"/>
      <c r="K1708" s="78"/>
      <c r="L1708" s="110"/>
      <c r="M1708" s="105" t="str">
        <f t="shared" si="26"/>
        <v xml:space="preserve">   </v>
      </c>
    </row>
    <row r="1709" spans="1:13" s="53" customFormat="1" hidden="1" x14ac:dyDescent="0.2">
      <c r="A1709" s="377"/>
      <c r="B1709" s="379"/>
      <c r="C1709" s="106"/>
      <c r="D1709" s="107"/>
      <c r="E1709" s="108"/>
      <c r="F1709" s="109"/>
      <c r="G1709" s="103"/>
      <c r="H1709" s="103"/>
      <c r="I1709" s="102"/>
      <c r="J1709" s="102"/>
      <c r="K1709" s="78"/>
      <c r="L1709" s="110"/>
      <c r="M1709" s="105" t="str">
        <f t="shared" si="26"/>
        <v xml:space="preserve">   </v>
      </c>
    </row>
    <row r="1710" spans="1:13" s="53" customFormat="1" hidden="1" x14ac:dyDescent="0.2">
      <c r="A1710" s="377"/>
      <c r="B1710" s="379"/>
      <c r="C1710" s="106"/>
      <c r="D1710" s="107"/>
      <c r="E1710" s="108"/>
      <c r="F1710" s="109"/>
      <c r="G1710" s="103"/>
      <c r="H1710" s="103"/>
      <c r="I1710" s="102"/>
      <c r="J1710" s="102"/>
      <c r="K1710" s="78"/>
      <c r="L1710" s="110"/>
      <c r="M1710" s="105" t="str">
        <f t="shared" si="26"/>
        <v xml:space="preserve">   </v>
      </c>
    </row>
    <row r="1711" spans="1:13" s="53" customFormat="1" hidden="1" x14ac:dyDescent="0.2">
      <c r="A1711" s="377"/>
      <c r="B1711" s="379"/>
      <c r="C1711" s="106"/>
      <c r="D1711" s="107"/>
      <c r="E1711" s="108"/>
      <c r="F1711" s="109"/>
      <c r="G1711" s="103"/>
      <c r="H1711" s="103"/>
      <c r="I1711" s="102"/>
      <c r="J1711" s="102"/>
      <c r="K1711" s="78"/>
      <c r="L1711" s="110"/>
      <c r="M1711" s="105" t="str">
        <f t="shared" si="26"/>
        <v xml:space="preserve">   </v>
      </c>
    </row>
    <row r="1712" spans="1:13" s="53" customFormat="1" hidden="1" x14ac:dyDescent="0.2">
      <c r="A1712" s="377"/>
      <c r="B1712" s="379"/>
      <c r="C1712" s="106"/>
      <c r="D1712" s="107"/>
      <c r="E1712" s="108"/>
      <c r="F1712" s="109"/>
      <c r="G1712" s="103"/>
      <c r="H1712" s="103"/>
      <c r="I1712" s="102"/>
      <c r="J1712" s="102"/>
      <c r="K1712" s="78"/>
      <c r="L1712" s="110"/>
      <c r="M1712" s="105" t="str">
        <f t="shared" si="26"/>
        <v xml:space="preserve">   </v>
      </c>
    </row>
    <row r="1713" spans="1:13" s="53" customFormat="1" hidden="1" x14ac:dyDescent="0.2">
      <c r="A1713" s="377"/>
      <c r="B1713" s="379"/>
      <c r="C1713" s="106"/>
      <c r="D1713" s="107"/>
      <c r="E1713" s="108"/>
      <c r="F1713" s="109"/>
      <c r="G1713" s="103"/>
      <c r="H1713" s="103"/>
      <c r="I1713" s="102"/>
      <c r="J1713" s="102"/>
      <c r="K1713" s="78"/>
      <c r="L1713" s="110"/>
      <c r="M1713" s="105" t="str">
        <f t="shared" si="26"/>
        <v xml:space="preserve">   </v>
      </c>
    </row>
    <row r="1714" spans="1:13" s="53" customFormat="1" hidden="1" x14ac:dyDescent="0.2">
      <c r="A1714" s="377"/>
      <c r="B1714" s="379"/>
      <c r="C1714" s="106"/>
      <c r="D1714" s="107"/>
      <c r="E1714" s="108"/>
      <c r="F1714" s="109"/>
      <c r="G1714" s="103"/>
      <c r="H1714" s="103"/>
      <c r="I1714" s="102"/>
      <c r="J1714" s="102"/>
      <c r="K1714" s="78"/>
      <c r="L1714" s="110"/>
      <c r="M1714" s="105" t="str">
        <f t="shared" si="26"/>
        <v xml:space="preserve">   </v>
      </c>
    </row>
    <row r="1715" spans="1:13" s="46" customFormat="1" ht="15" hidden="1" customHeight="1" x14ac:dyDescent="0.2">
      <c r="A1715" s="377" t="s">
        <v>101</v>
      </c>
      <c r="B1715" s="378" t="s">
        <v>89</v>
      </c>
      <c r="C1715" s="102"/>
      <c r="D1715" s="102"/>
      <c r="E1715" s="102"/>
      <c r="F1715" s="102"/>
      <c r="G1715" s="103"/>
      <c r="H1715" s="103"/>
      <c r="I1715" s="102"/>
      <c r="J1715" s="102"/>
      <c r="K1715" s="78"/>
      <c r="L1715" s="111" t="str">
        <f>CONCATENATE(C1715," ",D1715," ",E1715," ",F1715," ",C1716," ",D1716," ",E1716," ",F1716)</f>
        <v xml:space="preserve">       </v>
      </c>
      <c r="M1715" s="105" t="str">
        <f t="shared" si="26"/>
        <v xml:space="preserve">   </v>
      </c>
    </row>
    <row r="1716" spans="1:13" s="46" customFormat="1" hidden="1" x14ac:dyDescent="0.2">
      <c r="A1716" s="377"/>
      <c r="B1716" s="378"/>
      <c r="C1716" s="112"/>
      <c r="D1716" s="107"/>
      <c r="E1716" s="108"/>
      <c r="F1716" s="109"/>
      <c r="G1716" s="103"/>
      <c r="H1716" s="103"/>
      <c r="I1716" s="102"/>
      <c r="J1716" s="102"/>
      <c r="K1716" s="78"/>
      <c r="L1716" s="110"/>
      <c r="M1716" s="105" t="str">
        <f t="shared" si="26"/>
        <v xml:space="preserve">   </v>
      </c>
    </row>
    <row r="1717" spans="1:13" s="46" customFormat="1" hidden="1" x14ac:dyDescent="0.2">
      <c r="A1717" s="377"/>
      <c r="B1717" s="378"/>
      <c r="C1717" s="106"/>
      <c r="D1717" s="107"/>
      <c r="E1717" s="108"/>
      <c r="F1717" s="109"/>
      <c r="G1717" s="103"/>
      <c r="H1717" s="103"/>
      <c r="I1717" s="102"/>
      <c r="J1717" s="102"/>
      <c r="K1717" s="78"/>
      <c r="L1717" s="110"/>
      <c r="M1717" s="105" t="str">
        <f t="shared" si="26"/>
        <v xml:space="preserve">   </v>
      </c>
    </row>
    <row r="1718" spans="1:13" s="46" customFormat="1" hidden="1" x14ac:dyDescent="0.2">
      <c r="A1718" s="377"/>
      <c r="B1718" s="378"/>
      <c r="C1718" s="106"/>
      <c r="D1718" s="107"/>
      <c r="E1718" s="108"/>
      <c r="F1718" s="109"/>
      <c r="G1718" s="103"/>
      <c r="H1718" s="103"/>
      <c r="I1718" s="102"/>
      <c r="J1718" s="102"/>
      <c r="K1718" s="78"/>
      <c r="L1718" s="110"/>
      <c r="M1718" s="105" t="str">
        <f t="shared" si="26"/>
        <v xml:space="preserve">   </v>
      </c>
    </row>
    <row r="1719" spans="1:13" s="53" customFormat="1" hidden="1" x14ac:dyDescent="0.2">
      <c r="A1719" s="377"/>
      <c r="B1719" s="378"/>
      <c r="C1719" s="106"/>
      <c r="D1719" s="107"/>
      <c r="E1719" s="108"/>
      <c r="F1719" s="109"/>
      <c r="G1719" s="103"/>
      <c r="H1719" s="103"/>
      <c r="I1719" s="102"/>
      <c r="J1719" s="102"/>
      <c r="K1719" s="78"/>
      <c r="L1719" s="110"/>
      <c r="M1719" s="105" t="str">
        <f t="shared" si="26"/>
        <v xml:space="preserve">   </v>
      </c>
    </row>
    <row r="1720" spans="1:13" s="53" customFormat="1" hidden="1" x14ac:dyDescent="0.2">
      <c r="A1720" s="377"/>
      <c r="B1720" s="378"/>
      <c r="C1720" s="106"/>
      <c r="D1720" s="107"/>
      <c r="E1720" s="108"/>
      <c r="F1720" s="109"/>
      <c r="G1720" s="103"/>
      <c r="H1720" s="103"/>
      <c r="I1720" s="102"/>
      <c r="J1720" s="102"/>
      <c r="K1720" s="78"/>
      <c r="L1720" s="110"/>
      <c r="M1720" s="105" t="str">
        <f t="shared" si="26"/>
        <v xml:space="preserve">   </v>
      </c>
    </row>
    <row r="1721" spans="1:13" s="53" customFormat="1" hidden="1" x14ac:dyDescent="0.2">
      <c r="A1721" s="377"/>
      <c r="B1721" s="378"/>
      <c r="C1721" s="106"/>
      <c r="D1721" s="107"/>
      <c r="E1721" s="108"/>
      <c r="F1721" s="109"/>
      <c r="G1721" s="103"/>
      <c r="H1721" s="103"/>
      <c r="I1721" s="102"/>
      <c r="J1721" s="102"/>
      <c r="K1721" s="78"/>
      <c r="L1721" s="110"/>
      <c r="M1721" s="105" t="str">
        <f t="shared" si="26"/>
        <v xml:space="preserve">   </v>
      </c>
    </row>
    <row r="1722" spans="1:13" s="53" customFormat="1" hidden="1" x14ac:dyDescent="0.2">
      <c r="A1722" s="377"/>
      <c r="B1722" s="378"/>
      <c r="C1722" s="106"/>
      <c r="D1722" s="107"/>
      <c r="E1722" s="108"/>
      <c r="F1722" s="109"/>
      <c r="G1722" s="103"/>
      <c r="H1722" s="103"/>
      <c r="I1722" s="102"/>
      <c r="J1722" s="102"/>
      <c r="K1722" s="78"/>
      <c r="L1722" s="110"/>
      <c r="M1722" s="105" t="str">
        <f t="shared" si="26"/>
        <v xml:space="preserve">   </v>
      </c>
    </row>
    <row r="1723" spans="1:13" s="46" customFormat="1" hidden="1" x14ac:dyDescent="0.2">
      <c r="A1723" s="377"/>
      <c r="B1723" s="378"/>
      <c r="C1723" s="106"/>
      <c r="D1723" s="107"/>
      <c r="E1723" s="108"/>
      <c r="F1723" s="109"/>
      <c r="G1723" s="103"/>
      <c r="H1723" s="103"/>
      <c r="I1723" s="102"/>
      <c r="J1723" s="102"/>
      <c r="K1723" s="78"/>
      <c r="L1723" s="110"/>
      <c r="M1723" s="105" t="str">
        <f t="shared" si="26"/>
        <v xml:space="preserve">   </v>
      </c>
    </row>
    <row r="1724" spans="1:13" s="46" customFormat="1" hidden="1" x14ac:dyDescent="0.2">
      <c r="A1724" s="377"/>
      <c r="B1724" s="378"/>
      <c r="C1724" s="113"/>
      <c r="D1724" s="114"/>
      <c r="E1724" s="115"/>
      <c r="F1724" s="116"/>
      <c r="G1724" s="103"/>
      <c r="H1724" s="103"/>
      <c r="I1724" s="102"/>
      <c r="J1724" s="102"/>
      <c r="K1724" s="78"/>
      <c r="L1724" s="110"/>
      <c r="M1724" s="105" t="str">
        <f t="shared" si="26"/>
        <v xml:space="preserve">   </v>
      </c>
    </row>
    <row r="1725" spans="1:13" s="46" customFormat="1" ht="15" hidden="1" customHeight="1" x14ac:dyDescent="0.2">
      <c r="A1725" s="377" t="s">
        <v>101</v>
      </c>
      <c r="B1725" s="378" t="s">
        <v>89</v>
      </c>
      <c r="C1725" s="102"/>
      <c r="D1725" s="102"/>
      <c r="E1725" s="102"/>
      <c r="F1725" s="102"/>
      <c r="G1725" s="103"/>
      <c r="H1725" s="103"/>
      <c r="I1725" s="102"/>
      <c r="J1725" s="102"/>
      <c r="K1725" s="78"/>
      <c r="L1725" s="111" t="str">
        <f>CONCATENATE(C1725," ",D1725," ",E1725," ",F1725," ",C1726," ",D1726," ",E1726," ",F1726)</f>
        <v xml:space="preserve">       </v>
      </c>
      <c r="M1725" s="105" t="str">
        <f t="shared" si="26"/>
        <v xml:space="preserve">   </v>
      </c>
    </row>
    <row r="1726" spans="1:13" s="46" customFormat="1" hidden="1" x14ac:dyDescent="0.2">
      <c r="A1726" s="377"/>
      <c r="B1726" s="378"/>
      <c r="C1726" s="112"/>
      <c r="D1726" s="107"/>
      <c r="E1726" s="108"/>
      <c r="F1726" s="109"/>
      <c r="G1726" s="103"/>
      <c r="H1726" s="103"/>
      <c r="I1726" s="102"/>
      <c r="J1726" s="102"/>
      <c r="K1726" s="78"/>
      <c r="L1726" s="110"/>
      <c r="M1726" s="105" t="str">
        <f t="shared" si="26"/>
        <v xml:space="preserve">   </v>
      </c>
    </row>
    <row r="1727" spans="1:13" s="46" customFormat="1" hidden="1" x14ac:dyDescent="0.2">
      <c r="A1727" s="377"/>
      <c r="B1727" s="378"/>
      <c r="C1727" s="106"/>
      <c r="D1727" s="107"/>
      <c r="E1727" s="108"/>
      <c r="F1727" s="109"/>
      <c r="G1727" s="103"/>
      <c r="H1727" s="103"/>
      <c r="I1727" s="102"/>
      <c r="J1727" s="102"/>
      <c r="K1727" s="78"/>
      <c r="L1727" s="110"/>
      <c r="M1727" s="105" t="str">
        <f t="shared" si="26"/>
        <v xml:space="preserve">   </v>
      </c>
    </row>
    <row r="1728" spans="1:13" s="46" customFormat="1" hidden="1" x14ac:dyDescent="0.2">
      <c r="A1728" s="377"/>
      <c r="B1728" s="378"/>
      <c r="C1728" s="106"/>
      <c r="D1728" s="107"/>
      <c r="E1728" s="108"/>
      <c r="F1728" s="109"/>
      <c r="G1728" s="103"/>
      <c r="H1728" s="103"/>
      <c r="I1728" s="102"/>
      <c r="J1728" s="102"/>
      <c r="K1728" s="78"/>
      <c r="L1728" s="110"/>
      <c r="M1728" s="105" t="str">
        <f t="shared" si="26"/>
        <v xml:space="preserve">   </v>
      </c>
    </row>
    <row r="1729" spans="1:13" s="53" customFormat="1" hidden="1" x14ac:dyDescent="0.2">
      <c r="A1729" s="377"/>
      <c r="B1729" s="378"/>
      <c r="C1729" s="106"/>
      <c r="D1729" s="107"/>
      <c r="E1729" s="108"/>
      <c r="F1729" s="109"/>
      <c r="G1729" s="103"/>
      <c r="H1729" s="103"/>
      <c r="I1729" s="102"/>
      <c r="J1729" s="102"/>
      <c r="K1729" s="78"/>
      <c r="L1729" s="110"/>
      <c r="M1729" s="105" t="str">
        <f t="shared" si="26"/>
        <v xml:space="preserve">   </v>
      </c>
    </row>
    <row r="1730" spans="1:13" s="53" customFormat="1" hidden="1" x14ac:dyDescent="0.2">
      <c r="A1730" s="377"/>
      <c r="B1730" s="378"/>
      <c r="C1730" s="106"/>
      <c r="D1730" s="107"/>
      <c r="E1730" s="108"/>
      <c r="F1730" s="109"/>
      <c r="G1730" s="103"/>
      <c r="H1730" s="103"/>
      <c r="I1730" s="102"/>
      <c r="J1730" s="102"/>
      <c r="K1730" s="78"/>
      <c r="L1730" s="110"/>
      <c r="M1730" s="105" t="str">
        <f t="shared" si="26"/>
        <v xml:space="preserve">   </v>
      </c>
    </row>
    <row r="1731" spans="1:13" s="53" customFormat="1" hidden="1" x14ac:dyDescent="0.2">
      <c r="A1731" s="377"/>
      <c r="B1731" s="378"/>
      <c r="C1731" s="106"/>
      <c r="D1731" s="107"/>
      <c r="E1731" s="108"/>
      <c r="F1731" s="109"/>
      <c r="G1731" s="103"/>
      <c r="H1731" s="103"/>
      <c r="I1731" s="102"/>
      <c r="J1731" s="102"/>
      <c r="K1731" s="78"/>
      <c r="L1731" s="110"/>
      <c r="M1731" s="105" t="str">
        <f t="shared" si="26"/>
        <v xml:space="preserve">   </v>
      </c>
    </row>
    <row r="1732" spans="1:13" s="53" customFormat="1" hidden="1" x14ac:dyDescent="0.2">
      <c r="A1732" s="377"/>
      <c r="B1732" s="378"/>
      <c r="C1732" s="106"/>
      <c r="D1732" s="107"/>
      <c r="E1732" s="108"/>
      <c r="F1732" s="109"/>
      <c r="G1732" s="103"/>
      <c r="H1732" s="103"/>
      <c r="I1732" s="102"/>
      <c r="J1732" s="102"/>
      <c r="K1732" s="78"/>
      <c r="L1732" s="110"/>
      <c r="M1732" s="105" t="str">
        <f t="shared" si="26"/>
        <v xml:space="preserve">   </v>
      </c>
    </row>
    <row r="1733" spans="1:13" s="46" customFormat="1" hidden="1" x14ac:dyDescent="0.2">
      <c r="A1733" s="377"/>
      <c r="B1733" s="378"/>
      <c r="C1733" s="106"/>
      <c r="D1733" s="107"/>
      <c r="E1733" s="108"/>
      <c r="F1733" s="109"/>
      <c r="G1733" s="103"/>
      <c r="H1733" s="103"/>
      <c r="I1733" s="102"/>
      <c r="J1733" s="102"/>
      <c r="K1733" s="78"/>
      <c r="L1733" s="110"/>
      <c r="M1733" s="105" t="str">
        <f t="shared" si="26"/>
        <v xml:space="preserve">   </v>
      </c>
    </row>
    <row r="1734" spans="1:13" s="46" customFormat="1" hidden="1" x14ac:dyDescent="0.2">
      <c r="A1734" s="377"/>
      <c r="B1734" s="378"/>
      <c r="C1734" s="113"/>
      <c r="D1734" s="114"/>
      <c r="E1734" s="115"/>
      <c r="F1734" s="116"/>
      <c r="G1734" s="103"/>
      <c r="H1734" s="103"/>
      <c r="I1734" s="102"/>
      <c r="J1734" s="102"/>
      <c r="K1734" s="78"/>
      <c r="L1734" s="117"/>
      <c r="M1734" s="105" t="str">
        <f t="shared" si="26"/>
        <v xml:space="preserve">   </v>
      </c>
    </row>
    <row r="1735" spans="1:13" s="46" customFormat="1" ht="15" hidden="1" customHeight="1" x14ac:dyDescent="0.2">
      <c r="A1735" s="377" t="s">
        <v>101</v>
      </c>
      <c r="B1735" s="378" t="s">
        <v>89</v>
      </c>
      <c r="C1735" s="102"/>
      <c r="D1735" s="102"/>
      <c r="E1735" s="102"/>
      <c r="F1735" s="102"/>
      <c r="G1735" s="103"/>
      <c r="H1735" s="103"/>
      <c r="I1735" s="102"/>
      <c r="J1735" s="102"/>
      <c r="K1735" s="78"/>
      <c r="L1735" s="111" t="str">
        <f>CONCATENATE(C1735," ",D1735," ",E1735," ",F1735," ",C1736," ",D1736," ",E1736," ",F1736)</f>
        <v xml:space="preserve">       </v>
      </c>
      <c r="M1735" s="105" t="str">
        <f t="shared" si="26"/>
        <v xml:space="preserve">   </v>
      </c>
    </row>
    <row r="1736" spans="1:13" s="46" customFormat="1" hidden="1" x14ac:dyDescent="0.2">
      <c r="A1736" s="377"/>
      <c r="B1736" s="378"/>
      <c r="C1736" s="112"/>
      <c r="D1736" s="107"/>
      <c r="E1736" s="108"/>
      <c r="F1736" s="109"/>
      <c r="G1736" s="103"/>
      <c r="H1736" s="103"/>
      <c r="I1736" s="102"/>
      <c r="J1736" s="102"/>
      <c r="K1736" s="78"/>
      <c r="L1736" s="110"/>
      <c r="M1736" s="105" t="str">
        <f t="shared" si="26"/>
        <v xml:space="preserve">   </v>
      </c>
    </row>
    <row r="1737" spans="1:13" s="46" customFormat="1" hidden="1" x14ac:dyDescent="0.2">
      <c r="A1737" s="377"/>
      <c r="B1737" s="378"/>
      <c r="C1737" s="106"/>
      <c r="D1737" s="107"/>
      <c r="E1737" s="108"/>
      <c r="F1737" s="109"/>
      <c r="G1737" s="103"/>
      <c r="H1737" s="103"/>
      <c r="I1737" s="102"/>
      <c r="J1737" s="102"/>
      <c r="K1737" s="78"/>
      <c r="L1737" s="110"/>
      <c r="M1737" s="105" t="str">
        <f t="shared" si="26"/>
        <v xml:space="preserve">   </v>
      </c>
    </row>
    <row r="1738" spans="1:13" s="46" customFormat="1" hidden="1" x14ac:dyDescent="0.2">
      <c r="A1738" s="377"/>
      <c r="B1738" s="378"/>
      <c r="C1738" s="106"/>
      <c r="D1738" s="107"/>
      <c r="E1738" s="108"/>
      <c r="F1738" s="109"/>
      <c r="G1738" s="103"/>
      <c r="H1738" s="103"/>
      <c r="I1738" s="102"/>
      <c r="J1738" s="102"/>
      <c r="K1738" s="78"/>
      <c r="L1738" s="110"/>
      <c r="M1738" s="105" t="str">
        <f t="shared" si="26"/>
        <v xml:space="preserve">   </v>
      </c>
    </row>
    <row r="1739" spans="1:13" s="53" customFormat="1" hidden="1" x14ac:dyDescent="0.2">
      <c r="A1739" s="377"/>
      <c r="B1739" s="378"/>
      <c r="C1739" s="106"/>
      <c r="D1739" s="107"/>
      <c r="E1739" s="108"/>
      <c r="F1739" s="109"/>
      <c r="G1739" s="103"/>
      <c r="H1739" s="103"/>
      <c r="I1739" s="102"/>
      <c r="J1739" s="102"/>
      <c r="K1739" s="78"/>
      <c r="L1739" s="110"/>
      <c r="M1739" s="105" t="str">
        <f t="shared" ref="M1739:M1802" si="27">CONCATENATE(G1739," ",H1739," ",I1739," ",J1739)</f>
        <v xml:space="preserve">   </v>
      </c>
    </row>
    <row r="1740" spans="1:13" s="53" customFormat="1" hidden="1" x14ac:dyDescent="0.2">
      <c r="A1740" s="377"/>
      <c r="B1740" s="378"/>
      <c r="C1740" s="106"/>
      <c r="D1740" s="107"/>
      <c r="E1740" s="108"/>
      <c r="F1740" s="109"/>
      <c r="G1740" s="103"/>
      <c r="H1740" s="103"/>
      <c r="I1740" s="102"/>
      <c r="J1740" s="102"/>
      <c r="K1740" s="78"/>
      <c r="L1740" s="110"/>
      <c r="M1740" s="105" t="str">
        <f t="shared" si="27"/>
        <v xml:space="preserve">   </v>
      </c>
    </row>
    <row r="1741" spans="1:13" s="53" customFormat="1" hidden="1" x14ac:dyDescent="0.2">
      <c r="A1741" s="377"/>
      <c r="B1741" s="378"/>
      <c r="C1741" s="106"/>
      <c r="D1741" s="107"/>
      <c r="E1741" s="108"/>
      <c r="F1741" s="109"/>
      <c r="G1741" s="103"/>
      <c r="H1741" s="103"/>
      <c r="I1741" s="102"/>
      <c r="J1741" s="102"/>
      <c r="K1741" s="78"/>
      <c r="L1741" s="110"/>
      <c r="M1741" s="105" t="str">
        <f t="shared" si="27"/>
        <v xml:space="preserve">   </v>
      </c>
    </row>
    <row r="1742" spans="1:13" s="53" customFormat="1" hidden="1" x14ac:dyDescent="0.2">
      <c r="A1742" s="377"/>
      <c r="B1742" s="378"/>
      <c r="C1742" s="106"/>
      <c r="D1742" s="107"/>
      <c r="E1742" s="108"/>
      <c r="F1742" s="109"/>
      <c r="G1742" s="103"/>
      <c r="H1742" s="103"/>
      <c r="I1742" s="102"/>
      <c r="J1742" s="102"/>
      <c r="K1742" s="78"/>
      <c r="L1742" s="110"/>
      <c r="M1742" s="105" t="str">
        <f t="shared" si="27"/>
        <v xml:space="preserve">   </v>
      </c>
    </row>
    <row r="1743" spans="1:13" s="46" customFormat="1" hidden="1" x14ac:dyDescent="0.2">
      <c r="A1743" s="377"/>
      <c r="B1743" s="378"/>
      <c r="C1743" s="106"/>
      <c r="D1743" s="107"/>
      <c r="E1743" s="108"/>
      <c r="F1743" s="109"/>
      <c r="G1743" s="103"/>
      <c r="H1743" s="103"/>
      <c r="I1743" s="102"/>
      <c r="J1743" s="102"/>
      <c r="K1743" s="78"/>
      <c r="L1743" s="110"/>
      <c r="M1743" s="105" t="str">
        <f t="shared" si="27"/>
        <v xml:space="preserve">   </v>
      </c>
    </row>
    <row r="1744" spans="1:13" s="46" customFormat="1" hidden="1" x14ac:dyDescent="0.2">
      <c r="A1744" s="377"/>
      <c r="B1744" s="378"/>
      <c r="C1744" s="113"/>
      <c r="D1744" s="114"/>
      <c r="E1744" s="115"/>
      <c r="F1744" s="116"/>
      <c r="G1744" s="103"/>
      <c r="H1744" s="103"/>
      <c r="I1744" s="102"/>
      <c r="J1744" s="102"/>
      <c r="K1744" s="78"/>
      <c r="L1744" s="110"/>
      <c r="M1744" s="105" t="str">
        <f t="shared" si="27"/>
        <v xml:space="preserve">   </v>
      </c>
    </row>
    <row r="1745" spans="1:13" s="46" customFormat="1" ht="15" hidden="1" customHeight="1" x14ac:dyDescent="0.2">
      <c r="A1745" s="377" t="s">
        <v>101</v>
      </c>
      <c r="B1745" s="378" t="s">
        <v>89</v>
      </c>
      <c r="C1745" s="102"/>
      <c r="D1745" s="102"/>
      <c r="E1745" s="102"/>
      <c r="F1745" s="102"/>
      <c r="G1745" s="103"/>
      <c r="H1745" s="103"/>
      <c r="I1745" s="102"/>
      <c r="J1745" s="102"/>
      <c r="K1745" s="78"/>
      <c r="L1745" s="111" t="str">
        <f>CONCATENATE(C1745," ",D1745," ",E1745," ",F1745," ",C1746," ",D1746," ",E1746," ",F1746)</f>
        <v xml:space="preserve">       </v>
      </c>
      <c r="M1745" s="105" t="str">
        <f t="shared" si="27"/>
        <v xml:space="preserve">   </v>
      </c>
    </row>
    <row r="1746" spans="1:13" s="46" customFormat="1" hidden="1" x14ac:dyDescent="0.2">
      <c r="A1746" s="377"/>
      <c r="B1746" s="378"/>
      <c r="C1746" s="112"/>
      <c r="D1746" s="107"/>
      <c r="E1746" s="108"/>
      <c r="F1746" s="109"/>
      <c r="G1746" s="103"/>
      <c r="H1746" s="103"/>
      <c r="I1746" s="102"/>
      <c r="J1746" s="102"/>
      <c r="K1746" s="78"/>
      <c r="L1746" s="110"/>
      <c r="M1746" s="105" t="str">
        <f t="shared" si="27"/>
        <v xml:space="preserve">   </v>
      </c>
    </row>
    <row r="1747" spans="1:13" s="46" customFormat="1" hidden="1" x14ac:dyDescent="0.2">
      <c r="A1747" s="377"/>
      <c r="B1747" s="378"/>
      <c r="C1747" s="106"/>
      <c r="D1747" s="107"/>
      <c r="E1747" s="108"/>
      <c r="F1747" s="109"/>
      <c r="G1747" s="103"/>
      <c r="H1747" s="103"/>
      <c r="I1747" s="102"/>
      <c r="J1747" s="102"/>
      <c r="K1747" s="78"/>
      <c r="L1747" s="110"/>
      <c r="M1747" s="105" t="str">
        <f t="shared" si="27"/>
        <v xml:space="preserve">   </v>
      </c>
    </row>
    <row r="1748" spans="1:13" s="46" customFormat="1" hidden="1" x14ac:dyDescent="0.2">
      <c r="A1748" s="377"/>
      <c r="B1748" s="378"/>
      <c r="C1748" s="106"/>
      <c r="D1748" s="107"/>
      <c r="E1748" s="108"/>
      <c r="F1748" s="109"/>
      <c r="G1748" s="103"/>
      <c r="H1748" s="103"/>
      <c r="I1748" s="102"/>
      <c r="J1748" s="102"/>
      <c r="K1748" s="78"/>
      <c r="L1748" s="110"/>
      <c r="M1748" s="105" t="str">
        <f t="shared" si="27"/>
        <v xml:space="preserve">   </v>
      </c>
    </row>
    <row r="1749" spans="1:13" s="53" customFormat="1" hidden="1" x14ac:dyDescent="0.2">
      <c r="A1749" s="377"/>
      <c r="B1749" s="378"/>
      <c r="C1749" s="106"/>
      <c r="D1749" s="107"/>
      <c r="E1749" s="108"/>
      <c r="F1749" s="109"/>
      <c r="G1749" s="103"/>
      <c r="H1749" s="103"/>
      <c r="I1749" s="102"/>
      <c r="J1749" s="102"/>
      <c r="K1749" s="78"/>
      <c r="L1749" s="110"/>
      <c r="M1749" s="105" t="str">
        <f t="shared" si="27"/>
        <v xml:space="preserve">   </v>
      </c>
    </row>
    <row r="1750" spans="1:13" s="53" customFormat="1" hidden="1" x14ac:dyDescent="0.2">
      <c r="A1750" s="377"/>
      <c r="B1750" s="378"/>
      <c r="C1750" s="106"/>
      <c r="D1750" s="107"/>
      <c r="E1750" s="108"/>
      <c r="F1750" s="109"/>
      <c r="G1750" s="103"/>
      <c r="H1750" s="103"/>
      <c r="I1750" s="102"/>
      <c r="J1750" s="102"/>
      <c r="K1750" s="78"/>
      <c r="L1750" s="110"/>
      <c r="M1750" s="105" t="str">
        <f t="shared" si="27"/>
        <v xml:space="preserve">   </v>
      </c>
    </row>
    <row r="1751" spans="1:13" s="53" customFormat="1" hidden="1" x14ac:dyDescent="0.2">
      <c r="A1751" s="377"/>
      <c r="B1751" s="378"/>
      <c r="C1751" s="106"/>
      <c r="D1751" s="107"/>
      <c r="E1751" s="108"/>
      <c r="F1751" s="109"/>
      <c r="G1751" s="103"/>
      <c r="H1751" s="103"/>
      <c r="I1751" s="102"/>
      <c r="J1751" s="102"/>
      <c r="K1751" s="78"/>
      <c r="L1751" s="110"/>
      <c r="M1751" s="105" t="str">
        <f t="shared" si="27"/>
        <v xml:space="preserve">   </v>
      </c>
    </row>
    <row r="1752" spans="1:13" s="53" customFormat="1" hidden="1" x14ac:dyDescent="0.2">
      <c r="A1752" s="377"/>
      <c r="B1752" s="378"/>
      <c r="C1752" s="106"/>
      <c r="D1752" s="107"/>
      <c r="E1752" s="108"/>
      <c r="F1752" s="109"/>
      <c r="G1752" s="103"/>
      <c r="H1752" s="103"/>
      <c r="I1752" s="102"/>
      <c r="J1752" s="102"/>
      <c r="K1752" s="78"/>
      <c r="L1752" s="110"/>
      <c r="M1752" s="105" t="str">
        <f t="shared" si="27"/>
        <v xml:space="preserve">   </v>
      </c>
    </row>
    <row r="1753" spans="1:13" s="46" customFormat="1" hidden="1" x14ac:dyDescent="0.2">
      <c r="A1753" s="377"/>
      <c r="B1753" s="378"/>
      <c r="C1753" s="106"/>
      <c r="D1753" s="107"/>
      <c r="E1753" s="108"/>
      <c r="F1753" s="109"/>
      <c r="G1753" s="103"/>
      <c r="H1753" s="103"/>
      <c r="I1753" s="102"/>
      <c r="J1753" s="102"/>
      <c r="K1753" s="78"/>
      <c r="L1753" s="110"/>
      <c r="M1753" s="105" t="str">
        <f t="shared" si="27"/>
        <v xml:space="preserve">   </v>
      </c>
    </row>
    <row r="1754" spans="1:13" s="46" customFormat="1" hidden="1" x14ac:dyDescent="0.2">
      <c r="A1754" s="377"/>
      <c r="B1754" s="378"/>
      <c r="C1754" s="113"/>
      <c r="D1754" s="114"/>
      <c r="E1754" s="115"/>
      <c r="F1754" s="116"/>
      <c r="G1754" s="103"/>
      <c r="H1754" s="103"/>
      <c r="I1754" s="102"/>
      <c r="J1754" s="102"/>
      <c r="K1754" s="78"/>
      <c r="L1754" s="117"/>
      <c r="M1754" s="105" t="str">
        <f t="shared" si="27"/>
        <v xml:space="preserve">   </v>
      </c>
    </row>
    <row r="1755" spans="1:13" s="46" customFormat="1" ht="15" hidden="1" customHeight="1" x14ac:dyDescent="0.2">
      <c r="A1755" s="377" t="s">
        <v>101</v>
      </c>
      <c r="B1755" s="378" t="s">
        <v>89</v>
      </c>
      <c r="C1755" s="102"/>
      <c r="D1755" s="102"/>
      <c r="E1755" s="102"/>
      <c r="F1755" s="102"/>
      <c r="G1755" s="103"/>
      <c r="H1755" s="103"/>
      <c r="I1755" s="102"/>
      <c r="J1755" s="102"/>
      <c r="K1755" s="78"/>
      <c r="L1755" s="111" t="str">
        <f>CONCATENATE(C1755," ",D1755," ",E1755," ",F1755," ",C1756," ",D1756," ",E1756," ",F1756)</f>
        <v xml:space="preserve">       </v>
      </c>
      <c r="M1755" s="105" t="str">
        <f t="shared" si="27"/>
        <v xml:space="preserve">   </v>
      </c>
    </row>
    <row r="1756" spans="1:13" s="46" customFormat="1" hidden="1" x14ac:dyDescent="0.2">
      <c r="A1756" s="377"/>
      <c r="B1756" s="378"/>
      <c r="C1756" s="112"/>
      <c r="D1756" s="107"/>
      <c r="E1756" s="108"/>
      <c r="F1756" s="109"/>
      <c r="G1756" s="103"/>
      <c r="H1756" s="103"/>
      <c r="I1756" s="102"/>
      <c r="J1756" s="102"/>
      <c r="K1756" s="78"/>
      <c r="L1756" s="110"/>
      <c r="M1756" s="105" t="str">
        <f t="shared" si="27"/>
        <v xml:space="preserve">   </v>
      </c>
    </row>
    <row r="1757" spans="1:13" s="46" customFormat="1" hidden="1" x14ac:dyDescent="0.2">
      <c r="A1757" s="377"/>
      <c r="B1757" s="378"/>
      <c r="C1757" s="106"/>
      <c r="D1757" s="107"/>
      <c r="E1757" s="108"/>
      <c r="F1757" s="109"/>
      <c r="G1757" s="103"/>
      <c r="H1757" s="103"/>
      <c r="I1757" s="102"/>
      <c r="J1757" s="102"/>
      <c r="K1757" s="78"/>
      <c r="L1757" s="110"/>
      <c r="M1757" s="105" t="str">
        <f t="shared" si="27"/>
        <v xml:space="preserve">   </v>
      </c>
    </row>
    <row r="1758" spans="1:13" s="46" customFormat="1" hidden="1" x14ac:dyDescent="0.2">
      <c r="A1758" s="377"/>
      <c r="B1758" s="378"/>
      <c r="C1758" s="106"/>
      <c r="D1758" s="107"/>
      <c r="E1758" s="108"/>
      <c r="F1758" s="109"/>
      <c r="G1758" s="103"/>
      <c r="H1758" s="103"/>
      <c r="I1758" s="102"/>
      <c r="J1758" s="102"/>
      <c r="K1758" s="78"/>
      <c r="L1758" s="110"/>
      <c r="M1758" s="105" t="str">
        <f t="shared" si="27"/>
        <v xml:space="preserve">   </v>
      </c>
    </row>
    <row r="1759" spans="1:13" s="53" customFormat="1" hidden="1" x14ac:dyDescent="0.2">
      <c r="A1759" s="377"/>
      <c r="B1759" s="378"/>
      <c r="C1759" s="106"/>
      <c r="D1759" s="107"/>
      <c r="E1759" s="108"/>
      <c r="F1759" s="109"/>
      <c r="G1759" s="103"/>
      <c r="H1759" s="103"/>
      <c r="I1759" s="102"/>
      <c r="J1759" s="102"/>
      <c r="K1759" s="78"/>
      <c r="L1759" s="110"/>
      <c r="M1759" s="105" t="str">
        <f t="shared" si="27"/>
        <v xml:space="preserve">   </v>
      </c>
    </row>
    <row r="1760" spans="1:13" s="53" customFormat="1" hidden="1" x14ac:dyDescent="0.2">
      <c r="A1760" s="377"/>
      <c r="B1760" s="378"/>
      <c r="C1760" s="106"/>
      <c r="D1760" s="107"/>
      <c r="E1760" s="108"/>
      <c r="F1760" s="109"/>
      <c r="G1760" s="103"/>
      <c r="H1760" s="103"/>
      <c r="I1760" s="102"/>
      <c r="J1760" s="102"/>
      <c r="K1760" s="78"/>
      <c r="L1760" s="110"/>
      <c r="M1760" s="105" t="str">
        <f t="shared" si="27"/>
        <v xml:space="preserve">   </v>
      </c>
    </row>
    <row r="1761" spans="1:13" s="53" customFormat="1" hidden="1" x14ac:dyDescent="0.2">
      <c r="A1761" s="377"/>
      <c r="B1761" s="378"/>
      <c r="C1761" s="106"/>
      <c r="D1761" s="107"/>
      <c r="E1761" s="108"/>
      <c r="F1761" s="109"/>
      <c r="G1761" s="103"/>
      <c r="H1761" s="103"/>
      <c r="I1761" s="102"/>
      <c r="J1761" s="102"/>
      <c r="K1761" s="78"/>
      <c r="L1761" s="110"/>
      <c r="M1761" s="105" t="str">
        <f t="shared" si="27"/>
        <v xml:space="preserve">   </v>
      </c>
    </row>
    <row r="1762" spans="1:13" s="53" customFormat="1" hidden="1" x14ac:dyDescent="0.2">
      <c r="A1762" s="377"/>
      <c r="B1762" s="378"/>
      <c r="C1762" s="106"/>
      <c r="D1762" s="107"/>
      <c r="E1762" s="108"/>
      <c r="F1762" s="109"/>
      <c r="G1762" s="103"/>
      <c r="H1762" s="103"/>
      <c r="I1762" s="102"/>
      <c r="J1762" s="102"/>
      <c r="K1762" s="78"/>
      <c r="L1762" s="110"/>
      <c r="M1762" s="105" t="str">
        <f t="shared" si="27"/>
        <v xml:space="preserve">   </v>
      </c>
    </row>
    <row r="1763" spans="1:13" s="46" customFormat="1" hidden="1" x14ac:dyDescent="0.2">
      <c r="A1763" s="377"/>
      <c r="B1763" s="378"/>
      <c r="C1763" s="106"/>
      <c r="D1763" s="107"/>
      <c r="E1763" s="108"/>
      <c r="F1763" s="109"/>
      <c r="G1763" s="103"/>
      <c r="H1763" s="103"/>
      <c r="I1763" s="102"/>
      <c r="J1763" s="102"/>
      <c r="K1763" s="78"/>
      <c r="L1763" s="110"/>
      <c r="M1763" s="105" t="str">
        <f t="shared" si="27"/>
        <v xml:space="preserve">   </v>
      </c>
    </row>
    <row r="1764" spans="1:13" s="46" customFormat="1" hidden="1" x14ac:dyDescent="0.2">
      <c r="A1764" s="377"/>
      <c r="B1764" s="378"/>
      <c r="C1764" s="113"/>
      <c r="D1764" s="114"/>
      <c r="E1764" s="115"/>
      <c r="F1764" s="116"/>
      <c r="G1764" s="103"/>
      <c r="H1764" s="103"/>
      <c r="I1764" s="102"/>
      <c r="J1764" s="102"/>
      <c r="K1764" s="78"/>
      <c r="L1764" s="110"/>
      <c r="M1764" s="105" t="str">
        <f t="shared" si="27"/>
        <v xml:space="preserve">   </v>
      </c>
    </row>
    <row r="1765" spans="1:13" s="46" customFormat="1" ht="15" hidden="1" customHeight="1" x14ac:dyDescent="0.2">
      <c r="A1765" s="377" t="s">
        <v>101</v>
      </c>
      <c r="B1765" s="378" t="s">
        <v>89</v>
      </c>
      <c r="C1765" s="102"/>
      <c r="D1765" s="102"/>
      <c r="E1765" s="102"/>
      <c r="F1765" s="102"/>
      <c r="G1765" s="103"/>
      <c r="H1765" s="103"/>
      <c r="I1765" s="102"/>
      <c r="J1765" s="102"/>
      <c r="K1765" s="78"/>
      <c r="L1765" s="111" t="str">
        <f>CONCATENATE(C1765," ",D1765," ",E1765," ",F1765," ",C1766," ",D1766," ",E1766," ",F1766)</f>
        <v xml:space="preserve">       </v>
      </c>
      <c r="M1765" s="105" t="str">
        <f t="shared" si="27"/>
        <v xml:space="preserve">   </v>
      </c>
    </row>
    <row r="1766" spans="1:13" s="46" customFormat="1" hidden="1" x14ac:dyDescent="0.2">
      <c r="A1766" s="377"/>
      <c r="B1766" s="378"/>
      <c r="C1766" s="112"/>
      <c r="D1766" s="107"/>
      <c r="E1766" s="108"/>
      <c r="F1766" s="109"/>
      <c r="G1766" s="103"/>
      <c r="H1766" s="103"/>
      <c r="I1766" s="102"/>
      <c r="J1766" s="102"/>
      <c r="K1766" s="78"/>
      <c r="L1766" s="110"/>
      <c r="M1766" s="105" t="str">
        <f t="shared" si="27"/>
        <v xml:space="preserve">   </v>
      </c>
    </row>
    <row r="1767" spans="1:13" s="46" customFormat="1" hidden="1" x14ac:dyDescent="0.2">
      <c r="A1767" s="377"/>
      <c r="B1767" s="378"/>
      <c r="C1767" s="106"/>
      <c r="D1767" s="107"/>
      <c r="E1767" s="108"/>
      <c r="F1767" s="109"/>
      <c r="G1767" s="103"/>
      <c r="H1767" s="103"/>
      <c r="I1767" s="102"/>
      <c r="J1767" s="102"/>
      <c r="K1767" s="78"/>
      <c r="L1767" s="110"/>
      <c r="M1767" s="105" t="str">
        <f t="shared" si="27"/>
        <v xml:space="preserve">   </v>
      </c>
    </row>
    <row r="1768" spans="1:13" s="46" customFormat="1" hidden="1" x14ac:dyDescent="0.2">
      <c r="A1768" s="377"/>
      <c r="B1768" s="378"/>
      <c r="C1768" s="106"/>
      <c r="D1768" s="107"/>
      <c r="E1768" s="108"/>
      <c r="F1768" s="109"/>
      <c r="G1768" s="103"/>
      <c r="H1768" s="103"/>
      <c r="I1768" s="102"/>
      <c r="J1768" s="102"/>
      <c r="K1768" s="78"/>
      <c r="L1768" s="110"/>
      <c r="M1768" s="105" t="str">
        <f t="shared" si="27"/>
        <v xml:space="preserve">   </v>
      </c>
    </row>
    <row r="1769" spans="1:13" s="53" customFormat="1" hidden="1" x14ac:dyDescent="0.2">
      <c r="A1769" s="377"/>
      <c r="B1769" s="378"/>
      <c r="C1769" s="106"/>
      <c r="D1769" s="107"/>
      <c r="E1769" s="108"/>
      <c r="F1769" s="109"/>
      <c r="G1769" s="103"/>
      <c r="H1769" s="103"/>
      <c r="I1769" s="102"/>
      <c r="J1769" s="102"/>
      <c r="K1769" s="78"/>
      <c r="L1769" s="110"/>
      <c r="M1769" s="105" t="str">
        <f t="shared" si="27"/>
        <v xml:space="preserve">   </v>
      </c>
    </row>
    <row r="1770" spans="1:13" s="53" customFormat="1" hidden="1" x14ac:dyDescent="0.2">
      <c r="A1770" s="377"/>
      <c r="B1770" s="378"/>
      <c r="C1770" s="106"/>
      <c r="D1770" s="107"/>
      <c r="E1770" s="108"/>
      <c r="F1770" s="109"/>
      <c r="G1770" s="103"/>
      <c r="H1770" s="103"/>
      <c r="I1770" s="102"/>
      <c r="J1770" s="102"/>
      <c r="K1770" s="78"/>
      <c r="L1770" s="110"/>
      <c r="M1770" s="105" t="str">
        <f t="shared" si="27"/>
        <v xml:space="preserve">   </v>
      </c>
    </row>
    <row r="1771" spans="1:13" s="53" customFormat="1" hidden="1" x14ac:dyDescent="0.2">
      <c r="A1771" s="377"/>
      <c r="B1771" s="378"/>
      <c r="C1771" s="106"/>
      <c r="D1771" s="107"/>
      <c r="E1771" s="108"/>
      <c r="F1771" s="109"/>
      <c r="G1771" s="103"/>
      <c r="H1771" s="103"/>
      <c r="I1771" s="102"/>
      <c r="J1771" s="102"/>
      <c r="K1771" s="78"/>
      <c r="L1771" s="110"/>
      <c r="M1771" s="105" t="str">
        <f t="shared" si="27"/>
        <v xml:space="preserve">   </v>
      </c>
    </row>
    <row r="1772" spans="1:13" s="53" customFormat="1" hidden="1" x14ac:dyDescent="0.2">
      <c r="A1772" s="377"/>
      <c r="B1772" s="378"/>
      <c r="C1772" s="106"/>
      <c r="D1772" s="107"/>
      <c r="E1772" s="108"/>
      <c r="F1772" s="109"/>
      <c r="G1772" s="103"/>
      <c r="H1772" s="103"/>
      <c r="I1772" s="102"/>
      <c r="J1772" s="102"/>
      <c r="K1772" s="78"/>
      <c r="L1772" s="110"/>
      <c r="M1772" s="105" t="str">
        <f t="shared" si="27"/>
        <v xml:space="preserve">   </v>
      </c>
    </row>
    <row r="1773" spans="1:13" s="46" customFormat="1" hidden="1" x14ac:dyDescent="0.2">
      <c r="A1773" s="377"/>
      <c r="B1773" s="378"/>
      <c r="C1773" s="106"/>
      <c r="D1773" s="107"/>
      <c r="E1773" s="108"/>
      <c r="F1773" s="109"/>
      <c r="G1773" s="103"/>
      <c r="H1773" s="103"/>
      <c r="I1773" s="102"/>
      <c r="J1773" s="102"/>
      <c r="K1773" s="78"/>
      <c r="L1773" s="110"/>
      <c r="M1773" s="105" t="str">
        <f t="shared" si="27"/>
        <v xml:space="preserve">   </v>
      </c>
    </row>
    <row r="1774" spans="1:13" s="46" customFormat="1" hidden="1" x14ac:dyDescent="0.2">
      <c r="A1774" s="377"/>
      <c r="B1774" s="378"/>
      <c r="C1774" s="113"/>
      <c r="D1774" s="114"/>
      <c r="E1774" s="115"/>
      <c r="F1774" s="116"/>
      <c r="G1774" s="103"/>
      <c r="H1774" s="103"/>
      <c r="I1774" s="102"/>
      <c r="J1774" s="102"/>
      <c r="K1774" s="78"/>
      <c r="L1774" s="117"/>
      <c r="M1774" s="105" t="str">
        <f t="shared" si="27"/>
        <v xml:space="preserve">   </v>
      </c>
    </row>
    <row r="1775" spans="1:13" s="46" customFormat="1" ht="15" hidden="1" customHeight="1" x14ac:dyDescent="0.2">
      <c r="A1775" s="377" t="s">
        <v>101</v>
      </c>
      <c r="B1775" s="378" t="s">
        <v>89</v>
      </c>
      <c r="C1775" s="102"/>
      <c r="D1775" s="102"/>
      <c r="E1775" s="102"/>
      <c r="F1775" s="102"/>
      <c r="G1775" s="103"/>
      <c r="H1775" s="103"/>
      <c r="I1775" s="102"/>
      <c r="J1775" s="102"/>
      <c r="K1775" s="78"/>
      <c r="L1775" s="111" t="str">
        <f>CONCATENATE(C1775," ",D1775," ",E1775," ",F1775," ",C1776," ",D1776," ",E1776," ",F1776)</f>
        <v xml:space="preserve">       </v>
      </c>
      <c r="M1775" s="105" t="str">
        <f t="shared" si="27"/>
        <v xml:space="preserve">   </v>
      </c>
    </row>
    <row r="1776" spans="1:13" s="46" customFormat="1" hidden="1" x14ac:dyDescent="0.2">
      <c r="A1776" s="377"/>
      <c r="B1776" s="378"/>
      <c r="C1776" s="112"/>
      <c r="D1776" s="107"/>
      <c r="E1776" s="108"/>
      <c r="F1776" s="109"/>
      <c r="G1776" s="103"/>
      <c r="H1776" s="103"/>
      <c r="I1776" s="102"/>
      <c r="J1776" s="102"/>
      <c r="K1776" s="78"/>
      <c r="L1776" s="110"/>
      <c r="M1776" s="105" t="str">
        <f t="shared" si="27"/>
        <v xml:space="preserve">   </v>
      </c>
    </row>
    <row r="1777" spans="1:13" s="46" customFormat="1" hidden="1" x14ac:dyDescent="0.2">
      <c r="A1777" s="377"/>
      <c r="B1777" s="378"/>
      <c r="C1777" s="106"/>
      <c r="D1777" s="107"/>
      <c r="E1777" s="108"/>
      <c r="F1777" s="109"/>
      <c r="G1777" s="103"/>
      <c r="H1777" s="103"/>
      <c r="I1777" s="102"/>
      <c r="J1777" s="102"/>
      <c r="K1777" s="78"/>
      <c r="L1777" s="110"/>
      <c r="M1777" s="105" t="str">
        <f t="shared" si="27"/>
        <v xml:space="preserve">   </v>
      </c>
    </row>
    <row r="1778" spans="1:13" s="46" customFormat="1" hidden="1" x14ac:dyDescent="0.2">
      <c r="A1778" s="377"/>
      <c r="B1778" s="378"/>
      <c r="C1778" s="106"/>
      <c r="D1778" s="107"/>
      <c r="E1778" s="108"/>
      <c r="F1778" s="109"/>
      <c r="G1778" s="103"/>
      <c r="H1778" s="103"/>
      <c r="I1778" s="102"/>
      <c r="J1778" s="102"/>
      <c r="K1778" s="78"/>
      <c r="L1778" s="110"/>
      <c r="M1778" s="105" t="str">
        <f t="shared" si="27"/>
        <v xml:space="preserve">   </v>
      </c>
    </row>
    <row r="1779" spans="1:13" s="53" customFormat="1" hidden="1" x14ac:dyDescent="0.2">
      <c r="A1779" s="377"/>
      <c r="B1779" s="378"/>
      <c r="C1779" s="106"/>
      <c r="D1779" s="107"/>
      <c r="E1779" s="108"/>
      <c r="F1779" s="109"/>
      <c r="G1779" s="103"/>
      <c r="H1779" s="103"/>
      <c r="I1779" s="102"/>
      <c r="J1779" s="102"/>
      <c r="K1779" s="78"/>
      <c r="L1779" s="110"/>
      <c r="M1779" s="105" t="str">
        <f t="shared" si="27"/>
        <v xml:space="preserve">   </v>
      </c>
    </row>
    <row r="1780" spans="1:13" s="53" customFormat="1" hidden="1" x14ac:dyDescent="0.2">
      <c r="A1780" s="377"/>
      <c r="B1780" s="378"/>
      <c r="C1780" s="106"/>
      <c r="D1780" s="107"/>
      <c r="E1780" s="108"/>
      <c r="F1780" s="109"/>
      <c r="G1780" s="103"/>
      <c r="H1780" s="103"/>
      <c r="I1780" s="102"/>
      <c r="J1780" s="102"/>
      <c r="K1780" s="78"/>
      <c r="L1780" s="110"/>
      <c r="M1780" s="105" t="str">
        <f t="shared" si="27"/>
        <v xml:space="preserve">   </v>
      </c>
    </row>
    <row r="1781" spans="1:13" s="53" customFormat="1" hidden="1" x14ac:dyDescent="0.2">
      <c r="A1781" s="377"/>
      <c r="B1781" s="378"/>
      <c r="C1781" s="106"/>
      <c r="D1781" s="107"/>
      <c r="E1781" s="108"/>
      <c r="F1781" s="109"/>
      <c r="G1781" s="103"/>
      <c r="H1781" s="103"/>
      <c r="I1781" s="102"/>
      <c r="J1781" s="102"/>
      <c r="K1781" s="78"/>
      <c r="L1781" s="110"/>
      <c r="M1781" s="105" t="str">
        <f t="shared" si="27"/>
        <v xml:space="preserve">   </v>
      </c>
    </row>
    <row r="1782" spans="1:13" s="53" customFormat="1" hidden="1" x14ac:dyDescent="0.2">
      <c r="A1782" s="377"/>
      <c r="B1782" s="378"/>
      <c r="C1782" s="106"/>
      <c r="D1782" s="107"/>
      <c r="E1782" s="108"/>
      <c r="F1782" s="109"/>
      <c r="G1782" s="103"/>
      <c r="H1782" s="103"/>
      <c r="I1782" s="102"/>
      <c r="J1782" s="102"/>
      <c r="K1782" s="78"/>
      <c r="L1782" s="110"/>
      <c r="M1782" s="105" t="str">
        <f t="shared" si="27"/>
        <v xml:space="preserve">   </v>
      </c>
    </row>
    <row r="1783" spans="1:13" s="46" customFormat="1" hidden="1" x14ac:dyDescent="0.2">
      <c r="A1783" s="377"/>
      <c r="B1783" s="378"/>
      <c r="C1783" s="106"/>
      <c r="D1783" s="107"/>
      <c r="E1783" s="108"/>
      <c r="F1783" s="109"/>
      <c r="G1783" s="103"/>
      <c r="H1783" s="103"/>
      <c r="I1783" s="102"/>
      <c r="J1783" s="102"/>
      <c r="K1783" s="78"/>
      <c r="L1783" s="110"/>
      <c r="M1783" s="105" t="str">
        <f t="shared" si="27"/>
        <v xml:space="preserve">   </v>
      </c>
    </row>
    <row r="1784" spans="1:13" s="46" customFormat="1" hidden="1" x14ac:dyDescent="0.2">
      <c r="A1784" s="377"/>
      <c r="B1784" s="378"/>
      <c r="C1784" s="113"/>
      <c r="D1784" s="114"/>
      <c r="E1784" s="115"/>
      <c r="F1784" s="116"/>
      <c r="G1784" s="103"/>
      <c r="H1784" s="103"/>
      <c r="I1784" s="102"/>
      <c r="J1784" s="102"/>
      <c r="K1784" s="78"/>
      <c r="L1784" s="110"/>
      <c r="M1784" s="105" t="str">
        <f t="shared" si="27"/>
        <v xml:space="preserve">   </v>
      </c>
    </row>
    <row r="1785" spans="1:13" s="46" customFormat="1" ht="15" hidden="1" customHeight="1" x14ac:dyDescent="0.2">
      <c r="A1785" s="377" t="s">
        <v>101</v>
      </c>
      <c r="B1785" s="378" t="s">
        <v>89</v>
      </c>
      <c r="C1785" s="102"/>
      <c r="D1785" s="102"/>
      <c r="E1785" s="102"/>
      <c r="F1785" s="102"/>
      <c r="G1785" s="103"/>
      <c r="H1785" s="103"/>
      <c r="I1785" s="102"/>
      <c r="J1785" s="102"/>
      <c r="K1785" s="78"/>
      <c r="L1785" s="111" t="str">
        <f>CONCATENATE(C1785," ",D1785," ",E1785," ",F1785," ",C1786," ",D1786," ",E1786," ",F1786)</f>
        <v xml:space="preserve">       </v>
      </c>
      <c r="M1785" s="105" t="str">
        <f t="shared" si="27"/>
        <v xml:space="preserve">   </v>
      </c>
    </row>
    <row r="1786" spans="1:13" s="46" customFormat="1" hidden="1" x14ac:dyDescent="0.2">
      <c r="A1786" s="377"/>
      <c r="B1786" s="378"/>
      <c r="C1786" s="112"/>
      <c r="D1786" s="107"/>
      <c r="E1786" s="108"/>
      <c r="F1786" s="109"/>
      <c r="G1786" s="103"/>
      <c r="H1786" s="103"/>
      <c r="I1786" s="102"/>
      <c r="J1786" s="102"/>
      <c r="K1786" s="78"/>
      <c r="L1786" s="110"/>
      <c r="M1786" s="105" t="str">
        <f t="shared" si="27"/>
        <v xml:space="preserve">   </v>
      </c>
    </row>
    <row r="1787" spans="1:13" s="46" customFormat="1" hidden="1" x14ac:dyDescent="0.2">
      <c r="A1787" s="377"/>
      <c r="B1787" s="378"/>
      <c r="C1787" s="106"/>
      <c r="D1787" s="107"/>
      <c r="E1787" s="108"/>
      <c r="F1787" s="109"/>
      <c r="G1787" s="103"/>
      <c r="H1787" s="103"/>
      <c r="I1787" s="102"/>
      <c r="J1787" s="102"/>
      <c r="K1787" s="78"/>
      <c r="L1787" s="110"/>
      <c r="M1787" s="105" t="str">
        <f t="shared" si="27"/>
        <v xml:space="preserve">   </v>
      </c>
    </row>
    <row r="1788" spans="1:13" s="46" customFormat="1" hidden="1" x14ac:dyDescent="0.2">
      <c r="A1788" s="377"/>
      <c r="B1788" s="378"/>
      <c r="C1788" s="106"/>
      <c r="D1788" s="107"/>
      <c r="E1788" s="108"/>
      <c r="F1788" s="109"/>
      <c r="G1788" s="103"/>
      <c r="H1788" s="103"/>
      <c r="I1788" s="102"/>
      <c r="J1788" s="102"/>
      <c r="K1788" s="78"/>
      <c r="L1788" s="110"/>
      <c r="M1788" s="105" t="str">
        <f t="shared" si="27"/>
        <v xml:space="preserve">   </v>
      </c>
    </row>
    <row r="1789" spans="1:13" s="53" customFormat="1" hidden="1" x14ac:dyDescent="0.2">
      <c r="A1789" s="377"/>
      <c r="B1789" s="378"/>
      <c r="C1789" s="106"/>
      <c r="D1789" s="107"/>
      <c r="E1789" s="108"/>
      <c r="F1789" s="109"/>
      <c r="G1789" s="103"/>
      <c r="H1789" s="103"/>
      <c r="I1789" s="102"/>
      <c r="J1789" s="102"/>
      <c r="K1789" s="78"/>
      <c r="L1789" s="110"/>
      <c r="M1789" s="105" t="str">
        <f t="shared" si="27"/>
        <v xml:space="preserve">   </v>
      </c>
    </row>
    <row r="1790" spans="1:13" s="53" customFormat="1" hidden="1" x14ac:dyDescent="0.2">
      <c r="A1790" s="377"/>
      <c r="B1790" s="378"/>
      <c r="C1790" s="106"/>
      <c r="D1790" s="107"/>
      <c r="E1790" s="108"/>
      <c r="F1790" s="109"/>
      <c r="G1790" s="103"/>
      <c r="H1790" s="103"/>
      <c r="I1790" s="102"/>
      <c r="J1790" s="102"/>
      <c r="K1790" s="78"/>
      <c r="L1790" s="110"/>
      <c r="M1790" s="105" t="str">
        <f t="shared" si="27"/>
        <v xml:space="preserve">   </v>
      </c>
    </row>
    <row r="1791" spans="1:13" s="53" customFormat="1" hidden="1" x14ac:dyDescent="0.2">
      <c r="A1791" s="377"/>
      <c r="B1791" s="378"/>
      <c r="C1791" s="106"/>
      <c r="D1791" s="107"/>
      <c r="E1791" s="108"/>
      <c r="F1791" s="109"/>
      <c r="G1791" s="103"/>
      <c r="H1791" s="103"/>
      <c r="I1791" s="102"/>
      <c r="J1791" s="102"/>
      <c r="K1791" s="78"/>
      <c r="L1791" s="110"/>
      <c r="M1791" s="105" t="str">
        <f t="shared" si="27"/>
        <v xml:space="preserve">   </v>
      </c>
    </row>
    <row r="1792" spans="1:13" s="53" customFormat="1" hidden="1" x14ac:dyDescent="0.2">
      <c r="A1792" s="377"/>
      <c r="B1792" s="378"/>
      <c r="C1792" s="106"/>
      <c r="D1792" s="107"/>
      <c r="E1792" s="108"/>
      <c r="F1792" s="109"/>
      <c r="G1792" s="103"/>
      <c r="H1792" s="103"/>
      <c r="I1792" s="102"/>
      <c r="J1792" s="102"/>
      <c r="K1792" s="78"/>
      <c r="L1792" s="110"/>
      <c r="M1792" s="105" t="str">
        <f t="shared" si="27"/>
        <v xml:space="preserve">   </v>
      </c>
    </row>
    <row r="1793" spans="1:13" s="46" customFormat="1" hidden="1" x14ac:dyDescent="0.2">
      <c r="A1793" s="377"/>
      <c r="B1793" s="378"/>
      <c r="C1793" s="106"/>
      <c r="D1793" s="107"/>
      <c r="E1793" s="108"/>
      <c r="F1793" s="109"/>
      <c r="G1793" s="103"/>
      <c r="H1793" s="103"/>
      <c r="I1793" s="102"/>
      <c r="J1793" s="102"/>
      <c r="K1793" s="78"/>
      <c r="L1793" s="110"/>
      <c r="M1793" s="105" t="str">
        <f t="shared" si="27"/>
        <v xml:space="preserve">   </v>
      </c>
    </row>
    <row r="1794" spans="1:13" s="46" customFormat="1" hidden="1" x14ac:dyDescent="0.2">
      <c r="A1794" s="377"/>
      <c r="B1794" s="378"/>
      <c r="C1794" s="113"/>
      <c r="D1794" s="114"/>
      <c r="E1794" s="115"/>
      <c r="F1794" s="116"/>
      <c r="G1794" s="103"/>
      <c r="H1794" s="103"/>
      <c r="I1794" s="102"/>
      <c r="J1794" s="102"/>
      <c r="K1794" s="78"/>
      <c r="L1794" s="117"/>
      <c r="M1794" s="105" t="str">
        <f t="shared" si="27"/>
        <v xml:space="preserve">   </v>
      </c>
    </row>
    <row r="1795" spans="1:13" s="46" customFormat="1" ht="15" hidden="1" customHeight="1" x14ac:dyDescent="0.2">
      <c r="A1795" s="377" t="s">
        <v>101</v>
      </c>
      <c r="B1795" s="378" t="s">
        <v>89</v>
      </c>
      <c r="C1795" s="102"/>
      <c r="D1795" s="102"/>
      <c r="E1795" s="102"/>
      <c r="F1795" s="102"/>
      <c r="G1795" s="103"/>
      <c r="H1795" s="103"/>
      <c r="I1795" s="102"/>
      <c r="J1795" s="102"/>
      <c r="K1795" s="78"/>
      <c r="L1795" s="111" t="str">
        <f>CONCATENATE(C1795," ",D1795," ",E1795," ",F1795," ",C1796," ",D1796," ",E1796," ",F1796)</f>
        <v xml:space="preserve">       </v>
      </c>
      <c r="M1795" s="105" t="str">
        <f t="shared" si="27"/>
        <v xml:space="preserve">   </v>
      </c>
    </row>
    <row r="1796" spans="1:13" s="46" customFormat="1" hidden="1" x14ac:dyDescent="0.2">
      <c r="A1796" s="377"/>
      <c r="B1796" s="378"/>
      <c r="C1796" s="112"/>
      <c r="D1796" s="107"/>
      <c r="E1796" s="108"/>
      <c r="F1796" s="109"/>
      <c r="G1796" s="103"/>
      <c r="H1796" s="103"/>
      <c r="I1796" s="102"/>
      <c r="J1796" s="102"/>
      <c r="K1796" s="78"/>
      <c r="L1796" s="110"/>
      <c r="M1796" s="105" t="str">
        <f t="shared" si="27"/>
        <v xml:space="preserve">   </v>
      </c>
    </row>
    <row r="1797" spans="1:13" s="46" customFormat="1" hidden="1" x14ac:dyDescent="0.2">
      <c r="A1797" s="377"/>
      <c r="B1797" s="378"/>
      <c r="C1797" s="106"/>
      <c r="D1797" s="107"/>
      <c r="E1797" s="108"/>
      <c r="F1797" s="109"/>
      <c r="G1797" s="103"/>
      <c r="H1797" s="103"/>
      <c r="I1797" s="102"/>
      <c r="J1797" s="102"/>
      <c r="K1797" s="78"/>
      <c r="L1797" s="110"/>
      <c r="M1797" s="105" t="str">
        <f t="shared" si="27"/>
        <v xml:space="preserve">   </v>
      </c>
    </row>
    <row r="1798" spans="1:13" s="46" customFormat="1" hidden="1" x14ac:dyDescent="0.2">
      <c r="A1798" s="377"/>
      <c r="B1798" s="378"/>
      <c r="C1798" s="106"/>
      <c r="D1798" s="107"/>
      <c r="E1798" s="108"/>
      <c r="F1798" s="109"/>
      <c r="G1798" s="103"/>
      <c r="H1798" s="103"/>
      <c r="I1798" s="102"/>
      <c r="J1798" s="102"/>
      <c r="K1798" s="78"/>
      <c r="L1798" s="110"/>
      <c r="M1798" s="105" t="str">
        <f t="shared" si="27"/>
        <v xml:space="preserve">   </v>
      </c>
    </row>
    <row r="1799" spans="1:13" s="53" customFormat="1" hidden="1" x14ac:dyDescent="0.2">
      <c r="A1799" s="377"/>
      <c r="B1799" s="378"/>
      <c r="C1799" s="106"/>
      <c r="D1799" s="107"/>
      <c r="E1799" s="108"/>
      <c r="F1799" s="109"/>
      <c r="G1799" s="103"/>
      <c r="H1799" s="103"/>
      <c r="I1799" s="102"/>
      <c r="J1799" s="102"/>
      <c r="K1799" s="78"/>
      <c r="L1799" s="110"/>
      <c r="M1799" s="105" t="str">
        <f t="shared" si="27"/>
        <v xml:space="preserve">   </v>
      </c>
    </row>
    <row r="1800" spans="1:13" s="53" customFormat="1" hidden="1" x14ac:dyDescent="0.2">
      <c r="A1800" s="377"/>
      <c r="B1800" s="378"/>
      <c r="C1800" s="106"/>
      <c r="D1800" s="107"/>
      <c r="E1800" s="108"/>
      <c r="F1800" s="109"/>
      <c r="G1800" s="103"/>
      <c r="H1800" s="103"/>
      <c r="I1800" s="102"/>
      <c r="J1800" s="102"/>
      <c r="K1800" s="78"/>
      <c r="L1800" s="110"/>
      <c r="M1800" s="105" t="str">
        <f t="shared" si="27"/>
        <v xml:space="preserve">   </v>
      </c>
    </row>
    <row r="1801" spans="1:13" s="53" customFormat="1" hidden="1" x14ac:dyDescent="0.2">
      <c r="A1801" s="377"/>
      <c r="B1801" s="378"/>
      <c r="C1801" s="106"/>
      <c r="D1801" s="107"/>
      <c r="E1801" s="108"/>
      <c r="F1801" s="109"/>
      <c r="G1801" s="103"/>
      <c r="H1801" s="103"/>
      <c r="I1801" s="102"/>
      <c r="J1801" s="102"/>
      <c r="K1801" s="78"/>
      <c r="L1801" s="110"/>
      <c r="M1801" s="105" t="str">
        <f t="shared" si="27"/>
        <v xml:space="preserve">   </v>
      </c>
    </row>
    <row r="1802" spans="1:13" s="53" customFormat="1" hidden="1" x14ac:dyDescent="0.2">
      <c r="A1802" s="377"/>
      <c r="B1802" s="378"/>
      <c r="C1802" s="106"/>
      <c r="D1802" s="107"/>
      <c r="E1802" s="108"/>
      <c r="F1802" s="109"/>
      <c r="G1802" s="103"/>
      <c r="H1802" s="103"/>
      <c r="I1802" s="102"/>
      <c r="J1802" s="102"/>
      <c r="K1802" s="78"/>
      <c r="L1802" s="110"/>
      <c r="M1802" s="105" t="str">
        <f t="shared" si="27"/>
        <v xml:space="preserve">   </v>
      </c>
    </row>
    <row r="1803" spans="1:13" s="46" customFormat="1" hidden="1" x14ac:dyDescent="0.2">
      <c r="A1803" s="377"/>
      <c r="B1803" s="378"/>
      <c r="C1803" s="106"/>
      <c r="D1803" s="107"/>
      <c r="E1803" s="108"/>
      <c r="F1803" s="109"/>
      <c r="G1803" s="103"/>
      <c r="H1803" s="103"/>
      <c r="I1803" s="102"/>
      <c r="J1803" s="102"/>
      <c r="K1803" s="78"/>
      <c r="L1803" s="110"/>
      <c r="M1803" s="105" t="str">
        <f t="shared" ref="M1803:M1814" si="28">CONCATENATE(G1803," ",H1803," ",I1803," ",J1803)</f>
        <v xml:space="preserve">   </v>
      </c>
    </row>
    <row r="1804" spans="1:13" s="46" customFormat="1" hidden="1" x14ac:dyDescent="0.2">
      <c r="A1804" s="377"/>
      <c r="B1804" s="378"/>
      <c r="C1804" s="113"/>
      <c r="D1804" s="114"/>
      <c r="E1804" s="115"/>
      <c r="F1804" s="116"/>
      <c r="G1804" s="103"/>
      <c r="H1804" s="103"/>
      <c r="I1804" s="102"/>
      <c r="J1804" s="102"/>
      <c r="K1804" s="78"/>
      <c r="L1804" s="110"/>
      <c r="M1804" s="105" t="str">
        <f t="shared" si="28"/>
        <v xml:space="preserve">   </v>
      </c>
    </row>
    <row r="1805" spans="1:13" s="46" customFormat="1" ht="15" hidden="1" customHeight="1" x14ac:dyDescent="0.2">
      <c r="A1805" s="377" t="s">
        <v>101</v>
      </c>
      <c r="B1805" s="378" t="s">
        <v>89</v>
      </c>
      <c r="C1805" s="102"/>
      <c r="D1805" s="102"/>
      <c r="E1805" s="102"/>
      <c r="F1805" s="102"/>
      <c r="G1805" s="103"/>
      <c r="H1805" s="103"/>
      <c r="I1805" s="102"/>
      <c r="J1805" s="102"/>
      <c r="K1805" s="78"/>
      <c r="L1805" s="111" t="str">
        <f>CONCATENATE(C1805," ",D1805," ",E1805," ",F1805," ",C1806," ",D1806," ",E1806," ",F1806)</f>
        <v xml:space="preserve">       </v>
      </c>
      <c r="M1805" s="105" t="str">
        <f t="shared" si="28"/>
        <v xml:space="preserve">   </v>
      </c>
    </row>
    <row r="1806" spans="1:13" s="46" customFormat="1" hidden="1" x14ac:dyDescent="0.2">
      <c r="A1806" s="377"/>
      <c r="B1806" s="378"/>
      <c r="C1806" s="112"/>
      <c r="D1806" s="107"/>
      <c r="E1806" s="108"/>
      <c r="F1806" s="109"/>
      <c r="G1806" s="103"/>
      <c r="H1806" s="103"/>
      <c r="I1806" s="102"/>
      <c r="J1806" s="102"/>
      <c r="K1806" s="78"/>
      <c r="L1806" s="110"/>
      <c r="M1806" s="105" t="str">
        <f t="shared" si="28"/>
        <v xml:space="preserve">   </v>
      </c>
    </row>
    <row r="1807" spans="1:13" s="46" customFormat="1" hidden="1" x14ac:dyDescent="0.2">
      <c r="A1807" s="377"/>
      <c r="B1807" s="378"/>
      <c r="C1807" s="106"/>
      <c r="D1807" s="107"/>
      <c r="E1807" s="108"/>
      <c r="F1807" s="109"/>
      <c r="G1807" s="103"/>
      <c r="H1807" s="103"/>
      <c r="I1807" s="102"/>
      <c r="J1807" s="102"/>
      <c r="K1807" s="78"/>
      <c r="L1807" s="110"/>
      <c r="M1807" s="105" t="str">
        <f t="shared" si="28"/>
        <v xml:space="preserve">   </v>
      </c>
    </row>
    <row r="1808" spans="1:13" s="46" customFormat="1" hidden="1" x14ac:dyDescent="0.2">
      <c r="A1808" s="377"/>
      <c r="B1808" s="378"/>
      <c r="C1808" s="106"/>
      <c r="D1808" s="107"/>
      <c r="E1808" s="108"/>
      <c r="F1808" s="109"/>
      <c r="G1808" s="103"/>
      <c r="H1808" s="103"/>
      <c r="I1808" s="102"/>
      <c r="J1808" s="102"/>
      <c r="K1808" s="78"/>
      <c r="L1808" s="110"/>
      <c r="M1808" s="105" t="str">
        <f t="shared" si="28"/>
        <v xml:space="preserve">   </v>
      </c>
    </row>
    <row r="1809" spans="1:13" s="53" customFormat="1" hidden="1" x14ac:dyDescent="0.2">
      <c r="A1809" s="377"/>
      <c r="B1809" s="378"/>
      <c r="C1809" s="106"/>
      <c r="D1809" s="107"/>
      <c r="E1809" s="108"/>
      <c r="F1809" s="109"/>
      <c r="G1809" s="103"/>
      <c r="H1809" s="103"/>
      <c r="I1809" s="102"/>
      <c r="J1809" s="102"/>
      <c r="K1809" s="78"/>
      <c r="L1809" s="110"/>
      <c r="M1809" s="105" t="str">
        <f t="shared" si="28"/>
        <v xml:space="preserve">   </v>
      </c>
    </row>
    <row r="1810" spans="1:13" s="53" customFormat="1" hidden="1" x14ac:dyDescent="0.2">
      <c r="A1810" s="377"/>
      <c r="B1810" s="378"/>
      <c r="C1810" s="106"/>
      <c r="D1810" s="107"/>
      <c r="E1810" s="108"/>
      <c r="F1810" s="109"/>
      <c r="G1810" s="103"/>
      <c r="H1810" s="103"/>
      <c r="I1810" s="102"/>
      <c r="J1810" s="102"/>
      <c r="K1810" s="78"/>
      <c r="L1810" s="110"/>
      <c r="M1810" s="105" t="str">
        <f t="shared" si="28"/>
        <v xml:space="preserve">   </v>
      </c>
    </row>
    <row r="1811" spans="1:13" s="53" customFormat="1" hidden="1" x14ac:dyDescent="0.2">
      <c r="A1811" s="377"/>
      <c r="B1811" s="378"/>
      <c r="C1811" s="106"/>
      <c r="D1811" s="107"/>
      <c r="E1811" s="108"/>
      <c r="F1811" s="109"/>
      <c r="G1811" s="103"/>
      <c r="H1811" s="103"/>
      <c r="I1811" s="102"/>
      <c r="J1811" s="102"/>
      <c r="K1811" s="78"/>
      <c r="L1811" s="110"/>
      <c r="M1811" s="105" t="str">
        <f t="shared" si="28"/>
        <v xml:space="preserve">   </v>
      </c>
    </row>
    <row r="1812" spans="1:13" s="53" customFormat="1" hidden="1" x14ac:dyDescent="0.2">
      <c r="A1812" s="377"/>
      <c r="B1812" s="378"/>
      <c r="C1812" s="106"/>
      <c r="D1812" s="107"/>
      <c r="E1812" s="108"/>
      <c r="F1812" s="109"/>
      <c r="G1812" s="103"/>
      <c r="H1812" s="103"/>
      <c r="I1812" s="102"/>
      <c r="J1812" s="102"/>
      <c r="K1812" s="78"/>
      <c r="L1812" s="110"/>
      <c r="M1812" s="105" t="str">
        <f t="shared" si="28"/>
        <v xml:space="preserve">   </v>
      </c>
    </row>
    <row r="1813" spans="1:13" s="46" customFormat="1" hidden="1" x14ac:dyDescent="0.2">
      <c r="A1813" s="377"/>
      <c r="B1813" s="378"/>
      <c r="C1813" s="106"/>
      <c r="D1813" s="107"/>
      <c r="E1813" s="108"/>
      <c r="F1813" s="109"/>
      <c r="G1813" s="103"/>
      <c r="H1813" s="103"/>
      <c r="I1813" s="102"/>
      <c r="J1813" s="102"/>
      <c r="K1813" s="78"/>
      <c r="L1813" s="110"/>
      <c r="M1813" s="105" t="str">
        <f t="shared" si="28"/>
        <v xml:space="preserve">   </v>
      </c>
    </row>
    <row r="1814" spans="1:13" s="46" customFormat="1" hidden="1" x14ac:dyDescent="0.2">
      <c r="A1814" s="377"/>
      <c r="B1814" s="378"/>
      <c r="C1814" s="113"/>
      <c r="D1814" s="114"/>
      <c r="E1814" s="115"/>
      <c r="F1814" s="116"/>
      <c r="G1814" s="103"/>
      <c r="H1814" s="103"/>
      <c r="I1814" s="102"/>
      <c r="J1814" s="102"/>
      <c r="K1814" s="78"/>
      <c r="L1814" s="117"/>
      <c r="M1814" s="105" t="str">
        <f t="shared" si="28"/>
        <v xml:space="preserve">   </v>
      </c>
    </row>
    <row r="1820" spans="1:13" x14ac:dyDescent="0.2">
      <c r="F1820" s="176"/>
    </row>
  </sheetData>
  <sheetProtection algorithmName="SHA-512" hashValue="zHX3VU5LZTTt9/80PFwsieeLIMmUFobGleqn93Z9HCi5myAg50ez8WtbBeZyuw54bqjQsj4oyHJfUX196D9vQg==" saltValue="AdwR+uyge6+A1zUbgSIf8g==" spinCount="100000" sheet="1" formatCells="0" formatRows="0" autoFilter="0"/>
  <autoFilter ref="A9:M1814" xr:uid="{00000000-0009-0000-0000-000002000000}">
    <filterColumn colId="9">
      <customFilters>
        <customFilter operator="notEqual" val=" "/>
      </customFilters>
    </filterColumn>
  </autoFilter>
  <mergeCells count="367">
    <mergeCell ref="L1:M1"/>
    <mergeCell ref="C5:D5"/>
    <mergeCell ref="E5:J5"/>
    <mergeCell ref="L5:M5"/>
    <mergeCell ref="D7:F7"/>
    <mergeCell ref="A10:A19"/>
    <mergeCell ref="H7:J7"/>
    <mergeCell ref="B10:B19"/>
    <mergeCell ref="A20:A29"/>
    <mergeCell ref="B20:B29"/>
    <mergeCell ref="A220:A229"/>
    <mergeCell ref="B220:B229"/>
    <mergeCell ref="A230:A239"/>
    <mergeCell ref="B230:B239"/>
    <mergeCell ref="A240:A249"/>
    <mergeCell ref="B240:B249"/>
    <mergeCell ref="B210:B219"/>
    <mergeCell ref="A210:A219"/>
    <mergeCell ref="C1:J1"/>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B130:B139"/>
    <mergeCell ref="A140:A149"/>
    <mergeCell ref="B140:B149"/>
    <mergeCell ref="A150:A159"/>
    <mergeCell ref="B150:B159"/>
    <mergeCell ref="A100:A109"/>
    <mergeCell ref="B100:B109"/>
    <mergeCell ref="A110:A119"/>
    <mergeCell ref="B110:B119"/>
    <mergeCell ref="A120:A129"/>
    <mergeCell ref="B120:B129"/>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A351:A360"/>
    <mergeCell ref="B351:B360"/>
    <mergeCell ref="A361:A370"/>
    <mergeCell ref="B361:B370"/>
    <mergeCell ref="A371:A380"/>
    <mergeCell ref="B371:B380"/>
    <mergeCell ref="A321:A330"/>
    <mergeCell ref="B321:B330"/>
    <mergeCell ref="A331:A340"/>
    <mergeCell ref="B331:B340"/>
    <mergeCell ref="A341:A350"/>
    <mergeCell ref="B341:B35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591:A600"/>
    <mergeCell ref="B591:B600"/>
    <mergeCell ref="A601:A610"/>
    <mergeCell ref="B601:B610"/>
    <mergeCell ref="A612:A621"/>
    <mergeCell ref="B612:B621"/>
    <mergeCell ref="A561:A570"/>
    <mergeCell ref="B561:B570"/>
    <mergeCell ref="A571:A580"/>
    <mergeCell ref="B571:B580"/>
    <mergeCell ref="A581:A590"/>
    <mergeCell ref="B581:B590"/>
    <mergeCell ref="A652:A661"/>
    <mergeCell ref="B652:B661"/>
    <mergeCell ref="A662:A671"/>
    <mergeCell ref="B662:B671"/>
    <mergeCell ref="A672:A681"/>
    <mergeCell ref="B672:B681"/>
    <mergeCell ref="A622:A631"/>
    <mergeCell ref="B622:B631"/>
    <mergeCell ref="A632:A641"/>
    <mergeCell ref="B632:B641"/>
    <mergeCell ref="A642:A651"/>
    <mergeCell ref="B642:B65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892:A901"/>
    <mergeCell ref="B892:B901"/>
    <mergeCell ref="A902:A911"/>
    <mergeCell ref="B902:B911"/>
    <mergeCell ref="A913:A922"/>
    <mergeCell ref="B913:B922"/>
    <mergeCell ref="A862:A871"/>
    <mergeCell ref="B862:B871"/>
    <mergeCell ref="A872:A881"/>
    <mergeCell ref="B872:B881"/>
    <mergeCell ref="A882:A891"/>
    <mergeCell ref="B882:B891"/>
    <mergeCell ref="A953:A962"/>
    <mergeCell ref="B953:B962"/>
    <mergeCell ref="A963:A972"/>
    <mergeCell ref="B963:B972"/>
    <mergeCell ref="A973:A982"/>
    <mergeCell ref="B973:B982"/>
    <mergeCell ref="A923:A932"/>
    <mergeCell ref="B923:B932"/>
    <mergeCell ref="A933:A942"/>
    <mergeCell ref="B933:B942"/>
    <mergeCell ref="A943:A952"/>
    <mergeCell ref="B943:B95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494:A1503"/>
    <mergeCell ref="B1494:B1503"/>
    <mergeCell ref="A1504:A1513"/>
    <mergeCell ref="B1504:B1513"/>
    <mergeCell ref="A1464:A1473"/>
    <mergeCell ref="B1464:B1473"/>
    <mergeCell ref="A1474:A1483"/>
    <mergeCell ref="B1474:B1483"/>
    <mergeCell ref="A1484:A1493"/>
    <mergeCell ref="B1484:B1493"/>
    <mergeCell ref="A1515:A1524"/>
    <mergeCell ref="B1515:B1524"/>
    <mergeCell ref="A1525:A1534"/>
    <mergeCell ref="B1525:B1534"/>
    <mergeCell ref="A1535:A1544"/>
    <mergeCell ref="B1535:B1544"/>
    <mergeCell ref="A1545:A1554"/>
    <mergeCell ref="B1545:B1554"/>
    <mergeCell ref="A1555:A1564"/>
    <mergeCell ref="B1555:B1564"/>
    <mergeCell ref="A1565:A1574"/>
    <mergeCell ref="B1565:B1574"/>
    <mergeCell ref="A1575:A1584"/>
    <mergeCell ref="B1575:B1584"/>
    <mergeCell ref="A1585:A1594"/>
    <mergeCell ref="B1585:B1594"/>
    <mergeCell ref="A1595:A1604"/>
    <mergeCell ref="B1595:B1604"/>
    <mergeCell ref="A1605:A1614"/>
    <mergeCell ref="B1605:B1614"/>
    <mergeCell ref="A1615:A1624"/>
    <mergeCell ref="B1615:B1624"/>
    <mergeCell ref="A1625:A1634"/>
    <mergeCell ref="B1625:B1634"/>
    <mergeCell ref="A1635:A1644"/>
    <mergeCell ref="B1635:B1644"/>
    <mergeCell ref="A1645:A1654"/>
    <mergeCell ref="B1645:B1654"/>
    <mergeCell ref="A1655:A1664"/>
    <mergeCell ref="B1655:B1664"/>
    <mergeCell ref="A1665:A1674"/>
    <mergeCell ref="B1665:B1674"/>
    <mergeCell ref="A1675:A1684"/>
    <mergeCell ref="B1675:B1684"/>
    <mergeCell ref="A1685:A1694"/>
    <mergeCell ref="B1685:B1694"/>
    <mergeCell ref="A1695:A1704"/>
    <mergeCell ref="B1695:B1704"/>
    <mergeCell ref="A1705:A1714"/>
    <mergeCell ref="B1705:B1714"/>
    <mergeCell ref="A1715:A1724"/>
    <mergeCell ref="B1715:B1724"/>
    <mergeCell ref="A1725:A1734"/>
    <mergeCell ref="B1725:B1734"/>
    <mergeCell ref="A1735:A1744"/>
    <mergeCell ref="B1735:B1744"/>
    <mergeCell ref="A1745:A1754"/>
    <mergeCell ref="B1745:B1754"/>
    <mergeCell ref="A1755:A1764"/>
    <mergeCell ref="B1755:B1764"/>
    <mergeCell ref="A1765:A1774"/>
    <mergeCell ref="B1765:B1774"/>
    <mergeCell ref="A1775:A1784"/>
    <mergeCell ref="B1775:B1784"/>
    <mergeCell ref="A1785:A1794"/>
    <mergeCell ref="B1785:B1794"/>
    <mergeCell ref="A1795:A1804"/>
    <mergeCell ref="B1795:B1804"/>
    <mergeCell ref="A1805:A1814"/>
    <mergeCell ref="B1805:B1814"/>
  </mergeCells>
  <conditionalFormatting sqref="C10">
    <cfRule type="containsBlanks" dxfId="134" priority="90">
      <formula>LEN(TRIM(C10))=0</formula>
    </cfRule>
  </conditionalFormatting>
  <conditionalFormatting sqref="C20">
    <cfRule type="containsBlanks" dxfId="133" priority="88">
      <formula>LEN(TRIM(C20))=0</formula>
    </cfRule>
  </conditionalFormatting>
  <conditionalFormatting sqref="C361:C362 C362:E362">
    <cfRule type="containsBlanks" dxfId="132" priority="17">
      <formula>LEN(TRIM(C361))=0</formula>
    </cfRule>
  </conditionalFormatting>
  <conditionalFormatting sqref="C622 C623:F623">
    <cfRule type="containsBlanks" dxfId="131" priority="63">
      <formula>LEN(TRIM(C622))=0</formula>
    </cfRule>
  </conditionalFormatting>
  <conditionalFormatting sqref="C40:F41">
    <cfRule type="containsBlanks" dxfId="130" priority="83">
      <formula>LEN(TRIM(C40))=0</formula>
    </cfRule>
  </conditionalFormatting>
  <conditionalFormatting sqref="C210:F211">
    <cfRule type="containsBlanks" dxfId="129" priority="32">
      <formula>LEN(TRIM(C210))=0</formula>
    </cfRule>
  </conditionalFormatting>
  <conditionalFormatting sqref="C220:F221">
    <cfRule type="containsBlanks" dxfId="128" priority="30">
      <formula>LEN(TRIM(C220))=0</formula>
    </cfRule>
  </conditionalFormatting>
  <conditionalFormatting sqref="C311:F311">
    <cfRule type="containsBlanks" dxfId="127" priority="28">
      <formula>LEN(TRIM(C311))=0</formula>
    </cfRule>
  </conditionalFormatting>
  <conditionalFormatting sqref="C321:F321">
    <cfRule type="containsBlanks" dxfId="126" priority="26">
      <formula>LEN(TRIM(C321))=0</formula>
    </cfRule>
  </conditionalFormatting>
  <conditionalFormatting sqref="C331:F331">
    <cfRule type="containsBlanks" dxfId="125" priority="24">
      <formula>LEN(TRIM(C331))=0</formula>
    </cfRule>
  </conditionalFormatting>
  <conditionalFormatting sqref="C341:F341">
    <cfRule type="containsBlanks" dxfId="124" priority="22">
      <formula>LEN(TRIM(C341))=0</formula>
    </cfRule>
  </conditionalFormatting>
  <conditionalFormatting sqref="C511:F512">
    <cfRule type="containsBlanks" dxfId="123" priority="8">
      <formula>LEN(TRIM(C511))=0</formula>
    </cfRule>
  </conditionalFormatting>
  <conditionalFormatting sqref="C521:F522">
    <cfRule type="containsBlanks" dxfId="122" priority="6">
      <formula>LEN(TRIM(C521))=0</formula>
    </cfRule>
  </conditionalFormatting>
  <conditionalFormatting sqref="C612:F613">
    <cfRule type="containsBlanks" dxfId="121" priority="65">
      <formula>LEN(TRIM(C612))=0</formula>
    </cfRule>
  </conditionalFormatting>
  <conditionalFormatting sqref="C632:F633">
    <cfRule type="containsBlanks" dxfId="120" priority="61">
      <formula>LEN(TRIM(C632))=0</formula>
    </cfRule>
  </conditionalFormatting>
  <conditionalFormatting sqref="C642:F643">
    <cfRule type="containsBlanks" dxfId="119" priority="59">
      <formula>LEN(TRIM(C642))=0</formula>
    </cfRule>
  </conditionalFormatting>
  <conditionalFormatting sqref="C812:F813">
    <cfRule type="containsBlanks" dxfId="118" priority="57">
      <formula>LEN(TRIM(C812))=0</formula>
    </cfRule>
  </conditionalFormatting>
  <conditionalFormatting sqref="C913:F914">
    <cfRule type="containsBlanks" dxfId="117" priority="55">
      <formula>LEN(TRIM(C913))=0</formula>
    </cfRule>
  </conditionalFormatting>
  <conditionalFormatting sqref="C923:F924">
    <cfRule type="containsBlanks" dxfId="116" priority="53">
      <formula>LEN(TRIM(C923))=0</formula>
    </cfRule>
  </conditionalFormatting>
  <conditionalFormatting sqref="C933:F934">
    <cfRule type="containsBlanks" dxfId="115" priority="51">
      <formula>LEN(TRIM(C933))=0</formula>
    </cfRule>
  </conditionalFormatting>
  <conditionalFormatting sqref="C1113:F1114">
    <cfRule type="containsBlanks" dxfId="114" priority="49">
      <formula>LEN(TRIM(C1113))=0</formula>
    </cfRule>
  </conditionalFormatting>
  <conditionalFormatting sqref="C30:J30">
    <cfRule type="containsBlanks" dxfId="113" priority="34">
      <formula>LEN(TRIM(C30))=0</formula>
    </cfRule>
  </conditionalFormatting>
  <conditionalFormatting sqref="C351:J352">
    <cfRule type="containsBlanks" dxfId="112" priority="20">
      <formula>LEN(TRIM(C351))=0</formula>
    </cfRule>
  </conditionalFormatting>
  <conditionalFormatting sqref="D10:F10 G10:J11">
    <cfRule type="containsBlanks" dxfId="111" priority="41">
      <formula>LEN(TRIM(D10))=0</formula>
    </cfRule>
  </conditionalFormatting>
  <conditionalFormatting sqref="F361:F362">
    <cfRule type="containsBlanks" dxfId="110" priority="12">
      <formula>LEN(TRIM(F361))=0</formula>
    </cfRule>
  </conditionalFormatting>
  <conditionalFormatting sqref="G12:G13">
    <cfRule type="containsBlanks" dxfId="109" priority="40">
      <formula>LEN(TRIM(G12))=0</formula>
    </cfRule>
  </conditionalFormatting>
  <conditionalFormatting sqref="G22:G23">
    <cfRule type="containsBlanks" dxfId="108" priority="37">
      <formula>LEN(TRIM(G22))=0</formula>
    </cfRule>
  </conditionalFormatting>
  <conditionalFormatting sqref="G42:G43">
    <cfRule type="containsBlanks" dxfId="107" priority="84">
      <formula>LEN(TRIM(G42))=0</formula>
    </cfRule>
  </conditionalFormatting>
  <conditionalFormatting sqref="G344">
    <cfRule type="containsBlanks" dxfId="106" priority="70">
      <formula>LEN(TRIM(G344))=0</formula>
    </cfRule>
  </conditionalFormatting>
  <conditionalFormatting sqref="G353:G357">
    <cfRule type="containsBlanks" dxfId="105" priority="19">
      <formula>LEN(TRIM(G353))=0</formula>
    </cfRule>
  </conditionalFormatting>
  <conditionalFormatting sqref="G361:G366">
    <cfRule type="containsBlanks" dxfId="104" priority="10">
      <formula>LEN(TRIM(G361))=0</formula>
    </cfRule>
  </conditionalFormatting>
  <conditionalFormatting sqref="G14:J21 D20:F20">
    <cfRule type="containsBlanks" dxfId="103" priority="38">
      <formula>LEN(TRIM(D14))=0</formula>
    </cfRule>
  </conditionalFormatting>
  <conditionalFormatting sqref="G24:J29 C50:F50 C60:F60 C70:F70 C80:F80 C90:F90 C100:F100 C110:F110 C120:F120 C130:F130 C140:F140 C150:F150 C160:F160 C170:F170 C180:F180 C190:F190 C200:F200 C230:F230 C240:F240 C250:F250 C260:F260 C270:F270 C280:F280 C290:F290 C300:F300 G358:J360 C371:F371 C381:F381 C391:F391 C401:F401 C411:F411 C421:F421 C431:F431 C441:F441 C451:F451 C461:F461 C471:F471 C481:F481 C491:F491 C501:F501 C531:F531 C541:F541 C551:F551 C561:F561 C571:F571 C581:F581 C591:F591 C601:F601 C652:F652 C662:F662 C672:F672 C682:F682 C692:F692 C702:F702 C712:F712 C722:F722 C732:F732 C742:F742 C752:F752 C762:F762 C772:F772 C782:F782 C792:F792 C802:F802 C822:F822 C832:F832 C842:F842 C852:F852 C862:F862 C872:F872 C882:F882 C892:F892 C902:F902 C943:F943 C953:F953 C963:F963 C973:F973 C983:F983 C993:F993 C1003:F1003 C1013:F1013 C1023:F1023 C1033:F1033 C1043:F1043 C1053:F1053 C1063:F1063 C1073:F1073 C1083:F1083 C1093:F1093 C1103:F1103 C1123:F1123 C1133:F1133 C1143:F114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02" priority="91">
      <formula>LEN(TRIM(C24))=0</formula>
    </cfRule>
  </conditionalFormatting>
  <conditionalFormatting sqref="G31:J350">
    <cfRule type="containsBlanks" dxfId="101" priority="21">
      <formula>LEN(TRIM(G31))=0</formula>
    </cfRule>
  </conditionalFormatting>
  <conditionalFormatting sqref="G367:J1814">
    <cfRule type="containsBlanks" dxfId="100" priority="5">
      <formula>LEN(TRIM(G367))=0</formula>
    </cfRule>
  </conditionalFormatting>
  <conditionalFormatting sqref="H364:H366">
    <cfRule type="containsBlanks" dxfId="99" priority="11">
      <formula>LEN(TRIM(H364))=0</formula>
    </cfRule>
  </conditionalFormatting>
  <conditionalFormatting sqref="H11:J13">
    <cfRule type="containsBlanks" dxfId="98" priority="39">
      <formula>LEN(TRIM(H11))=0</formula>
    </cfRule>
  </conditionalFormatting>
  <conditionalFormatting sqref="H21:J23">
    <cfRule type="containsBlanks" dxfId="97" priority="35">
      <formula>LEN(TRIM(H21))=0</formula>
    </cfRule>
  </conditionalFormatting>
  <conditionalFormatting sqref="H43:J43">
    <cfRule type="containsBlanks" dxfId="96" priority="82">
      <formula>LEN(TRIM(H43))=0</formula>
    </cfRule>
  </conditionalFormatting>
  <conditionalFormatting sqref="H352:J357">
    <cfRule type="containsBlanks" dxfId="95" priority="18">
      <formula>LEN(TRIM(H352))=0</formula>
    </cfRule>
  </conditionalFormatting>
  <conditionalFormatting sqref="H361:J361">
    <cfRule type="containsBlanks" dxfId="94" priority="16">
      <formula>LEN(TRIM(H361))=0</formula>
    </cfRule>
  </conditionalFormatting>
  <conditionalFormatting sqref="H363:J366">
    <cfRule type="containsBlanks" dxfId="93" priority="9">
      <formula>LEN(TRIM(H363))=0</formula>
    </cfRule>
  </conditionalFormatting>
  <conditionalFormatting sqref="I362:J362">
    <cfRule type="containsBlanks" dxfId="92" priority="15">
      <formula>LEN(TRIM(I362))=0</formula>
    </cfRule>
  </conditionalFormatting>
  <conditionalFormatting sqref="I364:J364">
    <cfRule type="containsBlanks" dxfId="91" priority="14">
      <formula>LEN(TRIM(I364))=0</formula>
    </cfRule>
  </conditionalFormatting>
  <conditionalFormatting sqref="D361:E361">
    <cfRule type="containsBlanks" dxfId="90" priority="1">
      <formula>LEN(TRIM(D361))=0</formula>
    </cfRule>
  </conditionalFormatting>
  <pageMargins left="0.70866141732283472" right="0.70866141732283472" top="0.74803149606299213" bottom="0.74803149606299213" header="0.31496062992125984" footer="0.31496062992125984"/>
  <pageSetup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2060"/>
  </sheetPr>
  <dimension ref="A1:J196"/>
  <sheetViews>
    <sheetView topLeftCell="A12" zoomScaleNormal="100" workbookViewId="0">
      <selection activeCell="I200" sqref="I200"/>
    </sheetView>
  </sheetViews>
  <sheetFormatPr baseColWidth="10" defaultColWidth="11.42578125" defaultRowHeight="12.75" x14ac:dyDescent="0.2"/>
  <cols>
    <col min="1" max="1" width="15.5703125" style="2" customWidth="1"/>
    <col min="2" max="2" width="6.140625" style="1" customWidth="1"/>
    <col min="3" max="3" width="25.5703125" style="2" customWidth="1"/>
    <col min="4" max="4" width="18" style="61" customWidth="1"/>
    <col min="5" max="5" width="29.5703125" style="61" customWidth="1"/>
    <col min="6" max="6" width="19.7109375" style="2" customWidth="1"/>
    <col min="7" max="7" width="13.28515625" style="62" customWidth="1"/>
    <col min="8" max="8" width="7.140625" style="58" customWidth="1"/>
    <col min="9" max="9" width="7.7109375" style="58" customWidth="1"/>
    <col min="10" max="10" width="8.28515625" style="143" customWidth="1"/>
    <col min="11" max="16384" width="11.42578125" style="2"/>
  </cols>
  <sheetData>
    <row r="1" spans="1:10" ht="18.75" x14ac:dyDescent="0.3">
      <c r="A1" s="410" t="s">
        <v>37</v>
      </c>
      <c r="B1" s="410"/>
      <c r="C1" s="410"/>
      <c r="D1" s="410"/>
      <c r="E1" s="410"/>
      <c r="F1" s="410"/>
      <c r="G1" s="410"/>
    </row>
    <row r="2" spans="1:10" ht="9" customHeight="1" x14ac:dyDescent="0.2">
      <c r="A2" s="31"/>
      <c r="B2" s="32"/>
      <c r="C2" s="31"/>
      <c r="D2" s="31"/>
      <c r="E2" s="31"/>
      <c r="F2" s="31"/>
      <c r="G2" s="31"/>
    </row>
    <row r="3" spans="1:10" ht="27" customHeight="1" x14ac:dyDescent="0.2">
      <c r="A3" s="391" t="s">
        <v>36</v>
      </c>
      <c r="B3" s="391"/>
      <c r="C3" s="368" t="str">
        <f>Perfil_Egreso!B3</f>
        <v xml:space="preserve">CETPRO JUANJUI </v>
      </c>
      <c r="D3" s="368"/>
      <c r="E3" s="368"/>
      <c r="F3" s="33" t="s">
        <v>49</v>
      </c>
      <c r="G3" s="127" t="str">
        <f>Perfil_Egreso!E3</f>
        <v>0533836</v>
      </c>
    </row>
    <row r="4" spans="1:10" ht="20.25" customHeight="1" x14ac:dyDescent="0.2">
      <c r="A4" s="34"/>
      <c r="B4" s="34"/>
      <c r="C4" s="34"/>
      <c r="D4" s="34"/>
      <c r="E4" s="34"/>
      <c r="F4" s="34"/>
      <c r="G4" s="34"/>
    </row>
    <row r="5" spans="1:10" ht="65.25" customHeight="1" x14ac:dyDescent="0.2">
      <c r="A5" s="391" t="str">
        <f>Perfil_Egreso!A10</f>
        <v>DENOMINACIÓN DEL PROGRAMA DE ESTUDIOS SEGÚN CNOF (según corresponda)</v>
      </c>
      <c r="B5" s="391"/>
      <c r="C5" s="72" t="str">
        <f>Perfil_Egreso!B10</f>
        <v>APOYO ADMINISTRATIVO</v>
      </c>
      <c r="D5" s="33" t="s">
        <v>44</v>
      </c>
      <c r="E5" s="127" t="str">
        <f>Perfil_Egreso!E10</f>
        <v>M2982-1-002</v>
      </c>
      <c r="F5" s="33" t="s">
        <v>39</v>
      </c>
      <c r="G5" s="72" t="str">
        <f>Perfil_Egreso!B14</f>
        <v>AUXILIAR TÉCNICO</v>
      </c>
    </row>
    <row r="6" spans="1:10" ht="18.75" customHeight="1" x14ac:dyDescent="0.2">
      <c r="A6" s="34"/>
      <c r="B6" s="34"/>
      <c r="C6" s="34"/>
      <c r="D6" s="34"/>
      <c r="E6" s="34"/>
      <c r="F6" s="34"/>
      <c r="G6" s="34"/>
    </row>
    <row r="7" spans="1:10" ht="23.25" customHeight="1" x14ac:dyDescent="0.2">
      <c r="A7" s="391" t="str">
        <f>Perfil_Egreso!A12</f>
        <v>FORMACIÓN**</v>
      </c>
      <c r="B7" s="392"/>
      <c r="C7" s="393" t="str">
        <f>Perfil_Egreso!B12</f>
        <v>AUXILIAR TECNICO</v>
      </c>
      <c r="D7" s="394"/>
      <c r="E7" s="139" t="s">
        <v>43</v>
      </c>
      <c r="F7" s="393" t="str">
        <f>Perfil_Egreso!D12</f>
        <v>PRESENCIAL</v>
      </c>
      <c r="G7" s="394"/>
    </row>
    <row r="8" spans="1:10" ht="10.5" customHeight="1" x14ac:dyDescent="0.2">
      <c r="A8" s="20"/>
      <c r="B8" s="20"/>
      <c r="C8" s="20"/>
      <c r="D8" s="63"/>
      <c r="E8" s="63"/>
      <c r="F8" s="20"/>
      <c r="G8" s="23"/>
      <c r="H8" s="395" t="s">
        <v>131</v>
      </c>
      <c r="I8" s="395"/>
      <c r="J8" s="395"/>
    </row>
    <row r="9" spans="1:10" ht="38.25" x14ac:dyDescent="0.2">
      <c r="A9" s="263" t="s">
        <v>2</v>
      </c>
      <c r="B9" s="370" t="s">
        <v>113</v>
      </c>
      <c r="C9" s="370"/>
      <c r="D9" s="370" t="s">
        <v>3</v>
      </c>
      <c r="E9" s="370"/>
      <c r="F9" s="263" t="s">
        <v>0</v>
      </c>
      <c r="G9" s="263" t="s">
        <v>18</v>
      </c>
      <c r="H9" s="144" t="s">
        <v>52</v>
      </c>
      <c r="I9" s="144" t="s">
        <v>53</v>
      </c>
      <c r="J9" s="145" t="s">
        <v>132</v>
      </c>
    </row>
    <row r="10" spans="1:10" ht="60.75" customHeight="1" x14ac:dyDescent="0.2">
      <c r="A10" s="401" t="s">
        <v>218</v>
      </c>
      <c r="B10" s="403" t="s">
        <v>114</v>
      </c>
      <c r="C10" s="327" t="s">
        <v>212</v>
      </c>
      <c r="D10" s="339" t="str">
        <f ca="1">OFFSET(Capacidades!$A$1,(ROW()-9)*10-1,11)</f>
        <v xml:space="preserve">UC1 C1 Organizar el área de trabajo, equipos y materiales teniendo en cuenta las normas de seguridad laboral y ambiental.    </v>
      </c>
      <c r="E10" s="339"/>
      <c r="F10" s="275" t="s">
        <v>213</v>
      </c>
      <c r="G10" s="276" t="s">
        <v>102</v>
      </c>
      <c r="H10" s="277">
        <v>1</v>
      </c>
      <c r="I10" s="277">
        <v>1</v>
      </c>
      <c r="J10" s="285">
        <f>SUM(H10:I10)</f>
        <v>2</v>
      </c>
    </row>
    <row r="11" spans="1:10" ht="78" customHeight="1" x14ac:dyDescent="0.2">
      <c r="A11" s="401"/>
      <c r="B11" s="403"/>
      <c r="C11" s="327"/>
      <c r="D11" s="339" t="str">
        <f ca="1">OFFSET(Capacidades!$A$1,(ROW()-9)*10-1,11)</f>
        <v xml:space="preserve">UC1 C2 Elaborar documentos administrativos y/o mercantiles de  acuerdo a las características y estructuras de las mismas, aplicando técnicas de redacción, reglas ortográficas y gramaticales .     </v>
      </c>
      <c r="E11" s="339"/>
      <c r="F11" s="275" t="s">
        <v>214</v>
      </c>
      <c r="G11" s="276" t="s">
        <v>102</v>
      </c>
      <c r="H11" s="277">
        <v>2</v>
      </c>
      <c r="I11" s="277">
        <v>2</v>
      </c>
      <c r="J11" s="284">
        <f t="shared" ref="J11:J12" si="0">SUM(H11:I11)</f>
        <v>4</v>
      </c>
    </row>
    <row r="12" spans="1:10" ht="58.5" customHeight="1" x14ac:dyDescent="0.2">
      <c r="A12" s="401"/>
      <c r="B12" s="403"/>
      <c r="C12" s="327"/>
      <c r="D12" s="339" t="str">
        <f ca="1">OFFSET(Capacidades!$A$1,(ROW()-9)*10-1,11)</f>
        <v xml:space="preserve">UC1 C3 Realizar  el trámite de datos y documentos,  de acuerdo a los procedimientos, normativa vigente y políticas de la organización.    </v>
      </c>
      <c r="E12" s="339"/>
      <c r="F12" s="275" t="s">
        <v>215</v>
      </c>
      <c r="G12" s="276" t="s">
        <v>102</v>
      </c>
      <c r="H12" s="277">
        <v>2</v>
      </c>
      <c r="I12" s="277">
        <v>2</v>
      </c>
      <c r="J12" s="284">
        <f t="shared" si="0"/>
        <v>4</v>
      </c>
    </row>
    <row r="13" spans="1:10" ht="35.25" hidden="1" customHeight="1" x14ac:dyDescent="0.2">
      <c r="A13" s="399"/>
      <c r="B13" s="400"/>
      <c r="C13" s="343"/>
      <c r="D13" s="411" t="str">
        <f ca="1">OFFSET(Capacidades!$A$1,(ROW()-9)*10-1,11)</f>
        <v xml:space="preserve">       </v>
      </c>
      <c r="E13" s="412"/>
      <c r="F13" s="269"/>
      <c r="G13" s="270"/>
      <c r="H13" s="271"/>
      <c r="I13" s="272"/>
      <c r="J13" s="170"/>
    </row>
    <row r="14" spans="1:10" hidden="1" x14ac:dyDescent="0.2">
      <c r="A14" s="396"/>
      <c r="B14" s="397"/>
      <c r="C14" s="331"/>
      <c r="D14" s="413" t="str">
        <f ca="1">OFFSET(Capacidades!$A$1,(ROW()-9)*10-1,11)</f>
        <v xml:space="preserve">       </v>
      </c>
      <c r="E14" s="414"/>
      <c r="F14" s="128"/>
      <c r="G14" s="59"/>
      <c r="H14" s="153"/>
      <c r="I14" s="154"/>
      <c r="J14" s="143">
        <f t="shared" ref="J14:J70" si="1">SUM(H14:I14)</f>
        <v>0</v>
      </c>
    </row>
    <row r="15" spans="1:10" hidden="1" x14ac:dyDescent="0.2">
      <c r="A15" s="396"/>
      <c r="B15" s="397"/>
      <c r="C15" s="331"/>
      <c r="D15" s="413" t="str">
        <f ca="1">OFFSET(Capacidades!$A$1,(ROW()-9)*10-1,11)</f>
        <v xml:space="preserve">       </v>
      </c>
      <c r="E15" s="414"/>
      <c r="F15" s="128"/>
      <c r="G15" s="59"/>
      <c r="H15" s="153"/>
      <c r="I15" s="154"/>
      <c r="J15" s="143">
        <f t="shared" si="1"/>
        <v>0</v>
      </c>
    </row>
    <row r="16" spans="1:10" hidden="1" x14ac:dyDescent="0.2">
      <c r="A16" s="396"/>
      <c r="B16" s="397"/>
      <c r="C16" s="331"/>
      <c r="D16" s="413" t="str">
        <f ca="1">OFFSET(Capacidades!$A$1,(ROW()-9)*10-1,11)</f>
        <v xml:space="preserve">       </v>
      </c>
      <c r="E16" s="414"/>
      <c r="F16" s="128"/>
      <c r="G16" s="59"/>
      <c r="H16" s="153"/>
      <c r="I16" s="154"/>
      <c r="J16" s="143">
        <f t="shared" si="1"/>
        <v>0</v>
      </c>
    </row>
    <row r="17" spans="1:10" hidden="1" x14ac:dyDescent="0.2">
      <c r="A17" s="396"/>
      <c r="B17" s="397"/>
      <c r="C17" s="331"/>
      <c r="D17" s="413" t="str">
        <f ca="1">OFFSET(Capacidades!$A$1,(ROW()-9)*10-1,11)</f>
        <v xml:space="preserve">       </v>
      </c>
      <c r="E17" s="414"/>
      <c r="F17" s="128"/>
      <c r="G17" s="59"/>
      <c r="H17" s="153"/>
      <c r="I17" s="154"/>
      <c r="J17" s="143">
        <f t="shared" si="1"/>
        <v>0</v>
      </c>
    </row>
    <row r="18" spans="1:10" hidden="1" x14ac:dyDescent="0.2">
      <c r="A18" s="396"/>
      <c r="B18" s="397"/>
      <c r="C18" s="331"/>
      <c r="D18" s="413" t="str">
        <f ca="1">OFFSET(Capacidades!$A$1,(ROW()-9)*10-1,11)</f>
        <v xml:space="preserve">       </v>
      </c>
      <c r="E18" s="414"/>
      <c r="F18" s="128"/>
      <c r="G18" s="59"/>
      <c r="H18" s="153"/>
      <c r="I18" s="154"/>
      <c r="J18" s="143">
        <f t="shared" si="1"/>
        <v>0</v>
      </c>
    </row>
    <row r="19" spans="1:10" ht="12.75" hidden="1" customHeight="1" x14ac:dyDescent="0.2">
      <c r="A19" s="396"/>
      <c r="B19" s="397"/>
      <c r="C19" s="331"/>
      <c r="D19" s="413" t="str">
        <f ca="1">OFFSET(Capacidades!$A$1,(ROW()-9)*10-1,11)</f>
        <v xml:space="preserve">       </v>
      </c>
      <c r="E19" s="414"/>
      <c r="F19" s="128"/>
      <c r="G19" s="59"/>
      <c r="H19" s="153"/>
      <c r="I19" s="154"/>
      <c r="J19" s="143">
        <f t="shared" si="1"/>
        <v>0</v>
      </c>
    </row>
    <row r="20" spans="1:10" hidden="1" x14ac:dyDescent="0.2">
      <c r="A20" s="396"/>
      <c r="B20" s="397"/>
      <c r="C20" s="331"/>
      <c r="D20" s="413" t="str">
        <f ca="1">OFFSET(Capacidades!$A$1,(ROW()-9)*10-1,11)</f>
        <v xml:space="preserve">       </v>
      </c>
      <c r="E20" s="414"/>
      <c r="F20" s="128"/>
      <c r="G20" s="59"/>
      <c r="H20" s="153"/>
      <c r="I20" s="154"/>
      <c r="J20" s="143">
        <f t="shared" si="1"/>
        <v>0</v>
      </c>
    </row>
    <row r="21" spans="1:10" hidden="1" x14ac:dyDescent="0.2">
      <c r="A21" s="396"/>
      <c r="B21" s="397"/>
      <c r="C21" s="331"/>
      <c r="D21" s="413" t="str">
        <f ca="1">OFFSET(Capacidades!$A$1,(ROW()-9)*10-1,11)</f>
        <v xml:space="preserve">       </v>
      </c>
      <c r="E21" s="414"/>
      <c r="F21" s="128"/>
      <c r="G21" s="59"/>
      <c r="H21" s="153"/>
      <c r="I21" s="154"/>
      <c r="J21" s="143">
        <f t="shared" si="1"/>
        <v>0</v>
      </c>
    </row>
    <row r="22" spans="1:10" hidden="1" x14ac:dyDescent="0.2">
      <c r="A22" s="396"/>
      <c r="B22" s="397"/>
      <c r="C22" s="331"/>
      <c r="D22" s="413" t="str">
        <f ca="1">OFFSET(Capacidades!$A$1,(ROW()-9)*10-1,11)</f>
        <v xml:space="preserve">       </v>
      </c>
      <c r="E22" s="414"/>
      <c r="F22" s="128"/>
      <c r="G22" s="59"/>
      <c r="H22" s="153"/>
      <c r="I22" s="154"/>
      <c r="J22" s="143">
        <f t="shared" si="1"/>
        <v>0</v>
      </c>
    </row>
    <row r="23" spans="1:10" hidden="1" x14ac:dyDescent="0.2">
      <c r="A23" s="396"/>
      <c r="B23" s="397"/>
      <c r="C23" s="331"/>
      <c r="D23" s="413" t="str">
        <f ca="1">OFFSET(Capacidades!$A$1,(ROW()-9)*10-1,11)</f>
        <v xml:space="preserve">       </v>
      </c>
      <c r="E23" s="414"/>
      <c r="F23" s="128"/>
      <c r="G23" s="59"/>
      <c r="H23" s="153"/>
      <c r="I23" s="154"/>
      <c r="J23" s="143">
        <f t="shared" si="1"/>
        <v>0</v>
      </c>
    </row>
    <row r="24" spans="1:10" hidden="1" x14ac:dyDescent="0.2">
      <c r="A24" s="396"/>
      <c r="B24" s="397"/>
      <c r="C24" s="331"/>
      <c r="D24" s="413" t="str">
        <f ca="1">OFFSET(Capacidades!$A$1,(ROW()-9)*10-1,11)</f>
        <v xml:space="preserve">       </v>
      </c>
      <c r="E24" s="414"/>
      <c r="F24" s="128"/>
      <c r="G24" s="59"/>
      <c r="H24" s="153"/>
      <c r="I24" s="154"/>
      <c r="J24" s="143">
        <f t="shared" si="1"/>
        <v>0</v>
      </c>
    </row>
    <row r="25" spans="1:10" hidden="1" x14ac:dyDescent="0.2">
      <c r="A25" s="396"/>
      <c r="B25" s="397"/>
      <c r="C25" s="331"/>
      <c r="D25" s="413" t="str">
        <f ca="1">OFFSET(Capacidades!$A$1,(ROW()-9)*10-1,11)</f>
        <v xml:space="preserve">       </v>
      </c>
      <c r="E25" s="414"/>
      <c r="F25" s="128"/>
      <c r="G25" s="59"/>
      <c r="H25" s="153"/>
      <c r="I25" s="154"/>
      <c r="J25" s="143">
        <f t="shared" si="1"/>
        <v>0</v>
      </c>
    </row>
    <row r="26" spans="1:10" hidden="1" x14ac:dyDescent="0.2">
      <c r="A26" s="396"/>
      <c r="B26" s="397"/>
      <c r="C26" s="331"/>
      <c r="D26" s="413" t="str">
        <f ca="1">OFFSET(Capacidades!$A$1,(ROW()-9)*10-1,11)</f>
        <v xml:space="preserve">       </v>
      </c>
      <c r="E26" s="414"/>
      <c r="F26" s="128"/>
      <c r="G26" s="59"/>
      <c r="H26" s="153"/>
      <c r="I26" s="154"/>
      <c r="J26" s="143">
        <f t="shared" si="1"/>
        <v>0</v>
      </c>
    </row>
    <row r="27" spans="1:10" hidden="1" x14ac:dyDescent="0.2">
      <c r="A27" s="396"/>
      <c r="B27" s="397"/>
      <c r="C27" s="331"/>
      <c r="D27" s="413" t="str">
        <f ca="1">OFFSET(Capacidades!$A$1,(ROW()-9)*10-1,11)</f>
        <v xml:space="preserve">       </v>
      </c>
      <c r="E27" s="414"/>
      <c r="F27" s="128"/>
      <c r="G27" s="59"/>
      <c r="H27" s="153"/>
      <c r="I27" s="154"/>
      <c r="J27" s="143">
        <f t="shared" si="1"/>
        <v>0</v>
      </c>
    </row>
    <row r="28" spans="1:10" hidden="1" x14ac:dyDescent="0.2">
      <c r="A28" s="396"/>
      <c r="B28" s="397"/>
      <c r="C28" s="331"/>
      <c r="D28" s="413" t="str">
        <f ca="1">OFFSET(Capacidades!$A$1,(ROW()-9)*10-1,11)</f>
        <v xml:space="preserve">       </v>
      </c>
      <c r="E28" s="414"/>
      <c r="F28" s="128"/>
      <c r="G28" s="59"/>
      <c r="H28" s="153"/>
      <c r="I28" s="154"/>
      <c r="J28" s="143">
        <f t="shared" si="1"/>
        <v>0</v>
      </c>
    </row>
    <row r="29" spans="1:10" hidden="1" x14ac:dyDescent="0.2">
      <c r="A29" s="402"/>
      <c r="B29" s="404"/>
      <c r="C29" s="342"/>
      <c r="D29" s="418" t="str">
        <f ca="1">OFFSET(Capacidades!$A$1,(ROW()-9)*10-1,11)</f>
        <v xml:space="preserve">       </v>
      </c>
      <c r="E29" s="419"/>
      <c r="F29" s="264"/>
      <c r="G29" s="265"/>
      <c r="H29" s="266"/>
      <c r="I29" s="267"/>
      <c r="J29" s="143">
        <f t="shared" si="1"/>
        <v>0</v>
      </c>
    </row>
    <row r="30" spans="1:10" ht="129.75" customHeight="1" x14ac:dyDescent="0.2">
      <c r="A30" s="401"/>
      <c r="B30" s="405" t="s">
        <v>11</v>
      </c>
      <c r="C30" s="327" t="s">
        <v>160</v>
      </c>
      <c r="D30" s="339" t="str">
        <f ca="1">OFFSET(Capacidades!$A$1,(ROW()-9)*10-1,11)</f>
        <v>CE1 C1 Comunicar conceptos, ideas, opiniones, sentimientos y hechos  en forma oral en situaciones relacionadas a su entorno personal y profesional. 
CE1 C2 Transmitir conceptos, ideas, opiniones, sentimientos y hechos en forma escrita en situaciones relacionadas a su entorno social y laboral.</v>
      </c>
      <c r="E30" s="339"/>
      <c r="F30" s="278" t="s">
        <v>216</v>
      </c>
      <c r="G30" s="276" t="s">
        <v>102</v>
      </c>
      <c r="H30" s="277">
        <v>1</v>
      </c>
      <c r="I30" s="277">
        <v>1</v>
      </c>
      <c r="J30" s="284">
        <f t="shared" si="1"/>
        <v>2</v>
      </c>
    </row>
    <row r="31" spans="1:10" ht="156" customHeight="1" x14ac:dyDescent="0.2">
      <c r="A31" s="401"/>
      <c r="B31" s="405"/>
      <c r="C31" s="327"/>
      <c r="D31" s="339" t="str">
        <f ca="1">OFFSET(Capacidades!$A$1,(ROW()-9)*10-1,11)</f>
        <v>CE2 C1 Utilizar aplicaciones y herramientas informáticas de las TIC de manera responsable y técnica. 
CE2 C2 Emplear software  en la realización de tareas y requerimientos vinculados a su programa de estudios.</v>
      </c>
      <c r="E31" s="339"/>
      <c r="F31" s="278" t="s">
        <v>217</v>
      </c>
      <c r="G31" s="276" t="s">
        <v>102</v>
      </c>
      <c r="H31" s="277">
        <v>1</v>
      </c>
      <c r="I31" s="277">
        <v>1</v>
      </c>
      <c r="J31" s="284">
        <f t="shared" si="1"/>
        <v>2</v>
      </c>
    </row>
    <row r="32" spans="1:10" ht="12.75" hidden="1" customHeight="1" x14ac:dyDescent="0.2">
      <c r="A32" s="399"/>
      <c r="B32" s="406"/>
      <c r="C32" s="343"/>
      <c r="D32" s="411" t="str">
        <f ca="1">OFFSET(Capacidades!$A$1,(ROW()-9)*10-1,11)</f>
        <v xml:space="preserve">       </v>
      </c>
      <c r="E32" s="412"/>
      <c r="F32" s="273"/>
      <c r="G32" s="270"/>
      <c r="H32" s="271"/>
      <c r="I32" s="272"/>
      <c r="J32" s="143">
        <f t="shared" si="1"/>
        <v>0</v>
      </c>
    </row>
    <row r="33" spans="1:10" ht="12.75" hidden="1" customHeight="1" x14ac:dyDescent="0.2">
      <c r="A33" s="396"/>
      <c r="B33" s="398"/>
      <c r="C33" s="331"/>
      <c r="D33" s="413" t="str">
        <f ca="1">OFFSET(Capacidades!$A$1,(ROW()-9)*10-1,11)</f>
        <v xml:space="preserve">       </v>
      </c>
      <c r="E33" s="414"/>
      <c r="F33" s="60"/>
      <c r="G33" s="59"/>
      <c r="H33" s="153"/>
      <c r="I33" s="154"/>
      <c r="J33" s="143">
        <f t="shared" si="1"/>
        <v>0</v>
      </c>
    </row>
    <row r="34" spans="1:10" ht="12.75" hidden="1" customHeight="1" x14ac:dyDescent="0.2">
      <c r="A34" s="396"/>
      <c r="B34" s="398"/>
      <c r="C34" s="331"/>
      <c r="D34" s="413" t="str">
        <f ca="1">OFFSET(Capacidades!$A$1,(ROW()-9)*10-1,11)</f>
        <v xml:space="preserve">       </v>
      </c>
      <c r="E34" s="414"/>
      <c r="F34" s="60"/>
      <c r="G34" s="59"/>
      <c r="H34" s="153"/>
      <c r="I34" s="154"/>
      <c r="J34" s="143">
        <f t="shared" si="1"/>
        <v>0</v>
      </c>
    </row>
    <row r="35" spans="1:10" ht="12.75" hidden="1" customHeight="1" x14ac:dyDescent="0.2">
      <c r="A35" s="396"/>
      <c r="B35" s="398"/>
      <c r="C35" s="331"/>
      <c r="D35" s="413" t="str">
        <f ca="1">OFFSET(Capacidades!$A$1,(ROW()-9)*10-1,11)</f>
        <v xml:space="preserve">       </v>
      </c>
      <c r="E35" s="414"/>
      <c r="F35" s="60"/>
      <c r="G35" s="59"/>
      <c r="H35" s="153"/>
      <c r="I35" s="154"/>
      <c r="J35" s="143">
        <f t="shared" si="1"/>
        <v>0</v>
      </c>
    </row>
    <row r="36" spans="1:10" ht="12.75" hidden="1" customHeight="1" x14ac:dyDescent="0.2">
      <c r="A36" s="396"/>
      <c r="B36" s="398"/>
      <c r="C36" s="331"/>
      <c r="D36" s="413" t="str">
        <f ca="1">OFFSET(Capacidades!$A$1,(ROW()-9)*10-1,11)</f>
        <v xml:space="preserve">       </v>
      </c>
      <c r="E36" s="414"/>
      <c r="F36" s="60"/>
      <c r="G36" s="59"/>
      <c r="H36" s="153"/>
      <c r="I36" s="154"/>
      <c r="J36" s="143">
        <f t="shared" si="1"/>
        <v>0</v>
      </c>
    </row>
    <row r="37" spans="1:10" ht="12.75" hidden="1" customHeight="1" x14ac:dyDescent="0.2">
      <c r="A37" s="396"/>
      <c r="B37" s="398"/>
      <c r="C37" s="331"/>
      <c r="D37" s="413" t="str">
        <f ca="1">OFFSET(Capacidades!$A$1,(ROW()-9)*10-1,11)</f>
        <v xml:space="preserve">       </v>
      </c>
      <c r="E37" s="414"/>
      <c r="F37" s="60"/>
      <c r="G37" s="59"/>
      <c r="H37" s="153"/>
      <c r="I37" s="154"/>
      <c r="J37" s="143">
        <f t="shared" si="1"/>
        <v>0</v>
      </c>
    </row>
    <row r="38" spans="1:10" ht="12.75" hidden="1" customHeight="1" x14ac:dyDescent="0.2">
      <c r="A38" s="396"/>
      <c r="B38" s="398"/>
      <c r="C38" s="331"/>
      <c r="D38" s="413" t="str">
        <f ca="1">OFFSET(Capacidades!$A$1,(ROW()-9)*10-1,11)</f>
        <v xml:space="preserve">       </v>
      </c>
      <c r="E38" s="414"/>
      <c r="F38" s="60"/>
      <c r="G38" s="59"/>
      <c r="H38" s="153"/>
      <c r="I38" s="154"/>
      <c r="J38" s="143">
        <f t="shared" si="1"/>
        <v>0</v>
      </c>
    </row>
    <row r="39" spans="1:10" ht="12.75" hidden="1" customHeight="1" x14ac:dyDescent="0.2">
      <c r="A39" s="402"/>
      <c r="B39" s="407"/>
      <c r="C39" s="342"/>
      <c r="D39" s="418" t="str">
        <f ca="1">OFFSET(Capacidades!$A$1,(ROW()-9)*10-1,11)</f>
        <v xml:space="preserve">       </v>
      </c>
      <c r="E39" s="419"/>
      <c r="F39" s="268"/>
      <c r="G39" s="265"/>
      <c r="H39" s="266"/>
      <c r="I39" s="267"/>
      <c r="J39" s="143">
        <f t="shared" si="1"/>
        <v>0</v>
      </c>
    </row>
    <row r="40" spans="1:10" ht="64.5" customHeight="1" x14ac:dyDescent="0.2">
      <c r="A40" s="401"/>
      <c r="B40" s="415" t="s">
        <v>141</v>
      </c>
      <c r="C40" s="415"/>
      <c r="D40" s="415"/>
      <c r="E40" s="415"/>
      <c r="F40" s="279"/>
      <c r="G40" s="280" t="s">
        <v>409</v>
      </c>
      <c r="H40" s="277">
        <v>0</v>
      </c>
      <c r="I40" s="277">
        <v>6</v>
      </c>
      <c r="J40" s="277">
        <v>6</v>
      </c>
    </row>
    <row r="41" spans="1:10" ht="66" customHeight="1" x14ac:dyDescent="0.2">
      <c r="A41" s="401" t="s">
        <v>484</v>
      </c>
      <c r="B41" s="403" t="str">
        <f>$B$10</f>
        <v>Competencias técnicas (Unidad de competencia)</v>
      </c>
      <c r="C41" s="327" t="s">
        <v>219</v>
      </c>
      <c r="D41" s="339" t="str">
        <f ca="1">OFFSET(Capacidades!$A$302,(ROW()-40)*10-1,11)</f>
        <v xml:space="preserve">UC2 C1 Realizar el procesamiento y transmisión de la información y/o documentación, teniendo en cuenta los medios adecuados,  la confiabilidad,  en función a los objetivos de la organización y procedimientos establecidos.    </v>
      </c>
      <c r="E41" s="339"/>
      <c r="F41" s="275" t="s">
        <v>410</v>
      </c>
      <c r="G41" s="276" t="s">
        <v>103</v>
      </c>
      <c r="H41" s="277">
        <v>1</v>
      </c>
      <c r="I41" s="277">
        <v>1</v>
      </c>
      <c r="J41" s="284">
        <f t="shared" ref="J41:J46" si="2">SUM(H41:I41)</f>
        <v>2</v>
      </c>
    </row>
    <row r="42" spans="1:10" ht="58.5" customHeight="1" x14ac:dyDescent="0.2">
      <c r="A42" s="401"/>
      <c r="B42" s="403"/>
      <c r="C42" s="327"/>
      <c r="D42" s="339" t="str">
        <f ca="1">OFFSET(Capacidades!$A$302,(ROW()-40)*10-1,11)</f>
        <v xml:space="preserve">UC2 C2 Ejecutar  actividades administrativas de apoyo2,  en función de los objetivos de la organización, los procedimientos establecidos y el área asignada.    </v>
      </c>
      <c r="E42" s="339"/>
      <c r="F42" s="278" t="s">
        <v>411</v>
      </c>
      <c r="G42" s="276" t="s">
        <v>103</v>
      </c>
      <c r="H42" s="277">
        <v>0</v>
      </c>
      <c r="I42" s="277">
        <v>1</v>
      </c>
      <c r="J42" s="284">
        <f t="shared" si="2"/>
        <v>1</v>
      </c>
    </row>
    <row r="43" spans="1:10" ht="68.25" customHeight="1" x14ac:dyDescent="0.2">
      <c r="A43" s="401"/>
      <c r="B43" s="403"/>
      <c r="C43" s="327"/>
      <c r="D43" s="339" t="str">
        <f ca="1">OFFSET(Capacidades!$A$302,(ROW()-40)*10-1,11)</f>
        <v xml:space="preserve">UC2 C3 Atender las comunicaciones, consultas, y/o centro de atención virtual,  utilizando los medios adecuados y protocolos de la organización.    </v>
      </c>
      <c r="E43" s="339"/>
      <c r="F43" s="278" t="s">
        <v>412</v>
      </c>
      <c r="G43" s="276" t="s">
        <v>103</v>
      </c>
      <c r="H43" s="277">
        <v>1</v>
      </c>
      <c r="I43" s="277">
        <v>1</v>
      </c>
      <c r="J43" s="284">
        <f t="shared" si="2"/>
        <v>2</v>
      </c>
    </row>
    <row r="44" spans="1:10" ht="61.5" customHeight="1" x14ac:dyDescent="0.2">
      <c r="A44" s="401"/>
      <c r="B44" s="403"/>
      <c r="C44" s="327"/>
      <c r="D44" s="339" t="str">
        <f ca="1">OFFSET(Capacidades!$A$302,(ROW()-40)*10-1,11)</f>
        <v xml:space="preserve">UC2 C4 Realiza  la revisisón de información y/o documentación  en función a los requerimientos de la organización y procedimientos establecidos.    </v>
      </c>
      <c r="E44" s="339"/>
      <c r="F44" s="278" t="s">
        <v>413</v>
      </c>
      <c r="G44" s="276" t="s">
        <v>103</v>
      </c>
      <c r="H44" s="277">
        <v>0</v>
      </c>
      <c r="I44" s="277">
        <v>1</v>
      </c>
      <c r="J44" s="284">
        <f t="shared" si="2"/>
        <v>1</v>
      </c>
    </row>
    <row r="45" spans="1:10" ht="72.75" customHeight="1" x14ac:dyDescent="0.2">
      <c r="A45" s="401"/>
      <c r="B45" s="403"/>
      <c r="C45" s="327"/>
      <c r="D45" s="339" t="str">
        <f ca="1">OFFSET(Capacidades!$A$302,(ROW()-40)*10-1,11)</f>
        <v>UC3 C1 Organizar  el sistema de gestión de archivos según políticas de la organización y normativa vigente. UC3 C2 Realizar  la clasificación de documentos según políticas de la organización y normativa vigente.</v>
      </c>
      <c r="E45" s="339"/>
      <c r="F45" s="278" t="s">
        <v>414</v>
      </c>
      <c r="G45" s="276" t="s">
        <v>103</v>
      </c>
      <c r="H45" s="277">
        <v>1</v>
      </c>
      <c r="I45" s="277">
        <v>1</v>
      </c>
      <c r="J45" s="284">
        <f t="shared" si="2"/>
        <v>2</v>
      </c>
    </row>
    <row r="46" spans="1:10" ht="66.75" customHeight="1" x14ac:dyDescent="0.2">
      <c r="A46" s="401"/>
      <c r="B46" s="403"/>
      <c r="C46" s="327"/>
      <c r="D46" s="339" t="str">
        <f ca="1">OFFSET(Capacidades!$A$302,(ROW()-40)*10-1,11)</f>
        <v>UC3 C3 Archivar los documentos de gestión  según políticas de la organización y normativa vigente. UC3 C4 Realizar  el archivo, mantenimiento y conservación de los documentos según políticas de la organización y normativa vigente.</v>
      </c>
      <c r="E46" s="339"/>
      <c r="F46" s="278" t="s">
        <v>467</v>
      </c>
      <c r="G46" s="276" t="s">
        <v>103</v>
      </c>
      <c r="H46" s="277">
        <v>1</v>
      </c>
      <c r="I46" s="277">
        <v>1</v>
      </c>
      <c r="J46" s="284">
        <f t="shared" si="2"/>
        <v>2</v>
      </c>
    </row>
    <row r="47" spans="1:10" ht="34.5" hidden="1" customHeight="1" x14ac:dyDescent="0.2">
      <c r="A47" s="399"/>
      <c r="B47" s="400"/>
      <c r="C47" s="343"/>
      <c r="D47" s="340" t="str">
        <f ca="1">OFFSET(Capacidades!$A$302,(ROW()-40)*10-1,11)</f>
        <v xml:space="preserve">       </v>
      </c>
      <c r="E47" s="340"/>
      <c r="F47" s="274"/>
      <c r="G47" s="270"/>
      <c r="H47" s="271"/>
      <c r="I47" s="272"/>
      <c r="J47" s="143">
        <f t="shared" si="1"/>
        <v>0</v>
      </c>
    </row>
    <row r="48" spans="1:10" ht="26.25" hidden="1" customHeight="1" x14ac:dyDescent="0.2">
      <c r="A48" s="396"/>
      <c r="B48" s="397"/>
      <c r="C48" s="331"/>
      <c r="D48" s="335" t="str">
        <f ca="1">OFFSET(Capacidades!$A$302,(ROW()-40)*10-1,11)</f>
        <v xml:space="preserve">       </v>
      </c>
      <c r="E48" s="335"/>
      <c r="F48" s="128"/>
      <c r="G48" s="59"/>
      <c r="H48" s="153"/>
      <c r="I48" s="154"/>
      <c r="J48" s="143">
        <f t="shared" si="1"/>
        <v>0</v>
      </c>
    </row>
    <row r="49" spans="1:10" ht="37.5" hidden="1" customHeight="1" x14ac:dyDescent="0.2">
      <c r="A49" s="396"/>
      <c r="B49" s="397"/>
      <c r="C49" s="331"/>
      <c r="D49" s="335" t="str">
        <f ca="1">OFFSET(Capacidades!$A$302,(ROW()-40)*10-1,11)</f>
        <v xml:space="preserve">       </v>
      </c>
      <c r="E49" s="335"/>
      <c r="F49" s="128"/>
      <c r="G49" s="59"/>
      <c r="H49" s="153"/>
      <c r="I49" s="154"/>
      <c r="J49" s="143">
        <f t="shared" si="1"/>
        <v>0</v>
      </c>
    </row>
    <row r="50" spans="1:10" ht="33.75" hidden="1" customHeight="1" x14ac:dyDescent="0.2">
      <c r="A50" s="396"/>
      <c r="B50" s="397"/>
      <c r="C50" s="331"/>
      <c r="D50" s="335" t="str">
        <f ca="1">OFFSET(Capacidades!$A$302,(ROW()-40)*10-1,11)</f>
        <v xml:space="preserve">       </v>
      </c>
      <c r="E50" s="335"/>
      <c r="F50" s="128"/>
      <c r="G50" s="59"/>
      <c r="H50" s="153"/>
      <c r="I50" s="154"/>
      <c r="J50" s="143">
        <f t="shared" si="1"/>
        <v>0</v>
      </c>
    </row>
    <row r="51" spans="1:10" ht="30.75" hidden="1" customHeight="1" x14ac:dyDescent="0.2">
      <c r="A51" s="396"/>
      <c r="B51" s="397"/>
      <c r="C51" s="331"/>
      <c r="D51" s="335" t="str">
        <f ca="1">OFFSET(Capacidades!$A$302,(ROW()-40)*10-1,11)</f>
        <v xml:space="preserve">       </v>
      </c>
      <c r="E51" s="335"/>
      <c r="F51" s="128"/>
      <c r="G51" s="59"/>
      <c r="H51" s="153"/>
      <c r="I51" s="154"/>
      <c r="J51" s="143">
        <f t="shared" si="1"/>
        <v>0</v>
      </c>
    </row>
    <row r="52" spans="1:10" ht="33.75" hidden="1" customHeight="1" x14ac:dyDescent="0.2">
      <c r="A52" s="396"/>
      <c r="B52" s="397"/>
      <c r="C52" s="331"/>
      <c r="D52" s="335" t="str">
        <f ca="1">OFFSET(Capacidades!$A$302,(ROW()-40)*10-1,11)</f>
        <v xml:space="preserve">       </v>
      </c>
      <c r="E52" s="335"/>
      <c r="F52" s="128"/>
      <c r="G52" s="59"/>
      <c r="H52" s="153"/>
      <c r="I52" s="154"/>
      <c r="J52" s="143">
        <f t="shared" si="1"/>
        <v>0</v>
      </c>
    </row>
    <row r="53" spans="1:10" ht="33.75" hidden="1" customHeight="1" x14ac:dyDescent="0.2">
      <c r="A53" s="396"/>
      <c r="B53" s="397"/>
      <c r="C53" s="331"/>
      <c r="D53" s="335" t="str">
        <f ca="1">OFFSET(Capacidades!$A$302,(ROW()-40)*10-1,11)</f>
        <v xml:space="preserve">       </v>
      </c>
      <c r="E53" s="335"/>
      <c r="F53" s="128"/>
      <c r="G53" s="59"/>
      <c r="H53" s="153"/>
      <c r="I53" s="154"/>
      <c r="J53" s="143">
        <f t="shared" si="1"/>
        <v>0</v>
      </c>
    </row>
    <row r="54" spans="1:10" ht="30" hidden="1" customHeight="1" x14ac:dyDescent="0.2">
      <c r="A54" s="396"/>
      <c r="B54" s="397"/>
      <c r="C54" s="331"/>
      <c r="D54" s="335" t="str">
        <f ca="1">OFFSET(Capacidades!$A$302,(ROW()-40)*10-1,11)</f>
        <v xml:space="preserve">       </v>
      </c>
      <c r="E54" s="335"/>
      <c r="F54" s="128"/>
      <c r="G54" s="59"/>
      <c r="H54" s="153"/>
      <c r="I54" s="154"/>
      <c r="J54" s="143">
        <f t="shared" si="1"/>
        <v>0</v>
      </c>
    </row>
    <row r="55" spans="1:10" ht="29.25" hidden="1" customHeight="1" x14ac:dyDescent="0.2">
      <c r="A55" s="396"/>
      <c r="B55" s="397"/>
      <c r="C55" s="331"/>
      <c r="D55" s="335" t="str">
        <f ca="1">OFFSET(Capacidades!$A$302,(ROW()-40)*10-1,11)</f>
        <v xml:space="preserve">       </v>
      </c>
      <c r="E55" s="335"/>
      <c r="F55" s="128"/>
      <c r="G55" s="59"/>
      <c r="H55" s="153"/>
      <c r="I55" s="154"/>
      <c r="J55" s="143">
        <f t="shared" si="1"/>
        <v>0</v>
      </c>
    </row>
    <row r="56" spans="1:10" ht="30" hidden="1" customHeight="1" x14ac:dyDescent="0.2">
      <c r="A56" s="396"/>
      <c r="B56" s="397"/>
      <c r="C56" s="331"/>
      <c r="D56" s="335" t="str">
        <f ca="1">OFFSET(Capacidades!$A$302,(ROW()-40)*10-1,11)</f>
        <v xml:space="preserve">       </v>
      </c>
      <c r="E56" s="335"/>
      <c r="F56" s="128"/>
      <c r="G56" s="59"/>
      <c r="H56" s="153"/>
      <c r="I56" s="154"/>
      <c r="J56" s="143">
        <f t="shared" si="1"/>
        <v>0</v>
      </c>
    </row>
    <row r="57" spans="1:10" ht="28.5" hidden="1" customHeight="1" x14ac:dyDescent="0.2">
      <c r="A57" s="396"/>
      <c r="B57" s="397"/>
      <c r="C57" s="331"/>
      <c r="D57" s="335" t="str">
        <f ca="1">OFFSET(Capacidades!$A$302,(ROW()-40)*10-1,11)</f>
        <v xml:space="preserve">       </v>
      </c>
      <c r="E57" s="335"/>
      <c r="F57" s="128"/>
      <c r="G57" s="59"/>
      <c r="H57" s="153"/>
      <c r="I57" s="154"/>
      <c r="J57" s="143">
        <f t="shared" si="1"/>
        <v>0</v>
      </c>
    </row>
    <row r="58" spans="1:10" ht="30.75" hidden="1" customHeight="1" x14ac:dyDescent="0.2">
      <c r="A58" s="396"/>
      <c r="B58" s="397"/>
      <c r="C58" s="331"/>
      <c r="D58" s="335" t="str">
        <f ca="1">OFFSET(Capacidades!$A$302,(ROW()-40)*10-1,11)</f>
        <v xml:space="preserve">       </v>
      </c>
      <c r="E58" s="335"/>
      <c r="F58" s="128"/>
      <c r="G58" s="59"/>
      <c r="H58" s="153"/>
      <c r="I58" s="154"/>
      <c r="J58" s="143">
        <f t="shared" si="1"/>
        <v>0</v>
      </c>
    </row>
    <row r="59" spans="1:10" ht="36.75" hidden="1" customHeight="1" x14ac:dyDescent="0.2">
      <c r="A59" s="396"/>
      <c r="B59" s="397"/>
      <c r="C59" s="331"/>
      <c r="D59" s="335" t="str">
        <f ca="1">OFFSET(Capacidades!$A$302,(ROW()-40)*10-1,11)</f>
        <v xml:space="preserve">       </v>
      </c>
      <c r="E59" s="335"/>
      <c r="F59" s="128"/>
      <c r="G59" s="59"/>
      <c r="H59" s="153"/>
      <c r="I59" s="154"/>
      <c r="J59" s="143">
        <f t="shared" si="1"/>
        <v>0</v>
      </c>
    </row>
    <row r="60" spans="1:10" ht="43.5" hidden="1" customHeight="1" x14ac:dyDescent="0.2">
      <c r="A60" s="402"/>
      <c r="B60" s="404"/>
      <c r="C60" s="342"/>
      <c r="D60" s="341" t="str">
        <f ca="1">OFFSET(Capacidades!$A$302,(ROW()-40)*10-1,11)</f>
        <v xml:space="preserve">       </v>
      </c>
      <c r="E60" s="341"/>
      <c r="F60" s="264"/>
      <c r="G60" s="265"/>
      <c r="H60" s="266"/>
      <c r="I60" s="267"/>
      <c r="J60" s="143">
        <f t="shared" si="1"/>
        <v>0</v>
      </c>
    </row>
    <row r="61" spans="1:10" ht="102.75" customHeight="1" x14ac:dyDescent="0.2">
      <c r="A61" s="401"/>
      <c r="B61" s="405" t="str">
        <f>$B$30</f>
        <v>Competencias para la empleabilidad</v>
      </c>
      <c r="C61" s="408" t="s">
        <v>220</v>
      </c>
      <c r="D61" s="339" t="str">
        <f ca="1">OFFSET(Capacidades!$A$302,(ROW()-40)*10-1,11)</f>
        <v>CE3 C1 Utilizar metodologías para identificar oportunidades de negocio tomando en cuenta el programa de estudios y las necesidades del mercado.  
CE3 C2 Formular planes de negocio innovadores vinculados al programa de estudio  considerando un proceso metodológico que genere valor, sea sostenible y preserve el ambiente.</v>
      </c>
      <c r="E61" s="339"/>
      <c r="F61" s="278" t="s">
        <v>415</v>
      </c>
      <c r="G61" s="276" t="s">
        <v>103</v>
      </c>
      <c r="H61" s="277">
        <v>1</v>
      </c>
      <c r="I61" s="277">
        <v>1</v>
      </c>
      <c r="J61" s="284">
        <f t="shared" si="1"/>
        <v>2</v>
      </c>
    </row>
    <row r="62" spans="1:10" ht="219.75" customHeight="1" x14ac:dyDescent="0.2">
      <c r="A62" s="401"/>
      <c r="B62" s="405"/>
      <c r="C62" s="408"/>
      <c r="D62" s="339" t="str">
        <f ca="1">OFFSET(Capacidades!$A$302,(ROW()-40)*10-1,11)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E62" s="339"/>
      <c r="F62" s="278" t="s">
        <v>416</v>
      </c>
      <c r="G62" s="276" t="s">
        <v>103</v>
      </c>
      <c r="H62" s="277">
        <v>1</v>
      </c>
      <c r="I62" s="277">
        <v>1</v>
      </c>
      <c r="J62" s="284">
        <f t="shared" si="1"/>
        <v>2</v>
      </c>
    </row>
    <row r="63" spans="1:10" ht="25.5" hidden="1" customHeight="1" x14ac:dyDescent="0.2">
      <c r="A63" s="399"/>
      <c r="B63" s="406"/>
      <c r="C63" s="409"/>
      <c r="D63" s="340" t="str">
        <f ca="1">OFFSET(Capacidades!$A$302,(ROW()-40)*10-1,11)</f>
        <v xml:space="preserve">       </v>
      </c>
      <c r="E63" s="340"/>
      <c r="F63" s="273"/>
      <c r="G63" s="270"/>
      <c r="H63" s="271"/>
      <c r="I63" s="272"/>
      <c r="J63" s="143">
        <f t="shared" si="1"/>
        <v>0</v>
      </c>
    </row>
    <row r="64" spans="1:10" ht="24.75" hidden="1" customHeight="1" x14ac:dyDescent="0.2">
      <c r="A64" s="396"/>
      <c r="B64" s="398"/>
      <c r="C64" s="409"/>
      <c r="D64" s="335" t="str">
        <f ca="1">OFFSET(Capacidades!$A$302,(ROW()-40)*10-1,11)</f>
        <v xml:space="preserve">       </v>
      </c>
      <c r="E64" s="335"/>
      <c r="F64" s="60"/>
      <c r="G64" s="59"/>
      <c r="H64" s="153"/>
      <c r="I64" s="154"/>
      <c r="J64" s="143">
        <f t="shared" si="1"/>
        <v>0</v>
      </c>
    </row>
    <row r="65" spans="1:10" ht="25.5" hidden="1" customHeight="1" x14ac:dyDescent="0.2">
      <c r="A65" s="396"/>
      <c r="B65" s="398"/>
      <c r="C65" s="409"/>
      <c r="D65" s="335" t="str">
        <f ca="1">OFFSET(Capacidades!$A$302,(ROW()-40)*10-1,11)</f>
        <v xml:space="preserve">       </v>
      </c>
      <c r="E65" s="335"/>
      <c r="F65" s="60"/>
      <c r="G65" s="59"/>
      <c r="H65" s="153"/>
      <c r="I65" s="154"/>
      <c r="J65" s="143">
        <f t="shared" si="1"/>
        <v>0</v>
      </c>
    </row>
    <row r="66" spans="1:10" ht="24.75" hidden="1" customHeight="1" x14ac:dyDescent="0.2">
      <c r="A66" s="396"/>
      <c r="B66" s="398"/>
      <c r="C66" s="409"/>
      <c r="D66" s="335" t="str">
        <f ca="1">OFFSET(Capacidades!$A$302,(ROW()-40)*10-1,11)</f>
        <v xml:space="preserve">       </v>
      </c>
      <c r="E66" s="335"/>
      <c r="F66" s="60"/>
      <c r="G66" s="59"/>
      <c r="H66" s="153"/>
      <c r="I66" s="154"/>
      <c r="J66" s="143">
        <f t="shared" si="1"/>
        <v>0</v>
      </c>
    </row>
    <row r="67" spans="1:10" ht="21.75" hidden="1" customHeight="1" x14ac:dyDescent="0.2">
      <c r="A67" s="396"/>
      <c r="B67" s="398"/>
      <c r="C67" s="409"/>
      <c r="D67" s="335" t="str">
        <f ca="1">OFFSET(Capacidades!$A$302,(ROW()-40)*10-1,11)</f>
        <v xml:space="preserve">       </v>
      </c>
      <c r="E67" s="335"/>
      <c r="F67" s="60"/>
      <c r="G67" s="59"/>
      <c r="H67" s="153"/>
      <c r="I67" s="154"/>
      <c r="J67" s="143">
        <f t="shared" si="1"/>
        <v>0</v>
      </c>
    </row>
    <row r="68" spans="1:10" ht="22.5" hidden="1" customHeight="1" x14ac:dyDescent="0.2">
      <c r="A68" s="396"/>
      <c r="B68" s="398"/>
      <c r="C68" s="409"/>
      <c r="D68" s="335" t="str">
        <f ca="1">OFFSET(Capacidades!$A$302,(ROW()-40)*10-1,11)</f>
        <v xml:space="preserve">       </v>
      </c>
      <c r="E68" s="335"/>
      <c r="F68" s="60"/>
      <c r="G68" s="59"/>
      <c r="H68" s="153"/>
      <c r="I68" s="154"/>
      <c r="J68" s="143">
        <f t="shared" si="1"/>
        <v>0</v>
      </c>
    </row>
    <row r="69" spans="1:10" ht="33" hidden="1" customHeight="1" x14ac:dyDescent="0.2">
      <c r="A69" s="396"/>
      <c r="B69" s="398"/>
      <c r="C69" s="409"/>
      <c r="D69" s="335" t="str">
        <f ca="1">OFFSET(Capacidades!$A$302,(ROW()-40)*10-1,11)</f>
        <v xml:space="preserve">       </v>
      </c>
      <c r="E69" s="335"/>
      <c r="F69" s="60"/>
      <c r="G69" s="59"/>
      <c r="H69" s="153"/>
      <c r="I69" s="154"/>
      <c r="J69" s="143">
        <f t="shared" si="1"/>
        <v>0</v>
      </c>
    </row>
    <row r="70" spans="1:10" ht="36" hidden="1" customHeight="1" x14ac:dyDescent="0.2">
      <c r="A70" s="402"/>
      <c r="B70" s="407"/>
      <c r="C70" s="409"/>
      <c r="D70" s="341" t="str">
        <f ca="1">OFFSET(Capacidades!$A$302,(ROW()-40)*10-1,11)</f>
        <v xml:space="preserve">       </v>
      </c>
      <c r="E70" s="341"/>
      <c r="F70" s="268"/>
      <c r="G70" s="265"/>
      <c r="H70" s="266"/>
      <c r="I70" s="267"/>
      <c r="J70" s="143">
        <f t="shared" si="1"/>
        <v>0</v>
      </c>
    </row>
    <row r="71" spans="1:10" ht="58.5" customHeight="1" x14ac:dyDescent="0.2">
      <c r="A71" s="401"/>
      <c r="B71" s="415" t="str">
        <f>$B$40</f>
        <v>Experiencias formativas en situaciones reales de trabajo (ESRT)</v>
      </c>
      <c r="C71" s="415"/>
      <c r="D71" s="415"/>
      <c r="E71" s="415"/>
      <c r="F71" s="279"/>
      <c r="G71" s="280" t="s">
        <v>409</v>
      </c>
      <c r="H71" s="277">
        <v>0</v>
      </c>
      <c r="I71" s="277">
        <v>6</v>
      </c>
      <c r="J71" s="277">
        <v>6</v>
      </c>
    </row>
    <row r="72" spans="1:10" ht="53.25" hidden="1" customHeight="1" x14ac:dyDescent="0.2">
      <c r="A72" s="401"/>
      <c r="B72" s="403" t="str">
        <f>$B$10</f>
        <v>Competencias técnicas (Unidad de competencia)</v>
      </c>
      <c r="C72" s="327"/>
      <c r="D72" s="339" t="str">
        <f ca="1">OFFSET(Capacidades!$A$603,(ROW()-71)*10-1,11)</f>
        <v xml:space="preserve">       </v>
      </c>
      <c r="E72" s="339"/>
      <c r="F72" s="281"/>
      <c r="G72" s="276"/>
      <c r="H72" s="277"/>
      <c r="I72" s="277"/>
    </row>
    <row r="73" spans="1:10" ht="61.5" hidden="1" customHeight="1" x14ac:dyDescent="0.2">
      <c r="A73" s="401"/>
      <c r="B73" s="403"/>
      <c r="C73" s="327"/>
      <c r="D73" s="339" t="str">
        <f ca="1">OFFSET(Capacidades!$A$603,(ROW()-71)*10-1,11)</f>
        <v xml:space="preserve">       </v>
      </c>
      <c r="E73" s="339"/>
      <c r="F73" s="281"/>
      <c r="G73" s="276"/>
      <c r="H73" s="277"/>
      <c r="I73" s="277"/>
    </row>
    <row r="74" spans="1:10" ht="51" hidden="1" customHeight="1" x14ac:dyDescent="0.2">
      <c r="A74" s="401"/>
      <c r="B74" s="403"/>
      <c r="C74" s="327"/>
      <c r="D74" s="339" t="str">
        <f ca="1">OFFSET(Capacidades!$A$603,(ROW()-71)*10-1,11)</f>
        <v xml:space="preserve">       </v>
      </c>
      <c r="E74" s="339"/>
      <c r="F74" s="282"/>
      <c r="G74" s="276"/>
      <c r="H74" s="277"/>
      <c r="I74" s="277"/>
    </row>
    <row r="75" spans="1:10" ht="48.75" hidden="1" customHeight="1" x14ac:dyDescent="0.2">
      <c r="A75" s="401"/>
      <c r="B75" s="403"/>
      <c r="C75" s="327"/>
      <c r="D75" s="339" t="str">
        <f ca="1">OFFSET(Capacidades!$A$603,(ROW()-71)*10-1,11)</f>
        <v xml:space="preserve">       </v>
      </c>
      <c r="E75" s="339"/>
      <c r="F75" s="282"/>
      <c r="G75" s="276"/>
      <c r="H75" s="277"/>
      <c r="I75" s="277"/>
    </row>
    <row r="76" spans="1:10" hidden="1" x14ac:dyDescent="0.2">
      <c r="A76" s="399"/>
      <c r="B76" s="400"/>
      <c r="C76" s="343"/>
      <c r="D76" s="340" t="str">
        <f ca="1">OFFSET(Capacidades!$A$603,(ROW()-71)*10-1,11)</f>
        <v xml:space="preserve">       </v>
      </c>
      <c r="E76" s="340"/>
      <c r="F76" s="274"/>
      <c r="G76" s="270"/>
      <c r="H76" s="271"/>
      <c r="I76" s="272"/>
      <c r="J76" s="143">
        <f t="shared" ref="J76:J138" si="3">SUM(H76:I76)</f>
        <v>0</v>
      </c>
    </row>
    <row r="77" spans="1:10" hidden="1" x14ac:dyDescent="0.2">
      <c r="A77" s="396"/>
      <c r="B77" s="397"/>
      <c r="C77" s="331"/>
      <c r="D77" s="335" t="str">
        <f ca="1">OFFSET(Capacidades!$A$603,(ROW()-71)*10-1,11)</f>
        <v xml:space="preserve">       </v>
      </c>
      <c r="E77" s="335"/>
      <c r="F77" s="128"/>
      <c r="G77" s="59"/>
      <c r="H77" s="153"/>
      <c r="I77" s="154"/>
      <c r="J77" s="143">
        <f t="shared" si="3"/>
        <v>0</v>
      </c>
    </row>
    <row r="78" spans="1:10" hidden="1" x14ac:dyDescent="0.2">
      <c r="A78" s="396"/>
      <c r="B78" s="397"/>
      <c r="C78" s="331"/>
      <c r="D78" s="335" t="str">
        <f ca="1">OFFSET(Capacidades!$A$603,(ROW()-71)*10-1,11)</f>
        <v xml:space="preserve">       </v>
      </c>
      <c r="E78" s="335"/>
      <c r="F78" s="128"/>
      <c r="G78" s="59"/>
      <c r="H78" s="153"/>
      <c r="I78" s="154"/>
      <c r="J78" s="143">
        <f t="shared" si="3"/>
        <v>0</v>
      </c>
    </row>
    <row r="79" spans="1:10" hidden="1" x14ac:dyDescent="0.2">
      <c r="A79" s="396"/>
      <c r="B79" s="397"/>
      <c r="C79" s="331"/>
      <c r="D79" s="335" t="str">
        <f ca="1">OFFSET(Capacidades!$A$603,(ROW()-71)*10-1,11)</f>
        <v xml:space="preserve">       </v>
      </c>
      <c r="E79" s="335"/>
      <c r="F79" s="128"/>
      <c r="G79" s="59"/>
      <c r="H79" s="153"/>
      <c r="I79" s="154"/>
      <c r="J79" s="143">
        <f t="shared" si="3"/>
        <v>0</v>
      </c>
    </row>
    <row r="80" spans="1:10" hidden="1" x14ac:dyDescent="0.2">
      <c r="A80" s="396"/>
      <c r="B80" s="397"/>
      <c r="C80" s="331"/>
      <c r="D80" s="335" t="str">
        <f ca="1">OFFSET(Capacidades!$A$603,(ROW()-71)*10-1,11)</f>
        <v xml:space="preserve">       </v>
      </c>
      <c r="E80" s="335"/>
      <c r="F80" s="128"/>
      <c r="G80" s="59"/>
      <c r="H80" s="153"/>
      <c r="I80" s="154"/>
      <c r="J80" s="143">
        <f t="shared" si="3"/>
        <v>0</v>
      </c>
    </row>
    <row r="81" spans="1:10" hidden="1" x14ac:dyDescent="0.2">
      <c r="A81" s="396"/>
      <c r="B81" s="397"/>
      <c r="C81" s="331"/>
      <c r="D81" s="335" t="str">
        <f ca="1">OFFSET(Capacidades!$A$603,(ROW()-71)*10-1,11)</f>
        <v xml:space="preserve">       </v>
      </c>
      <c r="E81" s="335"/>
      <c r="F81" s="128"/>
      <c r="G81" s="59"/>
      <c r="H81" s="153"/>
      <c r="I81" s="154"/>
      <c r="J81" s="143">
        <f t="shared" si="3"/>
        <v>0</v>
      </c>
    </row>
    <row r="82" spans="1:10" hidden="1" x14ac:dyDescent="0.2">
      <c r="A82" s="396"/>
      <c r="B82" s="397"/>
      <c r="C82" s="331"/>
      <c r="D82" s="335" t="str">
        <f ca="1">OFFSET(Capacidades!$A$603,(ROW()-71)*10-1,11)</f>
        <v xml:space="preserve">       </v>
      </c>
      <c r="E82" s="335"/>
      <c r="F82" s="128"/>
      <c r="G82" s="59"/>
      <c r="H82" s="153"/>
      <c r="I82" s="154"/>
      <c r="J82" s="143">
        <f t="shared" si="3"/>
        <v>0</v>
      </c>
    </row>
    <row r="83" spans="1:10" hidden="1" x14ac:dyDescent="0.2">
      <c r="A83" s="396"/>
      <c r="B83" s="397"/>
      <c r="C83" s="331"/>
      <c r="D83" s="335" t="str">
        <f ca="1">OFFSET(Capacidades!$A$603,(ROW()-71)*10-1,11)</f>
        <v xml:space="preserve">       </v>
      </c>
      <c r="E83" s="335"/>
      <c r="F83" s="128"/>
      <c r="G83" s="59"/>
      <c r="H83" s="153"/>
      <c r="I83" s="154"/>
      <c r="J83" s="143">
        <f t="shared" si="3"/>
        <v>0</v>
      </c>
    </row>
    <row r="84" spans="1:10" hidden="1" x14ac:dyDescent="0.2">
      <c r="A84" s="396"/>
      <c r="B84" s="397"/>
      <c r="C84" s="331"/>
      <c r="D84" s="335" t="str">
        <f ca="1">OFFSET(Capacidades!$A$603,(ROW()-71)*10-1,11)</f>
        <v xml:space="preserve">       </v>
      </c>
      <c r="E84" s="335"/>
      <c r="F84" s="128"/>
      <c r="G84" s="59"/>
      <c r="H84" s="153"/>
      <c r="I84" s="154"/>
      <c r="J84" s="143">
        <f t="shared" si="3"/>
        <v>0</v>
      </c>
    </row>
    <row r="85" spans="1:10" hidden="1" x14ac:dyDescent="0.2">
      <c r="A85" s="396"/>
      <c r="B85" s="397"/>
      <c r="C85" s="331"/>
      <c r="D85" s="335" t="str">
        <f ca="1">OFFSET(Capacidades!$A$603,(ROW()-71)*10-1,11)</f>
        <v xml:space="preserve">       </v>
      </c>
      <c r="E85" s="335"/>
      <c r="F85" s="128"/>
      <c r="G85" s="59"/>
      <c r="H85" s="153"/>
      <c r="I85" s="154"/>
      <c r="J85" s="143">
        <f t="shared" si="3"/>
        <v>0</v>
      </c>
    </row>
    <row r="86" spans="1:10" hidden="1" x14ac:dyDescent="0.2">
      <c r="A86" s="396"/>
      <c r="B86" s="397"/>
      <c r="C86" s="331"/>
      <c r="D86" s="335" t="str">
        <f ca="1">OFFSET(Capacidades!$A$603,(ROW()-71)*10-1,11)</f>
        <v xml:space="preserve">       </v>
      </c>
      <c r="E86" s="335"/>
      <c r="F86" s="128"/>
      <c r="G86" s="59"/>
      <c r="H86" s="153"/>
      <c r="I86" s="154"/>
      <c r="J86" s="143">
        <f t="shared" si="3"/>
        <v>0</v>
      </c>
    </row>
    <row r="87" spans="1:10" hidden="1" x14ac:dyDescent="0.2">
      <c r="A87" s="396"/>
      <c r="B87" s="397"/>
      <c r="C87" s="331"/>
      <c r="D87" s="335" t="str">
        <f ca="1">OFFSET(Capacidades!$A$603,(ROW()-71)*10-1,11)</f>
        <v xml:space="preserve">       </v>
      </c>
      <c r="E87" s="335"/>
      <c r="F87" s="128"/>
      <c r="G87" s="59"/>
      <c r="H87" s="153"/>
      <c r="I87" s="154"/>
      <c r="J87" s="143">
        <f t="shared" si="3"/>
        <v>0</v>
      </c>
    </row>
    <row r="88" spans="1:10" hidden="1" x14ac:dyDescent="0.2">
      <c r="A88" s="396"/>
      <c r="B88" s="397"/>
      <c r="C88" s="331"/>
      <c r="D88" s="335" t="str">
        <f ca="1">OFFSET(Capacidades!$A$603,(ROW()-71)*10-1,11)</f>
        <v xml:space="preserve">       </v>
      </c>
      <c r="E88" s="335"/>
      <c r="F88" s="128"/>
      <c r="G88" s="59"/>
      <c r="H88" s="153"/>
      <c r="I88" s="154"/>
      <c r="J88" s="143">
        <f t="shared" si="3"/>
        <v>0</v>
      </c>
    </row>
    <row r="89" spans="1:10" hidden="1" x14ac:dyDescent="0.2">
      <c r="A89" s="396"/>
      <c r="B89" s="397"/>
      <c r="C89" s="331"/>
      <c r="D89" s="335" t="str">
        <f ca="1">OFFSET(Capacidades!$A$603,(ROW()-71)*10-1,11)</f>
        <v xml:space="preserve">       </v>
      </c>
      <c r="E89" s="335"/>
      <c r="F89" s="128"/>
      <c r="G89" s="59"/>
      <c r="H89" s="153"/>
      <c r="I89" s="154"/>
      <c r="J89" s="143">
        <f t="shared" si="3"/>
        <v>0</v>
      </c>
    </row>
    <row r="90" spans="1:10" hidden="1" x14ac:dyDescent="0.2">
      <c r="A90" s="396"/>
      <c r="B90" s="397"/>
      <c r="C90" s="331"/>
      <c r="D90" s="335" t="str">
        <f ca="1">OFFSET(Capacidades!$A$603,(ROW()-71)*10-1,11)</f>
        <v xml:space="preserve">       </v>
      </c>
      <c r="E90" s="335"/>
      <c r="F90" s="128"/>
      <c r="G90" s="59"/>
      <c r="H90" s="153"/>
      <c r="I90" s="154"/>
      <c r="J90" s="143">
        <f t="shared" si="3"/>
        <v>0</v>
      </c>
    </row>
    <row r="91" spans="1:10" hidden="1" x14ac:dyDescent="0.2">
      <c r="A91" s="402"/>
      <c r="B91" s="404"/>
      <c r="C91" s="342"/>
      <c r="D91" s="341" t="str">
        <f ca="1">OFFSET(Capacidades!$A$603,(ROW()-71)*10-1,11)</f>
        <v xml:space="preserve">       </v>
      </c>
      <c r="E91" s="341"/>
      <c r="F91" s="264"/>
      <c r="G91" s="265"/>
      <c r="H91" s="266"/>
      <c r="I91" s="267"/>
      <c r="J91" s="143">
        <f t="shared" si="3"/>
        <v>0</v>
      </c>
    </row>
    <row r="92" spans="1:10" ht="63" hidden="1" customHeight="1" x14ac:dyDescent="0.2">
      <c r="A92" s="401"/>
      <c r="B92" s="405" t="str">
        <f>$B$30</f>
        <v>Competencias para la empleabilidad</v>
      </c>
      <c r="C92" s="327"/>
      <c r="D92" s="339" t="str">
        <f ca="1">OFFSET(Capacidades!$A$603,(ROW()-71)*10-1,11)</f>
        <v xml:space="preserve">       </v>
      </c>
      <c r="E92" s="339"/>
      <c r="F92" s="281"/>
      <c r="G92" s="276"/>
      <c r="H92" s="277"/>
      <c r="I92" s="277"/>
      <c r="J92" s="170"/>
    </row>
    <row r="93" spans="1:10" ht="12.75" hidden="1" customHeight="1" x14ac:dyDescent="0.2">
      <c r="A93" s="399"/>
      <c r="B93" s="406"/>
      <c r="C93" s="343"/>
      <c r="D93" s="340" t="str">
        <f ca="1">OFFSET(Capacidades!$A$603,(ROW()-71)*10-1,11)</f>
        <v xml:space="preserve">       </v>
      </c>
      <c r="E93" s="340"/>
      <c r="F93" s="273"/>
      <c r="G93" s="270"/>
      <c r="H93" s="271"/>
      <c r="I93" s="272"/>
      <c r="J93" s="143">
        <f t="shared" si="3"/>
        <v>0</v>
      </c>
    </row>
    <row r="94" spans="1:10" ht="12.75" hidden="1" customHeight="1" x14ac:dyDescent="0.2">
      <c r="A94" s="396"/>
      <c r="B94" s="398"/>
      <c r="C94" s="331"/>
      <c r="D94" s="335" t="str">
        <f ca="1">OFFSET(Capacidades!$A$603,(ROW()-71)*10-1,11)</f>
        <v xml:space="preserve">       </v>
      </c>
      <c r="E94" s="335"/>
      <c r="F94" s="60"/>
      <c r="G94" s="59"/>
      <c r="H94" s="153"/>
      <c r="I94" s="154"/>
      <c r="J94" s="143">
        <f t="shared" si="3"/>
        <v>0</v>
      </c>
    </row>
    <row r="95" spans="1:10" ht="12.75" hidden="1" customHeight="1" x14ac:dyDescent="0.2">
      <c r="A95" s="396"/>
      <c r="B95" s="398"/>
      <c r="C95" s="331"/>
      <c r="D95" s="335" t="str">
        <f ca="1">OFFSET(Capacidades!$A$603,(ROW()-71)*10-1,11)</f>
        <v xml:space="preserve">       </v>
      </c>
      <c r="E95" s="335"/>
      <c r="F95" s="60"/>
      <c r="G95" s="59"/>
      <c r="H95" s="153"/>
      <c r="I95" s="154"/>
      <c r="J95" s="143">
        <f t="shared" si="3"/>
        <v>0</v>
      </c>
    </row>
    <row r="96" spans="1:10" ht="12.75" hidden="1" customHeight="1" x14ac:dyDescent="0.2">
      <c r="A96" s="396"/>
      <c r="B96" s="398"/>
      <c r="C96" s="331"/>
      <c r="D96" s="335" t="str">
        <f ca="1">OFFSET(Capacidades!$A$603,(ROW()-71)*10-1,11)</f>
        <v xml:space="preserve">       </v>
      </c>
      <c r="E96" s="335"/>
      <c r="F96" s="60"/>
      <c r="G96" s="59"/>
      <c r="H96" s="153"/>
      <c r="I96" s="154"/>
      <c r="J96" s="143">
        <f t="shared" si="3"/>
        <v>0</v>
      </c>
    </row>
    <row r="97" spans="1:10" ht="12.75" hidden="1" customHeight="1" x14ac:dyDescent="0.2">
      <c r="A97" s="396"/>
      <c r="B97" s="398"/>
      <c r="C97" s="331"/>
      <c r="D97" s="335" t="str">
        <f ca="1">OFFSET(Capacidades!$A$603,(ROW()-71)*10-1,11)</f>
        <v xml:space="preserve">       </v>
      </c>
      <c r="E97" s="335"/>
      <c r="F97" s="60"/>
      <c r="G97" s="59"/>
      <c r="H97" s="153"/>
      <c r="I97" s="154"/>
      <c r="J97" s="143">
        <f t="shared" si="3"/>
        <v>0</v>
      </c>
    </row>
    <row r="98" spans="1:10" ht="12.75" hidden="1" customHeight="1" x14ac:dyDescent="0.2">
      <c r="A98" s="396"/>
      <c r="B98" s="398"/>
      <c r="C98" s="331"/>
      <c r="D98" s="335" t="str">
        <f ca="1">OFFSET(Capacidades!$A$603,(ROW()-71)*10-1,11)</f>
        <v xml:space="preserve">       </v>
      </c>
      <c r="E98" s="335"/>
      <c r="F98" s="60"/>
      <c r="G98" s="59"/>
      <c r="H98" s="153"/>
      <c r="I98" s="154"/>
      <c r="J98" s="143">
        <f t="shared" si="3"/>
        <v>0</v>
      </c>
    </row>
    <row r="99" spans="1:10" ht="12.75" hidden="1" customHeight="1" x14ac:dyDescent="0.2">
      <c r="A99" s="396"/>
      <c r="B99" s="398"/>
      <c r="C99" s="331"/>
      <c r="D99" s="335" t="str">
        <f ca="1">OFFSET(Capacidades!$A$603,(ROW()-71)*10-1,11)</f>
        <v xml:space="preserve">       </v>
      </c>
      <c r="E99" s="335"/>
      <c r="F99" s="60"/>
      <c r="G99" s="59"/>
      <c r="H99" s="153"/>
      <c r="I99" s="154"/>
      <c r="J99" s="143">
        <f t="shared" si="3"/>
        <v>0</v>
      </c>
    </row>
    <row r="100" spans="1:10" ht="12.75" hidden="1" customHeight="1" x14ac:dyDescent="0.2">
      <c r="A100" s="396"/>
      <c r="B100" s="398"/>
      <c r="C100" s="331"/>
      <c r="D100" s="335" t="str">
        <f ca="1">OFFSET(Capacidades!$A$603,(ROW()-71)*10-1,11)</f>
        <v xml:space="preserve">       </v>
      </c>
      <c r="E100" s="335"/>
      <c r="F100" s="60"/>
      <c r="G100" s="59"/>
      <c r="H100" s="153"/>
      <c r="I100" s="154"/>
      <c r="J100" s="143">
        <f t="shared" si="3"/>
        <v>0</v>
      </c>
    </row>
    <row r="101" spans="1:10" ht="12.75" hidden="1" customHeight="1" x14ac:dyDescent="0.2">
      <c r="A101" s="402"/>
      <c r="B101" s="407"/>
      <c r="C101" s="342"/>
      <c r="D101" s="341" t="str">
        <f ca="1">OFFSET(Capacidades!$A$603,(ROW()-71)*10-1,11)</f>
        <v xml:space="preserve">       </v>
      </c>
      <c r="E101" s="341"/>
      <c r="F101" s="268"/>
      <c r="G101" s="265"/>
      <c r="H101" s="266"/>
      <c r="I101" s="267"/>
      <c r="J101" s="143">
        <f t="shared" si="3"/>
        <v>0</v>
      </c>
    </row>
    <row r="102" spans="1:10" ht="20.100000000000001" hidden="1" customHeight="1" x14ac:dyDescent="0.2">
      <c r="A102" s="401"/>
      <c r="B102" s="415" t="str">
        <f>$B$40</f>
        <v>Experiencias formativas en situaciones reales de trabajo (ESRT)</v>
      </c>
      <c r="C102" s="415"/>
      <c r="D102" s="415"/>
      <c r="E102" s="415"/>
      <c r="F102" s="279"/>
      <c r="G102" s="283"/>
      <c r="H102" s="277"/>
      <c r="I102" s="277"/>
    </row>
    <row r="103" spans="1:10" ht="36.75" hidden="1" customHeight="1" x14ac:dyDescent="0.2">
      <c r="A103" s="401" t="s">
        <v>159</v>
      </c>
      <c r="B103" s="403" t="str">
        <f>$B$10</f>
        <v>Competencias técnicas (Unidad de competencia)</v>
      </c>
      <c r="C103" s="327"/>
      <c r="D103" s="339" t="str">
        <f ca="1">OFFSET(Capacidades!$A$904,(ROW()-102)*10-1,11)</f>
        <v xml:space="preserve">       </v>
      </c>
      <c r="E103" s="339"/>
      <c r="F103" s="282"/>
      <c r="G103" s="276"/>
      <c r="H103" s="277"/>
      <c r="I103" s="277"/>
    </row>
    <row r="104" spans="1:10" ht="59.25" hidden="1" customHeight="1" x14ac:dyDescent="0.2">
      <c r="A104" s="401"/>
      <c r="B104" s="403"/>
      <c r="C104" s="327"/>
      <c r="D104" s="339" t="str">
        <f ca="1">OFFSET(Capacidades!$A$904,(ROW()-102)*10-1,11)</f>
        <v xml:space="preserve">       </v>
      </c>
      <c r="E104" s="339"/>
      <c r="F104" s="281"/>
      <c r="G104" s="276"/>
      <c r="H104" s="277"/>
      <c r="I104" s="277"/>
    </row>
    <row r="105" spans="1:10" ht="51" hidden="1" customHeight="1" x14ac:dyDescent="0.2">
      <c r="A105" s="401"/>
      <c r="B105" s="403"/>
      <c r="C105" s="327"/>
      <c r="D105" s="339" t="str">
        <f ca="1">OFFSET(Capacidades!$A$904,(ROW()-102)*10-1,11)</f>
        <v xml:space="preserve">       </v>
      </c>
      <c r="E105" s="339"/>
      <c r="F105" s="282"/>
      <c r="G105" s="276"/>
      <c r="H105" s="277"/>
      <c r="I105" s="277"/>
    </row>
    <row r="106" spans="1:10" hidden="1" x14ac:dyDescent="0.2">
      <c r="A106" s="399"/>
      <c r="B106" s="400"/>
      <c r="C106" s="343"/>
      <c r="D106" s="340" t="str">
        <f ca="1">OFFSET(Capacidades!$A$904,(ROW()-102)*10-1,11)</f>
        <v xml:space="preserve">       </v>
      </c>
      <c r="E106" s="340"/>
      <c r="F106" s="274"/>
      <c r="G106" s="270"/>
      <c r="H106" s="271"/>
      <c r="I106" s="272"/>
      <c r="J106" s="143">
        <f t="shared" si="3"/>
        <v>0</v>
      </c>
    </row>
    <row r="107" spans="1:10" hidden="1" x14ac:dyDescent="0.2">
      <c r="A107" s="396"/>
      <c r="B107" s="397"/>
      <c r="C107" s="331"/>
      <c r="D107" s="335" t="str">
        <f ca="1">OFFSET(Capacidades!$A$904,(ROW()-102)*10-1,11)</f>
        <v xml:space="preserve">       </v>
      </c>
      <c r="E107" s="335"/>
      <c r="F107" s="128"/>
      <c r="G107" s="59"/>
      <c r="H107" s="153"/>
      <c r="I107" s="154"/>
      <c r="J107" s="143">
        <f t="shared" si="3"/>
        <v>0</v>
      </c>
    </row>
    <row r="108" spans="1:10" hidden="1" x14ac:dyDescent="0.2">
      <c r="A108" s="396"/>
      <c r="B108" s="397"/>
      <c r="C108" s="331"/>
      <c r="D108" s="335" t="str">
        <f ca="1">OFFSET(Capacidades!$A$904,(ROW()-102)*10-1,11)</f>
        <v xml:space="preserve">       </v>
      </c>
      <c r="E108" s="335"/>
      <c r="F108" s="128"/>
      <c r="G108" s="59"/>
      <c r="H108" s="153"/>
      <c r="I108" s="154"/>
      <c r="J108" s="143">
        <f t="shared" si="3"/>
        <v>0</v>
      </c>
    </row>
    <row r="109" spans="1:10" hidden="1" x14ac:dyDescent="0.2">
      <c r="A109" s="396"/>
      <c r="B109" s="397"/>
      <c r="C109" s="331"/>
      <c r="D109" s="335" t="str">
        <f ca="1">OFFSET(Capacidades!$A$904,(ROW()-102)*10-1,11)</f>
        <v xml:space="preserve">       </v>
      </c>
      <c r="E109" s="335"/>
      <c r="F109" s="128"/>
      <c r="G109" s="59"/>
      <c r="H109" s="153"/>
      <c r="I109" s="154"/>
      <c r="J109" s="143">
        <f t="shared" si="3"/>
        <v>0</v>
      </c>
    </row>
    <row r="110" spans="1:10" hidden="1" x14ac:dyDescent="0.2">
      <c r="A110" s="396"/>
      <c r="B110" s="397"/>
      <c r="C110" s="331"/>
      <c r="D110" s="335" t="str">
        <f ca="1">OFFSET(Capacidades!$A$904,(ROW()-102)*10-1,11)</f>
        <v xml:space="preserve">       </v>
      </c>
      <c r="E110" s="335"/>
      <c r="F110" s="128"/>
      <c r="G110" s="59"/>
      <c r="H110" s="153"/>
      <c r="I110" s="154"/>
      <c r="J110" s="143">
        <f t="shared" si="3"/>
        <v>0</v>
      </c>
    </row>
    <row r="111" spans="1:10" hidden="1" x14ac:dyDescent="0.2">
      <c r="A111" s="396"/>
      <c r="B111" s="397"/>
      <c r="C111" s="331"/>
      <c r="D111" s="335" t="str">
        <f ca="1">OFFSET(Capacidades!$A$904,(ROW()-102)*10-1,11)</f>
        <v xml:space="preserve">       </v>
      </c>
      <c r="E111" s="335"/>
      <c r="F111" s="128"/>
      <c r="G111" s="59"/>
      <c r="H111" s="153"/>
      <c r="I111" s="154"/>
      <c r="J111" s="143">
        <f t="shared" si="3"/>
        <v>0</v>
      </c>
    </row>
    <row r="112" spans="1:10" hidden="1" x14ac:dyDescent="0.2">
      <c r="A112" s="396"/>
      <c r="B112" s="397"/>
      <c r="C112" s="331"/>
      <c r="D112" s="335" t="str">
        <f ca="1">OFFSET(Capacidades!$A$904,(ROW()-102)*10-1,11)</f>
        <v xml:space="preserve">       </v>
      </c>
      <c r="E112" s="335"/>
      <c r="F112" s="128"/>
      <c r="G112" s="59"/>
      <c r="H112" s="153"/>
      <c r="I112" s="154"/>
      <c r="J112" s="143">
        <f t="shared" si="3"/>
        <v>0</v>
      </c>
    </row>
    <row r="113" spans="1:10" hidden="1" x14ac:dyDescent="0.2">
      <c r="A113" s="396"/>
      <c r="B113" s="397"/>
      <c r="C113" s="331"/>
      <c r="D113" s="335" t="str">
        <f ca="1">OFFSET(Capacidades!$A$904,(ROW()-102)*10-1,11)</f>
        <v xml:space="preserve">       </v>
      </c>
      <c r="E113" s="335"/>
      <c r="F113" s="128"/>
      <c r="G113" s="59"/>
      <c r="H113" s="153"/>
      <c r="I113" s="154"/>
      <c r="J113" s="143">
        <f t="shared" si="3"/>
        <v>0</v>
      </c>
    </row>
    <row r="114" spans="1:10" hidden="1" x14ac:dyDescent="0.2">
      <c r="A114" s="396"/>
      <c r="B114" s="397"/>
      <c r="C114" s="331"/>
      <c r="D114" s="335" t="str">
        <f ca="1">OFFSET(Capacidades!$A$904,(ROW()-102)*10-1,11)</f>
        <v xml:space="preserve">       </v>
      </c>
      <c r="E114" s="335"/>
      <c r="F114" s="128"/>
      <c r="G114" s="59"/>
      <c r="H114" s="153"/>
      <c r="I114" s="154"/>
      <c r="J114" s="143">
        <f t="shared" si="3"/>
        <v>0</v>
      </c>
    </row>
    <row r="115" spans="1:10" hidden="1" x14ac:dyDescent="0.2">
      <c r="A115" s="396"/>
      <c r="B115" s="397"/>
      <c r="C115" s="331"/>
      <c r="D115" s="335" t="str">
        <f ca="1">OFFSET(Capacidades!$A$904,(ROW()-102)*10-1,11)</f>
        <v xml:space="preserve">       </v>
      </c>
      <c r="E115" s="335"/>
      <c r="F115" s="128"/>
      <c r="G115" s="59"/>
      <c r="H115" s="153"/>
      <c r="I115" s="154"/>
      <c r="J115" s="143">
        <f t="shared" si="3"/>
        <v>0</v>
      </c>
    </row>
    <row r="116" spans="1:10" hidden="1" x14ac:dyDescent="0.2">
      <c r="A116" s="396"/>
      <c r="B116" s="397"/>
      <c r="C116" s="331"/>
      <c r="D116" s="335" t="str">
        <f ca="1">OFFSET(Capacidades!$A$904,(ROW()-102)*10-1,11)</f>
        <v xml:space="preserve">       </v>
      </c>
      <c r="E116" s="335"/>
      <c r="F116" s="128"/>
      <c r="G116" s="59"/>
      <c r="H116" s="153"/>
      <c r="I116" s="154"/>
      <c r="J116" s="143">
        <f t="shared" si="3"/>
        <v>0</v>
      </c>
    </row>
    <row r="117" spans="1:10" hidden="1" x14ac:dyDescent="0.2">
      <c r="A117" s="396"/>
      <c r="B117" s="397"/>
      <c r="C117" s="331"/>
      <c r="D117" s="335" t="str">
        <f ca="1">OFFSET(Capacidades!$A$904,(ROW()-102)*10-1,11)</f>
        <v xml:space="preserve">       </v>
      </c>
      <c r="E117" s="335"/>
      <c r="F117" s="128"/>
      <c r="G117" s="59"/>
      <c r="H117" s="153"/>
      <c r="I117" s="154"/>
      <c r="J117" s="143">
        <f t="shared" si="3"/>
        <v>0</v>
      </c>
    </row>
    <row r="118" spans="1:10" hidden="1" x14ac:dyDescent="0.2">
      <c r="A118" s="396"/>
      <c r="B118" s="397"/>
      <c r="C118" s="331"/>
      <c r="D118" s="335" t="str">
        <f ca="1">OFFSET(Capacidades!$A$904,(ROW()-102)*10-1,11)</f>
        <v xml:space="preserve">       </v>
      </c>
      <c r="E118" s="335"/>
      <c r="F118" s="128"/>
      <c r="G118" s="59"/>
      <c r="H118" s="153"/>
      <c r="I118" s="154"/>
      <c r="J118" s="143">
        <f t="shared" si="3"/>
        <v>0</v>
      </c>
    </row>
    <row r="119" spans="1:10" hidden="1" x14ac:dyDescent="0.2">
      <c r="A119" s="396"/>
      <c r="B119" s="397"/>
      <c r="C119" s="331"/>
      <c r="D119" s="335" t="str">
        <f ca="1">OFFSET(Capacidades!$A$904,(ROW()-102)*10-1,11)</f>
        <v xml:space="preserve">       </v>
      </c>
      <c r="E119" s="335"/>
      <c r="F119" s="128"/>
      <c r="G119" s="59"/>
      <c r="H119" s="153"/>
      <c r="I119" s="154"/>
      <c r="J119" s="143">
        <f t="shared" si="3"/>
        <v>0</v>
      </c>
    </row>
    <row r="120" spans="1:10" hidden="1" x14ac:dyDescent="0.2">
      <c r="A120" s="396"/>
      <c r="B120" s="397"/>
      <c r="C120" s="331"/>
      <c r="D120" s="335" t="str">
        <f ca="1">OFFSET(Capacidades!$A$904,(ROW()-102)*10-1,11)</f>
        <v xml:space="preserve">       </v>
      </c>
      <c r="E120" s="335"/>
      <c r="F120" s="128"/>
      <c r="G120" s="59"/>
      <c r="H120" s="153"/>
      <c r="I120" s="154"/>
      <c r="J120" s="143">
        <f t="shared" si="3"/>
        <v>0</v>
      </c>
    </row>
    <row r="121" spans="1:10" hidden="1" x14ac:dyDescent="0.2">
      <c r="A121" s="396"/>
      <c r="B121" s="397"/>
      <c r="C121" s="331"/>
      <c r="D121" s="335" t="str">
        <f ca="1">OFFSET(Capacidades!$A$904,(ROW()-102)*10-1,11)</f>
        <v xml:space="preserve">       </v>
      </c>
      <c r="E121" s="335"/>
      <c r="F121" s="128"/>
      <c r="G121" s="59"/>
      <c r="H121" s="153"/>
      <c r="I121" s="154"/>
      <c r="J121" s="143">
        <f t="shared" si="3"/>
        <v>0</v>
      </c>
    </row>
    <row r="122" spans="1:10" hidden="1" x14ac:dyDescent="0.2">
      <c r="A122" s="402"/>
      <c r="B122" s="404"/>
      <c r="C122" s="342"/>
      <c r="D122" s="341" t="str">
        <f ca="1">OFFSET(Capacidades!$A$904,(ROW()-102)*10-1,11)</f>
        <v xml:space="preserve">       </v>
      </c>
      <c r="E122" s="341"/>
      <c r="F122" s="264"/>
      <c r="G122" s="265"/>
      <c r="H122" s="266"/>
      <c r="I122" s="267"/>
      <c r="J122" s="143">
        <f t="shared" si="3"/>
        <v>0</v>
      </c>
    </row>
    <row r="123" spans="1:10" ht="35.25" hidden="1" customHeight="1" x14ac:dyDescent="0.2">
      <c r="A123" s="401"/>
      <c r="B123" s="405" t="str">
        <f>$B$30</f>
        <v>Competencias para la empleabilidad</v>
      </c>
      <c r="C123" s="327"/>
      <c r="D123" s="339" t="str">
        <f ca="1">OFFSET(Capacidades!$A$904,(ROW()-102)*10-1,11)</f>
        <v xml:space="preserve">       </v>
      </c>
      <c r="E123" s="339"/>
      <c r="F123" s="281"/>
      <c r="G123" s="276"/>
      <c r="H123" s="277"/>
      <c r="I123" s="277"/>
    </row>
    <row r="124" spans="1:10" ht="12.75" hidden="1" customHeight="1" x14ac:dyDescent="0.2">
      <c r="A124" s="399"/>
      <c r="B124" s="406"/>
      <c r="C124" s="343"/>
      <c r="D124" s="340" t="str">
        <f ca="1">OFFSET(Capacidades!$A$904,(ROW()-102)*10-1,11)</f>
        <v xml:space="preserve">       </v>
      </c>
      <c r="E124" s="340"/>
      <c r="F124" s="273"/>
      <c r="G124" s="270"/>
      <c r="H124" s="271"/>
      <c r="I124" s="272"/>
      <c r="J124" s="143">
        <f t="shared" si="3"/>
        <v>0</v>
      </c>
    </row>
    <row r="125" spans="1:10" ht="12.75" hidden="1" customHeight="1" x14ac:dyDescent="0.2">
      <c r="A125" s="396"/>
      <c r="B125" s="398"/>
      <c r="C125" s="331"/>
      <c r="D125" s="335" t="str">
        <f ca="1">OFFSET(Capacidades!$A$904,(ROW()-102)*10-1,11)</f>
        <v xml:space="preserve">       </v>
      </c>
      <c r="E125" s="335"/>
      <c r="F125" s="60"/>
      <c r="G125" s="59"/>
      <c r="H125" s="153"/>
      <c r="I125" s="154"/>
      <c r="J125" s="143">
        <f t="shared" si="3"/>
        <v>0</v>
      </c>
    </row>
    <row r="126" spans="1:10" ht="12.75" hidden="1" customHeight="1" x14ac:dyDescent="0.2">
      <c r="A126" s="396"/>
      <c r="B126" s="398"/>
      <c r="C126" s="331"/>
      <c r="D126" s="335" t="str">
        <f ca="1">OFFSET(Capacidades!$A$904,(ROW()-102)*10-1,11)</f>
        <v xml:space="preserve">       </v>
      </c>
      <c r="E126" s="335"/>
      <c r="F126" s="60"/>
      <c r="G126" s="59"/>
      <c r="H126" s="153"/>
      <c r="I126" s="154"/>
      <c r="J126" s="143">
        <f t="shared" si="3"/>
        <v>0</v>
      </c>
    </row>
    <row r="127" spans="1:10" ht="12.75" hidden="1" customHeight="1" x14ac:dyDescent="0.2">
      <c r="A127" s="396"/>
      <c r="B127" s="398"/>
      <c r="C127" s="331"/>
      <c r="D127" s="335" t="str">
        <f ca="1">OFFSET(Capacidades!$A$904,(ROW()-102)*10-1,11)</f>
        <v xml:space="preserve">       </v>
      </c>
      <c r="E127" s="335"/>
      <c r="F127" s="60"/>
      <c r="G127" s="59"/>
      <c r="H127" s="153"/>
      <c r="I127" s="154"/>
      <c r="J127" s="143">
        <f t="shared" si="3"/>
        <v>0</v>
      </c>
    </row>
    <row r="128" spans="1:10" ht="12.75" hidden="1" customHeight="1" x14ac:dyDescent="0.2">
      <c r="A128" s="396"/>
      <c r="B128" s="398"/>
      <c r="C128" s="331"/>
      <c r="D128" s="335" t="str">
        <f ca="1">OFFSET(Capacidades!$A$904,(ROW()-102)*10-1,11)</f>
        <v xml:space="preserve">       </v>
      </c>
      <c r="E128" s="335"/>
      <c r="F128" s="60"/>
      <c r="G128" s="59"/>
      <c r="H128" s="153"/>
      <c r="I128" s="154"/>
      <c r="J128" s="143">
        <f t="shared" si="3"/>
        <v>0</v>
      </c>
    </row>
    <row r="129" spans="1:10" ht="12.75" hidden="1" customHeight="1" x14ac:dyDescent="0.2">
      <c r="A129" s="396"/>
      <c r="B129" s="398"/>
      <c r="C129" s="331"/>
      <c r="D129" s="335" t="str">
        <f ca="1">OFFSET(Capacidades!$A$904,(ROW()-102)*10-1,11)</f>
        <v xml:space="preserve">       </v>
      </c>
      <c r="E129" s="335"/>
      <c r="F129" s="60"/>
      <c r="G129" s="59"/>
      <c r="H129" s="153"/>
      <c r="I129" s="154"/>
      <c r="J129" s="143">
        <f t="shared" si="3"/>
        <v>0</v>
      </c>
    </row>
    <row r="130" spans="1:10" ht="12.75" hidden="1" customHeight="1" x14ac:dyDescent="0.2">
      <c r="A130" s="396"/>
      <c r="B130" s="398"/>
      <c r="C130" s="331"/>
      <c r="D130" s="335" t="str">
        <f ca="1">OFFSET(Capacidades!$A$904,(ROW()-102)*10-1,11)</f>
        <v xml:space="preserve">       </v>
      </c>
      <c r="E130" s="335"/>
      <c r="F130" s="60"/>
      <c r="G130" s="59"/>
      <c r="H130" s="153"/>
      <c r="I130" s="154"/>
      <c r="J130" s="143">
        <f t="shared" si="3"/>
        <v>0</v>
      </c>
    </row>
    <row r="131" spans="1:10" ht="12.75" hidden="1" customHeight="1" x14ac:dyDescent="0.2">
      <c r="A131" s="396"/>
      <c r="B131" s="398"/>
      <c r="C131" s="331"/>
      <c r="D131" s="335" t="str">
        <f ca="1">OFFSET(Capacidades!$A$904,(ROW()-102)*10-1,11)</f>
        <v xml:space="preserve">       </v>
      </c>
      <c r="E131" s="335"/>
      <c r="F131" s="60"/>
      <c r="G131" s="59"/>
      <c r="H131" s="153"/>
      <c r="I131" s="154"/>
      <c r="J131" s="143">
        <f t="shared" si="3"/>
        <v>0</v>
      </c>
    </row>
    <row r="132" spans="1:10" ht="12.75" hidden="1" customHeight="1" x14ac:dyDescent="0.2">
      <c r="A132" s="402"/>
      <c r="B132" s="407"/>
      <c r="C132" s="342"/>
      <c r="D132" s="341" t="str">
        <f ca="1">OFFSET(Capacidades!$A$904,(ROW()-102)*10-1,11)</f>
        <v xml:space="preserve">       </v>
      </c>
      <c r="E132" s="341"/>
      <c r="F132" s="268"/>
      <c r="G132" s="265"/>
      <c r="H132" s="266"/>
      <c r="I132" s="267"/>
      <c r="J132" s="143">
        <f t="shared" si="3"/>
        <v>0</v>
      </c>
    </row>
    <row r="133" spans="1:10" ht="20.100000000000001" hidden="1" customHeight="1" x14ac:dyDescent="0.2">
      <c r="A133" s="401"/>
      <c r="B133" s="415" t="str">
        <f>$B$40</f>
        <v>Experiencias formativas en situaciones reales de trabajo (ESRT)</v>
      </c>
      <c r="C133" s="415"/>
      <c r="D133" s="415"/>
      <c r="E133" s="415"/>
      <c r="F133" s="279"/>
      <c r="G133" s="283"/>
      <c r="H133" s="277"/>
      <c r="I133" s="277"/>
    </row>
    <row r="134" spans="1:10" ht="12.75" hidden="1" customHeight="1" x14ac:dyDescent="0.2">
      <c r="A134" s="399"/>
      <c r="B134" s="400" t="str">
        <f>$B$10</f>
        <v>Competencias técnicas (Unidad de competencia)</v>
      </c>
      <c r="C134" s="343"/>
      <c r="D134" s="340" t="str">
        <f ca="1">OFFSET(Capacidades!$A$1205,(ROW()-133)*10-1,11)</f>
        <v xml:space="preserve">       </v>
      </c>
      <c r="E134" s="340"/>
      <c r="F134" s="274"/>
      <c r="G134" s="270"/>
      <c r="H134" s="271"/>
      <c r="I134" s="272"/>
      <c r="J134" s="143">
        <f t="shared" si="3"/>
        <v>0</v>
      </c>
    </row>
    <row r="135" spans="1:10" hidden="1" x14ac:dyDescent="0.2">
      <c r="A135" s="396"/>
      <c r="B135" s="397"/>
      <c r="C135" s="331"/>
      <c r="D135" s="335" t="str">
        <f ca="1">OFFSET(Capacidades!$A$1205,(ROW()-133)*10-1,11)</f>
        <v xml:space="preserve">       </v>
      </c>
      <c r="E135" s="335"/>
      <c r="F135" s="128"/>
      <c r="G135" s="59"/>
      <c r="H135" s="153"/>
      <c r="I135" s="154"/>
      <c r="J135" s="143">
        <f t="shared" si="3"/>
        <v>0</v>
      </c>
    </row>
    <row r="136" spans="1:10" hidden="1" x14ac:dyDescent="0.2">
      <c r="A136" s="396"/>
      <c r="B136" s="397"/>
      <c r="C136" s="331"/>
      <c r="D136" s="335" t="str">
        <f ca="1">OFFSET(Capacidades!$A$1205,(ROW()-133)*10-1,11)</f>
        <v xml:space="preserve">       </v>
      </c>
      <c r="E136" s="335"/>
      <c r="F136" s="128"/>
      <c r="G136" s="59"/>
      <c r="H136" s="153"/>
      <c r="I136" s="154"/>
      <c r="J136" s="143">
        <f t="shared" si="3"/>
        <v>0</v>
      </c>
    </row>
    <row r="137" spans="1:10" hidden="1" x14ac:dyDescent="0.2">
      <c r="A137" s="396"/>
      <c r="B137" s="397"/>
      <c r="C137" s="331"/>
      <c r="D137" s="335" t="str">
        <f ca="1">OFFSET(Capacidades!$A$1205,(ROW()-133)*10-1,11)</f>
        <v xml:space="preserve">       </v>
      </c>
      <c r="E137" s="335"/>
      <c r="F137" s="128"/>
      <c r="G137" s="59"/>
      <c r="H137" s="153"/>
      <c r="I137" s="154"/>
      <c r="J137" s="143">
        <f t="shared" si="3"/>
        <v>0</v>
      </c>
    </row>
    <row r="138" spans="1:10" hidden="1" x14ac:dyDescent="0.2">
      <c r="A138" s="396"/>
      <c r="B138" s="397"/>
      <c r="C138" s="331"/>
      <c r="D138" s="335" t="str">
        <f ca="1">OFFSET(Capacidades!$A$1205,(ROW()-133)*10-1,11)</f>
        <v xml:space="preserve">       </v>
      </c>
      <c r="E138" s="335"/>
      <c r="F138" s="128"/>
      <c r="G138" s="59"/>
      <c r="H138" s="153"/>
      <c r="I138" s="154"/>
      <c r="J138" s="143">
        <f t="shared" si="3"/>
        <v>0</v>
      </c>
    </row>
    <row r="139" spans="1:10" hidden="1" x14ac:dyDescent="0.2">
      <c r="A139" s="396"/>
      <c r="B139" s="397"/>
      <c r="C139" s="331"/>
      <c r="D139" s="335" t="str">
        <f ca="1">OFFSET(Capacidades!$A$1205,(ROW()-133)*10-1,11)</f>
        <v xml:space="preserve">       </v>
      </c>
      <c r="E139" s="335"/>
      <c r="F139" s="128"/>
      <c r="G139" s="59"/>
      <c r="H139" s="153"/>
      <c r="I139" s="154"/>
      <c r="J139" s="143">
        <f t="shared" ref="J139:J195" si="4">SUM(H139:I139)</f>
        <v>0</v>
      </c>
    </row>
    <row r="140" spans="1:10" hidden="1" x14ac:dyDescent="0.2">
      <c r="A140" s="396"/>
      <c r="B140" s="397"/>
      <c r="C140" s="331"/>
      <c r="D140" s="335" t="str">
        <f ca="1">OFFSET(Capacidades!$A$1205,(ROW()-133)*10-1,11)</f>
        <v xml:space="preserve">       </v>
      </c>
      <c r="E140" s="335"/>
      <c r="F140" s="128"/>
      <c r="G140" s="59"/>
      <c r="H140" s="153"/>
      <c r="I140" s="154"/>
      <c r="J140" s="143">
        <f t="shared" si="4"/>
        <v>0</v>
      </c>
    </row>
    <row r="141" spans="1:10" hidden="1" x14ac:dyDescent="0.2">
      <c r="A141" s="396"/>
      <c r="B141" s="397"/>
      <c r="C141" s="331"/>
      <c r="D141" s="335" t="str">
        <f ca="1">OFFSET(Capacidades!$A$1205,(ROW()-133)*10-1,11)</f>
        <v xml:space="preserve">       </v>
      </c>
      <c r="E141" s="335"/>
      <c r="F141" s="128"/>
      <c r="G141" s="59"/>
      <c r="H141" s="153"/>
      <c r="I141" s="154"/>
      <c r="J141" s="143">
        <f t="shared" si="4"/>
        <v>0</v>
      </c>
    </row>
    <row r="142" spans="1:10" hidden="1" x14ac:dyDescent="0.2">
      <c r="A142" s="396"/>
      <c r="B142" s="397"/>
      <c r="C142" s="331"/>
      <c r="D142" s="335" t="str">
        <f ca="1">OFFSET(Capacidades!$A$1205,(ROW()-133)*10-1,11)</f>
        <v xml:space="preserve">       </v>
      </c>
      <c r="E142" s="335"/>
      <c r="F142" s="128"/>
      <c r="G142" s="59"/>
      <c r="H142" s="153"/>
      <c r="I142" s="154"/>
      <c r="J142" s="143">
        <f t="shared" si="4"/>
        <v>0</v>
      </c>
    </row>
    <row r="143" spans="1:10" hidden="1" x14ac:dyDescent="0.2">
      <c r="A143" s="396"/>
      <c r="B143" s="397"/>
      <c r="C143" s="331"/>
      <c r="D143" s="335" t="str">
        <f ca="1">OFFSET(Capacidades!$A$1205,(ROW()-133)*10-1,11)</f>
        <v xml:space="preserve">       </v>
      </c>
      <c r="E143" s="335"/>
      <c r="F143" s="128"/>
      <c r="G143" s="59"/>
      <c r="H143" s="153"/>
      <c r="I143" s="154"/>
      <c r="J143" s="143">
        <f t="shared" si="4"/>
        <v>0</v>
      </c>
    </row>
    <row r="144" spans="1:10" hidden="1" x14ac:dyDescent="0.2">
      <c r="A144" s="396"/>
      <c r="B144" s="397"/>
      <c r="C144" s="331"/>
      <c r="D144" s="335" t="str">
        <f ca="1">OFFSET(Capacidades!$A$1205,(ROW()-133)*10-1,11)</f>
        <v xml:space="preserve">       </v>
      </c>
      <c r="E144" s="335"/>
      <c r="F144" s="128"/>
      <c r="G144" s="59"/>
      <c r="H144" s="153"/>
      <c r="I144" s="154"/>
      <c r="J144" s="143">
        <f t="shared" si="4"/>
        <v>0</v>
      </c>
    </row>
    <row r="145" spans="1:10" hidden="1" x14ac:dyDescent="0.2">
      <c r="A145" s="396"/>
      <c r="B145" s="397"/>
      <c r="C145" s="331"/>
      <c r="D145" s="335" t="str">
        <f ca="1">OFFSET(Capacidades!$A$1205,(ROW()-133)*10-1,11)</f>
        <v xml:space="preserve">       </v>
      </c>
      <c r="E145" s="335"/>
      <c r="F145" s="128"/>
      <c r="G145" s="59"/>
      <c r="H145" s="153"/>
      <c r="I145" s="154"/>
      <c r="J145" s="143">
        <f t="shared" si="4"/>
        <v>0</v>
      </c>
    </row>
    <row r="146" spans="1:10" hidden="1" x14ac:dyDescent="0.2">
      <c r="A146" s="396"/>
      <c r="B146" s="397"/>
      <c r="C146" s="331"/>
      <c r="D146" s="335" t="str">
        <f ca="1">OFFSET(Capacidades!$A$1205,(ROW()-133)*10-1,11)</f>
        <v xml:space="preserve">       </v>
      </c>
      <c r="E146" s="335"/>
      <c r="F146" s="128"/>
      <c r="G146" s="59"/>
      <c r="H146" s="153"/>
      <c r="I146" s="154"/>
      <c r="J146" s="143">
        <f t="shared" si="4"/>
        <v>0</v>
      </c>
    </row>
    <row r="147" spans="1:10" hidden="1" x14ac:dyDescent="0.2">
      <c r="A147" s="396"/>
      <c r="B147" s="397"/>
      <c r="C147" s="331"/>
      <c r="D147" s="335" t="str">
        <f ca="1">OFFSET(Capacidades!$A$1205,(ROW()-133)*10-1,11)</f>
        <v xml:space="preserve">       </v>
      </c>
      <c r="E147" s="335"/>
      <c r="F147" s="128"/>
      <c r="G147" s="59"/>
      <c r="H147" s="153"/>
      <c r="I147" s="154"/>
      <c r="J147" s="143">
        <f t="shared" si="4"/>
        <v>0</v>
      </c>
    </row>
    <row r="148" spans="1:10" hidden="1" x14ac:dyDescent="0.2">
      <c r="A148" s="396"/>
      <c r="B148" s="397"/>
      <c r="C148" s="331"/>
      <c r="D148" s="335" t="str">
        <f ca="1">OFFSET(Capacidades!$A$1205,(ROW()-133)*10-1,11)</f>
        <v xml:space="preserve">       </v>
      </c>
      <c r="E148" s="335"/>
      <c r="F148" s="128"/>
      <c r="G148" s="59"/>
      <c r="H148" s="153"/>
      <c r="I148" s="154"/>
      <c r="J148" s="143">
        <f t="shared" si="4"/>
        <v>0</v>
      </c>
    </row>
    <row r="149" spans="1:10" hidden="1" x14ac:dyDescent="0.2">
      <c r="A149" s="396"/>
      <c r="B149" s="397"/>
      <c r="C149" s="331"/>
      <c r="D149" s="335" t="str">
        <f ca="1">OFFSET(Capacidades!$A$1205,(ROW()-133)*10-1,11)</f>
        <v xml:space="preserve">       </v>
      </c>
      <c r="E149" s="335"/>
      <c r="F149" s="128"/>
      <c r="G149" s="59"/>
      <c r="H149" s="153"/>
      <c r="I149" s="154"/>
      <c r="J149" s="143">
        <f t="shared" si="4"/>
        <v>0</v>
      </c>
    </row>
    <row r="150" spans="1:10" hidden="1" x14ac:dyDescent="0.2">
      <c r="A150" s="396"/>
      <c r="B150" s="397"/>
      <c r="C150" s="331"/>
      <c r="D150" s="335" t="str">
        <f ca="1">OFFSET(Capacidades!$A$1205,(ROW()-133)*10-1,11)</f>
        <v xml:space="preserve">       </v>
      </c>
      <c r="E150" s="335"/>
      <c r="F150" s="128"/>
      <c r="G150" s="59"/>
      <c r="H150" s="153"/>
      <c r="I150" s="154"/>
      <c r="J150" s="143">
        <f t="shared" si="4"/>
        <v>0</v>
      </c>
    </row>
    <row r="151" spans="1:10" hidden="1" x14ac:dyDescent="0.2">
      <c r="A151" s="396"/>
      <c r="B151" s="397"/>
      <c r="C151" s="331"/>
      <c r="D151" s="335" t="str">
        <f ca="1">OFFSET(Capacidades!$A$1205,(ROW()-133)*10-1,11)</f>
        <v xml:space="preserve">       </v>
      </c>
      <c r="E151" s="335"/>
      <c r="F151" s="128"/>
      <c r="G151" s="59"/>
      <c r="H151" s="153"/>
      <c r="I151" s="154"/>
      <c r="J151" s="143">
        <f t="shared" si="4"/>
        <v>0</v>
      </c>
    </row>
    <row r="152" spans="1:10" hidden="1" x14ac:dyDescent="0.2">
      <c r="A152" s="396"/>
      <c r="B152" s="397"/>
      <c r="C152" s="331"/>
      <c r="D152" s="335" t="str">
        <f ca="1">OFFSET(Capacidades!$A$1205,(ROW()-133)*10-1,11)</f>
        <v xml:space="preserve">       </v>
      </c>
      <c r="E152" s="335"/>
      <c r="F152" s="128"/>
      <c r="G152" s="59"/>
      <c r="H152" s="153"/>
      <c r="I152" s="154"/>
      <c r="J152" s="143">
        <f t="shared" si="4"/>
        <v>0</v>
      </c>
    </row>
    <row r="153" spans="1:10" hidden="1" x14ac:dyDescent="0.2">
      <c r="A153" s="396"/>
      <c r="B153" s="397"/>
      <c r="C153" s="331"/>
      <c r="D153" s="335" t="str">
        <f ca="1">OFFSET(Capacidades!$A$1205,(ROW()-133)*10-1,11)</f>
        <v xml:space="preserve">       </v>
      </c>
      <c r="E153" s="335"/>
      <c r="F153" s="128"/>
      <c r="G153" s="59"/>
      <c r="H153" s="153"/>
      <c r="I153" s="154"/>
      <c r="J153" s="143">
        <f t="shared" si="4"/>
        <v>0</v>
      </c>
    </row>
    <row r="154" spans="1:10" ht="12.75" hidden="1" customHeight="1" x14ac:dyDescent="0.2">
      <c r="A154" s="396"/>
      <c r="B154" s="398" t="str">
        <f>$B$30</f>
        <v>Competencias para la empleabilidad</v>
      </c>
      <c r="C154" s="331"/>
      <c r="D154" s="335" t="str">
        <f ca="1">OFFSET(Capacidades!$A$1205,(ROW()-133)*10-1,11)</f>
        <v xml:space="preserve">       </v>
      </c>
      <c r="E154" s="335"/>
      <c r="F154" s="60"/>
      <c r="G154" s="59"/>
      <c r="H154" s="153"/>
      <c r="I154" s="154"/>
      <c r="J154" s="143">
        <f t="shared" si="4"/>
        <v>0</v>
      </c>
    </row>
    <row r="155" spans="1:10" ht="12.75" hidden="1" customHeight="1" x14ac:dyDescent="0.2">
      <c r="A155" s="396"/>
      <c r="B155" s="398"/>
      <c r="C155" s="331"/>
      <c r="D155" s="335" t="str">
        <f ca="1">OFFSET(Capacidades!$A$1205,(ROW()-133)*10-1,11)</f>
        <v xml:space="preserve">       </v>
      </c>
      <c r="E155" s="335"/>
      <c r="F155" s="60"/>
      <c r="G155" s="59"/>
      <c r="H155" s="153"/>
      <c r="I155" s="154"/>
      <c r="J155" s="143">
        <f t="shared" si="4"/>
        <v>0</v>
      </c>
    </row>
    <row r="156" spans="1:10" ht="12.75" hidden="1" customHeight="1" x14ac:dyDescent="0.2">
      <c r="A156" s="396"/>
      <c r="B156" s="398"/>
      <c r="C156" s="331"/>
      <c r="D156" s="335" t="str">
        <f ca="1">OFFSET(Capacidades!$A$1205,(ROW()-133)*10-1,11)</f>
        <v xml:space="preserve">       </v>
      </c>
      <c r="E156" s="335"/>
      <c r="F156" s="60"/>
      <c r="G156" s="59"/>
      <c r="H156" s="153"/>
      <c r="I156" s="154"/>
      <c r="J156" s="143">
        <f t="shared" si="4"/>
        <v>0</v>
      </c>
    </row>
    <row r="157" spans="1:10" ht="12.75" hidden="1" customHeight="1" x14ac:dyDescent="0.2">
      <c r="A157" s="396"/>
      <c r="B157" s="398"/>
      <c r="C157" s="331"/>
      <c r="D157" s="335" t="str">
        <f ca="1">OFFSET(Capacidades!$A$1205,(ROW()-133)*10-1,11)</f>
        <v xml:space="preserve">       </v>
      </c>
      <c r="E157" s="335"/>
      <c r="F157" s="60"/>
      <c r="G157" s="59"/>
      <c r="H157" s="153"/>
      <c r="I157" s="154"/>
      <c r="J157" s="143">
        <f t="shared" si="4"/>
        <v>0</v>
      </c>
    </row>
    <row r="158" spans="1:10" ht="12.75" hidden="1" customHeight="1" x14ac:dyDescent="0.2">
      <c r="A158" s="396"/>
      <c r="B158" s="398"/>
      <c r="C158" s="331"/>
      <c r="D158" s="335" t="str">
        <f ca="1">OFFSET(Capacidades!$A$1205,(ROW()-133)*10-1,11)</f>
        <v xml:space="preserve">       </v>
      </c>
      <c r="E158" s="335"/>
      <c r="F158" s="60"/>
      <c r="G158" s="59"/>
      <c r="H158" s="153"/>
      <c r="I158" s="154"/>
      <c r="J158" s="143">
        <f t="shared" si="4"/>
        <v>0</v>
      </c>
    </row>
    <row r="159" spans="1:10" ht="12.75" hidden="1" customHeight="1" x14ac:dyDescent="0.2">
      <c r="A159" s="396"/>
      <c r="B159" s="398"/>
      <c r="C159" s="331"/>
      <c r="D159" s="335" t="str">
        <f ca="1">OFFSET(Capacidades!$A$1205,(ROW()-133)*10-1,11)</f>
        <v xml:space="preserve">       </v>
      </c>
      <c r="E159" s="335"/>
      <c r="F159" s="60"/>
      <c r="G159" s="59"/>
      <c r="H159" s="153"/>
      <c r="I159" s="154"/>
      <c r="J159" s="143">
        <f t="shared" si="4"/>
        <v>0</v>
      </c>
    </row>
    <row r="160" spans="1:10" ht="12.75" hidden="1" customHeight="1" x14ac:dyDescent="0.2">
      <c r="A160" s="396"/>
      <c r="B160" s="398"/>
      <c r="C160" s="331"/>
      <c r="D160" s="335" t="str">
        <f ca="1">OFFSET(Capacidades!$A$1205,(ROW()-133)*10-1,11)</f>
        <v xml:space="preserve">       </v>
      </c>
      <c r="E160" s="335"/>
      <c r="F160" s="60"/>
      <c r="G160" s="59"/>
      <c r="H160" s="153"/>
      <c r="I160" s="154"/>
      <c r="J160" s="143">
        <f t="shared" si="4"/>
        <v>0</v>
      </c>
    </row>
    <row r="161" spans="1:10" ht="12.75" hidden="1" customHeight="1" x14ac:dyDescent="0.2">
      <c r="A161" s="396"/>
      <c r="B161" s="398"/>
      <c r="C161" s="331"/>
      <c r="D161" s="335" t="str">
        <f ca="1">OFFSET(Capacidades!$A$1205,(ROW()-133)*10-1,11)</f>
        <v xml:space="preserve">       </v>
      </c>
      <c r="E161" s="335"/>
      <c r="F161" s="60"/>
      <c r="G161" s="59"/>
      <c r="H161" s="153"/>
      <c r="I161" s="154"/>
      <c r="J161" s="143">
        <f t="shared" si="4"/>
        <v>0</v>
      </c>
    </row>
    <row r="162" spans="1:10" ht="12.75" hidden="1" customHeight="1" x14ac:dyDescent="0.2">
      <c r="A162" s="396"/>
      <c r="B162" s="398"/>
      <c r="C162" s="331"/>
      <c r="D162" s="335" t="str">
        <f ca="1">OFFSET(Capacidades!$A$1205,(ROW()-133)*10-1,11)</f>
        <v xml:space="preserve">       </v>
      </c>
      <c r="E162" s="335"/>
      <c r="F162" s="60"/>
      <c r="G162" s="59"/>
      <c r="H162" s="153"/>
      <c r="I162" s="154"/>
      <c r="J162" s="143">
        <f t="shared" si="4"/>
        <v>0</v>
      </c>
    </row>
    <row r="163" spans="1:10" ht="12.75" hidden="1" customHeight="1" x14ac:dyDescent="0.2">
      <c r="A163" s="396"/>
      <c r="B163" s="398"/>
      <c r="C163" s="331"/>
      <c r="D163" s="335" t="str">
        <f ca="1">OFFSET(Capacidades!$A$1205,(ROW()-133)*10-1,11)</f>
        <v xml:space="preserve">       </v>
      </c>
      <c r="E163" s="335"/>
      <c r="F163" s="60"/>
      <c r="G163" s="59"/>
      <c r="H163" s="153"/>
      <c r="I163" s="154"/>
      <c r="J163" s="143">
        <f t="shared" si="4"/>
        <v>0</v>
      </c>
    </row>
    <row r="164" spans="1:10" ht="20.100000000000001" hidden="1" customHeight="1" x14ac:dyDescent="0.2">
      <c r="A164" s="396"/>
      <c r="B164" s="420" t="str">
        <f>$B$40</f>
        <v>Experiencias formativas en situaciones reales de trabajo (ESRT)</v>
      </c>
      <c r="C164" s="421"/>
      <c r="D164" s="421"/>
      <c r="E164" s="421"/>
      <c r="F164" s="166"/>
      <c r="G164" s="167"/>
      <c r="H164" s="153"/>
      <c r="I164" s="154"/>
      <c r="J164" s="143">
        <f t="shared" si="4"/>
        <v>0</v>
      </c>
    </row>
    <row r="165" spans="1:10" ht="12.75" hidden="1" customHeight="1" x14ac:dyDescent="0.2">
      <c r="A165" s="396"/>
      <c r="B165" s="397" t="str">
        <f>$B$10</f>
        <v>Competencias técnicas (Unidad de competencia)</v>
      </c>
      <c r="C165" s="331"/>
      <c r="D165" s="335" t="str">
        <f ca="1">OFFSET(Capacidades!$A$1506,(ROW()-164)*10-1,11)</f>
        <v xml:space="preserve">       </v>
      </c>
      <c r="E165" s="335"/>
      <c r="F165" s="128"/>
      <c r="G165" s="59"/>
      <c r="H165" s="153"/>
      <c r="I165" s="154"/>
      <c r="J165" s="143">
        <f t="shared" si="4"/>
        <v>0</v>
      </c>
    </row>
    <row r="166" spans="1:10" hidden="1" x14ac:dyDescent="0.2">
      <c r="A166" s="396"/>
      <c r="B166" s="397"/>
      <c r="C166" s="331"/>
      <c r="D166" s="335" t="str">
        <f ca="1">OFFSET(Capacidades!$A$1506,(ROW()-164)*10-1,11)</f>
        <v xml:space="preserve">       </v>
      </c>
      <c r="E166" s="335"/>
      <c r="F166" s="128"/>
      <c r="G166" s="59"/>
      <c r="H166" s="153"/>
      <c r="I166" s="154"/>
      <c r="J166" s="143">
        <f t="shared" si="4"/>
        <v>0</v>
      </c>
    </row>
    <row r="167" spans="1:10" hidden="1" x14ac:dyDescent="0.2">
      <c r="A167" s="396"/>
      <c r="B167" s="397"/>
      <c r="C167" s="331"/>
      <c r="D167" s="335" t="str">
        <f ca="1">OFFSET(Capacidades!$A$1506,(ROW()-164)*10-1,11)</f>
        <v xml:space="preserve">       </v>
      </c>
      <c r="E167" s="335"/>
      <c r="F167" s="128"/>
      <c r="G167" s="59"/>
      <c r="H167" s="153"/>
      <c r="I167" s="154"/>
      <c r="J167" s="143">
        <f t="shared" si="4"/>
        <v>0</v>
      </c>
    </row>
    <row r="168" spans="1:10" hidden="1" x14ac:dyDescent="0.2">
      <c r="A168" s="396"/>
      <c r="B168" s="397"/>
      <c r="C168" s="331"/>
      <c r="D168" s="335" t="str">
        <f ca="1">OFFSET(Capacidades!$A$1506,(ROW()-164)*10-1,11)</f>
        <v xml:space="preserve">       </v>
      </c>
      <c r="E168" s="335"/>
      <c r="F168" s="128"/>
      <c r="G168" s="59"/>
      <c r="H168" s="153"/>
      <c r="I168" s="154"/>
      <c r="J168" s="143">
        <f t="shared" si="4"/>
        <v>0</v>
      </c>
    </row>
    <row r="169" spans="1:10" hidden="1" x14ac:dyDescent="0.2">
      <c r="A169" s="396"/>
      <c r="B169" s="397"/>
      <c r="C169" s="331"/>
      <c r="D169" s="335" t="str">
        <f ca="1">OFFSET(Capacidades!$A$1506,(ROW()-164)*10-1,11)</f>
        <v xml:space="preserve">       </v>
      </c>
      <c r="E169" s="335"/>
      <c r="F169" s="128"/>
      <c r="G169" s="59"/>
      <c r="H169" s="153"/>
      <c r="I169" s="154"/>
      <c r="J169" s="143">
        <f t="shared" si="4"/>
        <v>0</v>
      </c>
    </row>
    <row r="170" spans="1:10" hidden="1" x14ac:dyDescent="0.2">
      <c r="A170" s="396"/>
      <c r="B170" s="397"/>
      <c r="C170" s="331"/>
      <c r="D170" s="335" t="str">
        <f ca="1">OFFSET(Capacidades!$A$1506,(ROW()-164)*10-1,11)</f>
        <v xml:space="preserve">       </v>
      </c>
      <c r="E170" s="335"/>
      <c r="F170" s="128"/>
      <c r="G170" s="59"/>
      <c r="H170" s="153"/>
      <c r="I170" s="154"/>
      <c r="J170" s="143">
        <f t="shared" si="4"/>
        <v>0</v>
      </c>
    </row>
    <row r="171" spans="1:10" hidden="1" x14ac:dyDescent="0.2">
      <c r="A171" s="396"/>
      <c r="B171" s="397"/>
      <c r="C171" s="331"/>
      <c r="D171" s="335" t="str">
        <f ca="1">OFFSET(Capacidades!$A$1506,(ROW()-164)*10-1,11)</f>
        <v xml:space="preserve">       </v>
      </c>
      <c r="E171" s="335"/>
      <c r="F171" s="128"/>
      <c r="G171" s="59"/>
      <c r="H171" s="153"/>
      <c r="I171" s="154"/>
      <c r="J171" s="143">
        <f t="shared" si="4"/>
        <v>0</v>
      </c>
    </row>
    <row r="172" spans="1:10" hidden="1" x14ac:dyDescent="0.2">
      <c r="A172" s="396"/>
      <c r="B172" s="397"/>
      <c r="C172" s="331"/>
      <c r="D172" s="335" t="str">
        <f ca="1">OFFSET(Capacidades!$A$1506,(ROW()-164)*10-1,11)</f>
        <v xml:space="preserve">       </v>
      </c>
      <c r="E172" s="335"/>
      <c r="F172" s="128"/>
      <c r="G172" s="59"/>
      <c r="H172" s="153"/>
      <c r="I172" s="154"/>
      <c r="J172" s="143">
        <f t="shared" si="4"/>
        <v>0</v>
      </c>
    </row>
    <row r="173" spans="1:10" hidden="1" x14ac:dyDescent="0.2">
      <c r="A173" s="396"/>
      <c r="B173" s="397"/>
      <c r="C173" s="331"/>
      <c r="D173" s="335" t="str">
        <f ca="1">OFFSET(Capacidades!$A$1506,(ROW()-164)*10-1,11)</f>
        <v xml:space="preserve">       </v>
      </c>
      <c r="E173" s="335"/>
      <c r="F173" s="128"/>
      <c r="G173" s="59"/>
      <c r="H173" s="153"/>
      <c r="I173" s="154"/>
      <c r="J173" s="143">
        <f t="shared" si="4"/>
        <v>0</v>
      </c>
    </row>
    <row r="174" spans="1:10" hidden="1" x14ac:dyDescent="0.2">
      <c r="A174" s="396"/>
      <c r="B174" s="397"/>
      <c r="C174" s="331"/>
      <c r="D174" s="335" t="str">
        <f ca="1">OFFSET(Capacidades!$A$1506,(ROW()-164)*10-1,11)</f>
        <v xml:space="preserve">       </v>
      </c>
      <c r="E174" s="335"/>
      <c r="F174" s="128"/>
      <c r="G174" s="59"/>
      <c r="H174" s="153"/>
      <c r="I174" s="154"/>
      <c r="J174" s="143">
        <f t="shared" si="4"/>
        <v>0</v>
      </c>
    </row>
    <row r="175" spans="1:10" hidden="1" x14ac:dyDescent="0.2">
      <c r="A175" s="396"/>
      <c r="B175" s="397"/>
      <c r="C175" s="331"/>
      <c r="D175" s="335" t="str">
        <f ca="1">OFFSET(Capacidades!$A$1506,(ROW()-164)*10-1,11)</f>
        <v xml:space="preserve">       </v>
      </c>
      <c r="E175" s="335"/>
      <c r="F175" s="128"/>
      <c r="G175" s="59"/>
      <c r="H175" s="153"/>
      <c r="I175" s="154"/>
      <c r="J175" s="143">
        <f t="shared" si="4"/>
        <v>0</v>
      </c>
    </row>
    <row r="176" spans="1:10" hidden="1" x14ac:dyDescent="0.2">
      <c r="A176" s="396"/>
      <c r="B176" s="397"/>
      <c r="C176" s="331"/>
      <c r="D176" s="335" t="str">
        <f ca="1">OFFSET(Capacidades!$A$1506,(ROW()-164)*10-1,11)</f>
        <v xml:space="preserve">       </v>
      </c>
      <c r="E176" s="335"/>
      <c r="F176" s="128"/>
      <c r="G176" s="59"/>
      <c r="H176" s="153"/>
      <c r="I176" s="154"/>
      <c r="J176" s="143">
        <f t="shared" si="4"/>
        <v>0</v>
      </c>
    </row>
    <row r="177" spans="1:10" hidden="1" x14ac:dyDescent="0.2">
      <c r="A177" s="396"/>
      <c r="B177" s="397"/>
      <c r="C177" s="331"/>
      <c r="D177" s="335" t="str">
        <f ca="1">OFFSET(Capacidades!$A$1506,(ROW()-164)*10-1,11)</f>
        <v xml:space="preserve">       </v>
      </c>
      <c r="E177" s="335"/>
      <c r="F177" s="128"/>
      <c r="G177" s="59"/>
      <c r="H177" s="153"/>
      <c r="I177" s="154"/>
      <c r="J177" s="143">
        <f t="shared" si="4"/>
        <v>0</v>
      </c>
    </row>
    <row r="178" spans="1:10" hidden="1" x14ac:dyDescent="0.2">
      <c r="A178" s="396"/>
      <c r="B178" s="397"/>
      <c r="C178" s="331"/>
      <c r="D178" s="335" t="str">
        <f ca="1">OFFSET(Capacidades!$A$1506,(ROW()-164)*10-1,11)</f>
        <v xml:space="preserve">       </v>
      </c>
      <c r="E178" s="335"/>
      <c r="F178" s="128"/>
      <c r="G178" s="59"/>
      <c r="H178" s="153"/>
      <c r="I178" s="154"/>
      <c r="J178" s="143">
        <f t="shared" si="4"/>
        <v>0</v>
      </c>
    </row>
    <row r="179" spans="1:10" hidden="1" x14ac:dyDescent="0.2">
      <c r="A179" s="396"/>
      <c r="B179" s="397"/>
      <c r="C179" s="331"/>
      <c r="D179" s="335" t="str">
        <f ca="1">OFFSET(Capacidades!$A$1506,(ROW()-164)*10-1,11)</f>
        <v xml:space="preserve">       </v>
      </c>
      <c r="E179" s="335"/>
      <c r="F179" s="128"/>
      <c r="G179" s="59"/>
      <c r="H179" s="153"/>
      <c r="I179" s="154"/>
      <c r="J179" s="143">
        <f t="shared" si="4"/>
        <v>0</v>
      </c>
    </row>
    <row r="180" spans="1:10" hidden="1" x14ac:dyDescent="0.2">
      <c r="A180" s="396"/>
      <c r="B180" s="397"/>
      <c r="C180" s="331"/>
      <c r="D180" s="335" t="str">
        <f ca="1">OFFSET(Capacidades!$A$1506,(ROW()-164)*10-1,11)</f>
        <v xml:space="preserve">       </v>
      </c>
      <c r="E180" s="335"/>
      <c r="F180" s="128"/>
      <c r="G180" s="59"/>
      <c r="H180" s="153"/>
      <c r="I180" s="154"/>
      <c r="J180" s="143">
        <f t="shared" si="4"/>
        <v>0</v>
      </c>
    </row>
    <row r="181" spans="1:10" hidden="1" x14ac:dyDescent="0.2">
      <c r="A181" s="396"/>
      <c r="B181" s="397"/>
      <c r="C181" s="331"/>
      <c r="D181" s="335" t="str">
        <f ca="1">OFFSET(Capacidades!$A$1506,(ROW()-164)*10-1,11)</f>
        <v xml:space="preserve">       </v>
      </c>
      <c r="E181" s="335"/>
      <c r="F181" s="128"/>
      <c r="G181" s="59"/>
      <c r="H181" s="153"/>
      <c r="I181" s="154"/>
      <c r="J181" s="143">
        <f t="shared" si="4"/>
        <v>0</v>
      </c>
    </row>
    <row r="182" spans="1:10" hidden="1" x14ac:dyDescent="0.2">
      <c r="A182" s="396"/>
      <c r="B182" s="397"/>
      <c r="C182" s="331"/>
      <c r="D182" s="335" t="str">
        <f ca="1">OFFSET(Capacidades!$A$1506,(ROW()-164)*10-1,11)</f>
        <v xml:space="preserve">       </v>
      </c>
      <c r="E182" s="335"/>
      <c r="F182" s="128"/>
      <c r="G182" s="59"/>
      <c r="H182" s="153"/>
      <c r="I182" s="154"/>
      <c r="J182" s="143">
        <f t="shared" si="4"/>
        <v>0</v>
      </c>
    </row>
    <row r="183" spans="1:10" hidden="1" x14ac:dyDescent="0.2">
      <c r="A183" s="396"/>
      <c r="B183" s="397"/>
      <c r="C183" s="331"/>
      <c r="D183" s="335" t="str">
        <f ca="1">OFFSET(Capacidades!$A$1506,(ROW()-164)*10-1,11)</f>
        <v xml:space="preserve">       </v>
      </c>
      <c r="E183" s="335"/>
      <c r="F183" s="128"/>
      <c r="G183" s="59"/>
      <c r="H183" s="153"/>
      <c r="I183" s="154"/>
      <c r="J183" s="143">
        <f t="shared" si="4"/>
        <v>0</v>
      </c>
    </row>
    <row r="184" spans="1:10" hidden="1" x14ac:dyDescent="0.2">
      <c r="A184" s="396"/>
      <c r="B184" s="397"/>
      <c r="C184" s="331"/>
      <c r="D184" s="335" t="str">
        <f ca="1">OFFSET(Capacidades!$A$1506,(ROW()-164)*10-1,11)</f>
        <v xml:space="preserve">       </v>
      </c>
      <c r="E184" s="335"/>
      <c r="F184" s="128"/>
      <c r="G184" s="59"/>
      <c r="H184" s="153"/>
      <c r="I184" s="154"/>
      <c r="J184" s="143">
        <f t="shared" si="4"/>
        <v>0</v>
      </c>
    </row>
    <row r="185" spans="1:10" ht="12.75" hidden="1" customHeight="1" x14ac:dyDescent="0.2">
      <c r="A185" s="396"/>
      <c r="B185" s="398" t="str">
        <f>$B$30</f>
        <v>Competencias para la empleabilidad</v>
      </c>
      <c r="C185" s="331"/>
      <c r="D185" s="335" t="str">
        <f ca="1">OFFSET(Capacidades!$A$1506,(ROW()-164)*10-1,11)</f>
        <v xml:space="preserve">       </v>
      </c>
      <c r="E185" s="335"/>
      <c r="F185" s="60"/>
      <c r="G185" s="59"/>
      <c r="H185" s="153"/>
      <c r="I185" s="154"/>
      <c r="J185" s="143">
        <f t="shared" si="4"/>
        <v>0</v>
      </c>
    </row>
    <row r="186" spans="1:10" ht="12.75" hidden="1" customHeight="1" x14ac:dyDescent="0.2">
      <c r="A186" s="396"/>
      <c r="B186" s="398"/>
      <c r="C186" s="331"/>
      <c r="D186" s="335" t="str">
        <f ca="1">OFFSET(Capacidades!$A$1506,(ROW()-164)*10-1,11)</f>
        <v xml:space="preserve">       </v>
      </c>
      <c r="E186" s="335"/>
      <c r="F186" s="60"/>
      <c r="G186" s="59"/>
      <c r="H186" s="153"/>
      <c r="I186" s="154"/>
      <c r="J186" s="143">
        <f t="shared" si="4"/>
        <v>0</v>
      </c>
    </row>
    <row r="187" spans="1:10" ht="12.75" hidden="1" customHeight="1" x14ac:dyDescent="0.2">
      <c r="A187" s="396"/>
      <c r="B187" s="398"/>
      <c r="C187" s="331"/>
      <c r="D187" s="335" t="str">
        <f ca="1">OFFSET(Capacidades!$A$1506,(ROW()-164)*10-1,11)</f>
        <v xml:space="preserve">       </v>
      </c>
      <c r="E187" s="335"/>
      <c r="F187" s="60"/>
      <c r="G187" s="59"/>
      <c r="H187" s="153"/>
      <c r="I187" s="154"/>
      <c r="J187" s="143">
        <f t="shared" si="4"/>
        <v>0</v>
      </c>
    </row>
    <row r="188" spans="1:10" ht="12.75" hidden="1" customHeight="1" x14ac:dyDescent="0.2">
      <c r="A188" s="396"/>
      <c r="B188" s="398"/>
      <c r="C188" s="331"/>
      <c r="D188" s="335" t="str">
        <f ca="1">OFFSET(Capacidades!$A$1506,(ROW()-164)*10-1,11)</f>
        <v xml:space="preserve">       </v>
      </c>
      <c r="E188" s="335"/>
      <c r="F188" s="60"/>
      <c r="G188" s="59"/>
      <c r="H188" s="153"/>
      <c r="I188" s="154"/>
      <c r="J188" s="143">
        <f t="shared" si="4"/>
        <v>0</v>
      </c>
    </row>
    <row r="189" spans="1:10" ht="12.75" hidden="1" customHeight="1" x14ac:dyDescent="0.2">
      <c r="A189" s="396"/>
      <c r="B189" s="398"/>
      <c r="C189" s="331"/>
      <c r="D189" s="335" t="str">
        <f ca="1">OFFSET(Capacidades!$A$1506,(ROW()-164)*10-1,11)</f>
        <v xml:space="preserve">       </v>
      </c>
      <c r="E189" s="335"/>
      <c r="F189" s="60"/>
      <c r="G189" s="59"/>
      <c r="H189" s="153"/>
      <c r="I189" s="154"/>
      <c r="J189" s="143">
        <f t="shared" si="4"/>
        <v>0</v>
      </c>
    </row>
    <row r="190" spans="1:10" ht="12.75" hidden="1" customHeight="1" x14ac:dyDescent="0.2">
      <c r="A190" s="396"/>
      <c r="B190" s="398"/>
      <c r="C190" s="331"/>
      <c r="D190" s="335" t="str">
        <f ca="1">OFFSET(Capacidades!$A$1506,(ROW()-164)*10-1,11)</f>
        <v xml:space="preserve">       </v>
      </c>
      <c r="E190" s="335"/>
      <c r="F190" s="60"/>
      <c r="G190" s="59"/>
      <c r="H190" s="153"/>
      <c r="I190" s="154"/>
      <c r="J190" s="143">
        <f t="shared" si="4"/>
        <v>0</v>
      </c>
    </row>
    <row r="191" spans="1:10" ht="12.75" hidden="1" customHeight="1" x14ac:dyDescent="0.2">
      <c r="A191" s="396"/>
      <c r="B191" s="398"/>
      <c r="C191" s="331"/>
      <c r="D191" s="335" t="str">
        <f ca="1">OFFSET(Capacidades!$A$1506,(ROW()-164)*10-1,11)</f>
        <v xml:space="preserve">       </v>
      </c>
      <c r="E191" s="335"/>
      <c r="F191" s="60"/>
      <c r="G191" s="59"/>
      <c r="H191" s="153"/>
      <c r="I191" s="154"/>
      <c r="J191" s="143">
        <f t="shared" si="4"/>
        <v>0</v>
      </c>
    </row>
    <row r="192" spans="1:10" ht="12.75" hidden="1" customHeight="1" x14ac:dyDescent="0.2">
      <c r="A192" s="396"/>
      <c r="B192" s="398"/>
      <c r="C192" s="331"/>
      <c r="D192" s="335" t="str">
        <f ca="1">OFFSET(Capacidades!$A$1506,(ROW()-164)*10-1,11)</f>
        <v xml:space="preserve">       </v>
      </c>
      <c r="E192" s="335"/>
      <c r="F192" s="60"/>
      <c r="G192" s="59"/>
      <c r="H192" s="153"/>
      <c r="I192" s="154"/>
      <c r="J192" s="143">
        <f t="shared" si="4"/>
        <v>0</v>
      </c>
    </row>
    <row r="193" spans="1:10" ht="12.75" hidden="1" customHeight="1" x14ac:dyDescent="0.2">
      <c r="A193" s="396"/>
      <c r="B193" s="398"/>
      <c r="C193" s="331"/>
      <c r="D193" s="335" t="str">
        <f ca="1">OFFSET(Capacidades!$A$1506,(ROW()-164)*10-1,11)</f>
        <v xml:space="preserve">       </v>
      </c>
      <c r="E193" s="335"/>
      <c r="F193" s="60"/>
      <c r="G193" s="59"/>
      <c r="H193" s="153"/>
      <c r="I193" s="154"/>
      <c r="J193" s="143">
        <f t="shared" si="4"/>
        <v>0</v>
      </c>
    </row>
    <row r="194" spans="1:10" ht="12.75" hidden="1" customHeight="1" x14ac:dyDescent="0.2">
      <c r="A194" s="396"/>
      <c r="B194" s="398"/>
      <c r="C194" s="331"/>
      <c r="D194" s="335" t="str">
        <f ca="1">OFFSET(Capacidades!$A$1506,(ROW()-164)*10-1,11)</f>
        <v xml:space="preserve">       </v>
      </c>
      <c r="E194" s="335"/>
      <c r="F194" s="60"/>
      <c r="G194" s="59"/>
      <c r="H194" s="153"/>
      <c r="I194" s="154"/>
      <c r="J194" s="143">
        <f t="shared" si="4"/>
        <v>0</v>
      </c>
    </row>
    <row r="195" spans="1:10" ht="20.100000000000001" hidden="1" customHeight="1" x14ac:dyDescent="0.2">
      <c r="A195" s="396"/>
      <c r="B195" s="420" t="str">
        <f>$B$40</f>
        <v>Experiencias formativas en situaciones reales de trabajo (ESRT)</v>
      </c>
      <c r="C195" s="421"/>
      <c r="D195" s="421"/>
      <c r="E195" s="421"/>
      <c r="F195" s="166"/>
      <c r="G195" s="167"/>
      <c r="H195" s="153"/>
      <c r="I195" s="154"/>
      <c r="J195" s="143">
        <f t="shared" si="4"/>
        <v>0</v>
      </c>
    </row>
    <row r="196" spans="1:10" ht="84.75" hidden="1" customHeight="1" x14ac:dyDescent="0.2">
      <c r="A196" s="416" t="s">
        <v>130</v>
      </c>
      <c r="B196" s="416"/>
      <c r="C196" s="416"/>
      <c r="D196" s="417"/>
      <c r="E196" s="417"/>
      <c r="F196" s="417"/>
      <c r="G196" s="417"/>
      <c r="I196" s="88" t="str">
        <f>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88">
        <f>B196</f>
        <v>0</v>
      </c>
    </row>
  </sheetData>
  <sheetProtection formatRows="0" autoFilter="0"/>
  <autoFilter ref="A9:J196" xr:uid="{00000000-0009-0000-0000-000003000000}">
    <filterColumn colId="1" showButton="0"/>
    <filterColumn colId="3" showButton="0"/>
    <filterColumn colId="9">
      <filters>
        <filter val="2"/>
        <filter val="3"/>
        <filter val="4"/>
        <filter val="5"/>
      </filters>
    </filterColumn>
  </autoFilter>
  <mergeCells count="227">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C61:C70"/>
    <mergeCell ref="D61:E61"/>
    <mergeCell ref="D62:E62"/>
    <mergeCell ref="D63:E63"/>
    <mergeCell ref="D64:E64"/>
    <mergeCell ref="D65:E65"/>
    <mergeCell ref="D66:E66"/>
    <mergeCell ref="D67:E67"/>
    <mergeCell ref="D68:E68"/>
    <mergeCell ref="D69:E69"/>
    <mergeCell ref="D70:E70"/>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92:C101"/>
    <mergeCell ref="D92:E92"/>
    <mergeCell ref="D93:E93"/>
    <mergeCell ref="D94:E94"/>
    <mergeCell ref="D95:E95"/>
    <mergeCell ref="D96:E96"/>
    <mergeCell ref="D97:E97"/>
    <mergeCell ref="D98:E98"/>
    <mergeCell ref="D99:E99"/>
    <mergeCell ref="D100:E100"/>
    <mergeCell ref="D101:E101"/>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s>
  <conditionalFormatting sqref="A10:A195">
    <cfRule type="containsBlanks" dxfId="89" priority="36">
      <formula>LEN(TRIM(A10))=0</formula>
    </cfRule>
  </conditionalFormatting>
  <conditionalFormatting sqref="C10:C39">
    <cfRule type="containsBlanks" dxfId="88" priority="35">
      <formula>LEN(TRIM(C10))=0</formula>
    </cfRule>
  </conditionalFormatting>
  <conditionalFormatting sqref="C41:C70">
    <cfRule type="containsBlanks" dxfId="87" priority="34">
      <formula>LEN(TRIM(C41))=0</formula>
    </cfRule>
  </conditionalFormatting>
  <conditionalFormatting sqref="C72:C101">
    <cfRule type="containsBlanks" dxfId="86" priority="33">
      <formula>LEN(TRIM(C72))=0</formula>
    </cfRule>
  </conditionalFormatting>
  <conditionalFormatting sqref="C103:C132">
    <cfRule type="containsBlanks" dxfId="85" priority="32">
      <formula>LEN(TRIM(C103))=0</formula>
    </cfRule>
  </conditionalFormatting>
  <conditionalFormatting sqref="C134:C163">
    <cfRule type="containsBlanks" dxfId="84" priority="31">
      <formula>LEN(TRIM(C134))=0</formula>
    </cfRule>
  </conditionalFormatting>
  <conditionalFormatting sqref="C165:C194">
    <cfRule type="containsBlanks" dxfId="83" priority="30">
      <formula>LEN(TRIM(C165))=0</formula>
    </cfRule>
  </conditionalFormatting>
  <conditionalFormatting sqref="F10:I39">
    <cfRule type="containsBlanks" dxfId="82" priority="14">
      <formula>LEN(TRIM(F10))=0</formula>
    </cfRule>
  </conditionalFormatting>
  <conditionalFormatting sqref="F41:I70">
    <cfRule type="containsBlanks" dxfId="81" priority="1">
      <formula>LEN(TRIM(F41))=0</formula>
    </cfRule>
  </conditionalFormatting>
  <conditionalFormatting sqref="F72:I101">
    <cfRule type="containsBlanks" dxfId="80" priority="22">
      <formula>LEN(TRIM(F72))=0</formula>
    </cfRule>
  </conditionalFormatting>
  <conditionalFormatting sqref="F165:I194 H195:I195">
    <cfRule type="containsBlanks" dxfId="79" priority="49">
      <formula>LEN(TRIM(F165))=0</formula>
    </cfRule>
  </conditionalFormatting>
  <conditionalFormatting sqref="H40:I40 H71:I71 H102:I102 F103:I132 H133:I133 F134:I163 H164:I164">
    <cfRule type="containsBlanks" dxfId="78" priority="50">
      <formula>LEN(TRIM(F40))=0</formula>
    </cfRule>
  </conditionalFormatting>
  <conditionalFormatting sqref="H92:I92">
    <cfRule type="containsBlanks" dxfId="77" priority="20">
      <formula>LEN(TRIM(H92))=0</formula>
    </cfRule>
  </conditionalFormatting>
  <conditionalFormatting sqref="I10:I195">
    <cfRule type="cellIs" dxfId="76" priority="2" operator="equal">
      <formula>0</formula>
    </cfRule>
  </conditionalFormatting>
  <conditionalFormatting sqref="J10:J39">
    <cfRule type="cellIs" dxfId="75" priority="15" operator="greaterThan">
      <formula>5</formula>
    </cfRule>
  </conditionalFormatting>
  <conditionalFormatting sqref="J41:J70">
    <cfRule type="cellIs" dxfId="74" priority="3" operator="greaterThan">
      <formula>5</formula>
    </cfRule>
  </conditionalFormatting>
  <conditionalFormatting sqref="J72:J101">
    <cfRule type="cellIs" dxfId="73" priority="21" operator="greaterThan">
      <formula>5</formula>
    </cfRule>
  </conditionalFormatting>
  <conditionalFormatting sqref="J103:J132 J134:J163 J165:J194">
    <cfRule type="cellIs" dxfId="72" priority="41" operator="greaterThan">
      <formula>5</formula>
    </cfRule>
  </conditionalFormatting>
  <printOptions horizontalCentered="1" verticalCentered="1"/>
  <pageMargins left="0.11811023622047245" right="0.11811023622047245" top="0.35433070866141736" bottom="0.35433070866141736" header="0.31496062992125984" footer="0.31496062992125984"/>
  <pageSetup scale="70" orientation="landscape" r:id="rId1"/>
  <ignoredErrors>
    <ignoredError sqref="J14:J29 J32:J39 J47:J60 J63:J70 J76:J91 J93:J101 J106:J122 J124:J132 J134:J19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CM367"/>
  <sheetViews>
    <sheetView showGridLines="0" view="pageBreakPreview" zoomScale="90" zoomScaleNormal="80" zoomScaleSheetLayoutView="90" workbookViewId="0">
      <selection activeCell="C360" sqref="C360:J360"/>
    </sheetView>
  </sheetViews>
  <sheetFormatPr baseColWidth="10" defaultColWidth="11.42578125" defaultRowHeight="12.75" x14ac:dyDescent="0.2"/>
  <cols>
    <col min="1" max="1" width="39.7109375" style="218" customWidth="1"/>
    <col min="2" max="2" width="41.7109375" style="216" customWidth="1"/>
    <col min="3" max="3" width="58" style="216" customWidth="1"/>
    <col min="4" max="4" width="13.85546875" style="217" customWidth="1"/>
    <col min="5" max="5" width="5.7109375" style="217" customWidth="1"/>
    <col min="6" max="7" width="6.7109375" style="218" customWidth="1"/>
    <col min="8" max="8" width="8.7109375" style="218" customWidth="1"/>
    <col min="9" max="10" width="6.7109375" style="218" customWidth="1"/>
    <col min="11" max="11" width="8.7109375" style="218" customWidth="1"/>
    <col min="12" max="12" width="20.7109375" style="218" customWidth="1"/>
    <col min="13" max="13" width="157.5703125" style="198" customWidth="1"/>
    <col min="14" max="16384" width="11.42578125" style="198"/>
  </cols>
  <sheetData>
    <row r="1" spans="1:13" s="55" customFormat="1" ht="18.75" x14ac:dyDescent="0.2">
      <c r="A1" s="455" t="s">
        <v>139</v>
      </c>
      <c r="B1" s="455"/>
      <c r="C1" s="455"/>
      <c r="D1" s="455"/>
      <c r="E1" s="455"/>
      <c r="F1" s="455"/>
      <c r="G1" s="455"/>
      <c r="H1" s="455"/>
      <c r="I1" s="455"/>
      <c r="J1" s="455"/>
      <c r="K1" s="455"/>
      <c r="L1" s="455"/>
    </row>
    <row r="2" spans="1:13" s="55" customFormat="1" ht="15.75" x14ac:dyDescent="0.2">
      <c r="A2" s="83"/>
      <c r="B2" s="83"/>
      <c r="C2" s="83"/>
      <c r="D2" s="83"/>
      <c r="E2" s="83"/>
      <c r="F2" s="83"/>
      <c r="G2" s="83"/>
      <c r="H2" s="83"/>
      <c r="I2" s="83"/>
      <c r="J2" s="83"/>
      <c r="K2" s="83"/>
      <c r="L2" s="83"/>
    </row>
    <row r="3" spans="1:13" ht="25.5" customHeight="1" x14ac:dyDescent="0.2">
      <c r="A3" s="196" t="s">
        <v>36</v>
      </c>
      <c r="B3" s="461" t="str">
        <f>Perfil_Egreso!B3</f>
        <v xml:space="preserve">CETPRO JUANJUI </v>
      </c>
      <c r="C3" s="461"/>
      <c r="D3" s="197"/>
      <c r="E3" s="197"/>
      <c r="F3" s="436" t="s">
        <v>51</v>
      </c>
      <c r="G3" s="436"/>
      <c r="H3" s="437"/>
      <c r="I3" s="433" t="str">
        <f>Perfil_Egreso!E3</f>
        <v>0533836</v>
      </c>
      <c r="J3" s="434"/>
      <c r="K3" s="434"/>
      <c r="L3" s="435"/>
    </row>
    <row r="4" spans="1:13" ht="15" customHeight="1" x14ac:dyDescent="0.2">
      <c r="A4" s="199"/>
      <c r="B4" s="199"/>
      <c r="C4" s="200"/>
      <c r="D4" s="200"/>
      <c r="E4" s="200"/>
      <c r="F4" s="197"/>
      <c r="G4" s="197"/>
      <c r="H4" s="197"/>
      <c r="I4" s="197"/>
      <c r="J4" s="197"/>
      <c r="K4" s="197"/>
      <c r="L4" s="197"/>
    </row>
    <row r="5" spans="1:13" ht="41.25" customHeight="1" x14ac:dyDescent="0.2">
      <c r="A5" s="196" t="s">
        <v>40</v>
      </c>
      <c r="B5" s="201" t="str">
        <f>Perfil_Egreso!B5</f>
        <v>Actividades profesionales, científicas y técnicas</v>
      </c>
      <c r="C5" s="202" t="s">
        <v>41</v>
      </c>
      <c r="D5" s="203" t="str">
        <f>Perfil_Egreso!D5</f>
        <v>Servicios prestados a empresas</v>
      </c>
      <c r="E5" s="204"/>
      <c r="F5" s="438" t="s">
        <v>42</v>
      </c>
      <c r="G5" s="438"/>
      <c r="H5" s="439"/>
      <c r="I5" s="444" t="str">
        <f>Perfil_Egreso!B7</f>
        <v>Actividades administrativas y de apoyo de oficina y otras actividades de
apoyo a las empresas</v>
      </c>
      <c r="J5" s="434"/>
      <c r="K5" s="434"/>
      <c r="L5" s="435"/>
    </row>
    <row r="6" spans="1:13" ht="12.75" customHeight="1" x14ac:dyDescent="0.2">
      <c r="A6" s="205"/>
      <c r="B6" s="205"/>
      <c r="C6" s="206"/>
      <c r="D6" s="206"/>
      <c r="E6" s="206"/>
      <c r="F6" s="197"/>
      <c r="G6" s="197"/>
      <c r="H6" s="197"/>
      <c r="I6" s="197"/>
      <c r="J6" s="197"/>
      <c r="K6" s="197"/>
      <c r="L6" s="197"/>
    </row>
    <row r="7" spans="1:13" ht="39.75" customHeight="1" x14ac:dyDescent="0.2">
      <c r="A7" s="205" t="str">
        <f>Perfil_Egreso!A10</f>
        <v>DENOMINACIÓN DEL PROGRAMA DE ESTUDIOS SEGÚN CNOF (según corresponda)</v>
      </c>
      <c r="B7" s="444" t="str">
        <f>Perfil_Egreso!B10</f>
        <v>APOYO ADMINISTRATIVO</v>
      </c>
      <c r="C7" s="435"/>
      <c r="D7" s="207"/>
      <c r="E7" s="207"/>
      <c r="F7" s="436" t="s">
        <v>44</v>
      </c>
      <c r="G7" s="436"/>
      <c r="H7" s="437"/>
      <c r="I7" s="433" t="str">
        <f>Perfil_Egreso!E10</f>
        <v>M2982-1-002</v>
      </c>
      <c r="J7" s="434"/>
      <c r="K7" s="434"/>
      <c r="L7" s="435"/>
    </row>
    <row r="8" spans="1:13" ht="12.75" customHeight="1" x14ac:dyDescent="0.2">
      <c r="A8" s="208"/>
      <c r="B8" s="208"/>
      <c r="C8" s="208"/>
      <c r="D8" s="208"/>
      <c r="E8" s="208"/>
      <c r="F8" s="197"/>
      <c r="G8" s="197"/>
      <c r="H8" s="197"/>
      <c r="I8" s="197"/>
      <c r="J8" s="197"/>
      <c r="K8" s="197"/>
      <c r="L8" s="197"/>
    </row>
    <row r="9" spans="1:13" ht="23.25" customHeight="1" x14ac:dyDescent="0.2">
      <c r="A9" s="209" t="str">
        <f>Perfil_Egreso!A12</f>
        <v>FORMACIÓN**</v>
      </c>
      <c r="B9" s="210" t="str">
        <f>Perfil_Egreso!B12</f>
        <v>AUXILIAR TECNICO</v>
      </c>
      <c r="C9" s="211" t="s">
        <v>5</v>
      </c>
      <c r="D9" s="203">
        <f>Itinerario!W17</f>
        <v>1072</v>
      </c>
      <c r="E9" s="212"/>
      <c r="F9" s="440" t="s">
        <v>34</v>
      </c>
      <c r="G9" s="440"/>
      <c r="H9" s="441"/>
      <c r="I9" s="444">
        <f>Itinerario!T17</f>
        <v>40</v>
      </c>
      <c r="J9" s="434"/>
      <c r="K9" s="434"/>
      <c r="L9" s="435"/>
    </row>
    <row r="10" spans="1:13" ht="12.75" customHeight="1" x14ac:dyDescent="0.2">
      <c r="A10" s="213"/>
      <c r="B10" s="213"/>
      <c r="C10" s="213"/>
      <c r="D10" s="208"/>
      <c r="E10" s="208"/>
      <c r="F10" s="197"/>
      <c r="G10" s="197"/>
      <c r="H10" s="197"/>
      <c r="I10" s="197"/>
      <c r="J10" s="197"/>
      <c r="K10" s="197"/>
      <c r="L10" s="197"/>
    </row>
    <row r="11" spans="1:13" ht="27" customHeight="1" x14ac:dyDescent="0.2">
      <c r="A11" s="214" t="str">
        <f>Perfil_Egreso!C12</f>
        <v>MODALIDAD DEL SERVICIO EDUCATIVO</v>
      </c>
      <c r="B11" s="462" t="str">
        <f>Perfil_Egreso!D12</f>
        <v>PRESENCIAL</v>
      </c>
      <c r="C11" s="463"/>
      <c r="D11" s="197"/>
      <c r="E11" s="197"/>
      <c r="F11" s="442" t="str">
        <f>Perfil_Egreso!A14</f>
        <v>NIVEL FORMATIVO</v>
      </c>
      <c r="G11" s="442"/>
      <c r="H11" s="443"/>
      <c r="I11" s="444" t="str">
        <f>Perfil_Egreso!B14</f>
        <v>AUXILIAR TÉCNICO</v>
      </c>
      <c r="J11" s="434"/>
      <c r="K11" s="434"/>
      <c r="L11" s="435"/>
    </row>
    <row r="12" spans="1:13" s="55" customFormat="1" ht="8.25" customHeight="1" x14ac:dyDescent="0.2">
      <c r="A12" s="30"/>
      <c r="B12" s="30"/>
      <c r="C12" s="30"/>
      <c r="D12" s="30"/>
      <c r="E12" s="30"/>
      <c r="F12" s="30"/>
      <c r="G12" s="30"/>
      <c r="H12" s="30"/>
      <c r="I12" s="30"/>
      <c r="J12" s="30"/>
      <c r="K12" s="30"/>
      <c r="L12" s="30"/>
    </row>
    <row r="13" spans="1:13" ht="18.75" customHeight="1" x14ac:dyDescent="0.2">
      <c r="A13" s="456" t="s">
        <v>85</v>
      </c>
      <c r="B13" s="456"/>
      <c r="C13" s="456"/>
      <c r="D13" s="456"/>
      <c r="E13" s="456"/>
      <c r="F13" s="456"/>
      <c r="G13" s="456"/>
      <c r="H13" s="456"/>
      <c r="I13" s="456"/>
      <c r="J13" s="456"/>
      <c r="K13" s="456"/>
      <c r="L13" s="456"/>
    </row>
    <row r="14" spans="1:13" ht="28.5" customHeight="1" x14ac:dyDescent="0.2">
      <c r="A14" s="457" t="str">
        <f>Organización_Modular!C10</f>
        <v>UC1 Proveer información, según políticas y procedimientos de la organización, y normativa correspondiente.</v>
      </c>
      <c r="B14" s="457"/>
      <c r="C14" s="457"/>
      <c r="D14" s="457"/>
      <c r="E14" s="457"/>
      <c r="F14" s="457"/>
      <c r="G14" s="457"/>
      <c r="H14" s="457"/>
      <c r="I14" s="457"/>
      <c r="J14" s="457"/>
      <c r="K14" s="457"/>
      <c r="L14" s="457"/>
    </row>
    <row r="15" spans="1:13" s="49" customFormat="1" ht="21" x14ac:dyDescent="0.2">
      <c r="A15" s="146" t="s">
        <v>84</v>
      </c>
      <c r="B15" s="458" t="str">
        <f>Organización_Modular!A10</f>
        <v>MÓDULO I:    REDACCIÓN Y TRÁMITE DOCUMENTARIO</v>
      </c>
      <c r="C15" s="458"/>
      <c r="D15" s="458"/>
      <c r="E15" s="458"/>
      <c r="F15" s="458"/>
      <c r="G15" s="458"/>
      <c r="H15" s="458"/>
      <c r="I15" s="458"/>
      <c r="J15" s="458"/>
      <c r="K15" s="458"/>
      <c r="L15" s="458"/>
    </row>
    <row r="16" spans="1:13" s="49" customFormat="1" ht="18" customHeight="1" x14ac:dyDescent="0.2">
      <c r="A16" s="459" t="s">
        <v>83</v>
      </c>
      <c r="B16" s="460" t="s">
        <v>82</v>
      </c>
      <c r="C16" s="459" t="s">
        <v>78</v>
      </c>
      <c r="D16" s="459" t="s">
        <v>0</v>
      </c>
      <c r="E16" s="473" t="s">
        <v>50</v>
      </c>
      <c r="F16" s="459" t="s">
        <v>71</v>
      </c>
      <c r="G16" s="459"/>
      <c r="H16" s="459" t="s">
        <v>71</v>
      </c>
      <c r="I16" s="459" t="s">
        <v>77</v>
      </c>
      <c r="J16" s="459"/>
      <c r="K16" s="459" t="s">
        <v>77</v>
      </c>
      <c r="L16" s="459" t="s">
        <v>81</v>
      </c>
      <c r="M16" s="472" t="s">
        <v>91</v>
      </c>
    </row>
    <row r="17" spans="1:13" s="49" customFormat="1" ht="20.25" customHeight="1" x14ac:dyDescent="0.2">
      <c r="A17" s="459"/>
      <c r="B17" s="460"/>
      <c r="C17" s="459"/>
      <c r="D17" s="459"/>
      <c r="E17" s="473"/>
      <c r="F17" s="147" t="s">
        <v>75</v>
      </c>
      <c r="G17" s="147" t="s">
        <v>74</v>
      </c>
      <c r="H17" s="459"/>
      <c r="I17" s="147" t="s">
        <v>75</v>
      </c>
      <c r="J17" s="147" t="s">
        <v>74</v>
      </c>
      <c r="K17" s="459"/>
      <c r="L17" s="459"/>
      <c r="M17" s="472"/>
    </row>
    <row r="18" spans="1:13" ht="48.75" customHeight="1" x14ac:dyDescent="0.2">
      <c r="A18" s="425" t="str">
        <f>Capacidades!L10</f>
        <v xml:space="preserve">UC1 C1 Organizar el área de trabajo, equipos y materiales teniendo en cuenta las normas de seguridad laboral y ambiental.    </v>
      </c>
      <c r="B18" s="156" t="str">
        <f>Capacidades!M10</f>
        <v>C1 I1 Explica  la estructura organizacional de  la empresa de acuerdo a los manuales internos de organización.</v>
      </c>
      <c r="C18" s="240" t="s">
        <v>417</v>
      </c>
      <c r="D18" s="12" t="str">
        <f>Organización_Modular!F10</f>
        <v>Organización del área de trabajo</v>
      </c>
      <c r="E18" s="12" t="str">
        <f>Organización_Modular!G10</f>
        <v>I</v>
      </c>
      <c r="F18" s="12">
        <f>Organización_Modular!H10</f>
        <v>1</v>
      </c>
      <c r="G18" s="12">
        <f>Organización_Modular!I10</f>
        <v>1</v>
      </c>
      <c r="H18" s="12">
        <f>SUM(F18:G18)</f>
        <v>2</v>
      </c>
      <c r="I18" s="12">
        <f>F18*16</f>
        <v>16</v>
      </c>
      <c r="J18" s="12">
        <f>G18*32</f>
        <v>32</v>
      </c>
      <c r="K18" s="12">
        <f>SUM(I18:J18)</f>
        <v>48</v>
      </c>
      <c r="L18" s="423" t="s">
        <v>510</v>
      </c>
      <c r="M18" s="292" t="str">
        <f>B18</f>
        <v>C1 I1 Explica  la estructura organizacional de  la empresa de acuerdo a los manuales internos de organización.</v>
      </c>
    </row>
    <row r="19" spans="1:13" ht="63" customHeight="1" x14ac:dyDescent="0.2">
      <c r="A19" s="426"/>
      <c r="B19" s="156" t="str">
        <f>Capacidades!M11</f>
        <v>C1 I2 Identifica los ambientes de trabajo, equipos y materiales  tomando en cuenta sus características y funcionalidad.</v>
      </c>
      <c r="C19" s="157" t="s">
        <v>418</v>
      </c>
      <c r="D19" s="14"/>
      <c r="E19" s="14"/>
      <c r="F19" s="14"/>
      <c r="G19" s="14"/>
      <c r="H19" s="14"/>
      <c r="I19" s="14"/>
      <c r="J19" s="14"/>
      <c r="K19" s="14"/>
      <c r="L19" s="424"/>
      <c r="M19" s="292" t="str">
        <f t="shared" ref="M19:M82" si="0">B19</f>
        <v>C1 I2 Identifica los ambientes de trabajo, equipos y materiales  tomando en cuenta sus características y funcionalidad.</v>
      </c>
    </row>
    <row r="20" spans="1:13" ht="24.75" customHeight="1" x14ac:dyDescent="0.2">
      <c r="A20" s="426"/>
      <c r="B20" s="156" t="str">
        <f>Capacidades!M12</f>
        <v>C1 I3 Opera los equipos de oficina de acuerdo al manual de operaciones.</v>
      </c>
      <c r="C20" s="157" t="s">
        <v>419</v>
      </c>
      <c r="D20" s="14"/>
      <c r="E20" s="14"/>
      <c r="F20" s="14"/>
      <c r="G20" s="14"/>
      <c r="H20" s="14"/>
      <c r="I20" s="14"/>
      <c r="J20" s="14"/>
      <c r="K20" s="14"/>
      <c r="L20" s="424"/>
      <c r="M20" s="292" t="str">
        <f t="shared" si="0"/>
        <v>C1 I3 Opera los equipos de oficina de acuerdo al manual de operaciones.</v>
      </c>
    </row>
    <row r="21" spans="1:13" ht="53.25" customHeight="1" x14ac:dyDescent="0.2">
      <c r="A21" s="426"/>
      <c r="B21" s="156" t="str">
        <f>Capacidades!M13</f>
        <v xml:space="preserve">C1 I4 Realiza la organización del ambiente de trabajo, equipos y materiales,  teniendo en cuenta las normas de seguridad e higiene y protocolos de bioseguridad </v>
      </c>
      <c r="C21" s="157" t="s">
        <v>485</v>
      </c>
      <c r="D21" s="14"/>
      <c r="E21" s="14"/>
      <c r="F21" s="14"/>
      <c r="G21" s="14"/>
      <c r="H21" s="14"/>
      <c r="I21" s="14"/>
      <c r="J21" s="14"/>
      <c r="K21" s="14"/>
      <c r="L21" s="424"/>
      <c r="M21" s="292" t="str">
        <f t="shared" si="0"/>
        <v xml:space="preserve">C1 I4 Realiza la organización del ambiente de trabajo, equipos y materiales,  teniendo en cuenta las normas de seguridad e higiene y protocolos de bioseguridad </v>
      </c>
    </row>
    <row r="22" spans="1:13" ht="47.25" hidden="1" customHeight="1" x14ac:dyDescent="0.2">
      <c r="A22" s="426"/>
      <c r="B22" s="156" t="str">
        <f>Capacidades!M14</f>
        <v xml:space="preserve">   </v>
      </c>
      <c r="C22" s="157"/>
      <c r="D22" s="14"/>
      <c r="E22" s="14"/>
      <c r="F22" s="14"/>
      <c r="G22" s="14"/>
      <c r="H22" s="14"/>
      <c r="I22" s="14"/>
      <c r="J22" s="14"/>
      <c r="K22" s="14"/>
      <c r="L22" s="424"/>
      <c r="M22" s="292" t="str">
        <f t="shared" si="0"/>
        <v xml:space="preserve">   </v>
      </c>
    </row>
    <row r="23" spans="1:13" ht="12.75" hidden="1" customHeight="1" x14ac:dyDescent="0.2">
      <c r="A23" s="426"/>
      <c r="B23" s="156" t="str">
        <f>Capacidades!M15</f>
        <v xml:space="preserve">   </v>
      </c>
      <c r="C23" s="157"/>
      <c r="D23" s="14"/>
      <c r="E23" s="14"/>
      <c r="F23" s="14"/>
      <c r="G23" s="14"/>
      <c r="H23" s="14"/>
      <c r="I23" s="14"/>
      <c r="J23" s="14"/>
      <c r="K23" s="14"/>
      <c r="L23" s="424"/>
      <c r="M23" s="292" t="str">
        <f t="shared" si="0"/>
        <v xml:space="preserve">   </v>
      </c>
    </row>
    <row r="24" spans="1:13" ht="12.75" hidden="1" customHeight="1" x14ac:dyDescent="0.2">
      <c r="A24" s="426"/>
      <c r="B24" s="156" t="str">
        <f>Capacidades!M16</f>
        <v xml:space="preserve">   </v>
      </c>
      <c r="C24" s="157"/>
      <c r="D24" s="14"/>
      <c r="E24" s="14"/>
      <c r="F24" s="14"/>
      <c r="G24" s="14"/>
      <c r="H24" s="14"/>
      <c r="I24" s="14"/>
      <c r="J24" s="14"/>
      <c r="K24" s="14"/>
      <c r="L24" s="424"/>
      <c r="M24" s="292" t="str">
        <f t="shared" si="0"/>
        <v xml:space="preserve">   </v>
      </c>
    </row>
    <row r="25" spans="1:13" ht="12.75" hidden="1" customHeight="1" x14ac:dyDescent="0.2">
      <c r="A25" s="426"/>
      <c r="B25" s="156" t="str">
        <f>Capacidades!M17</f>
        <v xml:space="preserve">   </v>
      </c>
      <c r="C25" s="157"/>
      <c r="D25" s="14"/>
      <c r="E25" s="14"/>
      <c r="F25" s="14"/>
      <c r="G25" s="14"/>
      <c r="H25" s="14"/>
      <c r="I25" s="14"/>
      <c r="J25" s="14"/>
      <c r="K25" s="14"/>
      <c r="L25" s="424"/>
      <c r="M25" s="292" t="str">
        <f t="shared" si="0"/>
        <v xml:space="preserve">   </v>
      </c>
    </row>
    <row r="26" spans="1:13" ht="12.75" hidden="1" customHeight="1" x14ac:dyDescent="0.2">
      <c r="A26" s="426"/>
      <c r="B26" s="156" t="str">
        <f>Capacidades!M18</f>
        <v xml:space="preserve">   </v>
      </c>
      <c r="C26" s="157"/>
      <c r="D26" s="14"/>
      <c r="E26" s="14"/>
      <c r="F26" s="14"/>
      <c r="G26" s="14"/>
      <c r="H26" s="14"/>
      <c r="I26" s="14"/>
      <c r="J26" s="14"/>
      <c r="K26" s="14"/>
      <c r="L26" s="424"/>
      <c r="M26" s="292" t="str">
        <f t="shared" si="0"/>
        <v xml:space="preserve">   </v>
      </c>
    </row>
    <row r="27" spans="1:13" ht="12.75" hidden="1" customHeight="1" x14ac:dyDescent="0.2">
      <c r="A27" s="427"/>
      <c r="B27" s="156" t="str">
        <f>Capacidades!M19</f>
        <v xml:space="preserve">   </v>
      </c>
      <c r="C27" s="157"/>
      <c r="D27" s="16"/>
      <c r="E27" s="16"/>
      <c r="F27" s="16"/>
      <c r="G27" s="16"/>
      <c r="H27" s="16"/>
      <c r="I27" s="16"/>
      <c r="J27" s="16"/>
      <c r="K27" s="16"/>
      <c r="L27" s="432"/>
      <c r="M27" s="292" t="str">
        <f t="shared" si="0"/>
        <v xml:space="preserve">   </v>
      </c>
    </row>
    <row r="28" spans="1:13" ht="48" customHeight="1" x14ac:dyDescent="0.2">
      <c r="A28" s="425" t="str">
        <f>Capacidades!L20</f>
        <v xml:space="preserve">UC1 C2 Elaborar documentos administrativos y/o mercantiles de  acuerdo a las características y estructuras de las mismas, aplicando técnicas de redacción, reglas ortográficas y gramaticales .     </v>
      </c>
      <c r="B28" s="156" t="str">
        <f>Capacidades!M20</f>
        <v>C2 I1 Identifica los diverso tipos de documentos administrativos de acuerdo a las políticas y normativas de la organización.</v>
      </c>
      <c r="C28" s="157" t="s">
        <v>486</v>
      </c>
      <c r="D28" s="12" t="str">
        <f>Organización_Modular!F11</f>
        <v>Redacción de documentos</v>
      </c>
      <c r="E28" s="12" t="str">
        <f>Organización_Modular!G11</f>
        <v>I</v>
      </c>
      <c r="F28" s="12">
        <f>Organización_Modular!H11</f>
        <v>2</v>
      </c>
      <c r="G28" s="12">
        <f>Organización_Modular!I11</f>
        <v>2</v>
      </c>
      <c r="H28" s="12">
        <f>SUM(F28:G28)</f>
        <v>4</v>
      </c>
      <c r="I28" s="12">
        <f>F28*16</f>
        <v>32</v>
      </c>
      <c r="J28" s="12">
        <f>G28*32</f>
        <v>64</v>
      </c>
      <c r="K28" s="12">
        <f>SUM(I28:J28)</f>
        <v>96</v>
      </c>
      <c r="L28" s="448" t="s">
        <v>510</v>
      </c>
      <c r="M28" s="292" t="str">
        <f t="shared" si="0"/>
        <v>C2 I1 Identifica los diverso tipos de documentos administrativos de acuerdo a las políticas y normativas de la organización.</v>
      </c>
    </row>
    <row r="29" spans="1:13" ht="70.5" customHeight="1" x14ac:dyDescent="0.2">
      <c r="A29" s="426"/>
      <c r="B29" s="156" t="str">
        <f>Capacidades!M21</f>
        <v>C2 I2 Redacta los documentos administrativos  aplicando las técnicas de redacción, reglas ortográficas y gramaticales, de acuerdo a las políticas y normativas de la organización.</v>
      </c>
      <c r="C29" s="190" t="s">
        <v>477</v>
      </c>
      <c r="D29" s="14"/>
      <c r="E29" s="14"/>
      <c r="F29" s="14"/>
      <c r="G29" s="14"/>
      <c r="H29" s="14"/>
      <c r="I29" s="14"/>
      <c r="J29" s="14"/>
      <c r="K29" s="14"/>
      <c r="L29" s="449"/>
      <c r="M29" s="292" t="str">
        <f t="shared" si="0"/>
        <v>C2 I2 Redacta los documentos administrativos  aplicando las técnicas de redacción, reglas ortográficas y gramaticales, de acuerdo a las políticas y normativas de la organización.</v>
      </c>
    </row>
    <row r="30" spans="1:13" ht="70.5" customHeight="1" x14ac:dyDescent="0.2">
      <c r="A30" s="426"/>
      <c r="B30" s="156" t="str">
        <f>Capacidades!M22</f>
        <v>C2 I3 Realiza el llenado de los documentos administrativos y/o mercantiles aplicando reglas ortográficas y gramaticales, de acuerdo a las políticas y normativas de la organización.</v>
      </c>
      <c r="C30" s="157" t="s">
        <v>473</v>
      </c>
      <c r="D30" s="14"/>
      <c r="E30" s="14"/>
      <c r="F30" s="14"/>
      <c r="G30" s="14"/>
      <c r="H30" s="14"/>
      <c r="I30" s="14"/>
      <c r="J30" s="14"/>
      <c r="K30" s="14"/>
      <c r="L30" s="449"/>
      <c r="M30" s="292" t="str">
        <f t="shared" si="0"/>
        <v>C2 I3 Realiza el llenado de los documentos administrativos y/o mercantiles aplicando reglas ortográficas y gramaticales, de acuerdo a las políticas y normativas de la organización.</v>
      </c>
    </row>
    <row r="31" spans="1:13" ht="47.25" customHeight="1" x14ac:dyDescent="0.2">
      <c r="A31" s="426"/>
      <c r="B31" s="156" t="str">
        <f>Capacidades!M23</f>
        <v>C2 I4 Verifica la calidad de los documentos administrativos y/o mercantiles de acuerdo a la información correspondiente, aplicando reglas ortográficas y gramaticales.</v>
      </c>
      <c r="C31" s="190" t="s">
        <v>479</v>
      </c>
      <c r="D31" s="14"/>
      <c r="E31" s="14"/>
      <c r="F31" s="14"/>
      <c r="G31" s="14"/>
      <c r="H31" s="14"/>
      <c r="I31" s="14"/>
      <c r="J31" s="14"/>
      <c r="K31" s="14"/>
      <c r="L31" s="449"/>
      <c r="M31" s="292" t="str">
        <f t="shared" si="0"/>
        <v>C2 I4 Verifica la calidad de los documentos administrativos y/o mercantiles de acuerdo a la información correspondiente, aplicando reglas ortográficas y gramaticales.</v>
      </c>
    </row>
    <row r="32" spans="1:13" ht="12.75" hidden="1" customHeight="1" x14ac:dyDescent="0.2">
      <c r="A32" s="426"/>
      <c r="B32" s="156" t="str">
        <f>Capacidades!M24</f>
        <v xml:space="preserve">   </v>
      </c>
      <c r="C32" s="157"/>
      <c r="D32" s="14"/>
      <c r="E32" s="14"/>
      <c r="F32" s="14"/>
      <c r="G32" s="14"/>
      <c r="H32" s="14"/>
      <c r="I32" s="14"/>
      <c r="J32" s="14"/>
      <c r="K32" s="14"/>
      <c r="L32" s="449"/>
      <c r="M32" s="197" t="str">
        <f t="shared" si="0"/>
        <v xml:space="preserve">   </v>
      </c>
    </row>
    <row r="33" spans="1:91" ht="12.75" hidden="1" customHeight="1" x14ac:dyDescent="0.2">
      <c r="A33" s="426"/>
      <c r="B33" s="156" t="str">
        <f>Capacidades!M25</f>
        <v xml:space="preserve">   </v>
      </c>
      <c r="C33" s="157"/>
      <c r="D33" s="14"/>
      <c r="E33" s="14"/>
      <c r="F33" s="14"/>
      <c r="G33" s="14"/>
      <c r="H33" s="14"/>
      <c r="I33" s="14"/>
      <c r="J33" s="14"/>
      <c r="K33" s="14"/>
      <c r="L33" s="449"/>
      <c r="M33" s="197" t="str">
        <f t="shared" si="0"/>
        <v xml:space="preserve">   </v>
      </c>
    </row>
    <row r="34" spans="1:91" ht="12.75" hidden="1" customHeight="1" x14ac:dyDescent="0.2">
      <c r="A34" s="426"/>
      <c r="B34" s="156" t="str">
        <f>Capacidades!M26</f>
        <v xml:space="preserve">   </v>
      </c>
      <c r="C34" s="157"/>
      <c r="D34" s="14"/>
      <c r="E34" s="14"/>
      <c r="F34" s="14"/>
      <c r="G34" s="14"/>
      <c r="H34" s="14"/>
      <c r="I34" s="14"/>
      <c r="J34" s="14"/>
      <c r="K34" s="14"/>
      <c r="L34" s="449"/>
      <c r="M34" s="197" t="str">
        <f t="shared" si="0"/>
        <v xml:space="preserve">   </v>
      </c>
    </row>
    <row r="35" spans="1:91" ht="12.75" hidden="1" customHeight="1" x14ac:dyDescent="0.2">
      <c r="A35" s="426"/>
      <c r="B35" s="156" t="str">
        <f>Capacidades!M27</f>
        <v xml:space="preserve">   </v>
      </c>
      <c r="C35" s="157"/>
      <c r="D35" s="14"/>
      <c r="E35" s="14"/>
      <c r="F35" s="14"/>
      <c r="G35" s="14"/>
      <c r="H35" s="14"/>
      <c r="I35" s="14"/>
      <c r="J35" s="14"/>
      <c r="K35" s="14"/>
      <c r="L35" s="449"/>
      <c r="M35" s="197" t="str">
        <f t="shared" si="0"/>
        <v xml:space="preserve">   </v>
      </c>
    </row>
    <row r="36" spans="1:91" ht="12.75" hidden="1" customHeight="1" x14ac:dyDescent="0.2">
      <c r="A36" s="426"/>
      <c r="B36" s="156" t="str">
        <f>Capacidades!M28</f>
        <v xml:space="preserve">   </v>
      </c>
      <c r="C36" s="157"/>
      <c r="D36" s="14"/>
      <c r="E36" s="14"/>
      <c r="F36" s="14"/>
      <c r="G36" s="14"/>
      <c r="H36" s="14"/>
      <c r="I36" s="14"/>
      <c r="J36" s="14"/>
      <c r="K36" s="14"/>
      <c r="L36" s="449"/>
      <c r="M36" s="197" t="str">
        <f t="shared" si="0"/>
        <v xml:space="preserve">   </v>
      </c>
    </row>
    <row r="37" spans="1:91" ht="12.75" hidden="1" customHeight="1" x14ac:dyDescent="0.2">
      <c r="A37" s="427"/>
      <c r="B37" s="156" t="str">
        <f>Capacidades!M29</f>
        <v xml:space="preserve">   </v>
      </c>
      <c r="C37" s="157"/>
      <c r="D37" s="16"/>
      <c r="E37" s="16"/>
      <c r="F37" s="16"/>
      <c r="G37" s="16"/>
      <c r="H37" s="16"/>
      <c r="I37" s="16"/>
      <c r="J37" s="16"/>
      <c r="K37" s="16"/>
      <c r="L37" s="450"/>
      <c r="M37" s="197" t="str">
        <f t="shared" si="0"/>
        <v xml:space="preserve">   </v>
      </c>
    </row>
    <row r="38" spans="1:91" ht="84" customHeight="1" x14ac:dyDescent="0.2">
      <c r="A38" s="425" t="str">
        <f>Capacidades!L30</f>
        <v xml:space="preserve">UC1 C3 Realizar  el trámite de datos y documentos,  de acuerdo a los procedimientos, normativa vigente y políticas de la organización.    </v>
      </c>
      <c r="B38" s="156" t="str">
        <f>Capacidades!M30</f>
        <v>C3 I1 Explica  un diagrama de flujo documentario de acuerdo a los procedimientos, normativa vigente y políticas de la organización.</v>
      </c>
      <c r="C38" s="190" t="s">
        <v>420</v>
      </c>
      <c r="D38" s="12" t="str">
        <f>Organización_Modular!F12</f>
        <v>Trámite documentario</v>
      </c>
      <c r="E38" s="12" t="str">
        <f>Organización_Modular!G12</f>
        <v>I</v>
      </c>
      <c r="F38" s="12">
        <f>Organización_Modular!H12</f>
        <v>2</v>
      </c>
      <c r="G38" s="12">
        <f>Organización_Modular!I12</f>
        <v>2</v>
      </c>
      <c r="H38" s="12">
        <f>SUM(F38:G38)</f>
        <v>4</v>
      </c>
      <c r="I38" s="12">
        <f>F38*16</f>
        <v>32</v>
      </c>
      <c r="J38" s="12">
        <f>G38*32</f>
        <v>64</v>
      </c>
      <c r="K38" s="12">
        <f>SUM(I38:J38)</f>
        <v>96</v>
      </c>
      <c r="L38" s="423" t="s">
        <v>510</v>
      </c>
      <c r="M38" s="292" t="str">
        <f t="shared" si="0"/>
        <v>C3 I1 Explica  un diagrama de flujo documentario de acuerdo a los procedimientos, normativa vigente y políticas de la organización.</v>
      </c>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8"/>
      <c r="BK38" s="218"/>
      <c r="BL38" s="218"/>
      <c r="BM38" s="218"/>
      <c r="BN38" s="218"/>
      <c r="BO38" s="218"/>
      <c r="BP38" s="218"/>
      <c r="BQ38" s="218"/>
      <c r="BR38" s="218"/>
      <c r="BS38" s="218"/>
      <c r="BT38" s="218"/>
      <c r="BU38" s="218"/>
      <c r="BV38" s="218"/>
      <c r="BW38" s="218"/>
      <c r="BX38" s="218"/>
      <c r="BY38" s="218"/>
      <c r="BZ38" s="218"/>
      <c r="CA38" s="218"/>
      <c r="CB38" s="218"/>
      <c r="CC38" s="218"/>
      <c r="CD38" s="218"/>
      <c r="CE38" s="218"/>
      <c r="CF38" s="218"/>
      <c r="CG38" s="218"/>
      <c r="CH38" s="218"/>
      <c r="CI38" s="218"/>
      <c r="CJ38" s="218"/>
      <c r="CK38" s="218"/>
      <c r="CL38" s="218"/>
      <c r="CM38" s="218"/>
    </row>
    <row r="39" spans="1:91" ht="72" x14ac:dyDescent="0.2">
      <c r="A39" s="426"/>
      <c r="B39" s="156" t="str">
        <f>Capacidades!M31</f>
        <v>C3 I2 Organiza el procedimiento de registro y recepción del flujo documentario  de acuerdo a los procedimientos, normativa vigente y políticas de la organización.</v>
      </c>
      <c r="C39" s="190" t="s">
        <v>487</v>
      </c>
      <c r="D39" s="14"/>
      <c r="E39" s="14"/>
      <c r="F39" s="14"/>
      <c r="G39" s="14"/>
      <c r="H39" s="14"/>
      <c r="I39" s="14"/>
      <c r="J39" s="14"/>
      <c r="K39" s="14"/>
      <c r="L39" s="424"/>
      <c r="M39" s="292" t="str">
        <f t="shared" si="0"/>
        <v>C3 I2 Organiza el procedimiento de registro y recepción del flujo documentario  de acuerdo a los procedimientos, normativa vigente y políticas de la organización.</v>
      </c>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8"/>
      <c r="BK39" s="218"/>
      <c r="BL39" s="218"/>
      <c r="BM39" s="218"/>
      <c r="BN39" s="218"/>
      <c r="BO39" s="218"/>
      <c r="BP39" s="218"/>
      <c r="BQ39" s="218"/>
      <c r="BR39" s="218"/>
      <c r="BS39" s="218"/>
      <c r="BT39" s="218"/>
      <c r="BU39" s="218"/>
      <c r="BV39" s="218"/>
      <c r="BW39" s="218"/>
      <c r="BX39" s="218"/>
      <c r="BY39" s="218"/>
      <c r="BZ39" s="218"/>
      <c r="CA39" s="218"/>
      <c r="CB39" s="218"/>
      <c r="CC39" s="218"/>
      <c r="CD39" s="218"/>
      <c r="CE39" s="218"/>
      <c r="CF39" s="218"/>
      <c r="CG39" s="218"/>
      <c r="CH39" s="218"/>
      <c r="CI39" s="218"/>
      <c r="CJ39" s="218"/>
      <c r="CK39" s="218"/>
      <c r="CL39" s="218"/>
      <c r="CM39" s="218"/>
    </row>
    <row r="40" spans="1:91" ht="48" customHeight="1" x14ac:dyDescent="0.2">
      <c r="A40" s="426"/>
      <c r="B40" s="156" t="str">
        <f>Capacidades!M32</f>
        <v>C3 I3 Ejecuta  la organización y traslado de expedientes de acuerdo a los procedimientos, normativa vigente y políticas de la organización.</v>
      </c>
      <c r="C40" s="157" t="s">
        <v>480</v>
      </c>
      <c r="D40" s="14"/>
      <c r="E40" s="14"/>
      <c r="F40" s="14"/>
      <c r="G40" s="14"/>
      <c r="H40" s="14"/>
      <c r="I40" s="14"/>
      <c r="J40" s="14"/>
      <c r="K40" s="14"/>
      <c r="L40" s="424"/>
      <c r="M40" s="292" t="str">
        <f t="shared" si="0"/>
        <v>C3 I3 Ejecuta  la organización y traslado de expedientes de acuerdo a los procedimientos, normativa vigente y políticas de la organización.</v>
      </c>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18"/>
      <c r="BW40" s="218"/>
      <c r="BX40" s="218"/>
      <c r="BY40" s="218"/>
      <c r="BZ40" s="218"/>
      <c r="CA40" s="218"/>
      <c r="CB40" s="218"/>
      <c r="CC40" s="218"/>
      <c r="CD40" s="218"/>
      <c r="CE40" s="218"/>
      <c r="CF40" s="218"/>
      <c r="CG40" s="218"/>
      <c r="CH40" s="218"/>
      <c r="CI40" s="218"/>
      <c r="CJ40" s="218"/>
      <c r="CK40" s="218"/>
      <c r="CL40" s="218"/>
      <c r="CM40" s="218"/>
    </row>
    <row r="41" spans="1:91" ht="66.75" customHeight="1" x14ac:dyDescent="0.2">
      <c r="A41" s="426"/>
      <c r="B41" s="156" t="str">
        <f>Capacidades!M33</f>
        <v>C3 I4 Efectúa  el control del traslado de los expedientes y/o documentos de acuerdo a los procedimientos, normativa vigente y políticas de la organización.</v>
      </c>
      <c r="C41" s="191" t="s">
        <v>482</v>
      </c>
      <c r="D41" s="14"/>
      <c r="E41" s="14"/>
      <c r="F41" s="14"/>
      <c r="G41" s="14"/>
      <c r="H41" s="14"/>
      <c r="I41" s="14"/>
      <c r="J41" s="14"/>
      <c r="K41" s="14"/>
      <c r="L41" s="424"/>
      <c r="M41" s="292" t="str">
        <f t="shared" si="0"/>
        <v>C3 I4 Efectúa  el control del traslado de los expedientes y/o documentos de acuerdo a los procedimientos, normativa vigente y políticas de la organización.</v>
      </c>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18"/>
      <c r="BK41" s="218"/>
      <c r="BL41" s="218"/>
      <c r="BM41" s="218"/>
      <c r="BN41" s="218"/>
      <c r="BO41" s="218"/>
      <c r="BP41" s="218"/>
      <c r="BQ41" s="218"/>
      <c r="BR41" s="218"/>
      <c r="BS41" s="218"/>
      <c r="BT41" s="218"/>
      <c r="BU41" s="218"/>
      <c r="BV41" s="218"/>
      <c r="BW41" s="218"/>
      <c r="BX41" s="218"/>
      <c r="BY41" s="218"/>
      <c r="BZ41" s="218"/>
      <c r="CA41" s="218"/>
      <c r="CB41" s="218"/>
      <c r="CC41" s="218"/>
      <c r="CD41" s="218"/>
      <c r="CE41" s="218"/>
      <c r="CF41" s="218"/>
      <c r="CG41" s="218"/>
      <c r="CH41" s="218"/>
      <c r="CI41" s="218"/>
      <c r="CJ41" s="218"/>
      <c r="CK41" s="218"/>
      <c r="CL41" s="218"/>
      <c r="CM41" s="218"/>
    </row>
    <row r="42" spans="1:91" ht="53.25" hidden="1" customHeight="1" x14ac:dyDescent="0.2">
      <c r="A42" s="426"/>
      <c r="B42" s="156"/>
      <c r="C42" s="247"/>
      <c r="D42" s="14"/>
      <c r="E42" s="14"/>
      <c r="F42" s="14"/>
      <c r="G42" s="14"/>
      <c r="H42" s="14"/>
      <c r="I42" s="14"/>
      <c r="J42" s="14"/>
      <c r="K42" s="14"/>
      <c r="L42" s="424"/>
      <c r="M42" s="292">
        <f t="shared" si="0"/>
        <v>0</v>
      </c>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18"/>
      <c r="BK42" s="218"/>
      <c r="BL42" s="218"/>
      <c r="BM42" s="218"/>
      <c r="BN42" s="218"/>
      <c r="BO42" s="218"/>
      <c r="BP42" s="218"/>
      <c r="BQ42" s="218"/>
      <c r="BR42" s="218"/>
      <c r="BS42" s="218"/>
      <c r="BT42" s="218"/>
      <c r="BU42" s="218"/>
      <c r="BV42" s="218"/>
      <c r="BW42" s="218"/>
      <c r="BX42" s="218"/>
      <c r="BY42" s="218"/>
      <c r="BZ42" s="218"/>
      <c r="CA42" s="218"/>
      <c r="CB42" s="218"/>
      <c r="CC42" s="218"/>
      <c r="CD42" s="218"/>
      <c r="CE42" s="218"/>
      <c r="CF42" s="218"/>
      <c r="CG42" s="218"/>
      <c r="CH42" s="218"/>
      <c r="CI42" s="218"/>
      <c r="CJ42" s="218"/>
      <c r="CK42" s="218"/>
      <c r="CL42" s="218"/>
      <c r="CM42" s="218"/>
    </row>
    <row r="43" spans="1:91" ht="12.75" hidden="1" customHeight="1" x14ac:dyDescent="0.2">
      <c r="A43" s="426"/>
      <c r="B43" s="156" t="str">
        <f>Capacidades!M35</f>
        <v xml:space="preserve">   </v>
      </c>
      <c r="C43" s="157"/>
      <c r="D43" s="14"/>
      <c r="E43" s="14"/>
      <c r="F43" s="14"/>
      <c r="G43" s="14"/>
      <c r="H43" s="14"/>
      <c r="I43" s="14"/>
      <c r="J43" s="14"/>
      <c r="K43" s="14"/>
      <c r="L43" s="424"/>
      <c r="M43" s="292" t="str">
        <f t="shared" si="0"/>
        <v xml:space="preserve">   </v>
      </c>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18"/>
      <c r="BU43" s="218"/>
      <c r="BV43" s="218"/>
      <c r="BW43" s="218"/>
      <c r="BX43" s="218"/>
      <c r="BY43" s="218"/>
      <c r="BZ43" s="218"/>
      <c r="CA43" s="218"/>
      <c r="CB43" s="218"/>
      <c r="CC43" s="218"/>
      <c r="CD43" s="218"/>
      <c r="CE43" s="218"/>
      <c r="CF43" s="218"/>
      <c r="CG43" s="218"/>
      <c r="CH43" s="218"/>
      <c r="CI43" s="218"/>
      <c r="CJ43" s="218"/>
      <c r="CK43" s="218"/>
      <c r="CL43" s="218"/>
      <c r="CM43" s="218"/>
    </row>
    <row r="44" spans="1:91" ht="12.75" hidden="1" customHeight="1" x14ac:dyDescent="0.2">
      <c r="A44" s="426"/>
      <c r="B44" s="156" t="str">
        <f>Capacidades!M36</f>
        <v xml:space="preserve">   </v>
      </c>
      <c r="C44" s="157"/>
      <c r="D44" s="14"/>
      <c r="E44" s="14"/>
      <c r="F44" s="14"/>
      <c r="G44" s="14"/>
      <c r="H44" s="14"/>
      <c r="I44" s="14"/>
      <c r="J44" s="14"/>
      <c r="K44" s="14"/>
      <c r="L44" s="424"/>
      <c r="M44" s="292" t="str">
        <f t="shared" si="0"/>
        <v xml:space="preserve">   </v>
      </c>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8"/>
      <c r="BF44" s="218"/>
      <c r="BG44" s="218"/>
      <c r="BH44" s="218"/>
      <c r="BI44" s="218"/>
      <c r="BJ44" s="218"/>
      <c r="BK44" s="218"/>
      <c r="BL44" s="218"/>
      <c r="BM44" s="218"/>
      <c r="BN44" s="218"/>
      <c r="BO44" s="218"/>
      <c r="BP44" s="218"/>
      <c r="BQ44" s="218"/>
      <c r="BR44" s="218"/>
      <c r="BS44" s="218"/>
      <c r="BT44" s="218"/>
      <c r="BU44" s="218"/>
      <c r="BV44" s="218"/>
      <c r="BW44" s="218"/>
      <c r="BX44" s="218"/>
      <c r="BY44" s="218"/>
      <c r="BZ44" s="218"/>
      <c r="CA44" s="218"/>
      <c r="CB44" s="218"/>
      <c r="CC44" s="218"/>
      <c r="CD44" s="218"/>
      <c r="CE44" s="218"/>
      <c r="CF44" s="218"/>
      <c r="CG44" s="218"/>
      <c r="CH44" s="218"/>
      <c r="CI44" s="218"/>
      <c r="CJ44" s="218"/>
      <c r="CK44" s="218"/>
      <c r="CL44" s="218"/>
      <c r="CM44" s="218"/>
    </row>
    <row r="45" spans="1:91" ht="12.75" hidden="1" customHeight="1" x14ac:dyDescent="0.2">
      <c r="A45" s="426"/>
      <c r="B45" s="156" t="str">
        <f>Capacidades!M37</f>
        <v xml:space="preserve">   </v>
      </c>
      <c r="C45" s="157"/>
      <c r="D45" s="14"/>
      <c r="E45" s="14"/>
      <c r="F45" s="14"/>
      <c r="G45" s="14"/>
      <c r="H45" s="14"/>
      <c r="I45" s="14"/>
      <c r="J45" s="14"/>
      <c r="K45" s="14"/>
      <c r="L45" s="424"/>
      <c r="M45" s="292" t="str">
        <f t="shared" si="0"/>
        <v xml:space="preserve">   </v>
      </c>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8"/>
      <c r="BF45" s="218"/>
      <c r="BG45" s="218"/>
      <c r="BH45" s="218"/>
      <c r="BI45" s="218"/>
      <c r="BJ45" s="218"/>
      <c r="BK45" s="218"/>
      <c r="BL45" s="218"/>
      <c r="BM45" s="218"/>
      <c r="BN45" s="218"/>
      <c r="BO45" s="218"/>
      <c r="BP45" s="218"/>
      <c r="BQ45" s="218"/>
      <c r="BR45" s="218"/>
      <c r="BS45" s="218"/>
      <c r="BT45" s="218"/>
      <c r="BU45" s="218"/>
      <c r="BV45" s="218"/>
      <c r="BW45" s="218"/>
      <c r="BX45" s="218"/>
      <c r="BY45" s="218"/>
      <c r="BZ45" s="218"/>
      <c r="CA45" s="218"/>
      <c r="CB45" s="218"/>
      <c r="CC45" s="218"/>
      <c r="CD45" s="218"/>
      <c r="CE45" s="218"/>
      <c r="CF45" s="218"/>
      <c r="CG45" s="218"/>
      <c r="CH45" s="218"/>
      <c r="CI45" s="218"/>
      <c r="CJ45" s="218"/>
      <c r="CK45" s="218"/>
      <c r="CL45" s="218"/>
      <c r="CM45" s="218"/>
    </row>
    <row r="46" spans="1:91" ht="12.75" hidden="1" customHeight="1" x14ac:dyDescent="0.2">
      <c r="A46" s="426"/>
      <c r="B46" s="156" t="str">
        <f>Capacidades!M38</f>
        <v xml:space="preserve">   </v>
      </c>
      <c r="C46" s="157"/>
      <c r="D46" s="14"/>
      <c r="E46" s="14"/>
      <c r="F46" s="14"/>
      <c r="G46" s="14"/>
      <c r="H46" s="14"/>
      <c r="I46" s="14"/>
      <c r="J46" s="14"/>
      <c r="K46" s="14"/>
      <c r="L46" s="424"/>
      <c r="M46" s="292" t="str">
        <f t="shared" si="0"/>
        <v xml:space="preserve">   </v>
      </c>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18"/>
      <c r="BK46" s="218"/>
      <c r="BL46" s="218"/>
      <c r="BM46" s="218"/>
      <c r="BN46" s="218"/>
      <c r="BO46" s="218"/>
      <c r="BP46" s="218"/>
      <c r="BQ46" s="218"/>
      <c r="BR46" s="218"/>
      <c r="BS46" s="218"/>
      <c r="BT46" s="218"/>
      <c r="BU46" s="218"/>
      <c r="BV46" s="218"/>
      <c r="BW46" s="218"/>
      <c r="BX46" s="218"/>
      <c r="BY46" s="218"/>
      <c r="BZ46" s="218"/>
      <c r="CA46" s="218"/>
      <c r="CB46" s="218"/>
      <c r="CC46" s="218"/>
      <c r="CD46" s="218"/>
      <c r="CE46" s="218"/>
      <c r="CF46" s="218"/>
      <c r="CG46" s="218"/>
      <c r="CH46" s="218"/>
      <c r="CI46" s="218"/>
      <c r="CJ46" s="218"/>
      <c r="CK46" s="218"/>
      <c r="CL46" s="218"/>
      <c r="CM46" s="218"/>
    </row>
    <row r="47" spans="1:91" ht="12.75" hidden="1" customHeight="1" x14ac:dyDescent="0.2">
      <c r="A47" s="427"/>
      <c r="B47" s="156" t="str">
        <f>Capacidades!M39</f>
        <v xml:space="preserve">   </v>
      </c>
      <c r="C47" s="157"/>
      <c r="D47" s="16"/>
      <c r="E47" s="16"/>
      <c r="F47" s="16"/>
      <c r="G47" s="16"/>
      <c r="H47" s="16"/>
      <c r="I47" s="16"/>
      <c r="J47" s="16"/>
      <c r="K47" s="16"/>
      <c r="L47" s="432"/>
      <c r="M47" s="292" t="str">
        <f t="shared" si="0"/>
        <v xml:space="preserve">   </v>
      </c>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8"/>
      <c r="BF47" s="218"/>
      <c r="BG47" s="218"/>
      <c r="BH47" s="218"/>
      <c r="BI47" s="218"/>
      <c r="BJ47" s="218"/>
      <c r="BK47" s="218"/>
      <c r="BL47" s="218"/>
      <c r="BM47" s="218"/>
      <c r="BN47" s="218"/>
      <c r="BO47" s="218"/>
      <c r="BP47" s="218"/>
      <c r="BQ47" s="218"/>
      <c r="BR47" s="218"/>
      <c r="BS47" s="218"/>
      <c r="BT47" s="218"/>
      <c r="BU47" s="218"/>
      <c r="BV47" s="218"/>
      <c r="BW47" s="218"/>
      <c r="BX47" s="218"/>
      <c r="BY47" s="218"/>
      <c r="BZ47" s="218"/>
      <c r="CA47" s="218"/>
      <c r="CB47" s="218"/>
      <c r="CC47" s="218"/>
      <c r="CD47" s="218"/>
      <c r="CE47" s="218"/>
      <c r="CF47" s="218"/>
      <c r="CG47" s="218"/>
      <c r="CH47" s="218"/>
      <c r="CI47" s="218"/>
      <c r="CJ47" s="218"/>
      <c r="CK47" s="218"/>
      <c r="CL47" s="218"/>
      <c r="CM47" s="218"/>
    </row>
    <row r="48" spans="1:91" hidden="1" x14ac:dyDescent="0.2">
      <c r="A48" s="425" t="str">
        <f>Capacidades!L40</f>
        <v xml:space="preserve">       </v>
      </c>
      <c r="B48" s="156" t="str">
        <f>Capacidades!M40</f>
        <v xml:space="preserve">   </v>
      </c>
      <c r="C48" s="189"/>
      <c r="D48" s="12">
        <f>Organización_Modular!F13</f>
        <v>0</v>
      </c>
      <c r="E48" s="12">
        <f>Organización_Modular!G13</f>
        <v>0</v>
      </c>
      <c r="F48" s="12">
        <f>Organización_Modular!H13</f>
        <v>0</v>
      </c>
      <c r="G48" s="12">
        <f>Organización_Modular!I13</f>
        <v>0</v>
      </c>
      <c r="H48" s="12">
        <f>SUM(F48:G48)</f>
        <v>0</v>
      </c>
      <c r="I48" s="12">
        <f>F48*16</f>
        <v>0</v>
      </c>
      <c r="J48" s="12">
        <f>G48*32</f>
        <v>0</v>
      </c>
      <c r="K48" s="12">
        <f>SUM(I48:J48)</f>
        <v>0</v>
      </c>
      <c r="L48" s="445"/>
      <c r="M48" s="292" t="str">
        <f t="shared" si="0"/>
        <v xml:space="preserve">   </v>
      </c>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c r="BH48" s="218"/>
      <c r="BI48" s="218"/>
      <c r="BJ48" s="218"/>
      <c r="BK48" s="218"/>
      <c r="BL48" s="218"/>
      <c r="BM48" s="218"/>
      <c r="BN48" s="218"/>
      <c r="BO48" s="218"/>
      <c r="BP48" s="218"/>
      <c r="BQ48" s="218"/>
      <c r="BR48" s="218"/>
      <c r="BS48" s="218"/>
      <c r="BT48" s="218"/>
      <c r="BU48" s="218"/>
      <c r="BV48" s="218"/>
      <c r="BW48" s="218"/>
      <c r="BX48" s="218"/>
      <c r="BY48" s="218"/>
      <c r="BZ48" s="218"/>
      <c r="CA48" s="218"/>
      <c r="CB48" s="218"/>
      <c r="CC48" s="218"/>
      <c r="CD48" s="218"/>
      <c r="CE48" s="218"/>
      <c r="CF48" s="218"/>
      <c r="CG48" s="218"/>
      <c r="CH48" s="218"/>
      <c r="CI48" s="218"/>
      <c r="CJ48" s="218"/>
      <c r="CK48" s="218"/>
      <c r="CL48" s="218"/>
      <c r="CM48" s="218"/>
    </row>
    <row r="49" spans="1:91" ht="129.75" hidden="1" customHeight="1" x14ac:dyDescent="0.2">
      <c r="A49" s="426"/>
      <c r="B49" s="156" t="str">
        <f>Capacidades!M41</f>
        <v xml:space="preserve">   </v>
      </c>
      <c r="C49" s="189"/>
      <c r="D49" s="14"/>
      <c r="E49" s="14"/>
      <c r="F49" s="14"/>
      <c r="G49" s="14"/>
      <c r="H49" s="14"/>
      <c r="I49" s="14"/>
      <c r="J49" s="14"/>
      <c r="K49" s="14"/>
      <c r="L49" s="446"/>
      <c r="M49" s="292" t="str">
        <f t="shared" si="0"/>
        <v xml:space="preserve">   </v>
      </c>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8"/>
      <c r="BF49" s="218"/>
      <c r="BG49" s="218"/>
      <c r="BH49" s="218"/>
      <c r="BI49" s="218"/>
      <c r="BJ49" s="218"/>
      <c r="BK49" s="218"/>
      <c r="BL49" s="218"/>
      <c r="BM49" s="218"/>
      <c r="BN49" s="218"/>
      <c r="BO49" s="218"/>
      <c r="BP49" s="218"/>
      <c r="BQ49" s="218"/>
      <c r="BR49" s="218"/>
      <c r="BS49" s="218"/>
      <c r="BT49" s="218"/>
      <c r="BU49" s="218"/>
      <c r="BV49" s="218"/>
      <c r="BW49" s="218"/>
      <c r="BX49" s="218"/>
      <c r="BY49" s="218"/>
      <c r="BZ49" s="218"/>
      <c r="CA49" s="218"/>
      <c r="CB49" s="218"/>
      <c r="CC49" s="218"/>
      <c r="CD49" s="218"/>
      <c r="CE49" s="218"/>
      <c r="CF49" s="218"/>
      <c r="CG49" s="218"/>
      <c r="CH49" s="218"/>
      <c r="CI49" s="218"/>
      <c r="CJ49" s="218"/>
      <c r="CK49" s="218"/>
      <c r="CL49" s="218"/>
      <c r="CM49" s="218"/>
    </row>
    <row r="50" spans="1:91" ht="71.25" hidden="1" customHeight="1" x14ac:dyDescent="0.2">
      <c r="A50" s="426"/>
      <c r="B50" s="156" t="str">
        <f>Capacidades!M42</f>
        <v xml:space="preserve">   </v>
      </c>
      <c r="C50" s="189"/>
      <c r="D50" s="14"/>
      <c r="E50" s="14"/>
      <c r="F50" s="14"/>
      <c r="G50" s="14"/>
      <c r="H50" s="14"/>
      <c r="I50" s="14"/>
      <c r="J50" s="14"/>
      <c r="K50" s="14"/>
      <c r="L50" s="446"/>
      <c r="M50" s="292" t="str">
        <f t="shared" si="0"/>
        <v xml:space="preserve">   </v>
      </c>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8"/>
      <c r="BF50" s="218"/>
      <c r="BG50" s="218"/>
      <c r="BH50" s="218"/>
      <c r="BI50" s="218"/>
      <c r="BJ50" s="218"/>
      <c r="BK50" s="218"/>
      <c r="BL50" s="218"/>
      <c r="BM50" s="218"/>
      <c r="BN50" s="218"/>
      <c r="BO50" s="218"/>
      <c r="BP50" s="218"/>
      <c r="BQ50" s="218"/>
      <c r="BR50" s="218"/>
      <c r="BS50" s="218"/>
      <c r="BT50" s="218"/>
      <c r="BU50" s="218"/>
      <c r="BV50" s="218"/>
      <c r="BW50" s="218"/>
      <c r="BX50" s="218"/>
      <c r="BY50" s="218"/>
      <c r="BZ50" s="218"/>
      <c r="CA50" s="218"/>
      <c r="CB50" s="218"/>
      <c r="CC50" s="218"/>
      <c r="CD50" s="218"/>
      <c r="CE50" s="218"/>
      <c r="CF50" s="218"/>
      <c r="CG50" s="218"/>
      <c r="CH50" s="218"/>
      <c r="CI50" s="218"/>
      <c r="CJ50" s="218"/>
      <c r="CK50" s="218"/>
      <c r="CL50" s="218"/>
      <c r="CM50" s="218"/>
    </row>
    <row r="51" spans="1:91" hidden="1" x14ac:dyDescent="0.2">
      <c r="A51" s="426"/>
      <c r="B51" s="156" t="str">
        <f>Capacidades!M43</f>
        <v xml:space="preserve">   </v>
      </c>
      <c r="C51" s="189"/>
      <c r="D51" s="14"/>
      <c r="E51" s="14"/>
      <c r="F51" s="14"/>
      <c r="G51" s="14"/>
      <c r="H51" s="14"/>
      <c r="I51" s="14"/>
      <c r="J51" s="14"/>
      <c r="K51" s="14"/>
      <c r="L51" s="446"/>
      <c r="M51" s="292" t="str">
        <f t="shared" si="0"/>
        <v xml:space="preserve">   </v>
      </c>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8"/>
      <c r="BF51" s="218"/>
      <c r="BG51" s="218"/>
      <c r="BH51" s="218"/>
      <c r="BI51" s="218"/>
      <c r="BJ51" s="218"/>
      <c r="BK51" s="218"/>
      <c r="BL51" s="218"/>
      <c r="BM51" s="218"/>
      <c r="BN51" s="218"/>
      <c r="BO51" s="218"/>
      <c r="BP51" s="218"/>
      <c r="BQ51" s="218"/>
      <c r="BR51" s="218"/>
      <c r="BS51" s="218"/>
      <c r="BT51" s="218"/>
      <c r="BU51" s="218"/>
      <c r="BV51" s="218"/>
      <c r="BW51" s="218"/>
      <c r="BX51" s="218"/>
      <c r="BY51" s="218"/>
      <c r="BZ51" s="218"/>
      <c r="CA51" s="218"/>
      <c r="CB51" s="218"/>
      <c r="CC51" s="218"/>
      <c r="CD51" s="218"/>
      <c r="CE51" s="218"/>
      <c r="CF51" s="218"/>
      <c r="CG51" s="218"/>
      <c r="CH51" s="218"/>
      <c r="CI51" s="218"/>
      <c r="CJ51" s="218"/>
      <c r="CK51" s="218"/>
      <c r="CL51" s="218"/>
      <c r="CM51" s="218"/>
    </row>
    <row r="52" spans="1:91" hidden="1" x14ac:dyDescent="0.2">
      <c r="A52" s="426"/>
      <c r="B52" s="156" t="str">
        <f>Capacidades!M44</f>
        <v xml:space="preserve">   </v>
      </c>
      <c r="C52" s="157"/>
      <c r="D52" s="14"/>
      <c r="E52" s="14"/>
      <c r="F52" s="14"/>
      <c r="G52" s="14"/>
      <c r="H52" s="14"/>
      <c r="I52" s="14"/>
      <c r="J52" s="14"/>
      <c r="K52" s="14"/>
      <c r="L52" s="446"/>
      <c r="M52" s="292" t="str">
        <f t="shared" si="0"/>
        <v xml:space="preserve">   </v>
      </c>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218"/>
      <c r="BJ52" s="218"/>
      <c r="BK52" s="218"/>
      <c r="BL52" s="218"/>
      <c r="BM52" s="218"/>
      <c r="BN52" s="218"/>
      <c r="BO52" s="218"/>
      <c r="BP52" s="218"/>
      <c r="BQ52" s="218"/>
      <c r="BR52" s="218"/>
      <c r="BS52" s="218"/>
      <c r="BT52" s="218"/>
      <c r="BU52" s="218"/>
      <c r="BV52" s="218"/>
      <c r="BW52" s="218"/>
      <c r="BX52" s="218"/>
      <c r="BY52" s="218"/>
      <c r="BZ52" s="218"/>
      <c r="CA52" s="218"/>
      <c r="CB52" s="218"/>
      <c r="CC52" s="218"/>
      <c r="CD52" s="218"/>
      <c r="CE52" s="218"/>
      <c r="CF52" s="218"/>
      <c r="CG52" s="218"/>
      <c r="CH52" s="218"/>
      <c r="CI52" s="218"/>
      <c r="CJ52" s="218"/>
      <c r="CK52" s="218"/>
      <c r="CL52" s="218"/>
      <c r="CM52" s="218"/>
    </row>
    <row r="53" spans="1:91" hidden="1" x14ac:dyDescent="0.2">
      <c r="A53" s="426"/>
      <c r="B53" s="156" t="str">
        <f>Capacidades!M45</f>
        <v xml:space="preserve">   </v>
      </c>
      <c r="C53" s="157"/>
      <c r="D53" s="14"/>
      <c r="E53" s="14"/>
      <c r="F53" s="14"/>
      <c r="G53" s="14"/>
      <c r="H53" s="14"/>
      <c r="I53" s="14"/>
      <c r="J53" s="14"/>
      <c r="K53" s="14"/>
      <c r="L53" s="446"/>
      <c r="M53" s="292" t="str">
        <f t="shared" si="0"/>
        <v xml:space="preserve">   </v>
      </c>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c r="BH53" s="218"/>
      <c r="BI53" s="218"/>
      <c r="BJ53" s="218"/>
      <c r="BK53" s="218"/>
      <c r="BL53" s="218"/>
      <c r="BM53" s="218"/>
      <c r="BN53" s="218"/>
      <c r="BO53" s="218"/>
      <c r="BP53" s="218"/>
      <c r="BQ53" s="218"/>
      <c r="BR53" s="218"/>
      <c r="BS53" s="218"/>
      <c r="BT53" s="218"/>
      <c r="BU53" s="218"/>
      <c r="BV53" s="218"/>
      <c r="BW53" s="218"/>
      <c r="BX53" s="218"/>
      <c r="BY53" s="218"/>
      <c r="BZ53" s="218"/>
      <c r="CA53" s="218"/>
      <c r="CB53" s="218"/>
      <c r="CC53" s="218"/>
      <c r="CD53" s="218"/>
      <c r="CE53" s="218"/>
      <c r="CF53" s="218"/>
      <c r="CG53" s="218"/>
      <c r="CH53" s="218"/>
      <c r="CI53" s="218"/>
      <c r="CJ53" s="218"/>
      <c r="CK53" s="218"/>
      <c r="CL53" s="218"/>
      <c r="CM53" s="218"/>
    </row>
    <row r="54" spans="1:91" hidden="1" x14ac:dyDescent="0.2">
      <c r="A54" s="426"/>
      <c r="B54" s="156" t="str">
        <f>Capacidades!M46</f>
        <v xml:space="preserve">   </v>
      </c>
      <c r="C54" s="157"/>
      <c r="D54" s="14"/>
      <c r="E54" s="14"/>
      <c r="F54" s="14"/>
      <c r="G54" s="14"/>
      <c r="H54" s="14"/>
      <c r="I54" s="14"/>
      <c r="J54" s="14"/>
      <c r="K54" s="14"/>
      <c r="L54" s="446"/>
      <c r="M54" s="292" t="str">
        <f t="shared" si="0"/>
        <v xml:space="preserve">   </v>
      </c>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218"/>
      <c r="BH54" s="218"/>
      <c r="BI54" s="218"/>
      <c r="BJ54" s="218"/>
      <c r="BK54" s="218"/>
      <c r="BL54" s="218"/>
      <c r="BM54" s="218"/>
      <c r="BN54" s="218"/>
      <c r="BO54" s="218"/>
      <c r="BP54" s="218"/>
      <c r="BQ54" s="218"/>
      <c r="BR54" s="218"/>
      <c r="BS54" s="218"/>
      <c r="BT54" s="218"/>
      <c r="BU54" s="218"/>
      <c r="BV54" s="218"/>
      <c r="BW54" s="218"/>
      <c r="BX54" s="218"/>
      <c r="BY54" s="218"/>
      <c r="BZ54" s="218"/>
      <c r="CA54" s="218"/>
      <c r="CB54" s="218"/>
      <c r="CC54" s="218"/>
      <c r="CD54" s="218"/>
      <c r="CE54" s="218"/>
      <c r="CF54" s="218"/>
      <c r="CG54" s="218"/>
      <c r="CH54" s="218"/>
      <c r="CI54" s="218"/>
      <c r="CJ54" s="218"/>
      <c r="CK54" s="218"/>
      <c r="CL54" s="218"/>
      <c r="CM54" s="218"/>
    </row>
    <row r="55" spans="1:91" hidden="1" x14ac:dyDescent="0.2">
      <c r="A55" s="426"/>
      <c r="B55" s="156" t="str">
        <f>Capacidades!M47</f>
        <v xml:space="preserve">   </v>
      </c>
      <c r="C55" s="157"/>
      <c r="D55" s="14"/>
      <c r="E55" s="14"/>
      <c r="F55" s="14"/>
      <c r="G55" s="14"/>
      <c r="H55" s="14"/>
      <c r="I55" s="14"/>
      <c r="J55" s="14"/>
      <c r="K55" s="14"/>
      <c r="L55" s="446"/>
      <c r="M55" s="292" t="str">
        <f t="shared" si="0"/>
        <v xml:space="preserve">   </v>
      </c>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c r="BH55" s="218"/>
      <c r="BI55" s="218"/>
      <c r="BJ55" s="218"/>
      <c r="BK55" s="218"/>
      <c r="BL55" s="218"/>
      <c r="BM55" s="218"/>
      <c r="BN55" s="218"/>
      <c r="BO55" s="218"/>
      <c r="BP55" s="218"/>
      <c r="BQ55" s="218"/>
      <c r="BR55" s="218"/>
      <c r="BS55" s="218"/>
      <c r="BT55" s="218"/>
      <c r="BU55" s="218"/>
      <c r="BV55" s="218"/>
      <c r="BW55" s="218"/>
      <c r="BX55" s="218"/>
      <c r="BY55" s="218"/>
      <c r="BZ55" s="218"/>
      <c r="CA55" s="218"/>
      <c r="CB55" s="218"/>
      <c r="CC55" s="218"/>
      <c r="CD55" s="218"/>
      <c r="CE55" s="218"/>
      <c r="CF55" s="218"/>
      <c r="CG55" s="218"/>
      <c r="CH55" s="218"/>
      <c r="CI55" s="218"/>
      <c r="CJ55" s="218"/>
      <c r="CK55" s="218"/>
      <c r="CL55" s="218"/>
      <c r="CM55" s="218"/>
    </row>
    <row r="56" spans="1:91" hidden="1" x14ac:dyDescent="0.2">
      <c r="A56" s="426"/>
      <c r="B56" s="156" t="str">
        <f>Capacidades!M48</f>
        <v xml:space="preserve">   </v>
      </c>
      <c r="C56" s="157"/>
      <c r="D56" s="14"/>
      <c r="E56" s="14"/>
      <c r="F56" s="14"/>
      <c r="G56" s="14"/>
      <c r="H56" s="14"/>
      <c r="I56" s="14"/>
      <c r="J56" s="14"/>
      <c r="K56" s="14"/>
      <c r="L56" s="446"/>
      <c r="M56" s="292" t="str">
        <f t="shared" si="0"/>
        <v xml:space="preserve">   </v>
      </c>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218"/>
      <c r="BH56" s="218"/>
      <c r="BI56" s="218"/>
      <c r="BJ56" s="218"/>
      <c r="BK56" s="218"/>
      <c r="BL56" s="218"/>
      <c r="BM56" s="218"/>
      <c r="BN56" s="218"/>
      <c r="BO56" s="218"/>
      <c r="BP56" s="218"/>
      <c r="BQ56" s="218"/>
      <c r="BR56" s="218"/>
      <c r="BS56" s="218"/>
      <c r="BT56" s="218"/>
      <c r="BU56" s="218"/>
      <c r="BV56" s="218"/>
      <c r="BW56" s="218"/>
      <c r="BX56" s="218"/>
      <c r="BY56" s="218"/>
      <c r="BZ56" s="218"/>
      <c r="CA56" s="218"/>
      <c r="CB56" s="218"/>
      <c r="CC56" s="218"/>
      <c r="CD56" s="218"/>
      <c r="CE56" s="218"/>
      <c r="CF56" s="218"/>
      <c r="CG56" s="218"/>
      <c r="CH56" s="218"/>
      <c r="CI56" s="218"/>
      <c r="CJ56" s="218"/>
      <c r="CK56" s="218"/>
      <c r="CL56" s="218"/>
      <c r="CM56" s="218"/>
    </row>
    <row r="57" spans="1:91" hidden="1" x14ac:dyDescent="0.2">
      <c r="A57" s="427"/>
      <c r="B57" s="156" t="str">
        <f>Capacidades!M49</f>
        <v xml:space="preserve">   </v>
      </c>
      <c r="C57" s="157"/>
      <c r="D57" s="16"/>
      <c r="E57" s="16"/>
      <c r="F57" s="16"/>
      <c r="G57" s="16"/>
      <c r="H57" s="16"/>
      <c r="I57" s="16"/>
      <c r="J57" s="16"/>
      <c r="K57" s="16"/>
      <c r="L57" s="447"/>
      <c r="M57" s="292" t="str">
        <f t="shared" si="0"/>
        <v xml:space="preserve">   </v>
      </c>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218"/>
      <c r="BH57" s="218"/>
      <c r="BI57" s="218"/>
      <c r="BJ57" s="218"/>
      <c r="BK57" s="218"/>
      <c r="BL57" s="218"/>
      <c r="BM57" s="218"/>
      <c r="BN57" s="218"/>
      <c r="BO57" s="218"/>
      <c r="BP57" s="218"/>
      <c r="BQ57" s="218"/>
      <c r="BR57" s="218"/>
      <c r="BS57" s="218"/>
      <c r="BT57" s="218"/>
      <c r="BU57" s="218"/>
      <c r="BV57" s="218"/>
      <c r="BW57" s="218"/>
      <c r="BX57" s="218"/>
      <c r="BY57" s="218"/>
      <c r="BZ57" s="218"/>
      <c r="CA57" s="218"/>
      <c r="CB57" s="218"/>
      <c r="CC57" s="218"/>
      <c r="CD57" s="218"/>
      <c r="CE57" s="218"/>
      <c r="CF57" s="218"/>
      <c r="CG57" s="218"/>
      <c r="CH57" s="218"/>
      <c r="CI57" s="218"/>
      <c r="CJ57" s="218"/>
      <c r="CK57" s="218"/>
      <c r="CL57" s="218"/>
      <c r="CM57" s="218"/>
    </row>
    <row r="58" spans="1:91" ht="0.75" customHeight="1" x14ac:dyDescent="0.2">
      <c r="A58" s="425" t="str">
        <f>Capacidades!L50</f>
        <v xml:space="preserve">       </v>
      </c>
      <c r="B58" s="156" t="str">
        <f>Capacidades!M50</f>
        <v xml:space="preserve">   </v>
      </c>
      <c r="C58" s="157"/>
      <c r="D58" s="12">
        <f>Organización_Modular!F14</f>
        <v>0</v>
      </c>
      <c r="E58" s="12">
        <f>Organización_Modular!G14</f>
        <v>0</v>
      </c>
      <c r="F58" s="12">
        <f>Organización_Modular!H14</f>
        <v>0</v>
      </c>
      <c r="G58" s="12">
        <f>Organización_Modular!I14</f>
        <v>0</v>
      </c>
      <c r="H58" s="12">
        <f>SUM(F58:G58)</f>
        <v>0</v>
      </c>
      <c r="I58" s="12">
        <f>F58*16</f>
        <v>0</v>
      </c>
      <c r="J58" s="12">
        <f>G58*32</f>
        <v>0</v>
      </c>
      <c r="K58" s="12">
        <f>SUM(I58:J58)</f>
        <v>0</v>
      </c>
      <c r="L58" s="445"/>
      <c r="M58" s="292" t="str">
        <f t="shared" si="0"/>
        <v xml:space="preserve">   </v>
      </c>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8"/>
      <c r="BF58" s="218"/>
      <c r="BG58" s="218"/>
      <c r="BH58" s="218"/>
      <c r="BI58" s="218"/>
      <c r="BJ58" s="218"/>
      <c r="BK58" s="218"/>
      <c r="BL58" s="218"/>
      <c r="BM58" s="218"/>
      <c r="BN58" s="218"/>
      <c r="BO58" s="218"/>
      <c r="BP58" s="218"/>
      <c r="BQ58" s="218"/>
      <c r="BR58" s="218"/>
      <c r="BS58" s="218"/>
      <c r="BT58" s="218"/>
      <c r="BU58" s="218"/>
      <c r="BV58" s="218"/>
      <c r="BW58" s="218"/>
      <c r="BX58" s="218"/>
      <c r="BY58" s="218"/>
      <c r="BZ58" s="218"/>
      <c r="CA58" s="218"/>
      <c r="CB58" s="218"/>
      <c r="CC58" s="218"/>
      <c r="CD58" s="218"/>
      <c r="CE58" s="218"/>
      <c r="CF58" s="218"/>
      <c r="CG58" s="218"/>
      <c r="CH58" s="218"/>
      <c r="CI58" s="218"/>
      <c r="CJ58" s="218"/>
      <c r="CK58" s="218"/>
      <c r="CL58" s="218"/>
      <c r="CM58" s="218"/>
    </row>
    <row r="59" spans="1:91" hidden="1" x14ac:dyDescent="0.2">
      <c r="A59" s="426"/>
      <c r="B59" s="156" t="str">
        <f>Capacidades!M51</f>
        <v xml:space="preserve">   </v>
      </c>
      <c r="C59" s="157"/>
      <c r="D59" s="14"/>
      <c r="E59" s="14"/>
      <c r="F59" s="14"/>
      <c r="G59" s="14"/>
      <c r="H59" s="14"/>
      <c r="I59" s="14"/>
      <c r="J59" s="14"/>
      <c r="K59" s="14"/>
      <c r="L59" s="446"/>
      <c r="M59" s="292" t="str">
        <f t="shared" si="0"/>
        <v xml:space="preserve">   </v>
      </c>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8"/>
      <c r="BF59" s="218"/>
      <c r="BG59" s="218"/>
      <c r="BH59" s="218"/>
      <c r="BI59" s="218"/>
      <c r="BJ59" s="218"/>
      <c r="BK59" s="218"/>
      <c r="BL59" s="218"/>
      <c r="BM59" s="218"/>
      <c r="BN59" s="218"/>
      <c r="BO59" s="218"/>
      <c r="BP59" s="218"/>
      <c r="BQ59" s="218"/>
      <c r="BR59" s="218"/>
      <c r="BS59" s="218"/>
      <c r="BT59" s="218"/>
      <c r="BU59" s="218"/>
      <c r="BV59" s="218"/>
      <c r="BW59" s="218"/>
      <c r="BX59" s="218"/>
      <c r="BY59" s="218"/>
      <c r="BZ59" s="218"/>
      <c r="CA59" s="218"/>
      <c r="CB59" s="218"/>
      <c r="CC59" s="218"/>
      <c r="CD59" s="218"/>
      <c r="CE59" s="218"/>
      <c r="CF59" s="218"/>
      <c r="CG59" s="218"/>
      <c r="CH59" s="218"/>
      <c r="CI59" s="218"/>
      <c r="CJ59" s="218"/>
      <c r="CK59" s="218"/>
      <c r="CL59" s="218"/>
      <c r="CM59" s="218"/>
    </row>
    <row r="60" spans="1:91" hidden="1" x14ac:dyDescent="0.2">
      <c r="A60" s="426"/>
      <c r="B60" s="156" t="str">
        <f>Capacidades!M52</f>
        <v xml:space="preserve">   </v>
      </c>
      <c r="C60" s="157"/>
      <c r="D60" s="14"/>
      <c r="E60" s="14"/>
      <c r="F60" s="14"/>
      <c r="G60" s="14"/>
      <c r="H60" s="14"/>
      <c r="I60" s="14"/>
      <c r="J60" s="14"/>
      <c r="K60" s="14"/>
      <c r="L60" s="446"/>
      <c r="M60" s="292" t="str">
        <f t="shared" si="0"/>
        <v xml:space="preserve">   </v>
      </c>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218"/>
      <c r="BH60" s="218"/>
      <c r="BI60" s="218"/>
      <c r="BJ60" s="218"/>
      <c r="BK60" s="218"/>
      <c r="BL60" s="218"/>
      <c r="BM60" s="218"/>
      <c r="BN60" s="218"/>
      <c r="BO60" s="218"/>
      <c r="BP60" s="218"/>
      <c r="BQ60" s="218"/>
      <c r="BR60" s="218"/>
      <c r="BS60" s="218"/>
      <c r="BT60" s="218"/>
      <c r="BU60" s="218"/>
      <c r="BV60" s="218"/>
      <c r="BW60" s="218"/>
      <c r="BX60" s="218"/>
      <c r="BY60" s="218"/>
      <c r="BZ60" s="218"/>
      <c r="CA60" s="218"/>
      <c r="CB60" s="218"/>
      <c r="CC60" s="218"/>
      <c r="CD60" s="218"/>
      <c r="CE60" s="218"/>
      <c r="CF60" s="218"/>
      <c r="CG60" s="218"/>
      <c r="CH60" s="218"/>
      <c r="CI60" s="218"/>
      <c r="CJ60" s="218"/>
      <c r="CK60" s="218"/>
      <c r="CL60" s="218"/>
      <c r="CM60" s="218"/>
    </row>
    <row r="61" spans="1:91" hidden="1" x14ac:dyDescent="0.2">
      <c r="A61" s="426"/>
      <c r="B61" s="156" t="str">
        <f>Capacidades!M53</f>
        <v xml:space="preserve">   </v>
      </c>
      <c r="C61" s="157"/>
      <c r="D61" s="14"/>
      <c r="E61" s="14"/>
      <c r="F61" s="14"/>
      <c r="G61" s="14"/>
      <c r="H61" s="14"/>
      <c r="I61" s="14"/>
      <c r="J61" s="14"/>
      <c r="K61" s="14"/>
      <c r="L61" s="446"/>
      <c r="M61" s="292" t="str">
        <f t="shared" si="0"/>
        <v xml:space="preserve">   </v>
      </c>
      <c r="N61" s="218"/>
      <c r="O61" s="218"/>
      <c r="P61" s="218"/>
      <c r="Q61" s="218"/>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8"/>
      <c r="BF61" s="218"/>
      <c r="BG61" s="218"/>
      <c r="BH61" s="218"/>
      <c r="BI61" s="218"/>
      <c r="BJ61" s="218"/>
      <c r="BK61" s="218"/>
      <c r="BL61" s="218"/>
      <c r="BM61" s="218"/>
      <c r="BN61" s="218"/>
      <c r="BO61" s="218"/>
      <c r="BP61" s="218"/>
      <c r="BQ61" s="218"/>
      <c r="BR61" s="218"/>
      <c r="BS61" s="218"/>
      <c r="BT61" s="218"/>
      <c r="BU61" s="218"/>
      <c r="BV61" s="218"/>
      <c r="BW61" s="218"/>
      <c r="BX61" s="218"/>
      <c r="BY61" s="218"/>
      <c r="BZ61" s="218"/>
      <c r="CA61" s="218"/>
      <c r="CB61" s="218"/>
      <c r="CC61" s="218"/>
      <c r="CD61" s="218"/>
      <c r="CE61" s="218"/>
      <c r="CF61" s="218"/>
      <c r="CG61" s="218"/>
      <c r="CH61" s="218"/>
      <c r="CI61" s="218"/>
      <c r="CJ61" s="218"/>
      <c r="CK61" s="218"/>
      <c r="CL61" s="218"/>
      <c r="CM61" s="218"/>
    </row>
    <row r="62" spans="1:91" hidden="1" x14ac:dyDescent="0.2">
      <c r="A62" s="426"/>
      <c r="B62" s="156" t="str">
        <f>Capacidades!M54</f>
        <v xml:space="preserve">   </v>
      </c>
      <c r="C62" s="157"/>
      <c r="D62" s="14"/>
      <c r="E62" s="14"/>
      <c r="F62" s="14"/>
      <c r="G62" s="14"/>
      <c r="H62" s="14"/>
      <c r="I62" s="14"/>
      <c r="J62" s="14"/>
      <c r="K62" s="14"/>
      <c r="L62" s="446"/>
      <c r="M62" s="292" t="str">
        <f t="shared" si="0"/>
        <v xml:space="preserve">   </v>
      </c>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8"/>
      <c r="BF62" s="218"/>
      <c r="BG62" s="218"/>
      <c r="BH62" s="218"/>
      <c r="BI62" s="218"/>
      <c r="BJ62" s="218"/>
      <c r="BK62" s="218"/>
      <c r="BL62" s="218"/>
      <c r="BM62" s="218"/>
      <c r="BN62" s="218"/>
      <c r="BO62" s="218"/>
      <c r="BP62" s="218"/>
      <c r="BQ62" s="218"/>
      <c r="BR62" s="218"/>
      <c r="BS62" s="218"/>
      <c r="BT62" s="218"/>
      <c r="BU62" s="218"/>
      <c r="BV62" s="218"/>
      <c r="BW62" s="218"/>
      <c r="BX62" s="218"/>
      <c r="BY62" s="218"/>
      <c r="BZ62" s="218"/>
      <c r="CA62" s="218"/>
      <c r="CB62" s="218"/>
      <c r="CC62" s="218"/>
      <c r="CD62" s="218"/>
      <c r="CE62" s="218"/>
      <c r="CF62" s="218"/>
      <c r="CG62" s="218"/>
      <c r="CH62" s="218"/>
      <c r="CI62" s="218"/>
      <c r="CJ62" s="218"/>
      <c r="CK62" s="218"/>
      <c r="CL62" s="218"/>
      <c r="CM62" s="218"/>
    </row>
    <row r="63" spans="1:91" hidden="1" x14ac:dyDescent="0.2">
      <c r="A63" s="426"/>
      <c r="B63" s="156" t="str">
        <f>Capacidades!M55</f>
        <v xml:space="preserve">   </v>
      </c>
      <c r="C63" s="157"/>
      <c r="D63" s="14"/>
      <c r="E63" s="14"/>
      <c r="F63" s="14"/>
      <c r="G63" s="14"/>
      <c r="H63" s="14"/>
      <c r="I63" s="14"/>
      <c r="J63" s="14"/>
      <c r="K63" s="14"/>
      <c r="L63" s="446"/>
      <c r="M63" s="292" t="str">
        <f t="shared" si="0"/>
        <v xml:space="preserve">   </v>
      </c>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8"/>
      <c r="BF63" s="218"/>
      <c r="BG63" s="218"/>
      <c r="BH63" s="218"/>
      <c r="BI63" s="218"/>
      <c r="BJ63" s="218"/>
      <c r="BK63" s="218"/>
      <c r="BL63" s="218"/>
      <c r="BM63" s="218"/>
      <c r="BN63" s="218"/>
      <c r="BO63" s="218"/>
      <c r="BP63" s="218"/>
      <c r="BQ63" s="218"/>
      <c r="BR63" s="218"/>
      <c r="BS63" s="218"/>
      <c r="BT63" s="218"/>
      <c r="BU63" s="218"/>
      <c r="BV63" s="218"/>
      <c r="BW63" s="218"/>
      <c r="BX63" s="218"/>
      <c r="BY63" s="218"/>
      <c r="BZ63" s="218"/>
      <c r="CA63" s="218"/>
      <c r="CB63" s="218"/>
      <c r="CC63" s="218"/>
      <c r="CD63" s="218"/>
      <c r="CE63" s="218"/>
      <c r="CF63" s="218"/>
      <c r="CG63" s="218"/>
      <c r="CH63" s="218"/>
      <c r="CI63" s="218"/>
      <c r="CJ63" s="218"/>
      <c r="CK63" s="218"/>
      <c r="CL63" s="218"/>
      <c r="CM63" s="218"/>
    </row>
    <row r="64" spans="1:91" hidden="1" x14ac:dyDescent="0.2">
      <c r="A64" s="426"/>
      <c r="B64" s="156" t="str">
        <f>Capacidades!M56</f>
        <v xml:space="preserve">   </v>
      </c>
      <c r="C64" s="157"/>
      <c r="D64" s="14"/>
      <c r="E64" s="14"/>
      <c r="F64" s="14"/>
      <c r="G64" s="14"/>
      <c r="H64" s="14"/>
      <c r="I64" s="14"/>
      <c r="J64" s="14"/>
      <c r="K64" s="14"/>
      <c r="L64" s="446"/>
      <c r="M64" s="292" t="str">
        <f t="shared" si="0"/>
        <v xml:space="preserve">   </v>
      </c>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18"/>
      <c r="BK64" s="218"/>
      <c r="BL64" s="218"/>
      <c r="BM64" s="218"/>
      <c r="BN64" s="218"/>
      <c r="BO64" s="218"/>
      <c r="BP64" s="218"/>
      <c r="BQ64" s="218"/>
      <c r="BR64" s="218"/>
      <c r="BS64" s="218"/>
      <c r="BT64" s="218"/>
      <c r="BU64" s="218"/>
      <c r="BV64" s="218"/>
      <c r="BW64" s="218"/>
      <c r="BX64" s="218"/>
      <c r="BY64" s="218"/>
      <c r="BZ64" s="218"/>
      <c r="CA64" s="218"/>
      <c r="CB64" s="218"/>
      <c r="CC64" s="218"/>
      <c r="CD64" s="218"/>
      <c r="CE64" s="218"/>
      <c r="CF64" s="218"/>
      <c r="CG64" s="218"/>
      <c r="CH64" s="218"/>
      <c r="CI64" s="218"/>
      <c r="CJ64" s="218"/>
      <c r="CK64" s="218"/>
      <c r="CL64" s="218"/>
      <c r="CM64" s="218"/>
    </row>
    <row r="65" spans="1:91" hidden="1" x14ac:dyDescent="0.2">
      <c r="A65" s="426"/>
      <c r="B65" s="156" t="str">
        <f>Capacidades!M57</f>
        <v xml:space="preserve">   </v>
      </c>
      <c r="C65" s="157"/>
      <c r="D65" s="14"/>
      <c r="E65" s="14"/>
      <c r="F65" s="14"/>
      <c r="G65" s="14"/>
      <c r="H65" s="14"/>
      <c r="I65" s="14"/>
      <c r="J65" s="14"/>
      <c r="K65" s="14"/>
      <c r="L65" s="446"/>
      <c r="M65" s="292" t="str">
        <f t="shared" si="0"/>
        <v xml:space="preserve">   </v>
      </c>
      <c r="N65" s="218"/>
      <c r="O65" s="218"/>
      <c r="P65" s="218"/>
      <c r="Q65" s="218"/>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8"/>
      <c r="BF65" s="218"/>
      <c r="BG65" s="218"/>
      <c r="BH65" s="218"/>
      <c r="BI65" s="218"/>
      <c r="BJ65" s="218"/>
      <c r="BK65" s="218"/>
      <c r="BL65" s="218"/>
      <c r="BM65" s="218"/>
      <c r="BN65" s="218"/>
      <c r="BO65" s="218"/>
      <c r="BP65" s="218"/>
      <c r="BQ65" s="218"/>
      <c r="BR65" s="218"/>
      <c r="BS65" s="218"/>
      <c r="BT65" s="218"/>
      <c r="BU65" s="218"/>
      <c r="BV65" s="218"/>
      <c r="BW65" s="218"/>
      <c r="BX65" s="218"/>
      <c r="BY65" s="218"/>
      <c r="BZ65" s="218"/>
      <c r="CA65" s="218"/>
      <c r="CB65" s="218"/>
      <c r="CC65" s="218"/>
      <c r="CD65" s="218"/>
      <c r="CE65" s="218"/>
      <c r="CF65" s="218"/>
      <c r="CG65" s="218"/>
      <c r="CH65" s="218"/>
      <c r="CI65" s="218"/>
      <c r="CJ65" s="218"/>
      <c r="CK65" s="218"/>
      <c r="CL65" s="218"/>
      <c r="CM65" s="218"/>
    </row>
    <row r="66" spans="1:91" hidden="1" x14ac:dyDescent="0.2">
      <c r="A66" s="426"/>
      <c r="B66" s="156" t="str">
        <f>Capacidades!M58</f>
        <v xml:space="preserve">   </v>
      </c>
      <c r="C66" s="157"/>
      <c r="D66" s="14"/>
      <c r="E66" s="14"/>
      <c r="F66" s="14"/>
      <c r="G66" s="14"/>
      <c r="H66" s="14"/>
      <c r="I66" s="14"/>
      <c r="J66" s="14"/>
      <c r="K66" s="14"/>
      <c r="L66" s="446"/>
      <c r="M66" s="292" t="str">
        <f t="shared" si="0"/>
        <v xml:space="preserve">   </v>
      </c>
      <c r="N66" s="218"/>
      <c r="O66" s="218"/>
      <c r="P66" s="218"/>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8"/>
      <c r="BF66" s="218"/>
      <c r="BG66" s="218"/>
      <c r="BH66" s="218"/>
      <c r="BI66" s="218"/>
      <c r="BJ66" s="218"/>
      <c r="BK66" s="218"/>
      <c r="BL66" s="218"/>
      <c r="BM66" s="218"/>
      <c r="BN66" s="218"/>
      <c r="BO66" s="218"/>
      <c r="BP66" s="218"/>
      <c r="BQ66" s="218"/>
      <c r="BR66" s="218"/>
      <c r="BS66" s="218"/>
      <c r="BT66" s="218"/>
      <c r="BU66" s="218"/>
      <c r="BV66" s="218"/>
      <c r="BW66" s="218"/>
      <c r="BX66" s="218"/>
      <c r="BY66" s="218"/>
      <c r="BZ66" s="218"/>
      <c r="CA66" s="218"/>
      <c r="CB66" s="218"/>
      <c r="CC66" s="218"/>
      <c r="CD66" s="218"/>
      <c r="CE66" s="218"/>
      <c r="CF66" s="218"/>
      <c r="CG66" s="218"/>
      <c r="CH66" s="218"/>
      <c r="CI66" s="218"/>
      <c r="CJ66" s="218"/>
      <c r="CK66" s="218"/>
      <c r="CL66" s="218"/>
      <c r="CM66" s="218"/>
    </row>
    <row r="67" spans="1:91" hidden="1" x14ac:dyDescent="0.2">
      <c r="A67" s="427"/>
      <c r="B67" s="156" t="str">
        <f>Capacidades!M59</f>
        <v xml:space="preserve">   </v>
      </c>
      <c r="C67" s="157"/>
      <c r="D67" s="16"/>
      <c r="E67" s="16"/>
      <c r="F67" s="16"/>
      <c r="G67" s="16"/>
      <c r="H67" s="16"/>
      <c r="I67" s="16"/>
      <c r="J67" s="16"/>
      <c r="K67" s="16"/>
      <c r="L67" s="447"/>
      <c r="M67" s="292" t="str">
        <f t="shared" si="0"/>
        <v xml:space="preserve">   </v>
      </c>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c r="BH67" s="218"/>
      <c r="BI67" s="218"/>
      <c r="BJ67" s="218"/>
      <c r="BK67" s="218"/>
      <c r="BL67" s="218"/>
      <c r="BM67" s="218"/>
      <c r="BN67" s="218"/>
      <c r="BO67" s="218"/>
      <c r="BP67" s="218"/>
      <c r="BQ67" s="218"/>
      <c r="BR67" s="218"/>
      <c r="BS67" s="218"/>
      <c r="BT67" s="218"/>
      <c r="BU67" s="218"/>
      <c r="BV67" s="218"/>
      <c r="BW67" s="218"/>
      <c r="BX67" s="218"/>
      <c r="BY67" s="218"/>
      <c r="BZ67" s="218"/>
      <c r="CA67" s="218"/>
      <c r="CB67" s="218"/>
      <c r="CC67" s="218"/>
      <c r="CD67" s="218"/>
      <c r="CE67" s="218"/>
      <c r="CF67" s="218"/>
      <c r="CG67" s="218"/>
      <c r="CH67" s="218"/>
      <c r="CI67" s="218"/>
      <c r="CJ67" s="218"/>
      <c r="CK67" s="218"/>
      <c r="CL67" s="218"/>
      <c r="CM67" s="218"/>
    </row>
    <row r="68" spans="1:91" hidden="1" x14ac:dyDescent="0.2">
      <c r="A68" s="425" t="str">
        <f>Capacidades!L60</f>
        <v xml:space="preserve">       </v>
      </c>
      <c r="B68" s="156" t="str">
        <f>Capacidades!M60</f>
        <v xml:space="preserve">   </v>
      </c>
      <c r="C68" s="157"/>
      <c r="D68" s="12">
        <f>Organización_Modular!F15</f>
        <v>0</v>
      </c>
      <c r="E68" s="12">
        <f>Organización_Modular!G15</f>
        <v>0</v>
      </c>
      <c r="F68" s="12">
        <f>Organización_Modular!H15</f>
        <v>0</v>
      </c>
      <c r="G68" s="12">
        <f>Organización_Modular!I15</f>
        <v>0</v>
      </c>
      <c r="H68" s="12">
        <f>SUM(F68:G68)</f>
        <v>0</v>
      </c>
      <c r="I68" s="12">
        <f>F68*16</f>
        <v>0</v>
      </c>
      <c r="J68" s="12">
        <f>G68*32</f>
        <v>0</v>
      </c>
      <c r="K68" s="12">
        <f>SUM(I68:J68)</f>
        <v>0</v>
      </c>
      <c r="L68" s="445"/>
      <c r="M68" s="292" t="str">
        <f t="shared" si="0"/>
        <v xml:space="preserve">   </v>
      </c>
      <c r="N68" s="218"/>
      <c r="O68" s="218"/>
      <c r="P68" s="218"/>
      <c r="Q68" s="218"/>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8"/>
      <c r="BF68" s="218"/>
      <c r="BG68" s="218"/>
      <c r="BH68" s="218"/>
      <c r="BI68" s="218"/>
      <c r="BJ68" s="218"/>
      <c r="BK68" s="218"/>
      <c r="BL68" s="218"/>
      <c r="BM68" s="218"/>
      <c r="BN68" s="218"/>
      <c r="BO68" s="218"/>
      <c r="BP68" s="218"/>
      <c r="BQ68" s="218"/>
      <c r="BR68" s="218"/>
      <c r="BS68" s="218"/>
      <c r="BT68" s="218"/>
      <c r="BU68" s="218"/>
      <c r="BV68" s="218"/>
      <c r="BW68" s="218"/>
      <c r="BX68" s="218"/>
      <c r="BY68" s="218"/>
      <c r="BZ68" s="218"/>
      <c r="CA68" s="218"/>
      <c r="CB68" s="218"/>
      <c r="CC68" s="218"/>
      <c r="CD68" s="218"/>
      <c r="CE68" s="218"/>
      <c r="CF68" s="218"/>
      <c r="CG68" s="218"/>
      <c r="CH68" s="218"/>
      <c r="CI68" s="218"/>
      <c r="CJ68" s="218"/>
      <c r="CK68" s="218"/>
      <c r="CL68" s="218"/>
      <c r="CM68" s="218"/>
    </row>
    <row r="69" spans="1:91" hidden="1" x14ac:dyDescent="0.2">
      <c r="A69" s="426"/>
      <c r="B69" s="156" t="str">
        <f>Capacidades!M61</f>
        <v xml:space="preserve">   </v>
      </c>
      <c r="C69" s="157"/>
      <c r="D69" s="14"/>
      <c r="E69" s="14"/>
      <c r="F69" s="14"/>
      <c r="G69" s="14"/>
      <c r="H69" s="14"/>
      <c r="I69" s="14"/>
      <c r="J69" s="14"/>
      <c r="K69" s="14"/>
      <c r="L69" s="446"/>
      <c r="M69" s="292" t="str">
        <f t="shared" si="0"/>
        <v xml:space="preserve">   </v>
      </c>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c r="BH69" s="218"/>
      <c r="BI69" s="218"/>
      <c r="BJ69" s="218"/>
      <c r="BK69" s="218"/>
      <c r="BL69" s="218"/>
      <c r="BM69" s="218"/>
      <c r="BN69" s="218"/>
      <c r="BO69" s="218"/>
      <c r="BP69" s="218"/>
      <c r="BQ69" s="218"/>
      <c r="BR69" s="218"/>
      <c r="BS69" s="218"/>
      <c r="BT69" s="218"/>
      <c r="BU69" s="218"/>
      <c r="BV69" s="218"/>
      <c r="BW69" s="218"/>
      <c r="BX69" s="218"/>
      <c r="BY69" s="218"/>
      <c r="BZ69" s="218"/>
      <c r="CA69" s="218"/>
      <c r="CB69" s="218"/>
      <c r="CC69" s="218"/>
      <c r="CD69" s="218"/>
      <c r="CE69" s="218"/>
      <c r="CF69" s="218"/>
      <c r="CG69" s="218"/>
      <c r="CH69" s="218"/>
      <c r="CI69" s="218"/>
      <c r="CJ69" s="218"/>
      <c r="CK69" s="218"/>
      <c r="CL69" s="218"/>
      <c r="CM69" s="218"/>
    </row>
    <row r="70" spans="1:91" hidden="1" x14ac:dyDescent="0.2">
      <c r="A70" s="426"/>
      <c r="B70" s="156" t="str">
        <f>Capacidades!M62</f>
        <v xml:space="preserve">   </v>
      </c>
      <c r="C70" s="157"/>
      <c r="D70" s="14"/>
      <c r="E70" s="14"/>
      <c r="F70" s="14"/>
      <c r="G70" s="14"/>
      <c r="H70" s="14"/>
      <c r="I70" s="14"/>
      <c r="J70" s="14"/>
      <c r="K70" s="14"/>
      <c r="L70" s="446"/>
      <c r="M70" s="292" t="str">
        <f t="shared" si="0"/>
        <v xml:space="preserve">   </v>
      </c>
      <c r="N70" s="218"/>
      <c r="O70" s="218"/>
      <c r="P70" s="218"/>
      <c r="Q70" s="218"/>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8"/>
      <c r="BF70" s="218"/>
      <c r="BG70" s="218"/>
      <c r="BH70" s="218"/>
      <c r="BI70" s="218"/>
      <c r="BJ70" s="218"/>
      <c r="BK70" s="218"/>
      <c r="BL70" s="218"/>
      <c r="BM70" s="218"/>
      <c r="BN70" s="218"/>
      <c r="BO70" s="218"/>
      <c r="BP70" s="218"/>
      <c r="BQ70" s="218"/>
      <c r="BR70" s="218"/>
      <c r="BS70" s="218"/>
      <c r="BT70" s="218"/>
      <c r="BU70" s="218"/>
      <c r="BV70" s="218"/>
      <c r="BW70" s="218"/>
      <c r="BX70" s="218"/>
      <c r="BY70" s="218"/>
      <c r="BZ70" s="218"/>
      <c r="CA70" s="218"/>
      <c r="CB70" s="218"/>
      <c r="CC70" s="218"/>
      <c r="CD70" s="218"/>
      <c r="CE70" s="218"/>
      <c r="CF70" s="218"/>
      <c r="CG70" s="218"/>
      <c r="CH70" s="218"/>
      <c r="CI70" s="218"/>
      <c r="CJ70" s="218"/>
      <c r="CK70" s="218"/>
      <c r="CL70" s="218"/>
      <c r="CM70" s="218"/>
    </row>
    <row r="71" spans="1:91" hidden="1" x14ac:dyDescent="0.2">
      <c r="A71" s="426"/>
      <c r="B71" s="156" t="str">
        <f>Capacidades!M63</f>
        <v xml:space="preserve">   </v>
      </c>
      <c r="C71" s="157"/>
      <c r="D71" s="14"/>
      <c r="E71" s="14"/>
      <c r="F71" s="14"/>
      <c r="G71" s="14"/>
      <c r="H71" s="14"/>
      <c r="I71" s="14"/>
      <c r="J71" s="14"/>
      <c r="K71" s="14"/>
      <c r="L71" s="446"/>
      <c r="M71" s="292" t="str">
        <f t="shared" si="0"/>
        <v xml:space="preserve">   </v>
      </c>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8"/>
      <c r="BF71" s="218"/>
      <c r="BG71" s="218"/>
      <c r="BH71" s="218"/>
      <c r="BI71" s="218"/>
      <c r="BJ71" s="218"/>
      <c r="BK71" s="218"/>
      <c r="BL71" s="218"/>
      <c r="BM71" s="218"/>
      <c r="BN71" s="218"/>
      <c r="BO71" s="218"/>
      <c r="BP71" s="218"/>
      <c r="BQ71" s="218"/>
      <c r="BR71" s="218"/>
      <c r="BS71" s="218"/>
      <c r="BT71" s="218"/>
      <c r="BU71" s="218"/>
      <c r="BV71" s="218"/>
      <c r="BW71" s="218"/>
      <c r="BX71" s="218"/>
      <c r="BY71" s="218"/>
      <c r="BZ71" s="218"/>
      <c r="CA71" s="218"/>
      <c r="CB71" s="218"/>
      <c r="CC71" s="218"/>
      <c r="CD71" s="218"/>
      <c r="CE71" s="218"/>
      <c r="CF71" s="218"/>
      <c r="CG71" s="218"/>
      <c r="CH71" s="218"/>
      <c r="CI71" s="218"/>
      <c r="CJ71" s="218"/>
      <c r="CK71" s="218"/>
      <c r="CL71" s="218"/>
      <c r="CM71" s="218"/>
    </row>
    <row r="72" spans="1:91" hidden="1" x14ac:dyDescent="0.2">
      <c r="A72" s="426"/>
      <c r="B72" s="156" t="str">
        <f>Capacidades!M64</f>
        <v xml:space="preserve">   </v>
      </c>
      <c r="C72" s="157"/>
      <c r="D72" s="14"/>
      <c r="E72" s="14"/>
      <c r="F72" s="14"/>
      <c r="G72" s="14"/>
      <c r="H72" s="14"/>
      <c r="I72" s="14"/>
      <c r="J72" s="14"/>
      <c r="K72" s="14"/>
      <c r="L72" s="446"/>
      <c r="M72" s="292" t="str">
        <f t="shared" si="0"/>
        <v xml:space="preserve">   </v>
      </c>
      <c r="N72" s="218"/>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8"/>
      <c r="BF72" s="218"/>
      <c r="BG72" s="218"/>
      <c r="BH72" s="218"/>
      <c r="BI72" s="218"/>
      <c r="BJ72" s="218"/>
      <c r="BK72" s="218"/>
      <c r="BL72" s="218"/>
      <c r="BM72" s="218"/>
      <c r="BN72" s="218"/>
      <c r="BO72" s="218"/>
      <c r="BP72" s="218"/>
      <c r="BQ72" s="218"/>
      <c r="BR72" s="218"/>
      <c r="BS72" s="218"/>
      <c r="BT72" s="218"/>
      <c r="BU72" s="218"/>
      <c r="BV72" s="218"/>
      <c r="BW72" s="218"/>
      <c r="BX72" s="218"/>
      <c r="BY72" s="218"/>
      <c r="BZ72" s="218"/>
      <c r="CA72" s="218"/>
      <c r="CB72" s="218"/>
      <c r="CC72" s="218"/>
      <c r="CD72" s="218"/>
      <c r="CE72" s="218"/>
      <c r="CF72" s="218"/>
      <c r="CG72" s="218"/>
      <c r="CH72" s="218"/>
      <c r="CI72" s="218"/>
      <c r="CJ72" s="218"/>
      <c r="CK72" s="218"/>
      <c r="CL72" s="218"/>
      <c r="CM72" s="218"/>
    </row>
    <row r="73" spans="1:91" ht="8.25" hidden="1" customHeight="1" x14ac:dyDescent="0.2">
      <c r="A73" s="426"/>
      <c r="B73" s="156" t="str">
        <f>Capacidades!M65</f>
        <v xml:space="preserve">   </v>
      </c>
      <c r="C73" s="157"/>
      <c r="D73" s="14"/>
      <c r="E73" s="14"/>
      <c r="F73" s="14"/>
      <c r="G73" s="14"/>
      <c r="H73" s="14"/>
      <c r="I73" s="14"/>
      <c r="J73" s="14"/>
      <c r="K73" s="14"/>
      <c r="L73" s="446"/>
      <c r="M73" s="292" t="str">
        <f t="shared" si="0"/>
        <v xml:space="preserve">   </v>
      </c>
      <c r="N73" s="218"/>
      <c r="O73" s="218"/>
      <c r="P73" s="218"/>
      <c r="Q73" s="218"/>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8"/>
      <c r="BF73" s="218"/>
      <c r="BG73" s="218"/>
      <c r="BH73" s="218"/>
      <c r="BI73" s="218"/>
      <c r="BJ73" s="218"/>
      <c r="BK73" s="218"/>
      <c r="BL73" s="218"/>
      <c r="BM73" s="218"/>
      <c r="BN73" s="218"/>
      <c r="BO73" s="218"/>
      <c r="BP73" s="218"/>
      <c r="BQ73" s="218"/>
      <c r="BR73" s="218"/>
      <c r="BS73" s="218"/>
      <c r="BT73" s="218"/>
      <c r="BU73" s="218"/>
      <c r="BV73" s="218"/>
      <c r="BW73" s="218"/>
      <c r="BX73" s="218"/>
      <c r="BY73" s="218"/>
      <c r="BZ73" s="218"/>
      <c r="CA73" s="218"/>
      <c r="CB73" s="218"/>
      <c r="CC73" s="218"/>
      <c r="CD73" s="218"/>
      <c r="CE73" s="218"/>
      <c r="CF73" s="218"/>
      <c r="CG73" s="218"/>
      <c r="CH73" s="218"/>
      <c r="CI73" s="218"/>
      <c r="CJ73" s="218"/>
      <c r="CK73" s="218"/>
      <c r="CL73" s="218"/>
      <c r="CM73" s="218"/>
    </row>
    <row r="74" spans="1:91" hidden="1" x14ac:dyDescent="0.2">
      <c r="A74" s="426"/>
      <c r="B74" s="156" t="str">
        <f>Capacidades!M66</f>
        <v xml:space="preserve">   </v>
      </c>
      <c r="C74" s="157"/>
      <c r="D74" s="14"/>
      <c r="E74" s="14"/>
      <c r="F74" s="14"/>
      <c r="G74" s="14"/>
      <c r="H74" s="14"/>
      <c r="I74" s="14"/>
      <c r="J74" s="14"/>
      <c r="K74" s="14"/>
      <c r="L74" s="446"/>
      <c r="M74" s="292" t="str">
        <f t="shared" si="0"/>
        <v xml:space="preserve">   </v>
      </c>
      <c r="N74" s="218"/>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8"/>
      <c r="BF74" s="218"/>
      <c r="BG74" s="218"/>
      <c r="BH74" s="218"/>
      <c r="BI74" s="218"/>
      <c r="BJ74" s="218"/>
      <c r="BK74" s="218"/>
      <c r="BL74" s="218"/>
      <c r="BM74" s="218"/>
      <c r="BN74" s="218"/>
      <c r="BO74" s="218"/>
      <c r="BP74" s="218"/>
      <c r="BQ74" s="218"/>
      <c r="BR74" s="218"/>
      <c r="BS74" s="218"/>
      <c r="BT74" s="218"/>
      <c r="BU74" s="218"/>
      <c r="BV74" s="218"/>
      <c r="BW74" s="218"/>
      <c r="BX74" s="218"/>
      <c r="BY74" s="218"/>
      <c r="BZ74" s="218"/>
      <c r="CA74" s="218"/>
      <c r="CB74" s="218"/>
      <c r="CC74" s="218"/>
      <c r="CD74" s="218"/>
      <c r="CE74" s="218"/>
      <c r="CF74" s="218"/>
      <c r="CG74" s="218"/>
      <c r="CH74" s="218"/>
      <c r="CI74" s="218"/>
      <c r="CJ74" s="218"/>
      <c r="CK74" s="218"/>
      <c r="CL74" s="218"/>
      <c r="CM74" s="218"/>
    </row>
    <row r="75" spans="1:91" hidden="1" x14ac:dyDescent="0.2">
      <c r="A75" s="426"/>
      <c r="B75" s="156" t="str">
        <f>Capacidades!M67</f>
        <v xml:space="preserve">   </v>
      </c>
      <c r="C75" s="157"/>
      <c r="D75" s="14"/>
      <c r="E75" s="14"/>
      <c r="F75" s="14"/>
      <c r="G75" s="14"/>
      <c r="H75" s="14"/>
      <c r="I75" s="14"/>
      <c r="J75" s="14"/>
      <c r="K75" s="14"/>
      <c r="L75" s="446"/>
      <c r="M75" s="292" t="str">
        <f t="shared" si="0"/>
        <v xml:space="preserve">   </v>
      </c>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8"/>
      <c r="BF75" s="218"/>
      <c r="BG75" s="218"/>
      <c r="BH75" s="218"/>
      <c r="BI75" s="218"/>
      <c r="BJ75" s="218"/>
      <c r="BK75" s="218"/>
      <c r="BL75" s="218"/>
      <c r="BM75" s="218"/>
      <c r="BN75" s="218"/>
      <c r="BO75" s="218"/>
      <c r="BP75" s="218"/>
      <c r="BQ75" s="218"/>
      <c r="BR75" s="218"/>
      <c r="BS75" s="218"/>
      <c r="BT75" s="218"/>
      <c r="BU75" s="218"/>
      <c r="BV75" s="218"/>
      <c r="BW75" s="218"/>
      <c r="BX75" s="218"/>
      <c r="BY75" s="218"/>
      <c r="BZ75" s="218"/>
      <c r="CA75" s="218"/>
      <c r="CB75" s="218"/>
      <c r="CC75" s="218"/>
      <c r="CD75" s="218"/>
      <c r="CE75" s="218"/>
      <c r="CF75" s="218"/>
      <c r="CG75" s="218"/>
      <c r="CH75" s="218"/>
      <c r="CI75" s="218"/>
      <c r="CJ75" s="218"/>
      <c r="CK75" s="218"/>
      <c r="CL75" s="218"/>
      <c r="CM75" s="218"/>
    </row>
    <row r="76" spans="1:91" hidden="1" x14ac:dyDescent="0.2">
      <c r="A76" s="426"/>
      <c r="B76" s="156" t="str">
        <f>Capacidades!M68</f>
        <v xml:space="preserve">   </v>
      </c>
      <c r="C76" s="157"/>
      <c r="D76" s="14"/>
      <c r="E76" s="14"/>
      <c r="F76" s="14"/>
      <c r="G76" s="14"/>
      <c r="H76" s="14"/>
      <c r="I76" s="14"/>
      <c r="J76" s="14"/>
      <c r="K76" s="14"/>
      <c r="L76" s="446"/>
      <c r="M76" s="292" t="str">
        <f t="shared" si="0"/>
        <v xml:space="preserve">   </v>
      </c>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c r="BH76" s="218"/>
      <c r="BI76" s="218"/>
      <c r="BJ76" s="218"/>
      <c r="BK76" s="218"/>
      <c r="BL76" s="218"/>
      <c r="BM76" s="218"/>
      <c r="BN76" s="218"/>
      <c r="BO76" s="218"/>
      <c r="BP76" s="218"/>
      <c r="BQ76" s="218"/>
      <c r="BR76" s="218"/>
      <c r="BS76" s="218"/>
      <c r="BT76" s="218"/>
      <c r="BU76" s="218"/>
      <c r="BV76" s="218"/>
      <c r="BW76" s="218"/>
      <c r="BX76" s="218"/>
      <c r="BY76" s="218"/>
      <c r="BZ76" s="218"/>
      <c r="CA76" s="218"/>
      <c r="CB76" s="218"/>
      <c r="CC76" s="218"/>
      <c r="CD76" s="218"/>
      <c r="CE76" s="218"/>
      <c r="CF76" s="218"/>
      <c r="CG76" s="218"/>
      <c r="CH76" s="218"/>
      <c r="CI76" s="218"/>
      <c r="CJ76" s="218"/>
      <c r="CK76" s="218"/>
      <c r="CL76" s="218"/>
      <c r="CM76" s="218"/>
    </row>
    <row r="77" spans="1:91" hidden="1" x14ac:dyDescent="0.2">
      <c r="A77" s="427"/>
      <c r="B77" s="156" t="str">
        <f>Capacidades!M69</f>
        <v xml:space="preserve">   </v>
      </c>
      <c r="C77" s="157"/>
      <c r="D77" s="16"/>
      <c r="E77" s="16"/>
      <c r="F77" s="16"/>
      <c r="G77" s="16"/>
      <c r="H77" s="16"/>
      <c r="I77" s="16"/>
      <c r="J77" s="16"/>
      <c r="K77" s="16"/>
      <c r="L77" s="447"/>
      <c r="M77" s="292" t="str">
        <f t="shared" si="0"/>
        <v xml:space="preserve">   </v>
      </c>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8"/>
      <c r="BF77" s="218"/>
      <c r="BG77" s="218"/>
      <c r="BH77" s="218"/>
      <c r="BI77" s="218"/>
      <c r="BJ77" s="218"/>
      <c r="BK77" s="218"/>
      <c r="BL77" s="218"/>
      <c r="BM77" s="218"/>
      <c r="BN77" s="218"/>
      <c r="BO77" s="218"/>
      <c r="BP77" s="218"/>
      <c r="BQ77" s="218"/>
      <c r="BR77" s="218"/>
      <c r="BS77" s="218"/>
      <c r="BT77" s="218"/>
      <c r="BU77" s="218"/>
      <c r="BV77" s="218"/>
      <c r="BW77" s="218"/>
      <c r="BX77" s="218"/>
      <c r="BY77" s="218"/>
      <c r="BZ77" s="218"/>
      <c r="CA77" s="218"/>
      <c r="CB77" s="218"/>
      <c r="CC77" s="218"/>
      <c r="CD77" s="218"/>
      <c r="CE77" s="218"/>
      <c r="CF77" s="218"/>
      <c r="CG77" s="218"/>
      <c r="CH77" s="218"/>
      <c r="CI77" s="218"/>
      <c r="CJ77" s="218"/>
      <c r="CK77" s="218"/>
      <c r="CL77" s="218"/>
      <c r="CM77" s="218"/>
    </row>
    <row r="78" spans="1:91" hidden="1" x14ac:dyDescent="0.2">
      <c r="A78" s="425" t="str">
        <f>Capacidades!L70</f>
        <v xml:space="preserve">       </v>
      </c>
      <c r="B78" s="156" t="str">
        <f>Capacidades!M70</f>
        <v xml:space="preserve">   </v>
      </c>
      <c r="C78" s="157"/>
      <c r="D78" s="12">
        <f>Organización_Modular!F16</f>
        <v>0</v>
      </c>
      <c r="E78" s="12">
        <f>Organización_Modular!G16</f>
        <v>0</v>
      </c>
      <c r="F78" s="12">
        <f>Organización_Modular!H16</f>
        <v>0</v>
      </c>
      <c r="G78" s="12">
        <f>Organización_Modular!I16</f>
        <v>0</v>
      </c>
      <c r="H78" s="12">
        <f>SUM(F78:G78)</f>
        <v>0</v>
      </c>
      <c r="I78" s="12">
        <f>F78*16</f>
        <v>0</v>
      </c>
      <c r="J78" s="12">
        <f>G78*32</f>
        <v>0</v>
      </c>
      <c r="K78" s="12">
        <f>SUM(I78:J78)</f>
        <v>0</v>
      </c>
      <c r="L78" s="445"/>
      <c r="M78" s="292" t="str">
        <f t="shared" si="0"/>
        <v xml:space="preserve">   </v>
      </c>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8"/>
      <c r="BF78" s="218"/>
      <c r="BG78" s="218"/>
      <c r="BH78" s="218"/>
      <c r="BI78" s="218"/>
      <c r="BJ78" s="218"/>
      <c r="BK78" s="218"/>
      <c r="BL78" s="218"/>
      <c r="BM78" s="218"/>
      <c r="BN78" s="218"/>
      <c r="BO78" s="218"/>
      <c r="BP78" s="218"/>
      <c r="BQ78" s="218"/>
      <c r="BR78" s="218"/>
      <c r="BS78" s="218"/>
      <c r="BT78" s="218"/>
      <c r="BU78" s="218"/>
      <c r="BV78" s="218"/>
      <c r="BW78" s="218"/>
      <c r="BX78" s="218"/>
      <c r="BY78" s="218"/>
      <c r="BZ78" s="218"/>
      <c r="CA78" s="218"/>
      <c r="CB78" s="218"/>
      <c r="CC78" s="218"/>
      <c r="CD78" s="218"/>
      <c r="CE78" s="218"/>
      <c r="CF78" s="218"/>
      <c r="CG78" s="218"/>
      <c r="CH78" s="218"/>
      <c r="CI78" s="218"/>
      <c r="CJ78" s="218"/>
      <c r="CK78" s="218"/>
      <c r="CL78" s="218"/>
      <c r="CM78" s="218"/>
    </row>
    <row r="79" spans="1:91" hidden="1" x14ac:dyDescent="0.2">
      <c r="A79" s="426"/>
      <c r="B79" s="156" t="str">
        <f>Capacidades!M71</f>
        <v xml:space="preserve">   </v>
      </c>
      <c r="C79" s="157"/>
      <c r="D79" s="14"/>
      <c r="E79" s="14"/>
      <c r="F79" s="14"/>
      <c r="G79" s="14"/>
      <c r="H79" s="14"/>
      <c r="I79" s="14"/>
      <c r="J79" s="14"/>
      <c r="K79" s="14"/>
      <c r="L79" s="446"/>
      <c r="M79" s="292" t="str">
        <f t="shared" si="0"/>
        <v xml:space="preserve">   </v>
      </c>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8"/>
      <c r="BF79" s="218"/>
      <c r="BG79" s="218"/>
      <c r="BH79" s="218"/>
      <c r="BI79" s="218"/>
      <c r="BJ79" s="218"/>
      <c r="BK79" s="218"/>
      <c r="BL79" s="218"/>
      <c r="BM79" s="218"/>
      <c r="BN79" s="218"/>
      <c r="BO79" s="218"/>
      <c r="BP79" s="218"/>
      <c r="BQ79" s="218"/>
      <c r="BR79" s="218"/>
      <c r="BS79" s="218"/>
      <c r="BT79" s="218"/>
      <c r="BU79" s="218"/>
      <c r="BV79" s="218"/>
      <c r="BW79" s="218"/>
      <c r="BX79" s="218"/>
      <c r="BY79" s="218"/>
      <c r="BZ79" s="218"/>
      <c r="CA79" s="218"/>
      <c r="CB79" s="218"/>
      <c r="CC79" s="218"/>
      <c r="CD79" s="218"/>
      <c r="CE79" s="218"/>
      <c r="CF79" s="218"/>
      <c r="CG79" s="218"/>
      <c r="CH79" s="218"/>
      <c r="CI79" s="218"/>
      <c r="CJ79" s="218"/>
      <c r="CK79" s="218"/>
      <c r="CL79" s="218"/>
      <c r="CM79" s="218"/>
    </row>
    <row r="80" spans="1:91" hidden="1" x14ac:dyDescent="0.2">
      <c r="A80" s="426"/>
      <c r="B80" s="156" t="str">
        <f>Capacidades!M72</f>
        <v xml:space="preserve">   </v>
      </c>
      <c r="C80" s="157"/>
      <c r="D80" s="14"/>
      <c r="E80" s="14"/>
      <c r="F80" s="14"/>
      <c r="G80" s="14"/>
      <c r="H80" s="14"/>
      <c r="I80" s="14"/>
      <c r="J80" s="14"/>
      <c r="K80" s="14"/>
      <c r="L80" s="446"/>
      <c r="M80" s="292" t="str">
        <f t="shared" si="0"/>
        <v xml:space="preserve">   </v>
      </c>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8"/>
      <c r="BF80" s="218"/>
      <c r="BG80" s="218"/>
      <c r="BH80" s="218"/>
      <c r="BI80" s="218"/>
      <c r="BJ80" s="218"/>
      <c r="BK80" s="218"/>
      <c r="BL80" s="218"/>
      <c r="BM80" s="218"/>
      <c r="BN80" s="218"/>
      <c r="BO80" s="218"/>
      <c r="BP80" s="218"/>
      <c r="BQ80" s="218"/>
      <c r="BR80" s="218"/>
      <c r="BS80" s="218"/>
      <c r="BT80" s="218"/>
      <c r="BU80" s="218"/>
      <c r="BV80" s="218"/>
      <c r="BW80" s="218"/>
      <c r="BX80" s="218"/>
      <c r="BY80" s="218"/>
      <c r="BZ80" s="218"/>
      <c r="CA80" s="218"/>
      <c r="CB80" s="218"/>
      <c r="CC80" s="218"/>
      <c r="CD80" s="218"/>
      <c r="CE80" s="218"/>
      <c r="CF80" s="218"/>
      <c r="CG80" s="218"/>
      <c r="CH80" s="218"/>
      <c r="CI80" s="218"/>
      <c r="CJ80" s="218"/>
      <c r="CK80" s="218"/>
      <c r="CL80" s="218"/>
      <c r="CM80" s="218"/>
    </row>
    <row r="81" spans="1:91" hidden="1" x14ac:dyDescent="0.2">
      <c r="A81" s="426"/>
      <c r="B81" s="156" t="str">
        <f>Capacidades!M73</f>
        <v xml:space="preserve">   </v>
      </c>
      <c r="C81" s="157"/>
      <c r="D81" s="14"/>
      <c r="E81" s="14"/>
      <c r="F81" s="14"/>
      <c r="G81" s="14"/>
      <c r="H81" s="14"/>
      <c r="I81" s="14"/>
      <c r="J81" s="14"/>
      <c r="K81" s="14"/>
      <c r="L81" s="446"/>
      <c r="M81" s="292" t="str">
        <f t="shared" si="0"/>
        <v xml:space="preserve">   </v>
      </c>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8"/>
      <c r="BF81" s="218"/>
      <c r="BG81" s="218"/>
      <c r="BH81" s="218"/>
      <c r="BI81" s="218"/>
      <c r="BJ81" s="218"/>
      <c r="BK81" s="218"/>
      <c r="BL81" s="218"/>
      <c r="BM81" s="218"/>
      <c r="BN81" s="218"/>
      <c r="BO81" s="218"/>
      <c r="BP81" s="218"/>
      <c r="BQ81" s="218"/>
      <c r="BR81" s="218"/>
      <c r="BS81" s="218"/>
      <c r="BT81" s="218"/>
      <c r="BU81" s="218"/>
      <c r="BV81" s="218"/>
      <c r="BW81" s="218"/>
      <c r="BX81" s="218"/>
      <c r="BY81" s="218"/>
      <c r="BZ81" s="218"/>
      <c r="CA81" s="218"/>
      <c r="CB81" s="218"/>
      <c r="CC81" s="218"/>
      <c r="CD81" s="218"/>
      <c r="CE81" s="218"/>
      <c r="CF81" s="218"/>
      <c r="CG81" s="218"/>
      <c r="CH81" s="218"/>
      <c r="CI81" s="218"/>
      <c r="CJ81" s="218"/>
      <c r="CK81" s="218"/>
      <c r="CL81" s="218"/>
      <c r="CM81" s="218"/>
    </row>
    <row r="82" spans="1:91" hidden="1" x14ac:dyDescent="0.2">
      <c r="A82" s="426"/>
      <c r="B82" s="156" t="str">
        <f>Capacidades!M74</f>
        <v xml:space="preserve">   </v>
      </c>
      <c r="C82" s="157"/>
      <c r="D82" s="14"/>
      <c r="E82" s="14"/>
      <c r="F82" s="14"/>
      <c r="G82" s="14"/>
      <c r="H82" s="14"/>
      <c r="I82" s="14"/>
      <c r="J82" s="14"/>
      <c r="K82" s="14"/>
      <c r="L82" s="446"/>
      <c r="M82" s="292" t="str">
        <f t="shared" si="0"/>
        <v xml:space="preserve">   </v>
      </c>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18"/>
      <c r="BK82" s="218"/>
      <c r="BL82" s="218"/>
      <c r="BM82" s="218"/>
      <c r="BN82" s="218"/>
      <c r="BO82" s="218"/>
      <c r="BP82" s="218"/>
      <c r="BQ82" s="218"/>
      <c r="BR82" s="218"/>
      <c r="BS82" s="218"/>
      <c r="BT82" s="218"/>
      <c r="BU82" s="218"/>
      <c r="BV82" s="218"/>
      <c r="BW82" s="218"/>
      <c r="BX82" s="218"/>
      <c r="BY82" s="218"/>
      <c r="BZ82" s="218"/>
      <c r="CA82" s="218"/>
      <c r="CB82" s="218"/>
      <c r="CC82" s="218"/>
      <c r="CD82" s="218"/>
      <c r="CE82" s="218"/>
      <c r="CF82" s="218"/>
      <c r="CG82" s="218"/>
      <c r="CH82" s="218"/>
      <c r="CI82" s="218"/>
      <c r="CJ82" s="218"/>
      <c r="CK82" s="218"/>
      <c r="CL82" s="218"/>
      <c r="CM82" s="218"/>
    </row>
    <row r="83" spans="1:91" hidden="1" x14ac:dyDescent="0.2">
      <c r="A83" s="426"/>
      <c r="B83" s="156" t="str">
        <f>Capacidades!M75</f>
        <v xml:space="preserve">   </v>
      </c>
      <c r="C83" s="157"/>
      <c r="D83" s="14"/>
      <c r="E83" s="14"/>
      <c r="F83" s="14"/>
      <c r="G83" s="14"/>
      <c r="H83" s="14"/>
      <c r="I83" s="14"/>
      <c r="J83" s="14"/>
      <c r="K83" s="14"/>
      <c r="L83" s="446"/>
      <c r="M83" s="292" t="str">
        <f t="shared" ref="M83:M146" si="1">B83</f>
        <v xml:space="preserve">   </v>
      </c>
      <c r="N83" s="218"/>
      <c r="O83" s="218"/>
      <c r="P83" s="218"/>
      <c r="Q83" s="218"/>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8"/>
      <c r="BF83" s="218"/>
      <c r="BG83" s="218"/>
      <c r="BH83" s="218"/>
      <c r="BI83" s="218"/>
      <c r="BJ83" s="218"/>
      <c r="BK83" s="218"/>
      <c r="BL83" s="218"/>
      <c r="BM83" s="218"/>
      <c r="BN83" s="218"/>
      <c r="BO83" s="218"/>
      <c r="BP83" s="218"/>
      <c r="BQ83" s="218"/>
      <c r="BR83" s="218"/>
      <c r="BS83" s="218"/>
      <c r="BT83" s="218"/>
      <c r="BU83" s="218"/>
      <c r="BV83" s="218"/>
      <c r="BW83" s="218"/>
      <c r="BX83" s="218"/>
      <c r="BY83" s="218"/>
      <c r="BZ83" s="218"/>
      <c r="CA83" s="218"/>
      <c r="CB83" s="218"/>
      <c r="CC83" s="218"/>
      <c r="CD83" s="218"/>
      <c r="CE83" s="218"/>
      <c r="CF83" s="218"/>
      <c r="CG83" s="218"/>
      <c r="CH83" s="218"/>
      <c r="CI83" s="218"/>
      <c r="CJ83" s="218"/>
      <c r="CK83" s="218"/>
      <c r="CL83" s="218"/>
      <c r="CM83" s="218"/>
    </row>
    <row r="84" spans="1:91" hidden="1" x14ac:dyDescent="0.2">
      <c r="A84" s="426"/>
      <c r="B84" s="156" t="str">
        <f>Capacidades!M76</f>
        <v xml:space="preserve">   </v>
      </c>
      <c r="C84" s="157"/>
      <c r="D84" s="14"/>
      <c r="E84" s="14"/>
      <c r="F84" s="14"/>
      <c r="G84" s="14"/>
      <c r="H84" s="14"/>
      <c r="I84" s="14"/>
      <c r="J84" s="14"/>
      <c r="K84" s="14"/>
      <c r="L84" s="446"/>
      <c r="M84" s="292" t="str">
        <f t="shared" si="1"/>
        <v xml:space="preserve">   </v>
      </c>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8"/>
      <c r="BF84" s="218"/>
      <c r="BG84" s="218"/>
      <c r="BH84" s="218"/>
      <c r="BI84" s="218"/>
      <c r="BJ84" s="218"/>
      <c r="BK84" s="218"/>
      <c r="BL84" s="218"/>
      <c r="BM84" s="218"/>
      <c r="BN84" s="218"/>
      <c r="BO84" s="218"/>
      <c r="BP84" s="218"/>
      <c r="BQ84" s="218"/>
      <c r="BR84" s="218"/>
      <c r="BS84" s="218"/>
      <c r="BT84" s="218"/>
      <c r="BU84" s="218"/>
      <c r="BV84" s="218"/>
      <c r="BW84" s="218"/>
      <c r="BX84" s="218"/>
      <c r="BY84" s="218"/>
      <c r="BZ84" s="218"/>
      <c r="CA84" s="218"/>
      <c r="CB84" s="218"/>
      <c r="CC84" s="218"/>
      <c r="CD84" s="218"/>
      <c r="CE84" s="218"/>
      <c r="CF84" s="218"/>
      <c r="CG84" s="218"/>
      <c r="CH84" s="218"/>
      <c r="CI84" s="218"/>
      <c r="CJ84" s="218"/>
      <c r="CK84" s="218"/>
      <c r="CL84" s="218"/>
      <c r="CM84" s="218"/>
    </row>
    <row r="85" spans="1:91" hidden="1" x14ac:dyDescent="0.2">
      <c r="A85" s="426"/>
      <c r="B85" s="156" t="str">
        <f>Capacidades!M77</f>
        <v xml:space="preserve">   </v>
      </c>
      <c r="C85" s="157"/>
      <c r="D85" s="14"/>
      <c r="E85" s="14"/>
      <c r="F85" s="14"/>
      <c r="G85" s="14"/>
      <c r="H85" s="14"/>
      <c r="I85" s="14"/>
      <c r="J85" s="14"/>
      <c r="K85" s="14"/>
      <c r="L85" s="446"/>
      <c r="M85" s="292" t="str">
        <f t="shared" si="1"/>
        <v xml:space="preserve">   </v>
      </c>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8"/>
      <c r="BF85" s="218"/>
      <c r="BG85" s="218"/>
      <c r="BH85" s="218"/>
      <c r="BI85" s="218"/>
      <c r="BJ85" s="218"/>
      <c r="BK85" s="218"/>
      <c r="BL85" s="218"/>
      <c r="BM85" s="218"/>
      <c r="BN85" s="218"/>
      <c r="BO85" s="218"/>
      <c r="BP85" s="218"/>
      <c r="BQ85" s="218"/>
      <c r="BR85" s="218"/>
      <c r="BS85" s="218"/>
      <c r="BT85" s="218"/>
      <c r="BU85" s="218"/>
      <c r="BV85" s="218"/>
      <c r="BW85" s="218"/>
      <c r="BX85" s="218"/>
      <c r="BY85" s="218"/>
      <c r="BZ85" s="218"/>
      <c r="CA85" s="218"/>
      <c r="CB85" s="218"/>
      <c r="CC85" s="218"/>
      <c r="CD85" s="218"/>
      <c r="CE85" s="218"/>
      <c r="CF85" s="218"/>
      <c r="CG85" s="218"/>
      <c r="CH85" s="218"/>
      <c r="CI85" s="218"/>
      <c r="CJ85" s="218"/>
      <c r="CK85" s="218"/>
      <c r="CL85" s="218"/>
      <c r="CM85" s="218"/>
    </row>
    <row r="86" spans="1:91" hidden="1" x14ac:dyDescent="0.2">
      <c r="A86" s="426"/>
      <c r="B86" s="156" t="str">
        <f>Capacidades!M78</f>
        <v xml:space="preserve">   </v>
      </c>
      <c r="C86" s="157"/>
      <c r="D86" s="14"/>
      <c r="E86" s="14"/>
      <c r="F86" s="14"/>
      <c r="G86" s="14"/>
      <c r="H86" s="14"/>
      <c r="I86" s="14"/>
      <c r="J86" s="14"/>
      <c r="K86" s="14"/>
      <c r="L86" s="446"/>
      <c r="M86" s="292" t="str">
        <f t="shared" si="1"/>
        <v xml:space="preserve">   </v>
      </c>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8"/>
      <c r="BF86" s="218"/>
      <c r="BG86" s="218"/>
      <c r="BH86" s="218"/>
      <c r="BI86" s="218"/>
      <c r="BJ86" s="218"/>
      <c r="BK86" s="218"/>
      <c r="BL86" s="218"/>
      <c r="BM86" s="218"/>
      <c r="BN86" s="218"/>
      <c r="BO86" s="218"/>
      <c r="BP86" s="218"/>
      <c r="BQ86" s="218"/>
      <c r="BR86" s="218"/>
      <c r="BS86" s="218"/>
      <c r="BT86" s="218"/>
      <c r="BU86" s="218"/>
      <c r="BV86" s="218"/>
      <c r="BW86" s="218"/>
      <c r="BX86" s="218"/>
      <c r="BY86" s="218"/>
      <c r="BZ86" s="218"/>
      <c r="CA86" s="218"/>
      <c r="CB86" s="218"/>
      <c r="CC86" s="218"/>
      <c r="CD86" s="218"/>
      <c r="CE86" s="218"/>
      <c r="CF86" s="218"/>
      <c r="CG86" s="218"/>
      <c r="CH86" s="218"/>
      <c r="CI86" s="218"/>
      <c r="CJ86" s="218"/>
      <c r="CK86" s="218"/>
      <c r="CL86" s="218"/>
      <c r="CM86" s="218"/>
    </row>
    <row r="87" spans="1:91" hidden="1" x14ac:dyDescent="0.2">
      <c r="A87" s="427"/>
      <c r="B87" s="156" t="str">
        <f>Capacidades!M79</f>
        <v xml:space="preserve">   </v>
      </c>
      <c r="C87" s="157"/>
      <c r="D87" s="16"/>
      <c r="E87" s="16"/>
      <c r="F87" s="16"/>
      <c r="G87" s="16"/>
      <c r="H87" s="16"/>
      <c r="I87" s="16"/>
      <c r="J87" s="16"/>
      <c r="K87" s="16"/>
      <c r="L87" s="447"/>
      <c r="M87" s="292" t="str">
        <f t="shared" si="1"/>
        <v xml:space="preserve">   </v>
      </c>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8"/>
      <c r="BF87" s="218"/>
      <c r="BG87" s="218"/>
      <c r="BH87" s="218"/>
      <c r="BI87" s="218"/>
      <c r="BJ87" s="218"/>
      <c r="BK87" s="218"/>
      <c r="BL87" s="218"/>
      <c r="BM87" s="218"/>
      <c r="BN87" s="218"/>
      <c r="BO87" s="218"/>
      <c r="BP87" s="218"/>
      <c r="BQ87" s="218"/>
      <c r="BR87" s="218"/>
      <c r="BS87" s="218"/>
      <c r="BT87" s="218"/>
      <c r="BU87" s="218"/>
      <c r="BV87" s="218"/>
      <c r="BW87" s="218"/>
      <c r="BX87" s="218"/>
      <c r="BY87" s="218"/>
      <c r="BZ87" s="218"/>
      <c r="CA87" s="218"/>
      <c r="CB87" s="218"/>
      <c r="CC87" s="218"/>
      <c r="CD87" s="218"/>
      <c r="CE87" s="218"/>
      <c r="CF87" s="218"/>
      <c r="CG87" s="218"/>
      <c r="CH87" s="218"/>
      <c r="CI87" s="218"/>
      <c r="CJ87" s="218"/>
      <c r="CK87" s="218"/>
      <c r="CL87" s="218"/>
      <c r="CM87" s="218"/>
    </row>
    <row r="88" spans="1:91" hidden="1" x14ac:dyDescent="0.2">
      <c r="A88" s="425" t="str">
        <f>Capacidades!L80</f>
        <v xml:space="preserve">       </v>
      </c>
      <c r="B88" s="156" t="str">
        <f>Capacidades!M80</f>
        <v xml:space="preserve">   </v>
      </c>
      <c r="C88" s="157"/>
      <c r="D88" s="12">
        <f>Organización_Modular!F17</f>
        <v>0</v>
      </c>
      <c r="E88" s="12">
        <f>Organización_Modular!G17</f>
        <v>0</v>
      </c>
      <c r="F88" s="12">
        <f>Organización_Modular!H17</f>
        <v>0</v>
      </c>
      <c r="G88" s="12">
        <f>Organización_Modular!I17</f>
        <v>0</v>
      </c>
      <c r="H88" s="12">
        <f>SUM(F88:G88)</f>
        <v>0</v>
      </c>
      <c r="I88" s="12">
        <f>F88*16</f>
        <v>0</v>
      </c>
      <c r="J88" s="12">
        <f>G88*32</f>
        <v>0</v>
      </c>
      <c r="K88" s="12">
        <f>SUM(I88:J88)</f>
        <v>0</v>
      </c>
      <c r="L88" s="445"/>
      <c r="M88" s="292" t="str">
        <f t="shared" si="1"/>
        <v xml:space="preserve">   </v>
      </c>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8"/>
      <c r="BF88" s="218"/>
      <c r="BG88" s="218"/>
      <c r="BH88" s="218"/>
      <c r="BI88" s="218"/>
      <c r="BJ88" s="218"/>
      <c r="BK88" s="218"/>
      <c r="BL88" s="218"/>
      <c r="BM88" s="218"/>
      <c r="BN88" s="218"/>
      <c r="BO88" s="218"/>
      <c r="BP88" s="218"/>
      <c r="BQ88" s="218"/>
      <c r="BR88" s="218"/>
      <c r="BS88" s="218"/>
      <c r="BT88" s="218"/>
      <c r="BU88" s="218"/>
      <c r="BV88" s="218"/>
      <c r="BW88" s="218"/>
      <c r="BX88" s="218"/>
      <c r="BY88" s="218"/>
      <c r="BZ88" s="218"/>
      <c r="CA88" s="218"/>
      <c r="CB88" s="218"/>
      <c r="CC88" s="218"/>
      <c r="CD88" s="218"/>
      <c r="CE88" s="218"/>
      <c r="CF88" s="218"/>
      <c r="CG88" s="218"/>
      <c r="CH88" s="218"/>
      <c r="CI88" s="218"/>
      <c r="CJ88" s="218"/>
      <c r="CK88" s="218"/>
      <c r="CL88" s="218"/>
      <c r="CM88" s="218"/>
    </row>
    <row r="89" spans="1:91" hidden="1" x14ac:dyDescent="0.2">
      <c r="A89" s="426"/>
      <c r="B89" s="156" t="str">
        <f>Capacidades!M81</f>
        <v xml:space="preserve">   </v>
      </c>
      <c r="C89" s="157"/>
      <c r="D89" s="14"/>
      <c r="E89" s="14"/>
      <c r="F89" s="14"/>
      <c r="G89" s="14"/>
      <c r="H89" s="14"/>
      <c r="I89" s="14"/>
      <c r="J89" s="14"/>
      <c r="K89" s="14"/>
      <c r="L89" s="446"/>
      <c r="M89" s="292" t="str">
        <f t="shared" si="1"/>
        <v xml:space="preserve">   </v>
      </c>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8"/>
      <c r="BF89" s="218"/>
      <c r="BG89" s="218"/>
      <c r="BH89" s="218"/>
      <c r="BI89" s="218"/>
      <c r="BJ89" s="218"/>
      <c r="BK89" s="218"/>
      <c r="BL89" s="218"/>
      <c r="BM89" s="218"/>
      <c r="BN89" s="218"/>
      <c r="BO89" s="218"/>
      <c r="BP89" s="218"/>
      <c r="BQ89" s="218"/>
      <c r="BR89" s="218"/>
      <c r="BS89" s="218"/>
      <c r="BT89" s="218"/>
      <c r="BU89" s="218"/>
      <c r="BV89" s="218"/>
      <c r="BW89" s="218"/>
      <c r="BX89" s="218"/>
      <c r="BY89" s="218"/>
      <c r="BZ89" s="218"/>
      <c r="CA89" s="218"/>
      <c r="CB89" s="218"/>
      <c r="CC89" s="218"/>
      <c r="CD89" s="218"/>
      <c r="CE89" s="218"/>
      <c r="CF89" s="218"/>
      <c r="CG89" s="218"/>
      <c r="CH89" s="218"/>
      <c r="CI89" s="218"/>
      <c r="CJ89" s="218"/>
      <c r="CK89" s="218"/>
      <c r="CL89" s="218"/>
      <c r="CM89" s="218"/>
    </row>
    <row r="90" spans="1:91" hidden="1" x14ac:dyDescent="0.2">
      <c r="A90" s="426"/>
      <c r="B90" s="156" t="str">
        <f>Capacidades!M82</f>
        <v xml:space="preserve">   </v>
      </c>
      <c r="C90" s="157"/>
      <c r="D90" s="14"/>
      <c r="E90" s="14"/>
      <c r="F90" s="14"/>
      <c r="G90" s="14"/>
      <c r="H90" s="14"/>
      <c r="I90" s="14"/>
      <c r="J90" s="14"/>
      <c r="K90" s="14"/>
      <c r="L90" s="446"/>
      <c r="M90" s="292" t="str">
        <f t="shared" si="1"/>
        <v xml:space="preserve">   </v>
      </c>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8"/>
      <c r="BF90" s="218"/>
      <c r="BG90" s="218"/>
      <c r="BH90" s="218"/>
      <c r="BI90" s="218"/>
      <c r="BJ90" s="218"/>
      <c r="BK90" s="218"/>
      <c r="BL90" s="218"/>
      <c r="BM90" s="218"/>
      <c r="BN90" s="218"/>
      <c r="BO90" s="218"/>
      <c r="BP90" s="218"/>
      <c r="BQ90" s="218"/>
      <c r="BR90" s="218"/>
      <c r="BS90" s="218"/>
      <c r="BT90" s="218"/>
      <c r="BU90" s="218"/>
      <c r="BV90" s="218"/>
      <c r="BW90" s="218"/>
      <c r="BX90" s="218"/>
      <c r="BY90" s="218"/>
      <c r="BZ90" s="218"/>
      <c r="CA90" s="218"/>
      <c r="CB90" s="218"/>
      <c r="CC90" s="218"/>
      <c r="CD90" s="218"/>
      <c r="CE90" s="218"/>
      <c r="CF90" s="218"/>
      <c r="CG90" s="218"/>
      <c r="CH90" s="218"/>
      <c r="CI90" s="218"/>
      <c r="CJ90" s="218"/>
      <c r="CK90" s="218"/>
      <c r="CL90" s="218"/>
      <c r="CM90" s="218"/>
    </row>
    <row r="91" spans="1:91" hidden="1" x14ac:dyDescent="0.2">
      <c r="A91" s="426"/>
      <c r="B91" s="156" t="str">
        <f>Capacidades!M83</f>
        <v xml:space="preserve">   </v>
      </c>
      <c r="C91" s="157"/>
      <c r="D91" s="14"/>
      <c r="E91" s="14"/>
      <c r="F91" s="14"/>
      <c r="G91" s="14"/>
      <c r="H91" s="14"/>
      <c r="I91" s="14"/>
      <c r="J91" s="14"/>
      <c r="K91" s="14"/>
      <c r="L91" s="446"/>
      <c r="M91" s="292" t="str">
        <f t="shared" si="1"/>
        <v xml:space="preserve">   </v>
      </c>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8"/>
      <c r="BF91" s="218"/>
      <c r="BG91" s="218"/>
      <c r="BH91" s="218"/>
      <c r="BI91" s="218"/>
      <c r="BJ91" s="218"/>
      <c r="BK91" s="218"/>
      <c r="BL91" s="218"/>
      <c r="BM91" s="218"/>
      <c r="BN91" s="218"/>
      <c r="BO91" s="218"/>
      <c r="BP91" s="218"/>
      <c r="BQ91" s="218"/>
      <c r="BR91" s="218"/>
      <c r="BS91" s="218"/>
      <c r="BT91" s="218"/>
      <c r="BU91" s="218"/>
      <c r="BV91" s="218"/>
      <c r="BW91" s="218"/>
      <c r="BX91" s="218"/>
      <c r="BY91" s="218"/>
      <c r="BZ91" s="218"/>
      <c r="CA91" s="218"/>
      <c r="CB91" s="218"/>
      <c r="CC91" s="218"/>
      <c r="CD91" s="218"/>
      <c r="CE91" s="218"/>
      <c r="CF91" s="218"/>
      <c r="CG91" s="218"/>
      <c r="CH91" s="218"/>
      <c r="CI91" s="218"/>
      <c r="CJ91" s="218"/>
      <c r="CK91" s="218"/>
      <c r="CL91" s="218"/>
      <c r="CM91" s="218"/>
    </row>
    <row r="92" spans="1:91" hidden="1" x14ac:dyDescent="0.2">
      <c r="A92" s="426"/>
      <c r="B92" s="156" t="str">
        <f>Capacidades!M84</f>
        <v xml:space="preserve">   </v>
      </c>
      <c r="C92" s="157"/>
      <c r="D92" s="14"/>
      <c r="E92" s="14"/>
      <c r="F92" s="14"/>
      <c r="G92" s="14"/>
      <c r="H92" s="14"/>
      <c r="I92" s="14"/>
      <c r="J92" s="14"/>
      <c r="K92" s="14"/>
      <c r="L92" s="446"/>
      <c r="M92" s="292" t="str">
        <f t="shared" si="1"/>
        <v xml:space="preserve">   </v>
      </c>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8"/>
      <c r="BF92" s="218"/>
      <c r="BG92" s="218"/>
      <c r="BH92" s="218"/>
      <c r="BI92" s="218"/>
      <c r="BJ92" s="218"/>
      <c r="BK92" s="218"/>
      <c r="BL92" s="218"/>
      <c r="BM92" s="218"/>
      <c r="BN92" s="218"/>
      <c r="BO92" s="218"/>
      <c r="BP92" s="218"/>
      <c r="BQ92" s="218"/>
      <c r="BR92" s="218"/>
      <c r="BS92" s="218"/>
      <c r="BT92" s="218"/>
      <c r="BU92" s="218"/>
      <c r="BV92" s="218"/>
      <c r="BW92" s="218"/>
      <c r="BX92" s="218"/>
      <c r="BY92" s="218"/>
      <c r="BZ92" s="218"/>
      <c r="CA92" s="218"/>
      <c r="CB92" s="218"/>
      <c r="CC92" s="218"/>
      <c r="CD92" s="218"/>
      <c r="CE92" s="218"/>
      <c r="CF92" s="218"/>
      <c r="CG92" s="218"/>
      <c r="CH92" s="218"/>
      <c r="CI92" s="218"/>
      <c r="CJ92" s="218"/>
      <c r="CK92" s="218"/>
      <c r="CL92" s="218"/>
      <c r="CM92" s="218"/>
    </row>
    <row r="93" spans="1:91" hidden="1" x14ac:dyDescent="0.2">
      <c r="A93" s="426"/>
      <c r="B93" s="156" t="str">
        <f>Capacidades!M85</f>
        <v xml:space="preserve">   </v>
      </c>
      <c r="C93" s="157"/>
      <c r="D93" s="14"/>
      <c r="E93" s="14"/>
      <c r="F93" s="14"/>
      <c r="G93" s="14"/>
      <c r="H93" s="14"/>
      <c r="I93" s="14"/>
      <c r="J93" s="14"/>
      <c r="K93" s="14"/>
      <c r="L93" s="446"/>
      <c r="M93" s="292" t="str">
        <f t="shared" si="1"/>
        <v xml:space="preserve">   </v>
      </c>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8"/>
      <c r="BF93" s="218"/>
      <c r="BG93" s="218"/>
      <c r="BH93" s="218"/>
      <c r="BI93" s="218"/>
      <c r="BJ93" s="218"/>
      <c r="BK93" s="218"/>
      <c r="BL93" s="218"/>
      <c r="BM93" s="218"/>
      <c r="BN93" s="218"/>
      <c r="BO93" s="218"/>
      <c r="BP93" s="218"/>
      <c r="BQ93" s="218"/>
      <c r="BR93" s="218"/>
      <c r="BS93" s="218"/>
      <c r="BT93" s="218"/>
      <c r="BU93" s="218"/>
      <c r="BV93" s="218"/>
      <c r="BW93" s="218"/>
      <c r="BX93" s="218"/>
      <c r="BY93" s="218"/>
      <c r="BZ93" s="218"/>
      <c r="CA93" s="218"/>
      <c r="CB93" s="218"/>
      <c r="CC93" s="218"/>
      <c r="CD93" s="218"/>
      <c r="CE93" s="218"/>
      <c r="CF93" s="218"/>
      <c r="CG93" s="218"/>
      <c r="CH93" s="218"/>
      <c r="CI93" s="218"/>
      <c r="CJ93" s="218"/>
      <c r="CK93" s="218"/>
      <c r="CL93" s="218"/>
      <c r="CM93" s="218"/>
    </row>
    <row r="94" spans="1:91" hidden="1" x14ac:dyDescent="0.2">
      <c r="A94" s="426"/>
      <c r="B94" s="156" t="str">
        <f>Capacidades!M86</f>
        <v xml:space="preserve">   </v>
      </c>
      <c r="C94" s="157"/>
      <c r="D94" s="14"/>
      <c r="E94" s="14"/>
      <c r="F94" s="14"/>
      <c r="G94" s="14"/>
      <c r="H94" s="14"/>
      <c r="I94" s="14"/>
      <c r="J94" s="14"/>
      <c r="K94" s="14"/>
      <c r="L94" s="446"/>
      <c r="M94" s="292" t="str">
        <f t="shared" si="1"/>
        <v xml:space="preserve">   </v>
      </c>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8"/>
      <c r="BF94" s="218"/>
      <c r="BG94" s="218"/>
      <c r="BH94" s="218"/>
      <c r="BI94" s="218"/>
      <c r="BJ94" s="218"/>
      <c r="BK94" s="218"/>
      <c r="BL94" s="218"/>
      <c r="BM94" s="218"/>
      <c r="BN94" s="218"/>
      <c r="BO94" s="218"/>
      <c r="BP94" s="218"/>
      <c r="BQ94" s="218"/>
      <c r="BR94" s="218"/>
      <c r="BS94" s="218"/>
      <c r="BT94" s="218"/>
      <c r="BU94" s="218"/>
      <c r="BV94" s="218"/>
      <c r="BW94" s="218"/>
      <c r="BX94" s="218"/>
      <c r="BY94" s="218"/>
      <c r="BZ94" s="218"/>
      <c r="CA94" s="218"/>
      <c r="CB94" s="218"/>
      <c r="CC94" s="218"/>
      <c r="CD94" s="218"/>
      <c r="CE94" s="218"/>
      <c r="CF94" s="218"/>
      <c r="CG94" s="218"/>
      <c r="CH94" s="218"/>
      <c r="CI94" s="218"/>
      <c r="CJ94" s="218"/>
      <c r="CK94" s="218"/>
      <c r="CL94" s="218"/>
      <c r="CM94" s="218"/>
    </row>
    <row r="95" spans="1:91" hidden="1" x14ac:dyDescent="0.2">
      <c r="A95" s="426"/>
      <c r="B95" s="156" t="str">
        <f>Capacidades!M87</f>
        <v xml:space="preserve">   </v>
      </c>
      <c r="C95" s="157"/>
      <c r="D95" s="14"/>
      <c r="E95" s="14"/>
      <c r="F95" s="14"/>
      <c r="G95" s="14"/>
      <c r="H95" s="14"/>
      <c r="I95" s="14"/>
      <c r="J95" s="14"/>
      <c r="K95" s="14"/>
      <c r="L95" s="446"/>
      <c r="M95" s="292" t="str">
        <f t="shared" si="1"/>
        <v xml:space="preserve">   </v>
      </c>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8"/>
      <c r="BF95" s="218"/>
      <c r="BG95" s="218"/>
      <c r="BH95" s="218"/>
      <c r="BI95" s="218"/>
      <c r="BJ95" s="218"/>
      <c r="BK95" s="218"/>
      <c r="BL95" s="218"/>
      <c r="BM95" s="218"/>
      <c r="BN95" s="218"/>
      <c r="BO95" s="218"/>
      <c r="BP95" s="218"/>
      <c r="BQ95" s="218"/>
      <c r="BR95" s="218"/>
      <c r="BS95" s="218"/>
      <c r="BT95" s="218"/>
      <c r="BU95" s="218"/>
      <c r="BV95" s="218"/>
      <c r="BW95" s="218"/>
      <c r="BX95" s="218"/>
      <c r="BY95" s="218"/>
      <c r="BZ95" s="218"/>
      <c r="CA95" s="218"/>
      <c r="CB95" s="218"/>
      <c r="CC95" s="218"/>
      <c r="CD95" s="218"/>
      <c r="CE95" s="218"/>
      <c r="CF95" s="218"/>
      <c r="CG95" s="218"/>
      <c r="CH95" s="218"/>
      <c r="CI95" s="218"/>
      <c r="CJ95" s="218"/>
      <c r="CK95" s="218"/>
      <c r="CL95" s="218"/>
      <c r="CM95" s="218"/>
    </row>
    <row r="96" spans="1:91" ht="6" hidden="1" customHeight="1" x14ac:dyDescent="0.2">
      <c r="A96" s="426"/>
      <c r="B96" s="156" t="str">
        <f>Capacidades!M88</f>
        <v xml:space="preserve">   </v>
      </c>
      <c r="C96" s="157"/>
      <c r="D96" s="14"/>
      <c r="E96" s="14"/>
      <c r="F96" s="14"/>
      <c r="G96" s="14"/>
      <c r="H96" s="14"/>
      <c r="I96" s="14"/>
      <c r="J96" s="14"/>
      <c r="K96" s="14"/>
      <c r="L96" s="446"/>
      <c r="M96" s="292" t="str">
        <f t="shared" si="1"/>
        <v xml:space="preserve">   </v>
      </c>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8"/>
      <c r="BF96" s="218"/>
      <c r="BG96" s="218"/>
      <c r="BH96" s="218"/>
      <c r="BI96" s="218"/>
      <c r="BJ96" s="218"/>
      <c r="BK96" s="218"/>
      <c r="BL96" s="218"/>
      <c r="BM96" s="218"/>
      <c r="BN96" s="218"/>
      <c r="BO96" s="218"/>
      <c r="BP96" s="218"/>
      <c r="BQ96" s="218"/>
      <c r="BR96" s="218"/>
      <c r="BS96" s="218"/>
      <c r="BT96" s="218"/>
      <c r="BU96" s="218"/>
      <c r="BV96" s="218"/>
      <c r="BW96" s="218"/>
      <c r="BX96" s="218"/>
      <c r="BY96" s="218"/>
      <c r="BZ96" s="218"/>
      <c r="CA96" s="218"/>
      <c r="CB96" s="218"/>
      <c r="CC96" s="218"/>
      <c r="CD96" s="218"/>
      <c r="CE96" s="218"/>
      <c r="CF96" s="218"/>
      <c r="CG96" s="218"/>
      <c r="CH96" s="218"/>
      <c r="CI96" s="218"/>
      <c r="CJ96" s="218"/>
      <c r="CK96" s="218"/>
      <c r="CL96" s="218"/>
      <c r="CM96" s="218"/>
    </row>
    <row r="97" spans="1:91" hidden="1" x14ac:dyDescent="0.2">
      <c r="A97" s="427"/>
      <c r="B97" s="156" t="str">
        <f>Capacidades!M89</f>
        <v xml:space="preserve">   </v>
      </c>
      <c r="C97" s="157"/>
      <c r="D97" s="16"/>
      <c r="E97" s="16"/>
      <c r="F97" s="16"/>
      <c r="G97" s="16"/>
      <c r="H97" s="16"/>
      <c r="I97" s="16"/>
      <c r="J97" s="16"/>
      <c r="K97" s="16"/>
      <c r="L97" s="447"/>
      <c r="M97" s="292" t="str">
        <f t="shared" si="1"/>
        <v xml:space="preserve">   </v>
      </c>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8"/>
      <c r="BF97" s="218"/>
      <c r="BG97" s="218"/>
      <c r="BH97" s="218"/>
      <c r="BI97" s="218"/>
      <c r="BJ97" s="218"/>
      <c r="BK97" s="218"/>
      <c r="BL97" s="218"/>
      <c r="BM97" s="218"/>
      <c r="BN97" s="218"/>
      <c r="BO97" s="218"/>
      <c r="BP97" s="218"/>
      <c r="BQ97" s="218"/>
      <c r="BR97" s="218"/>
      <c r="BS97" s="218"/>
      <c r="BT97" s="218"/>
      <c r="BU97" s="218"/>
      <c r="BV97" s="218"/>
      <c r="BW97" s="218"/>
      <c r="BX97" s="218"/>
      <c r="BY97" s="218"/>
      <c r="BZ97" s="218"/>
      <c r="CA97" s="218"/>
      <c r="CB97" s="218"/>
      <c r="CC97" s="218"/>
      <c r="CD97" s="218"/>
      <c r="CE97" s="218"/>
      <c r="CF97" s="218"/>
      <c r="CG97" s="218"/>
      <c r="CH97" s="218"/>
      <c r="CI97" s="218"/>
      <c r="CJ97" s="218"/>
      <c r="CK97" s="218"/>
      <c r="CL97" s="218"/>
      <c r="CM97" s="218"/>
    </row>
    <row r="98" spans="1:91" hidden="1" x14ac:dyDescent="0.2">
      <c r="A98" s="425" t="str">
        <f>Capacidades!L90</f>
        <v xml:space="preserve">       </v>
      </c>
      <c r="B98" s="156" t="str">
        <f>Capacidades!M90</f>
        <v xml:space="preserve">   </v>
      </c>
      <c r="C98" s="157"/>
      <c r="D98" s="12">
        <f>Organización_Modular!F18</f>
        <v>0</v>
      </c>
      <c r="E98" s="12">
        <f>Organización_Modular!G18</f>
        <v>0</v>
      </c>
      <c r="F98" s="12">
        <f>Organización_Modular!H18</f>
        <v>0</v>
      </c>
      <c r="G98" s="12">
        <f>Organización_Modular!I18</f>
        <v>0</v>
      </c>
      <c r="H98" s="12">
        <f>SUM(F98:G98)</f>
        <v>0</v>
      </c>
      <c r="I98" s="12">
        <f>F98*16</f>
        <v>0</v>
      </c>
      <c r="J98" s="12">
        <f>G98*32</f>
        <v>0</v>
      </c>
      <c r="K98" s="12">
        <f>SUM(I98:J98)</f>
        <v>0</v>
      </c>
      <c r="L98" s="445"/>
      <c r="M98" s="292" t="str">
        <f t="shared" si="1"/>
        <v xml:space="preserve">   </v>
      </c>
      <c r="N98" s="218"/>
      <c r="O98" s="218"/>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8"/>
      <c r="BF98" s="218"/>
      <c r="BG98" s="218"/>
      <c r="BH98" s="218"/>
      <c r="BI98" s="218"/>
      <c r="BJ98" s="218"/>
      <c r="BK98" s="218"/>
      <c r="BL98" s="218"/>
      <c r="BM98" s="218"/>
      <c r="BN98" s="218"/>
      <c r="BO98" s="218"/>
      <c r="BP98" s="218"/>
      <c r="BQ98" s="218"/>
      <c r="BR98" s="218"/>
      <c r="BS98" s="218"/>
      <c r="BT98" s="218"/>
      <c r="BU98" s="218"/>
      <c r="BV98" s="218"/>
      <c r="BW98" s="218"/>
      <c r="BX98" s="218"/>
      <c r="BY98" s="218"/>
      <c r="BZ98" s="218"/>
      <c r="CA98" s="218"/>
      <c r="CB98" s="218"/>
      <c r="CC98" s="218"/>
      <c r="CD98" s="218"/>
      <c r="CE98" s="218"/>
      <c r="CF98" s="218"/>
      <c r="CG98" s="218"/>
      <c r="CH98" s="218"/>
      <c r="CI98" s="218"/>
      <c r="CJ98" s="218"/>
      <c r="CK98" s="218"/>
      <c r="CL98" s="218"/>
      <c r="CM98" s="218"/>
    </row>
    <row r="99" spans="1:91" hidden="1" x14ac:dyDescent="0.2">
      <c r="A99" s="426"/>
      <c r="B99" s="156" t="str">
        <f>Capacidades!M91</f>
        <v xml:space="preserve">   </v>
      </c>
      <c r="C99" s="157"/>
      <c r="D99" s="14"/>
      <c r="E99" s="14"/>
      <c r="F99" s="14"/>
      <c r="G99" s="14"/>
      <c r="H99" s="14"/>
      <c r="I99" s="14"/>
      <c r="J99" s="14"/>
      <c r="K99" s="14"/>
      <c r="L99" s="446"/>
      <c r="M99" s="292" t="str">
        <f t="shared" si="1"/>
        <v xml:space="preserve">   </v>
      </c>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8"/>
      <c r="BF99" s="218"/>
      <c r="BG99" s="218"/>
      <c r="BH99" s="218"/>
      <c r="BI99" s="218"/>
      <c r="BJ99" s="218"/>
      <c r="BK99" s="218"/>
      <c r="BL99" s="218"/>
      <c r="BM99" s="218"/>
      <c r="BN99" s="218"/>
      <c r="BO99" s="218"/>
      <c r="BP99" s="218"/>
      <c r="BQ99" s="218"/>
      <c r="BR99" s="218"/>
      <c r="BS99" s="218"/>
      <c r="BT99" s="218"/>
      <c r="BU99" s="218"/>
      <c r="BV99" s="218"/>
      <c r="BW99" s="218"/>
      <c r="BX99" s="218"/>
      <c r="BY99" s="218"/>
      <c r="BZ99" s="218"/>
      <c r="CA99" s="218"/>
      <c r="CB99" s="218"/>
      <c r="CC99" s="218"/>
      <c r="CD99" s="218"/>
      <c r="CE99" s="218"/>
      <c r="CF99" s="218"/>
      <c r="CG99" s="218"/>
      <c r="CH99" s="218"/>
      <c r="CI99" s="218"/>
      <c r="CJ99" s="218"/>
      <c r="CK99" s="218"/>
      <c r="CL99" s="218"/>
      <c r="CM99" s="218"/>
    </row>
    <row r="100" spans="1:91" hidden="1" x14ac:dyDescent="0.2">
      <c r="A100" s="426"/>
      <c r="B100" s="156" t="str">
        <f>Capacidades!M92</f>
        <v xml:space="preserve">   </v>
      </c>
      <c r="C100" s="157"/>
      <c r="D100" s="14"/>
      <c r="E100" s="14"/>
      <c r="F100" s="14"/>
      <c r="G100" s="14"/>
      <c r="H100" s="14"/>
      <c r="I100" s="14"/>
      <c r="J100" s="14"/>
      <c r="K100" s="14"/>
      <c r="L100" s="446"/>
      <c r="M100" s="292" t="str">
        <f t="shared" si="1"/>
        <v xml:space="preserve">   </v>
      </c>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8"/>
      <c r="BF100" s="218"/>
      <c r="BG100" s="218"/>
      <c r="BH100" s="218"/>
      <c r="BI100" s="218"/>
      <c r="BJ100" s="218"/>
      <c r="BK100" s="218"/>
      <c r="BL100" s="218"/>
      <c r="BM100" s="218"/>
      <c r="BN100" s="218"/>
      <c r="BO100" s="218"/>
      <c r="BP100" s="218"/>
      <c r="BQ100" s="218"/>
      <c r="BR100" s="218"/>
      <c r="BS100" s="218"/>
      <c r="BT100" s="218"/>
      <c r="BU100" s="218"/>
      <c r="BV100" s="218"/>
      <c r="BW100" s="218"/>
      <c r="BX100" s="218"/>
      <c r="BY100" s="218"/>
      <c r="BZ100" s="218"/>
      <c r="CA100" s="218"/>
      <c r="CB100" s="218"/>
      <c r="CC100" s="218"/>
      <c r="CD100" s="218"/>
      <c r="CE100" s="218"/>
      <c r="CF100" s="218"/>
      <c r="CG100" s="218"/>
      <c r="CH100" s="218"/>
      <c r="CI100" s="218"/>
      <c r="CJ100" s="218"/>
      <c r="CK100" s="218"/>
      <c r="CL100" s="218"/>
      <c r="CM100" s="218"/>
    </row>
    <row r="101" spans="1:91" hidden="1" x14ac:dyDescent="0.2">
      <c r="A101" s="426"/>
      <c r="B101" s="156" t="str">
        <f>Capacidades!M93</f>
        <v xml:space="preserve">   </v>
      </c>
      <c r="C101" s="157"/>
      <c r="D101" s="14"/>
      <c r="E101" s="14"/>
      <c r="F101" s="14"/>
      <c r="G101" s="14"/>
      <c r="H101" s="14"/>
      <c r="I101" s="14"/>
      <c r="J101" s="14"/>
      <c r="K101" s="14"/>
      <c r="L101" s="446"/>
      <c r="M101" s="292" t="str">
        <f t="shared" si="1"/>
        <v xml:space="preserve">   </v>
      </c>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18"/>
      <c r="BK101" s="218"/>
      <c r="BL101" s="218"/>
      <c r="BM101" s="218"/>
      <c r="BN101" s="218"/>
      <c r="BO101" s="218"/>
      <c r="BP101" s="218"/>
      <c r="BQ101" s="218"/>
      <c r="BR101" s="218"/>
      <c r="BS101" s="218"/>
      <c r="BT101" s="218"/>
      <c r="BU101" s="218"/>
      <c r="BV101" s="218"/>
      <c r="BW101" s="218"/>
      <c r="BX101" s="218"/>
      <c r="BY101" s="218"/>
      <c r="BZ101" s="218"/>
      <c r="CA101" s="218"/>
      <c r="CB101" s="218"/>
      <c r="CC101" s="218"/>
      <c r="CD101" s="218"/>
      <c r="CE101" s="218"/>
      <c r="CF101" s="218"/>
      <c r="CG101" s="218"/>
      <c r="CH101" s="218"/>
      <c r="CI101" s="218"/>
      <c r="CJ101" s="218"/>
      <c r="CK101" s="218"/>
      <c r="CL101" s="218"/>
      <c r="CM101" s="218"/>
    </row>
    <row r="102" spans="1:91" hidden="1" x14ac:dyDescent="0.2">
      <c r="A102" s="426"/>
      <c r="B102" s="156" t="str">
        <f>Capacidades!M94</f>
        <v xml:space="preserve">   </v>
      </c>
      <c r="C102" s="157"/>
      <c r="D102" s="14"/>
      <c r="E102" s="14"/>
      <c r="F102" s="14"/>
      <c r="G102" s="14"/>
      <c r="H102" s="14"/>
      <c r="I102" s="14"/>
      <c r="J102" s="14"/>
      <c r="K102" s="14"/>
      <c r="L102" s="446"/>
      <c r="M102" s="292" t="str">
        <f t="shared" si="1"/>
        <v xml:space="preserve">   </v>
      </c>
      <c r="N102" s="218"/>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8"/>
      <c r="BF102" s="218"/>
      <c r="BG102" s="218"/>
      <c r="BH102" s="218"/>
      <c r="BI102" s="218"/>
      <c r="BJ102" s="218"/>
      <c r="BK102" s="218"/>
      <c r="BL102" s="218"/>
      <c r="BM102" s="218"/>
      <c r="BN102" s="218"/>
      <c r="BO102" s="218"/>
      <c r="BP102" s="218"/>
      <c r="BQ102" s="218"/>
      <c r="BR102" s="218"/>
      <c r="BS102" s="218"/>
      <c r="BT102" s="218"/>
      <c r="BU102" s="218"/>
      <c r="BV102" s="218"/>
      <c r="BW102" s="218"/>
      <c r="BX102" s="218"/>
      <c r="BY102" s="218"/>
      <c r="BZ102" s="218"/>
      <c r="CA102" s="218"/>
      <c r="CB102" s="218"/>
      <c r="CC102" s="218"/>
      <c r="CD102" s="218"/>
      <c r="CE102" s="218"/>
      <c r="CF102" s="218"/>
      <c r="CG102" s="218"/>
      <c r="CH102" s="218"/>
      <c r="CI102" s="218"/>
      <c r="CJ102" s="218"/>
      <c r="CK102" s="218"/>
      <c r="CL102" s="218"/>
      <c r="CM102" s="218"/>
    </row>
    <row r="103" spans="1:91" hidden="1" x14ac:dyDescent="0.2">
      <c r="A103" s="426"/>
      <c r="B103" s="156" t="str">
        <f>Capacidades!M95</f>
        <v xml:space="preserve">   </v>
      </c>
      <c r="C103" s="157"/>
      <c r="D103" s="14"/>
      <c r="E103" s="14"/>
      <c r="F103" s="14"/>
      <c r="G103" s="14"/>
      <c r="H103" s="14"/>
      <c r="I103" s="14"/>
      <c r="J103" s="14"/>
      <c r="K103" s="14"/>
      <c r="L103" s="446"/>
      <c r="M103" s="292" t="str">
        <f t="shared" si="1"/>
        <v xml:space="preserve">   </v>
      </c>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8"/>
      <c r="BF103" s="218"/>
      <c r="BG103" s="218"/>
      <c r="BH103" s="218"/>
      <c r="BI103" s="218"/>
      <c r="BJ103" s="218"/>
      <c r="BK103" s="218"/>
      <c r="BL103" s="218"/>
      <c r="BM103" s="218"/>
      <c r="BN103" s="218"/>
      <c r="BO103" s="218"/>
      <c r="BP103" s="218"/>
      <c r="BQ103" s="218"/>
      <c r="BR103" s="218"/>
      <c r="BS103" s="218"/>
      <c r="BT103" s="218"/>
      <c r="BU103" s="218"/>
      <c r="BV103" s="218"/>
      <c r="BW103" s="218"/>
      <c r="BX103" s="218"/>
      <c r="BY103" s="218"/>
      <c r="BZ103" s="218"/>
      <c r="CA103" s="218"/>
      <c r="CB103" s="218"/>
      <c r="CC103" s="218"/>
      <c r="CD103" s="218"/>
      <c r="CE103" s="218"/>
      <c r="CF103" s="218"/>
      <c r="CG103" s="218"/>
      <c r="CH103" s="218"/>
      <c r="CI103" s="218"/>
      <c r="CJ103" s="218"/>
      <c r="CK103" s="218"/>
      <c r="CL103" s="218"/>
      <c r="CM103" s="218"/>
    </row>
    <row r="104" spans="1:91" hidden="1" x14ac:dyDescent="0.2">
      <c r="A104" s="426"/>
      <c r="B104" s="156" t="str">
        <f>Capacidades!M96</f>
        <v xml:space="preserve">   </v>
      </c>
      <c r="C104" s="157"/>
      <c r="D104" s="14"/>
      <c r="E104" s="14"/>
      <c r="F104" s="14"/>
      <c r="G104" s="14"/>
      <c r="H104" s="14"/>
      <c r="I104" s="14"/>
      <c r="J104" s="14"/>
      <c r="K104" s="14"/>
      <c r="L104" s="446"/>
      <c r="M104" s="292" t="str">
        <f t="shared" si="1"/>
        <v xml:space="preserve">   </v>
      </c>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8"/>
      <c r="BF104" s="218"/>
      <c r="BG104" s="218"/>
      <c r="BH104" s="218"/>
      <c r="BI104" s="218"/>
      <c r="BJ104" s="218"/>
      <c r="BK104" s="218"/>
      <c r="BL104" s="218"/>
      <c r="BM104" s="218"/>
      <c r="BN104" s="218"/>
      <c r="BO104" s="218"/>
      <c r="BP104" s="218"/>
      <c r="BQ104" s="218"/>
      <c r="BR104" s="218"/>
      <c r="BS104" s="218"/>
      <c r="BT104" s="218"/>
      <c r="BU104" s="218"/>
      <c r="BV104" s="218"/>
      <c r="BW104" s="218"/>
      <c r="BX104" s="218"/>
      <c r="BY104" s="218"/>
      <c r="BZ104" s="218"/>
      <c r="CA104" s="218"/>
      <c r="CB104" s="218"/>
      <c r="CC104" s="218"/>
      <c r="CD104" s="218"/>
      <c r="CE104" s="218"/>
      <c r="CF104" s="218"/>
      <c r="CG104" s="218"/>
      <c r="CH104" s="218"/>
      <c r="CI104" s="218"/>
      <c r="CJ104" s="218"/>
      <c r="CK104" s="218"/>
      <c r="CL104" s="218"/>
      <c r="CM104" s="218"/>
    </row>
    <row r="105" spans="1:91" hidden="1" x14ac:dyDescent="0.2">
      <c r="A105" s="426"/>
      <c r="B105" s="156" t="str">
        <f>Capacidades!M97</f>
        <v xml:space="preserve">   </v>
      </c>
      <c r="C105" s="157"/>
      <c r="D105" s="14"/>
      <c r="E105" s="14"/>
      <c r="F105" s="14"/>
      <c r="G105" s="14"/>
      <c r="H105" s="14"/>
      <c r="I105" s="14"/>
      <c r="J105" s="14"/>
      <c r="K105" s="14"/>
      <c r="L105" s="446"/>
      <c r="M105" s="292" t="str">
        <f t="shared" si="1"/>
        <v xml:space="preserve">   </v>
      </c>
      <c r="N105" s="218"/>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8"/>
      <c r="BF105" s="218"/>
      <c r="BG105" s="218"/>
      <c r="BH105" s="218"/>
      <c r="BI105" s="218"/>
      <c r="BJ105" s="218"/>
      <c r="BK105" s="218"/>
      <c r="BL105" s="218"/>
      <c r="BM105" s="218"/>
      <c r="BN105" s="218"/>
      <c r="BO105" s="218"/>
      <c r="BP105" s="218"/>
      <c r="BQ105" s="218"/>
      <c r="BR105" s="218"/>
      <c r="BS105" s="218"/>
      <c r="BT105" s="218"/>
      <c r="BU105" s="218"/>
      <c r="BV105" s="218"/>
      <c r="BW105" s="218"/>
      <c r="BX105" s="218"/>
      <c r="BY105" s="218"/>
      <c r="BZ105" s="218"/>
      <c r="CA105" s="218"/>
      <c r="CB105" s="218"/>
      <c r="CC105" s="218"/>
      <c r="CD105" s="218"/>
      <c r="CE105" s="218"/>
      <c r="CF105" s="218"/>
      <c r="CG105" s="218"/>
      <c r="CH105" s="218"/>
      <c r="CI105" s="218"/>
      <c r="CJ105" s="218"/>
      <c r="CK105" s="218"/>
      <c r="CL105" s="218"/>
      <c r="CM105" s="218"/>
    </row>
    <row r="106" spans="1:91" hidden="1" x14ac:dyDescent="0.2">
      <c r="A106" s="426"/>
      <c r="B106" s="156" t="str">
        <f>Capacidades!M98</f>
        <v xml:space="preserve">   </v>
      </c>
      <c r="C106" s="157"/>
      <c r="D106" s="14"/>
      <c r="E106" s="14"/>
      <c r="F106" s="14"/>
      <c r="G106" s="14"/>
      <c r="H106" s="14"/>
      <c r="I106" s="14"/>
      <c r="J106" s="14"/>
      <c r="K106" s="14"/>
      <c r="L106" s="446"/>
      <c r="M106" s="292" t="str">
        <f t="shared" si="1"/>
        <v xml:space="preserve">   </v>
      </c>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8"/>
      <c r="BF106" s="218"/>
      <c r="BG106" s="218"/>
      <c r="BH106" s="218"/>
      <c r="BI106" s="218"/>
      <c r="BJ106" s="218"/>
      <c r="BK106" s="218"/>
      <c r="BL106" s="218"/>
      <c r="BM106" s="218"/>
      <c r="BN106" s="218"/>
      <c r="BO106" s="218"/>
      <c r="BP106" s="218"/>
      <c r="BQ106" s="218"/>
      <c r="BR106" s="218"/>
      <c r="BS106" s="218"/>
      <c r="BT106" s="218"/>
      <c r="BU106" s="218"/>
      <c r="BV106" s="218"/>
      <c r="BW106" s="218"/>
      <c r="BX106" s="218"/>
      <c r="BY106" s="218"/>
      <c r="BZ106" s="218"/>
      <c r="CA106" s="218"/>
      <c r="CB106" s="218"/>
      <c r="CC106" s="218"/>
      <c r="CD106" s="218"/>
      <c r="CE106" s="218"/>
      <c r="CF106" s="218"/>
      <c r="CG106" s="218"/>
      <c r="CH106" s="218"/>
      <c r="CI106" s="218"/>
      <c r="CJ106" s="218"/>
      <c r="CK106" s="218"/>
      <c r="CL106" s="218"/>
      <c r="CM106" s="218"/>
    </row>
    <row r="107" spans="1:91" hidden="1" x14ac:dyDescent="0.2">
      <c r="A107" s="427"/>
      <c r="B107" s="156" t="str">
        <f>Capacidades!M99</f>
        <v xml:space="preserve">   </v>
      </c>
      <c r="C107" s="157"/>
      <c r="D107" s="16"/>
      <c r="E107" s="16"/>
      <c r="F107" s="16"/>
      <c r="G107" s="16"/>
      <c r="H107" s="16"/>
      <c r="I107" s="16"/>
      <c r="J107" s="16"/>
      <c r="K107" s="16"/>
      <c r="L107" s="447"/>
      <c r="M107" s="292" t="str">
        <f t="shared" si="1"/>
        <v xml:space="preserve">   </v>
      </c>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8"/>
      <c r="BF107" s="218"/>
      <c r="BG107" s="218"/>
      <c r="BH107" s="218"/>
      <c r="BI107" s="218"/>
      <c r="BJ107" s="218"/>
      <c r="BK107" s="218"/>
      <c r="BL107" s="218"/>
      <c r="BM107" s="218"/>
      <c r="BN107" s="218"/>
      <c r="BO107" s="218"/>
      <c r="BP107" s="218"/>
      <c r="BQ107" s="218"/>
      <c r="BR107" s="218"/>
      <c r="BS107" s="218"/>
      <c r="BT107" s="218"/>
      <c r="BU107" s="218"/>
      <c r="BV107" s="218"/>
      <c r="BW107" s="218"/>
      <c r="BX107" s="218"/>
      <c r="BY107" s="218"/>
      <c r="BZ107" s="218"/>
      <c r="CA107" s="218"/>
      <c r="CB107" s="218"/>
      <c r="CC107" s="218"/>
      <c r="CD107" s="218"/>
      <c r="CE107" s="218"/>
      <c r="CF107" s="218"/>
      <c r="CG107" s="218"/>
      <c r="CH107" s="218"/>
      <c r="CI107" s="218"/>
      <c r="CJ107" s="218"/>
      <c r="CK107" s="218"/>
      <c r="CL107" s="218"/>
      <c r="CM107" s="218"/>
    </row>
    <row r="108" spans="1:91" hidden="1" x14ac:dyDescent="0.2">
      <c r="A108" s="425" t="str">
        <f>Capacidades!L100</f>
        <v xml:space="preserve">       </v>
      </c>
      <c r="B108" s="156" t="str">
        <f>Capacidades!M100</f>
        <v xml:space="preserve">   </v>
      </c>
      <c r="C108" s="157"/>
      <c r="D108" s="12">
        <f>Organización_Modular!F19</f>
        <v>0</v>
      </c>
      <c r="E108" s="12">
        <f>Organización_Modular!G19</f>
        <v>0</v>
      </c>
      <c r="F108" s="12">
        <f>Organización_Modular!H19</f>
        <v>0</v>
      </c>
      <c r="G108" s="12">
        <f>Organización_Modular!I19</f>
        <v>0</v>
      </c>
      <c r="H108" s="12">
        <f>SUM(F108:G108)</f>
        <v>0</v>
      </c>
      <c r="I108" s="12">
        <f>F108*16</f>
        <v>0</v>
      </c>
      <c r="J108" s="12">
        <f>G108*32</f>
        <v>0</v>
      </c>
      <c r="K108" s="12">
        <f>SUM(I108:J108)</f>
        <v>0</v>
      </c>
      <c r="L108" s="445"/>
      <c r="M108" s="292" t="str">
        <f t="shared" si="1"/>
        <v xml:space="preserve">   </v>
      </c>
      <c r="N108" s="218"/>
      <c r="O108" s="218"/>
      <c r="P108" s="218"/>
      <c r="Q108" s="218"/>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8"/>
      <c r="BF108" s="218"/>
      <c r="BG108" s="218"/>
      <c r="BH108" s="218"/>
      <c r="BI108" s="218"/>
      <c r="BJ108" s="218"/>
      <c r="BK108" s="218"/>
      <c r="BL108" s="218"/>
      <c r="BM108" s="218"/>
      <c r="BN108" s="218"/>
      <c r="BO108" s="218"/>
      <c r="BP108" s="218"/>
      <c r="BQ108" s="218"/>
      <c r="BR108" s="218"/>
      <c r="BS108" s="218"/>
      <c r="BT108" s="218"/>
      <c r="BU108" s="218"/>
      <c r="BV108" s="218"/>
      <c r="BW108" s="218"/>
      <c r="BX108" s="218"/>
      <c r="BY108" s="218"/>
      <c r="BZ108" s="218"/>
      <c r="CA108" s="218"/>
      <c r="CB108" s="218"/>
      <c r="CC108" s="218"/>
      <c r="CD108" s="218"/>
      <c r="CE108" s="218"/>
      <c r="CF108" s="218"/>
      <c r="CG108" s="218"/>
      <c r="CH108" s="218"/>
      <c r="CI108" s="218"/>
      <c r="CJ108" s="218"/>
      <c r="CK108" s="218"/>
      <c r="CL108" s="218"/>
      <c r="CM108" s="218"/>
    </row>
    <row r="109" spans="1:91" hidden="1" x14ac:dyDescent="0.2">
      <c r="A109" s="426"/>
      <c r="B109" s="156" t="str">
        <f>Capacidades!M101</f>
        <v xml:space="preserve">   </v>
      </c>
      <c r="C109" s="157"/>
      <c r="D109" s="14"/>
      <c r="E109" s="14"/>
      <c r="F109" s="14"/>
      <c r="G109" s="14"/>
      <c r="H109" s="14"/>
      <c r="I109" s="14"/>
      <c r="J109" s="14"/>
      <c r="K109" s="14"/>
      <c r="L109" s="446"/>
      <c r="M109" s="292" t="str">
        <f t="shared" si="1"/>
        <v xml:space="preserve">   </v>
      </c>
      <c r="N109" s="218"/>
      <c r="O109" s="218"/>
      <c r="P109" s="218"/>
      <c r="Q109" s="218"/>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8"/>
      <c r="BF109" s="218"/>
      <c r="BG109" s="218"/>
      <c r="BH109" s="218"/>
      <c r="BI109" s="218"/>
      <c r="BJ109" s="218"/>
      <c r="BK109" s="218"/>
      <c r="BL109" s="218"/>
      <c r="BM109" s="218"/>
      <c r="BN109" s="218"/>
      <c r="BO109" s="218"/>
      <c r="BP109" s="218"/>
      <c r="BQ109" s="218"/>
      <c r="BR109" s="218"/>
      <c r="BS109" s="218"/>
      <c r="BT109" s="218"/>
      <c r="BU109" s="218"/>
      <c r="BV109" s="218"/>
      <c r="BW109" s="218"/>
      <c r="BX109" s="218"/>
      <c r="BY109" s="218"/>
      <c r="BZ109" s="218"/>
      <c r="CA109" s="218"/>
      <c r="CB109" s="218"/>
      <c r="CC109" s="218"/>
      <c r="CD109" s="218"/>
      <c r="CE109" s="218"/>
      <c r="CF109" s="218"/>
      <c r="CG109" s="218"/>
      <c r="CH109" s="218"/>
      <c r="CI109" s="218"/>
      <c r="CJ109" s="218"/>
      <c r="CK109" s="218"/>
      <c r="CL109" s="218"/>
      <c r="CM109" s="218"/>
    </row>
    <row r="110" spans="1:91" hidden="1" x14ac:dyDescent="0.2">
      <c r="A110" s="426"/>
      <c r="B110" s="156" t="str">
        <f>Capacidades!M102</f>
        <v xml:space="preserve">   </v>
      </c>
      <c r="C110" s="157"/>
      <c r="D110" s="14"/>
      <c r="E110" s="14"/>
      <c r="F110" s="14"/>
      <c r="G110" s="14"/>
      <c r="H110" s="14"/>
      <c r="I110" s="14"/>
      <c r="J110" s="14"/>
      <c r="K110" s="14"/>
      <c r="L110" s="446"/>
      <c r="M110" s="292" t="str">
        <f t="shared" si="1"/>
        <v xml:space="preserve">   </v>
      </c>
      <c r="N110" s="218"/>
      <c r="O110" s="218"/>
      <c r="P110" s="218"/>
      <c r="Q110" s="218"/>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8"/>
      <c r="BF110" s="218"/>
      <c r="BG110" s="218"/>
      <c r="BH110" s="218"/>
      <c r="BI110" s="218"/>
      <c r="BJ110" s="218"/>
      <c r="BK110" s="218"/>
      <c r="BL110" s="218"/>
      <c r="BM110" s="218"/>
      <c r="BN110" s="218"/>
      <c r="BO110" s="218"/>
      <c r="BP110" s="218"/>
      <c r="BQ110" s="218"/>
      <c r="BR110" s="218"/>
      <c r="BS110" s="218"/>
      <c r="BT110" s="218"/>
      <c r="BU110" s="218"/>
      <c r="BV110" s="218"/>
      <c r="BW110" s="218"/>
      <c r="BX110" s="218"/>
      <c r="BY110" s="218"/>
      <c r="BZ110" s="218"/>
      <c r="CA110" s="218"/>
      <c r="CB110" s="218"/>
      <c r="CC110" s="218"/>
      <c r="CD110" s="218"/>
      <c r="CE110" s="218"/>
      <c r="CF110" s="218"/>
      <c r="CG110" s="218"/>
      <c r="CH110" s="218"/>
      <c r="CI110" s="218"/>
      <c r="CJ110" s="218"/>
      <c r="CK110" s="218"/>
      <c r="CL110" s="218"/>
      <c r="CM110" s="218"/>
    </row>
    <row r="111" spans="1:91" hidden="1" x14ac:dyDescent="0.2">
      <c r="A111" s="426"/>
      <c r="B111" s="156" t="str">
        <f>Capacidades!M103</f>
        <v xml:space="preserve">   </v>
      </c>
      <c r="C111" s="157"/>
      <c r="D111" s="14"/>
      <c r="E111" s="14"/>
      <c r="F111" s="14"/>
      <c r="G111" s="14"/>
      <c r="H111" s="14"/>
      <c r="I111" s="14"/>
      <c r="J111" s="14"/>
      <c r="K111" s="14"/>
      <c r="L111" s="446"/>
      <c r="M111" s="292" t="str">
        <f t="shared" si="1"/>
        <v xml:space="preserve">   </v>
      </c>
      <c r="N111" s="218"/>
      <c r="O111" s="218"/>
      <c r="P111" s="218"/>
      <c r="Q111" s="218"/>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8"/>
      <c r="BF111" s="218"/>
      <c r="BG111" s="218"/>
      <c r="BH111" s="218"/>
      <c r="BI111" s="218"/>
      <c r="BJ111" s="218"/>
      <c r="BK111" s="218"/>
      <c r="BL111" s="218"/>
      <c r="BM111" s="218"/>
      <c r="BN111" s="218"/>
      <c r="BO111" s="218"/>
      <c r="BP111" s="218"/>
      <c r="BQ111" s="218"/>
      <c r="BR111" s="218"/>
      <c r="BS111" s="218"/>
      <c r="BT111" s="218"/>
      <c r="BU111" s="218"/>
      <c r="BV111" s="218"/>
      <c r="BW111" s="218"/>
      <c r="BX111" s="218"/>
      <c r="BY111" s="218"/>
      <c r="BZ111" s="218"/>
      <c r="CA111" s="218"/>
      <c r="CB111" s="218"/>
      <c r="CC111" s="218"/>
      <c r="CD111" s="218"/>
      <c r="CE111" s="218"/>
      <c r="CF111" s="218"/>
      <c r="CG111" s="218"/>
      <c r="CH111" s="218"/>
      <c r="CI111" s="218"/>
      <c r="CJ111" s="218"/>
      <c r="CK111" s="218"/>
      <c r="CL111" s="218"/>
      <c r="CM111" s="218"/>
    </row>
    <row r="112" spans="1:91" hidden="1" x14ac:dyDescent="0.2">
      <c r="A112" s="426"/>
      <c r="B112" s="156" t="str">
        <f>Capacidades!M104</f>
        <v xml:space="preserve">   </v>
      </c>
      <c r="C112" s="157"/>
      <c r="D112" s="14"/>
      <c r="E112" s="14"/>
      <c r="F112" s="14"/>
      <c r="G112" s="14"/>
      <c r="H112" s="14"/>
      <c r="I112" s="14"/>
      <c r="J112" s="14"/>
      <c r="K112" s="14"/>
      <c r="L112" s="446"/>
      <c r="M112" s="292" t="str">
        <f t="shared" si="1"/>
        <v xml:space="preserve">   </v>
      </c>
      <c r="N112" s="218"/>
      <c r="O112" s="218"/>
      <c r="P112" s="218"/>
      <c r="Q112" s="218"/>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8"/>
      <c r="BF112" s="218"/>
      <c r="BG112" s="218"/>
      <c r="BH112" s="218"/>
      <c r="BI112" s="218"/>
      <c r="BJ112" s="218"/>
      <c r="BK112" s="218"/>
      <c r="BL112" s="218"/>
      <c r="BM112" s="218"/>
      <c r="BN112" s="218"/>
      <c r="BO112" s="218"/>
      <c r="BP112" s="218"/>
      <c r="BQ112" s="218"/>
      <c r="BR112" s="218"/>
      <c r="BS112" s="218"/>
      <c r="BT112" s="218"/>
      <c r="BU112" s="218"/>
      <c r="BV112" s="218"/>
      <c r="BW112" s="218"/>
      <c r="BX112" s="218"/>
      <c r="BY112" s="218"/>
      <c r="BZ112" s="218"/>
      <c r="CA112" s="218"/>
      <c r="CB112" s="218"/>
      <c r="CC112" s="218"/>
      <c r="CD112" s="218"/>
      <c r="CE112" s="218"/>
      <c r="CF112" s="218"/>
      <c r="CG112" s="218"/>
      <c r="CH112" s="218"/>
      <c r="CI112" s="218"/>
      <c r="CJ112" s="218"/>
      <c r="CK112" s="218"/>
      <c r="CL112" s="218"/>
      <c r="CM112" s="218"/>
    </row>
    <row r="113" spans="1:91" hidden="1" x14ac:dyDescent="0.2">
      <c r="A113" s="426"/>
      <c r="B113" s="156" t="str">
        <f>Capacidades!M105</f>
        <v xml:space="preserve">   </v>
      </c>
      <c r="C113" s="157"/>
      <c r="D113" s="14"/>
      <c r="E113" s="14"/>
      <c r="F113" s="14"/>
      <c r="G113" s="14"/>
      <c r="H113" s="14"/>
      <c r="I113" s="14"/>
      <c r="J113" s="14"/>
      <c r="K113" s="14"/>
      <c r="L113" s="446"/>
      <c r="M113" s="292" t="str">
        <f t="shared" si="1"/>
        <v xml:space="preserve">   </v>
      </c>
      <c r="N113" s="218"/>
      <c r="O113" s="218"/>
      <c r="P113" s="218"/>
      <c r="Q113" s="218"/>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8"/>
      <c r="BF113" s="218"/>
      <c r="BG113" s="218"/>
      <c r="BH113" s="218"/>
      <c r="BI113" s="218"/>
      <c r="BJ113" s="218"/>
      <c r="BK113" s="218"/>
      <c r="BL113" s="218"/>
      <c r="BM113" s="218"/>
      <c r="BN113" s="218"/>
      <c r="BO113" s="218"/>
      <c r="BP113" s="218"/>
      <c r="BQ113" s="218"/>
      <c r="BR113" s="218"/>
      <c r="BS113" s="218"/>
      <c r="BT113" s="218"/>
      <c r="BU113" s="218"/>
      <c r="BV113" s="218"/>
      <c r="BW113" s="218"/>
      <c r="BX113" s="218"/>
      <c r="BY113" s="218"/>
      <c r="BZ113" s="218"/>
      <c r="CA113" s="218"/>
      <c r="CB113" s="218"/>
      <c r="CC113" s="218"/>
      <c r="CD113" s="218"/>
      <c r="CE113" s="218"/>
      <c r="CF113" s="218"/>
      <c r="CG113" s="218"/>
      <c r="CH113" s="218"/>
      <c r="CI113" s="218"/>
      <c r="CJ113" s="218"/>
      <c r="CK113" s="218"/>
      <c r="CL113" s="218"/>
      <c r="CM113" s="218"/>
    </row>
    <row r="114" spans="1:91" hidden="1" x14ac:dyDescent="0.2">
      <c r="A114" s="426"/>
      <c r="B114" s="156" t="str">
        <f>Capacidades!M106</f>
        <v xml:space="preserve">   </v>
      </c>
      <c r="C114" s="157"/>
      <c r="D114" s="14"/>
      <c r="E114" s="14"/>
      <c r="F114" s="14"/>
      <c r="G114" s="14"/>
      <c r="H114" s="14"/>
      <c r="I114" s="14"/>
      <c r="J114" s="14"/>
      <c r="K114" s="14"/>
      <c r="L114" s="446"/>
      <c r="M114" s="292" t="str">
        <f t="shared" si="1"/>
        <v xml:space="preserve">   </v>
      </c>
      <c r="N114" s="218"/>
      <c r="O114" s="218"/>
      <c r="P114" s="218"/>
      <c r="Q114" s="218"/>
      <c r="R114" s="218"/>
      <c r="S114" s="218"/>
      <c r="T114" s="218"/>
      <c r="U114" s="218"/>
      <c r="V114" s="218"/>
      <c r="W114" s="218"/>
      <c r="X114" s="218"/>
      <c r="Y114" s="218"/>
      <c r="Z114" s="218"/>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8"/>
      <c r="BF114" s="218"/>
      <c r="BG114" s="218"/>
      <c r="BH114" s="218"/>
      <c r="BI114" s="218"/>
      <c r="BJ114" s="218"/>
      <c r="BK114" s="218"/>
      <c r="BL114" s="218"/>
      <c r="BM114" s="218"/>
      <c r="BN114" s="218"/>
      <c r="BO114" s="218"/>
      <c r="BP114" s="218"/>
      <c r="BQ114" s="218"/>
      <c r="BR114" s="218"/>
      <c r="BS114" s="218"/>
      <c r="BT114" s="218"/>
      <c r="BU114" s="218"/>
      <c r="BV114" s="218"/>
      <c r="BW114" s="218"/>
      <c r="BX114" s="218"/>
      <c r="BY114" s="218"/>
      <c r="BZ114" s="218"/>
      <c r="CA114" s="218"/>
      <c r="CB114" s="218"/>
      <c r="CC114" s="218"/>
      <c r="CD114" s="218"/>
      <c r="CE114" s="218"/>
      <c r="CF114" s="218"/>
      <c r="CG114" s="218"/>
      <c r="CH114" s="218"/>
      <c r="CI114" s="218"/>
      <c r="CJ114" s="218"/>
      <c r="CK114" s="218"/>
      <c r="CL114" s="218"/>
      <c r="CM114" s="218"/>
    </row>
    <row r="115" spans="1:91" hidden="1" x14ac:dyDescent="0.2">
      <c r="A115" s="426"/>
      <c r="B115" s="156" t="str">
        <f>Capacidades!M107</f>
        <v xml:space="preserve">   </v>
      </c>
      <c r="C115" s="157"/>
      <c r="D115" s="14"/>
      <c r="E115" s="14"/>
      <c r="F115" s="14"/>
      <c r="G115" s="14"/>
      <c r="H115" s="14"/>
      <c r="I115" s="14"/>
      <c r="J115" s="14"/>
      <c r="K115" s="14"/>
      <c r="L115" s="446"/>
      <c r="M115" s="292" t="str">
        <f t="shared" si="1"/>
        <v xml:space="preserve">   </v>
      </c>
      <c r="N115" s="218"/>
      <c r="O115" s="218"/>
      <c r="P115" s="218"/>
      <c r="Q115" s="218"/>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8"/>
      <c r="BF115" s="218"/>
      <c r="BG115" s="218"/>
      <c r="BH115" s="218"/>
      <c r="BI115" s="218"/>
      <c r="BJ115" s="218"/>
      <c r="BK115" s="218"/>
      <c r="BL115" s="218"/>
      <c r="BM115" s="218"/>
      <c r="BN115" s="218"/>
      <c r="BO115" s="218"/>
      <c r="BP115" s="218"/>
      <c r="BQ115" s="218"/>
      <c r="BR115" s="218"/>
      <c r="BS115" s="218"/>
      <c r="BT115" s="218"/>
      <c r="BU115" s="218"/>
      <c r="BV115" s="218"/>
      <c r="BW115" s="218"/>
      <c r="BX115" s="218"/>
      <c r="BY115" s="218"/>
      <c r="BZ115" s="218"/>
      <c r="CA115" s="218"/>
      <c r="CB115" s="218"/>
      <c r="CC115" s="218"/>
      <c r="CD115" s="218"/>
      <c r="CE115" s="218"/>
      <c r="CF115" s="218"/>
      <c r="CG115" s="218"/>
      <c r="CH115" s="218"/>
      <c r="CI115" s="218"/>
      <c r="CJ115" s="218"/>
      <c r="CK115" s="218"/>
      <c r="CL115" s="218"/>
      <c r="CM115" s="218"/>
    </row>
    <row r="116" spans="1:91" ht="12" hidden="1" customHeight="1" x14ac:dyDescent="0.2">
      <c r="A116" s="426"/>
      <c r="B116" s="156" t="str">
        <f>Capacidades!M108</f>
        <v xml:space="preserve">   </v>
      </c>
      <c r="C116" s="157"/>
      <c r="D116" s="14"/>
      <c r="E116" s="14"/>
      <c r="F116" s="14"/>
      <c r="G116" s="14"/>
      <c r="H116" s="14"/>
      <c r="I116" s="14"/>
      <c r="J116" s="14"/>
      <c r="K116" s="14"/>
      <c r="L116" s="446"/>
      <c r="M116" s="292" t="str">
        <f t="shared" si="1"/>
        <v xml:space="preserve">   </v>
      </c>
      <c r="N116" s="218"/>
      <c r="O116" s="218"/>
      <c r="P116" s="218"/>
      <c r="Q116" s="218"/>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c r="BH116" s="218"/>
      <c r="BI116" s="218"/>
      <c r="BJ116" s="218"/>
      <c r="BK116" s="218"/>
      <c r="BL116" s="218"/>
      <c r="BM116" s="218"/>
      <c r="BN116" s="218"/>
      <c r="BO116" s="218"/>
      <c r="BP116" s="218"/>
      <c r="BQ116" s="218"/>
      <c r="BR116" s="218"/>
      <c r="BS116" s="218"/>
      <c r="BT116" s="218"/>
      <c r="BU116" s="218"/>
      <c r="BV116" s="218"/>
      <c r="BW116" s="218"/>
      <c r="BX116" s="218"/>
      <c r="BY116" s="218"/>
      <c r="BZ116" s="218"/>
      <c r="CA116" s="218"/>
      <c r="CB116" s="218"/>
      <c r="CC116" s="218"/>
      <c r="CD116" s="218"/>
      <c r="CE116" s="218"/>
      <c r="CF116" s="218"/>
      <c r="CG116" s="218"/>
      <c r="CH116" s="218"/>
      <c r="CI116" s="218"/>
      <c r="CJ116" s="218"/>
      <c r="CK116" s="218"/>
      <c r="CL116" s="218"/>
      <c r="CM116" s="218"/>
    </row>
    <row r="117" spans="1:91" hidden="1" x14ac:dyDescent="0.2">
      <c r="A117" s="427"/>
      <c r="B117" s="156" t="str">
        <f>Capacidades!M109</f>
        <v xml:space="preserve">   </v>
      </c>
      <c r="C117" s="157"/>
      <c r="D117" s="16"/>
      <c r="E117" s="16"/>
      <c r="F117" s="16"/>
      <c r="G117" s="16"/>
      <c r="H117" s="16"/>
      <c r="I117" s="16"/>
      <c r="J117" s="16"/>
      <c r="K117" s="16"/>
      <c r="L117" s="447"/>
      <c r="M117" s="292" t="str">
        <f t="shared" si="1"/>
        <v xml:space="preserve">   </v>
      </c>
      <c r="N117" s="218"/>
      <c r="O117" s="218"/>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8"/>
      <c r="BF117" s="218"/>
      <c r="BG117" s="218"/>
      <c r="BH117" s="218"/>
      <c r="BI117" s="218"/>
      <c r="BJ117" s="218"/>
      <c r="BK117" s="218"/>
      <c r="BL117" s="218"/>
      <c r="BM117" s="218"/>
      <c r="BN117" s="218"/>
      <c r="BO117" s="218"/>
      <c r="BP117" s="218"/>
      <c r="BQ117" s="218"/>
      <c r="BR117" s="218"/>
      <c r="BS117" s="218"/>
      <c r="BT117" s="218"/>
      <c r="BU117" s="218"/>
      <c r="BV117" s="218"/>
      <c r="BW117" s="218"/>
      <c r="BX117" s="218"/>
      <c r="BY117" s="218"/>
      <c r="BZ117" s="218"/>
      <c r="CA117" s="218"/>
      <c r="CB117" s="218"/>
      <c r="CC117" s="218"/>
      <c r="CD117" s="218"/>
      <c r="CE117" s="218"/>
      <c r="CF117" s="218"/>
      <c r="CG117" s="218"/>
      <c r="CH117" s="218"/>
      <c r="CI117" s="218"/>
      <c r="CJ117" s="218"/>
      <c r="CK117" s="218"/>
      <c r="CL117" s="218"/>
      <c r="CM117" s="218"/>
    </row>
    <row r="118" spans="1:91" hidden="1" x14ac:dyDescent="0.2">
      <c r="A118" s="425" t="str">
        <f>Capacidades!L110</f>
        <v xml:space="preserve">       </v>
      </c>
      <c r="B118" s="156" t="str">
        <f>Capacidades!M110</f>
        <v xml:space="preserve">   </v>
      </c>
      <c r="C118" s="157"/>
      <c r="D118" s="12">
        <f>Organización_Modular!F20</f>
        <v>0</v>
      </c>
      <c r="E118" s="12">
        <f>Organización_Modular!G20</f>
        <v>0</v>
      </c>
      <c r="F118" s="12">
        <f>Organización_Modular!H20</f>
        <v>0</v>
      </c>
      <c r="G118" s="12">
        <f>Organización_Modular!I20</f>
        <v>0</v>
      </c>
      <c r="H118" s="12">
        <f>SUM(F118:G118)</f>
        <v>0</v>
      </c>
      <c r="I118" s="12">
        <f>F118*16</f>
        <v>0</v>
      </c>
      <c r="J118" s="12">
        <f>G118*32</f>
        <v>0</v>
      </c>
      <c r="K118" s="12">
        <f>SUM(I118:J118)</f>
        <v>0</v>
      </c>
      <c r="L118" s="445"/>
      <c r="M118" s="292" t="str">
        <f t="shared" si="1"/>
        <v xml:space="preserve">   </v>
      </c>
      <c r="N118" s="218"/>
      <c r="O118" s="218"/>
      <c r="P118" s="218"/>
      <c r="Q118" s="218"/>
      <c r="R118" s="218"/>
      <c r="S118" s="218"/>
      <c r="T118" s="218"/>
      <c r="U118" s="218"/>
      <c r="V118" s="218"/>
      <c r="W118" s="218"/>
      <c r="X118" s="218"/>
      <c r="Y118" s="218"/>
      <c r="Z118" s="218"/>
      <c r="AA118" s="218"/>
      <c r="AB118" s="218"/>
      <c r="AC118" s="218"/>
      <c r="AD118" s="218"/>
      <c r="AE118" s="218"/>
      <c r="AF118" s="218"/>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8"/>
      <c r="BF118" s="218"/>
      <c r="BG118" s="218"/>
      <c r="BH118" s="218"/>
      <c r="BI118" s="218"/>
      <c r="BJ118" s="218"/>
      <c r="BK118" s="218"/>
      <c r="BL118" s="218"/>
      <c r="BM118" s="218"/>
      <c r="BN118" s="218"/>
      <c r="BO118" s="218"/>
      <c r="BP118" s="218"/>
      <c r="BQ118" s="218"/>
      <c r="BR118" s="218"/>
      <c r="BS118" s="218"/>
      <c r="BT118" s="218"/>
      <c r="BU118" s="218"/>
      <c r="BV118" s="218"/>
      <c r="BW118" s="218"/>
      <c r="BX118" s="218"/>
      <c r="BY118" s="218"/>
      <c r="BZ118" s="218"/>
      <c r="CA118" s="218"/>
      <c r="CB118" s="218"/>
      <c r="CC118" s="218"/>
      <c r="CD118" s="218"/>
      <c r="CE118" s="218"/>
      <c r="CF118" s="218"/>
      <c r="CG118" s="218"/>
      <c r="CH118" s="218"/>
      <c r="CI118" s="218"/>
      <c r="CJ118" s="218"/>
      <c r="CK118" s="218"/>
      <c r="CL118" s="218"/>
      <c r="CM118" s="218"/>
    </row>
    <row r="119" spans="1:91" hidden="1" x14ac:dyDescent="0.2">
      <c r="A119" s="426"/>
      <c r="B119" s="156" t="str">
        <f>Capacidades!M111</f>
        <v xml:space="preserve">   </v>
      </c>
      <c r="C119" s="157"/>
      <c r="D119" s="14"/>
      <c r="E119" s="14"/>
      <c r="F119" s="14"/>
      <c r="G119" s="14"/>
      <c r="H119" s="14"/>
      <c r="I119" s="14"/>
      <c r="J119" s="14"/>
      <c r="K119" s="14"/>
      <c r="L119" s="446"/>
      <c r="M119" s="292" t="str">
        <f t="shared" si="1"/>
        <v xml:space="preserve">   </v>
      </c>
      <c r="N119" s="218"/>
      <c r="O119" s="218"/>
      <c r="P119" s="218"/>
      <c r="Q119" s="218"/>
      <c r="R119" s="218"/>
      <c r="S119" s="218"/>
      <c r="T119" s="218"/>
      <c r="U119" s="218"/>
      <c r="V119" s="218"/>
      <c r="W119" s="218"/>
      <c r="X119" s="218"/>
      <c r="Y119" s="218"/>
      <c r="Z119" s="218"/>
      <c r="AA119" s="218"/>
      <c r="AB119" s="218"/>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8"/>
      <c r="BF119" s="218"/>
      <c r="BG119" s="218"/>
      <c r="BH119" s="218"/>
      <c r="BI119" s="218"/>
      <c r="BJ119" s="218"/>
      <c r="BK119" s="218"/>
      <c r="BL119" s="218"/>
      <c r="BM119" s="218"/>
      <c r="BN119" s="218"/>
      <c r="BO119" s="218"/>
      <c r="BP119" s="218"/>
      <c r="BQ119" s="218"/>
      <c r="BR119" s="218"/>
      <c r="BS119" s="218"/>
      <c r="BT119" s="218"/>
      <c r="BU119" s="218"/>
      <c r="BV119" s="218"/>
      <c r="BW119" s="218"/>
      <c r="BX119" s="218"/>
      <c r="BY119" s="218"/>
      <c r="BZ119" s="218"/>
      <c r="CA119" s="218"/>
      <c r="CB119" s="218"/>
      <c r="CC119" s="218"/>
      <c r="CD119" s="218"/>
      <c r="CE119" s="218"/>
      <c r="CF119" s="218"/>
      <c r="CG119" s="218"/>
      <c r="CH119" s="218"/>
      <c r="CI119" s="218"/>
      <c r="CJ119" s="218"/>
      <c r="CK119" s="218"/>
      <c r="CL119" s="218"/>
      <c r="CM119" s="218"/>
    </row>
    <row r="120" spans="1:91" hidden="1" x14ac:dyDescent="0.2">
      <c r="A120" s="426"/>
      <c r="B120" s="156" t="str">
        <f>Capacidades!M112</f>
        <v xml:space="preserve">   </v>
      </c>
      <c r="C120" s="157"/>
      <c r="D120" s="14"/>
      <c r="E120" s="14"/>
      <c r="F120" s="14"/>
      <c r="G120" s="14"/>
      <c r="H120" s="14"/>
      <c r="I120" s="14"/>
      <c r="J120" s="14"/>
      <c r="K120" s="14"/>
      <c r="L120" s="446"/>
      <c r="M120" s="292" t="str">
        <f t="shared" si="1"/>
        <v xml:space="preserve">   </v>
      </c>
      <c r="N120" s="218"/>
      <c r="O120" s="218"/>
      <c r="P120" s="218"/>
      <c r="Q120" s="218"/>
      <c r="R120" s="218"/>
      <c r="S120" s="218"/>
      <c r="T120" s="218"/>
      <c r="U120" s="218"/>
      <c r="V120" s="218"/>
      <c r="W120" s="218"/>
      <c r="X120" s="218"/>
      <c r="Y120" s="218"/>
      <c r="Z120" s="218"/>
      <c r="AA120" s="218"/>
      <c r="AB120" s="218"/>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8"/>
      <c r="BF120" s="218"/>
      <c r="BG120" s="218"/>
      <c r="BH120" s="218"/>
      <c r="BI120" s="218"/>
      <c r="BJ120" s="218"/>
      <c r="BK120" s="218"/>
      <c r="BL120" s="218"/>
      <c r="BM120" s="218"/>
      <c r="BN120" s="218"/>
      <c r="BO120" s="218"/>
      <c r="BP120" s="218"/>
      <c r="BQ120" s="218"/>
      <c r="BR120" s="218"/>
      <c r="BS120" s="218"/>
      <c r="BT120" s="218"/>
      <c r="BU120" s="218"/>
      <c r="BV120" s="218"/>
      <c r="BW120" s="218"/>
      <c r="BX120" s="218"/>
      <c r="BY120" s="218"/>
      <c r="BZ120" s="218"/>
      <c r="CA120" s="218"/>
      <c r="CB120" s="218"/>
      <c r="CC120" s="218"/>
      <c r="CD120" s="218"/>
      <c r="CE120" s="218"/>
      <c r="CF120" s="218"/>
      <c r="CG120" s="218"/>
      <c r="CH120" s="218"/>
      <c r="CI120" s="218"/>
      <c r="CJ120" s="218"/>
      <c r="CK120" s="218"/>
      <c r="CL120" s="218"/>
      <c r="CM120" s="218"/>
    </row>
    <row r="121" spans="1:91" hidden="1" x14ac:dyDescent="0.2">
      <c r="A121" s="426"/>
      <c r="B121" s="156" t="str">
        <f>Capacidades!M113</f>
        <v xml:space="preserve">   </v>
      </c>
      <c r="C121" s="157"/>
      <c r="D121" s="14"/>
      <c r="E121" s="14"/>
      <c r="F121" s="14"/>
      <c r="G121" s="14"/>
      <c r="H121" s="14"/>
      <c r="I121" s="14"/>
      <c r="J121" s="14"/>
      <c r="K121" s="14"/>
      <c r="L121" s="446"/>
      <c r="M121" s="292" t="str">
        <f t="shared" si="1"/>
        <v xml:space="preserve">   </v>
      </c>
      <c r="N121" s="218"/>
      <c r="O121" s="218"/>
      <c r="P121" s="218"/>
      <c r="Q121" s="218"/>
      <c r="R121" s="218"/>
      <c r="S121" s="218"/>
      <c r="T121" s="218"/>
      <c r="U121" s="218"/>
      <c r="V121" s="218"/>
      <c r="W121" s="218"/>
      <c r="X121" s="218"/>
      <c r="Y121" s="218"/>
      <c r="Z121" s="218"/>
      <c r="AA121" s="218"/>
      <c r="AB121" s="218"/>
      <c r="AC121" s="218"/>
      <c r="AD121" s="218"/>
      <c r="AE121" s="218"/>
      <c r="AF121" s="218"/>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8"/>
      <c r="BF121" s="218"/>
      <c r="BG121" s="218"/>
      <c r="BH121" s="218"/>
      <c r="BI121" s="218"/>
      <c r="BJ121" s="218"/>
      <c r="BK121" s="218"/>
      <c r="BL121" s="218"/>
      <c r="BM121" s="218"/>
      <c r="BN121" s="218"/>
      <c r="BO121" s="218"/>
      <c r="BP121" s="218"/>
      <c r="BQ121" s="218"/>
      <c r="BR121" s="218"/>
      <c r="BS121" s="218"/>
      <c r="BT121" s="218"/>
      <c r="BU121" s="218"/>
      <c r="BV121" s="218"/>
      <c r="BW121" s="218"/>
      <c r="BX121" s="218"/>
      <c r="BY121" s="218"/>
      <c r="BZ121" s="218"/>
      <c r="CA121" s="218"/>
      <c r="CB121" s="218"/>
      <c r="CC121" s="218"/>
      <c r="CD121" s="218"/>
      <c r="CE121" s="218"/>
      <c r="CF121" s="218"/>
      <c r="CG121" s="218"/>
      <c r="CH121" s="218"/>
      <c r="CI121" s="218"/>
      <c r="CJ121" s="218"/>
      <c r="CK121" s="218"/>
      <c r="CL121" s="218"/>
      <c r="CM121" s="218"/>
    </row>
    <row r="122" spans="1:91" hidden="1" x14ac:dyDescent="0.2">
      <c r="A122" s="426"/>
      <c r="B122" s="156" t="str">
        <f>Capacidades!M114</f>
        <v xml:space="preserve">   </v>
      </c>
      <c r="C122" s="157"/>
      <c r="D122" s="14"/>
      <c r="E122" s="14"/>
      <c r="F122" s="14"/>
      <c r="G122" s="14"/>
      <c r="H122" s="14"/>
      <c r="I122" s="14"/>
      <c r="J122" s="14"/>
      <c r="K122" s="14"/>
      <c r="L122" s="446"/>
      <c r="M122" s="292" t="str">
        <f t="shared" si="1"/>
        <v xml:space="preserve">   </v>
      </c>
      <c r="N122" s="218"/>
      <c r="O122" s="218"/>
      <c r="P122" s="218"/>
      <c r="Q122" s="218"/>
      <c r="R122" s="218"/>
      <c r="S122" s="218"/>
      <c r="T122" s="218"/>
      <c r="U122" s="218"/>
      <c r="V122" s="218"/>
      <c r="W122" s="218"/>
      <c r="X122" s="218"/>
      <c r="Y122" s="218"/>
      <c r="Z122" s="218"/>
      <c r="AA122" s="218"/>
      <c r="AB122" s="218"/>
      <c r="AC122" s="218"/>
      <c r="AD122" s="218"/>
      <c r="AE122" s="218"/>
      <c r="AF122" s="218"/>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8"/>
      <c r="BF122" s="218"/>
      <c r="BG122" s="218"/>
      <c r="BH122" s="218"/>
      <c r="BI122" s="218"/>
      <c r="BJ122" s="218"/>
      <c r="BK122" s="218"/>
      <c r="BL122" s="218"/>
      <c r="BM122" s="218"/>
      <c r="BN122" s="218"/>
      <c r="BO122" s="218"/>
      <c r="BP122" s="218"/>
      <c r="BQ122" s="218"/>
      <c r="BR122" s="218"/>
      <c r="BS122" s="218"/>
      <c r="BT122" s="218"/>
      <c r="BU122" s="218"/>
      <c r="BV122" s="218"/>
      <c r="BW122" s="218"/>
      <c r="BX122" s="218"/>
      <c r="BY122" s="218"/>
      <c r="BZ122" s="218"/>
      <c r="CA122" s="218"/>
      <c r="CB122" s="218"/>
      <c r="CC122" s="218"/>
      <c r="CD122" s="218"/>
      <c r="CE122" s="218"/>
      <c r="CF122" s="218"/>
      <c r="CG122" s="218"/>
      <c r="CH122" s="218"/>
      <c r="CI122" s="218"/>
      <c r="CJ122" s="218"/>
      <c r="CK122" s="218"/>
      <c r="CL122" s="218"/>
      <c r="CM122" s="218"/>
    </row>
    <row r="123" spans="1:91" hidden="1" x14ac:dyDescent="0.2">
      <c r="A123" s="426"/>
      <c r="B123" s="156" t="str">
        <f>Capacidades!M115</f>
        <v xml:space="preserve">   </v>
      </c>
      <c r="C123" s="157"/>
      <c r="D123" s="14"/>
      <c r="E123" s="14"/>
      <c r="F123" s="14"/>
      <c r="G123" s="14"/>
      <c r="H123" s="14"/>
      <c r="I123" s="14"/>
      <c r="J123" s="14"/>
      <c r="K123" s="14"/>
      <c r="L123" s="446"/>
      <c r="M123" s="292" t="str">
        <f t="shared" si="1"/>
        <v xml:space="preserve">   </v>
      </c>
      <c r="N123" s="218"/>
      <c r="O123" s="218"/>
      <c r="P123" s="218"/>
      <c r="Q123" s="218"/>
      <c r="R123" s="218"/>
      <c r="S123" s="218"/>
      <c r="T123" s="218"/>
      <c r="U123" s="218"/>
      <c r="V123" s="218"/>
      <c r="W123" s="218"/>
      <c r="X123" s="218"/>
      <c r="Y123" s="218"/>
      <c r="Z123" s="218"/>
      <c r="AA123" s="218"/>
      <c r="AB123" s="218"/>
      <c r="AC123" s="218"/>
      <c r="AD123" s="218"/>
      <c r="AE123" s="218"/>
      <c r="AF123" s="218"/>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8"/>
      <c r="BF123" s="218"/>
      <c r="BG123" s="218"/>
      <c r="BH123" s="218"/>
      <c r="BI123" s="218"/>
      <c r="BJ123" s="218"/>
      <c r="BK123" s="218"/>
      <c r="BL123" s="218"/>
      <c r="BM123" s="218"/>
      <c r="BN123" s="218"/>
      <c r="BO123" s="218"/>
      <c r="BP123" s="218"/>
      <c r="BQ123" s="218"/>
      <c r="BR123" s="218"/>
      <c r="BS123" s="218"/>
      <c r="BT123" s="218"/>
      <c r="BU123" s="218"/>
      <c r="BV123" s="218"/>
      <c r="BW123" s="218"/>
      <c r="BX123" s="218"/>
      <c r="BY123" s="218"/>
      <c r="BZ123" s="218"/>
      <c r="CA123" s="218"/>
      <c r="CB123" s="218"/>
      <c r="CC123" s="218"/>
      <c r="CD123" s="218"/>
      <c r="CE123" s="218"/>
      <c r="CF123" s="218"/>
      <c r="CG123" s="218"/>
      <c r="CH123" s="218"/>
      <c r="CI123" s="218"/>
      <c r="CJ123" s="218"/>
      <c r="CK123" s="218"/>
      <c r="CL123" s="218"/>
      <c r="CM123" s="218"/>
    </row>
    <row r="124" spans="1:91" hidden="1" x14ac:dyDescent="0.2">
      <c r="A124" s="426"/>
      <c r="B124" s="156" t="str">
        <f>Capacidades!M116</f>
        <v xml:space="preserve">   </v>
      </c>
      <c r="C124" s="157"/>
      <c r="D124" s="14"/>
      <c r="E124" s="14"/>
      <c r="F124" s="14"/>
      <c r="G124" s="14"/>
      <c r="H124" s="14"/>
      <c r="I124" s="14"/>
      <c r="J124" s="14"/>
      <c r="K124" s="14"/>
      <c r="L124" s="446"/>
      <c r="M124" s="292" t="str">
        <f t="shared" si="1"/>
        <v xml:space="preserve">   </v>
      </c>
      <c r="N124" s="218"/>
      <c r="O124" s="218"/>
      <c r="P124" s="218"/>
      <c r="Q124" s="218"/>
      <c r="R124" s="218"/>
      <c r="S124" s="218"/>
      <c r="T124" s="218"/>
      <c r="U124" s="218"/>
      <c r="V124" s="218"/>
      <c r="W124" s="218"/>
      <c r="X124" s="218"/>
      <c r="Y124" s="218"/>
      <c r="Z124" s="218"/>
      <c r="AA124" s="218"/>
      <c r="AB124" s="218"/>
      <c r="AC124" s="218"/>
      <c r="AD124" s="218"/>
      <c r="AE124" s="218"/>
      <c r="AF124" s="218"/>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8"/>
      <c r="BF124" s="218"/>
      <c r="BG124" s="218"/>
      <c r="BH124" s="218"/>
      <c r="BI124" s="218"/>
      <c r="BJ124" s="218"/>
      <c r="BK124" s="218"/>
      <c r="BL124" s="218"/>
      <c r="BM124" s="218"/>
      <c r="BN124" s="218"/>
      <c r="BO124" s="218"/>
      <c r="BP124" s="218"/>
      <c r="BQ124" s="218"/>
      <c r="BR124" s="218"/>
      <c r="BS124" s="218"/>
      <c r="BT124" s="218"/>
      <c r="BU124" s="218"/>
      <c r="BV124" s="218"/>
      <c r="BW124" s="218"/>
      <c r="BX124" s="218"/>
      <c r="BY124" s="218"/>
      <c r="BZ124" s="218"/>
      <c r="CA124" s="218"/>
      <c r="CB124" s="218"/>
      <c r="CC124" s="218"/>
      <c r="CD124" s="218"/>
      <c r="CE124" s="218"/>
      <c r="CF124" s="218"/>
      <c r="CG124" s="218"/>
      <c r="CH124" s="218"/>
      <c r="CI124" s="218"/>
      <c r="CJ124" s="218"/>
      <c r="CK124" s="218"/>
      <c r="CL124" s="218"/>
      <c r="CM124" s="218"/>
    </row>
    <row r="125" spans="1:91" hidden="1" x14ac:dyDescent="0.2">
      <c r="A125" s="426"/>
      <c r="B125" s="156" t="str">
        <f>Capacidades!M117</f>
        <v xml:space="preserve">   </v>
      </c>
      <c r="C125" s="157"/>
      <c r="D125" s="14"/>
      <c r="E125" s="14"/>
      <c r="F125" s="14"/>
      <c r="G125" s="14"/>
      <c r="H125" s="14"/>
      <c r="I125" s="14"/>
      <c r="J125" s="14"/>
      <c r="K125" s="14"/>
      <c r="L125" s="446"/>
      <c r="M125" s="292" t="str">
        <f t="shared" si="1"/>
        <v xml:space="preserve">   </v>
      </c>
      <c r="N125" s="218"/>
      <c r="O125" s="218"/>
      <c r="P125" s="218"/>
      <c r="Q125" s="218"/>
      <c r="R125" s="218"/>
      <c r="S125" s="218"/>
      <c r="T125" s="218"/>
      <c r="U125" s="218"/>
      <c r="V125" s="218"/>
      <c r="W125" s="218"/>
      <c r="X125" s="218"/>
      <c r="Y125" s="218"/>
      <c r="Z125" s="218"/>
      <c r="AA125" s="218"/>
      <c r="AB125" s="218"/>
      <c r="AC125" s="218"/>
      <c r="AD125" s="218"/>
      <c r="AE125" s="218"/>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8"/>
      <c r="BF125" s="218"/>
      <c r="BG125" s="218"/>
      <c r="BH125" s="218"/>
      <c r="BI125" s="218"/>
      <c r="BJ125" s="218"/>
      <c r="BK125" s="218"/>
      <c r="BL125" s="218"/>
      <c r="BM125" s="218"/>
      <c r="BN125" s="218"/>
      <c r="BO125" s="218"/>
      <c r="BP125" s="218"/>
      <c r="BQ125" s="218"/>
      <c r="BR125" s="218"/>
      <c r="BS125" s="218"/>
      <c r="BT125" s="218"/>
      <c r="BU125" s="218"/>
      <c r="BV125" s="218"/>
      <c r="BW125" s="218"/>
      <c r="BX125" s="218"/>
      <c r="BY125" s="218"/>
      <c r="BZ125" s="218"/>
      <c r="CA125" s="218"/>
      <c r="CB125" s="218"/>
      <c r="CC125" s="218"/>
      <c r="CD125" s="218"/>
      <c r="CE125" s="218"/>
      <c r="CF125" s="218"/>
      <c r="CG125" s="218"/>
      <c r="CH125" s="218"/>
      <c r="CI125" s="218"/>
      <c r="CJ125" s="218"/>
      <c r="CK125" s="218"/>
      <c r="CL125" s="218"/>
      <c r="CM125" s="218"/>
    </row>
    <row r="126" spans="1:91" hidden="1" x14ac:dyDescent="0.2">
      <c r="A126" s="426"/>
      <c r="B126" s="156" t="str">
        <f>Capacidades!M118</f>
        <v xml:space="preserve">   </v>
      </c>
      <c r="C126" s="157"/>
      <c r="D126" s="14"/>
      <c r="E126" s="14"/>
      <c r="F126" s="14"/>
      <c r="G126" s="14"/>
      <c r="H126" s="14"/>
      <c r="I126" s="14"/>
      <c r="J126" s="14"/>
      <c r="K126" s="14"/>
      <c r="L126" s="446"/>
      <c r="M126" s="292" t="str">
        <f t="shared" si="1"/>
        <v xml:space="preserve">   </v>
      </c>
      <c r="N126" s="218"/>
      <c r="O126" s="218"/>
      <c r="P126" s="218"/>
      <c r="Q126" s="218"/>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18"/>
      <c r="BK126" s="218"/>
      <c r="BL126" s="218"/>
      <c r="BM126" s="218"/>
      <c r="BN126" s="218"/>
      <c r="BO126" s="218"/>
      <c r="BP126" s="218"/>
      <c r="BQ126" s="218"/>
      <c r="BR126" s="218"/>
      <c r="BS126" s="218"/>
      <c r="BT126" s="218"/>
      <c r="BU126" s="218"/>
      <c r="BV126" s="218"/>
      <c r="BW126" s="218"/>
      <c r="BX126" s="218"/>
      <c r="BY126" s="218"/>
      <c r="BZ126" s="218"/>
      <c r="CA126" s="218"/>
      <c r="CB126" s="218"/>
      <c r="CC126" s="218"/>
      <c r="CD126" s="218"/>
      <c r="CE126" s="218"/>
      <c r="CF126" s="218"/>
      <c r="CG126" s="218"/>
      <c r="CH126" s="218"/>
      <c r="CI126" s="218"/>
      <c r="CJ126" s="218"/>
      <c r="CK126" s="218"/>
      <c r="CL126" s="218"/>
      <c r="CM126" s="218"/>
    </row>
    <row r="127" spans="1:91" hidden="1" x14ac:dyDescent="0.2">
      <c r="A127" s="427"/>
      <c r="B127" s="156" t="str">
        <f>Capacidades!M119</f>
        <v xml:space="preserve">   </v>
      </c>
      <c r="C127" s="157"/>
      <c r="D127" s="16"/>
      <c r="E127" s="16"/>
      <c r="F127" s="16"/>
      <c r="G127" s="16"/>
      <c r="H127" s="16"/>
      <c r="I127" s="16"/>
      <c r="J127" s="16"/>
      <c r="K127" s="16"/>
      <c r="L127" s="447"/>
      <c r="M127" s="292" t="str">
        <f t="shared" si="1"/>
        <v xml:space="preserve">   </v>
      </c>
      <c r="N127" s="218"/>
      <c r="O127" s="218"/>
      <c r="P127" s="218"/>
      <c r="Q127" s="218"/>
      <c r="R127" s="218"/>
      <c r="S127" s="218"/>
      <c r="T127" s="218"/>
      <c r="U127" s="218"/>
      <c r="V127" s="218"/>
      <c r="W127" s="218"/>
      <c r="X127" s="218"/>
      <c r="Y127" s="218"/>
      <c r="Z127" s="218"/>
      <c r="AA127" s="218"/>
      <c r="AB127" s="218"/>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8"/>
      <c r="BF127" s="218"/>
      <c r="BG127" s="218"/>
      <c r="BH127" s="218"/>
      <c r="BI127" s="218"/>
      <c r="BJ127" s="218"/>
      <c r="BK127" s="218"/>
      <c r="BL127" s="218"/>
      <c r="BM127" s="218"/>
      <c r="BN127" s="218"/>
      <c r="BO127" s="218"/>
      <c r="BP127" s="218"/>
      <c r="BQ127" s="218"/>
      <c r="BR127" s="218"/>
      <c r="BS127" s="218"/>
      <c r="BT127" s="218"/>
      <c r="BU127" s="218"/>
      <c r="BV127" s="218"/>
      <c r="BW127" s="218"/>
      <c r="BX127" s="218"/>
      <c r="BY127" s="218"/>
      <c r="BZ127" s="218"/>
      <c r="CA127" s="218"/>
      <c r="CB127" s="218"/>
      <c r="CC127" s="218"/>
      <c r="CD127" s="218"/>
      <c r="CE127" s="218"/>
      <c r="CF127" s="218"/>
      <c r="CG127" s="218"/>
      <c r="CH127" s="218"/>
      <c r="CI127" s="218"/>
      <c r="CJ127" s="218"/>
      <c r="CK127" s="218"/>
      <c r="CL127" s="218"/>
      <c r="CM127" s="218"/>
    </row>
    <row r="128" spans="1:91" hidden="1" x14ac:dyDescent="0.2">
      <c r="A128" s="425" t="str">
        <f>Capacidades!L120</f>
        <v xml:space="preserve">       </v>
      </c>
      <c r="B128" s="156" t="str">
        <f>Capacidades!M120</f>
        <v xml:space="preserve">   </v>
      </c>
      <c r="C128" s="157"/>
      <c r="D128" s="12">
        <f>Organización_Modular!F21</f>
        <v>0</v>
      </c>
      <c r="E128" s="12">
        <f>Organización_Modular!G21</f>
        <v>0</v>
      </c>
      <c r="F128" s="12">
        <f>Organización_Modular!H21</f>
        <v>0</v>
      </c>
      <c r="G128" s="12">
        <f>Organización_Modular!I21</f>
        <v>0</v>
      </c>
      <c r="H128" s="12">
        <f>SUM(F128:G128)</f>
        <v>0</v>
      </c>
      <c r="I128" s="12">
        <f>F128*16</f>
        <v>0</v>
      </c>
      <c r="J128" s="12">
        <f>G128*32</f>
        <v>0</v>
      </c>
      <c r="K128" s="12">
        <f>SUM(I128:J128)</f>
        <v>0</v>
      </c>
      <c r="L128" s="445"/>
      <c r="M128" s="292" t="str">
        <f t="shared" si="1"/>
        <v xml:space="preserve">   </v>
      </c>
      <c r="N128" s="218"/>
      <c r="O128" s="218"/>
      <c r="P128" s="218"/>
      <c r="Q128" s="218"/>
      <c r="R128" s="218"/>
      <c r="S128" s="218"/>
      <c r="T128" s="218"/>
      <c r="U128" s="218"/>
      <c r="V128" s="218"/>
      <c r="W128" s="218"/>
      <c r="X128" s="218"/>
      <c r="Y128" s="218"/>
      <c r="Z128" s="218"/>
      <c r="AA128" s="218"/>
      <c r="AB128" s="218"/>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8"/>
      <c r="BF128" s="218"/>
      <c r="BG128" s="218"/>
      <c r="BH128" s="218"/>
      <c r="BI128" s="218"/>
      <c r="BJ128" s="218"/>
      <c r="BK128" s="218"/>
      <c r="BL128" s="218"/>
      <c r="BM128" s="218"/>
      <c r="BN128" s="218"/>
      <c r="BO128" s="218"/>
      <c r="BP128" s="218"/>
      <c r="BQ128" s="218"/>
      <c r="BR128" s="218"/>
      <c r="BS128" s="218"/>
      <c r="BT128" s="218"/>
      <c r="BU128" s="218"/>
      <c r="BV128" s="218"/>
      <c r="BW128" s="218"/>
      <c r="BX128" s="218"/>
      <c r="BY128" s="218"/>
      <c r="BZ128" s="218"/>
      <c r="CA128" s="218"/>
      <c r="CB128" s="218"/>
      <c r="CC128" s="218"/>
      <c r="CD128" s="218"/>
      <c r="CE128" s="218"/>
      <c r="CF128" s="218"/>
      <c r="CG128" s="218"/>
      <c r="CH128" s="218"/>
      <c r="CI128" s="218"/>
      <c r="CJ128" s="218"/>
      <c r="CK128" s="218"/>
      <c r="CL128" s="218"/>
      <c r="CM128" s="218"/>
    </row>
    <row r="129" spans="1:91" hidden="1" x14ac:dyDescent="0.2">
      <c r="A129" s="426"/>
      <c r="B129" s="156" t="str">
        <f>Capacidades!M121</f>
        <v xml:space="preserve">   </v>
      </c>
      <c r="C129" s="157"/>
      <c r="D129" s="14"/>
      <c r="E129" s="14"/>
      <c r="F129" s="14"/>
      <c r="G129" s="14"/>
      <c r="H129" s="14"/>
      <c r="I129" s="14"/>
      <c r="J129" s="14"/>
      <c r="K129" s="14"/>
      <c r="L129" s="446"/>
      <c r="M129" s="292" t="str">
        <f t="shared" si="1"/>
        <v xml:space="preserve">   </v>
      </c>
      <c r="N129" s="218"/>
      <c r="O129" s="218"/>
      <c r="P129" s="218"/>
      <c r="Q129" s="218"/>
      <c r="R129" s="218"/>
      <c r="S129" s="218"/>
      <c r="T129" s="218"/>
      <c r="U129" s="218"/>
      <c r="V129" s="218"/>
      <c r="W129" s="218"/>
      <c r="X129" s="218"/>
      <c r="Y129" s="218"/>
      <c r="Z129" s="218"/>
      <c r="AA129" s="218"/>
      <c r="AB129" s="218"/>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8"/>
      <c r="BF129" s="218"/>
      <c r="BG129" s="218"/>
      <c r="BH129" s="218"/>
      <c r="BI129" s="218"/>
      <c r="BJ129" s="218"/>
      <c r="BK129" s="218"/>
      <c r="BL129" s="218"/>
      <c r="BM129" s="218"/>
      <c r="BN129" s="218"/>
      <c r="BO129" s="218"/>
      <c r="BP129" s="218"/>
      <c r="BQ129" s="218"/>
      <c r="BR129" s="218"/>
      <c r="BS129" s="218"/>
      <c r="BT129" s="218"/>
      <c r="BU129" s="218"/>
      <c r="BV129" s="218"/>
      <c r="BW129" s="218"/>
      <c r="BX129" s="218"/>
      <c r="BY129" s="218"/>
      <c r="BZ129" s="218"/>
      <c r="CA129" s="218"/>
      <c r="CB129" s="218"/>
      <c r="CC129" s="218"/>
      <c r="CD129" s="218"/>
      <c r="CE129" s="218"/>
      <c r="CF129" s="218"/>
      <c r="CG129" s="218"/>
      <c r="CH129" s="218"/>
      <c r="CI129" s="218"/>
      <c r="CJ129" s="218"/>
      <c r="CK129" s="218"/>
      <c r="CL129" s="218"/>
      <c r="CM129" s="218"/>
    </row>
    <row r="130" spans="1:91" hidden="1" x14ac:dyDescent="0.2">
      <c r="A130" s="426"/>
      <c r="B130" s="156" t="str">
        <f>Capacidades!M122</f>
        <v xml:space="preserve">   </v>
      </c>
      <c r="C130" s="157"/>
      <c r="D130" s="14"/>
      <c r="E130" s="14"/>
      <c r="F130" s="14"/>
      <c r="G130" s="14"/>
      <c r="H130" s="14"/>
      <c r="I130" s="14"/>
      <c r="J130" s="14"/>
      <c r="K130" s="14"/>
      <c r="L130" s="446"/>
      <c r="M130" s="292" t="str">
        <f t="shared" si="1"/>
        <v xml:space="preserve">   </v>
      </c>
      <c r="N130" s="218"/>
      <c r="O130" s="218"/>
      <c r="P130" s="218"/>
      <c r="Q130" s="218"/>
      <c r="R130" s="218"/>
      <c r="S130" s="218"/>
      <c r="T130" s="218"/>
      <c r="U130" s="218"/>
      <c r="V130" s="218"/>
      <c r="W130" s="218"/>
      <c r="X130" s="218"/>
      <c r="Y130" s="218"/>
      <c r="Z130" s="218"/>
      <c r="AA130" s="218"/>
      <c r="AB130" s="218"/>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8"/>
      <c r="BF130" s="218"/>
      <c r="BG130" s="218"/>
      <c r="BH130" s="218"/>
      <c r="BI130" s="218"/>
      <c r="BJ130" s="218"/>
      <c r="BK130" s="218"/>
      <c r="BL130" s="218"/>
      <c r="BM130" s="218"/>
      <c r="BN130" s="218"/>
      <c r="BO130" s="218"/>
      <c r="BP130" s="218"/>
      <c r="BQ130" s="218"/>
      <c r="BR130" s="218"/>
      <c r="BS130" s="218"/>
      <c r="BT130" s="218"/>
      <c r="BU130" s="218"/>
      <c r="BV130" s="218"/>
      <c r="BW130" s="218"/>
      <c r="BX130" s="218"/>
      <c r="BY130" s="218"/>
      <c r="BZ130" s="218"/>
      <c r="CA130" s="218"/>
      <c r="CB130" s="218"/>
      <c r="CC130" s="218"/>
      <c r="CD130" s="218"/>
      <c r="CE130" s="218"/>
      <c r="CF130" s="218"/>
      <c r="CG130" s="218"/>
      <c r="CH130" s="218"/>
      <c r="CI130" s="218"/>
      <c r="CJ130" s="218"/>
      <c r="CK130" s="218"/>
      <c r="CL130" s="218"/>
      <c r="CM130" s="218"/>
    </row>
    <row r="131" spans="1:91" hidden="1" x14ac:dyDescent="0.2">
      <c r="A131" s="426"/>
      <c r="B131" s="156" t="str">
        <f>Capacidades!M123</f>
        <v xml:space="preserve">   </v>
      </c>
      <c r="C131" s="157"/>
      <c r="D131" s="14"/>
      <c r="E131" s="14"/>
      <c r="F131" s="14"/>
      <c r="G131" s="14"/>
      <c r="H131" s="14"/>
      <c r="I131" s="14"/>
      <c r="J131" s="14"/>
      <c r="K131" s="14"/>
      <c r="L131" s="446"/>
      <c r="M131" s="292" t="str">
        <f t="shared" si="1"/>
        <v xml:space="preserve">   </v>
      </c>
      <c r="N131" s="218"/>
      <c r="O131" s="218"/>
      <c r="P131" s="218"/>
      <c r="Q131" s="218"/>
      <c r="R131" s="218"/>
      <c r="S131" s="218"/>
      <c r="T131" s="218"/>
      <c r="U131" s="218"/>
      <c r="V131" s="218"/>
      <c r="W131" s="218"/>
      <c r="X131" s="218"/>
      <c r="Y131" s="218"/>
      <c r="Z131" s="218"/>
      <c r="AA131" s="218"/>
      <c r="AB131" s="218"/>
      <c r="AC131" s="218"/>
      <c r="AD131" s="218"/>
      <c r="AE131" s="218"/>
      <c r="AF131" s="218"/>
      <c r="AG131" s="218"/>
      <c r="AH131" s="218"/>
      <c r="AI131" s="218"/>
      <c r="AJ131" s="218"/>
      <c r="AK131" s="218"/>
      <c r="AL131" s="218"/>
      <c r="AM131" s="218"/>
      <c r="AN131" s="218"/>
      <c r="AO131" s="218"/>
      <c r="AP131" s="218"/>
      <c r="AQ131" s="218"/>
      <c r="AR131" s="218"/>
      <c r="AS131" s="218"/>
      <c r="AT131" s="218"/>
      <c r="AU131" s="218"/>
      <c r="AV131" s="218"/>
      <c r="AW131" s="218"/>
      <c r="AX131" s="218"/>
      <c r="AY131" s="218"/>
      <c r="AZ131" s="218"/>
      <c r="BA131" s="218"/>
      <c r="BB131" s="218"/>
      <c r="BC131" s="218"/>
      <c r="BD131" s="218"/>
      <c r="BE131" s="218"/>
      <c r="BF131" s="218"/>
      <c r="BG131" s="218"/>
      <c r="BH131" s="218"/>
      <c r="BI131" s="218"/>
      <c r="BJ131" s="218"/>
      <c r="BK131" s="218"/>
      <c r="BL131" s="218"/>
      <c r="BM131" s="218"/>
      <c r="BN131" s="218"/>
      <c r="BO131" s="218"/>
      <c r="BP131" s="218"/>
      <c r="BQ131" s="218"/>
      <c r="BR131" s="218"/>
      <c r="BS131" s="218"/>
      <c r="BT131" s="218"/>
      <c r="BU131" s="218"/>
      <c r="BV131" s="218"/>
      <c r="BW131" s="218"/>
      <c r="BX131" s="218"/>
      <c r="BY131" s="218"/>
      <c r="BZ131" s="218"/>
      <c r="CA131" s="218"/>
      <c r="CB131" s="218"/>
      <c r="CC131" s="218"/>
      <c r="CD131" s="218"/>
      <c r="CE131" s="218"/>
      <c r="CF131" s="218"/>
      <c r="CG131" s="218"/>
      <c r="CH131" s="218"/>
      <c r="CI131" s="218"/>
      <c r="CJ131" s="218"/>
      <c r="CK131" s="218"/>
      <c r="CL131" s="218"/>
      <c r="CM131" s="218"/>
    </row>
    <row r="132" spans="1:91" hidden="1" x14ac:dyDescent="0.2">
      <c r="A132" s="426"/>
      <c r="B132" s="156" t="str">
        <f>Capacidades!M124</f>
        <v xml:space="preserve">   </v>
      </c>
      <c r="C132" s="157"/>
      <c r="D132" s="14"/>
      <c r="E132" s="14"/>
      <c r="F132" s="14"/>
      <c r="G132" s="14"/>
      <c r="H132" s="14"/>
      <c r="I132" s="14"/>
      <c r="J132" s="14"/>
      <c r="K132" s="14"/>
      <c r="L132" s="446"/>
      <c r="M132" s="292" t="str">
        <f t="shared" si="1"/>
        <v xml:space="preserve">   </v>
      </c>
      <c r="N132" s="218"/>
      <c r="O132" s="218"/>
      <c r="P132" s="218"/>
      <c r="Q132" s="218"/>
      <c r="R132" s="218"/>
      <c r="S132" s="218"/>
      <c r="T132" s="218"/>
      <c r="U132" s="218"/>
      <c r="V132" s="218"/>
      <c r="W132" s="218"/>
      <c r="X132" s="218"/>
      <c r="Y132" s="218"/>
      <c r="Z132" s="218"/>
      <c r="AA132" s="218"/>
      <c r="AB132" s="218"/>
      <c r="AC132" s="218"/>
      <c r="AD132" s="218"/>
      <c r="AE132" s="218"/>
      <c r="AF132" s="218"/>
      <c r="AG132" s="218"/>
      <c r="AH132" s="218"/>
      <c r="AI132" s="218"/>
      <c r="AJ132" s="218"/>
      <c r="AK132" s="218"/>
      <c r="AL132" s="218"/>
      <c r="AM132" s="218"/>
      <c r="AN132" s="218"/>
      <c r="AO132" s="218"/>
      <c r="AP132" s="218"/>
      <c r="AQ132" s="218"/>
      <c r="AR132" s="218"/>
      <c r="AS132" s="218"/>
      <c r="AT132" s="218"/>
      <c r="AU132" s="218"/>
      <c r="AV132" s="218"/>
      <c r="AW132" s="218"/>
      <c r="AX132" s="218"/>
      <c r="AY132" s="218"/>
      <c r="AZ132" s="218"/>
      <c r="BA132" s="218"/>
      <c r="BB132" s="218"/>
      <c r="BC132" s="218"/>
      <c r="BD132" s="218"/>
      <c r="BE132" s="218"/>
      <c r="BF132" s="218"/>
      <c r="BG132" s="218"/>
      <c r="BH132" s="218"/>
      <c r="BI132" s="218"/>
      <c r="BJ132" s="218"/>
      <c r="BK132" s="218"/>
      <c r="BL132" s="218"/>
      <c r="BM132" s="218"/>
      <c r="BN132" s="218"/>
      <c r="BO132" s="218"/>
      <c r="BP132" s="218"/>
      <c r="BQ132" s="218"/>
      <c r="BR132" s="218"/>
      <c r="BS132" s="218"/>
      <c r="BT132" s="218"/>
      <c r="BU132" s="218"/>
      <c r="BV132" s="218"/>
      <c r="BW132" s="218"/>
      <c r="BX132" s="218"/>
      <c r="BY132" s="218"/>
      <c r="BZ132" s="218"/>
      <c r="CA132" s="218"/>
      <c r="CB132" s="218"/>
      <c r="CC132" s="218"/>
      <c r="CD132" s="218"/>
      <c r="CE132" s="218"/>
      <c r="CF132" s="218"/>
      <c r="CG132" s="218"/>
      <c r="CH132" s="218"/>
      <c r="CI132" s="218"/>
      <c r="CJ132" s="218"/>
      <c r="CK132" s="218"/>
      <c r="CL132" s="218"/>
      <c r="CM132" s="218"/>
    </row>
    <row r="133" spans="1:91" hidden="1" x14ac:dyDescent="0.2">
      <c r="A133" s="426"/>
      <c r="B133" s="156" t="str">
        <f>Capacidades!M125</f>
        <v xml:space="preserve">   </v>
      </c>
      <c r="C133" s="157"/>
      <c r="D133" s="14"/>
      <c r="E133" s="14"/>
      <c r="F133" s="14"/>
      <c r="G133" s="14"/>
      <c r="H133" s="14"/>
      <c r="I133" s="14"/>
      <c r="J133" s="14"/>
      <c r="K133" s="14"/>
      <c r="L133" s="446"/>
      <c r="M133" s="292" t="str">
        <f t="shared" si="1"/>
        <v xml:space="preserve">   </v>
      </c>
      <c r="N133" s="218"/>
      <c r="O133" s="218"/>
      <c r="P133" s="218"/>
      <c r="Q133" s="218"/>
      <c r="R133" s="218"/>
      <c r="S133" s="218"/>
      <c r="T133" s="218"/>
      <c r="U133" s="218"/>
      <c r="V133" s="218"/>
      <c r="W133" s="218"/>
      <c r="X133" s="218"/>
      <c r="Y133" s="218"/>
      <c r="Z133" s="218"/>
      <c r="AA133" s="218"/>
      <c r="AB133" s="218"/>
      <c r="AC133" s="218"/>
      <c r="AD133" s="218"/>
      <c r="AE133" s="218"/>
      <c r="AF133" s="218"/>
      <c r="AG133" s="218"/>
      <c r="AH133" s="218"/>
      <c r="AI133" s="218"/>
      <c r="AJ133" s="218"/>
      <c r="AK133" s="218"/>
      <c r="AL133" s="218"/>
      <c r="AM133" s="218"/>
      <c r="AN133" s="218"/>
      <c r="AO133" s="218"/>
      <c r="AP133" s="218"/>
      <c r="AQ133" s="218"/>
      <c r="AR133" s="218"/>
      <c r="AS133" s="218"/>
      <c r="AT133" s="218"/>
      <c r="AU133" s="218"/>
      <c r="AV133" s="218"/>
      <c r="AW133" s="218"/>
      <c r="AX133" s="218"/>
      <c r="AY133" s="218"/>
      <c r="AZ133" s="218"/>
      <c r="BA133" s="218"/>
      <c r="BB133" s="218"/>
      <c r="BC133" s="218"/>
      <c r="BD133" s="218"/>
      <c r="BE133" s="218"/>
      <c r="BF133" s="218"/>
      <c r="BG133" s="218"/>
      <c r="BH133" s="218"/>
      <c r="BI133" s="218"/>
      <c r="BJ133" s="218"/>
      <c r="BK133" s="218"/>
      <c r="BL133" s="218"/>
      <c r="BM133" s="218"/>
      <c r="BN133" s="218"/>
      <c r="BO133" s="218"/>
      <c r="BP133" s="218"/>
      <c r="BQ133" s="218"/>
      <c r="BR133" s="218"/>
      <c r="BS133" s="218"/>
      <c r="BT133" s="218"/>
      <c r="BU133" s="218"/>
      <c r="BV133" s="218"/>
      <c r="BW133" s="218"/>
      <c r="BX133" s="218"/>
      <c r="BY133" s="218"/>
      <c r="BZ133" s="218"/>
      <c r="CA133" s="218"/>
      <c r="CB133" s="218"/>
      <c r="CC133" s="218"/>
      <c r="CD133" s="218"/>
      <c r="CE133" s="218"/>
      <c r="CF133" s="218"/>
      <c r="CG133" s="218"/>
      <c r="CH133" s="218"/>
      <c r="CI133" s="218"/>
      <c r="CJ133" s="218"/>
      <c r="CK133" s="218"/>
      <c r="CL133" s="218"/>
      <c r="CM133" s="218"/>
    </row>
    <row r="134" spans="1:91" hidden="1" x14ac:dyDescent="0.2">
      <c r="A134" s="426"/>
      <c r="B134" s="156" t="str">
        <f>Capacidades!M126</f>
        <v xml:space="preserve">   </v>
      </c>
      <c r="C134" s="157"/>
      <c r="D134" s="14"/>
      <c r="E134" s="14"/>
      <c r="F134" s="14"/>
      <c r="G134" s="14"/>
      <c r="H134" s="14"/>
      <c r="I134" s="14"/>
      <c r="J134" s="14"/>
      <c r="K134" s="14"/>
      <c r="L134" s="446"/>
      <c r="M134" s="292" t="str">
        <f t="shared" si="1"/>
        <v xml:space="preserve">   </v>
      </c>
      <c r="N134" s="218"/>
      <c r="O134" s="218"/>
      <c r="P134" s="218"/>
      <c r="Q134" s="218"/>
      <c r="R134" s="218"/>
      <c r="S134" s="218"/>
      <c r="T134" s="218"/>
      <c r="U134" s="218"/>
      <c r="V134" s="218"/>
      <c r="W134" s="218"/>
      <c r="X134" s="218"/>
      <c r="Y134" s="218"/>
      <c r="Z134" s="218"/>
      <c r="AA134" s="218"/>
      <c r="AB134" s="218"/>
      <c r="AC134" s="218"/>
      <c r="AD134" s="218"/>
      <c r="AE134" s="218"/>
      <c r="AF134" s="218"/>
      <c r="AG134" s="218"/>
      <c r="AH134" s="218"/>
      <c r="AI134" s="218"/>
      <c r="AJ134" s="218"/>
      <c r="AK134" s="218"/>
      <c r="AL134" s="218"/>
      <c r="AM134" s="218"/>
      <c r="AN134" s="218"/>
      <c r="AO134" s="218"/>
      <c r="AP134" s="218"/>
      <c r="AQ134" s="218"/>
      <c r="AR134" s="218"/>
      <c r="AS134" s="218"/>
      <c r="AT134" s="218"/>
      <c r="AU134" s="218"/>
      <c r="AV134" s="218"/>
      <c r="AW134" s="218"/>
      <c r="AX134" s="218"/>
      <c r="AY134" s="218"/>
      <c r="AZ134" s="218"/>
      <c r="BA134" s="218"/>
      <c r="BB134" s="218"/>
      <c r="BC134" s="218"/>
      <c r="BD134" s="218"/>
      <c r="BE134" s="218"/>
      <c r="BF134" s="218"/>
      <c r="BG134" s="218"/>
      <c r="BH134" s="218"/>
      <c r="BI134" s="218"/>
      <c r="BJ134" s="218"/>
      <c r="BK134" s="218"/>
      <c r="BL134" s="218"/>
      <c r="BM134" s="218"/>
      <c r="BN134" s="218"/>
      <c r="BO134" s="218"/>
      <c r="BP134" s="218"/>
      <c r="BQ134" s="218"/>
      <c r="BR134" s="218"/>
      <c r="BS134" s="218"/>
      <c r="BT134" s="218"/>
      <c r="BU134" s="218"/>
      <c r="BV134" s="218"/>
      <c r="BW134" s="218"/>
      <c r="BX134" s="218"/>
      <c r="BY134" s="218"/>
      <c r="BZ134" s="218"/>
      <c r="CA134" s="218"/>
      <c r="CB134" s="218"/>
      <c r="CC134" s="218"/>
      <c r="CD134" s="218"/>
      <c r="CE134" s="218"/>
      <c r="CF134" s="218"/>
      <c r="CG134" s="218"/>
      <c r="CH134" s="218"/>
      <c r="CI134" s="218"/>
      <c r="CJ134" s="218"/>
      <c r="CK134" s="218"/>
      <c r="CL134" s="218"/>
      <c r="CM134" s="218"/>
    </row>
    <row r="135" spans="1:91" hidden="1" x14ac:dyDescent="0.2">
      <c r="A135" s="426"/>
      <c r="B135" s="156" t="str">
        <f>Capacidades!M127</f>
        <v xml:space="preserve">   </v>
      </c>
      <c r="C135" s="157"/>
      <c r="D135" s="14"/>
      <c r="E135" s="14"/>
      <c r="F135" s="14"/>
      <c r="G135" s="14"/>
      <c r="H135" s="14"/>
      <c r="I135" s="14"/>
      <c r="J135" s="14"/>
      <c r="K135" s="14"/>
      <c r="L135" s="446"/>
      <c r="M135" s="292" t="str">
        <f t="shared" si="1"/>
        <v xml:space="preserve">   </v>
      </c>
      <c r="N135" s="218"/>
      <c r="O135" s="218"/>
      <c r="P135" s="218"/>
      <c r="Q135" s="218"/>
      <c r="R135" s="218"/>
      <c r="S135" s="218"/>
      <c r="T135" s="218"/>
      <c r="U135" s="218"/>
      <c r="V135" s="218"/>
      <c r="W135" s="218"/>
      <c r="X135" s="218"/>
      <c r="Y135" s="218"/>
      <c r="Z135" s="218"/>
      <c r="AA135" s="218"/>
      <c r="AB135" s="218"/>
      <c r="AC135" s="218"/>
      <c r="AD135" s="218"/>
      <c r="AE135" s="218"/>
      <c r="AF135" s="218"/>
      <c r="AG135" s="218"/>
      <c r="AH135" s="218"/>
      <c r="AI135" s="218"/>
      <c r="AJ135" s="218"/>
      <c r="AK135" s="218"/>
      <c r="AL135" s="218"/>
      <c r="AM135" s="218"/>
      <c r="AN135" s="218"/>
      <c r="AO135" s="218"/>
      <c r="AP135" s="218"/>
      <c r="AQ135" s="218"/>
      <c r="AR135" s="218"/>
      <c r="AS135" s="218"/>
      <c r="AT135" s="218"/>
      <c r="AU135" s="218"/>
      <c r="AV135" s="218"/>
      <c r="AW135" s="218"/>
      <c r="AX135" s="218"/>
      <c r="AY135" s="218"/>
      <c r="AZ135" s="218"/>
      <c r="BA135" s="218"/>
      <c r="BB135" s="218"/>
      <c r="BC135" s="218"/>
      <c r="BD135" s="218"/>
      <c r="BE135" s="218"/>
      <c r="BF135" s="218"/>
      <c r="BG135" s="218"/>
      <c r="BH135" s="218"/>
      <c r="BI135" s="218"/>
      <c r="BJ135" s="218"/>
      <c r="BK135" s="218"/>
      <c r="BL135" s="218"/>
      <c r="BM135" s="218"/>
      <c r="BN135" s="218"/>
      <c r="BO135" s="218"/>
      <c r="BP135" s="218"/>
      <c r="BQ135" s="218"/>
      <c r="BR135" s="218"/>
      <c r="BS135" s="218"/>
      <c r="BT135" s="218"/>
      <c r="BU135" s="218"/>
      <c r="BV135" s="218"/>
      <c r="BW135" s="218"/>
      <c r="BX135" s="218"/>
      <c r="BY135" s="218"/>
      <c r="BZ135" s="218"/>
      <c r="CA135" s="218"/>
      <c r="CB135" s="218"/>
      <c r="CC135" s="218"/>
      <c r="CD135" s="218"/>
      <c r="CE135" s="218"/>
      <c r="CF135" s="218"/>
      <c r="CG135" s="218"/>
      <c r="CH135" s="218"/>
      <c r="CI135" s="218"/>
      <c r="CJ135" s="218"/>
      <c r="CK135" s="218"/>
      <c r="CL135" s="218"/>
      <c r="CM135" s="218"/>
    </row>
    <row r="136" spans="1:91" hidden="1" x14ac:dyDescent="0.2">
      <c r="A136" s="426"/>
      <c r="B136" s="156" t="str">
        <f>Capacidades!M128</f>
        <v xml:space="preserve">   </v>
      </c>
      <c r="C136" s="157"/>
      <c r="D136" s="14"/>
      <c r="E136" s="14"/>
      <c r="F136" s="14"/>
      <c r="G136" s="14"/>
      <c r="H136" s="14"/>
      <c r="I136" s="14"/>
      <c r="J136" s="14"/>
      <c r="K136" s="14"/>
      <c r="L136" s="446"/>
      <c r="M136" s="292" t="str">
        <f t="shared" si="1"/>
        <v xml:space="preserve">   </v>
      </c>
      <c r="N136" s="218"/>
      <c r="O136" s="218"/>
      <c r="P136" s="218"/>
      <c r="Q136" s="218"/>
      <c r="R136" s="218"/>
      <c r="S136" s="218"/>
      <c r="T136" s="218"/>
      <c r="U136" s="218"/>
      <c r="V136" s="218"/>
      <c r="W136" s="218"/>
      <c r="X136" s="218"/>
      <c r="Y136" s="218"/>
      <c r="Z136" s="218"/>
      <c r="AA136" s="218"/>
      <c r="AB136" s="218"/>
      <c r="AC136" s="218"/>
      <c r="AD136" s="218"/>
      <c r="AE136" s="218"/>
      <c r="AF136" s="218"/>
      <c r="AG136" s="218"/>
      <c r="AH136" s="218"/>
      <c r="AI136" s="218"/>
      <c r="AJ136" s="218"/>
      <c r="AK136" s="218"/>
      <c r="AL136" s="218"/>
      <c r="AM136" s="218"/>
      <c r="AN136" s="218"/>
      <c r="AO136" s="218"/>
      <c r="AP136" s="218"/>
      <c r="AQ136" s="218"/>
      <c r="AR136" s="218"/>
      <c r="AS136" s="218"/>
      <c r="AT136" s="218"/>
      <c r="AU136" s="218"/>
      <c r="AV136" s="218"/>
      <c r="AW136" s="218"/>
      <c r="AX136" s="218"/>
      <c r="AY136" s="218"/>
      <c r="AZ136" s="218"/>
      <c r="BA136" s="218"/>
      <c r="BB136" s="218"/>
      <c r="BC136" s="218"/>
      <c r="BD136" s="218"/>
      <c r="BE136" s="218"/>
      <c r="BF136" s="218"/>
      <c r="BG136" s="218"/>
      <c r="BH136" s="218"/>
      <c r="BI136" s="218"/>
      <c r="BJ136" s="218"/>
      <c r="BK136" s="218"/>
      <c r="BL136" s="218"/>
      <c r="BM136" s="218"/>
      <c r="BN136" s="218"/>
      <c r="BO136" s="218"/>
      <c r="BP136" s="218"/>
      <c r="BQ136" s="218"/>
      <c r="BR136" s="218"/>
      <c r="BS136" s="218"/>
      <c r="BT136" s="218"/>
      <c r="BU136" s="218"/>
      <c r="BV136" s="218"/>
      <c r="BW136" s="218"/>
      <c r="BX136" s="218"/>
      <c r="BY136" s="218"/>
      <c r="BZ136" s="218"/>
      <c r="CA136" s="218"/>
      <c r="CB136" s="218"/>
      <c r="CC136" s="218"/>
      <c r="CD136" s="218"/>
      <c r="CE136" s="218"/>
      <c r="CF136" s="218"/>
      <c r="CG136" s="218"/>
      <c r="CH136" s="218"/>
      <c r="CI136" s="218"/>
      <c r="CJ136" s="218"/>
      <c r="CK136" s="218"/>
      <c r="CL136" s="218"/>
      <c r="CM136" s="218"/>
    </row>
    <row r="137" spans="1:91" hidden="1" x14ac:dyDescent="0.2">
      <c r="A137" s="427"/>
      <c r="B137" s="156" t="str">
        <f>Capacidades!M129</f>
        <v xml:space="preserve">   </v>
      </c>
      <c r="C137" s="157"/>
      <c r="D137" s="16"/>
      <c r="E137" s="16"/>
      <c r="F137" s="16"/>
      <c r="G137" s="16"/>
      <c r="H137" s="16"/>
      <c r="I137" s="16"/>
      <c r="J137" s="16"/>
      <c r="K137" s="16"/>
      <c r="L137" s="447"/>
      <c r="M137" s="292" t="str">
        <f t="shared" si="1"/>
        <v xml:space="preserve">   </v>
      </c>
      <c r="N137" s="218"/>
      <c r="O137" s="218"/>
      <c r="P137" s="218"/>
      <c r="Q137" s="218"/>
      <c r="R137" s="218"/>
      <c r="S137" s="218"/>
      <c r="T137" s="218"/>
      <c r="U137" s="218"/>
      <c r="V137" s="218"/>
      <c r="W137" s="218"/>
      <c r="X137" s="218"/>
      <c r="Y137" s="218"/>
      <c r="Z137" s="218"/>
      <c r="AA137" s="218"/>
      <c r="AB137" s="218"/>
      <c r="AC137" s="218"/>
      <c r="AD137" s="218"/>
      <c r="AE137" s="218"/>
      <c r="AF137" s="218"/>
      <c r="AG137" s="218"/>
      <c r="AH137" s="218"/>
      <c r="AI137" s="218"/>
      <c r="AJ137" s="218"/>
      <c r="AK137" s="218"/>
      <c r="AL137" s="218"/>
      <c r="AM137" s="218"/>
      <c r="AN137" s="218"/>
      <c r="AO137" s="218"/>
      <c r="AP137" s="218"/>
      <c r="AQ137" s="218"/>
      <c r="AR137" s="218"/>
      <c r="AS137" s="218"/>
      <c r="AT137" s="218"/>
      <c r="AU137" s="218"/>
      <c r="AV137" s="218"/>
      <c r="AW137" s="218"/>
      <c r="AX137" s="218"/>
      <c r="AY137" s="218"/>
      <c r="AZ137" s="218"/>
      <c r="BA137" s="218"/>
      <c r="BB137" s="218"/>
      <c r="BC137" s="218"/>
      <c r="BD137" s="218"/>
      <c r="BE137" s="218"/>
      <c r="BF137" s="218"/>
      <c r="BG137" s="218"/>
      <c r="BH137" s="218"/>
      <c r="BI137" s="218"/>
      <c r="BJ137" s="218"/>
      <c r="BK137" s="218"/>
      <c r="BL137" s="218"/>
      <c r="BM137" s="218"/>
      <c r="BN137" s="218"/>
      <c r="BO137" s="218"/>
      <c r="BP137" s="218"/>
      <c r="BQ137" s="218"/>
      <c r="BR137" s="218"/>
      <c r="BS137" s="218"/>
      <c r="BT137" s="218"/>
      <c r="BU137" s="218"/>
      <c r="BV137" s="218"/>
      <c r="BW137" s="218"/>
      <c r="BX137" s="218"/>
      <c r="BY137" s="218"/>
      <c r="BZ137" s="218"/>
      <c r="CA137" s="218"/>
      <c r="CB137" s="218"/>
      <c r="CC137" s="218"/>
      <c r="CD137" s="218"/>
      <c r="CE137" s="218"/>
      <c r="CF137" s="218"/>
      <c r="CG137" s="218"/>
      <c r="CH137" s="218"/>
      <c r="CI137" s="218"/>
      <c r="CJ137" s="218"/>
      <c r="CK137" s="218"/>
      <c r="CL137" s="218"/>
      <c r="CM137" s="218"/>
    </row>
    <row r="138" spans="1:91" hidden="1" x14ac:dyDescent="0.2">
      <c r="A138" s="425" t="str">
        <f>Capacidades!L130</f>
        <v xml:space="preserve">       </v>
      </c>
      <c r="B138" s="156" t="str">
        <f>Capacidades!M130</f>
        <v xml:space="preserve">   </v>
      </c>
      <c r="C138" s="157"/>
      <c r="D138" s="12">
        <f>Organización_Modular!F22</f>
        <v>0</v>
      </c>
      <c r="E138" s="12">
        <f>Organización_Modular!G22</f>
        <v>0</v>
      </c>
      <c r="F138" s="12">
        <f>Organización_Modular!H22</f>
        <v>0</v>
      </c>
      <c r="G138" s="12">
        <f>Organización_Modular!I22</f>
        <v>0</v>
      </c>
      <c r="H138" s="12">
        <f>SUM(F138:G138)</f>
        <v>0</v>
      </c>
      <c r="I138" s="12">
        <f>F138*16</f>
        <v>0</v>
      </c>
      <c r="J138" s="12">
        <f>G138*32</f>
        <v>0</v>
      </c>
      <c r="K138" s="12">
        <f>SUM(I138:J138)</f>
        <v>0</v>
      </c>
      <c r="L138" s="445"/>
      <c r="M138" s="292" t="str">
        <f t="shared" si="1"/>
        <v xml:space="preserve">   </v>
      </c>
      <c r="N138" s="218"/>
      <c r="O138" s="218"/>
      <c r="P138" s="218"/>
      <c r="Q138" s="218"/>
      <c r="R138" s="218"/>
      <c r="S138" s="218"/>
      <c r="T138" s="218"/>
      <c r="U138" s="218"/>
      <c r="V138" s="218"/>
      <c r="W138" s="218"/>
      <c r="X138" s="218"/>
      <c r="Y138" s="218"/>
      <c r="Z138" s="218"/>
      <c r="AA138" s="218"/>
      <c r="AB138" s="218"/>
      <c r="AC138" s="218"/>
      <c r="AD138" s="218"/>
      <c r="AE138" s="218"/>
      <c r="AF138" s="218"/>
      <c r="AG138" s="218"/>
      <c r="AH138" s="218"/>
      <c r="AI138" s="218"/>
      <c r="AJ138" s="218"/>
      <c r="AK138" s="218"/>
      <c r="AL138" s="218"/>
      <c r="AM138" s="218"/>
      <c r="AN138" s="218"/>
      <c r="AO138" s="218"/>
      <c r="AP138" s="218"/>
      <c r="AQ138" s="218"/>
      <c r="AR138" s="218"/>
      <c r="AS138" s="218"/>
      <c r="AT138" s="218"/>
      <c r="AU138" s="218"/>
      <c r="AV138" s="218"/>
      <c r="AW138" s="218"/>
      <c r="AX138" s="218"/>
      <c r="AY138" s="218"/>
      <c r="AZ138" s="218"/>
      <c r="BA138" s="218"/>
      <c r="BB138" s="218"/>
      <c r="BC138" s="218"/>
      <c r="BD138" s="218"/>
      <c r="BE138" s="218"/>
      <c r="BF138" s="218"/>
      <c r="BG138" s="218"/>
      <c r="BH138" s="218"/>
      <c r="BI138" s="218"/>
      <c r="BJ138" s="218"/>
      <c r="BK138" s="218"/>
      <c r="BL138" s="218"/>
      <c r="BM138" s="218"/>
      <c r="BN138" s="218"/>
      <c r="BO138" s="218"/>
      <c r="BP138" s="218"/>
      <c r="BQ138" s="218"/>
      <c r="BR138" s="218"/>
      <c r="BS138" s="218"/>
      <c r="BT138" s="218"/>
      <c r="BU138" s="218"/>
      <c r="BV138" s="218"/>
      <c r="BW138" s="218"/>
      <c r="BX138" s="218"/>
      <c r="BY138" s="218"/>
      <c r="BZ138" s="218"/>
      <c r="CA138" s="218"/>
      <c r="CB138" s="218"/>
      <c r="CC138" s="218"/>
      <c r="CD138" s="218"/>
      <c r="CE138" s="218"/>
      <c r="CF138" s="218"/>
      <c r="CG138" s="218"/>
      <c r="CH138" s="218"/>
      <c r="CI138" s="218"/>
      <c r="CJ138" s="218"/>
      <c r="CK138" s="218"/>
      <c r="CL138" s="218"/>
      <c r="CM138" s="218"/>
    </row>
    <row r="139" spans="1:91" hidden="1" x14ac:dyDescent="0.2">
      <c r="A139" s="426"/>
      <c r="B139" s="156" t="str">
        <f>Capacidades!M131</f>
        <v xml:space="preserve">   </v>
      </c>
      <c r="C139" s="157"/>
      <c r="D139" s="14"/>
      <c r="E139" s="14"/>
      <c r="F139" s="14"/>
      <c r="G139" s="14"/>
      <c r="H139" s="14"/>
      <c r="I139" s="14"/>
      <c r="J139" s="14"/>
      <c r="K139" s="14"/>
      <c r="L139" s="446"/>
      <c r="M139" s="292" t="str">
        <f t="shared" si="1"/>
        <v xml:space="preserve">   </v>
      </c>
      <c r="N139" s="218"/>
      <c r="O139" s="218"/>
      <c r="P139" s="218"/>
      <c r="Q139" s="218"/>
      <c r="R139" s="218"/>
      <c r="S139" s="218"/>
      <c r="T139" s="218"/>
      <c r="U139" s="218"/>
      <c r="V139" s="218"/>
      <c r="W139" s="218"/>
      <c r="X139" s="218"/>
      <c r="Y139" s="218"/>
      <c r="Z139" s="218"/>
      <c r="AA139" s="218"/>
      <c r="AB139" s="218"/>
      <c r="AC139" s="218"/>
      <c r="AD139" s="218"/>
      <c r="AE139" s="218"/>
      <c r="AF139" s="218"/>
      <c r="AG139" s="218"/>
      <c r="AH139" s="218"/>
      <c r="AI139" s="218"/>
      <c r="AJ139" s="218"/>
      <c r="AK139" s="218"/>
      <c r="AL139" s="218"/>
      <c r="AM139" s="218"/>
      <c r="AN139" s="218"/>
      <c r="AO139" s="218"/>
      <c r="AP139" s="218"/>
      <c r="AQ139" s="218"/>
      <c r="AR139" s="218"/>
      <c r="AS139" s="218"/>
      <c r="AT139" s="218"/>
      <c r="AU139" s="218"/>
      <c r="AV139" s="218"/>
      <c r="AW139" s="218"/>
      <c r="AX139" s="218"/>
      <c r="AY139" s="218"/>
      <c r="AZ139" s="218"/>
      <c r="BA139" s="218"/>
      <c r="BB139" s="218"/>
      <c r="BC139" s="218"/>
      <c r="BD139" s="218"/>
      <c r="BE139" s="218"/>
      <c r="BF139" s="218"/>
      <c r="BG139" s="218"/>
      <c r="BH139" s="218"/>
      <c r="BI139" s="218"/>
      <c r="BJ139" s="218"/>
      <c r="BK139" s="218"/>
      <c r="BL139" s="218"/>
      <c r="BM139" s="218"/>
      <c r="BN139" s="218"/>
      <c r="BO139" s="218"/>
      <c r="BP139" s="218"/>
      <c r="BQ139" s="218"/>
      <c r="BR139" s="218"/>
      <c r="BS139" s="218"/>
      <c r="BT139" s="218"/>
      <c r="BU139" s="218"/>
      <c r="BV139" s="218"/>
      <c r="BW139" s="218"/>
      <c r="BX139" s="218"/>
      <c r="BY139" s="218"/>
      <c r="BZ139" s="218"/>
      <c r="CA139" s="218"/>
      <c r="CB139" s="218"/>
      <c r="CC139" s="218"/>
      <c r="CD139" s="218"/>
      <c r="CE139" s="218"/>
      <c r="CF139" s="218"/>
      <c r="CG139" s="218"/>
      <c r="CH139" s="218"/>
      <c r="CI139" s="218"/>
      <c r="CJ139" s="218"/>
      <c r="CK139" s="218"/>
      <c r="CL139" s="218"/>
      <c r="CM139" s="218"/>
    </row>
    <row r="140" spans="1:91" hidden="1" x14ac:dyDescent="0.2">
      <c r="A140" s="426"/>
      <c r="B140" s="156" t="str">
        <f>Capacidades!M132</f>
        <v xml:space="preserve">   </v>
      </c>
      <c r="C140" s="157"/>
      <c r="D140" s="14"/>
      <c r="E140" s="14"/>
      <c r="F140" s="14"/>
      <c r="G140" s="14"/>
      <c r="H140" s="14"/>
      <c r="I140" s="14"/>
      <c r="J140" s="14"/>
      <c r="K140" s="14"/>
      <c r="L140" s="446"/>
      <c r="M140" s="292" t="str">
        <f t="shared" si="1"/>
        <v xml:space="preserve">   </v>
      </c>
      <c r="N140" s="218"/>
      <c r="O140" s="218"/>
      <c r="P140" s="218"/>
      <c r="Q140" s="218"/>
      <c r="R140" s="218"/>
      <c r="S140" s="218"/>
      <c r="T140" s="218"/>
      <c r="U140" s="218"/>
      <c r="V140" s="218"/>
      <c r="W140" s="218"/>
      <c r="X140" s="218"/>
      <c r="Y140" s="218"/>
      <c r="Z140" s="218"/>
      <c r="AA140" s="218"/>
      <c r="AB140" s="218"/>
      <c r="AC140" s="218"/>
      <c r="AD140" s="218"/>
      <c r="AE140" s="218"/>
      <c r="AF140" s="218"/>
      <c r="AG140" s="218"/>
      <c r="AH140" s="218"/>
      <c r="AI140" s="218"/>
      <c r="AJ140" s="218"/>
      <c r="AK140" s="218"/>
      <c r="AL140" s="218"/>
      <c r="AM140" s="218"/>
      <c r="AN140" s="218"/>
      <c r="AO140" s="218"/>
      <c r="AP140" s="218"/>
      <c r="AQ140" s="218"/>
      <c r="AR140" s="218"/>
      <c r="AS140" s="218"/>
      <c r="AT140" s="218"/>
      <c r="AU140" s="218"/>
      <c r="AV140" s="218"/>
      <c r="AW140" s="218"/>
      <c r="AX140" s="218"/>
      <c r="AY140" s="218"/>
      <c r="AZ140" s="218"/>
      <c r="BA140" s="218"/>
      <c r="BB140" s="218"/>
      <c r="BC140" s="218"/>
      <c r="BD140" s="218"/>
      <c r="BE140" s="218"/>
      <c r="BF140" s="218"/>
      <c r="BG140" s="218"/>
      <c r="BH140" s="218"/>
      <c r="BI140" s="218"/>
      <c r="BJ140" s="218"/>
      <c r="BK140" s="218"/>
      <c r="BL140" s="218"/>
      <c r="BM140" s="218"/>
      <c r="BN140" s="218"/>
      <c r="BO140" s="218"/>
      <c r="BP140" s="218"/>
      <c r="BQ140" s="218"/>
      <c r="BR140" s="218"/>
      <c r="BS140" s="218"/>
      <c r="BT140" s="218"/>
      <c r="BU140" s="218"/>
      <c r="BV140" s="218"/>
      <c r="BW140" s="218"/>
      <c r="BX140" s="218"/>
      <c r="BY140" s="218"/>
      <c r="BZ140" s="218"/>
      <c r="CA140" s="218"/>
      <c r="CB140" s="218"/>
      <c r="CC140" s="218"/>
      <c r="CD140" s="218"/>
      <c r="CE140" s="218"/>
      <c r="CF140" s="218"/>
      <c r="CG140" s="218"/>
      <c r="CH140" s="218"/>
      <c r="CI140" s="218"/>
      <c r="CJ140" s="218"/>
      <c r="CK140" s="218"/>
      <c r="CL140" s="218"/>
      <c r="CM140" s="218"/>
    </row>
    <row r="141" spans="1:91" ht="2.25" hidden="1" customHeight="1" x14ac:dyDescent="0.2">
      <c r="A141" s="426"/>
      <c r="B141" s="156" t="str">
        <f>Capacidades!M133</f>
        <v xml:space="preserve">   </v>
      </c>
      <c r="C141" s="157"/>
      <c r="D141" s="14"/>
      <c r="E141" s="14"/>
      <c r="F141" s="14"/>
      <c r="G141" s="14"/>
      <c r="H141" s="14"/>
      <c r="I141" s="14"/>
      <c r="J141" s="14"/>
      <c r="K141" s="14"/>
      <c r="L141" s="446"/>
      <c r="M141" s="292" t="str">
        <f t="shared" si="1"/>
        <v xml:space="preserve">   </v>
      </c>
      <c r="N141" s="218"/>
      <c r="O141" s="218"/>
      <c r="P141" s="218"/>
      <c r="Q141" s="218"/>
      <c r="R141" s="218"/>
      <c r="S141" s="218"/>
      <c r="T141" s="218"/>
      <c r="U141" s="218"/>
      <c r="V141" s="218"/>
      <c r="W141" s="218"/>
      <c r="X141" s="218"/>
      <c r="Y141" s="218"/>
      <c r="Z141" s="218"/>
      <c r="AA141" s="218"/>
      <c r="AB141" s="218"/>
      <c r="AC141" s="218"/>
      <c r="AD141" s="218"/>
      <c r="AE141" s="218"/>
      <c r="AF141" s="218"/>
      <c r="AG141" s="218"/>
      <c r="AH141" s="218"/>
      <c r="AI141" s="218"/>
      <c r="AJ141" s="218"/>
      <c r="AK141" s="218"/>
      <c r="AL141" s="218"/>
      <c r="AM141" s="218"/>
      <c r="AN141" s="218"/>
      <c r="AO141" s="218"/>
      <c r="AP141" s="218"/>
      <c r="AQ141" s="218"/>
      <c r="AR141" s="218"/>
      <c r="AS141" s="218"/>
      <c r="AT141" s="218"/>
      <c r="AU141" s="218"/>
      <c r="AV141" s="218"/>
      <c r="AW141" s="218"/>
      <c r="AX141" s="218"/>
      <c r="AY141" s="218"/>
      <c r="AZ141" s="218"/>
      <c r="BA141" s="218"/>
      <c r="BB141" s="218"/>
      <c r="BC141" s="218"/>
      <c r="BD141" s="218"/>
      <c r="BE141" s="218"/>
      <c r="BF141" s="218"/>
      <c r="BG141" s="218"/>
      <c r="BH141" s="218"/>
      <c r="BI141" s="218"/>
      <c r="BJ141" s="218"/>
      <c r="BK141" s="218"/>
      <c r="BL141" s="218"/>
      <c r="BM141" s="218"/>
      <c r="BN141" s="218"/>
      <c r="BO141" s="218"/>
      <c r="BP141" s="218"/>
      <c r="BQ141" s="218"/>
      <c r="BR141" s="218"/>
      <c r="BS141" s="218"/>
      <c r="BT141" s="218"/>
      <c r="BU141" s="218"/>
      <c r="BV141" s="218"/>
      <c r="BW141" s="218"/>
      <c r="BX141" s="218"/>
      <c r="BY141" s="218"/>
      <c r="BZ141" s="218"/>
      <c r="CA141" s="218"/>
      <c r="CB141" s="218"/>
      <c r="CC141" s="218"/>
      <c r="CD141" s="218"/>
      <c r="CE141" s="218"/>
      <c r="CF141" s="218"/>
      <c r="CG141" s="218"/>
      <c r="CH141" s="218"/>
      <c r="CI141" s="218"/>
      <c r="CJ141" s="218"/>
      <c r="CK141" s="218"/>
      <c r="CL141" s="218"/>
      <c r="CM141" s="218"/>
    </row>
    <row r="142" spans="1:91" hidden="1" x14ac:dyDescent="0.2">
      <c r="A142" s="426"/>
      <c r="B142" s="156" t="str">
        <f>Capacidades!M134</f>
        <v xml:space="preserve">   </v>
      </c>
      <c r="C142" s="157"/>
      <c r="D142" s="14"/>
      <c r="E142" s="14"/>
      <c r="F142" s="14"/>
      <c r="G142" s="14"/>
      <c r="H142" s="14"/>
      <c r="I142" s="14"/>
      <c r="J142" s="14"/>
      <c r="K142" s="14"/>
      <c r="L142" s="446"/>
      <c r="M142" s="292" t="str">
        <f t="shared" si="1"/>
        <v xml:space="preserve">   </v>
      </c>
      <c r="N142" s="218"/>
      <c r="O142" s="218"/>
      <c r="P142" s="218"/>
      <c r="Q142" s="218"/>
      <c r="R142" s="218"/>
      <c r="S142" s="218"/>
      <c r="T142" s="218"/>
      <c r="U142" s="218"/>
      <c r="V142" s="218"/>
      <c r="W142" s="218"/>
      <c r="X142" s="218"/>
      <c r="Y142" s="218"/>
      <c r="Z142" s="218"/>
      <c r="AA142" s="218"/>
      <c r="AB142" s="218"/>
      <c r="AC142" s="218"/>
      <c r="AD142" s="218"/>
      <c r="AE142" s="218"/>
      <c r="AF142" s="218"/>
      <c r="AG142" s="218"/>
      <c r="AH142" s="218"/>
      <c r="AI142" s="218"/>
      <c r="AJ142" s="218"/>
      <c r="AK142" s="218"/>
      <c r="AL142" s="218"/>
      <c r="AM142" s="218"/>
      <c r="AN142" s="218"/>
      <c r="AO142" s="218"/>
      <c r="AP142" s="218"/>
      <c r="AQ142" s="218"/>
      <c r="AR142" s="218"/>
      <c r="AS142" s="218"/>
      <c r="AT142" s="218"/>
      <c r="AU142" s="218"/>
      <c r="AV142" s="218"/>
      <c r="AW142" s="218"/>
      <c r="AX142" s="218"/>
      <c r="AY142" s="218"/>
      <c r="AZ142" s="218"/>
      <c r="BA142" s="218"/>
      <c r="BB142" s="218"/>
      <c r="BC142" s="218"/>
      <c r="BD142" s="218"/>
      <c r="BE142" s="218"/>
      <c r="BF142" s="218"/>
      <c r="BG142" s="218"/>
      <c r="BH142" s="218"/>
      <c r="BI142" s="218"/>
      <c r="BJ142" s="218"/>
      <c r="BK142" s="218"/>
      <c r="BL142" s="218"/>
      <c r="BM142" s="218"/>
      <c r="BN142" s="218"/>
      <c r="BO142" s="218"/>
      <c r="BP142" s="218"/>
      <c r="BQ142" s="218"/>
      <c r="BR142" s="218"/>
      <c r="BS142" s="218"/>
      <c r="BT142" s="218"/>
      <c r="BU142" s="218"/>
      <c r="BV142" s="218"/>
      <c r="BW142" s="218"/>
      <c r="BX142" s="218"/>
      <c r="BY142" s="218"/>
      <c r="BZ142" s="218"/>
      <c r="CA142" s="218"/>
      <c r="CB142" s="218"/>
      <c r="CC142" s="218"/>
      <c r="CD142" s="218"/>
      <c r="CE142" s="218"/>
      <c r="CF142" s="218"/>
      <c r="CG142" s="218"/>
      <c r="CH142" s="218"/>
      <c r="CI142" s="218"/>
      <c r="CJ142" s="218"/>
      <c r="CK142" s="218"/>
      <c r="CL142" s="218"/>
      <c r="CM142" s="218"/>
    </row>
    <row r="143" spans="1:91" hidden="1" x14ac:dyDescent="0.2">
      <c r="A143" s="426"/>
      <c r="B143" s="156" t="str">
        <f>Capacidades!M135</f>
        <v xml:space="preserve">   </v>
      </c>
      <c r="C143" s="157"/>
      <c r="D143" s="14"/>
      <c r="E143" s="14"/>
      <c r="F143" s="14"/>
      <c r="G143" s="14"/>
      <c r="H143" s="14"/>
      <c r="I143" s="14"/>
      <c r="J143" s="14"/>
      <c r="K143" s="14"/>
      <c r="L143" s="446"/>
      <c r="M143" s="292" t="str">
        <f t="shared" si="1"/>
        <v xml:space="preserve">   </v>
      </c>
      <c r="N143" s="218"/>
      <c r="O143" s="218"/>
      <c r="P143" s="218"/>
      <c r="Q143" s="218"/>
      <c r="R143" s="218"/>
      <c r="S143" s="218"/>
      <c r="T143" s="218"/>
      <c r="U143" s="218"/>
      <c r="V143" s="218"/>
      <c r="W143" s="218"/>
      <c r="X143" s="218"/>
      <c r="Y143" s="218"/>
      <c r="Z143" s="218"/>
      <c r="AA143" s="218"/>
      <c r="AB143" s="218"/>
      <c r="AC143" s="218"/>
      <c r="AD143" s="218"/>
      <c r="AE143" s="218"/>
      <c r="AF143" s="218"/>
      <c r="AG143" s="218"/>
      <c r="AH143" s="218"/>
      <c r="AI143" s="218"/>
      <c r="AJ143" s="218"/>
      <c r="AK143" s="218"/>
      <c r="AL143" s="218"/>
      <c r="AM143" s="218"/>
      <c r="AN143" s="218"/>
      <c r="AO143" s="218"/>
      <c r="AP143" s="218"/>
      <c r="AQ143" s="218"/>
      <c r="AR143" s="218"/>
      <c r="AS143" s="218"/>
      <c r="AT143" s="218"/>
      <c r="AU143" s="218"/>
      <c r="AV143" s="218"/>
      <c r="AW143" s="218"/>
      <c r="AX143" s="218"/>
      <c r="AY143" s="218"/>
      <c r="AZ143" s="218"/>
      <c r="BA143" s="218"/>
      <c r="BB143" s="218"/>
      <c r="BC143" s="218"/>
      <c r="BD143" s="218"/>
      <c r="BE143" s="218"/>
      <c r="BF143" s="218"/>
      <c r="BG143" s="218"/>
      <c r="BH143" s="218"/>
      <c r="BI143" s="218"/>
      <c r="BJ143" s="218"/>
      <c r="BK143" s="218"/>
      <c r="BL143" s="218"/>
      <c r="BM143" s="218"/>
      <c r="BN143" s="218"/>
      <c r="BO143" s="218"/>
      <c r="BP143" s="218"/>
      <c r="BQ143" s="218"/>
      <c r="BR143" s="218"/>
      <c r="BS143" s="218"/>
      <c r="BT143" s="218"/>
      <c r="BU143" s="218"/>
      <c r="BV143" s="218"/>
      <c r="BW143" s="218"/>
      <c r="BX143" s="218"/>
      <c r="BY143" s="218"/>
      <c r="BZ143" s="218"/>
      <c r="CA143" s="218"/>
      <c r="CB143" s="218"/>
      <c r="CC143" s="218"/>
      <c r="CD143" s="218"/>
      <c r="CE143" s="218"/>
      <c r="CF143" s="218"/>
      <c r="CG143" s="218"/>
      <c r="CH143" s="218"/>
      <c r="CI143" s="218"/>
      <c r="CJ143" s="218"/>
      <c r="CK143" s="218"/>
      <c r="CL143" s="218"/>
      <c r="CM143" s="218"/>
    </row>
    <row r="144" spans="1:91" hidden="1" x14ac:dyDescent="0.2">
      <c r="A144" s="426"/>
      <c r="B144" s="156" t="str">
        <f>Capacidades!M136</f>
        <v xml:space="preserve">   </v>
      </c>
      <c r="C144" s="157"/>
      <c r="D144" s="14"/>
      <c r="E144" s="14"/>
      <c r="F144" s="14"/>
      <c r="G144" s="14"/>
      <c r="H144" s="14"/>
      <c r="I144" s="14"/>
      <c r="J144" s="14"/>
      <c r="K144" s="14"/>
      <c r="L144" s="446"/>
      <c r="M144" s="292" t="str">
        <f t="shared" si="1"/>
        <v xml:space="preserve">   </v>
      </c>
      <c r="N144" s="218"/>
      <c r="O144" s="218"/>
      <c r="P144" s="218"/>
      <c r="Q144" s="218"/>
      <c r="R144" s="218"/>
      <c r="S144" s="218"/>
      <c r="T144" s="218"/>
      <c r="U144" s="218"/>
      <c r="V144" s="218"/>
      <c r="W144" s="218"/>
      <c r="X144" s="218"/>
      <c r="Y144" s="218"/>
      <c r="Z144" s="218"/>
      <c r="AA144" s="218"/>
      <c r="AB144" s="218"/>
      <c r="AC144" s="218"/>
      <c r="AD144" s="218"/>
      <c r="AE144" s="218"/>
      <c r="AF144" s="218"/>
      <c r="AG144" s="218"/>
      <c r="AH144" s="218"/>
      <c r="AI144" s="218"/>
      <c r="AJ144" s="218"/>
      <c r="AK144" s="218"/>
      <c r="AL144" s="218"/>
      <c r="AM144" s="218"/>
      <c r="AN144" s="218"/>
      <c r="AO144" s="218"/>
      <c r="AP144" s="218"/>
      <c r="AQ144" s="218"/>
      <c r="AR144" s="218"/>
      <c r="AS144" s="218"/>
      <c r="AT144" s="218"/>
      <c r="AU144" s="218"/>
      <c r="AV144" s="218"/>
      <c r="AW144" s="218"/>
      <c r="AX144" s="218"/>
      <c r="AY144" s="218"/>
      <c r="AZ144" s="218"/>
      <c r="BA144" s="218"/>
      <c r="BB144" s="218"/>
      <c r="BC144" s="218"/>
      <c r="BD144" s="218"/>
      <c r="BE144" s="218"/>
      <c r="BF144" s="218"/>
      <c r="BG144" s="218"/>
      <c r="BH144" s="218"/>
      <c r="BI144" s="218"/>
      <c r="BJ144" s="218"/>
      <c r="BK144" s="218"/>
      <c r="BL144" s="218"/>
      <c r="BM144" s="218"/>
      <c r="BN144" s="218"/>
      <c r="BO144" s="218"/>
      <c r="BP144" s="218"/>
      <c r="BQ144" s="218"/>
      <c r="BR144" s="218"/>
      <c r="BS144" s="218"/>
      <c r="BT144" s="218"/>
      <c r="BU144" s="218"/>
      <c r="BV144" s="218"/>
      <c r="BW144" s="218"/>
      <c r="BX144" s="218"/>
      <c r="BY144" s="218"/>
      <c r="BZ144" s="218"/>
      <c r="CA144" s="218"/>
      <c r="CB144" s="218"/>
      <c r="CC144" s="218"/>
      <c r="CD144" s="218"/>
      <c r="CE144" s="218"/>
      <c r="CF144" s="218"/>
      <c r="CG144" s="218"/>
      <c r="CH144" s="218"/>
      <c r="CI144" s="218"/>
      <c r="CJ144" s="218"/>
      <c r="CK144" s="218"/>
      <c r="CL144" s="218"/>
      <c r="CM144" s="218"/>
    </row>
    <row r="145" spans="1:91" hidden="1" x14ac:dyDescent="0.2">
      <c r="A145" s="426"/>
      <c r="B145" s="156" t="str">
        <f>Capacidades!M137</f>
        <v xml:space="preserve">   </v>
      </c>
      <c r="C145" s="157"/>
      <c r="D145" s="14"/>
      <c r="E145" s="14"/>
      <c r="F145" s="14"/>
      <c r="G145" s="14"/>
      <c r="H145" s="14"/>
      <c r="I145" s="14"/>
      <c r="J145" s="14"/>
      <c r="K145" s="14"/>
      <c r="L145" s="446"/>
      <c r="M145" s="292" t="str">
        <f t="shared" si="1"/>
        <v xml:space="preserve">   </v>
      </c>
      <c r="N145" s="218"/>
      <c r="O145" s="218"/>
      <c r="P145" s="218"/>
      <c r="Q145" s="218"/>
      <c r="R145" s="218"/>
      <c r="S145" s="218"/>
      <c r="T145" s="218"/>
      <c r="U145" s="218"/>
      <c r="V145" s="218"/>
      <c r="W145" s="218"/>
      <c r="X145" s="218"/>
      <c r="Y145" s="218"/>
      <c r="Z145" s="218"/>
      <c r="AA145" s="218"/>
      <c r="AB145" s="218"/>
      <c r="AC145" s="218"/>
      <c r="AD145" s="218"/>
      <c r="AE145" s="218"/>
      <c r="AF145" s="218"/>
      <c r="AG145" s="218"/>
      <c r="AH145" s="218"/>
      <c r="AI145" s="218"/>
      <c r="AJ145" s="218"/>
      <c r="AK145" s="218"/>
      <c r="AL145" s="218"/>
      <c r="AM145" s="218"/>
      <c r="AN145" s="218"/>
      <c r="AO145" s="218"/>
      <c r="AP145" s="218"/>
      <c r="AQ145" s="218"/>
      <c r="AR145" s="218"/>
      <c r="AS145" s="218"/>
      <c r="AT145" s="218"/>
      <c r="AU145" s="218"/>
      <c r="AV145" s="218"/>
      <c r="AW145" s="218"/>
      <c r="AX145" s="218"/>
      <c r="AY145" s="218"/>
      <c r="AZ145" s="218"/>
      <c r="BA145" s="218"/>
      <c r="BB145" s="218"/>
      <c r="BC145" s="218"/>
      <c r="BD145" s="218"/>
      <c r="BE145" s="218"/>
      <c r="BF145" s="218"/>
      <c r="BG145" s="218"/>
      <c r="BH145" s="218"/>
      <c r="BI145" s="218"/>
      <c r="BJ145" s="218"/>
      <c r="BK145" s="218"/>
      <c r="BL145" s="218"/>
      <c r="BM145" s="218"/>
      <c r="BN145" s="218"/>
      <c r="BO145" s="218"/>
      <c r="BP145" s="218"/>
      <c r="BQ145" s="218"/>
      <c r="BR145" s="218"/>
      <c r="BS145" s="218"/>
      <c r="BT145" s="218"/>
      <c r="BU145" s="218"/>
      <c r="BV145" s="218"/>
      <c r="BW145" s="218"/>
      <c r="BX145" s="218"/>
      <c r="BY145" s="218"/>
      <c r="BZ145" s="218"/>
      <c r="CA145" s="218"/>
      <c r="CB145" s="218"/>
      <c r="CC145" s="218"/>
      <c r="CD145" s="218"/>
      <c r="CE145" s="218"/>
      <c r="CF145" s="218"/>
      <c r="CG145" s="218"/>
      <c r="CH145" s="218"/>
      <c r="CI145" s="218"/>
      <c r="CJ145" s="218"/>
      <c r="CK145" s="218"/>
      <c r="CL145" s="218"/>
      <c r="CM145" s="218"/>
    </row>
    <row r="146" spans="1:91" hidden="1" x14ac:dyDescent="0.2">
      <c r="A146" s="426"/>
      <c r="B146" s="156" t="str">
        <f>Capacidades!M138</f>
        <v xml:space="preserve">   </v>
      </c>
      <c r="C146" s="157"/>
      <c r="D146" s="14"/>
      <c r="E146" s="14"/>
      <c r="F146" s="14"/>
      <c r="G146" s="14"/>
      <c r="H146" s="14"/>
      <c r="I146" s="14"/>
      <c r="J146" s="14"/>
      <c r="K146" s="14"/>
      <c r="L146" s="446"/>
      <c r="M146" s="292" t="str">
        <f t="shared" si="1"/>
        <v xml:space="preserve">   </v>
      </c>
      <c r="N146" s="218"/>
      <c r="O146" s="218"/>
      <c r="P146" s="218"/>
      <c r="Q146" s="218"/>
      <c r="R146" s="218"/>
      <c r="S146" s="218"/>
      <c r="T146" s="218"/>
      <c r="U146" s="218"/>
      <c r="V146" s="218"/>
      <c r="W146" s="218"/>
      <c r="X146" s="218"/>
      <c r="Y146" s="218"/>
      <c r="Z146" s="218"/>
      <c r="AA146" s="218"/>
      <c r="AB146" s="218"/>
      <c r="AC146" s="218"/>
      <c r="AD146" s="218"/>
      <c r="AE146" s="218"/>
      <c r="AF146" s="218"/>
      <c r="AG146" s="218"/>
      <c r="AH146" s="218"/>
      <c r="AI146" s="218"/>
      <c r="AJ146" s="218"/>
      <c r="AK146" s="218"/>
      <c r="AL146" s="218"/>
      <c r="AM146" s="218"/>
      <c r="AN146" s="218"/>
      <c r="AO146" s="218"/>
      <c r="AP146" s="218"/>
      <c r="AQ146" s="218"/>
      <c r="AR146" s="218"/>
      <c r="AS146" s="218"/>
      <c r="AT146" s="218"/>
      <c r="AU146" s="218"/>
      <c r="AV146" s="218"/>
      <c r="AW146" s="218"/>
      <c r="AX146" s="218"/>
      <c r="AY146" s="218"/>
      <c r="AZ146" s="218"/>
      <c r="BA146" s="218"/>
      <c r="BB146" s="218"/>
      <c r="BC146" s="218"/>
      <c r="BD146" s="218"/>
      <c r="BE146" s="218"/>
      <c r="BF146" s="218"/>
      <c r="BG146" s="218"/>
      <c r="BH146" s="218"/>
      <c r="BI146" s="218"/>
      <c r="BJ146" s="218"/>
      <c r="BK146" s="218"/>
      <c r="BL146" s="218"/>
      <c r="BM146" s="218"/>
      <c r="BN146" s="218"/>
      <c r="BO146" s="218"/>
      <c r="BP146" s="218"/>
      <c r="BQ146" s="218"/>
      <c r="BR146" s="218"/>
      <c r="BS146" s="218"/>
      <c r="BT146" s="218"/>
      <c r="BU146" s="218"/>
      <c r="BV146" s="218"/>
      <c r="BW146" s="218"/>
      <c r="BX146" s="218"/>
      <c r="BY146" s="218"/>
      <c r="BZ146" s="218"/>
      <c r="CA146" s="218"/>
      <c r="CB146" s="218"/>
      <c r="CC146" s="218"/>
      <c r="CD146" s="218"/>
      <c r="CE146" s="218"/>
      <c r="CF146" s="218"/>
      <c r="CG146" s="218"/>
      <c r="CH146" s="218"/>
      <c r="CI146" s="218"/>
      <c r="CJ146" s="218"/>
      <c r="CK146" s="218"/>
      <c r="CL146" s="218"/>
      <c r="CM146" s="218"/>
    </row>
    <row r="147" spans="1:91" hidden="1" x14ac:dyDescent="0.2">
      <c r="A147" s="427"/>
      <c r="B147" s="156" t="str">
        <f>Capacidades!M139</f>
        <v xml:space="preserve">   </v>
      </c>
      <c r="C147" s="157"/>
      <c r="D147" s="16"/>
      <c r="E147" s="16"/>
      <c r="F147" s="16"/>
      <c r="G147" s="16"/>
      <c r="H147" s="16"/>
      <c r="I147" s="16"/>
      <c r="J147" s="16"/>
      <c r="K147" s="16"/>
      <c r="L147" s="447"/>
      <c r="M147" s="292" t="str">
        <f t="shared" ref="M147:M210" si="2">B147</f>
        <v xml:space="preserve">   </v>
      </c>
      <c r="N147" s="218"/>
      <c r="O147" s="218"/>
      <c r="P147" s="218"/>
      <c r="Q147" s="218"/>
      <c r="R147" s="218"/>
      <c r="S147" s="218"/>
      <c r="T147" s="218"/>
      <c r="U147" s="218"/>
      <c r="V147" s="218"/>
      <c r="W147" s="218"/>
      <c r="X147" s="218"/>
      <c r="Y147" s="218"/>
      <c r="Z147" s="218"/>
      <c r="AA147" s="218"/>
      <c r="AB147" s="218"/>
      <c r="AC147" s="218"/>
      <c r="AD147" s="218"/>
      <c r="AE147" s="218"/>
      <c r="AF147" s="218"/>
      <c r="AG147" s="218"/>
      <c r="AH147" s="218"/>
      <c r="AI147" s="218"/>
      <c r="AJ147" s="218"/>
      <c r="AK147" s="218"/>
      <c r="AL147" s="218"/>
      <c r="AM147" s="218"/>
      <c r="AN147" s="218"/>
      <c r="AO147" s="218"/>
      <c r="AP147" s="218"/>
      <c r="AQ147" s="218"/>
      <c r="AR147" s="218"/>
      <c r="AS147" s="218"/>
      <c r="AT147" s="218"/>
      <c r="AU147" s="218"/>
      <c r="AV147" s="218"/>
      <c r="AW147" s="218"/>
      <c r="AX147" s="218"/>
      <c r="AY147" s="218"/>
      <c r="AZ147" s="218"/>
      <c r="BA147" s="218"/>
      <c r="BB147" s="218"/>
      <c r="BC147" s="218"/>
      <c r="BD147" s="218"/>
      <c r="BE147" s="218"/>
      <c r="BF147" s="218"/>
      <c r="BG147" s="218"/>
      <c r="BH147" s="218"/>
      <c r="BI147" s="218"/>
      <c r="BJ147" s="218"/>
      <c r="BK147" s="218"/>
      <c r="BL147" s="218"/>
      <c r="BM147" s="218"/>
      <c r="BN147" s="218"/>
      <c r="BO147" s="218"/>
      <c r="BP147" s="218"/>
      <c r="BQ147" s="218"/>
      <c r="BR147" s="218"/>
      <c r="BS147" s="218"/>
      <c r="BT147" s="218"/>
      <c r="BU147" s="218"/>
      <c r="BV147" s="218"/>
      <c r="BW147" s="218"/>
      <c r="BX147" s="218"/>
      <c r="BY147" s="218"/>
      <c r="BZ147" s="218"/>
      <c r="CA147" s="218"/>
      <c r="CB147" s="218"/>
      <c r="CC147" s="218"/>
      <c r="CD147" s="218"/>
      <c r="CE147" s="218"/>
      <c r="CF147" s="218"/>
      <c r="CG147" s="218"/>
      <c r="CH147" s="218"/>
      <c r="CI147" s="218"/>
      <c r="CJ147" s="218"/>
      <c r="CK147" s="218"/>
      <c r="CL147" s="218"/>
      <c r="CM147" s="218"/>
    </row>
    <row r="148" spans="1:91" hidden="1" x14ac:dyDescent="0.2">
      <c r="A148" s="425" t="str">
        <f>Capacidades!L140</f>
        <v xml:space="preserve">       </v>
      </c>
      <c r="B148" s="156" t="str">
        <f>Capacidades!M140</f>
        <v xml:space="preserve">   </v>
      </c>
      <c r="C148" s="157"/>
      <c r="D148" s="12">
        <f>Organización_Modular!F23</f>
        <v>0</v>
      </c>
      <c r="E148" s="12">
        <f>Organización_Modular!G23</f>
        <v>0</v>
      </c>
      <c r="F148" s="12">
        <f>Organización_Modular!H23</f>
        <v>0</v>
      </c>
      <c r="G148" s="12">
        <f>Organización_Modular!I23</f>
        <v>0</v>
      </c>
      <c r="H148" s="12">
        <f>SUM(F148:G148)</f>
        <v>0</v>
      </c>
      <c r="I148" s="12">
        <f>F148*16</f>
        <v>0</v>
      </c>
      <c r="J148" s="12">
        <f>G148*32</f>
        <v>0</v>
      </c>
      <c r="K148" s="12">
        <f>SUM(I148:J148)</f>
        <v>0</v>
      </c>
      <c r="L148" s="445"/>
      <c r="M148" s="292" t="str">
        <f t="shared" si="2"/>
        <v xml:space="preserve">   </v>
      </c>
      <c r="N148" s="218"/>
      <c r="O148" s="218"/>
      <c r="P148" s="218"/>
      <c r="Q148" s="218"/>
      <c r="R148" s="218"/>
      <c r="S148" s="218"/>
      <c r="T148" s="218"/>
      <c r="U148" s="218"/>
      <c r="V148" s="218"/>
      <c r="W148" s="218"/>
      <c r="X148" s="218"/>
      <c r="Y148" s="218"/>
      <c r="Z148" s="218"/>
      <c r="AA148" s="218"/>
      <c r="AB148" s="218"/>
      <c r="AC148" s="218"/>
      <c r="AD148" s="218"/>
      <c r="AE148" s="218"/>
      <c r="AF148" s="218"/>
      <c r="AG148" s="218"/>
      <c r="AH148" s="218"/>
      <c r="AI148" s="218"/>
      <c r="AJ148" s="218"/>
      <c r="AK148" s="218"/>
      <c r="AL148" s="218"/>
      <c r="AM148" s="218"/>
      <c r="AN148" s="218"/>
      <c r="AO148" s="218"/>
      <c r="AP148" s="218"/>
      <c r="AQ148" s="218"/>
      <c r="AR148" s="218"/>
      <c r="AS148" s="218"/>
      <c r="AT148" s="218"/>
      <c r="AU148" s="218"/>
      <c r="AV148" s="218"/>
      <c r="AW148" s="218"/>
      <c r="AX148" s="218"/>
      <c r="AY148" s="218"/>
      <c r="AZ148" s="218"/>
      <c r="BA148" s="218"/>
      <c r="BB148" s="218"/>
      <c r="BC148" s="218"/>
      <c r="BD148" s="218"/>
      <c r="BE148" s="218"/>
      <c r="BF148" s="218"/>
      <c r="BG148" s="218"/>
      <c r="BH148" s="218"/>
      <c r="BI148" s="218"/>
      <c r="BJ148" s="218"/>
      <c r="BK148" s="218"/>
      <c r="BL148" s="218"/>
      <c r="BM148" s="218"/>
      <c r="BN148" s="218"/>
      <c r="BO148" s="218"/>
      <c r="BP148" s="218"/>
      <c r="BQ148" s="218"/>
      <c r="BR148" s="218"/>
      <c r="BS148" s="218"/>
      <c r="BT148" s="218"/>
      <c r="BU148" s="218"/>
      <c r="BV148" s="218"/>
      <c r="BW148" s="218"/>
      <c r="BX148" s="218"/>
      <c r="BY148" s="218"/>
      <c r="BZ148" s="218"/>
      <c r="CA148" s="218"/>
      <c r="CB148" s="218"/>
      <c r="CC148" s="218"/>
      <c r="CD148" s="218"/>
      <c r="CE148" s="218"/>
      <c r="CF148" s="218"/>
      <c r="CG148" s="218"/>
      <c r="CH148" s="218"/>
      <c r="CI148" s="218"/>
      <c r="CJ148" s="218"/>
      <c r="CK148" s="218"/>
      <c r="CL148" s="218"/>
      <c r="CM148" s="218"/>
    </row>
    <row r="149" spans="1:91" hidden="1" x14ac:dyDescent="0.2">
      <c r="A149" s="426"/>
      <c r="B149" s="156" t="str">
        <f>Capacidades!M141</f>
        <v xml:space="preserve">   </v>
      </c>
      <c r="C149" s="157"/>
      <c r="D149" s="14"/>
      <c r="E149" s="14"/>
      <c r="F149" s="14"/>
      <c r="G149" s="14"/>
      <c r="H149" s="14"/>
      <c r="I149" s="14"/>
      <c r="J149" s="14"/>
      <c r="K149" s="14"/>
      <c r="L149" s="446"/>
      <c r="M149" s="292" t="str">
        <f t="shared" si="2"/>
        <v xml:space="preserve">   </v>
      </c>
      <c r="N149" s="218"/>
      <c r="O149" s="218"/>
      <c r="P149" s="218"/>
      <c r="Q149" s="218"/>
      <c r="R149" s="218"/>
      <c r="S149" s="218"/>
      <c r="T149" s="218"/>
      <c r="U149" s="218"/>
      <c r="V149" s="218"/>
      <c r="W149" s="218"/>
      <c r="X149" s="218"/>
      <c r="Y149" s="218"/>
      <c r="Z149" s="218"/>
      <c r="AA149" s="218"/>
      <c r="AB149" s="218"/>
      <c r="AC149" s="218"/>
      <c r="AD149" s="218"/>
      <c r="AE149" s="218"/>
      <c r="AF149" s="218"/>
      <c r="AG149" s="218"/>
      <c r="AH149" s="218"/>
      <c r="AI149" s="218"/>
      <c r="AJ149" s="218"/>
      <c r="AK149" s="218"/>
      <c r="AL149" s="218"/>
      <c r="AM149" s="218"/>
      <c r="AN149" s="218"/>
      <c r="AO149" s="218"/>
      <c r="AP149" s="218"/>
      <c r="AQ149" s="218"/>
      <c r="AR149" s="218"/>
      <c r="AS149" s="218"/>
      <c r="AT149" s="218"/>
      <c r="AU149" s="218"/>
      <c r="AV149" s="218"/>
      <c r="AW149" s="218"/>
      <c r="AX149" s="218"/>
      <c r="AY149" s="218"/>
      <c r="AZ149" s="218"/>
      <c r="BA149" s="218"/>
      <c r="BB149" s="218"/>
      <c r="BC149" s="218"/>
      <c r="BD149" s="218"/>
      <c r="BE149" s="218"/>
      <c r="BF149" s="218"/>
      <c r="BG149" s="218"/>
      <c r="BH149" s="218"/>
      <c r="BI149" s="218"/>
      <c r="BJ149" s="218"/>
      <c r="BK149" s="218"/>
      <c r="BL149" s="218"/>
      <c r="BM149" s="218"/>
      <c r="BN149" s="218"/>
      <c r="BO149" s="218"/>
      <c r="BP149" s="218"/>
      <c r="BQ149" s="218"/>
      <c r="BR149" s="218"/>
      <c r="BS149" s="218"/>
      <c r="BT149" s="218"/>
      <c r="BU149" s="218"/>
      <c r="BV149" s="218"/>
      <c r="BW149" s="218"/>
      <c r="BX149" s="218"/>
      <c r="BY149" s="218"/>
      <c r="BZ149" s="218"/>
      <c r="CA149" s="218"/>
      <c r="CB149" s="218"/>
      <c r="CC149" s="218"/>
      <c r="CD149" s="218"/>
      <c r="CE149" s="218"/>
      <c r="CF149" s="218"/>
      <c r="CG149" s="218"/>
      <c r="CH149" s="218"/>
      <c r="CI149" s="218"/>
      <c r="CJ149" s="218"/>
      <c r="CK149" s="218"/>
      <c r="CL149" s="218"/>
      <c r="CM149" s="218"/>
    </row>
    <row r="150" spans="1:91" hidden="1" x14ac:dyDescent="0.2">
      <c r="A150" s="426"/>
      <c r="B150" s="156" t="str">
        <f>Capacidades!M142</f>
        <v xml:space="preserve">   </v>
      </c>
      <c r="C150" s="157"/>
      <c r="D150" s="14"/>
      <c r="E150" s="14"/>
      <c r="F150" s="14"/>
      <c r="G150" s="14"/>
      <c r="H150" s="14"/>
      <c r="I150" s="14"/>
      <c r="J150" s="14"/>
      <c r="K150" s="14"/>
      <c r="L150" s="446"/>
      <c r="M150" s="292" t="str">
        <f t="shared" si="2"/>
        <v xml:space="preserve">   </v>
      </c>
      <c r="N150" s="218"/>
      <c r="O150" s="218"/>
      <c r="P150" s="218"/>
      <c r="Q150" s="218"/>
      <c r="R150" s="218"/>
      <c r="S150" s="218"/>
      <c r="T150" s="218"/>
      <c r="U150" s="218"/>
      <c r="V150" s="218"/>
      <c r="W150" s="218"/>
      <c r="X150" s="218"/>
      <c r="Y150" s="218"/>
      <c r="Z150" s="218"/>
      <c r="AA150" s="218"/>
      <c r="AB150" s="218"/>
      <c r="AC150" s="218"/>
      <c r="AD150" s="218"/>
      <c r="AE150" s="218"/>
      <c r="AF150" s="218"/>
      <c r="AG150" s="218"/>
      <c r="AH150" s="218"/>
      <c r="AI150" s="218"/>
      <c r="AJ150" s="218"/>
      <c r="AK150" s="218"/>
      <c r="AL150" s="218"/>
      <c r="AM150" s="218"/>
      <c r="AN150" s="218"/>
      <c r="AO150" s="218"/>
      <c r="AP150" s="218"/>
      <c r="AQ150" s="218"/>
      <c r="AR150" s="218"/>
      <c r="AS150" s="218"/>
      <c r="AT150" s="218"/>
      <c r="AU150" s="218"/>
      <c r="AV150" s="218"/>
      <c r="AW150" s="218"/>
      <c r="AX150" s="218"/>
      <c r="AY150" s="218"/>
      <c r="AZ150" s="218"/>
      <c r="BA150" s="218"/>
      <c r="BB150" s="218"/>
      <c r="BC150" s="218"/>
      <c r="BD150" s="218"/>
      <c r="BE150" s="218"/>
      <c r="BF150" s="218"/>
      <c r="BG150" s="218"/>
      <c r="BH150" s="218"/>
      <c r="BI150" s="218"/>
      <c r="BJ150" s="218"/>
      <c r="BK150" s="218"/>
      <c r="BL150" s="218"/>
      <c r="BM150" s="218"/>
      <c r="BN150" s="218"/>
      <c r="BO150" s="218"/>
      <c r="BP150" s="218"/>
      <c r="BQ150" s="218"/>
      <c r="BR150" s="218"/>
      <c r="BS150" s="218"/>
      <c r="BT150" s="218"/>
      <c r="BU150" s="218"/>
      <c r="BV150" s="218"/>
      <c r="BW150" s="218"/>
      <c r="BX150" s="218"/>
      <c r="BY150" s="218"/>
      <c r="BZ150" s="218"/>
      <c r="CA150" s="218"/>
      <c r="CB150" s="218"/>
      <c r="CC150" s="218"/>
      <c r="CD150" s="218"/>
      <c r="CE150" s="218"/>
      <c r="CF150" s="218"/>
      <c r="CG150" s="218"/>
      <c r="CH150" s="218"/>
      <c r="CI150" s="218"/>
      <c r="CJ150" s="218"/>
      <c r="CK150" s="218"/>
      <c r="CL150" s="218"/>
      <c r="CM150" s="218"/>
    </row>
    <row r="151" spans="1:91" hidden="1" x14ac:dyDescent="0.2">
      <c r="A151" s="426"/>
      <c r="B151" s="156" t="str">
        <f>Capacidades!M143</f>
        <v xml:space="preserve">   </v>
      </c>
      <c r="C151" s="157"/>
      <c r="D151" s="14"/>
      <c r="E151" s="14"/>
      <c r="F151" s="14"/>
      <c r="G151" s="14"/>
      <c r="H151" s="14"/>
      <c r="I151" s="14"/>
      <c r="J151" s="14"/>
      <c r="K151" s="14"/>
      <c r="L151" s="446"/>
      <c r="M151" s="292" t="str">
        <f t="shared" si="2"/>
        <v xml:space="preserve">   </v>
      </c>
      <c r="N151" s="218"/>
      <c r="O151" s="218"/>
      <c r="P151" s="218"/>
      <c r="Q151" s="218"/>
      <c r="R151" s="218"/>
      <c r="S151" s="218"/>
      <c r="T151" s="218"/>
      <c r="U151" s="218"/>
      <c r="V151" s="218"/>
      <c r="W151" s="218"/>
      <c r="X151" s="218"/>
      <c r="Y151" s="218"/>
      <c r="Z151" s="218"/>
      <c r="AA151" s="218"/>
      <c r="AB151" s="218"/>
      <c r="AC151" s="218"/>
      <c r="AD151" s="218"/>
      <c r="AE151" s="218"/>
      <c r="AF151" s="218"/>
      <c r="AG151" s="218"/>
      <c r="AH151" s="218"/>
      <c r="AI151" s="218"/>
      <c r="AJ151" s="218"/>
      <c r="AK151" s="218"/>
      <c r="AL151" s="218"/>
      <c r="AM151" s="218"/>
      <c r="AN151" s="218"/>
      <c r="AO151" s="218"/>
      <c r="AP151" s="218"/>
      <c r="AQ151" s="218"/>
      <c r="AR151" s="218"/>
      <c r="AS151" s="218"/>
      <c r="AT151" s="218"/>
      <c r="AU151" s="218"/>
      <c r="AV151" s="218"/>
      <c r="AW151" s="218"/>
      <c r="AX151" s="218"/>
      <c r="AY151" s="218"/>
      <c r="AZ151" s="218"/>
      <c r="BA151" s="218"/>
      <c r="BB151" s="218"/>
      <c r="BC151" s="218"/>
      <c r="BD151" s="218"/>
      <c r="BE151" s="218"/>
      <c r="BF151" s="218"/>
      <c r="BG151" s="218"/>
      <c r="BH151" s="218"/>
      <c r="BI151" s="218"/>
      <c r="BJ151" s="218"/>
      <c r="BK151" s="218"/>
      <c r="BL151" s="218"/>
      <c r="BM151" s="218"/>
      <c r="BN151" s="218"/>
      <c r="BO151" s="218"/>
      <c r="BP151" s="218"/>
      <c r="BQ151" s="218"/>
      <c r="BR151" s="218"/>
      <c r="BS151" s="218"/>
      <c r="BT151" s="218"/>
      <c r="BU151" s="218"/>
      <c r="BV151" s="218"/>
      <c r="BW151" s="218"/>
      <c r="BX151" s="218"/>
      <c r="BY151" s="218"/>
      <c r="BZ151" s="218"/>
      <c r="CA151" s="218"/>
      <c r="CB151" s="218"/>
      <c r="CC151" s="218"/>
      <c r="CD151" s="218"/>
      <c r="CE151" s="218"/>
      <c r="CF151" s="218"/>
      <c r="CG151" s="218"/>
      <c r="CH151" s="218"/>
      <c r="CI151" s="218"/>
      <c r="CJ151" s="218"/>
      <c r="CK151" s="218"/>
      <c r="CL151" s="218"/>
      <c r="CM151" s="218"/>
    </row>
    <row r="152" spans="1:91" hidden="1" x14ac:dyDescent="0.2">
      <c r="A152" s="426"/>
      <c r="B152" s="156" t="str">
        <f>Capacidades!M144</f>
        <v xml:space="preserve">   </v>
      </c>
      <c r="C152" s="157"/>
      <c r="D152" s="14"/>
      <c r="E152" s="14"/>
      <c r="F152" s="14"/>
      <c r="G152" s="14"/>
      <c r="H152" s="14"/>
      <c r="I152" s="14"/>
      <c r="J152" s="14"/>
      <c r="K152" s="14"/>
      <c r="L152" s="446"/>
      <c r="M152" s="292" t="str">
        <f t="shared" si="2"/>
        <v xml:space="preserve">   </v>
      </c>
      <c r="N152" s="218"/>
      <c r="O152" s="218"/>
      <c r="P152" s="218"/>
      <c r="Q152" s="218"/>
      <c r="R152" s="218"/>
      <c r="S152" s="218"/>
      <c r="T152" s="218"/>
      <c r="U152" s="218"/>
      <c r="V152" s="218"/>
      <c r="W152" s="218"/>
      <c r="X152" s="218"/>
      <c r="Y152" s="218"/>
      <c r="Z152" s="218"/>
      <c r="AA152" s="218"/>
      <c r="AB152" s="218"/>
      <c r="AC152" s="218"/>
      <c r="AD152" s="218"/>
      <c r="AE152" s="218"/>
      <c r="AF152" s="218"/>
      <c r="AG152" s="218"/>
      <c r="AH152" s="218"/>
      <c r="AI152" s="218"/>
      <c r="AJ152" s="218"/>
      <c r="AK152" s="218"/>
      <c r="AL152" s="218"/>
      <c r="AM152" s="218"/>
      <c r="AN152" s="218"/>
      <c r="AO152" s="218"/>
      <c r="AP152" s="218"/>
      <c r="AQ152" s="218"/>
      <c r="AR152" s="218"/>
      <c r="AS152" s="218"/>
      <c r="AT152" s="218"/>
      <c r="AU152" s="218"/>
      <c r="AV152" s="218"/>
      <c r="AW152" s="218"/>
      <c r="AX152" s="218"/>
      <c r="AY152" s="218"/>
      <c r="AZ152" s="218"/>
      <c r="BA152" s="218"/>
      <c r="BB152" s="218"/>
      <c r="BC152" s="218"/>
      <c r="BD152" s="218"/>
      <c r="BE152" s="218"/>
      <c r="BF152" s="218"/>
      <c r="BG152" s="218"/>
      <c r="BH152" s="218"/>
      <c r="BI152" s="218"/>
      <c r="BJ152" s="218"/>
      <c r="BK152" s="218"/>
      <c r="BL152" s="218"/>
      <c r="BM152" s="218"/>
      <c r="BN152" s="218"/>
      <c r="BO152" s="218"/>
      <c r="BP152" s="218"/>
      <c r="BQ152" s="218"/>
      <c r="BR152" s="218"/>
      <c r="BS152" s="218"/>
      <c r="BT152" s="218"/>
      <c r="BU152" s="218"/>
      <c r="BV152" s="218"/>
      <c r="BW152" s="218"/>
      <c r="BX152" s="218"/>
      <c r="BY152" s="218"/>
      <c r="BZ152" s="218"/>
      <c r="CA152" s="218"/>
      <c r="CB152" s="218"/>
      <c r="CC152" s="218"/>
      <c r="CD152" s="218"/>
      <c r="CE152" s="218"/>
      <c r="CF152" s="218"/>
      <c r="CG152" s="218"/>
      <c r="CH152" s="218"/>
      <c r="CI152" s="218"/>
      <c r="CJ152" s="218"/>
      <c r="CK152" s="218"/>
      <c r="CL152" s="218"/>
      <c r="CM152" s="218"/>
    </row>
    <row r="153" spans="1:91" hidden="1" x14ac:dyDescent="0.2">
      <c r="A153" s="426"/>
      <c r="B153" s="156" t="str">
        <f>Capacidades!M145</f>
        <v xml:space="preserve">   </v>
      </c>
      <c r="C153" s="157"/>
      <c r="D153" s="14"/>
      <c r="E153" s="14"/>
      <c r="F153" s="14"/>
      <c r="G153" s="14"/>
      <c r="H153" s="14"/>
      <c r="I153" s="14"/>
      <c r="J153" s="14"/>
      <c r="K153" s="14"/>
      <c r="L153" s="446"/>
      <c r="M153" s="292" t="str">
        <f t="shared" si="2"/>
        <v xml:space="preserve">   </v>
      </c>
      <c r="N153" s="218"/>
      <c r="O153" s="218"/>
      <c r="P153" s="218"/>
      <c r="Q153" s="218"/>
      <c r="R153" s="218"/>
      <c r="S153" s="218"/>
      <c r="T153" s="218"/>
      <c r="U153" s="218"/>
      <c r="V153" s="218"/>
      <c r="W153" s="218"/>
      <c r="X153" s="218"/>
      <c r="Y153" s="218"/>
      <c r="Z153" s="218"/>
      <c r="AA153" s="218"/>
      <c r="AB153" s="218"/>
      <c r="AC153" s="218"/>
      <c r="AD153" s="218"/>
      <c r="AE153" s="218"/>
      <c r="AF153" s="218"/>
      <c r="AG153" s="218"/>
      <c r="AH153" s="218"/>
      <c r="AI153" s="218"/>
      <c r="AJ153" s="218"/>
      <c r="AK153" s="218"/>
      <c r="AL153" s="218"/>
      <c r="AM153" s="218"/>
      <c r="AN153" s="218"/>
      <c r="AO153" s="218"/>
      <c r="AP153" s="218"/>
      <c r="AQ153" s="218"/>
      <c r="AR153" s="218"/>
      <c r="AS153" s="218"/>
      <c r="AT153" s="218"/>
      <c r="AU153" s="218"/>
      <c r="AV153" s="218"/>
      <c r="AW153" s="218"/>
      <c r="AX153" s="218"/>
      <c r="AY153" s="218"/>
      <c r="AZ153" s="218"/>
      <c r="BA153" s="218"/>
      <c r="BB153" s="218"/>
      <c r="BC153" s="218"/>
      <c r="BD153" s="218"/>
      <c r="BE153" s="218"/>
      <c r="BF153" s="218"/>
      <c r="BG153" s="218"/>
      <c r="BH153" s="218"/>
      <c r="BI153" s="218"/>
      <c r="BJ153" s="218"/>
      <c r="BK153" s="218"/>
      <c r="BL153" s="218"/>
      <c r="BM153" s="218"/>
      <c r="BN153" s="218"/>
      <c r="BO153" s="218"/>
      <c r="BP153" s="218"/>
      <c r="BQ153" s="218"/>
      <c r="BR153" s="218"/>
      <c r="BS153" s="218"/>
      <c r="BT153" s="218"/>
      <c r="BU153" s="218"/>
      <c r="BV153" s="218"/>
      <c r="BW153" s="218"/>
      <c r="BX153" s="218"/>
      <c r="BY153" s="218"/>
      <c r="BZ153" s="218"/>
      <c r="CA153" s="218"/>
      <c r="CB153" s="218"/>
      <c r="CC153" s="218"/>
      <c r="CD153" s="218"/>
      <c r="CE153" s="218"/>
      <c r="CF153" s="218"/>
      <c r="CG153" s="218"/>
      <c r="CH153" s="218"/>
      <c r="CI153" s="218"/>
      <c r="CJ153" s="218"/>
      <c r="CK153" s="218"/>
      <c r="CL153" s="218"/>
      <c r="CM153" s="218"/>
    </row>
    <row r="154" spans="1:91" hidden="1" x14ac:dyDescent="0.2">
      <c r="A154" s="426"/>
      <c r="B154" s="156" t="str">
        <f>Capacidades!M146</f>
        <v xml:space="preserve">   </v>
      </c>
      <c r="C154" s="157"/>
      <c r="D154" s="14"/>
      <c r="E154" s="14"/>
      <c r="F154" s="14"/>
      <c r="G154" s="14"/>
      <c r="H154" s="14"/>
      <c r="I154" s="14"/>
      <c r="J154" s="14"/>
      <c r="K154" s="14"/>
      <c r="L154" s="446"/>
      <c r="M154" s="292" t="str">
        <f t="shared" si="2"/>
        <v xml:space="preserve">   </v>
      </c>
      <c r="N154" s="218"/>
      <c r="O154" s="218"/>
      <c r="P154" s="218"/>
      <c r="Q154" s="218"/>
      <c r="R154" s="218"/>
      <c r="S154" s="218"/>
      <c r="T154" s="218"/>
      <c r="U154" s="218"/>
      <c r="V154" s="218"/>
      <c r="W154" s="218"/>
      <c r="X154" s="218"/>
      <c r="Y154" s="218"/>
      <c r="Z154" s="218"/>
      <c r="AA154" s="218"/>
      <c r="AB154" s="218"/>
      <c r="AC154" s="218"/>
      <c r="AD154" s="218"/>
      <c r="AE154" s="218"/>
      <c r="AF154" s="218"/>
      <c r="AG154" s="218"/>
      <c r="AH154" s="218"/>
      <c r="AI154" s="218"/>
      <c r="AJ154" s="218"/>
      <c r="AK154" s="218"/>
      <c r="AL154" s="218"/>
      <c r="AM154" s="218"/>
      <c r="AN154" s="218"/>
      <c r="AO154" s="218"/>
      <c r="AP154" s="218"/>
      <c r="AQ154" s="218"/>
      <c r="AR154" s="218"/>
      <c r="AS154" s="218"/>
      <c r="AT154" s="218"/>
      <c r="AU154" s="218"/>
      <c r="AV154" s="218"/>
      <c r="AW154" s="218"/>
      <c r="AX154" s="218"/>
      <c r="AY154" s="218"/>
      <c r="AZ154" s="218"/>
      <c r="BA154" s="218"/>
      <c r="BB154" s="218"/>
      <c r="BC154" s="218"/>
      <c r="BD154" s="218"/>
      <c r="BE154" s="218"/>
      <c r="BF154" s="218"/>
      <c r="BG154" s="218"/>
      <c r="BH154" s="218"/>
      <c r="BI154" s="218"/>
      <c r="BJ154" s="218"/>
      <c r="BK154" s="218"/>
      <c r="BL154" s="218"/>
      <c r="BM154" s="218"/>
      <c r="BN154" s="218"/>
      <c r="BO154" s="218"/>
      <c r="BP154" s="218"/>
      <c r="BQ154" s="218"/>
      <c r="BR154" s="218"/>
      <c r="BS154" s="218"/>
      <c r="BT154" s="218"/>
      <c r="BU154" s="218"/>
      <c r="BV154" s="218"/>
      <c r="BW154" s="218"/>
      <c r="BX154" s="218"/>
      <c r="BY154" s="218"/>
      <c r="BZ154" s="218"/>
      <c r="CA154" s="218"/>
      <c r="CB154" s="218"/>
      <c r="CC154" s="218"/>
      <c r="CD154" s="218"/>
      <c r="CE154" s="218"/>
      <c r="CF154" s="218"/>
      <c r="CG154" s="218"/>
      <c r="CH154" s="218"/>
      <c r="CI154" s="218"/>
      <c r="CJ154" s="218"/>
      <c r="CK154" s="218"/>
      <c r="CL154" s="218"/>
      <c r="CM154" s="218"/>
    </row>
    <row r="155" spans="1:91" hidden="1" x14ac:dyDescent="0.2">
      <c r="A155" s="426"/>
      <c r="B155" s="156" t="str">
        <f>Capacidades!M147</f>
        <v xml:space="preserve">   </v>
      </c>
      <c r="C155" s="157"/>
      <c r="D155" s="14"/>
      <c r="E155" s="14"/>
      <c r="F155" s="14"/>
      <c r="G155" s="14"/>
      <c r="H155" s="14"/>
      <c r="I155" s="14"/>
      <c r="J155" s="14"/>
      <c r="K155" s="14"/>
      <c r="L155" s="446"/>
      <c r="M155" s="292" t="str">
        <f t="shared" si="2"/>
        <v xml:space="preserve">   </v>
      </c>
      <c r="N155" s="218"/>
      <c r="O155" s="218"/>
      <c r="P155" s="218"/>
      <c r="Q155" s="218"/>
      <c r="R155" s="218"/>
      <c r="S155" s="218"/>
      <c r="T155" s="218"/>
      <c r="U155" s="218"/>
      <c r="V155" s="218"/>
      <c r="W155" s="218"/>
      <c r="X155" s="218"/>
      <c r="Y155" s="218"/>
      <c r="Z155" s="218"/>
      <c r="AA155" s="218"/>
      <c r="AB155" s="218"/>
      <c r="AC155" s="218"/>
      <c r="AD155" s="218"/>
      <c r="AE155" s="218"/>
      <c r="AF155" s="218"/>
      <c r="AG155" s="218"/>
      <c r="AH155" s="218"/>
      <c r="AI155" s="218"/>
      <c r="AJ155" s="218"/>
      <c r="AK155" s="218"/>
      <c r="AL155" s="218"/>
      <c r="AM155" s="218"/>
      <c r="AN155" s="218"/>
      <c r="AO155" s="218"/>
      <c r="AP155" s="218"/>
      <c r="AQ155" s="218"/>
      <c r="AR155" s="218"/>
      <c r="AS155" s="218"/>
      <c r="AT155" s="218"/>
      <c r="AU155" s="218"/>
      <c r="AV155" s="218"/>
      <c r="AW155" s="218"/>
      <c r="AX155" s="218"/>
      <c r="AY155" s="218"/>
      <c r="AZ155" s="218"/>
      <c r="BA155" s="218"/>
      <c r="BB155" s="218"/>
      <c r="BC155" s="218"/>
      <c r="BD155" s="218"/>
      <c r="BE155" s="218"/>
      <c r="BF155" s="218"/>
      <c r="BG155" s="218"/>
      <c r="BH155" s="218"/>
      <c r="BI155" s="218"/>
      <c r="BJ155" s="218"/>
      <c r="BK155" s="218"/>
      <c r="BL155" s="218"/>
      <c r="BM155" s="218"/>
      <c r="BN155" s="218"/>
      <c r="BO155" s="218"/>
      <c r="BP155" s="218"/>
      <c r="BQ155" s="218"/>
      <c r="BR155" s="218"/>
      <c r="BS155" s="218"/>
      <c r="BT155" s="218"/>
      <c r="BU155" s="218"/>
      <c r="BV155" s="218"/>
      <c r="BW155" s="218"/>
      <c r="BX155" s="218"/>
      <c r="BY155" s="218"/>
      <c r="BZ155" s="218"/>
      <c r="CA155" s="218"/>
      <c r="CB155" s="218"/>
      <c r="CC155" s="218"/>
      <c r="CD155" s="218"/>
      <c r="CE155" s="218"/>
      <c r="CF155" s="218"/>
      <c r="CG155" s="218"/>
      <c r="CH155" s="218"/>
      <c r="CI155" s="218"/>
      <c r="CJ155" s="218"/>
      <c r="CK155" s="218"/>
      <c r="CL155" s="218"/>
      <c r="CM155" s="218"/>
    </row>
    <row r="156" spans="1:91" hidden="1" x14ac:dyDescent="0.2">
      <c r="A156" s="426"/>
      <c r="B156" s="156" t="str">
        <f>Capacidades!M148</f>
        <v xml:space="preserve">   </v>
      </c>
      <c r="C156" s="157"/>
      <c r="D156" s="14"/>
      <c r="E156" s="14"/>
      <c r="F156" s="14"/>
      <c r="G156" s="14"/>
      <c r="H156" s="14"/>
      <c r="I156" s="14"/>
      <c r="J156" s="14"/>
      <c r="K156" s="14"/>
      <c r="L156" s="446"/>
      <c r="M156" s="292" t="str">
        <f t="shared" si="2"/>
        <v xml:space="preserve">   </v>
      </c>
      <c r="N156" s="218"/>
      <c r="O156" s="218"/>
      <c r="P156" s="218"/>
      <c r="Q156" s="218"/>
      <c r="R156" s="218"/>
      <c r="S156" s="218"/>
      <c r="T156" s="218"/>
      <c r="U156" s="218"/>
      <c r="V156" s="218"/>
      <c r="W156" s="218"/>
      <c r="X156" s="218"/>
      <c r="Y156" s="218"/>
      <c r="Z156" s="218"/>
      <c r="AA156" s="218"/>
      <c r="AB156" s="218"/>
      <c r="AC156" s="218"/>
      <c r="AD156" s="218"/>
      <c r="AE156" s="218"/>
      <c r="AF156" s="218"/>
      <c r="AG156" s="218"/>
      <c r="AH156" s="218"/>
      <c r="AI156" s="218"/>
      <c r="AJ156" s="218"/>
      <c r="AK156" s="218"/>
      <c r="AL156" s="218"/>
      <c r="AM156" s="218"/>
      <c r="AN156" s="218"/>
      <c r="AO156" s="218"/>
      <c r="AP156" s="218"/>
      <c r="AQ156" s="218"/>
      <c r="AR156" s="218"/>
      <c r="AS156" s="218"/>
      <c r="AT156" s="218"/>
      <c r="AU156" s="218"/>
      <c r="AV156" s="218"/>
      <c r="AW156" s="218"/>
      <c r="AX156" s="218"/>
      <c r="AY156" s="218"/>
      <c r="AZ156" s="218"/>
      <c r="BA156" s="218"/>
      <c r="BB156" s="218"/>
      <c r="BC156" s="218"/>
      <c r="BD156" s="218"/>
      <c r="BE156" s="218"/>
      <c r="BF156" s="218"/>
      <c r="BG156" s="218"/>
      <c r="BH156" s="218"/>
      <c r="BI156" s="218"/>
      <c r="BJ156" s="218"/>
      <c r="BK156" s="218"/>
      <c r="BL156" s="218"/>
      <c r="BM156" s="218"/>
      <c r="BN156" s="218"/>
      <c r="BO156" s="218"/>
      <c r="BP156" s="218"/>
      <c r="BQ156" s="218"/>
      <c r="BR156" s="218"/>
      <c r="BS156" s="218"/>
      <c r="BT156" s="218"/>
      <c r="BU156" s="218"/>
      <c r="BV156" s="218"/>
      <c r="BW156" s="218"/>
      <c r="BX156" s="218"/>
      <c r="BY156" s="218"/>
      <c r="BZ156" s="218"/>
      <c r="CA156" s="218"/>
      <c r="CB156" s="218"/>
      <c r="CC156" s="218"/>
      <c r="CD156" s="218"/>
      <c r="CE156" s="218"/>
      <c r="CF156" s="218"/>
      <c r="CG156" s="218"/>
      <c r="CH156" s="218"/>
      <c r="CI156" s="218"/>
      <c r="CJ156" s="218"/>
      <c r="CK156" s="218"/>
      <c r="CL156" s="218"/>
      <c r="CM156" s="218"/>
    </row>
    <row r="157" spans="1:91" hidden="1" x14ac:dyDescent="0.2">
      <c r="A157" s="427"/>
      <c r="B157" s="156" t="str">
        <f>Capacidades!M149</f>
        <v xml:space="preserve">   </v>
      </c>
      <c r="C157" s="157"/>
      <c r="D157" s="16"/>
      <c r="E157" s="16"/>
      <c r="F157" s="16"/>
      <c r="G157" s="16"/>
      <c r="H157" s="16"/>
      <c r="I157" s="16"/>
      <c r="J157" s="16"/>
      <c r="K157" s="16"/>
      <c r="L157" s="447"/>
      <c r="M157" s="292" t="str">
        <f t="shared" si="2"/>
        <v xml:space="preserve">   </v>
      </c>
      <c r="N157" s="218"/>
      <c r="O157" s="218"/>
      <c r="P157" s="218"/>
      <c r="Q157" s="218"/>
      <c r="R157" s="218"/>
      <c r="S157" s="218"/>
      <c r="T157" s="218"/>
      <c r="U157" s="218"/>
      <c r="V157" s="218"/>
      <c r="W157" s="218"/>
      <c r="X157" s="218"/>
      <c r="Y157" s="218"/>
      <c r="Z157" s="218"/>
      <c r="AA157" s="218"/>
      <c r="AB157" s="218"/>
      <c r="AC157" s="218"/>
      <c r="AD157" s="218"/>
      <c r="AE157" s="218"/>
      <c r="AF157" s="218"/>
      <c r="AG157" s="218"/>
      <c r="AH157" s="218"/>
      <c r="AI157" s="218"/>
      <c r="AJ157" s="218"/>
      <c r="AK157" s="218"/>
      <c r="AL157" s="218"/>
      <c r="AM157" s="218"/>
      <c r="AN157" s="218"/>
      <c r="AO157" s="218"/>
      <c r="AP157" s="218"/>
      <c r="AQ157" s="218"/>
      <c r="AR157" s="218"/>
      <c r="AS157" s="218"/>
      <c r="AT157" s="218"/>
      <c r="AU157" s="218"/>
      <c r="AV157" s="218"/>
      <c r="AW157" s="218"/>
      <c r="AX157" s="218"/>
      <c r="AY157" s="218"/>
      <c r="AZ157" s="218"/>
      <c r="BA157" s="218"/>
      <c r="BB157" s="218"/>
      <c r="BC157" s="218"/>
      <c r="BD157" s="218"/>
      <c r="BE157" s="218"/>
      <c r="BF157" s="218"/>
      <c r="BG157" s="218"/>
      <c r="BH157" s="218"/>
      <c r="BI157" s="218"/>
      <c r="BJ157" s="218"/>
      <c r="BK157" s="218"/>
      <c r="BL157" s="218"/>
      <c r="BM157" s="218"/>
      <c r="BN157" s="218"/>
      <c r="BO157" s="218"/>
      <c r="BP157" s="218"/>
      <c r="BQ157" s="218"/>
      <c r="BR157" s="218"/>
      <c r="BS157" s="218"/>
      <c r="BT157" s="218"/>
      <c r="BU157" s="218"/>
      <c r="BV157" s="218"/>
      <c r="BW157" s="218"/>
      <c r="BX157" s="218"/>
      <c r="BY157" s="218"/>
      <c r="BZ157" s="218"/>
      <c r="CA157" s="218"/>
      <c r="CB157" s="218"/>
      <c r="CC157" s="218"/>
      <c r="CD157" s="218"/>
      <c r="CE157" s="218"/>
      <c r="CF157" s="218"/>
      <c r="CG157" s="218"/>
      <c r="CH157" s="218"/>
      <c r="CI157" s="218"/>
      <c r="CJ157" s="218"/>
      <c r="CK157" s="218"/>
      <c r="CL157" s="218"/>
      <c r="CM157" s="218"/>
    </row>
    <row r="158" spans="1:91" hidden="1" x14ac:dyDescent="0.2">
      <c r="A158" s="425" t="str">
        <f>Capacidades!L150</f>
        <v xml:space="preserve">       </v>
      </c>
      <c r="B158" s="156" t="str">
        <f>Capacidades!M150</f>
        <v xml:space="preserve">   </v>
      </c>
      <c r="C158" s="157"/>
      <c r="D158" s="12">
        <f>Organización_Modular!F24</f>
        <v>0</v>
      </c>
      <c r="E158" s="12">
        <f>Organización_Modular!G24</f>
        <v>0</v>
      </c>
      <c r="F158" s="12">
        <f>Organización_Modular!H24</f>
        <v>0</v>
      </c>
      <c r="G158" s="12">
        <f>Organización_Modular!I24</f>
        <v>0</v>
      </c>
      <c r="H158" s="12">
        <f>SUM(F158:G158)</f>
        <v>0</v>
      </c>
      <c r="I158" s="12">
        <f>F158*16</f>
        <v>0</v>
      </c>
      <c r="J158" s="12">
        <f>G158*32</f>
        <v>0</v>
      </c>
      <c r="K158" s="12">
        <f>SUM(I158:J158)</f>
        <v>0</v>
      </c>
      <c r="L158" s="445"/>
      <c r="M158" s="292" t="str">
        <f t="shared" si="2"/>
        <v xml:space="preserve">   </v>
      </c>
      <c r="N158" s="218"/>
      <c r="O158" s="218"/>
      <c r="P158" s="218"/>
      <c r="Q158" s="218"/>
      <c r="R158" s="218"/>
      <c r="S158" s="218"/>
      <c r="T158" s="218"/>
      <c r="U158" s="218"/>
      <c r="V158" s="218"/>
      <c r="W158" s="218"/>
      <c r="X158" s="218"/>
      <c r="Y158" s="218"/>
      <c r="Z158" s="218"/>
      <c r="AA158" s="218"/>
      <c r="AB158" s="218"/>
      <c r="AC158" s="218"/>
      <c r="AD158" s="218"/>
      <c r="AE158" s="218"/>
      <c r="AF158" s="218"/>
      <c r="AG158" s="218"/>
      <c r="AH158" s="218"/>
      <c r="AI158" s="218"/>
      <c r="AJ158" s="218"/>
      <c r="AK158" s="218"/>
      <c r="AL158" s="218"/>
      <c r="AM158" s="218"/>
      <c r="AN158" s="218"/>
      <c r="AO158" s="218"/>
      <c r="AP158" s="218"/>
      <c r="AQ158" s="218"/>
      <c r="AR158" s="218"/>
      <c r="AS158" s="218"/>
      <c r="AT158" s="218"/>
      <c r="AU158" s="218"/>
      <c r="AV158" s="218"/>
      <c r="AW158" s="218"/>
      <c r="AX158" s="218"/>
      <c r="AY158" s="218"/>
      <c r="AZ158" s="218"/>
      <c r="BA158" s="218"/>
      <c r="BB158" s="218"/>
      <c r="BC158" s="218"/>
      <c r="BD158" s="218"/>
      <c r="BE158" s="218"/>
      <c r="BF158" s="218"/>
      <c r="BG158" s="218"/>
      <c r="BH158" s="218"/>
      <c r="BI158" s="218"/>
      <c r="BJ158" s="218"/>
      <c r="BK158" s="218"/>
      <c r="BL158" s="218"/>
      <c r="BM158" s="218"/>
      <c r="BN158" s="218"/>
      <c r="BO158" s="218"/>
      <c r="BP158" s="218"/>
      <c r="BQ158" s="218"/>
      <c r="BR158" s="218"/>
      <c r="BS158" s="218"/>
      <c r="BT158" s="218"/>
      <c r="BU158" s="218"/>
      <c r="BV158" s="218"/>
      <c r="BW158" s="218"/>
      <c r="BX158" s="218"/>
      <c r="BY158" s="218"/>
      <c r="BZ158" s="218"/>
      <c r="CA158" s="218"/>
      <c r="CB158" s="218"/>
      <c r="CC158" s="218"/>
      <c r="CD158" s="218"/>
      <c r="CE158" s="218"/>
      <c r="CF158" s="218"/>
      <c r="CG158" s="218"/>
      <c r="CH158" s="218"/>
      <c r="CI158" s="218"/>
      <c r="CJ158" s="218"/>
      <c r="CK158" s="218"/>
      <c r="CL158" s="218"/>
      <c r="CM158" s="218"/>
    </row>
    <row r="159" spans="1:91" hidden="1" x14ac:dyDescent="0.2">
      <c r="A159" s="426"/>
      <c r="B159" s="156" t="str">
        <f>Capacidades!M151</f>
        <v xml:space="preserve">   </v>
      </c>
      <c r="C159" s="157"/>
      <c r="D159" s="14"/>
      <c r="E159" s="14"/>
      <c r="F159" s="14"/>
      <c r="G159" s="14"/>
      <c r="H159" s="14"/>
      <c r="I159" s="14"/>
      <c r="J159" s="14"/>
      <c r="K159" s="14"/>
      <c r="L159" s="446"/>
      <c r="M159" s="292" t="str">
        <f t="shared" si="2"/>
        <v xml:space="preserve">   </v>
      </c>
      <c r="N159" s="218"/>
      <c r="O159" s="218"/>
      <c r="P159" s="218"/>
      <c r="Q159" s="218"/>
      <c r="R159" s="218"/>
      <c r="S159" s="218"/>
      <c r="T159" s="218"/>
      <c r="U159" s="218"/>
      <c r="V159" s="218"/>
      <c r="W159" s="218"/>
      <c r="X159" s="218"/>
      <c r="Y159" s="218"/>
      <c r="Z159" s="218"/>
      <c r="AA159" s="218"/>
      <c r="AB159" s="218"/>
      <c r="AC159" s="218"/>
      <c r="AD159" s="218"/>
      <c r="AE159" s="218"/>
      <c r="AF159" s="218"/>
      <c r="AG159" s="218"/>
      <c r="AH159" s="218"/>
      <c r="AI159" s="218"/>
      <c r="AJ159" s="218"/>
      <c r="AK159" s="218"/>
      <c r="AL159" s="218"/>
      <c r="AM159" s="218"/>
      <c r="AN159" s="218"/>
      <c r="AO159" s="218"/>
      <c r="AP159" s="218"/>
      <c r="AQ159" s="218"/>
      <c r="AR159" s="218"/>
      <c r="AS159" s="218"/>
      <c r="AT159" s="218"/>
      <c r="AU159" s="218"/>
      <c r="AV159" s="218"/>
      <c r="AW159" s="218"/>
      <c r="AX159" s="218"/>
      <c r="AY159" s="218"/>
      <c r="AZ159" s="218"/>
      <c r="BA159" s="218"/>
      <c r="BB159" s="218"/>
      <c r="BC159" s="218"/>
      <c r="BD159" s="218"/>
      <c r="BE159" s="218"/>
      <c r="BF159" s="218"/>
      <c r="BG159" s="218"/>
      <c r="BH159" s="218"/>
      <c r="BI159" s="218"/>
      <c r="BJ159" s="218"/>
      <c r="BK159" s="218"/>
      <c r="BL159" s="218"/>
      <c r="BM159" s="218"/>
      <c r="BN159" s="218"/>
      <c r="BO159" s="218"/>
      <c r="BP159" s="218"/>
      <c r="BQ159" s="218"/>
      <c r="BR159" s="218"/>
      <c r="BS159" s="218"/>
      <c r="BT159" s="218"/>
      <c r="BU159" s="218"/>
      <c r="BV159" s="218"/>
      <c r="BW159" s="218"/>
      <c r="BX159" s="218"/>
      <c r="BY159" s="218"/>
      <c r="BZ159" s="218"/>
      <c r="CA159" s="218"/>
      <c r="CB159" s="218"/>
      <c r="CC159" s="218"/>
      <c r="CD159" s="218"/>
      <c r="CE159" s="218"/>
      <c r="CF159" s="218"/>
      <c r="CG159" s="218"/>
      <c r="CH159" s="218"/>
      <c r="CI159" s="218"/>
      <c r="CJ159" s="218"/>
      <c r="CK159" s="218"/>
      <c r="CL159" s="218"/>
      <c r="CM159" s="218"/>
    </row>
    <row r="160" spans="1:91" hidden="1" x14ac:dyDescent="0.2">
      <c r="A160" s="426"/>
      <c r="B160" s="156" t="str">
        <f>Capacidades!M152</f>
        <v xml:space="preserve">   </v>
      </c>
      <c r="C160" s="157"/>
      <c r="D160" s="14"/>
      <c r="E160" s="14"/>
      <c r="F160" s="14"/>
      <c r="G160" s="14"/>
      <c r="H160" s="14"/>
      <c r="I160" s="14"/>
      <c r="J160" s="14"/>
      <c r="K160" s="14"/>
      <c r="L160" s="446"/>
      <c r="M160" s="292" t="str">
        <f t="shared" si="2"/>
        <v xml:space="preserve">   </v>
      </c>
      <c r="N160" s="218"/>
      <c r="O160" s="218"/>
      <c r="P160" s="218"/>
      <c r="Q160" s="218"/>
      <c r="R160" s="218"/>
      <c r="S160" s="218"/>
      <c r="T160" s="218"/>
      <c r="U160" s="218"/>
      <c r="V160" s="218"/>
      <c r="W160" s="218"/>
      <c r="X160" s="218"/>
      <c r="Y160" s="218"/>
      <c r="Z160" s="218"/>
      <c r="AA160" s="218"/>
      <c r="AB160" s="218"/>
      <c r="AC160" s="218"/>
      <c r="AD160" s="218"/>
      <c r="AE160" s="218"/>
      <c r="AF160" s="218"/>
      <c r="AG160" s="218"/>
      <c r="AH160" s="218"/>
      <c r="AI160" s="218"/>
      <c r="AJ160" s="218"/>
      <c r="AK160" s="218"/>
      <c r="AL160" s="218"/>
      <c r="AM160" s="218"/>
      <c r="AN160" s="218"/>
      <c r="AO160" s="218"/>
      <c r="AP160" s="218"/>
      <c r="AQ160" s="218"/>
      <c r="AR160" s="218"/>
      <c r="AS160" s="218"/>
      <c r="AT160" s="218"/>
      <c r="AU160" s="218"/>
      <c r="AV160" s="218"/>
      <c r="AW160" s="218"/>
      <c r="AX160" s="218"/>
      <c r="AY160" s="218"/>
      <c r="AZ160" s="218"/>
      <c r="BA160" s="218"/>
      <c r="BB160" s="218"/>
      <c r="BC160" s="218"/>
      <c r="BD160" s="218"/>
      <c r="BE160" s="218"/>
      <c r="BF160" s="218"/>
      <c r="BG160" s="218"/>
      <c r="BH160" s="218"/>
      <c r="BI160" s="218"/>
      <c r="BJ160" s="218"/>
      <c r="BK160" s="218"/>
      <c r="BL160" s="218"/>
      <c r="BM160" s="218"/>
      <c r="BN160" s="218"/>
      <c r="BO160" s="218"/>
      <c r="BP160" s="218"/>
      <c r="BQ160" s="218"/>
      <c r="BR160" s="218"/>
      <c r="BS160" s="218"/>
      <c r="BT160" s="218"/>
      <c r="BU160" s="218"/>
      <c r="BV160" s="218"/>
      <c r="BW160" s="218"/>
      <c r="BX160" s="218"/>
      <c r="BY160" s="218"/>
      <c r="BZ160" s="218"/>
      <c r="CA160" s="218"/>
      <c r="CB160" s="218"/>
      <c r="CC160" s="218"/>
      <c r="CD160" s="218"/>
      <c r="CE160" s="218"/>
      <c r="CF160" s="218"/>
      <c r="CG160" s="218"/>
      <c r="CH160" s="218"/>
      <c r="CI160" s="218"/>
      <c r="CJ160" s="218"/>
      <c r="CK160" s="218"/>
      <c r="CL160" s="218"/>
      <c r="CM160" s="218"/>
    </row>
    <row r="161" spans="1:91" hidden="1" x14ac:dyDescent="0.2">
      <c r="A161" s="426"/>
      <c r="B161" s="156" t="str">
        <f>Capacidades!M153</f>
        <v xml:space="preserve">   </v>
      </c>
      <c r="C161" s="157"/>
      <c r="D161" s="14"/>
      <c r="E161" s="14"/>
      <c r="F161" s="14"/>
      <c r="G161" s="14"/>
      <c r="H161" s="14"/>
      <c r="I161" s="14"/>
      <c r="J161" s="14"/>
      <c r="K161" s="14"/>
      <c r="L161" s="446"/>
      <c r="M161" s="292" t="str">
        <f t="shared" si="2"/>
        <v xml:space="preserve">   </v>
      </c>
      <c r="N161" s="218"/>
      <c r="O161" s="218"/>
      <c r="P161" s="218"/>
      <c r="Q161" s="218"/>
      <c r="R161" s="218"/>
      <c r="S161" s="218"/>
      <c r="T161" s="218"/>
      <c r="U161" s="218"/>
      <c r="V161" s="218"/>
      <c r="W161" s="218"/>
      <c r="X161" s="218"/>
      <c r="Y161" s="218"/>
      <c r="Z161" s="218"/>
      <c r="AA161" s="218"/>
      <c r="AB161" s="218"/>
      <c r="AC161" s="218"/>
      <c r="AD161" s="218"/>
      <c r="AE161" s="218"/>
      <c r="AF161" s="218"/>
      <c r="AG161" s="218"/>
      <c r="AH161" s="218"/>
      <c r="AI161" s="218"/>
      <c r="AJ161" s="218"/>
      <c r="AK161" s="218"/>
      <c r="AL161" s="218"/>
      <c r="AM161" s="218"/>
      <c r="AN161" s="218"/>
      <c r="AO161" s="218"/>
      <c r="AP161" s="218"/>
      <c r="AQ161" s="218"/>
      <c r="AR161" s="218"/>
      <c r="AS161" s="218"/>
      <c r="AT161" s="218"/>
      <c r="AU161" s="218"/>
      <c r="AV161" s="218"/>
      <c r="AW161" s="218"/>
      <c r="AX161" s="218"/>
      <c r="AY161" s="218"/>
      <c r="AZ161" s="218"/>
      <c r="BA161" s="218"/>
      <c r="BB161" s="218"/>
      <c r="BC161" s="218"/>
      <c r="BD161" s="218"/>
      <c r="BE161" s="218"/>
      <c r="BF161" s="218"/>
      <c r="BG161" s="218"/>
      <c r="BH161" s="218"/>
      <c r="BI161" s="218"/>
      <c r="BJ161" s="218"/>
      <c r="BK161" s="218"/>
      <c r="BL161" s="218"/>
      <c r="BM161" s="218"/>
      <c r="BN161" s="218"/>
      <c r="BO161" s="218"/>
      <c r="BP161" s="218"/>
      <c r="BQ161" s="218"/>
      <c r="BR161" s="218"/>
      <c r="BS161" s="218"/>
      <c r="BT161" s="218"/>
      <c r="BU161" s="218"/>
      <c r="BV161" s="218"/>
      <c r="BW161" s="218"/>
      <c r="BX161" s="218"/>
      <c r="BY161" s="218"/>
      <c r="BZ161" s="218"/>
      <c r="CA161" s="218"/>
      <c r="CB161" s="218"/>
      <c r="CC161" s="218"/>
      <c r="CD161" s="218"/>
      <c r="CE161" s="218"/>
      <c r="CF161" s="218"/>
      <c r="CG161" s="218"/>
      <c r="CH161" s="218"/>
      <c r="CI161" s="218"/>
      <c r="CJ161" s="218"/>
      <c r="CK161" s="218"/>
      <c r="CL161" s="218"/>
      <c r="CM161" s="218"/>
    </row>
    <row r="162" spans="1:91" ht="6.75" hidden="1" customHeight="1" x14ac:dyDescent="0.2">
      <c r="A162" s="426"/>
      <c r="B162" s="156" t="str">
        <f>Capacidades!M154</f>
        <v xml:space="preserve">   </v>
      </c>
      <c r="C162" s="157"/>
      <c r="D162" s="14"/>
      <c r="E162" s="14"/>
      <c r="F162" s="14"/>
      <c r="G162" s="14"/>
      <c r="H162" s="14"/>
      <c r="I162" s="14"/>
      <c r="J162" s="14"/>
      <c r="K162" s="14"/>
      <c r="L162" s="446"/>
      <c r="M162" s="292" t="str">
        <f t="shared" si="2"/>
        <v xml:space="preserve">   </v>
      </c>
      <c r="N162" s="218"/>
      <c r="O162" s="218"/>
      <c r="P162" s="218"/>
      <c r="Q162" s="218"/>
      <c r="R162" s="218"/>
      <c r="S162" s="218"/>
      <c r="T162" s="218"/>
      <c r="U162" s="218"/>
      <c r="V162" s="218"/>
      <c r="W162" s="218"/>
      <c r="X162" s="218"/>
      <c r="Y162" s="218"/>
      <c r="Z162" s="218"/>
      <c r="AA162" s="218"/>
      <c r="AB162" s="218"/>
      <c r="AC162" s="218"/>
      <c r="AD162" s="218"/>
      <c r="AE162" s="218"/>
      <c r="AF162" s="218"/>
      <c r="AG162" s="218"/>
      <c r="AH162" s="218"/>
      <c r="AI162" s="218"/>
      <c r="AJ162" s="218"/>
      <c r="AK162" s="218"/>
      <c r="AL162" s="218"/>
      <c r="AM162" s="218"/>
      <c r="AN162" s="218"/>
      <c r="AO162" s="218"/>
      <c r="AP162" s="218"/>
      <c r="AQ162" s="218"/>
      <c r="AR162" s="218"/>
      <c r="AS162" s="218"/>
      <c r="AT162" s="218"/>
      <c r="AU162" s="218"/>
      <c r="AV162" s="218"/>
      <c r="AW162" s="218"/>
      <c r="AX162" s="218"/>
      <c r="AY162" s="218"/>
      <c r="AZ162" s="218"/>
      <c r="BA162" s="218"/>
      <c r="BB162" s="218"/>
      <c r="BC162" s="218"/>
      <c r="BD162" s="218"/>
      <c r="BE162" s="218"/>
      <c r="BF162" s="218"/>
      <c r="BG162" s="218"/>
      <c r="BH162" s="218"/>
      <c r="BI162" s="218"/>
      <c r="BJ162" s="218"/>
      <c r="BK162" s="218"/>
      <c r="BL162" s="218"/>
      <c r="BM162" s="218"/>
      <c r="BN162" s="218"/>
      <c r="BO162" s="218"/>
      <c r="BP162" s="218"/>
      <c r="BQ162" s="218"/>
      <c r="BR162" s="218"/>
      <c r="BS162" s="218"/>
      <c r="BT162" s="218"/>
      <c r="BU162" s="218"/>
      <c r="BV162" s="218"/>
      <c r="BW162" s="218"/>
      <c r="BX162" s="218"/>
      <c r="BY162" s="218"/>
      <c r="BZ162" s="218"/>
      <c r="CA162" s="218"/>
      <c r="CB162" s="218"/>
      <c r="CC162" s="218"/>
      <c r="CD162" s="218"/>
      <c r="CE162" s="218"/>
      <c r="CF162" s="218"/>
      <c r="CG162" s="218"/>
      <c r="CH162" s="218"/>
      <c r="CI162" s="218"/>
      <c r="CJ162" s="218"/>
      <c r="CK162" s="218"/>
      <c r="CL162" s="218"/>
      <c r="CM162" s="218"/>
    </row>
    <row r="163" spans="1:91" hidden="1" x14ac:dyDescent="0.2">
      <c r="A163" s="426"/>
      <c r="B163" s="156" t="str">
        <f>Capacidades!M155</f>
        <v xml:space="preserve">   </v>
      </c>
      <c r="C163" s="157"/>
      <c r="D163" s="14"/>
      <c r="E163" s="14"/>
      <c r="F163" s="14"/>
      <c r="G163" s="14"/>
      <c r="H163" s="14"/>
      <c r="I163" s="14"/>
      <c r="J163" s="14"/>
      <c r="K163" s="14"/>
      <c r="L163" s="446"/>
      <c r="M163" s="292" t="str">
        <f t="shared" si="2"/>
        <v xml:space="preserve">   </v>
      </c>
      <c r="N163" s="218"/>
      <c r="O163" s="218"/>
      <c r="P163" s="218"/>
      <c r="Q163" s="218"/>
      <c r="R163" s="218"/>
      <c r="S163" s="218"/>
      <c r="T163" s="218"/>
      <c r="U163" s="218"/>
      <c r="V163" s="218"/>
      <c r="W163" s="218"/>
      <c r="X163" s="218"/>
      <c r="Y163" s="218"/>
      <c r="Z163" s="218"/>
      <c r="AA163" s="218"/>
      <c r="AB163" s="218"/>
      <c r="AC163" s="218"/>
      <c r="AD163" s="218"/>
      <c r="AE163" s="218"/>
      <c r="AF163" s="218"/>
      <c r="AG163" s="218"/>
      <c r="AH163" s="218"/>
      <c r="AI163" s="218"/>
      <c r="AJ163" s="218"/>
      <c r="AK163" s="218"/>
      <c r="AL163" s="218"/>
      <c r="AM163" s="218"/>
      <c r="AN163" s="218"/>
      <c r="AO163" s="218"/>
      <c r="AP163" s="218"/>
      <c r="AQ163" s="218"/>
      <c r="AR163" s="218"/>
      <c r="AS163" s="218"/>
      <c r="AT163" s="218"/>
      <c r="AU163" s="218"/>
      <c r="AV163" s="218"/>
      <c r="AW163" s="218"/>
      <c r="AX163" s="218"/>
      <c r="AY163" s="218"/>
      <c r="AZ163" s="218"/>
      <c r="BA163" s="218"/>
      <c r="BB163" s="218"/>
      <c r="BC163" s="218"/>
      <c r="BD163" s="218"/>
      <c r="BE163" s="218"/>
      <c r="BF163" s="218"/>
      <c r="BG163" s="218"/>
      <c r="BH163" s="218"/>
      <c r="BI163" s="218"/>
      <c r="BJ163" s="218"/>
      <c r="BK163" s="218"/>
      <c r="BL163" s="218"/>
      <c r="BM163" s="218"/>
      <c r="BN163" s="218"/>
      <c r="BO163" s="218"/>
      <c r="BP163" s="218"/>
      <c r="BQ163" s="218"/>
      <c r="BR163" s="218"/>
      <c r="BS163" s="218"/>
      <c r="BT163" s="218"/>
      <c r="BU163" s="218"/>
      <c r="BV163" s="218"/>
      <c r="BW163" s="218"/>
      <c r="BX163" s="218"/>
      <c r="BY163" s="218"/>
      <c r="BZ163" s="218"/>
      <c r="CA163" s="218"/>
      <c r="CB163" s="218"/>
      <c r="CC163" s="218"/>
      <c r="CD163" s="218"/>
      <c r="CE163" s="218"/>
      <c r="CF163" s="218"/>
      <c r="CG163" s="218"/>
      <c r="CH163" s="218"/>
      <c r="CI163" s="218"/>
      <c r="CJ163" s="218"/>
      <c r="CK163" s="218"/>
      <c r="CL163" s="218"/>
      <c r="CM163" s="218"/>
    </row>
    <row r="164" spans="1:91" hidden="1" x14ac:dyDescent="0.2">
      <c r="A164" s="426"/>
      <c r="B164" s="156" t="str">
        <f>Capacidades!M156</f>
        <v xml:space="preserve">   </v>
      </c>
      <c r="C164" s="157"/>
      <c r="D164" s="14"/>
      <c r="E164" s="14"/>
      <c r="F164" s="14"/>
      <c r="G164" s="14"/>
      <c r="H164" s="14"/>
      <c r="I164" s="14"/>
      <c r="J164" s="14"/>
      <c r="K164" s="14"/>
      <c r="L164" s="446"/>
      <c r="M164" s="292" t="str">
        <f t="shared" si="2"/>
        <v xml:space="preserve">   </v>
      </c>
      <c r="N164" s="218"/>
      <c r="O164" s="218"/>
      <c r="P164" s="218"/>
      <c r="Q164" s="218"/>
      <c r="R164" s="218"/>
      <c r="S164" s="218"/>
      <c r="T164" s="218"/>
      <c r="U164" s="218"/>
      <c r="V164" s="218"/>
      <c r="W164" s="218"/>
      <c r="X164" s="218"/>
      <c r="Y164" s="218"/>
      <c r="Z164" s="218"/>
      <c r="AA164" s="218"/>
      <c r="AB164" s="218"/>
      <c r="AC164" s="218"/>
      <c r="AD164" s="218"/>
      <c r="AE164" s="218"/>
      <c r="AF164" s="218"/>
      <c r="AG164" s="218"/>
      <c r="AH164" s="218"/>
      <c r="AI164" s="218"/>
      <c r="AJ164" s="218"/>
      <c r="AK164" s="218"/>
      <c r="AL164" s="218"/>
      <c r="AM164" s="218"/>
      <c r="AN164" s="218"/>
      <c r="AO164" s="218"/>
      <c r="AP164" s="218"/>
      <c r="AQ164" s="218"/>
      <c r="AR164" s="218"/>
      <c r="AS164" s="218"/>
      <c r="AT164" s="218"/>
      <c r="AU164" s="218"/>
      <c r="AV164" s="218"/>
      <c r="AW164" s="218"/>
      <c r="AX164" s="218"/>
      <c r="AY164" s="218"/>
      <c r="AZ164" s="218"/>
      <c r="BA164" s="218"/>
      <c r="BB164" s="218"/>
      <c r="BC164" s="218"/>
      <c r="BD164" s="218"/>
      <c r="BE164" s="218"/>
      <c r="BF164" s="218"/>
      <c r="BG164" s="218"/>
      <c r="BH164" s="218"/>
      <c r="BI164" s="218"/>
      <c r="BJ164" s="218"/>
      <c r="BK164" s="218"/>
      <c r="BL164" s="218"/>
      <c r="BM164" s="218"/>
      <c r="BN164" s="218"/>
      <c r="BO164" s="218"/>
      <c r="BP164" s="218"/>
      <c r="BQ164" s="218"/>
      <c r="BR164" s="218"/>
      <c r="BS164" s="218"/>
      <c r="BT164" s="218"/>
      <c r="BU164" s="218"/>
      <c r="BV164" s="218"/>
      <c r="BW164" s="218"/>
      <c r="BX164" s="218"/>
      <c r="BY164" s="218"/>
      <c r="BZ164" s="218"/>
      <c r="CA164" s="218"/>
      <c r="CB164" s="218"/>
      <c r="CC164" s="218"/>
      <c r="CD164" s="218"/>
      <c r="CE164" s="218"/>
      <c r="CF164" s="218"/>
      <c r="CG164" s="218"/>
      <c r="CH164" s="218"/>
      <c r="CI164" s="218"/>
      <c r="CJ164" s="218"/>
      <c r="CK164" s="218"/>
      <c r="CL164" s="218"/>
      <c r="CM164" s="218"/>
    </row>
    <row r="165" spans="1:91" hidden="1" x14ac:dyDescent="0.2">
      <c r="A165" s="426"/>
      <c r="B165" s="156" t="str">
        <f>Capacidades!M157</f>
        <v xml:space="preserve">   </v>
      </c>
      <c r="C165" s="157"/>
      <c r="D165" s="14"/>
      <c r="E165" s="14"/>
      <c r="F165" s="14"/>
      <c r="G165" s="14"/>
      <c r="H165" s="14"/>
      <c r="I165" s="14"/>
      <c r="J165" s="14"/>
      <c r="K165" s="14"/>
      <c r="L165" s="446"/>
      <c r="M165" s="292" t="str">
        <f t="shared" si="2"/>
        <v xml:space="preserve">   </v>
      </c>
      <c r="N165" s="218"/>
      <c r="O165" s="218"/>
      <c r="P165" s="218"/>
      <c r="Q165" s="218"/>
      <c r="R165" s="218"/>
      <c r="S165" s="218"/>
      <c r="T165" s="218"/>
      <c r="U165" s="218"/>
      <c r="V165" s="218"/>
      <c r="W165" s="218"/>
      <c r="X165" s="218"/>
      <c r="Y165" s="218"/>
      <c r="Z165" s="218"/>
      <c r="AA165" s="218"/>
      <c r="AB165" s="218"/>
      <c r="AC165" s="218"/>
      <c r="AD165" s="218"/>
      <c r="AE165" s="218"/>
      <c r="AF165" s="218"/>
      <c r="AG165" s="218"/>
      <c r="AH165" s="218"/>
      <c r="AI165" s="218"/>
      <c r="AJ165" s="218"/>
      <c r="AK165" s="218"/>
      <c r="AL165" s="218"/>
      <c r="AM165" s="218"/>
      <c r="AN165" s="218"/>
      <c r="AO165" s="218"/>
      <c r="AP165" s="218"/>
      <c r="AQ165" s="218"/>
      <c r="AR165" s="218"/>
      <c r="AS165" s="218"/>
      <c r="AT165" s="218"/>
      <c r="AU165" s="218"/>
      <c r="AV165" s="218"/>
      <c r="AW165" s="218"/>
      <c r="AX165" s="218"/>
      <c r="AY165" s="218"/>
      <c r="AZ165" s="218"/>
      <c r="BA165" s="218"/>
      <c r="BB165" s="218"/>
      <c r="BC165" s="218"/>
      <c r="BD165" s="218"/>
      <c r="BE165" s="218"/>
      <c r="BF165" s="218"/>
      <c r="BG165" s="218"/>
      <c r="BH165" s="218"/>
      <c r="BI165" s="218"/>
      <c r="BJ165" s="218"/>
      <c r="BK165" s="218"/>
      <c r="BL165" s="218"/>
      <c r="BM165" s="218"/>
      <c r="BN165" s="218"/>
      <c r="BO165" s="218"/>
      <c r="BP165" s="218"/>
      <c r="BQ165" s="218"/>
      <c r="BR165" s="218"/>
      <c r="BS165" s="218"/>
      <c r="BT165" s="218"/>
      <c r="BU165" s="218"/>
      <c r="BV165" s="218"/>
      <c r="BW165" s="218"/>
      <c r="BX165" s="218"/>
      <c r="BY165" s="218"/>
      <c r="BZ165" s="218"/>
      <c r="CA165" s="218"/>
      <c r="CB165" s="218"/>
      <c r="CC165" s="218"/>
      <c r="CD165" s="218"/>
      <c r="CE165" s="218"/>
      <c r="CF165" s="218"/>
      <c r="CG165" s="218"/>
      <c r="CH165" s="218"/>
      <c r="CI165" s="218"/>
      <c r="CJ165" s="218"/>
      <c r="CK165" s="218"/>
      <c r="CL165" s="218"/>
      <c r="CM165" s="218"/>
    </row>
    <row r="166" spans="1:91" hidden="1" x14ac:dyDescent="0.2">
      <c r="A166" s="426"/>
      <c r="B166" s="156" t="str">
        <f>Capacidades!M158</f>
        <v xml:space="preserve">   </v>
      </c>
      <c r="C166" s="157"/>
      <c r="D166" s="14"/>
      <c r="E166" s="14"/>
      <c r="F166" s="14"/>
      <c r="G166" s="14"/>
      <c r="H166" s="14"/>
      <c r="I166" s="14"/>
      <c r="J166" s="14"/>
      <c r="K166" s="14"/>
      <c r="L166" s="446"/>
      <c r="M166" s="292" t="str">
        <f t="shared" si="2"/>
        <v xml:space="preserve">   </v>
      </c>
      <c r="N166" s="218"/>
      <c r="O166" s="218"/>
      <c r="P166" s="218"/>
      <c r="Q166" s="218"/>
      <c r="R166" s="218"/>
      <c r="S166" s="218"/>
      <c r="T166" s="218"/>
      <c r="U166" s="218"/>
      <c r="V166" s="218"/>
      <c r="W166" s="218"/>
      <c r="X166" s="218"/>
      <c r="Y166" s="218"/>
      <c r="Z166" s="218"/>
      <c r="AA166" s="218"/>
      <c r="AB166" s="218"/>
      <c r="AC166" s="218"/>
      <c r="AD166" s="218"/>
      <c r="AE166" s="218"/>
      <c r="AF166" s="218"/>
      <c r="AG166" s="218"/>
      <c r="AH166" s="218"/>
      <c r="AI166" s="218"/>
      <c r="AJ166" s="218"/>
      <c r="AK166" s="218"/>
      <c r="AL166" s="218"/>
      <c r="AM166" s="218"/>
      <c r="AN166" s="218"/>
      <c r="AO166" s="218"/>
      <c r="AP166" s="218"/>
      <c r="AQ166" s="218"/>
      <c r="AR166" s="218"/>
      <c r="AS166" s="218"/>
      <c r="AT166" s="218"/>
      <c r="AU166" s="218"/>
      <c r="AV166" s="218"/>
      <c r="AW166" s="218"/>
      <c r="AX166" s="218"/>
      <c r="AY166" s="218"/>
      <c r="AZ166" s="218"/>
      <c r="BA166" s="218"/>
      <c r="BB166" s="218"/>
      <c r="BC166" s="218"/>
      <c r="BD166" s="218"/>
      <c r="BE166" s="218"/>
      <c r="BF166" s="218"/>
      <c r="BG166" s="218"/>
      <c r="BH166" s="218"/>
      <c r="BI166" s="218"/>
      <c r="BJ166" s="218"/>
      <c r="BK166" s="218"/>
      <c r="BL166" s="218"/>
      <c r="BM166" s="218"/>
      <c r="BN166" s="218"/>
      <c r="BO166" s="218"/>
      <c r="BP166" s="218"/>
      <c r="BQ166" s="218"/>
      <c r="BR166" s="218"/>
      <c r="BS166" s="218"/>
      <c r="BT166" s="218"/>
      <c r="BU166" s="218"/>
      <c r="BV166" s="218"/>
      <c r="BW166" s="218"/>
      <c r="BX166" s="218"/>
      <c r="BY166" s="218"/>
      <c r="BZ166" s="218"/>
      <c r="CA166" s="218"/>
      <c r="CB166" s="218"/>
      <c r="CC166" s="218"/>
      <c r="CD166" s="218"/>
      <c r="CE166" s="218"/>
      <c r="CF166" s="218"/>
      <c r="CG166" s="218"/>
      <c r="CH166" s="218"/>
      <c r="CI166" s="218"/>
      <c r="CJ166" s="218"/>
      <c r="CK166" s="218"/>
      <c r="CL166" s="218"/>
      <c r="CM166" s="218"/>
    </row>
    <row r="167" spans="1:91" hidden="1" x14ac:dyDescent="0.2">
      <c r="A167" s="427"/>
      <c r="B167" s="156" t="str">
        <f>Capacidades!M159</f>
        <v xml:space="preserve">   </v>
      </c>
      <c r="C167" s="157"/>
      <c r="D167" s="16"/>
      <c r="E167" s="16"/>
      <c r="F167" s="16"/>
      <c r="G167" s="16"/>
      <c r="H167" s="16"/>
      <c r="I167" s="16"/>
      <c r="J167" s="16"/>
      <c r="K167" s="16"/>
      <c r="L167" s="447"/>
      <c r="M167" s="292" t="str">
        <f t="shared" si="2"/>
        <v xml:space="preserve">   </v>
      </c>
      <c r="N167" s="218"/>
      <c r="O167" s="218"/>
      <c r="P167" s="218"/>
      <c r="Q167" s="218"/>
      <c r="R167" s="218"/>
      <c r="S167" s="218"/>
      <c r="T167" s="218"/>
      <c r="U167" s="218"/>
      <c r="V167" s="218"/>
      <c r="W167" s="218"/>
      <c r="X167" s="218"/>
      <c r="Y167" s="218"/>
      <c r="Z167" s="218"/>
      <c r="AA167" s="218"/>
      <c r="AB167" s="218"/>
      <c r="AC167" s="218"/>
      <c r="AD167" s="218"/>
      <c r="AE167" s="218"/>
      <c r="AF167" s="218"/>
      <c r="AG167" s="218"/>
      <c r="AH167" s="218"/>
      <c r="AI167" s="218"/>
      <c r="AJ167" s="218"/>
      <c r="AK167" s="218"/>
      <c r="AL167" s="218"/>
      <c r="AM167" s="218"/>
      <c r="AN167" s="218"/>
      <c r="AO167" s="218"/>
      <c r="AP167" s="218"/>
      <c r="AQ167" s="218"/>
      <c r="AR167" s="218"/>
      <c r="AS167" s="218"/>
      <c r="AT167" s="218"/>
      <c r="AU167" s="218"/>
      <c r="AV167" s="218"/>
      <c r="AW167" s="218"/>
      <c r="AX167" s="218"/>
      <c r="AY167" s="218"/>
      <c r="AZ167" s="218"/>
      <c r="BA167" s="218"/>
      <c r="BB167" s="218"/>
      <c r="BC167" s="218"/>
      <c r="BD167" s="218"/>
      <c r="BE167" s="218"/>
      <c r="BF167" s="218"/>
      <c r="BG167" s="218"/>
      <c r="BH167" s="218"/>
      <c r="BI167" s="218"/>
      <c r="BJ167" s="218"/>
      <c r="BK167" s="218"/>
      <c r="BL167" s="218"/>
      <c r="BM167" s="218"/>
      <c r="BN167" s="218"/>
      <c r="BO167" s="218"/>
      <c r="BP167" s="218"/>
      <c r="BQ167" s="218"/>
      <c r="BR167" s="218"/>
      <c r="BS167" s="218"/>
      <c r="BT167" s="218"/>
      <c r="BU167" s="218"/>
      <c r="BV167" s="218"/>
      <c r="BW167" s="218"/>
      <c r="BX167" s="218"/>
      <c r="BY167" s="218"/>
      <c r="BZ167" s="218"/>
      <c r="CA167" s="218"/>
      <c r="CB167" s="218"/>
      <c r="CC167" s="218"/>
      <c r="CD167" s="218"/>
      <c r="CE167" s="218"/>
      <c r="CF167" s="218"/>
      <c r="CG167" s="218"/>
      <c r="CH167" s="218"/>
      <c r="CI167" s="218"/>
      <c r="CJ167" s="218"/>
      <c r="CK167" s="218"/>
      <c r="CL167" s="218"/>
      <c r="CM167" s="218"/>
    </row>
    <row r="168" spans="1:91" hidden="1" x14ac:dyDescent="0.2">
      <c r="A168" s="425" t="str">
        <f>Capacidades!L160</f>
        <v xml:space="preserve">       </v>
      </c>
      <c r="B168" s="156" t="str">
        <f>Capacidades!M160</f>
        <v xml:space="preserve">   </v>
      </c>
      <c r="C168" s="157"/>
      <c r="D168" s="12">
        <f>Organización_Modular!F25</f>
        <v>0</v>
      </c>
      <c r="E168" s="12">
        <f>Organización_Modular!G25</f>
        <v>0</v>
      </c>
      <c r="F168" s="12">
        <f>Organización_Modular!H25</f>
        <v>0</v>
      </c>
      <c r="G168" s="12">
        <f>Organización_Modular!I25</f>
        <v>0</v>
      </c>
      <c r="H168" s="12">
        <f>SUM(F168:G168)</f>
        <v>0</v>
      </c>
      <c r="I168" s="12">
        <f>F168*16</f>
        <v>0</v>
      </c>
      <c r="J168" s="12">
        <f>G168*32</f>
        <v>0</v>
      </c>
      <c r="K168" s="12">
        <f>SUM(I168:J168)</f>
        <v>0</v>
      </c>
      <c r="L168" s="445"/>
      <c r="M168" s="292" t="str">
        <f t="shared" si="2"/>
        <v xml:space="preserve">   </v>
      </c>
      <c r="N168" s="218"/>
      <c r="O168" s="218"/>
      <c r="P168" s="218"/>
      <c r="Q168" s="218"/>
      <c r="R168" s="218"/>
      <c r="S168" s="218"/>
      <c r="T168" s="218"/>
      <c r="U168" s="218"/>
      <c r="V168" s="218"/>
      <c r="W168" s="218"/>
      <c r="X168" s="218"/>
      <c r="Y168" s="218"/>
      <c r="Z168" s="218"/>
      <c r="AA168" s="218"/>
      <c r="AB168" s="218"/>
      <c r="AC168" s="218"/>
      <c r="AD168" s="218"/>
      <c r="AE168" s="218"/>
      <c r="AF168" s="218"/>
      <c r="AG168" s="218"/>
      <c r="AH168" s="218"/>
      <c r="AI168" s="218"/>
      <c r="AJ168" s="218"/>
      <c r="AK168" s="218"/>
      <c r="AL168" s="218"/>
      <c r="AM168" s="218"/>
      <c r="AN168" s="218"/>
      <c r="AO168" s="218"/>
      <c r="AP168" s="218"/>
      <c r="AQ168" s="218"/>
      <c r="AR168" s="218"/>
      <c r="AS168" s="218"/>
      <c r="AT168" s="218"/>
      <c r="AU168" s="218"/>
      <c r="AV168" s="218"/>
      <c r="AW168" s="218"/>
      <c r="AX168" s="218"/>
      <c r="AY168" s="218"/>
      <c r="AZ168" s="218"/>
      <c r="BA168" s="218"/>
      <c r="BB168" s="218"/>
      <c r="BC168" s="218"/>
      <c r="BD168" s="218"/>
      <c r="BE168" s="218"/>
      <c r="BF168" s="218"/>
      <c r="BG168" s="218"/>
      <c r="BH168" s="218"/>
      <c r="BI168" s="218"/>
      <c r="BJ168" s="218"/>
      <c r="BK168" s="218"/>
      <c r="BL168" s="218"/>
      <c r="BM168" s="218"/>
      <c r="BN168" s="218"/>
      <c r="BO168" s="218"/>
      <c r="BP168" s="218"/>
      <c r="BQ168" s="218"/>
      <c r="BR168" s="218"/>
      <c r="BS168" s="218"/>
      <c r="BT168" s="218"/>
      <c r="BU168" s="218"/>
      <c r="BV168" s="218"/>
      <c r="BW168" s="218"/>
      <c r="BX168" s="218"/>
      <c r="BY168" s="218"/>
      <c r="BZ168" s="218"/>
      <c r="CA168" s="218"/>
      <c r="CB168" s="218"/>
      <c r="CC168" s="218"/>
      <c r="CD168" s="218"/>
      <c r="CE168" s="218"/>
      <c r="CF168" s="218"/>
      <c r="CG168" s="218"/>
      <c r="CH168" s="218"/>
      <c r="CI168" s="218"/>
      <c r="CJ168" s="218"/>
      <c r="CK168" s="218"/>
      <c r="CL168" s="218"/>
      <c r="CM168" s="218"/>
    </row>
    <row r="169" spans="1:91" hidden="1" x14ac:dyDescent="0.2">
      <c r="A169" s="426"/>
      <c r="B169" s="156" t="str">
        <f>Capacidades!M161</f>
        <v xml:space="preserve">   </v>
      </c>
      <c r="C169" s="157"/>
      <c r="D169" s="14"/>
      <c r="E169" s="14"/>
      <c r="F169" s="14"/>
      <c r="G169" s="14"/>
      <c r="H169" s="14"/>
      <c r="I169" s="14"/>
      <c r="J169" s="14"/>
      <c r="K169" s="14"/>
      <c r="L169" s="446"/>
      <c r="M169" s="292" t="str">
        <f t="shared" si="2"/>
        <v xml:space="preserve">   </v>
      </c>
      <c r="N169" s="218"/>
      <c r="O169" s="218"/>
      <c r="P169" s="218"/>
      <c r="Q169" s="218"/>
      <c r="R169" s="218"/>
      <c r="S169" s="218"/>
      <c r="T169" s="218"/>
      <c r="U169" s="218"/>
      <c r="V169" s="218"/>
      <c r="W169" s="218"/>
      <c r="X169" s="218"/>
      <c r="Y169" s="218"/>
      <c r="Z169" s="218"/>
      <c r="AA169" s="218"/>
      <c r="AB169" s="218"/>
      <c r="AC169" s="218"/>
      <c r="AD169" s="218"/>
      <c r="AE169" s="218"/>
      <c r="AF169" s="218"/>
      <c r="AG169" s="218"/>
      <c r="AH169" s="218"/>
      <c r="AI169" s="218"/>
      <c r="AJ169" s="218"/>
      <c r="AK169" s="218"/>
      <c r="AL169" s="218"/>
      <c r="AM169" s="218"/>
      <c r="AN169" s="218"/>
      <c r="AO169" s="218"/>
      <c r="AP169" s="218"/>
      <c r="AQ169" s="218"/>
      <c r="AR169" s="218"/>
      <c r="AS169" s="218"/>
      <c r="AT169" s="218"/>
      <c r="AU169" s="218"/>
      <c r="AV169" s="218"/>
      <c r="AW169" s="218"/>
      <c r="AX169" s="218"/>
      <c r="AY169" s="218"/>
      <c r="AZ169" s="218"/>
      <c r="BA169" s="218"/>
      <c r="BB169" s="218"/>
      <c r="BC169" s="218"/>
      <c r="BD169" s="218"/>
      <c r="BE169" s="218"/>
      <c r="BF169" s="218"/>
      <c r="BG169" s="218"/>
      <c r="BH169" s="218"/>
      <c r="BI169" s="218"/>
      <c r="BJ169" s="218"/>
      <c r="BK169" s="218"/>
      <c r="BL169" s="218"/>
      <c r="BM169" s="218"/>
      <c r="BN169" s="218"/>
      <c r="BO169" s="218"/>
      <c r="BP169" s="218"/>
      <c r="BQ169" s="218"/>
      <c r="BR169" s="218"/>
      <c r="BS169" s="218"/>
      <c r="BT169" s="218"/>
      <c r="BU169" s="218"/>
      <c r="BV169" s="218"/>
      <c r="BW169" s="218"/>
      <c r="BX169" s="218"/>
      <c r="BY169" s="218"/>
      <c r="BZ169" s="218"/>
      <c r="CA169" s="218"/>
      <c r="CB169" s="218"/>
      <c r="CC169" s="218"/>
      <c r="CD169" s="218"/>
      <c r="CE169" s="218"/>
      <c r="CF169" s="218"/>
      <c r="CG169" s="218"/>
      <c r="CH169" s="218"/>
      <c r="CI169" s="218"/>
      <c r="CJ169" s="218"/>
      <c r="CK169" s="218"/>
      <c r="CL169" s="218"/>
      <c r="CM169" s="218"/>
    </row>
    <row r="170" spans="1:91" hidden="1" x14ac:dyDescent="0.2">
      <c r="A170" s="426"/>
      <c r="B170" s="156" t="str">
        <f>Capacidades!M162</f>
        <v xml:space="preserve">   </v>
      </c>
      <c r="C170" s="157"/>
      <c r="D170" s="14"/>
      <c r="E170" s="14"/>
      <c r="F170" s="14"/>
      <c r="G170" s="14"/>
      <c r="H170" s="14"/>
      <c r="I170" s="14"/>
      <c r="J170" s="14"/>
      <c r="K170" s="14"/>
      <c r="L170" s="446"/>
      <c r="M170" s="292" t="str">
        <f t="shared" si="2"/>
        <v xml:space="preserve">   </v>
      </c>
      <c r="N170" s="218"/>
      <c r="O170" s="218"/>
      <c r="P170" s="218"/>
      <c r="Q170" s="218"/>
      <c r="R170" s="218"/>
      <c r="S170" s="218"/>
      <c r="T170" s="218"/>
      <c r="U170" s="218"/>
      <c r="V170" s="218"/>
      <c r="W170" s="218"/>
      <c r="X170" s="218"/>
      <c r="Y170" s="218"/>
      <c r="Z170" s="218"/>
      <c r="AA170" s="218"/>
      <c r="AB170" s="218"/>
      <c r="AC170" s="218"/>
      <c r="AD170" s="218"/>
      <c r="AE170" s="218"/>
      <c r="AF170" s="218"/>
      <c r="AG170" s="218"/>
      <c r="AH170" s="218"/>
      <c r="AI170" s="218"/>
      <c r="AJ170" s="218"/>
      <c r="AK170" s="218"/>
      <c r="AL170" s="218"/>
      <c r="AM170" s="218"/>
      <c r="AN170" s="218"/>
      <c r="AO170" s="218"/>
      <c r="AP170" s="218"/>
      <c r="AQ170" s="218"/>
      <c r="AR170" s="218"/>
      <c r="AS170" s="218"/>
      <c r="AT170" s="218"/>
      <c r="AU170" s="218"/>
      <c r="AV170" s="218"/>
      <c r="AW170" s="218"/>
      <c r="AX170" s="218"/>
      <c r="AY170" s="218"/>
      <c r="AZ170" s="218"/>
      <c r="BA170" s="218"/>
      <c r="BB170" s="218"/>
      <c r="BC170" s="218"/>
      <c r="BD170" s="218"/>
      <c r="BE170" s="218"/>
      <c r="BF170" s="218"/>
      <c r="BG170" s="218"/>
      <c r="BH170" s="218"/>
      <c r="BI170" s="218"/>
      <c r="BJ170" s="218"/>
      <c r="BK170" s="218"/>
      <c r="BL170" s="218"/>
      <c r="BM170" s="218"/>
      <c r="BN170" s="218"/>
      <c r="BO170" s="218"/>
      <c r="BP170" s="218"/>
      <c r="BQ170" s="218"/>
      <c r="BR170" s="218"/>
      <c r="BS170" s="218"/>
      <c r="BT170" s="218"/>
      <c r="BU170" s="218"/>
      <c r="BV170" s="218"/>
      <c r="BW170" s="218"/>
      <c r="BX170" s="218"/>
      <c r="BY170" s="218"/>
      <c r="BZ170" s="218"/>
      <c r="CA170" s="218"/>
      <c r="CB170" s="218"/>
      <c r="CC170" s="218"/>
      <c r="CD170" s="218"/>
      <c r="CE170" s="218"/>
      <c r="CF170" s="218"/>
      <c r="CG170" s="218"/>
      <c r="CH170" s="218"/>
      <c r="CI170" s="218"/>
      <c r="CJ170" s="218"/>
      <c r="CK170" s="218"/>
      <c r="CL170" s="218"/>
      <c r="CM170" s="218"/>
    </row>
    <row r="171" spans="1:91" hidden="1" x14ac:dyDescent="0.2">
      <c r="A171" s="426"/>
      <c r="B171" s="156" t="str">
        <f>Capacidades!M163</f>
        <v xml:space="preserve">   </v>
      </c>
      <c r="C171" s="157"/>
      <c r="D171" s="14"/>
      <c r="E171" s="14"/>
      <c r="F171" s="14"/>
      <c r="G171" s="14"/>
      <c r="H171" s="14"/>
      <c r="I171" s="14"/>
      <c r="J171" s="14"/>
      <c r="K171" s="14"/>
      <c r="L171" s="446"/>
      <c r="M171" s="292" t="str">
        <f t="shared" si="2"/>
        <v xml:space="preserve">   </v>
      </c>
      <c r="N171" s="218"/>
      <c r="O171" s="218"/>
      <c r="P171" s="218"/>
      <c r="Q171" s="218"/>
      <c r="R171" s="218"/>
      <c r="S171" s="218"/>
      <c r="T171" s="218"/>
      <c r="U171" s="218"/>
      <c r="V171" s="218"/>
      <c r="W171" s="218"/>
      <c r="X171" s="218"/>
      <c r="Y171" s="218"/>
      <c r="Z171" s="218"/>
      <c r="AA171" s="218"/>
      <c r="AB171" s="218"/>
      <c r="AC171" s="218"/>
      <c r="AD171" s="218"/>
      <c r="AE171" s="218"/>
      <c r="AF171" s="218"/>
      <c r="AG171" s="218"/>
      <c r="AH171" s="218"/>
      <c r="AI171" s="218"/>
      <c r="AJ171" s="218"/>
      <c r="AK171" s="218"/>
      <c r="AL171" s="218"/>
      <c r="AM171" s="218"/>
      <c r="AN171" s="218"/>
      <c r="AO171" s="218"/>
      <c r="AP171" s="218"/>
      <c r="AQ171" s="218"/>
      <c r="AR171" s="218"/>
      <c r="AS171" s="218"/>
      <c r="AT171" s="218"/>
      <c r="AU171" s="218"/>
      <c r="AV171" s="218"/>
      <c r="AW171" s="218"/>
      <c r="AX171" s="218"/>
      <c r="AY171" s="218"/>
      <c r="AZ171" s="218"/>
      <c r="BA171" s="218"/>
      <c r="BB171" s="218"/>
      <c r="BC171" s="218"/>
      <c r="BD171" s="218"/>
      <c r="BE171" s="218"/>
      <c r="BF171" s="218"/>
      <c r="BG171" s="218"/>
      <c r="BH171" s="218"/>
      <c r="BI171" s="218"/>
      <c r="BJ171" s="218"/>
      <c r="BK171" s="218"/>
      <c r="BL171" s="218"/>
      <c r="BM171" s="218"/>
      <c r="BN171" s="218"/>
      <c r="BO171" s="218"/>
      <c r="BP171" s="218"/>
      <c r="BQ171" s="218"/>
      <c r="BR171" s="218"/>
      <c r="BS171" s="218"/>
      <c r="BT171" s="218"/>
      <c r="BU171" s="218"/>
      <c r="BV171" s="218"/>
      <c r="BW171" s="218"/>
      <c r="BX171" s="218"/>
      <c r="BY171" s="218"/>
      <c r="BZ171" s="218"/>
      <c r="CA171" s="218"/>
      <c r="CB171" s="218"/>
      <c r="CC171" s="218"/>
      <c r="CD171" s="218"/>
      <c r="CE171" s="218"/>
      <c r="CF171" s="218"/>
      <c r="CG171" s="218"/>
      <c r="CH171" s="218"/>
      <c r="CI171" s="218"/>
      <c r="CJ171" s="218"/>
      <c r="CK171" s="218"/>
      <c r="CL171" s="218"/>
      <c r="CM171" s="218"/>
    </row>
    <row r="172" spans="1:91" hidden="1" x14ac:dyDescent="0.2">
      <c r="A172" s="426"/>
      <c r="B172" s="156" t="str">
        <f>Capacidades!M164</f>
        <v xml:space="preserve">   </v>
      </c>
      <c r="C172" s="157"/>
      <c r="D172" s="14"/>
      <c r="E172" s="14"/>
      <c r="F172" s="14"/>
      <c r="G172" s="14"/>
      <c r="H172" s="14"/>
      <c r="I172" s="14"/>
      <c r="J172" s="14"/>
      <c r="K172" s="14"/>
      <c r="L172" s="446"/>
      <c r="M172" s="292" t="str">
        <f t="shared" si="2"/>
        <v xml:space="preserve">   </v>
      </c>
      <c r="N172" s="218"/>
      <c r="O172" s="218"/>
      <c r="P172" s="218"/>
      <c r="Q172" s="218"/>
      <c r="R172" s="218"/>
      <c r="S172" s="218"/>
      <c r="T172" s="218"/>
      <c r="U172" s="218"/>
      <c r="V172" s="218"/>
      <c r="W172" s="218"/>
      <c r="X172" s="218"/>
      <c r="Y172" s="218"/>
      <c r="Z172" s="218"/>
      <c r="AA172" s="218"/>
      <c r="AB172" s="218"/>
      <c r="AC172" s="218"/>
      <c r="AD172" s="218"/>
      <c r="AE172" s="218"/>
      <c r="AF172" s="218"/>
      <c r="AG172" s="218"/>
      <c r="AH172" s="218"/>
      <c r="AI172" s="218"/>
      <c r="AJ172" s="218"/>
      <c r="AK172" s="218"/>
      <c r="AL172" s="218"/>
      <c r="AM172" s="218"/>
      <c r="AN172" s="218"/>
      <c r="AO172" s="218"/>
      <c r="AP172" s="218"/>
      <c r="AQ172" s="218"/>
      <c r="AR172" s="218"/>
      <c r="AS172" s="218"/>
      <c r="AT172" s="218"/>
      <c r="AU172" s="218"/>
      <c r="AV172" s="218"/>
      <c r="AW172" s="218"/>
      <c r="AX172" s="218"/>
      <c r="AY172" s="218"/>
      <c r="AZ172" s="218"/>
      <c r="BA172" s="218"/>
      <c r="BB172" s="218"/>
      <c r="BC172" s="218"/>
      <c r="BD172" s="218"/>
      <c r="BE172" s="218"/>
      <c r="BF172" s="218"/>
      <c r="BG172" s="218"/>
      <c r="BH172" s="218"/>
      <c r="BI172" s="218"/>
      <c r="BJ172" s="218"/>
      <c r="BK172" s="218"/>
      <c r="BL172" s="218"/>
      <c r="BM172" s="218"/>
      <c r="BN172" s="218"/>
      <c r="BO172" s="218"/>
      <c r="BP172" s="218"/>
      <c r="BQ172" s="218"/>
      <c r="BR172" s="218"/>
      <c r="BS172" s="218"/>
      <c r="BT172" s="218"/>
      <c r="BU172" s="218"/>
      <c r="BV172" s="218"/>
      <c r="BW172" s="218"/>
      <c r="BX172" s="218"/>
      <c r="BY172" s="218"/>
      <c r="BZ172" s="218"/>
      <c r="CA172" s="218"/>
      <c r="CB172" s="218"/>
      <c r="CC172" s="218"/>
      <c r="CD172" s="218"/>
      <c r="CE172" s="218"/>
      <c r="CF172" s="218"/>
      <c r="CG172" s="218"/>
      <c r="CH172" s="218"/>
      <c r="CI172" s="218"/>
      <c r="CJ172" s="218"/>
      <c r="CK172" s="218"/>
      <c r="CL172" s="218"/>
      <c r="CM172" s="218"/>
    </row>
    <row r="173" spans="1:91" hidden="1" x14ac:dyDescent="0.2">
      <c r="A173" s="426"/>
      <c r="B173" s="156" t="str">
        <f>Capacidades!M165</f>
        <v xml:space="preserve">   </v>
      </c>
      <c r="C173" s="157"/>
      <c r="D173" s="14"/>
      <c r="E173" s="14"/>
      <c r="F173" s="14"/>
      <c r="G173" s="14"/>
      <c r="H173" s="14"/>
      <c r="I173" s="14"/>
      <c r="J173" s="14"/>
      <c r="K173" s="14"/>
      <c r="L173" s="446"/>
      <c r="M173" s="292" t="str">
        <f t="shared" si="2"/>
        <v xml:space="preserve">   </v>
      </c>
      <c r="N173" s="218"/>
      <c r="O173" s="218"/>
      <c r="P173" s="218"/>
      <c r="Q173" s="218"/>
      <c r="R173" s="218"/>
      <c r="S173" s="218"/>
      <c r="T173" s="218"/>
      <c r="U173" s="218"/>
      <c r="V173" s="218"/>
      <c r="W173" s="218"/>
      <c r="X173" s="218"/>
      <c r="Y173" s="218"/>
      <c r="Z173" s="218"/>
      <c r="AA173" s="218"/>
      <c r="AB173" s="218"/>
      <c r="AC173" s="218"/>
      <c r="AD173" s="218"/>
      <c r="AE173" s="218"/>
      <c r="AF173" s="218"/>
      <c r="AG173" s="218"/>
      <c r="AH173" s="218"/>
      <c r="AI173" s="218"/>
      <c r="AJ173" s="218"/>
      <c r="AK173" s="218"/>
      <c r="AL173" s="218"/>
      <c r="AM173" s="218"/>
      <c r="AN173" s="218"/>
      <c r="AO173" s="218"/>
      <c r="AP173" s="218"/>
      <c r="AQ173" s="218"/>
      <c r="AR173" s="218"/>
      <c r="AS173" s="218"/>
      <c r="AT173" s="218"/>
      <c r="AU173" s="218"/>
      <c r="AV173" s="218"/>
      <c r="AW173" s="218"/>
      <c r="AX173" s="218"/>
      <c r="AY173" s="218"/>
      <c r="AZ173" s="218"/>
      <c r="BA173" s="218"/>
      <c r="BB173" s="218"/>
      <c r="BC173" s="218"/>
      <c r="BD173" s="218"/>
      <c r="BE173" s="218"/>
      <c r="BF173" s="218"/>
      <c r="BG173" s="218"/>
      <c r="BH173" s="218"/>
      <c r="BI173" s="218"/>
      <c r="BJ173" s="218"/>
      <c r="BK173" s="218"/>
      <c r="BL173" s="218"/>
      <c r="BM173" s="218"/>
      <c r="BN173" s="218"/>
      <c r="BO173" s="218"/>
      <c r="BP173" s="218"/>
      <c r="BQ173" s="218"/>
      <c r="BR173" s="218"/>
      <c r="BS173" s="218"/>
      <c r="BT173" s="218"/>
      <c r="BU173" s="218"/>
      <c r="BV173" s="218"/>
      <c r="BW173" s="218"/>
      <c r="BX173" s="218"/>
      <c r="BY173" s="218"/>
      <c r="BZ173" s="218"/>
      <c r="CA173" s="218"/>
      <c r="CB173" s="218"/>
      <c r="CC173" s="218"/>
      <c r="CD173" s="218"/>
      <c r="CE173" s="218"/>
      <c r="CF173" s="218"/>
      <c r="CG173" s="218"/>
      <c r="CH173" s="218"/>
      <c r="CI173" s="218"/>
      <c r="CJ173" s="218"/>
      <c r="CK173" s="218"/>
      <c r="CL173" s="218"/>
      <c r="CM173" s="218"/>
    </row>
    <row r="174" spans="1:91" hidden="1" x14ac:dyDescent="0.2">
      <c r="A174" s="426"/>
      <c r="B174" s="156" t="str">
        <f>Capacidades!M166</f>
        <v xml:space="preserve">   </v>
      </c>
      <c r="C174" s="157"/>
      <c r="D174" s="14"/>
      <c r="E174" s="14"/>
      <c r="F174" s="14"/>
      <c r="G174" s="14"/>
      <c r="H174" s="14"/>
      <c r="I174" s="14"/>
      <c r="J174" s="14"/>
      <c r="K174" s="14"/>
      <c r="L174" s="446"/>
      <c r="M174" s="292" t="str">
        <f t="shared" si="2"/>
        <v xml:space="preserve">   </v>
      </c>
      <c r="N174" s="218"/>
      <c r="O174" s="218"/>
      <c r="P174" s="218"/>
      <c r="Q174" s="218"/>
      <c r="R174" s="218"/>
      <c r="S174" s="218"/>
      <c r="T174" s="218"/>
      <c r="U174" s="218"/>
      <c r="V174" s="218"/>
      <c r="W174" s="218"/>
      <c r="X174" s="218"/>
      <c r="Y174" s="218"/>
      <c r="Z174" s="218"/>
      <c r="AA174" s="218"/>
      <c r="AB174" s="218"/>
      <c r="AC174" s="218"/>
      <c r="AD174" s="218"/>
      <c r="AE174" s="218"/>
      <c r="AF174" s="218"/>
      <c r="AG174" s="218"/>
      <c r="AH174" s="218"/>
      <c r="AI174" s="218"/>
      <c r="AJ174" s="218"/>
      <c r="AK174" s="218"/>
      <c r="AL174" s="218"/>
      <c r="AM174" s="218"/>
      <c r="AN174" s="218"/>
      <c r="AO174" s="218"/>
      <c r="AP174" s="218"/>
      <c r="AQ174" s="218"/>
      <c r="AR174" s="218"/>
      <c r="AS174" s="218"/>
      <c r="AT174" s="218"/>
      <c r="AU174" s="218"/>
      <c r="AV174" s="218"/>
      <c r="AW174" s="218"/>
      <c r="AX174" s="218"/>
      <c r="AY174" s="218"/>
      <c r="AZ174" s="218"/>
      <c r="BA174" s="218"/>
      <c r="BB174" s="218"/>
      <c r="BC174" s="218"/>
      <c r="BD174" s="218"/>
      <c r="BE174" s="218"/>
      <c r="BF174" s="218"/>
      <c r="BG174" s="218"/>
      <c r="BH174" s="218"/>
      <c r="BI174" s="218"/>
      <c r="BJ174" s="218"/>
      <c r="BK174" s="218"/>
      <c r="BL174" s="218"/>
      <c r="BM174" s="218"/>
      <c r="BN174" s="218"/>
      <c r="BO174" s="218"/>
      <c r="BP174" s="218"/>
      <c r="BQ174" s="218"/>
      <c r="BR174" s="218"/>
      <c r="BS174" s="218"/>
      <c r="BT174" s="218"/>
      <c r="BU174" s="218"/>
      <c r="BV174" s="218"/>
      <c r="BW174" s="218"/>
      <c r="BX174" s="218"/>
      <c r="BY174" s="218"/>
      <c r="BZ174" s="218"/>
      <c r="CA174" s="218"/>
      <c r="CB174" s="218"/>
      <c r="CC174" s="218"/>
      <c r="CD174" s="218"/>
      <c r="CE174" s="218"/>
      <c r="CF174" s="218"/>
      <c r="CG174" s="218"/>
      <c r="CH174" s="218"/>
      <c r="CI174" s="218"/>
      <c r="CJ174" s="218"/>
      <c r="CK174" s="218"/>
      <c r="CL174" s="218"/>
      <c r="CM174" s="218"/>
    </row>
    <row r="175" spans="1:91" hidden="1" x14ac:dyDescent="0.2">
      <c r="A175" s="426"/>
      <c r="B175" s="156" t="str">
        <f>Capacidades!M167</f>
        <v xml:space="preserve">   </v>
      </c>
      <c r="C175" s="157"/>
      <c r="D175" s="14"/>
      <c r="E175" s="14"/>
      <c r="F175" s="14"/>
      <c r="G175" s="14"/>
      <c r="H175" s="14"/>
      <c r="I175" s="14"/>
      <c r="J175" s="14"/>
      <c r="K175" s="14"/>
      <c r="L175" s="446"/>
      <c r="M175" s="292" t="str">
        <f t="shared" si="2"/>
        <v xml:space="preserve">   </v>
      </c>
      <c r="N175" s="218"/>
      <c r="O175" s="218"/>
      <c r="P175" s="218"/>
      <c r="Q175" s="218"/>
      <c r="R175" s="218"/>
      <c r="S175" s="218"/>
      <c r="T175" s="218"/>
      <c r="U175" s="218"/>
      <c r="V175" s="218"/>
      <c r="W175" s="218"/>
      <c r="X175" s="218"/>
      <c r="Y175" s="218"/>
      <c r="Z175" s="218"/>
      <c r="AA175" s="218"/>
      <c r="AB175" s="218"/>
      <c r="AC175" s="218"/>
      <c r="AD175" s="218"/>
      <c r="AE175" s="218"/>
      <c r="AF175" s="218"/>
      <c r="AG175" s="218"/>
      <c r="AH175" s="218"/>
      <c r="AI175" s="218"/>
      <c r="AJ175" s="218"/>
      <c r="AK175" s="218"/>
      <c r="AL175" s="218"/>
      <c r="AM175" s="218"/>
      <c r="AN175" s="218"/>
      <c r="AO175" s="218"/>
      <c r="AP175" s="218"/>
      <c r="AQ175" s="218"/>
      <c r="AR175" s="218"/>
      <c r="AS175" s="218"/>
      <c r="AT175" s="218"/>
      <c r="AU175" s="218"/>
      <c r="AV175" s="218"/>
      <c r="AW175" s="218"/>
      <c r="AX175" s="218"/>
      <c r="AY175" s="218"/>
      <c r="AZ175" s="218"/>
      <c r="BA175" s="218"/>
      <c r="BB175" s="218"/>
      <c r="BC175" s="218"/>
      <c r="BD175" s="218"/>
      <c r="BE175" s="218"/>
      <c r="BF175" s="218"/>
      <c r="BG175" s="218"/>
      <c r="BH175" s="218"/>
      <c r="BI175" s="218"/>
      <c r="BJ175" s="218"/>
      <c r="BK175" s="218"/>
      <c r="BL175" s="218"/>
      <c r="BM175" s="218"/>
      <c r="BN175" s="218"/>
      <c r="BO175" s="218"/>
      <c r="BP175" s="218"/>
      <c r="BQ175" s="218"/>
      <c r="BR175" s="218"/>
      <c r="BS175" s="218"/>
      <c r="BT175" s="218"/>
      <c r="BU175" s="218"/>
      <c r="BV175" s="218"/>
      <c r="BW175" s="218"/>
      <c r="BX175" s="218"/>
      <c r="BY175" s="218"/>
      <c r="BZ175" s="218"/>
      <c r="CA175" s="218"/>
      <c r="CB175" s="218"/>
      <c r="CC175" s="218"/>
      <c r="CD175" s="218"/>
      <c r="CE175" s="218"/>
      <c r="CF175" s="218"/>
      <c r="CG175" s="218"/>
      <c r="CH175" s="218"/>
      <c r="CI175" s="218"/>
      <c r="CJ175" s="218"/>
      <c r="CK175" s="218"/>
      <c r="CL175" s="218"/>
      <c r="CM175" s="218"/>
    </row>
    <row r="176" spans="1:91" hidden="1" x14ac:dyDescent="0.2">
      <c r="A176" s="426"/>
      <c r="B176" s="156" t="str">
        <f>Capacidades!M168</f>
        <v xml:space="preserve">   </v>
      </c>
      <c r="C176" s="157"/>
      <c r="D176" s="14"/>
      <c r="E176" s="14"/>
      <c r="F176" s="14"/>
      <c r="G176" s="14"/>
      <c r="H176" s="14"/>
      <c r="I176" s="14"/>
      <c r="J176" s="14"/>
      <c r="K176" s="14"/>
      <c r="L176" s="446"/>
      <c r="M176" s="292" t="str">
        <f t="shared" si="2"/>
        <v xml:space="preserve">   </v>
      </c>
      <c r="N176" s="218"/>
      <c r="O176" s="218"/>
      <c r="P176" s="218"/>
      <c r="Q176" s="218"/>
      <c r="R176" s="218"/>
      <c r="S176" s="218"/>
      <c r="T176" s="218"/>
      <c r="U176" s="218"/>
      <c r="V176" s="218"/>
      <c r="W176" s="218"/>
      <c r="X176" s="218"/>
      <c r="Y176" s="218"/>
      <c r="Z176" s="218"/>
      <c r="AA176" s="218"/>
      <c r="AB176" s="218"/>
      <c r="AC176" s="218"/>
      <c r="AD176" s="218"/>
      <c r="AE176" s="218"/>
      <c r="AF176" s="218"/>
      <c r="AG176" s="218"/>
      <c r="AH176" s="218"/>
      <c r="AI176" s="218"/>
      <c r="AJ176" s="218"/>
      <c r="AK176" s="218"/>
      <c r="AL176" s="218"/>
      <c r="AM176" s="218"/>
      <c r="AN176" s="218"/>
      <c r="AO176" s="218"/>
      <c r="AP176" s="218"/>
      <c r="AQ176" s="218"/>
      <c r="AR176" s="218"/>
      <c r="AS176" s="218"/>
      <c r="AT176" s="218"/>
      <c r="AU176" s="218"/>
      <c r="AV176" s="218"/>
      <c r="AW176" s="218"/>
      <c r="AX176" s="218"/>
      <c r="AY176" s="218"/>
      <c r="AZ176" s="218"/>
      <c r="BA176" s="218"/>
      <c r="BB176" s="218"/>
      <c r="BC176" s="218"/>
      <c r="BD176" s="218"/>
      <c r="BE176" s="218"/>
      <c r="BF176" s="218"/>
      <c r="BG176" s="218"/>
      <c r="BH176" s="218"/>
      <c r="BI176" s="218"/>
      <c r="BJ176" s="218"/>
      <c r="BK176" s="218"/>
      <c r="BL176" s="218"/>
      <c r="BM176" s="218"/>
      <c r="BN176" s="218"/>
      <c r="BO176" s="218"/>
      <c r="BP176" s="218"/>
      <c r="BQ176" s="218"/>
      <c r="BR176" s="218"/>
      <c r="BS176" s="218"/>
      <c r="BT176" s="218"/>
      <c r="BU176" s="218"/>
      <c r="BV176" s="218"/>
      <c r="BW176" s="218"/>
      <c r="BX176" s="218"/>
      <c r="BY176" s="218"/>
      <c r="BZ176" s="218"/>
      <c r="CA176" s="218"/>
      <c r="CB176" s="218"/>
      <c r="CC176" s="218"/>
      <c r="CD176" s="218"/>
      <c r="CE176" s="218"/>
      <c r="CF176" s="218"/>
      <c r="CG176" s="218"/>
      <c r="CH176" s="218"/>
      <c r="CI176" s="218"/>
      <c r="CJ176" s="218"/>
      <c r="CK176" s="218"/>
      <c r="CL176" s="218"/>
      <c r="CM176" s="218"/>
    </row>
    <row r="177" spans="1:91" hidden="1" x14ac:dyDescent="0.2">
      <c r="A177" s="427"/>
      <c r="B177" s="156" t="str">
        <f>Capacidades!M169</f>
        <v xml:space="preserve">   </v>
      </c>
      <c r="C177" s="157"/>
      <c r="D177" s="16"/>
      <c r="E177" s="16"/>
      <c r="F177" s="16"/>
      <c r="G177" s="16"/>
      <c r="H177" s="16"/>
      <c r="I177" s="16"/>
      <c r="J177" s="16"/>
      <c r="K177" s="16"/>
      <c r="L177" s="447"/>
      <c r="M177" s="292" t="str">
        <f t="shared" si="2"/>
        <v xml:space="preserve">   </v>
      </c>
      <c r="N177" s="218"/>
      <c r="O177" s="218"/>
      <c r="P177" s="218"/>
      <c r="Q177" s="218"/>
      <c r="R177" s="218"/>
      <c r="S177" s="218"/>
      <c r="T177" s="218"/>
      <c r="U177" s="218"/>
      <c r="V177" s="218"/>
      <c r="W177" s="218"/>
      <c r="X177" s="218"/>
      <c r="Y177" s="218"/>
      <c r="Z177" s="218"/>
      <c r="AA177" s="218"/>
      <c r="AB177" s="218"/>
      <c r="AC177" s="218"/>
      <c r="AD177" s="218"/>
      <c r="AE177" s="218"/>
      <c r="AF177" s="218"/>
      <c r="AG177" s="218"/>
      <c r="AH177" s="218"/>
      <c r="AI177" s="218"/>
      <c r="AJ177" s="218"/>
      <c r="AK177" s="218"/>
      <c r="AL177" s="218"/>
      <c r="AM177" s="218"/>
      <c r="AN177" s="218"/>
      <c r="AO177" s="218"/>
      <c r="AP177" s="218"/>
      <c r="AQ177" s="218"/>
      <c r="AR177" s="218"/>
      <c r="AS177" s="218"/>
      <c r="AT177" s="218"/>
      <c r="AU177" s="218"/>
      <c r="AV177" s="218"/>
      <c r="AW177" s="218"/>
      <c r="AX177" s="218"/>
      <c r="AY177" s="218"/>
      <c r="AZ177" s="218"/>
      <c r="BA177" s="218"/>
      <c r="BB177" s="218"/>
      <c r="BC177" s="218"/>
      <c r="BD177" s="218"/>
      <c r="BE177" s="218"/>
      <c r="BF177" s="218"/>
      <c r="BG177" s="218"/>
      <c r="BH177" s="218"/>
      <c r="BI177" s="218"/>
      <c r="BJ177" s="218"/>
      <c r="BK177" s="218"/>
      <c r="BL177" s="218"/>
      <c r="BM177" s="218"/>
      <c r="BN177" s="218"/>
      <c r="BO177" s="218"/>
      <c r="BP177" s="218"/>
      <c r="BQ177" s="218"/>
      <c r="BR177" s="218"/>
      <c r="BS177" s="218"/>
      <c r="BT177" s="218"/>
      <c r="BU177" s="218"/>
      <c r="BV177" s="218"/>
      <c r="BW177" s="218"/>
      <c r="BX177" s="218"/>
      <c r="BY177" s="218"/>
      <c r="BZ177" s="218"/>
      <c r="CA177" s="218"/>
      <c r="CB177" s="218"/>
      <c r="CC177" s="218"/>
      <c r="CD177" s="218"/>
      <c r="CE177" s="218"/>
      <c r="CF177" s="218"/>
      <c r="CG177" s="218"/>
      <c r="CH177" s="218"/>
      <c r="CI177" s="218"/>
      <c r="CJ177" s="218"/>
      <c r="CK177" s="218"/>
      <c r="CL177" s="218"/>
      <c r="CM177" s="218"/>
    </row>
    <row r="178" spans="1:91" hidden="1" x14ac:dyDescent="0.2">
      <c r="A178" s="425" t="str">
        <f>Capacidades!L170</f>
        <v xml:space="preserve">       </v>
      </c>
      <c r="B178" s="156" t="str">
        <f>Capacidades!M170</f>
        <v xml:space="preserve">   </v>
      </c>
      <c r="C178" s="157"/>
      <c r="D178" s="12">
        <f>Organización_Modular!F26</f>
        <v>0</v>
      </c>
      <c r="E178" s="12">
        <f>Organización_Modular!G26</f>
        <v>0</v>
      </c>
      <c r="F178" s="12">
        <f>Organización_Modular!H26</f>
        <v>0</v>
      </c>
      <c r="G178" s="12">
        <f>Organización_Modular!I26</f>
        <v>0</v>
      </c>
      <c r="H178" s="12">
        <f>SUM(F178:G178)</f>
        <v>0</v>
      </c>
      <c r="I178" s="12">
        <f>F178*16</f>
        <v>0</v>
      </c>
      <c r="J178" s="12">
        <f>G178*32</f>
        <v>0</v>
      </c>
      <c r="K178" s="12">
        <f>SUM(I178:J178)</f>
        <v>0</v>
      </c>
      <c r="L178" s="445"/>
      <c r="M178" s="292" t="str">
        <f t="shared" si="2"/>
        <v xml:space="preserve">   </v>
      </c>
      <c r="N178" s="218"/>
      <c r="O178" s="218"/>
      <c r="P178" s="218"/>
      <c r="Q178" s="218"/>
      <c r="R178" s="218"/>
      <c r="S178" s="218"/>
      <c r="T178" s="218"/>
      <c r="U178" s="218"/>
      <c r="V178" s="218"/>
      <c r="W178" s="218"/>
      <c r="X178" s="218"/>
      <c r="Y178" s="218"/>
      <c r="Z178" s="218"/>
      <c r="AA178" s="218"/>
      <c r="AB178" s="218"/>
      <c r="AC178" s="218"/>
      <c r="AD178" s="218"/>
      <c r="AE178" s="218"/>
      <c r="AF178" s="218"/>
      <c r="AG178" s="218"/>
      <c r="AH178" s="218"/>
      <c r="AI178" s="218"/>
      <c r="AJ178" s="218"/>
      <c r="AK178" s="218"/>
      <c r="AL178" s="218"/>
      <c r="AM178" s="218"/>
      <c r="AN178" s="218"/>
      <c r="AO178" s="218"/>
      <c r="AP178" s="218"/>
      <c r="AQ178" s="218"/>
      <c r="AR178" s="218"/>
      <c r="AS178" s="218"/>
      <c r="AT178" s="218"/>
      <c r="AU178" s="218"/>
      <c r="AV178" s="218"/>
      <c r="AW178" s="218"/>
      <c r="AX178" s="218"/>
      <c r="AY178" s="218"/>
      <c r="AZ178" s="218"/>
      <c r="BA178" s="218"/>
      <c r="BB178" s="218"/>
      <c r="BC178" s="218"/>
      <c r="BD178" s="218"/>
      <c r="BE178" s="218"/>
      <c r="BF178" s="218"/>
      <c r="BG178" s="218"/>
      <c r="BH178" s="218"/>
      <c r="BI178" s="218"/>
      <c r="BJ178" s="218"/>
      <c r="BK178" s="218"/>
      <c r="BL178" s="218"/>
      <c r="BM178" s="218"/>
      <c r="BN178" s="218"/>
      <c r="BO178" s="218"/>
      <c r="BP178" s="218"/>
      <c r="BQ178" s="218"/>
      <c r="BR178" s="218"/>
      <c r="BS178" s="218"/>
      <c r="BT178" s="218"/>
      <c r="BU178" s="218"/>
      <c r="BV178" s="218"/>
      <c r="BW178" s="218"/>
      <c r="BX178" s="218"/>
      <c r="BY178" s="218"/>
      <c r="BZ178" s="218"/>
      <c r="CA178" s="218"/>
      <c r="CB178" s="218"/>
      <c r="CC178" s="218"/>
      <c r="CD178" s="218"/>
      <c r="CE178" s="218"/>
      <c r="CF178" s="218"/>
      <c r="CG178" s="218"/>
      <c r="CH178" s="218"/>
      <c r="CI178" s="218"/>
      <c r="CJ178" s="218"/>
      <c r="CK178" s="218"/>
      <c r="CL178" s="218"/>
      <c r="CM178" s="218"/>
    </row>
    <row r="179" spans="1:91" hidden="1" x14ac:dyDescent="0.2">
      <c r="A179" s="426"/>
      <c r="B179" s="156" t="str">
        <f>Capacidades!M171</f>
        <v xml:space="preserve">   </v>
      </c>
      <c r="C179" s="157"/>
      <c r="D179" s="14"/>
      <c r="E179" s="14"/>
      <c r="F179" s="14"/>
      <c r="G179" s="14"/>
      <c r="H179" s="14"/>
      <c r="I179" s="14"/>
      <c r="J179" s="14"/>
      <c r="K179" s="14"/>
      <c r="L179" s="446"/>
      <c r="M179" s="292" t="str">
        <f t="shared" si="2"/>
        <v xml:space="preserve">   </v>
      </c>
      <c r="N179" s="218"/>
      <c r="O179" s="218"/>
      <c r="P179" s="218"/>
      <c r="Q179" s="218"/>
      <c r="R179" s="218"/>
      <c r="S179" s="218"/>
      <c r="T179" s="218"/>
      <c r="U179" s="218"/>
      <c r="V179" s="218"/>
      <c r="W179" s="218"/>
      <c r="X179" s="218"/>
      <c r="Y179" s="218"/>
      <c r="Z179" s="218"/>
      <c r="AA179" s="218"/>
      <c r="AB179" s="218"/>
      <c r="AC179" s="218"/>
      <c r="AD179" s="218"/>
      <c r="AE179" s="218"/>
      <c r="AF179" s="218"/>
      <c r="AG179" s="218"/>
      <c r="AH179" s="218"/>
      <c r="AI179" s="218"/>
      <c r="AJ179" s="218"/>
      <c r="AK179" s="218"/>
      <c r="AL179" s="218"/>
      <c r="AM179" s="218"/>
      <c r="AN179" s="218"/>
      <c r="AO179" s="218"/>
      <c r="AP179" s="218"/>
      <c r="AQ179" s="218"/>
      <c r="AR179" s="218"/>
      <c r="AS179" s="218"/>
      <c r="AT179" s="218"/>
      <c r="AU179" s="218"/>
      <c r="AV179" s="218"/>
      <c r="AW179" s="218"/>
      <c r="AX179" s="218"/>
      <c r="AY179" s="218"/>
      <c r="AZ179" s="218"/>
      <c r="BA179" s="218"/>
      <c r="BB179" s="218"/>
      <c r="BC179" s="218"/>
      <c r="BD179" s="218"/>
      <c r="BE179" s="218"/>
      <c r="BF179" s="218"/>
      <c r="BG179" s="218"/>
      <c r="BH179" s="218"/>
      <c r="BI179" s="218"/>
      <c r="BJ179" s="218"/>
      <c r="BK179" s="218"/>
      <c r="BL179" s="218"/>
      <c r="BM179" s="218"/>
      <c r="BN179" s="218"/>
      <c r="BO179" s="218"/>
      <c r="BP179" s="218"/>
      <c r="BQ179" s="218"/>
      <c r="BR179" s="218"/>
      <c r="BS179" s="218"/>
      <c r="BT179" s="218"/>
      <c r="BU179" s="218"/>
      <c r="BV179" s="218"/>
      <c r="BW179" s="218"/>
      <c r="BX179" s="218"/>
      <c r="BY179" s="218"/>
      <c r="BZ179" s="218"/>
      <c r="CA179" s="218"/>
      <c r="CB179" s="218"/>
      <c r="CC179" s="218"/>
      <c r="CD179" s="218"/>
      <c r="CE179" s="218"/>
      <c r="CF179" s="218"/>
      <c r="CG179" s="218"/>
      <c r="CH179" s="218"/>
      <c r="CI179" s="218"/>
      <c r="CJ179" s="218"/>
      <c r="CK179" s="218"/>
      <c r="CL179" s="218"/>
      <c r="CM179" s="218"/>
    </row>
    <row r="180" spans="1:91" hidden="1" x14ac:dyDescent="0.2">
      <c r="A180" s="426"/>
      <c r="B180" s="156" t="str">
        <f>Capacidades!M172</f>
        <v xml:space="preserve">   </v>
      </c>
      <c r="C180" s="157"/>
      <c r="D180" s="14"/>
      <c r="E180" s="14"/>
      <c r="F180" s="14"/>
      <c r="G180" s="14"/>
      <c r="H180" s="14"/>
      <c r="I180" s="14"/>
      <c r="J180" s="14"/>
      <c r="K180" s="14"/>
      <c r="L180" s="446"/>
      <c r="M180" s="292" t="str">
        <f t="shared" si="2"/>
        <v xml:space="preserve">   </v>
      </c>
      <c r="N180" s="218"/>
      <c r="O180" s="218"/>
      <c r="P180" s="218"/>
      <c r="Q180" s="218"/>
      <c r="R180" s="218"/>
      <c r="S180" s="218"/>
      <c r="T180" s="218"/>
      <c r="U180" s="218"/>
      <c r="V180" s="218"/>
      <c r="W180" s="218"/>
      <c r="X180" s="218"/>
      <c r="Y180" s="218"/>
      <c r="Z180" s="218"/>
      <c r="AA180" s="218"/>
      <c r="AB180" s="218"/>
      <c r="AC180" s="218"/>
      <c r="AD180" s="218"/>
      <c r="AE180" s="218"/>
      <c r="AF180" s="218"/>
      <c r="AG180" s="218"/>
      <c r="AH180" s="218"/>
      <c r="AI180" s="218"/>
      <c r="AJ180" s="218"/>
      <c r="AK180" s="218"/>
      <c r="AL180" s="218"/>
      <c r="AM180" s="218"/>
      <c r="AN180" s="218"/>
      <c r="AO180" s="218"/>
      <c r="AP180" s="218"/>
      <c r="AQ180" s="218"/>
      <c r="AR180" s="218"/>
      <c r="AS180" s="218"/>
      <c r="AT180" s="218"/>
      <c r="AU180" s="218"/>
      <c r="AV180" s="218"/>
      <c r="AW180" s="218"/>
      <c r="AX180" s="218"/>
      <c r="AY180" s="218"/>
      <c r="AZ180" s="218"/>
      <c r="BA180" s="218"/>
      <c r="BB180" s="218"/>
      <c r="BC180" s="218"/>
      <c r="BD180" s="218"/>
      <c r="BE180" s="218"/>
      <c r="BF180" s="218"/>
      <c r="BG180" s="218"/>
      <c r="BH180" s="218"/>
      <c r="BI180" s="218"/>
      <c r="BJ180" s="218"/>
      <c r="BK180" s="218"/>
      <c r="BL180" s="218"/>
      <c r="BM180" s="218"/>
      <c r="BN180" s="218"/>
      <c r="BO180" s="218"/>
      <c r="BP180" s="218"/>
      <c r="BQ180" s="218"/>
      <c r="BR180" s="218"/>
      <c r="BS180" s="218"/>
      <c r="BT180" s="218"/>
      <c r="BU180" s="218"/>
      <c r="BV180" s="218"/>
      <c r="BW180" s="218"/>
      <c r="BX180" s="218"/>
      <c r="BY180" s="218"/>
      <c r="BZ180" s="218"/>
      <c r="CA180" s="218"/>
      <c r="CB180" s="218"/>
      <c r="CC180" s="218"/>
      <c r="CD180" s="218"/>
      <c r="CE180" s="218"/>
      <c r="CF180" s="218"/>
      <c r="CG180" s="218"/>
      <c r="CH180" s="218"/>
      <c r="CI180" s="218"/>
      <c r="CJ180" s="218"/>
      <c r="CK180" s="218"/>
      <c r="CL180" s="218"/>
      <c r="CM180" s="218"/>
    </row>
    <row r="181" spans="1:91" hidden="1" x14ac:dyDescent="0.2">
      <c r="A181" s="426"/>
      <c r="B181" s="156" t="str">
        <f>Capacidades!M173</f>
        <v xml:space="preserve">   </v>
      </c>
      <c r="C181" s="157"/>
      <c r="D181" s="14"/>
      <c r="E181" s="14"/>
      <c r="F181" s="14"/>
      <c r="G181" s="14"/>
      <c r="H181" s="14"/>
      <c r="I181" s="14"/>
      <c r="J181" s="14"/>
      <c r="K181" s="14"/>
      <c r="L181" s="446"/>
      <c r="M181" s="292" t="str">
        <f t="shared" si="2"/>
        <v xml:space="preserve">   </v>
      </c>
      <c r="N181" s="218"/>
      <c r="O181" s="218"/>
      <c r="P181" s="218"/>
      <c r="Q181" s="218"/>
      <c r="R181" s="218"/>
      <c r="S181" s="218"/>
      <c r="T181" s="218"/>
      <c r="U181" s="218"/>
      <c r="V181" s="218"/>
      <c r="W181" s="218"/>
      <c r="X181" s="218"/>
      <c r="Y181" s="218"/>
      <c r="Z181" s="218"/>
      <c r="AA181" s="218"/>
      <c r="AB181" s="218"/>
      <c r="AC181" s="218"/>
      <c r="AD181" s="218"/>
      <c r="AE181" s="218"/>
      <c r="AF181" s="218"/>
      <c r="AG181" s="218"/>
      <c r="AH181" s="218"/>
      <c r="AI181" s="218"/>
      <c r="AJ181" s="218"/>
      <c r="AK181" s="218"/>
      <c r="AL181" s="218"/>
      <c r="AM181" s="218"/>
      <c r="AN181" s="218"/>
      <c r="AO181" s="218"/>
      <c r="AP181" s="218"/>
      <c r="AQ181" s="218"/>
      <c r="AR181" s="218"/>
      <c r="AS181" s="218"/>
      <c r="AT181" s="218"/>
      <c r="AU181" s="218"/>
      <c r="AV181" s="218"/>
      <c r="AW181" s="218"/>
      <c r="AX181" s="218"/>
      <c r="AY181" s="218"/>
      <c r="AZ181" s="218"/>
      <c r="BA181" s="218"/>
      <c r="BB181" s="218"/>
      <c r="BC181" s="218"/>
      <c r="BD181" s="218"/>
      <c r="BE181" s="218"/>
      <c r="BF181" s="218"/>
      <c r="BG181" s="218"/>
      <c r="BH181" s="218"/>
      <c r="BI181" s="218"/>
      <c r="BJ181" s="218"/>
      <c r="BK181" s="218"/>
      <c r="BL181" s="218"/>
      <c r="BM181" s="218"/>
      <c r="BN181" s="218"/>
      <c r="BO181" s="218"/>
      <c r="BP181" s="218"/>
      <c r="BQ181" s="218"/>
      <c r="BR181" s="218"/>
      <c r="BS181" s="218"/>
      <c r="BT181" s="218"/>
      <c r="BU181" s="218"/>
      <c r="BV181" s="218"/>
      <c r="BW181" s="218"/>
      <c r="BX181" s="218"/>
      <c r="BY181" s="218"/>
      <c r="BZ181" s="218"/>
      <c r="CA181" s="218"/>
      <c r="CB181" s="218"/>
      <c r="CC181" s="218"/>
      <c r="CD181" s="218"/>
      <c r="CE181" s="218"/>
      <c r="CF181" s="218"/>
      <c r="CG181" s="218"/>
      <c r="CH181" s="218"/>
      <c r="CI181" s="218"/>
      <c r="CJ181" s="218"/>
      <c r="CK181" s="218"/>
      <c r="CL181" s="218"/>
      <c r="CM181" s="218"/>
    </row>
    <row r="182" spans="1:91" hidden="1" x14ac:dyDescent="0.2">
      <c r="A182" s="426"/>
      <c r="B182" s="156" t="str">
        <f>Capacidades!M174</f>
        <v xml:space="preserve">   </v>
      </c>
      <c r="C182" s="157"/>
      <c r="D182" s="14"/>
      <c r="E182" s="14"/>
      <c r="F182" s="14"/>
      <c r="G182" s="14"/>
      <c r="H182" s="14"/>
      <c r="I182" s="14"/>
      <c r="J182" s="14"/>
      <c r="K182" s="14"/>
      <c r="L182" s="446"/>
      <c r="M182" s="292" t="str">
        <f t="shared" si="2"/>
        <v xml:space="preserve">   </v>
      </c>
      <c r="N182" s="218"/>
      <c r="O182" s="218"/>
      <c r="P182" s="218"/>
      <c r="Q182" s="218"/>
      <c r="R182" s="218"/>
      <c r="S182" s="218"/>
      <c r="T182" s="218"/>
      <c r="U182" s="218"/>
      <c r="V182" s="218"/>
      <c r="W182" s="218"/>
      <c r="X182" s="218"/>
      <c r="Y182" s="218"/>
      <c r="Z182" s="218"/>
      <c r="AA182" s="218"/>
      <c r="AB182" s="218"/>
      <c r="AC182" s="218"/>
      <c r="AD182" s="218"/>
      <c r="AE182" s="218"/>
      <c r="AF182" s="218"/>
      <c r="AG182" s="218"/>
      <c r="AH182" s="218"/>
      <c r="AI182" s="218"/>
      <c r="AJ182" s="218"/>
      <c r="AK182" s="218"/>
      <c r="AL182" s="218"/>
      <c r="AM182" s="218"/>
      <c r="AN182" s="218"/>
      <c r="AO182" s="218"/>
      <c r="AP182" s="218"/>
      <c r="AQ182" s="218"/>
      <c r="AR182" s="218"/>
      <c r="AS182" s="218"/>
      <c r="AT182" s="218"/>
      <c r="AU182" s="218"/>
      <c r="AV182" s="218"/>
      <c r="AW182" s="218"/>
      <c r="AX182" s="218"/>
      <c r="AY182" s="218"/>
      <c r="AZ182" s="218"/>
      <c r="BA182" s="218"/>
      <c r="BB182" s="218"/>
      <c r="BC182" s="218"/>
      <c r="BD182" s="218"/>
      <c r="BE182" s="218"/>
      <c r="BF182" s="218"/>
      <c r="BG182" s="218"/>
      <c r="BH182" s="218"/>
      <c r="BI182" s="218"/>
      <c r="BJ182" s="218"/>
      <c r="BK182" s="218"/>
      <c r="BL182" s="218"/>
      <c r="BM182" s="218"/>
      <c r="BN182" s="218"/>
      <c r="BO182" s="218"/>
      <c r="BP182" s="218"/>
      <c r="BQ182" s="218"/>
      <c r="BR182" s="218"/>
      <c r="BS182" s="218"/>
      <c r="BT182" s="218"/>
      <c r="BU182" s="218"/>
      <c r="BV182" s="218"/>
      <c r="BW182" s="218"/>
      <c r="BX182" s="218"/>
      <c r="BY182" s="218"/>
      <c r="BZ182" s="218"/>
      <c r="CA182" s="218"/>
      <c r="CB182" s="218"/>
      <c r="CC182" s="218"/>
      <c r="CD182" s="218"/>
      <c r="CE182" s="218"/>
      <c r="CF182" s="218"/>
      <c r="CG182" s="218"/>
      <c r="CH182" s="218"/>
      <c r="CI182" s="218"/>
      <c r="CJ182" s="218"/>
      <c r="CK182" s="218"/>
      <c r="CL182" s="218"/>
      <c r="CM182" s="218"/>
    </row>
    <row r="183" spans="1:91" hidden="1" x14ac:dyDescent="0.2">
      <c r="A183" s="426"/>
      <c r="B183" s="156" t="str">
        <f>Capacidades!M175</f>
        <v xml:space="preserve">   </v>
      </c>
      <c r="C183" s="157"/>
      <c r="D183" s="14"/>
      <c r="E183" s="14"/>
      <c r="F183" s="14"/>
      <c r="G183" s="14"/>
      <c r="H183" s="14"/>
      <c r="I183" s="14"/>
      <c r="J183" s="14"/>
      <c r="K183" s="14"/>
      <c r="L183" s="446"/>
      <c r="M183" s="292" t="str">
        <f t="shared" si="2"/>
        <v xml:space="preserve">   </v>
      </c>
      <c r="N183" s="218"/>
      <c r="O183" s="218"/>
      <c r="P183" s="218"/>
      <c r="Q183" s="218"/>
      <c r="R183" s="218"/>
      <c r="S183" s="218"/>
      <c r="T183" s="218"/>
      <c r="U183" s="218"/>
      <c r="V183" s="218"/>
      <c r="W183" s="218"/>
      <c r="X183" s="218"/>
      <c r="Y183" s="218"/>
      <c r="Z183" s="218"/>
      <c r="AA183" s="218"/>
      <c r="AB183" s="218"/>
      <c r="AC183" s="218"/>
      <c r="AD183" s="218"/>
      <c r="AE183" s="218"/>
      <c r="AF183" s="218"/>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c r="BG183" s="218"/>
      <c r="BH183" s="218"/>
      <c r="BI183" s="218"/>
      <c r="BJ183" s="218"/>
      <c r="BK183" s="218"/>
      <c r="BL183" s="218"/>
      <c r="BM183" s="218"/>
      <c r="BN183" s="218"/>
      <c r="BO183" s="218"/>
      <c r="BP183" s="218"/>
      <c r="BQ183" s="218"/>
      <c r="BR183" s="218"/>
      <c r="BS183" s="218"/>
      <c r="BT183" s="218"/>
      <c r="BU183" s="218"/>
      <c r="BV183" s="218"/>
      <c r="BW183" s="218"/>
      <c r="BX183" s="218"/>
      <c r="BY183" s="218"/>
      <c r="BZ183" s="218"/>
      <c r="CA183" s="218"/>
      <c r="CB183" s="218"/>
      <c r="CC183" s="218"/>
      <c r="CD183" s="218"/>
      <c r="CE183" s="218"/>
      <c r="CF183" s="218"/>
      <c r="CG183" s="218"/>
      <c r="CH183" s="218"/>
      <c r="CI183" s="218"/>
      <c r="CJ183" s="218"/>
      <c r="CK183" s="218"/>
      <c r="CL183" s="218"/>
      <c r="CM183" s="218"/>
    </row>
    <row r="184" spans="1:91" ht="7.5" hidden="1" customHeight="1" x14ac:dyDescent="0.2">
      <c r="A184" s="426"/>
      <c r="B184" s="156" t="str">
        <f>Capacidades!M176</f>
        <v xml:space="preserve">   </v>
      </c>
      <c r="C184" s="157"/>
      <c r="D184" s="14"/>
      <c r="E184" s="14"/>
      <c r="F184" s="14"/>
      <c r="G184" s="14"/>
      <c r="H184" s="14"/>
      <c r="I184" s="14"/>
      <c r="J184" s="14"/>
      <c r="K184" s="14"/>
      <c r="L184" s="446"/>
      <c r="M184" s="292" t="str">
        <f t="shared" si="2"/>
        <v xml:space="preserve">   </v>
      </c>
      <c r="N184" s="218"/>
      <c r="O184" s="218"/>
      <c r="P184" s="218"/>
      <c r="Q184" s="218"/>
      <c r="R184" s="218"/>
      <c r="S184" s="218"/>
      <c r="T184" s="218"/>
      <c r="U184" s="218"/>
      <c r="V184" s="218"/>
      <c r="W184" s="218"/>
      <c r="X184" s="218"/>
      <c r="Y184" s="218"/>
      <c r="Z184" s="218"/>
      <c r="AA184" s="218"/>
      <c r="AB184" s="218"/>
      <c r="AC184" s="218"/>
      <c r="AD184" s="218"/>
      <c r="AE184" s="218"/>
      <c r="AF184" s="218"/>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c r="BG184" s="218"/>
      <c r="BH184" s="218"/>
      <c r="BI184" s="218"/>
      <c r="BJ184" s="218"/>
      <c r="BK184" s="218"/>
      <c r="BL184" s="218"/>
      <c r="BM184" s="218"/>
      <c r="BN184" s="218"/>
      <c r="BO184" s="218"/>
      <c r="BP184" s="218"/>
      <c r="BQ184" s="218"/>
      <c r="BR184" s="218"/>
      <c r="BS184" s="218"/>
      <c r="BT184" s="218"/>
      <c r="BU184" s="218"/>
      <c r="BV184" s="218"/>
      <c r="BW184" s="218"/>
      <c r="BX184" s="218"/>
      <c r="BY184" s="218"/>
      <c r="BZ184" s="218"/>
      <c r="CA184" s="218"/>
      <c r="CB184" s="218"/>
      <c r="CC184" s="218"/>
      <c r="CD184" s="218"/>
      <c r="CE184" s="218"/>
      <c r="CF184" s="218"/>
      <c r="CG184" s="218"/>
      <c r="CH184" s="218"/>
      <c r="CI184" s="218"/>
      <c r="CJ184" s="218"/>
      <c r="CK184" s="218"/>
      <c r="CL184" s="218"/>
      <c r="CM184" s="218"/>
    </row>
    <row r="185" spans="1:91" hidden="1" x14ac:dyDescent="0.2">
      <c r="A185" s="426"/>
      <c r="B185" s="156" t="str">
        <f>Capacidades!M177</f>
        <v xml:space="preserve">   </v>
      </c>
      <c r="C185" s="157"/>
      <c r="D185" s="14"/>
      <c r="E185" s="14"/>
      <c r="F185" s="14"/>
      <c r="G185" s="14"/>
      <c r="H185" s="14"/>
      <c r="I185" s="14"/>
      <c r="J185" s="14"/>
      <c r="K185" s="14"/>
      <c r="L185" s="446"/>
      <c r="M185" s="292" t="str">
        <f t="shared" si="2"/>
        <v xml:space="preserve">   </v>
      </c>
      <c r="N185" s="218"/>
      <c r="O185" s="218"/>
      <c r="P185" s="218"/>
      <c r="Q185" s="218"/>
      <c r="R185" s="218"/>
      <c r="S185" s="218"/>
      <c r="T185" s="218"/>
      <c r="U185" s="218"/>
      <c r="V185" s="218"/>
      <c r="W185" s="218"/>
      <c r="X185" s="218"/>
      <c r="Y185" s="218"/>
      <c r="Z185" s="218"/>
      <c r="AA185" s="218"/>
      <c r="AB185" s="218"/>
      <c r="AC185" s="218"/>
      <c r="AD185" s="218"/>
      <c r="AE185" s="218"/>
      <c r="AF185" s="218"/>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c r="BG185" s="218"/>
      <c r="BH185" s="218"/>
      <c r="BI185" s="218"/>
      <c r="BJ185" s="218"/>
      <c r="BK185" s="218"/>
      <c r="BL185" s="218"/>
      <c r="BM185" s="218"/>
      <c r="BN185" s="218"/>
      <c r="BO185" s="218"/>
      <c r="BP185" s="218"/>
      <c r="BQ185" s="218"/>
      <c r="BR185" s="218"/>
      <c r="BS185" s="218"/>
      <c r="BT185" s="218"/>
      <c r="BU185" s="218"/>
      <c r="BV185" s="218"/>
      <c r="BW185" s="218"/>
      <c r="BX185" s="218"/>
      <c r="BY185" s="218"/>
      <c r="BZ185" s="218"/>
      <c r="CA185" s="218"/>
      <c r="CB185" s="218"/>
      <c r="CC185" s="218"/>
      <c r="CD185" s="218"/>
      <c r="CE185" s="218"/>
      <c r="CF185" s="218"/>
      <c r="CG185" s="218"/>
      <c r="CH185" s="218"/>
      <c r="CI185" s="218"/>
      <c r="CJ185" s="218"/>
      <c r="CK185" s="218"/>
      <c r="CL185" s="218"/>
      <c r="CM185" s="218"/>
    </row>
    <row r="186" spans="1:91" hidden="1" x14ac:dyDescent="0.2">
      <c r="A186" s="426"/>
      <c r="B186" s="156" t="str">
        <f>Capacidades!M178</f>
        <v xml:space="preserve">   </v>
      </c>
      <c r="C186" s="157"/>
      <c r="D186" s="14"/>
      <c r="E186" s="14"/>
      <c r="F186" s="14"/>
      <c r="G186" s="14"/>
      <c r="H186" s="14"/>
      <c r="I186" s="14"/>
      <c r="J186" s="14"/>
      <c r="K186" s="14"/>
      <c r="L186" s="446"/>
      <c r="M186" s="292" t="str">
        <f t="shared" si="2"/>
        <v xml:space="preserve">   </v>
      </c>
      <c r="N186" s="218"/>
      <c r="O186" s="218"/>
      <c r="P186" s="218"/>
      <c r="Q186" s="218"/>
      <c r="R186" s="218"/>
      <c r="S186" s="218"/>
      <c r="T186" s="218"/>
      <c r="U186" s="218"/>
      <c r="V186" s="218"/>
      <c r="W186" s="218"/>
      <c r="X186" s="218"/>
      <c r="Y186" s="218"/>
      <c r="Z186" s="218"/>
      <c r="AA186" s="218"/>
      <c r="AB186" s="218"/>
      <c r="AC186" s="218"/>
      <c r="AD186" s="218"/>
      <c r="AE186" s="218"/>
      <c r="AF186" s="218"/>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c r="BG186" s="218"/>
      <c r="BH186" s="218"/>
      <c r="BI186" s="218"/>
      <c r="BJ186" s="218"/>
      <c r="BK186" s="218"/>
      <c r="BL186" s="218"/>
      <c r="BM186" s="218"/>
      <c r="BN186" s="218"/>
      <c r="BO186" s="218"/>
      <c r="BP186" s="218"/>
      <c r="BQ186" s="218"/>
      <c r="BR186" s="218"/>
      <c r="BS186" s="218"/>
      <c r="BT186" s="218"/>
      <c r="BU186" s="218"/>
      <c r="BV186" s="218"/>
      <c r="BW186" s="218"/>
      <c r="BX186" s="218"/>
      <c r="BY186" s="218"/>
      <c r="BZ186" s="218"/>
      <c r="CA186" s="218"/>
      <c r="CB186" s="218"/>
      <c r="CC186" s="218"/>
      <c r="CD186" s="218"/>
      <c r="CE186" s="218"/>
      <c r="CF186" s="218"/>
      <c r="CG186" s="218"/>
      <c r="CH186" s="218"/>
      <c r="CI186" s="218"/>
      <c r="CJ186" s="218"/>
      <c r="CK186" s="218"/>
      <c r="CL186" s="218"/>
      <c r="CM186" s="218"/>
    </row>
    <row r="187" spans="1:91" hidden="1" x14ac:dyDescent="0.2">
      <c r="A187" s="427"/>
      <c r="B187" s="156" t="str">
        <f>Capacidades!M179</f>
        <v xml:space="preserve">   </v>
      </c>
      <c r="C187" s="157"/>
      <c r="D187" s="16"/>
      <c r="E187" s="16"/>
      <c r="F187" s="16"/>
      <c r="G187" s="16"/>
      <c r="H187" s="16"/>
      <c r="I187" s="16"/>
      <c r="J187" s="16"/>
      <c r="K187" s="16"/>
      <c r="L187" s="447"/>
      <c r="M187" s="292" t="str">
        <f t="shared" si="2"/>
        <v xml:space="preserve">   </v>
      </c>
      <c r="N187" s="218"/>
      <c r="O187" s="218"/>
      <c r="P187" s="218"/>
      <c r="Q187" s="218"/>
      <c r="R187" s="218"/>
      <c r="S187" s="218"/>
      <c r="T187" s="218"/>
      <c r="U187" s="218"/>
      <c r="V187" s="218"/>
      <c r="W187" s="218"/>
      <c r="X187" s="218"/>
      <c r="Y187" s="218"/>
      <c r="Z187" s="218"/>
      <c r="AA187" s="218"/>
      <c r="AB187" s="218"/>
      <c r="AC187" s="218"/>
      <c r="AD187" s="218"/>
      <c r="AE187" s="218"/>
      <c r="AF187" s="218"/>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c r="BG187" s="218"/>
      <c r="BH187" s="218"/>
      <c r="BI187" s="218"/>
      <c r="BJ187" s="218"/>
      <c r="BK187" s="218"/>
      <c r="BL187" s="218"/>
      <c r="BM187" s="218"/>
      <c r="BN187" s="218"/>
      <c r="BO187" s="218"/>
      <c r="BP187" s="218"/>
      <c r="BQ187" s="218"/>
      <c r="BR187" s="218"/>
      <c r="BS187" s="218"/>
      <c r="BT187" s="218"/>
      <c r="BU187" s="218"/>
      <c r="BV187" s="218"/>
      <c r="BW187" s="218"/>
      <c r="BX187" s="218"/>
      <c r="BY187" s="218"/>
      <c r="BZ187" s="218"/>
      <c r="CA187" s="218"/>
      <c r="CB187" s="218"/>
      <c r="CC187" s="218"/>
      <c r="CD187" s="218"/>
      <c r="CE187" s="218"/>
      <c r="CF187" s="218"/>
      <c r="CG187" s="218"/>
      <c r="CH187" s="218"/>
      <c r="CI187" s="218"/>
      <c r="CJ187" s="218"/>
      <c r="CK187" s="218"/>
      <c r="CL187" s="218"/>
      <c r="CM187" s="218"/>
    </row>
    <row r="188" spans="1:91" hidden="1" x14ac:dyDescent="0.2">
      <c r="A188" s="425" t="str">
        <f>Capacidades!L180</f>
        <v xml:space="preserve">       </v>
      </c>
      <c r="B188" s="156" t="str">
        <f>Capacidades!M180</f>
        <v xml:space="preserve">   </v>
      </c>
      <c r="C188" s="157"/>
      <c r="D188" s="12">
        <f>Organización_Modular!F27</f>
        <v>0</v>
      </c>
      <c r="E188" s="12">
        <f>Organización_Modular!G27</f>
        <v>0</v>
      </c>
      <c r="F188" s="12">
        <f>Organización_Modular!H27</f>
        <v>0</v>
      </c>
      <c r="G188" s="12">
        <f>Organización_Modular!I27</f>
        <v>0</v>
      </c>
      <c r="H188" s="12">
        <f>SUM(F188:G188)</f>
        <v>0</v>
      </c>
      <c r="I188" s="12">
        <f>F188*16</f>
        <v>0</v>
      </c>
      <c r="J188" s="12">
        <f>G188*32</f>
        <v>0</v>
      </c>
      <c r="K188" s="12">
        <f>SUM(I188:J188)</f>
        <v>0</v>
      </c>
      <c r="L188" s="445"/>
      <c r="M188" s="292" t="str">
        <f t="shared" si="2"/>
        <v xml:space="preserve">   </v>
      </c>
      <c r="N188" s="218"/>
      <c r="O188" s="218"/>
      <c r="P188" s="218"/>
      <c r="Q188" s="218"/>
      <c r="R188" s="218"/>
      <c r="S188" s="218"/>
      <c r="T188" s="218"/>
      <c r="U188" s="218"/>
      <c r="V188" s="218"/>
      <c r="W188" s="218"/>
      <c r="X188" s="218"/>
      <c r="Y188" s="218"/>
      <c r="Z188" s="218"/>
      <c r="AA188" s="218"/>
      <c r="AB188" s="218"/>
      <c r="AC188" s="218"/>
      <c r="AD188" s="218"/>
      <c r="AE188" s="218"/>
      <c r="AF188" s="218"/>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c r="BG188" s="218"/>
      <c r="BH188" s="218"/>
      <c r="BI188" s="218"/>
      <c r="BJ188" s="218"/>
      <c r="BK188" s="218"/>
      <c r="BL188" s="218"/>
      <c r="BM188" s="218"/>
      <c r="BN188" s="218"/>
      <c r="BO188" s="218"/>
      <c r="BP188" s="218"/>
      <c r="BQ188" s="218"/>
      <c r="BR188" s="218"/>
      <c r="BS188" s="218"/>
      <c r="BT188" s="218"/>
      <c r="BU188" s="218"/>
      <c r="BV188" s="218"/>
      <c r="BW188" s="218"/>
      <c r="BX188" s="218"/>
      <c r="BY188" s="218"/>
      <c r="BZ188" s="218"/>
      <c r="CA188" s="218"/>
      <c r="CB188" s="218"/>
      <c r="CC188" s="218"/>
      <c r="CD188" s="218"/>
      <c r="CE188" s="218"/>
      <c r="CF188" s="218"/>
      <c r="CG188" s="218"/>
      <c r="CH188" s="218"/>
      <c r="CI188" s="218"/>
      <c r="CJ188" s="218"/>
      <c r="CK188" s="218"/>
      <c r="CL188" s="218"/>
      <c r="CM188" s="218"/>
    </row>
    <row r="189" spans="1:91" hidden="1" x14ac:dyDescent="0.2">
      <c r="A189" s="426"/>
      <c r="B189" s="156" t="str">
        <f>Capacidades!M181</f>
        <v xml:space="preserve">   </v>
      </c>
      <c r="C189" s="157"/>
      <c r="D189" s="14"/>
      <c r="E189" s="14"/>
      <c r="F189" s="14"/>
      <c r="G189" s="14"/>
      <c r="H189" s="14"/>
      <c r="I189" s="14"/>
      <c r="J189" s="14"/>
      <c r="K189" s="14"/>
      <c r="L189" s="446"/>
      <c r="M189" s="292" t="str">
        <f t="shared" si="2"/>
        <v xml:space="preserve">   </v>
      </c>
      <c r="N189" s="218"/>
      <c r="O189" s="218"/>
      <c r="P189" s="218"/>
      <c r="Q189" s="218"/>
      <c r="R189" s="218"/>
      <c r="S189" s="218"/>
      <c r="T189" s="218"/>
      <c r="U189" s="218"/>
      <c r="V189" s="218"/>
      <c r="W189" s="218"/>
      <c r="X189" s="218"/>
      <c r="Y189" s="218"/>
      <c r="Z189" s="218"/>
      <c r="AA189" s="218"/>
      <c r="AB189" s="218"/>
      <c r="AC189" s="218"/>
      <c r="AD189" s="218"/>
      <c r="AE189" s="218"/>
      <c r="AF189" s="218"/>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c r="BG189" s="218"/>
      <c r="BH189" s="218"/>
      <c r="BI189" s="218"/>
      <c r="BJ189" s="218"/>
      <c r="BK189" s="218"/>
      <c r="BL189" s="218"/>
      <c r="BM189" s="218"/>
      <c r="BN189" s="218"/>
      <c r="BO189" s="218"/>
      <c r="BP189" s="218"/>
      <c r="BQ189" s="218"/>
      <c r="BR189" s="218"/>
      <c r="BS189" s="218"/>
      <c r="BT189" s="218"/>
      <c r="BU189" s="218"/>
      <c r="BV189" s="218"/>
      <c r="BW189" s="218"/>
      <c r="BX189" s="218"/>
      <c r="BY189" s="218"/>
      <c r="BZ189" s="218"/>
      <c r="CA189" s="218"/>
      <c r="CB189" s="218"/>
      <c r="CC189" s="218"/>
      <c r="CD189" s="218"/>
      <c r="CE189" s="218"/>
      <c r="CF189" s="218"/>
      <c r="CG189" s="218"/>
      <c r="CH189" s="218"/>
      <c r="CI189" s="218"/>
      <c r="CJ189" s="218"/>
      <c r="CK189" s="218"/>
      <c r="CL189" s="218"/>
      <c r="CM189" s="218"/>
    </row>
    <row r="190" spans="1:91" hidden="1" x14ac:dyDescent="0.2">
      <c r="A190" s="426"/>
      <c r="B190" s="156" t="str">
        <f>Capacidades!M182</f>
        <v xml:space="preserve">   </v>
      </c>
      <c r="C190" s="157"/>
      <c r="D190" s="14"/>
      <c r="E190" s="14"/>
      <c r="F190" s="14"/>
      <c r="G190" s="14"/>
      <c r="H190" s="14"/>
      <c r="I190" s="14"/>
      <c r="J190" s="14"/>
      <c r="K190" s="14"/>
      <c r="L190" s="446"/>
      <c r="M190" s="292" t="str">
        <f t="shared" si="2"/>
        <v xml:space="preserve">   </v>
      </c>
      <c r="N190" s="218"/>
      <c r="O190" s="218"/>
      <c r="P190" s="218"/>
      <c r="Q190" s="218"/>
      <c r="R190" s="218"/>
      <c r="S190" s="218"/>
      <c r="T190" s="218"/>
      <c r="U190" s="218"/>
      <c r="V190" s="218"/>
      <c r="W190" s="218"/>
      <c r="X190" s="218"/>
      <c r="Y190" s="218"/>
      <c r="Z190" s="218"/>
      <c r="AA190" s="218"/>
      <c r="AB190" s="218"/>
      <c r="AC190" s="218"/>
      <c r="AD190" s="218"/>
      <c r="AE190" s="218"/>
      <c r="AF190" s="218"/>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c r="BG190" s="218"/>
      <c r="BH190" s="218"/>
      <c r="BI190" s="218"/>
      <c r="BJ190" s="218"/>
      <c r="BK190" s="218"/>
      <c r="BL190" s="218"/>
      <c r="BM190" s="218"/>
      <c r="BN190" s="218"/>
      <c r="BO190" s="218"/>
      <c r="BP190" s="218"/>
      <c r="BQ190" s="218"/>
      <c r="BR190" s="218"/>
      <c r="BS190" s="218"/>
      <c r="BT190" s="218"/>
      <c r="BU190" s="218"/>
      <c r="BV190" s="218"/>
      <c r="BW190" s="218"/>
      <c r="BX190" s="218"/>
      <c r="BY190" s="218"/>
      <c r="BZ190" s="218"/>
      <c r="CA190" s="218"/>
      <c r="CB190" s="218"/>
      <c r="CC190" s="218"/>
      <c r="CD190" s="218"/>
      <c r="CE190" s="218"/>
      <c r="CF190" s="218"/>
      <c r="CG190" s="218"/>
      <c r="CH190" s="218"/>
      <c r="CI190" s="218"/>
      <c r="CJ190" s="218"/>
      <c r="CK190" s="218"/>
      <c r="CL190" s="218"/>
      <c r="CM190" s="218"/>
    </row>
    <row r="191" spans="1:91" hidden="1" x14ac:dyDescent="0.2">
      <c r="A191" s="426"/>
      <c r="B191" s="156" t="str">
        <f>Capacidades!M183</f>
        <v xml:space="preserve">   </v>
      </c>
      <c r="C191" s="157"/>
      <c r="D191" s="14"/>
      <c r="E191" s="14"/>
      <c r="F191" s="14"/>
      <c r="G191" s="14"/>
      <c r="H191" s="14"/>
      <c r="I191" s="14"/>
      <c r="J191" s="14"/>
      <c r="K191" s="14"/>
      <c r="L191" s="446"/>
      <c r="M191" s="292" t="str">
        <f t="shared" si="2"/>
        <v xml:space="preserve">   </v>
      </c>
      <c r="N191" s="218"/>
      <c r="O191" s="218"/>
      <c r="P191" s="218"/>
      <c r="Q191" s="218"/>
      <c r="R191" s="218"/>
      <c r="S191" s="218"/>
      <c r="T191" s="218"/>
      <c r="U191" s="218"/>
      <c r="V191" s="218"/>
      <c r="W191" s="218"/>
      <c r="X191" s="218"/>
      <c r="Y191" s="218"/>
      <c r="Z191" s="218"/>
      <c r="AA191" s="218"/>
      <c r="AB191" s="218"/>
      <c r="AC191" s="218"/>
      <c r="AD191" s="218"/>
      <c r="AE191" s="218"/>
      <c r="AF191" s="218"/>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c r="BG191" s="218"/>
      <c r="BH191" s="218"/>
      <c r="BI191" s="218"/>
      <c r="BJ191" s="218"/>
      <c r="BK191" s="218"/>
      <c r="BL191" s="218"/>
      <c r="BM191" s="218"/>
      <c r="BN191" s="218"/>
      <c r="BO191" s="218"/>
      <c r="BP191" s="218"/>
      <c r="BQ191" s="218"/>
      <c r="BR191" s="218"/>
      <c r="BS191" s="218"/>
      <c r="BT191" s="218"/>
      <c r="BU191" s="218"/>
      <c r="BV191" s="218"/>
      <c r="BW191" s="218"/>
      <c r="BX191" s="218"/>
      <c r="BY191" s="218"/>
      <c r="BZ191" s="218"/>
      <c r="CA191" s="218"/>
      <c r="CB191" s="218"/>
      <c r="CC191" s="218"/>
      <c r="CD191" s="218"/>
      <c r="CE191" s="218"/>
      <c r="CF191" s="218"/>
      <c r="CG191" s="218"/>
      <c r="CH191" s="218"/>
      <c r="CI191" s="218"/>
      <c r="CJ191" s="218"/>
      <c r="CK191" s="218"/>
      <c r="CL191" s="218"/>
      <c r="CM191" s="218"/>
    </row>
    <row r="192" spans="1:91" hidden="1" x14ac:dyDescent="0.2">
      <c r="A192" s="426"/>
      <c r="B192" s="156" t="str">
        <f>Capacidades!M184</f>
        <v xml:space="preserve">   </v>
      </c>
      <c r="C192" s="157"/>
      <c r="D192" s="14"/>
      <c r="E192" s="14"/>
      <c r="F192" s="14"/>
      <c r="G192" s="14"/>
      <c r="H192" s="14"/>
      <c r="I192" s="14"/>
      <c r="J192" s="14"/>
      <c r="K192" s="14"/>
      <c r="L192" s="446"/>
      <c r="M192" s="292" t="str">
        <f t="shared" si="2"/>
        <v xml:space="preserve">   </v>
      </c>
      <c r="N192" s="218"/>
      <c r="O192" s="218"/>
      <c r="P192" s="218"/>
      <c r="Q192" s="218"/>
      <c r="R192" s="218"/>
      <c r="S192" s="218"/>
      <c r="T192" s="218"/>
      <c r="U192" s="218"/>
      <c r="V192" s="218"/>
      <c r="W192" s="218"/>
      <c r="X192" s="218"/>
      <c r="Y192" s="218"/>
      <c r="Z192" s="218"/>
      <c r="AA192" s="218"/>
      <c r="AB192" s="218"/>
      <c r="AC192" s="218"/>
      <c r="AD192" s="218"/>
      <c r="AE192" s="218"/>
      <c r="AF192" s="218"/>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c r="BG192" s="218"/>
      <c r="BH192" s="218"/>
      <c r="BI192" s="218"/>
      <c r="BJ192" s="218"/>
      <c r="BK192" s="218"/>
      <c r="BL192" s="218"/>
      <c r="BM192" s="218"/>
      <c r="BN192" s="218"/>
      <c r="BO192" s="218"/>
      <c r="BP192" s="218"/>
      <c r="BQ192" s="218"/>
      <c r="BR192" s="218"/>
      <c r="BS192" s="218"/>
      <c r="BT192" s="218"/>
      <c r="BU192" s="218"/>
      <c r="BV192" s="218"/>
      <c r="BW192" s="218"/>
      <c r="BX192" s="218"/>
      <c r="BY192" s="218"/>
      <c r="BZ192" s="218"/>
      <c r="CA192" s="218"/>
      <c r="CB192" s="218"/>
      <c r="CC192" s="218"/>
      <c r="CD192" s="218"/>
      <c r="CE192" s="218"/>
      <c r="CF192" s="218"/>
      <c r="CG192" s="218"/>
      <c r="CH192" s="218"/>
      <c r="CI192" s="218"/>
      <c r="CJ192" s="218"/>
      <c r="CK192" s="218"/>
      <c r="CL192" s="218"/>
      <c r="CM192" s="218"/>
    </row>
    <row r="193" spans="1:91" hidden="1" x14ac:dyDescent="0.2">
      <c r="A193" s="426"/>
      <c r="B193" s="156" t="str">
        <f>Capacidades!M185</f>
        <v xml:space="preserve">   </v>
      </c>
      <c r="C193" s="157"/>
      <c r="D193" s="14"/>
      <c r="E193" s="14"/>
      <c r="F193" s="14"/>
      <c r="G193" s="14"/>
      <c r="H193" s="14"/>
      <c r="I193" s="14"/>
      <c r="J193" s="14"/>
      <c r="K193" s="14"/>
      <c r="L193" s="446"/>
      <c r="M193" s="292" t="str">
        <f t="shared" si="2"/>
        <v xml:space="preserve">   </v>
      </c>
      <c r="N193" s="218"/>
      <c r="O193" s="218"/>
      <c r="P193" s="218"/>
      <c r="Q193" s="218"/>
      <c r="R193" s="218"/>
      <c r="S193" s="218"/>
      <c r="T193" s="218"/>
      <c r="U193" s="218"/>
      <c r="V193" s="218"/>
      <c r="W193" s="218"/>
      <c r="X193" s="218"/>
      <c r="Y193" s="218"/>
      <c r="Z193" s="218"/>
      <c r="AA193" s="218"/>
      <c r="AB193" s="218"/>
      <c r="AC193" s="218"/>
      <c r="AD193" s="218"/>
      <c r="AE193" s="218"/>
      <c r="AF193" s="218"/>
      <c r="AG193" s="218"/>
      <c r="AH193" s="218"/>
      <c r="AI193" s="218"/>
      <c r="AJ193" s="218"/>
      <c r="AK193" s="218"/>
      <c r="AL193" s="218"/>
      <c r="AM193" s="218"/>
      <c r="AN193" s="218"/>
      <c r="AO193" s="218"/>
      <c r="AP193" s="218"/>
      <c r="AQ193" s="218"/>
      <c r="AR193" s="218"/>
      <c r="AS193" s="218"/>
      <c r="AT193" s="218"/>
      <c r="AU193" s="218"/>
      <c r="AV193" s="218"/>
      <c r="AW193" s="218"/>
      <c r="AX193" s="218"/>
      <c r="AY193" s="218"/>
      <c r="AZ193" s="218"/>
      <c r="BA193" s="218"/>
      <c r="BB193" s="218"/>
      <c r="BC193" s="218"/>
      <c r="BD193" s="218"/>
      <c r="BE193" s="218"/>
      <c r="BF193" s="218"/>
      <c r="BG193" s="218"/>
      <c r="BH193" s="218"/>
      <c r="BI193" s="218"/>
      <c r="BJ193" s="218"/>
      <c r="BK193" s="218"/>
      <c r="BL193" s="218"/>
      <c r="BM193" s="218"/>
      <c r="BN193" s="218"/>
      <c r="BO193" s="218"/>
      <c r="BP193" s="218"/>
      <c r="BQ193" s="218"/>
      <c r="BR193" s="218"/>
      <c r="BS193" s="218"/>
      <c r="BT193" s="218"/>
      <c r="BU193" s="218"/>
      <c r="BV193" s="218"/>
      <c r="BW193" s="218"/>
      <c r="BX193" s="218"/>
      <c r="BY193" s="218"/>
      <c r="BZ193" s="218"/>
      <c r="CA193" s="218"/>
      <c r="CB193" s="218"/>
      <c r="CC193" s="218"/>
      <c r="CD193" s="218"/>
      <c r="CE193" s="218"/>
      <c r="CF193" s="218"/>
      <c r="CG193" s="218"/>
      <c r="CH193" s="218"/>
      <c r="CI193" s="218"/>
      <c r="CJ193" s="218"/>
      <c r="CK193" s="218"/>
      <c r="CL193" s="218"/>
      <c r="CM193" s="218"/>
    </row>
    <row r="194" spans="1:91" hidden="1" x14ac:dyDescent="0.2">
      <c r="A194" s="426"/>
      <c r="B194" s="156" t="str">
        <f>Capacidades!M186</f>
        <v xml:space="preserve">   </v>
      </c>
      <c r="C194" s="157"/>
      <c r="D194" s="14"/>
      <c r="E194" s="14"/>
      <c r="F194" s="14"/>
      <c r="G194" s="14"/>
      <c r="H194" s="14"/>
      <c r="I194" s="14"/>
      <c r="J194" s="14"/>
      <c r="K194" s="14"/>
      <c r="L194" s="446"/>
      <c r="M194" s="292" t="str">
        <f t="shared" si="2"/>
        <v xml:space="preserve">   </v>
      </c>
      <c r="N194" s="218"/>
      <c r="O194" s="218"/>
      <c r="P194" s="218"/>
      <c r="Q194" s="218"/>
      <c r="R194" s="218"/>
      <c r="S194" s="218"/>
      <c r="T194" s="218"/>
      <c r="U194" s="218"/>
      <c r="V194" s="218"/>
      <c r="W194" s="218"/>
      <c r="X194" s="218"/>
      <c r="Y194" s="218"/>
      <c r="Z194" s="218"/>
      <c r="AA194" s="218"/>
      <c r="AB194" s="218"/>
      <c r="AC194" s="218"/>
      <c r="AD194" s="218"/>
      <c r="AE194" s="218"/>
      <c r="AF194" s="218"/>
      <c r="AG194" s="218"/>
      <c r="AH194" s="218"/>
      <c r="AI194" s="218"/>
      <c r="AJ194" s="218"/>
      <c r="AK194" s="218"/>
      <c r="AL194" s="218"/>
      <c r="AM194" s="218"/>
      <c r="AN194" s="218"/>
      <c r="AO194" s="218"/>
      <c r="AP194" s="218"/>
      <c r="AQ194" s="218"/>
      <c r="AR194" s="218"/>
      <c r="AS194" s="218"/>
      <c r="AT194" s="218"/>
      <c r="AU194" s="218"/>
      <c r="AV194" s="218"/>
      <c r="AW194" s="218"/>
      <c r="AX194" s="218"/>
      <c r="AY194" s="218"/>
      <c r="AZ194" s="218"/>
      <c r="BA194" s="218"/>
      <c r="BB194" s="218"/>
      <c r="BC194" s="218"/>
      <c r="BD194" s="218"/>
      <c r="BE194" s="218"/>
      <c r="BF194" s="218"/>
      <c r="BG194" s="218"/>
      <c r="BH194" s="218"/>
      <c r="BI194" s="218"/>
      <c r="BJ194" s="218"/>
      <c r="BK194" s="218"/>
      <c r="BL194" s="218"/>
      <c r="BM194" s="218"/>
      <c r="BN194" s="218"/>
      <c r="BO194" s="218"/>
      <c r="BP194" s="218"/>
      <c r="BQ194" s="218"/>
      <c r="BR194" s="218"/>
      <c r="BS194" s="218"/>
      <c r="BT194" s="218"/>
      <c r="BU194" s="218"/>
      <c r="BV194" s="218"/>
      <c r="BW194" s="218"/>
      <c r="BX194" s="218"/>
      <c r="BY194" s="218"/>
      <c r="BZ194" s="218"/>
      <c r="CA194" s="218"/>
      <c r="CB194" s="218"/>
      <c r="CC194" s="218"/>
      <c r="CD194" s="218"/>
      <c r="CE194" s="218"/>
      <c r="CF194" s="218"/>
      <c r="CG194" s="218"/>
      <c r="CH194" s="218"/>
      <c r="CI194" s="218"/>
      <c r="CJ194" s="218"/>
      <c r="CK194" s="218"/>
      <c r="CL194" s="218"/>
      <c r="CM194" s="218"/>
    </row>
    <row r="195" spans="1:91" hidden="1" x14ac:dyDescent="0.2">
      <c r="A195" s="426"/>
      <c r="B195" s="156" t="str">
        <f>Capacidades!M187</f>
        <v xml:space="preserve">   </v>
      </c>
      <c r="C195" s="157"/>
      <c r="D195" s="14"/>
      <c r="E195" s="14"/>
      <c r="F195" s="14"/>
      <c r="G195" s="14"/>
      <c r="H195" s="14"/>
      <c r="I195" s="14"/>
      <c r="J195" s="14"/>
      <c r="K195" s="14"/>
      <c r="L195" s="446"/>
      <c r="M195" s="292" t="str">
        <f t="shared" si="2"/>
        <v xml:space="preserve">   </v>
      </c>
      <c r="N195" s="218"/>
      <c r="O195" s="218"/>
      <c r="P195" s="218"/>
      <c r="Q195" s="218"/>
      <c r="R195" s="218"/>
      <c r="S195" s="218"/>
      <c r="T195" s="218"/>
      <c r="U195" s="218"/>
      <c r="V195" s="218"/>
      <c r="W195" s="218"/>
      <c r="X195" s="218"/>
      <c r="Y195" s="218"/>
      <c r="Z195" s="218"/>
      <c r="AA195" s="218"/>
      <c r="AB195" s="218"/>
      <c r="AC195" s="218"/>
      <c r="AD195" s="218"/>
      <c r="AE195" s="218"/>
      <c r="AF195" s="218"/>
      <c r="AG195" s="218"/>
      <c r="AH195" s="218"/>
      <c r="AI195" s="218"/>
      <c r="AJ195" s="218"/>
      <c r="AK195" s="218"/>
      <c r="AL195" s="218"/>
      <c r="AM195" s="218"/>
      <c r="AN195" s="218"/>
      <c r="AO195" s="218"/>
      <c r="AP195" s="218"/>
      <c r="AQ195" s="218"/>
      <c r="AR195" s="218"/>
      <c r="AS195" s="218"/>
      <c r="AT195" s="218"/>
      <c r="AU195" s="218"/>
      <c r="AV195" s="218"/>
      <c r="AW195" s="218"/>
      <c r="AX195" s="218"/>
      <c r="AY195" s="218"/>
      <c r="AZ195" s="218"/>
      <c r="BA195" s="218"/>
      <c r="BB195" s="218"/>
      <c r="BC195" s="218"/>
      <c r="BD195" s="218"/>
      <c r="BE195" s="218"/>
      <c r="BF195" s="218"/>
      <c r="BG195" s="218"/>
      <c r="BH195" s="218"/>
      <c r="BI195" s="218"/>
      <c r="BJ195" s="218"/>
      <c r="BK195" s="218"/>
      <c r="BL195" s="218"/>
      <c r="BM195" s="218"/>
      <c r="BN195" s="218"/>
      <c r="BO195" s="218"/>
      <c r="BP195" s="218"/>
      <c r="BQ195" s="218"/>
      <c r="BR195" s="218"/>
      <c r="BS195" s="218"/>
      <c r="BT195" s="218"/>
      <c r="BU195" s="218"/>
      <c r="BV195" s="218"/>
      <c r="BW195" s="218"/>
      <c r="BX195" s="218"/>
      <c r="BY195" s="218"/>
      <c r="BZ195" s="218"/>
      <c r="CA195" s="218"/>
      <c r="CB195" s="218"/>
      <c r="CC195" s="218"/>
      <c r="CD195" s="218"/>
      <c r="CE195" s="218"/>
      <c r="CF195" s="218"/>
      <c r="CG195" s="218"/>
      <c r="CH195" s="218"/>
      <c r="CI195" s="218"/>
      <c r="CJ195" s="218"/>
      <c r="CK195" s="218"/>
      <c r="CL195" s="218"/>
      <c r="CM195" s="218"/>
    </row>
    <row r="196" spans="1:91" hidden="1" x14ac:dyDescent="0.2">
      <c r="A196" s="426"/>
      <c r="B196" s="156" t="str">
        <f>Capacidades!M188</f>
        <v xml:space="preserve">   </v>
      </c>
      <c r="C196" s="157"/>
      <c r="D196" s="14"/>
      <c r="E196" s="14"/>
      <c r="F196" s="14"/>
      <c r="G196" s="14"/>
      <c r="H196" s="14"/>
      <c r="I196" s="14"/>
      <c r="J196" s="14"/>
      <c r="K196" s="14"/>
      <c r="L196" s="446"/>
      <c r="M196" s="292" t="str">
        <f t="shared" si="2"/>
        <v xml:space="preserve">   </v>
      </c>
      <c r="N196" s="218"/>
      <c r="O196" s="218"/>
      <c r="P196" s="218"/>
      <c r="Q196" s="218"/>
      <c r="R196" s="218"/>
      <c r="S196" s="218"/>
      <c r="T196" s="218"/>
      <c r="U196" s="218"/>
      <c r="V196" s="218"/>
      <c r="W196" s="218"/>
      <c r="X196" s="218"/>
      <c r="Y196" s="218"/>
      <c r="Z196" s="218"/>
      <c r="AA196" s="218"/>
      <c r="AB196" s="218"/>
      <c r="AC196" s="218"/>
      <c r="AD196" s="218"/>
      <c r="AE196" s="218"/>
      <c r="AF196" s="218"/>
      <c r="AG196" s="218"/>
      <c r="AH196" s="218"/>
      <c r="AI196" s="218"/>
      <c r="AJ196" s="218"/>
      <c r="AK196" s="218"/>
      <c r="AL196" s="218"/>
      <c r="AM196" s="218"/>
      <c r="AN196" s="218"/>
      <c r="AO196" s="218"/>
      <c r="AP196" s="218"/>
      <c r="AQ196" s="218"/>
      <c r="AR196" s="218"/>
      <c r="AS196" s="218"/>
      <c r="AT196" s="218"/>
      <c r="AU196" s="218"/>
      <c r="AV196" s="218"/>
      <c r="AW196" s="218"/>
      <c r="AX196" s="218"/>
      <c r="AY196" s="218"/>
      <c r="AZ196" s="218"/>
      <c r="BA196" s="218"/>
      <c r="BB196" s="218"/>
      <c r="BC196" s="218"/>
      <c r="BD196" s="218"/>
      <c r="BE196" s="218"/>
      <c r="BF196" s="218"/>
      <c r="BG196" s="218"/>
      <c r="BH196" s="218"/>
      <c r="BI196" s="218"/>
      <c r="BJ196" s="218"/>
      <c r="BK196" s="218"/>
      <c r="BL196" s="218"/>
      <c r="BM196" s="218"/>
      <c r="BN196" s="218"/>
      <c r="BO196" s="218"/>
      <c r="BP196" s="218"/>
      <c r="BQ196" s="218"/>
      <c r="BR196" s="218"/>
      <c r="BS196" s="218"/>
      <c r="BT196" s="218"/>
      <c r="BU196" s="218"/>
      <c r="BV196" s="218"/>
      <c r="BW196" s="218"/>
      <c r="BX196" s="218"/>
      <c r="BY196" s="218"/>
      <c r="BZ196" s="218"/>
      <c r="CA196" s="218"/>
      <c r="CB196" s="218"/>
      <c r="CC196" s="218"/>
      <c r="CD196" s="218"/>
      <c r="CE196" s="218"/>
      <c r="CF196" s="218"/>
      <c r="CG196" s="218"/>
      <c r="CH196" s="218"/>
      <c r="CI196" s="218"/>
      <c r="CJ196" s="218"/>
      <c r="CK196" s="218"/>
      <c r="CL196" s="218"/>
      <c r="CM196" s="218"/>
    </row>
    <row r="197" spans="1:91" hidden="1" x14ac:dyDescent="0.2">
      <c r="A197" s="427"/>
      <c r="B197" s="156" t="str">
        <f>Capacidades!M189</f>
        <v xml:space="preserve">   </v>
      </c>
      <c r="C197" s="157"/>
      <c r="D197" s="16"/>
      <c r="E197" s="16"/>
      <c r="F197" s="16"/>
      <c r="G197" s="16"/>
      <c r="H197" s="16"/>
      <c r="I197" s="16"/>
      <c r="J197" s="16"/>
      <c r="K197" s="16"/>
      <c r="L197" s="447"/>
      <c r="M197" s="292" t="str">
        <f t="shared" si="2"/>
        <v xml:space="preserve">   </v>
      </c>
      <c r="N197" s="218"/>
      <c r="O197" s="218"/>
      <c r="P197" s="218"/>
      <c r="Q197" s="218"/>
      <c r="R197" s="218"/>
      <c r="S197" s="218"/>
      <c r="T197" s="218"/>
      <c r="U197" s="218"/>
      <c r="V197" s="218"/>
      <c r="W197" s="218"/>
      <c r="X197" s="218"/>
      <c r="Y197" s="218"/>
      <c r="Z197" s="218"/>
      <c r="AA197" s="218"/>
      <c r="AB197" s="218"/>
      <c r="AC197" s="218"/>
      <c r="AD197" s="218"/>
      <c r="AE197" s="218"/>
      <c r="AF197" s="218"/>
      <c r="AG197" s="218"/>
      <c r="AH197" s="218"/>
      <c r="AI197" s="218"/>
      <c r="AJ197" s="218"/>
      <c r="AK197" s="218"/>
      <c r="AL197" s="218"/>
      <c r="AM197" s="218"/>
      <c r="AN197" s="218"/>
      <c r="AO197" s="218"/>
      <c r="AP197" s="218"/>
      <c r="AQ197" s="218"/>
      <c r="AR197" s="218"/>
      <c r="AS197" s="218"/>
      <c r="AT197" s="218"/>
      <c r="AU197" s="218"/>
      <c r="AV197" s="218"/>
      <c r="AW197" s="218"/>
      <c r="AX197" s="218"/>
      <c r="AY197" s="218"/>
      <c r="AZ197" s="218"/>
      <c r="BA197" s="218"/>
      <c r="BB197" s="218"/>
      <c r="BC197" s="218"/>
      <c r="BD197" s="218"/>
      <c r="BE197" s="218"/>
      <c r="BF197" s="218"/>
      <c r="BG197" s="218"/>
      <c r="BH197" s="218"/>
      <c r="BI197" s="218"/>
      <c r="BJ197" s="218"/>
      <c r="BK197" s="218"/>
      <c r="BL197" s="218"/>
      <c r="BM197" s="218"/>
      <c r="BN197" s="218"/>
      <c r="BO197" s="218"/>
      <c r="BP197" s="218"/>
      <c r="BQ197" s="218"/>
      <c r="BR197" s="218"/>
      <c r="BS197" s="218"/>
      <c r="BT197" s="218"/>
      <c r="BU197" s="218"/>
      <c r="BV197" s="218"/>
      <c r="BW197" s="218"/>
      <c r="BX197" s="218"/>
      <c r="BY197" s="218"/>
      <c r="BZ197" s="218"/>
      <c r="CA197" s="218"/>
      <c r="CB197" s="218"/>
      <c r="CC197" s="218"/>
      <c r="CD197" s="218"/>
      <c r="CE197" s="218"/>
      <c r="CF197" s="218"/>
      <c r="CG197" s="218"/>
      <c r="CH197" s="218"/>
      <c r="CI197" s="218"/>
      <c r="CJ197" s="218"/>
      <c r="CK197" s="218"/>
      <c r="CL197" s="218"/>
      <c r="CM197" s="218"/>
    </row>
    <row r="198" spans="1:91" hidden="1" x14ac:dyDescent="0.2">
      <c r="A198" s="425" t="str">
        <f>Capacidades!L190</f>
        <v xml:space="preserve">       </v>
      </c>
      <c r="B198" s="156" t="str">
        <f>Capacidades!M190</f>
        <v xml:space="preserve">   </v>
      </c>
      <c r="C198" s="157"/>
      <c r="D198" s="12">
        <f>Organización_Modular!F28</f>
        <v>0</v>
      </c>
      <c r="E198" s="12">
        <f>Organización_Modular!G28</f>
        <v>0</v>
      </c>
      <c r="F198" s="12">
        <f>Organización_Modular!H28</f>
        <v>0</v>
      </c>
      <c r="G198" s="12">
        <f>Organización_Modular!I28</f>
        <v>0</v>
      </c>
      <c r="H198" s="12">
        <f>SUM(F198:G198)</f>
        <v>0</v>
      </c>
      <c r="I198" s="12">
        <f>F198*16</f>
        <v>0</v>
      </c>
      <c r="J198" s="12">
        <f>G198*32</f>
        <v>0</v>
      </c>
      <c r="K198" s="12">
        <f>SUM(I198:J198)</f>
        <v>0</v>
      </c>
      <c r="L198" s="445"/>
      <c r="M198" s="292" t="str">
        <f t="shared" si="2"/>
        <v xml:space="preserve">   </v>
      </c>
      <c r="N198" s="218"/>
      <c r="O198" s="218"/>
      <c r="P198" s="218"/>
      <c r="Q198" s="218"/>
      <c r="R198" s="218"/>
      <c r="S198" s="218"/>
      <c r="T198" s="218"/>
      <c r="U198" s="218"/>
      <c r="V198" s="218"/>
      <c r="W198" s="218"/>
      <c r="X198" s="218"/>
      <c r="Y198" s="218"/>
      <c r="Z198" s="218"/>
      <c r="AA198" s="218"/>
      <c r="AB198" s="218"/>
      <c r="AC198" s="218"/>
      <c r="AD198" s="218"/>
      <c r="AE198" s="218"/>
      <c r="AF198" s="218"/>
      <c r="AG198" s="218"/>
      <c r="AH198" s="218"/>
      <c r="AI198" s="218"/>
      <c r="AJ198" s="218"/>
      <c r="AK198" s="218"/>
      <c r="AL198" s="218"/>
      <c r="AM198" s="218"/>
      <c r="AN198" s="218"/>
      <c r="AO198" s="218"/>
      <c r="AP198" s="218"/>
      <c r="AQ198" s="218"/>
      <c r="AR198" s="218"/>
      <c r="AS198" s="218"/>
      <c r="AT198" s="218"/>
      <c r="AU198" s="218"/>
      <c r="AV198" s="218"/>
      <c r="AW198" s="218"/>
      <c r="AX198" s="218"/>
      <c r="AY198" s="218"/>
      <c r="AZ198" s="218"/>
      <c r="BA198" s="218"/>
      <c r="BB198" s="218"/>
      <c r="BC198" s="218"/>
      <c r="BD198" s="218"/>
      <c r="BE198" s="218"/>
      <c r="BF198" s="218"/>
      <c r="BG198" s="218"/>
      <c r="BH198" s="218"/>
      <c r="BI198" s="218"/>
      <c r="BJ198" s="218"/>
      <c r="BK198" s="218"/>
      <c r="BL198" s="218"/>
      <c r="BM198" s="218"/>
      <c r="BN198" s="218"/>
      <c r="BO198" s="218"/>
      <c r="BP198" s="218"/>
      <c r="BQ198" s="218"/>
      <c r="BR198" s="218"/>
      <c r="BS198" s="218"/>
      <c r="BT198" s="218"/>
      <c r="BU198" s="218"/>
      <c r="BV198" s="218"/>
      <c r="BW198" s="218"/>
      <c r="BX198" s="218"/>
      <c r="BY198" s="218"/>
      <c r="BZ198" s="218"/>
      <c r="CA198" s="218"/>
      <c r="CB198" s="218"/>
      <c r="CC198" s="218"/>
      <c r="CD198" s="218"/>
      <c r="CE198" s="218"/>
      <c r="CF198" s="218"/>
      <c r="CG198" s="218"/>
      <c r="CH198" s="218"/>
      <c r="CI198" s="218"/>
      <c r="CJ198" s="218"/>
      <c r="CK198" s="218"/>
      <c r="CL198" s="218"/>
      <c r="CM198" s="218"/>
    </row>
    <row r="199" spans="1:91" hidden="1" x14ac:dyDescent="0.2">
      <c r="A199" s="426"/>
      <c r="B199" s="156" t="str">
        <f>Capacidades!M191</f>
        <v xml:space="preserve">   </v>
      </c>
      <c r="C199" s="157"/>
      <c r="D199" s="14"/>
      <c r="E199" s="14"/>
      <c r="F199" s="14"/>
      <c r="G199" s="14"/>
      <c r="H199" s="14"/>
      <c r="I199" s="14"/>
      <c r="J199" s="14"/>
      <c r="K199" s="14"/>
      <c r="L199" s="446"/>
      <c r="M199" s="292" t="str">
        <f t="shared" si="2"/>
        <v xml:space="preserve">   </v>
      </c>
      <c r="N199" s="218"/>
      <c r="O199" s="218"/>
      <c r="P199" s="218"/>
      <c r="Q199" s="218"/>
      <c r="R199" s="218"/>
      <c r="S199" s="218"/>
      <c r="T199" s="218"/>
      <c r="U199" s="218"/>
      <c r="V199" s="218"/>
      <c r="W199" s="218"/>
      <c r="X199" s="218"/>
      <c r="Y199" s="218"/>
      <c r="Z199" s="218"/>
      <c r="AA199" s="218"/>
      <c r="AB199" s="218"/>
      <c r="AC199" s="218"/>
      <c r="AD199" s="218"/>
      <c r="AE199" s="218"/>
      <c r="AF199" s="218"/>
      <c r="AG199" s="218"/>
      <c r="AH199" s="218"/>
      <c r="AI199" s="218"/>
      <c r="AJ199" s="218"/>
      <c r="AK199" s="218"/>
      <c r="AL199" s="218"/>
      <c r="AM199" s="218"/>
      <c r="AN199" s="218"/>
      <c r="AO199" s="218"/>
      <c r="AP199" s="218"/>
      <c r="AQ199" s="218"/>
      <c r="AR199" s="218"/>
      <c r="AS199" s="218"/>
      <c r="AT199" s="218"/>
      <c r="AU199" s="218"/>
      <c r="AV199" s="218"/>
      <c r="AW199" s="218"/>
      <c r="AX199" s="218"/>
      <c r="AY199" s="218"/>
      <c r="AZ199" s="218"/>
      <c r="BA199" s="218"/>
      <c r="BB199" s="218"/>
      <c r="BC199" s="218"/>
      <c r="BD199" s="218"/>
      <c r="BE199" s="218"/>
      <c r="BF199" s="218"/>
      <c r="BG199" s="218"/>
      <c r="BH199" s="218"/>
      <c r="BI199" s="218"/>
      <c r="BJ199" s="218"/>
      <c r="BK199" s="218"/>
      <c r="BL199" s="218"/>
      <c r="BM199" s="218"/>
      <c r="BN199" s="218"/>
      <c r="BO199" s="218"/>
      <c r="BP199" s="218"/>
      <c r="BQ199" s="218"/>
      <c r="BR199" s="218"/>
      <c r="BS199" s="218"/>
      <c r="BT199" s="218"/>
      <c r="BU199" s="218"/>
      <c r="BV199" s="218"/>
      <c r="BW199" s="218"/>
      <c r="BX199" s="218"/>
      <c r="BY199" s="218"/>
      <c r="BZ199" s="218"/>
      <c r="CA199" s="218"/>
      <c r="CB199" s="218"/>
      <c r="CC199" s="218"/>
      <c r="CD199" s="218"/>
      <c r="CE199" s="218"/>
      <c r="CF199" s="218"/>
      <c r="CG199" s="218"/>
      <c r="CH199" s="218"/>
      <c r="CI199" s="218"/>
      <c r="CJ199" s="218"/>
      <c r="CK199" s="218"/>
      <c r="CL199" s="218"/>
      <c r="CM199" s="218"/>
    </row>
    <row r="200" spans="1:91" hidden="1" x14ac:dyDescent="0.2">
      <c r="A200" s="426"/>
      <c r="B200" s="156" t="str">
        <f>Capacidades!M192</f>
        <v xml:space="preserve">   </v>
      </c>
      <c r="C200" s="157"/>
      <c r="D200" s="14"/>
      <c r="E200" s="14"/>
      <c r="F200" s="14"/>
      <c r="G200" s="14"/>
      <c r="H200" s="14"/>
      <c r="I200" s="14"/>
      <c r="J200" s="14"/>
      <c r="K200" s="14"/>
      <c r="L200" s="446"/>
      <c r="M200" s="292" t="str">
        <f t="shared" si="2"/>
        <v xml:space="preserve">   </v>
      </c>
      <c r="N200" s="218"/>
      <c r="O200" s="218"/>
      <c r="P200" s="218"/>
      <c r="Q200" s="218"/>
      <c r="R200" s="218"/>
      <c r="S200" s="218"/>
      <c r="T200" s="218"/>
      <c r="U200" s="218"/>
      <c r="V200" s="218"/>
      <c r="W200" s="218"/>
      <c r="X200" s="218"/>
      <c r="Y200" s="218"/>
      <c r="Z200" s="218"/>
      <c r="AA200" s="218"/>
      <c r="AB200" s="218"/>
      <c r="AC200" s="218"/>
      <c r="AD200" s="218"/>
      <c r="AE200" s="218"/>
      <c r="AF200" s="218"/>
      <c r="AG200" s="218"/>
      <c r="AH200" s="218"/>
      <c r="AI200" s="218"/>
      <c r="AJ200" s="218"/>
      <c r="AK200" s="218"/>
      <c r="AL200" s="218"/>
      <c r="AM200" s="218"/>
      <c r="AN200" s="218"/>
      <c r="AO200" s="218"/>
      <c r="AP200" s="218"/>
      <c r="AQ200" s="218"/>
      <c r="AR200" s="218"/>
      <c r="AS200" s="218"/>
      <c r="AT200" s="218"/>
      <c r="AU200" s="218"/>
      <c r="AV200" s="218"/>
      <c r="AW200" s="218"/>
      <c r="AX200" s="218"/>
      <c r="AY200" s="218"/>
      <c r="AZ200" s="218"/>
      <c r="BA200" s="218"/>
      <c r="BB200" s="218"/>
      <c r="BC200" s="218"/>
      <c r="BD200" s="218"/>
      <c r="BE200" s="218"/>
      <c r="BF200" s="218"/>
      <c r="BG200" s="218"/>
      <c r="BH200" s="218"/>
      <c r="BI200" s="218"/>
      <c r="BJ200" s="218"/>
      <c r="BK200" s="218"/>
      <c r="BL200" s="218"/>
      <c r="BM200" s="218"/>
      <c r="BN200" s="218"/>
      <c r="BO200" s="218"/>
      <c r="BP200" s="218"/>
      <c r="BQ200" s="218"/>
      <c r="BR200" s="218"/>
      <c r="BS200" s="218"/>
      <c r="BT200" s="218"/>
      <c r="BU200" s="218"/>
      <c r="BV200" s="218"/>
      <c r="BW200" s="218"/>
      <c r="BX200" s="218"/>
      <c r="BY200" s="218"/>
      <c r="BZ200" s="218"/>
      <c r="CA200" s="218"/>
      <c r="CB200" s="218"/>
      <c r="CC200" s="218"/>
      <c r="CD200" s="218"/>
      <c r="CE200" s="218"/>
      <c r="CF200" s="218"/>
      <c r="CG200" s="218"/>
      <c r="CH200" s="218"/>
      <c r="CI200" s="218"/>
      <c r="CJ200" s="218"/>
      <c r="CK200" s="218"/>
      <c r="CL200" s="218"/>
      <c r="CM200" s="218"/>
    </row>
    <row r="201" spans="1:91" hidden="1" x14ac:dyDescent="0.2">
      <c r="A201" s="426"/>
      <c r="B201" s="156" t="str">
        <f>Capacidades!M193</f>
        <v xml:space="preserve">   </v>
      </c>
      <c r="C201" s="157"/>
      <c r="D201" s="14"/>
      <c r="E201" s="14"/>
      <c r="F201" s="14"/>
      <c r="G201" s="14"/>
      <c r="H201" s="14"/>
      <c r="I201" s="14"/>
      <c r="J201" s="14"/>
      <c r="K201" s="14"/>
      <c r="L201" s="446"/>
      <c r="M201" s="292" t="str">
        <f t="shared" si="2"/>
        <v xml:space="preserve">   </v>
      </c>
      <c r="N201" s="218"/>
      <c r="O201" s="218"/>
      <c r="P201" s="218"/>
      <c r="Q201" s="218"/>
      <c r="R201" s="218"/>
      <c r="S201" s="218"/>
      <c r="T201" s="218"/>
      <c r="U201" s="218"/>
      <c r="V201" s="218"/>
      <c r="W201" s="218"/>
      <c r="X201" s="218"/>
      <c r="Y201" s="218"/>
      <c r="Z201" s="218"/>
      <c r="AA201" s="218"/>
      <c r="AB201" s="218"/>
      <c r="AC201" s="218"/>
      <c r="AD201" s="218"/>
      <c r="AE201" s="218"/>
      <c r="AF201" s="218"/>
      <c r="AG201" s="218"/>
      <c r="AH201" s="218"/>
      <c r="AI201" s="218"/>
      <c r="AJ201" s="218"/>
      <c r="AK201" s="218"/>
      <c r="AL201" s="218"/>
      <c r="AM201" s="218"/>
      <c r="AN201" s="218"/>
      <c r="AO201" s="218"/>
      <c r="AP201" s="218"/>
      <c r="AQ201" s="218"/>
      <c r="AR201" s="218"/>
      <c r="AS201" s="218"/>
      <c r="AT201" s="218"/>
      <c r="AU201" s="218"/>
      <c r="AV201" s="218"/>
      <c r="AW201" s="218"/>
      <c r="AX201" s="218"/>
      <c r="AY201" s="218"/>
      <c r="AZ201" s="218"/>
      <c r="BA201" s="218"/>
      <c r="BB201" s="218"/>
      <c r="BC201" s="218"/>
      <c r="BD201" s="218"/>
      <c r="BE201" s="218"/>
      <c r="BF201" s="218"/>
      <c r="BG201" s="218"/>
      <c r="BH201" s="218"/>
      <c r="BI201" s="218"/>
      <c r="BJ201" s="218"/>
      <c r="BK201" s="218"/>
      <c r="BL201" s="218"/>
      <c r="BM201" s="218"/>
      <c r="BN201" s="218"/>
      <c r="BO201" s="218"/>
      <c r="BP201" s="218"/>
      <c r="BQ201" s="218"/>
      <c r="BR201" s="218"/>
      <c r="BS201" s="218"/>
      <c r="BT201" s="218"/>
      <c r="BU201" s="218"/>
      <c r="BV201" s="218"/>
      <c r="BW201" s="218"/>
      <c r="BX201" s="218"/>
      <c r="BY201" s="218"/>
      <c r="BZ201" s="218"/>
      <c r="CA201" s="218"/>
      <c r="CB201" s="218"/>
      <c r="CC201" s="218"/>
      <c r="CD201" s="218"/>
      <c r="CE201" s="218"/>
      <c r="CF201" s="218"/>
      <c r="CG201" s="218"/>
      <c r="CH201" s="218"/>
      <c r="CI201" s="218"/>
      <c r="CJ201" s="218"/>
      <c r="CK201" s="218"/>
      <c r="CL201" s="218"/>
      <c r="CM201" s="218"/>
    </row>
    <row r="202" spans="1:91" hidden="1" x14ac:dyDescent="0.2">
      <c r="A202" s="426"/>
      <c r="B202" s="156" t="str">
        <f>Capacidades!M194</f>
        <v xml:space="preserve">   </v>
      </c>
      <c r="C202" s="157"/>
      <c r="D202" s="14"/>
      <c r="E202" s="14"/>
      <c r="F202" s="14"/>
      <c r="G202" s="14"/>
      <c r="H202" s="14"/>
      <c r="I202" s="14"/>
      <c r="J202" s="14"/>
      <c r="K202" s="14"/>
      <c r="L202" s="446"/>
      <c r="M202" s="292" t="str">
        <f t="shared" si="2"/>
        <v xml:space="preserve">   </v>
      </c>
      <c r="N202" s="218"/>
      <c r="O202" s="218"/>
      <c r="P202" s="218"/>
      <c r="Q202" s="218"/>
      <c r="R202" s="218"/>
      <c r="S202" s="218"/>
      <c r="T202" s="218"/>
      <c r="U202" s="218"/>
      <c r="V202" s="218"/>
      <c r="W202" s="218"/>
      <c r="X202" s="218"/>
      <c r="Y202" s="218"/>
      <c r="Z202" s="218"/>
      <c r="AA202" s="218"/>
      <c r="AB202" s="218"/>
      <c r="AC202" s="218"/>
      <c r="AD202" s="218"/>
      <c r="AE202" s="218"/>
      <c r="AF202" s="218"/>
      <c r="AG202" s="218"/>
      <c r="AH202" s="218"/>
      <c r="AI202" s="218"/>
      <c r="AJ202" s="218"/>
      <c r="AK202" s="218"/>
      <c r="AL202" s="218"/>
      <c r="AM202" s="218"/>
      <c r="AN202" s="218"/>
      <c r="AO202" s="218"/>
      <c r="AP202" s="218"/>
      <c r="AQ202" s="218"/>
      <c r="AR202" s="218"/>
      <c r="AS202" s="218"/>
      <c r="AT202" s="218"/>
      <c r="AU202" s="218"/>
      <c r="AV202" s="218"/>
      <c r="AW202" s="218"/>
      <c r="AX202" s="218"/>
      <c r="AY202" s="218"/>
      <c r="AZ202" s="218"/>
      <c r="BA202" s="218"/>
      <c r="BB202" s="218"/>
      <c r="BC202" s="218"/>
      <c r="BD202" s="218"/>
      <c r="BE202" s="218"/>
      <c r="BF202" s="218"/>
      <c r="BG202" s="218"/>
      <c r="BH202" s="218"/>
      <c r="BI202" s="218"/>
      <c r="BJ202" s="218"/>
      <c r="BK202" s="218"/>
      <c r="BL202" s="218"/>
      <c r="BM202" s="218"/>
      <c r="BN202" s="218"/>
      <c r="BO202" s="218"/>
      <c r="BP202" s="218"/>
      <c r="BQ202" s="218"/>
      <c r="BR202" s="218"/>
      <c r="BS202" s="218"/>
      <c r="BT202" s="218"/>
      <c r="BU202" s="218"/>
      <c r="BV202" s="218"/>
      <c r="BW202" s="218"/>
      <c r="BX202" s="218"/>
      <c r="BY202" s="218"/>
      <c r="BZ202" s="218"/>
      <c r="CA202" s="218"/>
      <c r="CB202" s="218"/>
      <c r="CC202" s="218"/>
      <c r="CD202" s="218"/>
      <c r="CE202" s="218"/>
      <c r="CF202" s="218"/>
      <c r="CG202" s="218"/>
      <c r="CH202" s="218"/>
      <c r="CI202" s="218"/>
      <c r="CJ202" s="218"/>
      <c r="CK202" s="218"/>
      <c r="CL202" s="218"/>
      <c r="CM202" s="218"/>
    </row>
    <row r="203" spans="1:91" hidden="1" x14ac:dyDescent="0.2">
      <c r="A203" s="426"/>
      <c r="B203" s="156" t="str">
        <f>Capacidades!M195</f>
        <v xml:space="preserve">   </v>
      </c>
      <c r="C203" s="157"/>
      <c r="D203" s="14"/>
      <c r="E203" s="14"/>
      <c r="F203" s="14"/>
      <c r="G203" s="14"/>
      <c r="H203" s="14"/>
      <c r="I203" s="14"/>
      <c r="J203" s="14"/>
      <c r="K203" s="14"/>
      <c r="L203" s="446"/>
      <c r="M203" s="292" t="str">
        <f t="shared" si="2"/>
        <v xml:space="preserve">   </v>
      </c>
      <c r="N203" s="218"/>
      <c r="O203" s="218"/>
      <c r="P203" s="218"/>
      <c r="Q203" s="218"/>
      <c r="R203" s="218"/>
      <c r="S203" s="218"/>
      <c r="T203" s="218"/>
      <c r="U203" s="218"/>
      <c r="V203" s="218"/>
      <c r="W203" s="218"/>
      <c r="X203" s="218"/>
      <c r="Y203" s="218"/>
      <c r="Z203" s="218"/>
      <c r="AA203" s="218"/>
      <c r="AB203" s="218"/>
      <c r="AC203" s="218"/>
      <c r="AD203" s="218"/>
      <c r="AE203" s="218"/>
      <c r="AF203" s="218"/>
      <c r="AG203" s="218"/>
      <c r="AH203" s="218"/>
      <c r="AI203" s="218"/>
      <c r="AJ203" s="218"/>
      <c r="AK203" s="218"/>
      <c r="AL203" s="218"/>
      <c r="AM203" s="218"/>
      <c r="AN203" s="218"/>
      <c r="AO203" s="218"/>
      <c r="AP203" s="218"/>
      <c r="AQ203" s="218"/>
      <c r="AR203" s="218"/>
      <c r="AS203" s="218"/>
      <c r="AT203" s="218"/>
      <c r="AU203" s="218"/>
      <c r="AV203" s="218"/>
      <c r="AW203" s="218"/>
      <c r="AX203" s="218"/>
      <c r="AY203" s="218"/>
      <c r="AZ203" s="218"/>
      <c r="BA203" s="218"/>
      <c r="BB203" s="218"/>
      <c r="BC203" s="218"/>
      <c r="BD203" s="218"/>
      <c r="BE203" s="218"/>
      <c r="BF203" s="218"/>
      <c r="BG203" s="218"/>
      <c r="BH203" s="218"/>
      <c r="BI203" s="218"/>
      <c r="BJ203" s="218"/>
      <c r="BK203" s="218"/>
      <c r="BL203" s="218"/>
      <c r="BM203" s="218"/>
      <c r="BN203" s="218"/>
      <c r="BO203" s="218"/>
      <c r="BP203" s="218"/>
      <c r="BQ203" s="218"/>
      <c r="BR203" s="218"/>
      <c r="BS203" s="218"/>
      <c r="BT203" s="218"/>
      <c r="BU203" s="218"/>
      <c r="BV203" s="218"/>
      <c r="BW203" s="218"/>
      <c r="BX203" s="218"/>
      <c r="BY203" s="218"/>
      <c r="BZ203" s="218"/>
      <c r="CA203" s="218"/>
      <c r="CB203" s="218"/>
      <c r="CC203" s="218"/>
      <c r="CD203" s="218"/>
      <c r="CE203" s="218"/>
      <c r="CF203" s="218"/>
      <c r="CG203" s="218"/>
      <c r="CH203" s="218"/>
      <c r="CI203" s="218"/>
      <c r="CJ203" s="218"/>
      <c r="CK203" s="218"/>
      <c r="CL203" s="218"/>
      <c r="CM203" s="218"/>
    </row>
    <row r="204" spans="1:91" hidden="1" x14ac:dyDescent="0.2">
      <c r="A204" s="426"/>
      <c r="B204" s="156" t="str">
        <f>Capacidades!M196</f>
        <v xml:space="preserve">   </v>
      </c>
      <c r="C204" s="157"/>
      <c r="D204" s="14"/>
      <c r="E204" s="14"/>
      <c r="F204" s="14"/>
      <c r="G204" s="14"/>
      <c r="H204" s="14"/>
      <c r="I204" s="14"/>
      <c r="J204" s="14"/>
      <c r="K204" s="14"/>
      <c r="L204" s="446"/>
      <c r="M204" s="292" t="str">
        <f t="shared" si="2"/>
        <v xml:space="preserve">   </v>
      </c>
      <c r="N204" s="218"/>
      <c r="O204" s="218"/>
      <c r="P204" s="218"/>
      <c r="Q204" s="218"/>
      <c r="R204" s="218"/>
      <c r="S204" s="218"/>
      <c r="T204" s="218"/>
      <c r="U204" s="218"/>
      <c r="V204" s="218"/>
      <c r="W204" s="218"/>
      <c r="X204" s="218"/>
      <c r="Y204" s="218"/>
      <c r="Z204" s="218"/>
      <c r="AA204" s="218"/>
      <c r="AB204" s="218"/>
      <c r="AC204" s="218"/>
      <c r="AD204" s="218"/>
      <c r="AE204" s="218"/>
      <c r="AF204" s="218"/>
      <c r="AG204" s="218"/>
      <c r="AH204" s="218"/>
      <c r="AI204" s="218"/>
      <c r="AJ204" s="218"/>
      <c r="AK204" s="218"/>
      <c r="AL204" s="218"/>
      <c r="AM204" s="218"/>
      <c r="AN204" s="218"/>
      <c r="AO204" s="218"/>
      <c r="AP204" s="218"/>
      <c r="AQ204" s="218"/>
      <c r="AR204" s="218"/>
      <c r="AS204" s="218"/>
      <c r="AT204" s="218"/>
      <c r="AU204" s="218"/>
      <c r="AV204" s="218"/>
      <c r="AW204" s="218"/>
      <c r="AX204" s="218"/>
      <c r="AY204" s="218"/>
      <c r="AZ204" s="218"/>
      <c r="BA204" s="218"/>
      <c r="BB204" s="218"/>
      <c r="BC204" s="218"/>
      <c r="BD204" s="218"/>
      <c r="BE204" s="218"/>
      <c r="BF204" s="218"/>
      <c r="BG204" s="218"/>
      <c r="BH204" s="218"/>
      <c r="BI204" s="218"/>
      <c r="BJ204" s="218"/>
      <c r="BK204" s="218"/>
      <c r="BL204" s="218"/>
      <c r="BM204" s="218"/>
      <c r="BN204" s="218"/>
      <c r="BO204" s="218"/>
      <c r="BP204" s="218"/>
      <c r="BQ204" s="218"/>
      <c r="BR204" s="218"/>
      <c r="BS204" s="218"/>
      <c r="BT204" s="218"/>
      <c r="BU204" s="218"/>
      <c r="BV204" s="218"/>
      <c r="BW204" s="218"/>
      <c r="BX204" s="218"/>
      <c r="BY204" s="218"/>
      <c r="BZ204" s="218"/>
      <c r="CA204" s="218"/>
      <c r="CB204" s="218"/>
      <c r="CC204" s="218"/>
      <c r="CD204" s="218"/>
      <c r="CE204" s="218"/>
      <c r="CF204" s="218"/>
      <c r="CG204" s="218"/>
      <c r="CH204" s="218"/>
      <c r="CI204" s="218"/>
      <c r="CJ204" s="218"/>
      <c r="CK204" s="218"/>
      <c r="CL204" s="218"/>
      <c r="CM204" s="218"/>
    </row>
    <row r="205" spans="1:91" hidden="1" x14ac:dyDescent="0.2">
      <c r="A205" s="426"/>
      <c r="B205" s="156" t="str">
        <f>Capacidades!M197</f>
        <v xml:space="preserve">   </v>
      </c>
      <c r="C205" s="157"/>
      <c r="D205" s="14"/>
      <c r="E205" s="14"/>
      <c r="F205" s="14"/>
      <c r="G205" s="14"/>
      <c r="H205" s="14"/>
      <c r="I205" s="14"/>
      <c r="J205" s="14"/>
      <c r="K205" s="14"/>
      <c r="L205" s="446"/>
      <c r="M205" s="292" t="str">
        <f t="shared" si="2"/>
        <v xml:space="preserve">   </v>
      </c>
      <c r="N205" s="218"/>
      <c r="O205" s="218"/>
      <c r="P205" s="218"/>
      <c r="Q205" s="218"/>
      <c r="R205" s="218"/>
      <c r="S205" s="218"/>
      <c r="T205" s="218"/>
      <c r="U205" s="218"/>
      <c r="V205" s="218"/>
      <c r="W205" s="218"/>
      <c r="X205" s="218"/>
      <c r="Y205" s="218"/>
      <c r="Z205" s="218"/>
      <c r="AA205" s="218"/>
      <c r="AB205" s="218"/>
      <c r="AC205" s="218"/>
      <c r="AD205" s="218"/>
      <c r="AE205" s="218"/>
      <c r="AF205" s="218"/>
      <c r="AG205" s="218"/>
      <c r="AH205" s="218"/>
      <c r="AI205" s="218"/>
      <c r="AJ205" s="218"/>
      <c r="AK205" s="218"/>
      <c r="AL205" s="218"/>
      <c r="AM205" s="218"/>
      <c r="AN205" s="218"/>
      <c r="AO205" s="218"/>
      <c r="AP205" s="218"/>
      <c r="AQ205" s="218"/>
      <c r="AR205" s="218"/>
      <c r="AS205" s="218"/>
      <c r="AT205" s="218"/>
      <c r="AU205" s="218"/>
      <c r="AV205" s="218"/>
      <c r="AW205" s="218"/>
      <c r="AX205" s="218"/>
      <c r="AY205" s="218"/>
      <c r="AZ205" s="218"/>
      <c r="BA205" s="218"/>
      <c r="BB205" s="218"/>
      <c r="BC205" s="218"/>
      <c r="BD205" s="218"/>
      <c r="BE205" s="218"/>
      <c r="BF205" s="218"/>
      <c r="BG205" s="218"/>
      <c r="BH205" s="218"/>
      <c r="BI205" s="218"/>
      <c r="BJ205" s="218"/>
      <c r="BK205" s="218"/>
      <c r="BL205" s="218"/>
      <c r="BM205" s="218"/>
      <c r="BN205" s="218"/>
      <c r="BO205" s="218"/>
      <c r="BP205" s="218"/>
      <c r="BQ205" s="218"/>
      <c r="BR205" s="218"/>
      <c r="BS205" s="218"/>
      <c r="BT205" s="218"/>
      <c r="BU205" s="218"/>
      <c r="BV205" s="218"/>
      <c r="BW205" s="218"/>
      <c r="BX205" s="218"/>
      <c r="BY205" s="218"/>
      <c r="BZ205" s="218"/>
      <c r="CA205" s="218"/>
      <c r="CB205" s="218"/>
      <c r="CC205" s="218"/>
      <c r="CD205" s="218"/>
      <c r="CE205" s="218"/>
      <c r="CF205" s="218"/>
      <c r="CG205" s="218"/>
      <c r="CH205" s="218"/>
      <c r="CI205" s="218"/>
      <c r="CJ205" s="218"/>
      <c r="CK205" s="218"/>
      <c r="CL205" s="218"/>
      <c r="CM205" s="218"/>
    </row>
    <row r="206" spans="1:91" hidden="1" x14ac:dyDescent="0.2">
      <c r="A206" s="426"/>
      <c r="B206" s="156" t="str">
        <f>Capacidades!M198</f>
        <v xml:space="preserve">   </v>
      </c>
      <c r="C206" s="157"/>
      <c r="D206" s="14"/>
      <c r="E206" s="14"/>
      <c r="F206" s="14"/>
      <c r="G206" s="14"/>
      <c r="H206" s="14"/>
      <c r="I206" s="14"/>
      <c r="J206" s="14"/>
      <c r="K206" s="14"/>
      <c r="L206" s="446"/>
      <c r="M206" s="292" t="str">
        <f t="shared" si="2"/>
        <v xml:space="preserve">   </v>
      </c>
      <c r="N206" s="218"/>
      <c r="O206" s="218"/>
      <c r="P206" s="218"/>
      <c r="Q206" s="218"/>
      <c r="R206" s="218"/>
      <c r="S206" s="218"/>
      <c r="T206" s="218"/>
      <c r="U206" s="218"/>
      <c r="V206" s="218"/>
      <c r="W206" s="218"/>
      <c r="X206" s="218"/>
      <c r="Y206" s="218"/>
      <c r="Z206" s="218"/>
      <c r="AA206" s="218"/>
      <c r="AB206" s="218"/>
      <c r="AC206" s="218"/>
      <c r="AD206" s="218"/>
      <c r="AE206" s="218"/>
      <c r="AF206" s="218"/>
      <c r="AG206" s="218"/>
      <c r="AH206" s="218"/>
      <c r="AI206" s="218"/>
      <c r="AJ206" s="218"/>
      <c r="AK206" s="218"/>
      <c r="AL206" s="218"/>
      <c r="AM206" s="218"/>
      <c r="AN206" s="218"/>
      <c r="AO206" s="218"/>
      <c r="AP206" s="218"/>
      <c r="AQ206" s="218"/>
      <c r="AR206" s="218"/>
      <c r="AS206" s="218"/>
      <c r="AT206" s="218"/>
      <c r="AU206" s="218"/>
      <c r="AV206" s="218"/>
      <c r="AW206" s="218"/>
      <c r="AX206" s="218"/>
      <c r="AY206" s="218"/>
      <c r="AZ206" s="218"/>
      <c r="BA206" s="218"/>
      <c r="BB206" s="218"/>
      <c r="BC206" s="218"/>
      <c r="BD206" s="218"/>
      <c r="BE206" s="218"/>
      <c r="BF206" s="218"/>
      <c r="BG206" s="218"/>
      <c r="BH206" s="218"/>
      <c r="BI206" s="218"/>
      <c r="BJ206" s="218"/>
      <c r="BK206" s="218"/>
      <c r="BL206" s="218"/>
      <c r="BM206" s="218"/>
      <c r="BN206" s="218"/>
      <c r="BO206" s="218"/>
      <c r="BP206" s="218"/>
      <c r="BQ206" s="218"/>
      <c r="BR206" s="218"/>
      <c r="BS206" s="218"/>
      <c r="BT206" s="218"/>
      <c r="BU206" s="218"/>
      <c r="BV206" s="218"/>
      <c r="BW206" s="218"/>
      <c r="BX206" s="218"/>
      <c r="BY206" s="218"/>
      <c r="BZ206" s="218"/>
      <c r="CA206" s="218"/>
      <c r="CB206" s="218"/>
      <c r="CC206" s="218"/>
      <c r="CD206" s="218"/>
      <c r="CE206" s="218"/>
      <c r="CF206" s="218"/>
      <c r="CG206" s="218"/>
      <c r="CH206" s="218"/>
      <c r="CI206" s="218"/>
      <c r="CJ206" s="218"/>
      <c r="CK206" s="218"/>
      <c r="CL206" s="218"/>
      <c r="CM206" s="218"/>
    </row>
    <row r="207" spans="1:91" hidden="1" x14ac:dyDescent="0.2">
      <c r="A207" s="427"/>
      <c r="B207" s="156" t="str">
        <f>Capacidades!M199</f>
        <v xml:space="preserve">   </v>
      </c>
      <c r="C207" s="157"/>
      <c r="D207" s="16"/>
      <c r="E207" s="16"/>
      <c r="F207" s="16"/>
      <c r="G207" s="16"/>
      <c r="H207" s="16"/>
      <c r="I207" s="16"/>
      <c r="J207" s="16"/>
      <c r="K207" s="16"/>
      <c r="L207" s="447"/>
      <c r="M207" s="292" t="str">
        <f t="shared" si="2"/>
        <v xml:space="preserve">   </v>
      </c>
      <c r="N207" s="218"/>
      <c r="O207" s="218"/>
      <c r="P207" s="218"/>
      <c r="Q207" s="218"/>
      <c r="R207" s="218"/>
      <c r="S207" s="218"/>
      <c r="T207" s="218"/>
      <c r="U207" s="218"/>
      <c r="V207" s="218"/>
      <c r="W207" s="218"/>
      <c r="X207" s="218"/>
      <c r="Y207" s="218"/>
      <c r="Z207" s="218"/>
      <c r="AA207" s="218"/>
      <c r="AB207" s="218"/>
      <c r="AC207" s="218"/>
      <c r="AD207" s="218"/>
      <c r="AE207" s="218"/>
      <c r="AF207" s="218"/>
      <c r="AG207" s="218"/>
      <c r="AH207" s="218"/>
      <c r="AI207" s="218"/>
      <c r="AJ207" s="218"/>
      <c r="AK207" s="218"/>
      <c r="AL207" s="218"/>
      <c r="AM207" s="218"/>
      <c r="AN207" s="218"/>
      <c r="AO207" s="218"/>
      <c r="AP207" s="218"/>
      <c r="AQ207" s="218"/>
      <c r="AR207" s="218"/>
      <c r="AS207" s="218"/>
      <c r="AT207" s="218"/>
      <c r="AU207" s="218"/>
      <c r="AV207" s="218"/>
      <c r="AW207" s="218"/>
      <c r="AX207" s="218"/>
      <c r="AY207" s="218"/>
      <c r="AZ207" s="218"/>
      <c r="BA207" s="218"/>
      <c r="BB207" s="218"/>
      <c r="BC207" s="218"/>
      <c r="BD207" s="218"/>
      <c r="BE207" s="218"/>
      <c r="BF207" s="218"/>
      <c r="BG207" s="218"/>
      <c r="BH207" s="218"/>
      <c r="BI207" s="218"/>
      <c r="BJ207" s="218"/>
      <c r="BK207" s="218"/>
      <c r="BL207" s="218"/>
      <c r="BM207" s="218"/>
      <c r="BN207" s="218"/>
      <c r="BO207" s="218"/>
      <c r="BP207" s="218"/>
      <c r="BQ207" s="218"/>
      <c r="BR207" s="218"/>
      <c r="BS207" s="218"/>
      <c r="BT207" s="218"/>
      <c r="BU207" s="218"/>
      <c r="BV207" s="218"/>
      <c r="BW207" s="218"/>
      <c r="BX207" s="218"/>
      <c r="BY207" s="218"/>
      <c r="BZ207" s="218"/>
      <c r="CA207" s="218"/>
      <c r="CB207" s="218"/>
      <c r="CC207" s="218"/>
      <c r="CD207" s="218"/>
      <c r="CE207" s="218"/>
      <c r="CF207" s="218"/>
      <c r="CG207" s="218"/>
      <c r="CH207" s="218"/>
      <c r="CI207" s="218"/>
      <c r="CJ207" s="218"/>
      <c r="CK207" s="218"/>
      <c r="CL207" s="218"/>
      <c r="CM207" s="218"/>
    </row>
    <row r="208" spans="1:91" ht="5.25" hidden="1" customHeight="1" x14ac:dyDescent="0.2">
      <c r="A208" s="425" t="str">
        <f>Capacidades!L200</f>
        <v xml:space="preserve">       </v>
      </c>
      <c r="B208" s="156" t="str">
        <f>Capacidades!M200</f>
        <v xml:space="preserve">   </v>
      </c>
      <c r="C208" s="157"/>
      <c r="D208" s="12">
        <f>Organización_Modular!F29</f>
        <v>0</v>
      </c>
      <c r="E208" s="12">
        <f>Organización_Modular!G29</f>
        <v>0</v>
      </c>
      <c r="F208" s="12">
        <f>Organización_Modular!H29</f>
        <v>0</v>
      </c>
      <c r="G208" s="12">
        <f>Organización_Modular!I29</f>
        <v>0</v>
      </c>
      <c r="H208" s="12">
        <f>SUM(F208:G208)</f>
        <v>0</v>
      </c>
      <c r="I208" s="12">
        <f>F208*16</f>
        <v>0</v>
      </c>
      <c r="J208" s="12">
        <f>G208*32</f>
        <v>0</v>
      </c>
      <c r="K208" s="12">
        <f>SUM(I208:J208)</f>
        <v>0</v>
      </c>
      <c r="L208" s="445"/>
      <c r="M208" s="292" t="str">
        <f t="shared" si="2"/>
        <v xml:space="preserve">   </v>
      </c>
      <c r="N208" s="218"/>
      <c r="O208" s="218"/>
      <c r="P208" s="218"/>
      <c r="Q208" s="218"/>
      <c r="R208" s="218"/>
      <c r="S208" s="218"/>
      <c r="T208" s="218"/>
      <c r="U208" s="218"/>
      <c r="V208" s="218"/>
      <c r="W208" s="218"/>
      <c r="X208" s="218"/>
      <c r="Y208" s="218"/>
      <c r="Z208" s="218"/>
      <c r="AA208" s="218"/>
      <c r="AB208" s="218"/>
      <c r="AC208" s="218"/>
      <c r="AD208" s="218"/>
      <c r="AE208" s="218"/>
      <c r="AF208" s="218"/>
      <c r="AG208" s="218"/>
      <c r="AH208" s="218"/>
      <c r="AI208" s="218"/>
      <c r="AJ208" s="218"/>
      <c r="AK208" s="218"/>
      <c r="AL208" s="218"/>
      <c r="AM208" s="218"/>
      <c r="AN208" s="218"/>
      <c r="AO208" s="218"/>
      <c r="AP208" s="218"/>
      <c r="AQ208" s="218"/>
      <c r="AR208" s="218"/>
      <c r="AS208" s="218"/>
      <c r="AT208" s="218"/>
      <c r="AU208" s="218"/>
      <c r="AV208" s="218"/>
      <c r="AW208" s="218"/>
      <c r="AX208" s="218"/>
      <c r="AY208" s="218"/>
      <c r="AZ208" s="218"/>
      <c r="BA208" s="218"/>
      <c r="BB208" s="218"/>
      <c r="BC208" s="218"/>
      <c r="BD208" s="218"/>
      <c r="BE208" s="218"/>
      <c r="BF208" s="218"/>
      <c r="BG208" s="218"/>
      <c r="BH208" s="218"/>
      <c r="BI208" s="218"/>
      <c r="BJ208" s="218"/>
      <c r="BK208" s="218"/>
      <c r="BL208" s="218"/>
      <c r="BM208" s="218"/>
      <c r="BN208" s="218"/>
      <c r="BO208" s="218"/>
      <c r="BP208" s="218"/>
      <c r="BQ208" s="218"/>
      <c r="BR208" s="218"/>
      <c r="BS208" s="218"/>
      <c r="BT208" s="218"/>
      <c r="BU208" s="218"/>
      <c r="BV208" s="218"/>
      <c r="BW208" s="218"/>
      <c r="BX208" s="218"/>
      <c r="BY208" s="218"/>
      <c r="BZ208" s="218"/>
      <c r="CA208" s="218"/>
      <c r="CB208" s="218"/>
      <c r="CC208" s="218"/>
      <c r="CD208" s="218"/>
      <c r="CE208" s="218"/>
      <c r="CF208" s="218"/>
      <c r="CG208" s="218"/>
      <c r="CH208" s="218"/>
      <c r="CI208" s="218"/>
      <c r="CJ208" s="218"/>
      <c r="CK208" s="218"/>
      <c r="CL208" s="218"/>
      <c r="CM208" s="218"/>
    </row>
    <row r="209" spans="1:91" hidden="1" x14ac:dyDescent="0.2">
      <c r="A209" s="426"/>
      <c r="B209" s="156" t="str">
        <f>Capacidades!M201</f>
        <v xml:space="preserve">   </v>
      </c>
      <c r="C209" s="157"/>
      <c r="D209" s="14"/>
      <c r="E209" s="14"/>
      <c r="F209" s="14"/>
      <c r="G209" s="14"/>
      <c r="H209" s="14"/>
      <c r="I209" s="14"/>
      <c r="J209" s="14"/>
      <c r="K209" s="14"/>
      <c r="L209" s="446"/>
      <c r="M209" s="292" t="str">
        <f t="shared" si="2"/>
        <v xml:space="preserve">   </v>
      </c>
      <c r="N209" s="218"/>
      <c r="O209" s="218"/>
      <c r="P209" s="218"/>
      <c r="Q209" s="218"/>
      <c r="R209" s="218"/>
      <c r="S209" s="218"/>
      <c r="T209" s="218"/>
      <c r="U209" s="218"/>
      <c r="V209" s="218"/>
      <c r="W209" s="218"/>
      <c r="X209" s="218"/>
      <c r="Y209" s="218"/>
      <c r="Z209" s="218"/>
      <c r="AA209" s="218"/>
      <c r="AB209" s="218"/>
      <c r="AC209" s="218"/>
      <c r="AD209" s="218"/>
      <c r="AE209" s="218"/>
      <c r="AF209" s="218"/>
      <c r="AG209" s="218"/>
      <c r="AH209" s="218"/>
      <c r="AI209" s="218"/>
      <c r="AJ209" s="218"/>
      <c r="AK209" s="218"/>
      <c r="AL209" s="218"/>
      <c r="AM209" s="218"/>
      <c r="AN209" s="218"/>
      <c r="AO209" s="218"/>
      <c r="AP209" s="218"/>
      <c r="AQ209" s="218"/>
      <c r="AR209" s="218"/>
      <c r="AS209" s="218"/>
      <c r="AT209" s="218"/>
      <c r="AU209" s="218"/>
      <c r="AV209" s="218"/>
      <c r="AW209" s="218"/>
      <c r="AX209" s="218"/>
      <c r="AY209" s="218"/>
      <c r="AZ209" s="218"/>
      <c r="BA209" s="218"/>
      <c r="BB209" s="218"/>
      <c r="BC209" s="218"/>
      <c r="BD209" s="218"/>
      <c r="BE209" s="218"/>
      <c r="BF209" s="218"/>
      <c r="BG209" s="218"/>
      <c r="BH209" s="218"/>
      <c r="BI209" s="218"/>
      <c r="BJ209" s="218"/>
      <c r="BK209" s="218"/>
      <c r="BL209" s="218"/>
      <c r="BM209" s="218"/>
      <c r="BN209" s="218"/>
      <c r="BO209" s="218"/>
      <c r="BP209" s="218"/>
      <c r="BQ209" s="218"/>
      <c r="BR209" s="218"/>
      <c r="BS209" s="218"/>
      <c r="BT209" s="218"/>
      <c r="BU209" s="218"/>
      <c r="BV209" s="218"/>
      <c r="BW209" s="218"/>
      <c r="BX209" s="218"/>
      <c r="BY209" s="218"/>
      <c r="BZ209" s="218"/>
      <c r="CA209" s="218"/>
      <c r="CB209" s="218"/>
      <c r="CC209" s="218"/>
      <c r="CD209" s="218"/>
      <c r="CE209" s="218"/>
      <c r="CF209" s="218"/>
      <c r="CG209" s="218"/>
      <c r="CH209" s="218"/>
      <c r="CI209" s="218"/>
      <c r="CJ209" s="218"/>
      <c r="CK209" s="218"/>
      <c r="CL209" s="218"/>
      <c r="CM209" s="218"/>
    </row>
    <row r="210" spans="1:91" hidden="1" x14ac:dyDescent="0.2">
      <c r="A210" s="426"/>
      <c r="B210" s="156" t="str">
        <f>Capacidades!M202</f>
        <v xml:space="preserve">   </v>
      </c>
      <c r="C210" s="157"/>
      <c r="D210" s="14"/>
      <c r="E210" s="14"/>
      <c r="F210" s="14"/>
      <c r="G210" s="14"/>
      <c r="H210" s="14"/>
      <c r="I210" s="14"/>
      <c r="J210" s="14"/>
      <c r="K210" s="14"/>
      <c r="L210" s="446"/>
      <c r="M210" s="292" t="str">
        <f t="shared" si="2"/>
        <v xml:space="preserve">   </v>
      </c>
      <c r="N210" s="218"/>
      <c r="O210" s="218"/>
      <c r="P210" s="218"/>
      <c r="Q210" s="218"/>
      <c r="R210" s="218"/>
      <c r="S210" s="218"/>
      <c r="T210" s="218"/>
      <c r="U210" s="218"/>
      <c r="V210" s="218"/>
      <c r="W210" s="218"/>
      <c r="X210" s="218"/>
      <c r="Y210" s="218"/>
      <c r="Z210" s="218"/>
      <c r="AA210" s="218"/>
      <c r="AB210" s="218"/>
      <c r="AC210" s="218"/>
      <c r="AD210" s="218"/>
      <c r="AE210" s="218"/>
      <c r="AF210" s="218"/>
      <c r="AG210" s="218"/>
      <c r="AH210" s="218"/>
      <c r="AI210" s="218"/>
      <c r="AJ210" s="218"/>
      <c r="AK210" s="218"/>
      <c r="AL210" s="218"/>
      <c r="AM210" s="218"/>
      <c r="AN210" s="218"/>
      <c r="AO210" s="218"/>
      <c r="AP210" s="218"/>
      <c r="AQ210" s="218"/>
      <c r="AR210" s="218"/>
      <c r="AS210" s="218"/>
      <c r="AT210" s="218"/>
      <c r="AU210" s="218"/>
      <c r="AV210" s="218"/>
      <c r="AW210" s="218"/>
      <c r="AX210" s="218"/>
      <c r="AY210" s="218"/>
      <c r="AZ210" s="218"/>
      <c r="BA210" s="218"/>
      <c r="BB210" s="218"/>
      <c r="BC210" s="218"/>
      <c r="BD210" s="218"/>
      <c r="BE210" s="218"/>
      <c r="BF210" s="218"/>
      <c r="BG210" s="218"/>
      <c r="BH210" s="218"/>
      <c r="BI210" s="218"/>
      <c r="BJ210" s="218"/>
      <c r="BK210" s="218"/>
      <c r="BL210" s="218"/>
      <c r="BM210" s="218"/>
      <c r="BN210" s="218"/>
      <c r="BO210" s="218"/>
      <c r="BP210" s="218"/>
      <c r="BQ210" s="218"/>
      <c r="BR210" s="218"/>
      <c r="BS210" s="218"/>
      <c r="BT210" s="218"/>
      <c r="BU210" s="218"/>
      <c r="BV210" s="218"/>
      <c r="BW210" s="218"/>
      <c r="BX210" s="218"/>
      <c r="BY210" s="218"/>
      <c r="BZ210" s="218"/>
      <c r="CA210" s="218"/>
      <c r="CB210" s="218"/>
      <c r="CC210" s="218"/>
      <c r="CD210" s="218"/>
      <c r="CE210" s="218"/>
      <c r="CF210" s="218"/>
      <c r="CG210" s="218"/>
      <c r="CH210" s="218"/>
      <c r="CI210" s="218"/>
      <c r="CJ210" s="218"/>
      <c r="CK210" s="218"/>
      <c r="CL210" s="218"/>
      <c r="CM210" s="218"/>
    </row>
    <row r="211" spans="1:91" hidden="1" x14ac:dyDescent="0.2">
      <c r="A211" s="426"/>
      <c r="B211" s="156" t="str">
        <f>Capacidades!M203</f>
        <v xml:space="preserve">   </v>
      </c>
      <c r="C211" s="157"/>
      <c r="D211" s="14"/>
      <c r="E211" s="14"/>
      <c r="F211" s="14"/>
      <c r="G211" s="14"/>
      <c r="H211" s="14"/>
      <c r="I211" s="14"/>
      <c r="J211" s="14"/>
      <c r="K211" s="14"/>
      <c r="L211" s="446"/>
      <c r="M211" s="292" t="str">
        <f t="shared" ref="M211:M217" si="3">B211</f>
        <v xml:space="preserve">   </v>
      </c>
      <c r="N211" s="218"/>
      <c r="O211" s="218"/>
      <c r="P211" s="218"/>
      <c r="Q211" s="218"/>
      <c r="R211" s="218"/>
      <c r="S211" s="218"/>
      <c r="T211" s="218"/>
      <c r="U211" s="218"/>
      <c r="V211" s="218"/>
      <c r="W211" s="218"/>
      <c r="X211" s="218"/>
      <c r="Y211" s="218"/>
      <c r="Z211" s="218"/>
      <c r="AA211" s="218"/>
      <c r="AB211" s="218"/>
      <c r="AC211" s="218"/>
      <c r="AD211" s="218"/>
      <c r="AE211" s="218"/>
      <c r="AF211" s="218"/>
      <c r="AG211" s="218"/>
      <c r="AH211" s="218"/>
      <c r="AI211" s="218"/>
      <c r="AJ211" s="218"/>
      <c r="AK211" s="218"/>
      <c r="AL211" s="218"/>
      <c r="AM211" s="218"/>
      <c r="AN211" s="218"/>
      <c r="AO211" s="218"/>
      <c r="AP211" s="218"/>
      <c r="AQ211" s="218"/>
      <c r="AR211" s="218"/>
      <c r="AS211" s="218"/>
      <c r="AT211" s="218"/>
      <c r="AU211" s="218"/>
      <c r="AV211" s="218"/>
      <c r="AW211" s="218"/>
      <c r="AX211" s="218"/>
      <c r="AY211" s="218"/>
      <c r="AZ211" s="218"/>
      <c r="BA211" s="218"/>
      <c r="BB211" s="218"/>
      <c r="BC211" s="218"/>
      <c r="BD211" s="218"/>
      <c r="BE211" s="218"/>
      <c r="BF211" s="218"/>
      <c r="BG211" s="218"/>
      <c r="BH211" s="218"/>
      <c r="BI211" s="218"/>
      <c r="BJ211" s="218"/>
      <c r="BK211" s="218"/>
      <c r="BL211" s="218"/>
      <c r="BM211" s="218"/>
      <c r="BN211" s="218"/>
      <c r="BO211" s="218"/>
      <c r="BP211" s="218"/>
      <c r="BQ211" s="218"/>
      <c r="BR211" s="218"/>
      <c r="BS211" s="218"/>
      <c r="BT211" s="218"/>
      <c r="BU211" s="218"/>
      <c r="BV211" s="218"/>
      <c r="BW211" s="218"/>
      <c r="BX211" s="218"/>
      <c r="BY211" s="218"/>
      <c r="BZ211" s="218"/>
      <c r="CA211" s="218"/>
      <c r="CB211" s="218"/>
      <c r="CC211" s="218"/>
      <c r="CD211" s="218"/>
      <c r="CE211" s="218"/>
      <c r="CF211" s="218"/>
      <c r="CG211" s="218"/>
      <c r="CH211" s="218"/>
      <c r="CI211" s="218"/>
      <c r="CJ211" s="218"/>
      <c r="CK211" s="218"/>
      <c r="CL211" s="218"/>
      <c r="CM211" s="218"/>
    </row>
    <row r="212" spans="1:91" hidden="1" x14ac:dyDescent="0.2">
      <c r="A212" s="426"/>
      <c r="B212" s="156" t="str">
        <f>Capacidades!M204</f>
        <v xml:space="preserve">   </v>
      </c>
      <c r="C212" s="157"/>
      <c r="D212" s="14"/>
      <c r="E212" s="14"/>
      <c r="F212" s="14"/>
      <c r="G212" s="14"/>
      <c r="H212" s="14"/>
      <c r="I212" s="14"/>
      <c r="J212" s="14"/>
      <c r="K212" s="14"/>
      <c r="L212" s="446"/>
      <c r="M212" s="292" t="str">
        <f t="shared" si="3"/>
        <v xml:space="preserve">   </v>
      </c>
      <c r="N212" s="218"/>
      <c r="O212" s="218"/>
      <c r="P212" s="218"/>
      <c r="Q212" s="218"/>
      <c r="R212" s="218"/>
      <c r="S212" s="218"/>
      <c r="T212" s="218"/>
      <c r="U212" s="218"/>
      <c r="V212" s="218"/>
      <c r="W212" s="218"/>
      <c r="X212" s="218"/>
      <c r="Y212" s="218"/>
      <c r="Z212" s="218"/>
      <c r="AA212" s="218"/>
      <c r="AB212" s="218"/>
      <c r="AC212" s="218"/>
      <c r="AD212" s="218"/>
      <c r="AE212" s="218"/>
      <c r="AF212" s="218"/>
      <c r="AG212" s="218"/>
      <c r="AH212" s="218"/>
      <c r="AI212" s="218"/>
      <c r="AJ212" s="218"/>
      <c r="AK212" s="218"/>
      <c r="AL212" s="218"/>
      <c r="AM212" s="218"/>
      <c r="AN212" s="218"/>
      <c r="AO212" s="218"/>
      <c r="AP212" s="218"/>
      <c r="AQ212" s="218"/>
      <c r="AR212" s="218"/>
      <c r="AS212" s="218"/>
      <c r="AT212" s="218"/>
      <c r="AU212" s="218"/>
      <c r="AV212" s="218"/>
      <c r="AW212" s="218"/>
      <c r="AX212" s="218"/>
      <c r="AY212" s="218"/>
      <c r="AZ212" s="218"/>
      <c r="BA212" s="218"/>
      <c r="BB212" s="218"/>
      <c r="BC212" s="218"/>
      <c r="BD212" s="218"/>
      <c r="BE212" s="218"/>
      <c r="BF212" s="218"/>
      <c r="BG212" s="218"/>
      <c r="BH212" s="218"/>
      <c r="BI212" s="218"/>
      <c r="BJ212" s="218"/>
      <c r="BK212" s="218"/>
      <c r="BL212" s="218"/>
      <c r="BM212" s="218"/>
      <c r="BN212" s="218"/>
      <c r="BO212" s="218"/>
      <c r="BP212" s="218"/>
      <c r="BQ212" s="218"/>
      <c r="BR212" s="218"/>
      <c r="BS212" s="218"/>
      <c r="BT212" s="218"/>
      <c r="BU212" s="218"/>
      <c r="BV212" s="218"/>
      <c r="BW212" s="218"/>
      <c r="BX212" s="218"/>
      <c r="BY212" s="218"/>
      <c r="BZ212" s="218"/>
      <c r="CA212" s="218"/>
      <c r="CB212" s="218"/>
      <c r="CC212" s="218"/>
      <c r="CD212" s="218"/>
      <c r="CE212" s="218"/>
      <c r="CF212" s="218"/>
      <c r="CG212" s="218"/>
      <c r="CH212" s="218"/>
      <c r="CI212" s="218"/>
      <c r="CJ212" s="218"/>
      <c r="CK212" s="218"/>
      <c r="CL212" s="218"/>
      <c r="CM212" s="218"/>
    </row>
    <row r="213" spans="1:91" hidden="1" x14ac:dyDescent="0.2">
      <c r="A213" s="426"/>
      <c r="B213" s="156" t="str">
        <f>Capacidades!M205</f>
        <v xml:space="preserve">   </v>
      </c>
      <c r="C213" s="157"/>
      <c r="D213" s="14"/>
      <c r="E213" s="14"/>
      <c r="F213" s="14"/>
      <c r="G213" s="14"/>
      <c r="H213" s="14"/>
      <c r="I213" s="14"/>
      <c r="J213" s="14"/>
      <c r="K213" s="14"/>
      <c r="L213" s="446"/>
      <c r="M213" s="292" t="str">
        <f t="shared" si="3"/>
        <v xml:space="preserve">   </v>
      </c>
      <c r="N213" s="218"/>
      <c r="O213" s="218"/>
      <c r="P213" s="218"/>
      <c r="Q213" s="218"/>
      <c r="R213" s="218"/>
      <c r="S213" s="218"/>
      <c r="T213" s="218"/>
      <c r="U213" s="218"/>
      <c r="V213" s="218"/>
      <c r="W213" s="218"/>
      <c r="X213" s="218"/>
      <c r="Y213" s="218"/>
      <c r="Z213" s="218"/>
      <c r="AA213" s="218"/>
      <c r="AB213" s="218"/>
      <c r="AC213" s="218"/>
      <c r="AD213" s="218"/>
      <c r="AE213" s="218"/>
      <c r="AF213" s="218"/>
      <c r="AG213" s="218"/>
      <c r="AH213" s="218"/>
      <c r="AI213" s="218"/>
      <c r="AJ213" s="218"/>
      <c r="AK213" s="218"/>
      <c r="AL213" s="218"/>
      <c r="AM213" s="218"/>
      <c r="AN213" s="218"/>
      <c r="AO213" s="218"/>
      <c r="AP213" s="218"/>
      <c r="AQ213" s="218"/>
      <c r="AR213" s="218"/>
      <c r="AS213" s="218"/>
      <c r="AT213" s="218"/>
      <c r="AU213" s="218"/>
      <c r="AV213" s="218"/>
      <c r="AW213" s="218"/>
      <c r="AX213" s="218"/>
      <c r="AY213" s="218"/>
      <c r="AZ213" s="218"/>
      <c r="BA213" s="218"/>
      <c r="BB213" s="218"/>
      <c r="BC213" s="218"/>
      <c r="BD213" s="218"/>
      <c r="BE213" s="218"/>
      <c r="BF213" s="218"/>
      <c r="BG213" s="218"/>
      <c r="BH213" s="218"/>
      <c r="BI213" s="218"/>
      <c r="BJ213" s="218"/>
      <c r="BK213" s="218"/>
      <c r="BL213" s="218"/>
      <c r="BM213" s="218"/>
      <c r="BN213" s="218"/>
      <c r="BO213" s="218"/>
      <c r="BP213" s="218"/>
      <c r="BQ213" s="218"/>
      <c r="BR213" s="218"/>
      <c r="BS213" s="218"/>
      <c r="BT213" s="218"/>
      <c r="BU213" s="218"/>
      <c r="BV213" s="218"/>
      <c r="BW213" s="218"/>
      <c r="BX213" s="218"/>
      <c r="BY213" s="218"/>
      <c r="BZ213" s="218"/>
      <c r="CA213" s="218"/>
      <c r="CB213" s="218"/>
      <c r="CC213" s="218"/>
      <c r="CD213" s="218"/>
      <c r="CE213" s="218"/>
      <c r="CF213" s="218"/>
      <c r="CG213" s="218"/>
      <c r="CH213" s="218"/>
      <c r="CI213" s="218"/>
      <c r="CJ213" s="218"/>
      <c r="CK213" s="218"/>
      <c r="CL213" s="218"/>
      <c r="CM213" s="218"/>
    </row>
    <row r="214" spans="1:91" hidden="1" x14ac:dyDescent="0.2">
      <c r="A214" s="426"/>
      <c r="B214" s="156" t="str">
        <f>Capacidades!M206</f>
        <v xml:space="preserve">   </v>
      </c>
      <c r="C214" s="157"/>
      <c r="D214" s="14"/>
      <c r="E214" s="14"/>
      <c r="F214" s="14"/>
      <c r="G214" s="14"/>
      <c r="H214" s="14"/>
      <c r="I214" s="14"/>
      <c r="J214" s="14"/>
      <c r="K214" s="14"/>
      <c r="L214" s="446"/>
      <c r="M214" s="292" t="str">
        <f t="shared" si="3"/>
        <v xml:space="preserve">   </v>
      </c>
      <c r="N214" s="218"/>
      <c r="O214" s="218"/>
      <c r="P214" s="218"/>
      <c r="Q214" s="218"/>
      <c r="R214" s="218"/>
      <c r="S214" s="218"/>
      <c r="T214" s="218"/>
      <c r="U214" s="218"/>
      <c r="V214" s="218"/>
      <c r="W214" s="218"/>
      <c r="X214" s="218"/>
      <c r="Y214" s="218"/>
      <c r="Z214" s="218"/>
      <c r="AA214" s="218"/>
      <c r="AB214" s="218"/>
      <c r="AC214" s="218"/>
      <c r="AD214" s="218"/>
      <c r="AE214" s="218"/>
      <c r="AF214" s="218"/>
      <c r="AG214" s="218"/>
      <c r="AH214" s="218"/>
      <c r="AI214" s="218"/>
      <c r="AJ214" s="218"/>
      <c r="AK214" s="218"/>
      <c r="AL214" s="218"/>
      <c r="AM214" s="218"/>
      <c r="AN214" s="218"/>
      <c r="AO214" s="218"/>
      <c r="AP214" s="218"/>
      <c r="AQ214" s="218"/>
      <c r="AR214" s="218"/>
      <c r="AS214" s="218"/>
      <c r="AT214" s="218"/>
      <c r="AU214" s="218"/>
      <c r="AV214" s="218"/>
      <c r="AW214" s="218"/>
      <c r="AX214" s="218"/>
      <c r="AY214" s="218"/>
      <c r="AZ214" s="218"/>
      <c r="BA214" s="218"/>
      <c r="BB214" s="218"/>
      <c r="BC214" s="218"/>
      <c r="BD214" s="218"/>
      <c r="BE214" s="218"/>
      <c r="BF214" s="218"/>
      <c r="BG214" s="218"/>
      <c r="BH214" s="218"/>
      <c r="BI214" s="218"/>
      <c r="BJ214" s="218"/>
      <c r="BK214" s="218"/>
      <c r="BL214" s="218"/>
      <c r="BM214" s="218"/>
      <c r="BN214" s="218"/>
      <c r="BO214" s="218"/>
      <c r="BP214" s="218"/>
      <c r="BQ214" s="218"/>
      <c r="BR214" s="218"/>
      <c r="BS214" s="218"/>
      <c r="BT214" s="218"/>
      <c r="BU214" s="218"/>
      <c r="BV214" s="218"/>
      <c r="BW214" s="218"/>
      <c r="BX214" s="218"/>
      <c r="BY214" s="218"/>
      <c r="BZ214" s="218"/>
      <c r="CA214" s="218"/>
      <c r="CB214" s="218"/>
      <c r="CC214" s="218"/>
      <c r="CD214" s="218"/>
      <c r="CE214" s="218"/>
      <c r="CF214" s="218"/>
      <c r="CG214" s="218"/>
      <c r="CH214" s="218"/>
      <c r="CI214" s="218"/>
      <c r="CJ214" s="218"/>
      <c r="CK214" s="218"/>
      <c r="CL214" s="218"/>
      <c r="CM214" s="218"/>
    </row>
    <row r="215" spans="1:91" hidden="1" x14ac:dyDescent="0.2">
      <c r="A215" s="426"/>
      <c r="B215" s="156" t="str">
        <f>Capacidades!M207</f>
        <v xml:space="preserve">   </v>
      </c>
      <c r="C215" s="157"/>
      <c r="D215" s="14"/>
      <c r="E215" s="14"/>
      <c r="F215" s="14"/>
      <c r="G215" s="14"/>
      <c r="H215" s="14"/>
      <c r="I215" s="14"/>
      <c r="J215" s="14"/>
      <c r="K215" s="14"/>
      <c r="L215" s="446"/>
      <c r="M215" s="292" t="str">
        <f t="shared" si="3"/>
        <v xml:space="preserve">   </v>
      </c>
      <c r="N215" s="218"/>
      <c r="O215" s="218"/>
      <c r="P215" s="218"/>
      <c r="Q215" s="218"/>
      <c r="R215" s="218"/>
      <c r="S215" s="218"/>
      <c r="T215" s="218"/>
      <c r="U215" s="218"/>
      <c r="V215" s="218"/>
      <c r="W215" s="218"/>
      <c r="X215" s="218"/>
      <c r="Y215" s="218"/>
      <c r="Z215" s="218"/>
      <c r="AA215" s="218"/>
      <c r="AB215" s="218"/>
      <c r="AC215" s="218"/>
      <c r="AD215" s="218"/>
      <c r="AE215" s="218"/>
      <c r="AF215" s="218"/>
      <c r="AG215" s="218"/>
      <c r="AH215" s="218"/>
      <c r="AI215" s="218"/>
      <c r="AJ215" s="218"/>
      <c r="AK215" s="218"/>
      <c r="AL215" s="218"/>
      <c r="AM215" s="218"/>
      <c r="AN215" s="218"/>
      <c r="AO215" s="218"/>
      <c r="AP215" s="218"/>
      <c r="AQ215" s="218"/>
      <c r="AR215" s="218"/>
      <c r="AS215" s="218"/>
      <c r="AT215" s="218"/>
      <c r="AU215" s="218"/>
      <c r="AV215" s="218"/>
      <c r="AW215" s="218"/>
      <c r="AX215" s="218"/>
      <c r="AY215" s="218"/>
      <c r="AZ215" s="218"/>
      <c r="BA215" s="218"/>
      <c r="BB215" s="218"/>
      <c r="BC215" s="218"/>
      <c r="BD215" s="218"/>
      <c r="BE215" s="218"/>
      <c r="BF215" s="218"/>
      <c r="BG215" s="218"/>
      <c r="BH215" s="218"/>
      <c r="BI215" s="218"/>
      <c r="BJ215" s="218"/>
      <c r="BK215" s="218"/>
      <c r="BL215" s="218"/>
      <c r="BM215" s="218"/>
      <c r="BN215" s="218"/>
      <c r="BO215" s="218"/>
      <c r="BP215" s="218"/>
      <c r="BQ215" s="218"/>
      <c r="BR215" s="218"/>
      <c r="BS215" s="218"/>
      <c r="BT215" s="218"/>
      <c r="BU215" s="218"/>
      <c r="BV215" s="218"/>
      <c r="BW215" s="218"/>
      <c r="BX215" s="218"/>
      <c r="BY215" s="218"/>
      <c r="BZ215" s="218"/>
      <c r="CA215" s="218"/>
      <c r="CB215" s="218"/>
      <c r="CC215" s="218"/>
      <c r="CD215" s="218"/>
      <c r="CE215" s="218"/>
      <c r="CF215" s="218"/>
      <c r="CG215" s="218"/>
      <c r="CH215" s="218"/>
      <c r="CI215" s="218"/>
      <c r="CJ215" s="218"/>
      <c r="CK215" s="218"/>
      <c r="CL215" s="218"/>
      <c r="CM215" s="218"/>
    </row>
    <row r="216" spans="1:91" hidden="1" x14ac:dyDescent="0.2">
      <c r="A216" s="426"/>
      <c r="B216" s="156" t="str">
        <f>Capacidades!M208</f>
        <v xml:space="preserve">   </v>
      </c>
      <c r="C216" s="157"/>
      <c r="D216" s="14"/>
      <c r="E216" s="14"/>
      <c r="F216" s="14"/>
      <c r="G216" s="14"/>
      <c r="H216" s="14"/>
      <c r="I216" s="14"/>
      <c r="J216" s="14"/>
      <c r="K216" s="14"/>
      <c r="L216" s="446"/>
      <c r="M216" s="292" t="str">
        <f t="shared" si="3"/>
        <v xml:space="preserve">   </v>
      </c>
      <c r="N216" s="218"/>
      <c r="O216" s="218"/>
      <c r="P216" s="218"/>
      <c r="Q216" s="218"/>
      <c r="R216" s="218"/>
      <c r="S216" s="218"/>
      <c r="T216" s="218"/>
      <c r="U216" s="218"/>
      <c r="V216" s="218"/>
      <c r="W216" s="218"/>
      <c r="X216" s="218"/>
      <c r="Y216" s="218"/>
      <c r="Z216" s="218"/>
      <c r="AA216" s="218"/>
      <c r="AB216" s="218"/>
      <c r="AC216" s="218"/>
      <c r="AD216" s="218"/>
      <c r="AE216" s="218"/>
      <c r="AF216" s="218"/>
      <c r="AG216" s="218"/>
      <c r="AH216" s="218"/>
      <c r="AI216" s="218"/>
      <c r="AJ216" s="218"/>
      <c r="AK216" s="218"/>
      <c r="AL216" s="218"/>
      <c r="AM216" s="218"/>
      <c r="AN216" s="218"/>
      <c r="AO216" s="218"/>
      <c r="AP216" s="218"/>
      <c r="AQ216" s="218"/>
      <c r="AR216" s="218"/>
      <c r="AS216" s="218"/>
      <c r="AT216" s="218"/>
      <c r="AU216" s="218"/>
      <c r="AV216" s="218"/>
      <c r="AW216" s="218"/>
      <c r="AX216" s="218"/>
      <c r="AY216" s="218"/>
      <c r="AZ216" s="218"/>
      <c r="BA216" s="218"/>
      <c r="BB216" s="218"/>
      <c r="BC216" s="218"/>
      <c r="BD216" s="218"/>
      <c r="BE216" s="218"/>
      <c r="BF216" s="218"/>
      <c r="BG216" s="218"/>
      <c r="BH216" s="218"/>
      <c r="BI216" s="218"/>
      <c r="BJ216" s="218"/>
      <c r="BK216" s="218"/>
      <c r="BL216" s="218"/>
      <c r="BM216" s="218"/>
      <c r="BN216" s="218"/>
      <c r="BO216" s="218"/>
      <c r="BP216" s="218"/>
      <c r="BQ216" s="218"/>
      <c r="BR216" s="218"/>
      <c r="BS216" s="218"/>
      <c r="BT216" s="218"/>
      <c r="BU216" s="218"/>
      <c r="BV216" s="218"/>
      <c r="BW216" s="218"/>
      <c r="BX216" s="218"/>
      <c r="BY216" s="218"/>
      <c r="BZ216" s="218"/>
      <c r="CA216" s="218"/>
      <c r="CB216" s="218"/>
      <c r="CC216" s="218"/>
      <c r="CD216" s="218"/>
      <c r="CE216" s="218"/>
      <c r="CF216" s="218"/>
      <c r="CG216" s="218"/>
      <c r="CH216" s="218"/>
      <c r="CI216" s="218"/>
      <c r="CJ216" s="218"/>
      <c r="CK216" s="218"/>
      <c r="CL216" s="218"/>
      <c r="CM216" s="218"/>
    </row>
    <row r="217" spans="1:91" hidden="1" x14ac:dyDescent="0.2">
      <c r="A217" s="427"/>
      <c r="B217" s="156" t="str">
        <f>Capacidades!M209</f>
        <v xml:space="preserve">   </v>
      </c>
      <c r="C217" s="157"/>
      <c r="D217" s="16"/>
      <c r="E217" s="16"/>
      <c r="F217" s="16"/>
      <c r="G217" s="16"/>
      <c r="H217" s="16"/>
      <c r="I217" s="16"/>
      <c r="J217" s="16"/>
      <c r="K217" s="16"/>
      <c r="L217" s="447"/>
      <c r="M217" s="292" t="str">
        <f t="shared" si="3"/>
        <v xml:space="preserve">   </v>
      </c>
      <c r="N217" s="218"/>
      <c r="O217" s="218"/>
      <c r="P217" s="218"/>
      <c r="Q217" s="218"/>
      <c r="R217" s="218"/>
      <c r="S217" s="218"/>
      <c r="T217" s="218"/>
      <c r="U217" s="218"/>
      <c r="V217" s="218"/>
      <c r="W217" s="218"/>
      <c r="X217" s="218"/>
      <c r="Y217" s="218"/>
      <c r="Z217" s="218"/>
      <c r="AA217" s="218"/>
      <c r="AB217" s="218"/>
      <c r="AC217" s="218"/>
      <c r="AD217" s="218"/>
      <c r="AE217" s="218"/>
      <c r="AF217" s="218"/>
      <c r="AG217" s="218"/>
      <c r="AH217" s="218"/>
      <c r="AI217" s="218"/>
      <c r="AJ217" s="218"/>
      <c r="AK217" s="218"/>
      <c r="AL217" s="218"/>
      <c r="AM217" s="218"/>
      <c r="AN217" s="218"/>
      <c r="AO217" s="218"/>
      <c r="AP217" s="218"/>
      <c r="AQ217" s="218"/>
      <c r="AR217" s="218"/>
      <c r="AS217" s="218"/>
      <c r="AT217" s="218"/>
      <c r="AU217" s="218"/>
      <c r="AV217" s="218"/>
      <c r="AW217" s="218"/>
      <c r="AX217" s="218"/>
      <c r="AY217" s="218"/>
      <c r="AZ217" s="218"/>
      <c r="BA217" s="218"/>
      <c r="BB217" s="218"/>
      <c r="BC217" s="218"/>
      <c r="BD217" s="218"/>
      <c r="BE217" s="218"/>
      <c r="BF217" s="218"/>
      <c r="BG217" s="218"/>
      <c r="BH217" s="218"/>
      <c r="BI217" s="218"/>
      <c r="BJ217" s="218"/>
      <c r="BK217" s="218"/>
      <c r="BL217" s="218"/>
      <c r="BM217" s="218"/>
      <c r="BN217" s="218"/>
      <c r="BO217" s="218"/>
      <c r="BP217" s="218"/>
      <c r="BQ217" s="218"/>
      <c r="BR217" s="218"/>
      <c r="BS217" s="218"/>
      <c r="BT217" s="218"/>
      <c r="BU217" s="218"/>
      <c r="BV217" s="218"/>
      <c r="BW217" s="218"/>
      <c r="BX217" s="218"/>
      <c r="BY217" s="218"/>
      <c r="BZ217" s="218"/>
      <c r="CA217" s="218"/>
      <c r="CB217" s="218"/>
      <c r="CC217" s="218"/>
      <c r="CD217" s="218"/>
      <c r="CE217" s="218"/>
      <c r="CF217" s="218"/>
      <c r="CG217" s="218"/>
      <c r="CH217" s="218"/>
      <c r="CI217" s="218"/>
      <c r="CJ217" s="218"/>
      <c r="CK217" s="218"/>
      <c r="CL217" s="218"/>
      <c r="CM217" s="218"/>
    </row>
    <row r="218" spans="1:91" ht="23.25" customHeight="1" x14ac:dyDescent="0.2">
      <c r="A218" s="466" t="s">
        <v>86</v>
      </c>
      <c r="B218" s="466"/>
      <c r="C218" s="466"/>
      <c r="D218" s="466"/>
      <c r="E218" s="466"/>
      <c r="F218" s="466"/>
      <c r="G218" s="466"/>
      <c r="H218" s="466"/>
      <c r="I218" s="466"/>
      <c r="J218" s="466"/>
      <c r="K218" s="466"/>
      <c r="L218" s="466"/>
      <c r="M218" s="292" t="str">
        <f>A218</f>
        <v>COMPETENCIAS PARA LA EMPLEABILIDAD INCORPORADAS MEDIANTE UNIDAD DIDÁCTICA</v>
      </c>
      <c r="N218" s="218"/>
      <c r="O218" s="218"/>
      <c r="P218" s="218"/>
      <c r="Q218" s="218"/>
      <c r="R218" s="218"/>
      <c r="S218" s="218"/>
      <c r="T218" s="218"/>
      <c r="U218" s="218"/>
      <c r="V218" s="218"/>
      <c r="W218" s="218"/>
      <c r="X218" s="218"/>
      <c r="Y218" s="218"/>
      <c r="Z218" s="218"/>
      <c r="AA218" s="218"/>
      <c r="AB218" s="218"/>
      <c r="AC218" s="218"/>
      <c r="AD218" s="218"/>
      <c r="AE218" s="218"/>
      <c r="AF218" s="218"/>
      <c r="AG218" s="218"/>
      <c r="AH218" s="218"/>
      <c r="AI218" s="218"/>
      <c r="AJ218" s="218"/>
      <c r="AK218" s="218"/>
      <c r="AL218" s="218"/>
      <c r="AM218" s="218"/>
      <c r="AN218" s="218"/>
      <c r="AO218" s="218"/>
      <c r="AP218" s="218"/>
      <c r="AQ218" s="218"/>
      <c r="AR218" s="218"/>
      <c r="AS218" s="218"/>
      <c r="AT218" s="218"/>
      <c r="AU218" s="218"/>
      <c r="AV218" s="218"/>
      <c r="AW218" s="218"/>
      <c r="AX218" s="218"/>
      <c r="AY218" s="218"/>
      <c r="AZ218" s="218"/>
      <c r="BA218" s="218"/>
      <c r="BB218" s="218"/>
      <c r="BC218" s="218"/>
      <c r="BD218" s="218"/>
      <c r="BE218" s="218"/>
      <c r="BF218" s="218"/>
      <c r="BG218" s="218"/>
      <c r="BH218" s="218"/>
      <c r="BI218" s="218"/>
      <c r="BJ218" s="218"/>
      <c r="BK218" s="218"/>
      <c r="BL218" s="218"/>
      <c r="BM218" s="218"/>
      <c r="BN218" s="218"/>
      <c r="BO218" s="218"/>
      <c r="BP218" s="218"/>
      <c r="BQ218" s="218"/>
      <c r="BR218" s="218"/>
      <c r="BS218" s="218"/>
      <c r="BT218" s="218"/>
      <c r="BU218" s="218"/>
      <c r="BV218" s="218"/>
      <c r="BW218" s="218"/>
      <c r="BX218" s="218"/>
      <c r="BY218" s="218"/>
      <c r="BZ218" s="218"/>
      <c r="CA218" s="218"/>
      <c r="CB218" s="218"/>
      <c r="CC218" s="218"/>
      <c r="CD218" s="218"/>
      <c r="CE218" s="218"/>
      <c r="CF218" s="218"/>
      <c r="CG218" s="218"/>
      <c r="CH218" s="218"/>
      <c r="CI218" s="218"/>
      <c r="CJ218" s="218"/>
      <c r="CK218" s="218"/>
      <c r="CL218" s="218"/>
      <c r="CM218" s="218"/>
    </row>
    <row r="219" spans="1:91" ht="79.5" customHeight="1" x14ac:dyDescent="0.2">
      <c r="A219" s="467" t="str">
        <f>Organización_Modular!C30</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B219" s="467"/>
      <c r="C219" s="467"/>
      <c r="D219" s="467"/>
      <c r="E219" s="467"/>
      <c r="F219" s="467"/>
      <c r="G219" s="467"/>
      <c r="H219" s="467"/>
      <c r="I219" s="467"/>
      <c r="J219" s="467"/>
      <c r="K219" s="467"/>
      <c r="L219" s="467"/>
      <c r="M219" s="295" t="str">
        <f>A219</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c r="AK219" s="292"/>
      <c r="AL219" s="292"/>
      <c r="AM219" s="292"/>
      <c r="AN219" s="292"/>
      <c r="AO219" s="292"/>
      <c r="AP219" s="292"/>
      <c r="AQ219" s="292"/>
      <c r="AR219" s="292"/>
      <c r="AS219" s="292"/>
      <c r="AT219" s="292"/>
      <c r="AU219" s="292"/>
      <c r="AV219" s="292"/>
      <c r="AW219" s="292"/>
      <c r="AX219" s="292"/>
      <c r="AY219" s="292"/>
      <c r="AZ219" s="292"/>
      <c r="BA219" s="292"/>
      <c r="BB219" s="292"/>
      <c r="BC219" s="292"/>
      <c r="BD219" s="292"/>
      <c r="BE219" s="292"/>
      <c r="BF219" s="292"/>
      <c r="BG219" s="292"/>
      <c r="BH219" s="292"/>
      <c r="BI219" s="292"/>
      <c r="BJ219" s="292"/>
      <c r="BK219" s="292"/>
      <c r="BL219" s="292"/>
      <c r="BM219" s="292"/>
      <c r="BN219" s="292"/>
      <c r="BO219" s="292"/>
      <c r="BP219" s="292"/>
      <c r="BQ219" s="292"/>
      <c r="BR219" s="292"/>
      <c r="BS219" s="292"/>
      <c r="BT219" s="292"/>
      <c r="BU219" s="292"/>
      <c r="BV219" s="292"/>
      <c r="BW219" s="292"/>
      <c r="BX219" s="292"/>
      <c r="BY219" s="292"/>
      <c r="BZ219" s="292"/>
      <c r="CA219" s="292"/>
      <c r="CB219" s="292"/>
      <c r="CC219" s="292"/>
      <c r="CD219" s="292"/>
      <c r="CE219" s="292"/>
      <c r="CF219" s="292"/>
      <c r="CG219" s="292"/>
      <c r="CH219" s="292"/>
      <c r="CI219" s="292"/>
      <c r="CJ219" s="292"/>
      <c r="CK219" s="292"/>
      <c r="CL219" s="292"/>
      <c r="CM219" s="292"/>
    </row>
    <row r="220" spans="1:91" ht="12.75" customHeight="1" x14ac:dyDescent="0.2">
      <c r="A220" s="471" t="s">
        <v>80</v>
      </c>
      <c r="B220" s="474" t="s">
        <v>79</v>
      </c>
      <c r="C220" s="471" t="s">
        <v>78</v>
      </c>
      <c r="D220" s="471" t="s">
        <v>0</v>
      </c>
      <c r="E220" s="459" t="s">
        <v>50</v>
      </c>
      <c r="F220" s="471" t="s">
        <v>71</v>
      </c>
      <c r="G220" s="471"/>
      <c r="H220" s="471" t="s">
        <v>71</v>
      </c>
      <c r="I220" s="471" t="s">
        <v>77</v>
      </c>
      <c r="J220" s="471"/>
      <c r="K220" s="471" t="s">
        <v>77</v>
      </c>
      <c r="L220" s="471" t="s">
        <v>76</v>
      </c>
      <c r="M220" s="292" t="str">
        <f t="shared" ref="M220" si="4">A220</f>
        <v>CAPACIDADES DE EMPLEABILIDAD</v>
      </c>
      <c r="N220" s="218"/>
      <c r="O220" s="218"/>
      <c r="P220" s="218"/>
      <c r="Q220" s="218"/>
      <c r="R220" s="218"/>
      <c r="S220" s="218"/>
      <c r="T220" s="218"/>
      <c r="U220" s="218"/>
      <c r="V220" s="218"/>
      <c r="W220" s="218"/>
      <c r="X220" s="218"/>
      <c r="Y220" s="218"/>
      <c r="Z220" s="218"/>
      <c r="AA220" s="218"/>
      <c r="AB220" s="218"/>
      <c r="AC220" s="218"/>
      <c r="AD220" s="218"/>
      <c r="AE220" s="218"/>
      <c r="AF220" s="218"/>
      <c r="AG220" s="218"/>
      <c r="AH220" s="218"/>
      <c r="AI220" s="218"/>
      <c r="AJ220" s="218"/>
      <c r="AK220" s="218"/>
      <c r="AL220" s="218"/>
      <c r="AM220" s="218"/>
      <c r="AN220" s="218"/>
      <c r="AO220" s="218"/>
      <c r="AP220" s="218"/>
      <c r="AQ220" s="218"/>
      <c r="AR220" s="218"/>
      <c r="AS220" s="218"/>
      <c r="AT220" s="218"/>
      <c r="AU220" s="218"/>
      <c r="AV220" s="218"/>
      <c r="AW220" s="218"/>
      <c r="AX220" s="218"/>
      <c r="AY220" s="218"/>
      <c r="AZ220" s="218"/>
      <c r="BA220" s="218"/>
      <c r="BB220" s="218"/>
      <c r="BC220" s="218"/>
      <c r="BD220" s="218"/>
      <c r="BE220" s="218"/>
      <c r="BF220" s="218"/>
      <c r="BG220" s="218"/>
      <c r="BH220" s="218"/>
      <c r="BI220" s="218"/>
      <c r="BJ220" s="218"/>
      <c r="BK220" s="218"/>
      <c r="BL220" s="218"/>
      <c r="BM220" s="218"/>
      <c r="BN220" s="218"/>
      <c r="BO220" s="218"/>
      <c r="BP220" s="218"/>
      <c r="BQ220" s="218"/>
      <c r="BR220" s="218"/>
      <c r="BS220" s="218"/>
      <c r="BT220" s="218"/>
      <c r="BU220" s="218"/>
      <c r="BV220" s="218"/>
      <c r="BW220" s="218"/>
      <c r="BX220" s="218"/>
      <c r="BY220" s="218"/>
      <c r="BZ220" s="218"/>
      <c r="CA220" s="218"/>
      <c r="CB220" s="218"/>
      <c r="CC220" s="218"/>
      <c r="CD220" s="218"/>
      <c r="CE220" s="218"/>
      <c r="CF220" s="218"/>
      <c r="CG220" s="218"/>
      <c r="CH220" s="218"/>
      <c r="CI220" s="218"/>
      <c r="CJ220" s="218"/>
      <c r="CK220" s="218"/>
      <c r="CL220" s="218"/>
      <c r="CM220" s="218"/>
    </row>
    <row r="221" spans="1:91" ht="31.5" customHeight="1" x14ac:dyDescent="0.2">
      <c r="A221" s="471"/>
      <c r="B221" s="474"/>
      <c r="C221" s="471"/>
      <c r="D221" s="471"/>
      <c r="E221" s="459"/>
      <c r="F221" s="147" t="s">
        <v>75</v>
      </c>
      <c r="G221" s="147" t="s">
        <v>74</v>
      </c>
      <c r="H221" s="471"/>
      <c r="I221" s="147" t="s">
        <v>75</v>
      </c>
      <c r="J221" s="147" t="s">
        <v>74</v>
      </c>
      <c r="K221" s="471"/>
      <c r="L221" s="471"/>
      <c r="M221" s="292" t="str">
        <f>A220</f>
        <v>CAPACIDADES DE EMPLEABILIDAD</v>
      </c>
      <c r="N221" s="218"/>
      <c r="O221" s="218"/>
      <c r="P221" s="218"/>
      <c r="Q221" s="218"/>
      <c r="R221" s="218"/>
      <c r="S221" s="218"/>
      <c r="T221" s="218"/>
      <c r="U221" s="218"/>
      <c r="V221" s="218"/>
      <c r="W221" s="218"/>
      <c r="X221" s="218"/>
      <c r="Y221" s="218"/>
      <c r="Z221" s="218"/>
      <c r="AA221" s="218"/>
      <c r="AB221" s="218"/>
      <c r="AC221" s="218"/>
      <c r="AD221" s="218"/>
      <c r="AE221" s="218"/>
      <c r="AF221" s="218"/>
      <c r="AG221" s="218"/>
      <c r="AH221" s="218"/>
      <c r="AI221" s="218"/>
      <c r="AJ221" s="218"/>
      <c r="AK221" s="218"/>
      <c r="AL221" s="218"/>
      <c r="AM221" s="218"/>
      <c r="AN221" s="218"/>
      <c r="AO221" s="218"/>
      <c r="AP221" s="218"/>
      <c r="AQ221" s="218"/>
      <c r="AR221" s="218"/>
      <c r="AS221" s="218"/>
      <c r="AT221" s="218"/>
      <c r="AU221" s="218"/>
      <c r="AV221" s="218"/>
      <c r="AW221" s="218"/>
      <c r="AX221" s="218"/>
      <c r="AY221" s="218"/>
      <c r="AZ221" s="218"/>
      <c r="BA221" s="218"/>
      <c r="BB221" s="218"/>
      <c r="BC221" s="218"/>
      <c r="BD221" s="218"/>
      <c r="BE221" s="218"/>
      <c r="BF221" s="218"/>
      <c r="BG221" s="218"/>
      <c r="BH221" s="218"/>
      <c r="BI221" s="218"/>
      <c r="BJ221" s="218"/>
      <c r="BK221" s="218"/>
      <c r="BL221" s="218"/>
      <c r="BM221" s="218"/>
      <c r="BN221" s="218"/>
      <c r="BO221" s="218"/>
      <c r="BP221" s="218"/>
      <c r="BQ221" s="218"/>
      <c r="BR221" s="218"/>
      <c r="BS221" s="218"/>
      <c r="BT221" s="218"/>
      <c r="BU221" s="218"/>
      <c r="BV221" s="218"/>
      <c r="BW221" s="218"/>
      <c r="BX221" s="218"/>
      <c r="BY221" s="218"/>
      <c r="BZ221" s="218"/>
      <c r="CA221" s="218"/>
      <c r="CB221" s="218"/>
      <c r="CC221" s="218"/>
      <c r="CD221" s="218"/>
      <c r="CE221" s="218"/>
      <c r="CF221" s="218"/>
      <c r="CG221" s="218"/>
      <c r="CH221" s="218"/>
      <c r="CI221" s="218"/>
      <c r="CJ221" s="218"/>
      <c r="CK221" s="218"/>
      <c r="CL221" s="218"/>
      <c r="CM221" s="218"/>
    </row>
    <row r="222" spans="1:91" ht="99.75" customHeight="1" x14ac:dyDescent="0.2">
      <c r="A222" s="425" t="str">
        <f>Capacidades!L210</f>
        <v>CE1 C1 Comunicar conceptos, ideas, opiniones, sentimientos y hechos  en forma oral en situaciones relacionadas a su entorno personal y profesional. 
CE1 C2 Transmitir conceptos, ideas, opiniones, sentimientos y hechos en forma escrita en situaciones relacionadas a su entorno social y laboral.</v>
      </c>
      <c r="B222" s="156" t="str">
        <f>Capacidades!M210</f>
        <v>C1  I1 Participa  en diálogos planteando sus opiniones, proponiendo ideas, compartiendo saberes y escuchando a los demás.</v>
      </c>
      <c r="C222" s="159" t="s">
        <v>511</v>
      </c>
      <c r="D222" s="14" t="str">
        <f>Organización_Modular!F30</f>
        <v>Comunicación para el desarrollo personal y profesional</v>
      </c>
      <c r="E222" s="14" t="str">
        <f>Organización_Modular!G30</f>
        <v>I</v>
      </c>
      <c r="F222" s="14">
        <f>Organización_Modular!H30</f>
        <v>1</v>
      </c>
      <c r="G222" s="14">
        <f>Organización_Modular!I30</f>
        <v>1</v>
      </c>
      <c r="H222" s="14">
        <f>SUM(F222:G222)</f>
        <v>2</v>
      </c>
      <c r="I222" s="14">
        <f>F222*16</f>
        <v>16</v>
      </c>
      <c r="J222" s="14">
        <f>G222*32</f>
        <v>32</v>
      </c>
      <c r="K222" s="14">
        <f>SUM(I222:J222)</f>
        <v>48</v>
      </c>
      <c r="L222" s="424" t="s">
        <v>510</v>
      </c>
      <c r="M222" s="292" t="str">
        <f>B222</f>
        <v>C1  I1 Participa  en diálogos planteando sus opiniones, proponiendo ideas, compartiendo saberes y escuchando a los demás.</v>
      </c>
      <c r="N222" s="218"/>
      <c r="O222" s="218"/>
      <c r="P222" s="218"/>
      <c r="Q222" s="218"/>
      <c r="R222" s="218"/>
      <c r="S222" s="218"/>
      <c r="T222" s="218"/>
      <c r="U222" s="218"/>
      <c r="V222" s="218"/>
      <c r="W222" s="218"/>
      <c r="X222" s="218"/>
      <c r="Y222" s="218"/>
      <c r="Z222" s="218"/>
      <c r="AA222" s="218"/>
      <c r="AB222" s="218"/>
      <c r="AC222" s="218"/>
      <c r="AD222" s="218"/>
      <c r="AE222" s="218"/>
      <c r="AF222" s="218"/>
      <c r="AG222" s="218"/>
      <c r="AH222" s="218"/>
      <c r="AI222" s="218"/>
      <c r="AJ222" s="218"/>
      <c r="AK222" s="218"/>
      <c r="AL222" s="218"/>
      <c r="AM222" s="218"/>
      <c r="AN222" s="218"/>
      <c r="AO222" s="218"/>
      <c r="AP222" s="218"/>
      <c r="AQ222" s="218"/>
      <c r="AR222" s="218"/>
      <c r="AS222" s="218"/>
      <c r="AT222" s="218"/>
      <c r="AU222" s="218"/>
      <c r="AV222" s="218"/>
      <c r="AW222" s="218"/>
      <c r="AX222" s="218"/>
      <c r="AY222" s="218"/>
      <c r="AZ222" s="218"/>
      <c r="BA222" s="218"/>
      <c r="BB222" s="218"/>
      <c r="BC222" s="218"/>
      <c r="BD222" s="218"/>
      <c r="BE222" s="218"/>
      <c r="BF222" s="218"/>
      <c r="BG222" s="218"/>
      <c r="BH222" s="218"/>
      <c r="BI222" s="218"/>
      <c r="BJ222" s="218"/>
      <c r="BK222" s="218"/>
      <c r="BL222" s="218"/>
      <c r="BM222" s="218"/>
      <c r="BN222" s="218"/>
      <c r="BO222" s="218"/>
      <c r="BP222" s="218"/>
      <c r="BQ222" s="218"/>
      <c r="BR222" s="218"/>
      <c r="BS222" s="218"/>
      <c r="BT222" s="218"/>
      <c r="BU222" s="218"/>
      <c r="BV222" s="218"/>
      <c r="BW222" s="218"/>
      <c r="BX222" s="218"/>
      <c r="BY222" s="218"/>
      <c r="BZ222" s="218"/>
      <c r="CA222" s="218"/>
      <c r="CB222" s="218"/>
      <c r="CC222" s="218"/>
      <c r="CD222" s="218"/>
      <c r="CE222" s="218"/>
      <c r="CF222" s="218"/>
      <c r="CG222" s="218"/>
      <c r="CH222" s="218"/>
      <c r="CI222" s="218"/>
      <c r="CJ222" s="218"/>
      <c r="CK222" s="218"/>
      <c r="CL222" s="218"/>
      <c r="CM222" s="218"/>
    </row>
    <row r="223" spans="1:91" ht="72.75" customHeight="1" x14ac:dyDescent="0.2">
      <c r="A223" s="426"/>
      <c r="B223" s="156" t="str">
        <f>Capacidades!M211</f>
        <v>C1  I2 Explica  información de situaciones vinculadas a su entorno personal y laboral  formulando preguntas frente a aquello que no se entiende.</v>
      </c>
      <c r="C223" s="190" t="s">
        <v>505</v>
      </c>
      <c r="D223" s="14"/>
      <c r="E223" s="14"/>
      <c r="F223" s="14"/>
      <c r="G223" s="14"/>
      <c r="H223" s="14"/>
      <c r="I223" s="14"/>
      <c r="J223" s="14"/>
      <c r="K223" s="14"/>
      <c r="L223" s="424"/>
      <c r="M223" s="292" t="str">
        <f t="shared" ref="M223:M286" si="5">B223</f>
        <v>C1  I2 Explica  información de situaciones vinculadas a su entorno personal y laboral  formulando preguntas frente a aquello que no se entiende.</v>
      </c>
      <c r="N223" s="218"/>
      <c r="O223" s="218"/>
      <c r="P223" s="218"/>
      <c r="Q223" s="218"/>
      <c r="R223" s="218"/>
      <c r="S223" s="218"/>
      <c r="T223" s="218"/>
      <c r="U223" s="218"/>
      <c r="V223" s="218"/>
      <c r="W223" s="218"/>
      <c r="X223" s="218"/>
      <c r="Y223" s="218"/>
      <c r="Z223" s="218"/>
      <c r="AA223" s="218"/>
      <c r="AB223" s="218"/>
      <c r="AC223" s="218"/>
      <c r="AD223" s="218"/>
      <c r="AE223" s="218"/>
      <c r="AF223" s="218"/>
      <c r="AG223" s="218"/>
      <c r="AH223" s="218"/>
      <c r="AI223" s="218"/>
      <c r="AJ223" s="218"/>
      <c r="AK223" s="218"/>
      <c r="AL223" s="218"/>
      <c r="AM223" s="218"/>
      <c r="AN223" s="218"/>
      <c r="AO223" s="218"/>
      <c r="AP223" s="218"/>
      <c r="AQ223" s="218"/>
      <c r="AR223" s="218"/>
      <c r="AS223" s="218"/>
      <c r="AT223" s="218"/>
      <c r="AU223" s="218"/>
      <c r="AV223" s="218"/>
      <c r="AW223" s="218"/>
      <c r="AX223" s="218"/>
      <c r="AY223" s="218"/>
      <c r="AZ223" s="218"/>
      <c r="BA223" s="218"/>
      <c r="BB223" s="218"/>
      <c r="BC223" s="218"/>
      <c r="BD223" s="218"/>
      <c r="BE223" s="218"/>
      <c r="BF223" s="218"/>
      <c r="BG223" s="218"/>
      <c r="BH223" s="218"/>
      <c r="BI223" s="218"/>
      <c r="BJ223" s="218"/>
      <c r="BK223" s="218"/>
      <c r="BL223" s="218"/>
      <c r="BM223" s="218"/>
      <c r="BN223" s="218"/>
      <c r="BO223" s="218"/>
      <c r="BP223" s="218"/>
      <c r="BQ223" s="218"/>
      <c r="BR223" s="218"/>
      <c r="BS223" s="218"/>
      <c r="BT223" s="218"/>
      <c r="BU223" s="218"/>
      <c r="BV223" s="218"/>
      <c r="BW223" s="218"/>
      <c r="BX223" s="218"/>
      <c r="BY223" s="218"/>
      <c r="BZ223" s="218"/>
      <c r="CA223" s="218"/>
      <c r="CB223" s="218"/>
      <c r="CC223" s="218"/>
      <c r="CD223" s="218"/>
      <c r="CE223" s="218"/>
      <c r="CF223" s="218"/>
      <c r="CG223" s="218"/>
      <c r="CH223" s="218"/>
      <c r="CI223" s="218"/>
      <c r="CJ223" s="218"/>
      <c r="CK223" s="218"/>
      <c r="CL223" s="218"/>
      <c r="CM223" s="218"/>
    </row>
    <row r="224" spans="1:91" ht="55.5" customHeight="1" x14ac:dyDescent="0.2">
      <c r="A224" s="426"/>
      <c r="B224" s="156" t="str">
        <f>Capacidades!M212</f>
        <v>C2  I1 Identifica las ideas principales del texto  utilizando estrategias de comprensión lectora.</v>
      </c>
      <c r="C224" s="157" t="s">
        <v>421</v>
      </c>
      <c r="D224" s="14"/>
      <c r="E224" s="14"/>
      <c r="F224" s="14"/>
      <c r="G224" s="14"/>
      <c r="H224" s="14"/>
      <c r="I224" s="14"/>
      <c r="J224" s="14"/>
      <c r="K224" s="14"/>
      <c r="L224" s="424"/>
      <c r="M224" s="292" t="str">
        <f t="shared" si="5"/>
        <v>C2  I1 Identifica las ideas principales del texto  utilizando estrategias de comprensión lectora.</v>
      </c>
      <c r="N224" s="218"/>
      <c r="O224" s="218"/>
      <c r="P224" s="218"/>
      <c r="Q224" s="218"/>
      <c r="R224" s="218"/>
      <c r="S224" s="218"/>
      <c r="T224" s="218"/>
      <c r="U224" s="218"/>
      <c r="V224" s="218"/>
      <c r="W224" s="218"/>
      <c r="X224" s="218"/>
      <c r="Y224" s="218"/>
      <c r="Z224" s="218"/>
      <c r="AA224" s="218"/>
      <c r="AB224" s="218"/>
      <c r="AC224" s="218"/>
      <c r="AD224" s="218"/>
      <c r="AE224" s="218"/>
      <c r="AF224" s="218"/>
      <c r="AG224" s="218"/>
      <c r="AH224" s="218"/>
      <c r="AI224" s="218"/>
      <c r="AJ224" s="218"/>
      <c r="AK224" s="218"/>
      <c r="AL224" s="218"/>
      <c r="AM224" s="218"/>
      <c r="AN224" s="218"/>
      <c r="AO224" s="218"/>
      <c r="AP224" s="218"/>
      <c r="AQ224" s="218"/>
      <c r="AR224" s="218"/>
      <c r="AS224" s="218"/>
      <c r="AT224" s="218"/>
      <c r="AU224" s="218"/>
      <c r="AV224" s="218"/>
      <c r="AW224" s="218"/>
      <c r="AX224" s="218"/>
      <c r="AY224" s="218"/>
      <c r="AZ224" s="218"/>
      <c r="BA224" s="218"/>
      <c r="BB224" s="218"/>
      <c r="BC224" s="218"/>
      <c r="BD224" s="218"/>
      <c r="BE224" s="218"/>
      <c r="BF224" s="218"/>
      <c r="BG224" s="218"/>
      <c r="BH224" s="218"/>
      <c r="BI224" s="218"/>
      <c r="BJ224" s="218"/>
      <c r="BK224" s="218"/>
      <c r="BL224" s="218"/>
      <c r="BM224" s="218"/>
      <c r="BN224" s="218"/>
      <c r="BO224" s="218"/>
      <c r="BP224" s="218"/>
      <c r="BQ224" s="218"/>
      <c r="BR224" s="218"/>
      <c r="BS224" s="218"/>
      <c r="BT224" s="218"/>
      <c r="BU224" s="218"/>
      <c r="BV224" s="218"/>
      <c r="BW224" s="218"/>
      <c r="BX224" s="218"/>
      <c r="BY224" s="218"/>
      <c r="BZ224" s="218"/>
      <c r="CA224" s="218"/>
      <c r="CB224" s="218"/>
      <c r="CC224" s="218"/>
      <c r="CD224" s="218"/>
      <c r="CE224" s="218"/>
      <c r="CF224" s="218"/>
      <c r="CG224" s="218"/>
      <c r="CH224" s="218"/>
      <c r="CI224" s="218"/>
      <c r="CJ224" s="218"/>
      <c r="CK224" s="218"/>
      <c r="CL224" s="218"/>
      <c r="CM224" s="218"/>
    </row>
    <row r="225" spans="1:91" ht="78" customHeight="1" x14ac:dyDescent="0.2">
      <c r="A225" s="426"/>
      <c r="B225" s="156" t="str">
        <f>Capacidades!M213</f>
        <v>C2  I2 Escribe textos y documentos variados  con claridad, brevedad, cortesía, integridad, cohesión y corrección, considerando las etapas del proceso de redacción y la estructura de los documentos.</v>
      </c>
      <c r="C225" s="157" t="s">
        <v>504</v>
      </c>
      <c r="D225" s="14"/>
      <c r="E225" s="14"/>
      <c r="F225" s="14"/>
      <c r="G225" s="14"/>
      <c r="H225" s="14"/>
      <c r="I225" s="14"/>
      <c r="J225" s="14"/>
      <c r="K225" s="14"/>
      <c r="L225" s="424"/>
      <c r="M225" s="292" t="str">
        <f t="shared" si="5"/>
        <v>C2  I2 Escribe textos y documentos variados  con claridad, brevedad, cortesía, integridad, cohesión y corrección, considerando las etapas del proceso de redacción y la estructura de los documentos.</v>
      </c>
      <c r="N225" s="218"/>
      <c r="O225" s="218"/>
      <c r="P225" s="218"/>
      <c r="Q225" s="218"/>
      <c r="R225" s="218"/>
      <c r="S225" s="218"/>
      <c r="T225" s="218"/>
      <c r="U225" s="218"/>
      <c r="V225" s="218"/>
      <c r="W225" s="218"/>
      <c r="X225" s="218"/>
      <c r="Y225" s="218"/>
      <c r="Z225" s="218"/>
      <c r="AA225" s="218"/>
      <c r="AB225" s="218"/>
      <c r="AC225" s="218"/>
      <c r="AD225" s="218"/>
      <c r="AE225" s="218"/>
      <c r="AF225" s="218"/>
      <c r="AG225" s="218"/>
      <c r="AH225" s="218"/>
      <c r="AI225" s="218"/>
      <c r="AJ225" s="218"/>
      <c r="AK225" s="218"/>
      <c r="AL225" s="218"/>
      <c r="AM225" s="218"/>
      <c r="AN225" s="218"/>
      <c r="AO225" s="218"/>
      <c r="AP225" s="218"/>
      <c r="AQ225" s="218"/>
      <c r="AR225" s="218"/>
      <c r="AS225" s="218"/>
      <c r="AT225" s="218"/>
      <c r="AU225" s="218"/>
      <c r="AV225" s="218"/>
      <c r="AW225" s="218"/>
      <c r="AX225" s="218"/>
      <c r="AY225" s="218"/>
      <c r="AZ225" s="218"/>
      <c r="BA225" s="218"/>
      <c r="BB225" s="218"/>
      <c r="BC225" s="218"/>
      <c r="BD225" s="218"/>
      <c r="BE225" s="218"/>
      <c r="BF225" s="218"/>
      <c r="BG225" s="218"/>
      <c r="BH225" s="218"/>
      <c r="BI225" s="218"/>
      <c r="BJ225" s="218"/>
      <c r="BK225" s="218"/>
      <c r="BL225" s="218"/>
      <c r="BM225" s="218"/>
      <c r="BN225" s="218"/>
      <c r="BO225" s="218"/>
      <c r="BP225" s="218"/>
      <c r="BQ225" s="218"/>
      <c r="BR225" s="218"/>
      <c r="BS225" s="218"/>
      <c r="BT225" s="218"/>
      <c r="BU225" s="218"/>
      <c r="BV225" s="218"/>
      <c r="BW225" s="218"/>
      <c r="BX225" s="218"/>
      <c r="BY225" s="218"/>
      <c r="BZ225" s="218"/>
      <c r="CA225" s="218"/>
      <c r="CB225" s="218"/>
      <c r="CC225" s="218"/>
      <c r="CD225" s="218"/>
      <c r="CE225" s="218"/>
      <c r="CF225" s="218"/>
      <c r="CG225" s="218"/>
      <c r="CH225" s="218"/>
      <c r="CI225" s="218"/>
      <c r="CJ225" s="218"/>
      <c r="CK225" s="218"/>
      <c r="CL225" s="218"/>
      <c r="CM225" s="218"/>
    </row>
    <row r="226" spans="1:91" ht="12.75" hidden="1" customHeight="1" x14ac:dyDescent="0.2">
      <c r="A226" s="426"/>
      <c r="B226" s="156" t="str">
        <f>Capacidades!M214</f>
        <v xml:space="preserve">   </v>
      </c>
      <c r="C226" s="157"/>
      <c r="D226" s="14"/>
      <c r="E226" s="14"/>
      <c r="F226" s="14"/>
      <c r="G226" s="14"/>
      <c r="H226" s="14"/>
      <c r="I226" s="14"/>
      <c r="J226" s="14"/>
      <c r="K226" s="14"/>
      <c r="L226" s="424"/>
      <c r="M226" s="292" t="str">
        <f t="shared" si="5"/>
        <v xml:space="preserve">   </v>
      </c>
      <c r="N226" s="218"/>
      <c r="O226" s="218"/>
      <c r="P226" s="218"/>
      <c r="Q226" s="218"/>
      <c r="R226" s="218"/>
      <c r="S226" s="218"/>
      <c r="T226" s="218"/>
      <c r="U226" s="218"/>
      <c r="V226" s="218"/>
      <c r="W226" s="218"/>
      <c r="X226" s="218"/>
      <c r="Y226" s="218"/>
      <c r="Z226" s="218"/>
      <c r="AA226" s="218"/>
      <c r="AB226" s="218"/>
      <c r="AC226" s="218"/>
      <c r="AD226" s="218"/>
      <c r="AE226" s="218"/>
      <c r="AF226" s="218"/>
      <c r="AG226" s="218"/>
      <c r="AH226" s="218"/>
      <c r="AI226" s="218"/>
      <c r="AJ226" s="218"/>
      <c r="AK226" s="218"/>
      <c r="AL226" s="218"/>
      <c r="AM226" s="218"/>
      <c r="AN226" s="218"/>
      <c r="AO226" s="218"/>
      <c r="AP226" s="218"/>
      <c r="AQ226" s="218"/>
      <c r="AR226" s="218"/>
      <c r="AS226" s="218"/>
      <c r="AT226" s="218"/>
      <c r="AU226" s="218"/>
      <c r="AV226" s="218"/>
      <c r="AW226" s="218"/>
      <c r="AX226" s="218"/>
      <c r="AY226" s="218"/>
      <c r="AZ226" s="218"/>
      <c r="BA226" s="218"/>
      <c r="BB226" s="218"/>
      <c r="BC226" s="218"/>
      <c r="BD226" s="218"/>
      <c r="BE226" s="218"/>
      <c r="BF226" s="218"/>
      <c r="BG226" s="218"/>
      <c r="BH226" s="218"/>
      <c r="BI226" s="218"/>
      <c r="BJ226" s="218"/>
      <c r="BK226" s="218"/>
      <c r="BL226" s="218"/>
      <c r="BM226" s="218"/>
      <c r="BN226" s="218"/>
      <c r="BO226" s="218"/>
      <c r="BP226" s="218"/>
      <c r="BQ226" s="218"/>
      <c r="BR226" s="218"/>
      <c r="BS226" s="218"/>
      <c r="BT226" s="218"/>
      <c r="BU226" s="218"/>
      <c r="BV226" s="218"/>
      <c r="BW226" s="218"/>
      <c r="BX226" s="218"/>
      <c r="BY226" s="218"/>
      <c r="BZ226" s="218"/>
      <c r="CA226" s="218"/>
      <c r="CB226" s="218"/>
      <c r="CC226" s="218"/>
      <c r="CD226" s="218"/>
      <c r="CE226" s="218"/>
      <c r="CF226" s="218"/>
      <c r="CG226" s="218"/>
      <c r="CH226" s="218"/>
      <c r="CI226" s="218"/>
      <c r="CJ226" s="218"/>
      <c r="CK226" s="218"/>
      <c r="CL226" s="218"/>
      <c r="CM226" s="218"/>
    </row>
    <row r="227" spans="1:91" ht="12.75" hidden="1" customHeight="1" x14ac:dyDescent="0.2">
      <c r="A227" s="426"/>
      <c r="B227" s="156" t="str">
        <f>Capacidades!M215</f>
        <v xml:space="preserve">   </v>
      </c>
      <c r="C227" s="157"/>
      <c r="D227" s="14"/>
      <c r="E227" s="14"/>
      <c r="F227" s="14"/>
      <c r="G227" s="14"/>
      <c r="H227" s="14"/>
      <c r="I227" s="14"/>
      <c r="J227" s="14"/>
      <c r="K227" s="14"/>
      <c r="L227" s="424"/>
      <c r="M227" s="292" t="str">
        <f t="shared" si="5"/>
        <v xml:space="preserve">   </v>
      </c>
      <c r="N227" s="218"/>
      <c r="O227" s="218"/>
      <c r="P227" s="218"/>
      <c r="Q227" s="218"/>
      <c r="R227" s="218"/>
      <c r="S227" s="218"/>
      <c r="T227" s="218"/>
      <c r="U227" s="218"/>
      <c r="V227" s="218"/>
      <c r="W227" s="218"/>
      <c r="X227" s="218"/>
      <c r="Y227" s="218"/>
      <c r="Z227" s="218"/>
      <c r="AA227" s="218"/>
      <c r="AB227" s="218"/>
      <c r="AC227" s="218"/>
      <c r="AD227" s="218"/>
      <c r="AE227" s="218"/>
      <c r="AF227" s="218"/>
      <c r="AG227" s="218"/>
      <c r="AH227" s="218"/>
      <c r="AI227" s="218"/>
      <c r="AJ227" s="218"/>
      <c r="AK227" s="218"/>
      <c r="AL227" s="218"/>
      <c r="AM227" s="218"/>
      <c r="AN227" s="218"/>
      <c r="AO227" s="218"/>
      <c r="AP227" s="218"/>
      <c r="AQ227" s="218"/>
      <c r="AR227" s="218"/>
      <c r="AS227" s="218"/>
      <c r="AT227" s="218"/>
      <c r="AU227" s="218"/>
      <c r="AV227" s="218"/>
      <c r="AW227" s="218"/>
      <c r="AX227" s="218"/>
      <c r="AY227" s="218"/>
      <c r="AZ227" s="218"/>
      <c r="BA227" s="218"/>
      <c r="BB227" s="218"/>
      <c r="BC227" s="218"/>
      <c r="BD227" s="218"/>
      <c r="BE227" s="218"/>
      <c r="BF227" s="218"/>
      <c r="BG227" s="218"/>
      <c r="BH227" s="218"/>
      <c r="BI227" s="218"/>
      <c r="BJ227" s="218"/>
      <c r="BK227" s="218"/>
      <c r="BL227" s="218"/>
      <c r="BM227" s="218"/>
      <c r="BN227" s="218"/>
      <c r="BO227" s="218"/>
      <c r="BP227" s="218"/>
      <c r="BQ227" s="218"/>
      <c r="BR227" s="218"/>
      <c r="BS227" s="218"/>
      <c r="BT227" s="218"/>
      <c r="BU227" s="218"/>
      <c r="BV227" s="218"/>
      <c r="BW227" s="218"/>
      <c r="BX227" s="218"/>
      <c r="BY227" s="218"/>
      <c r="BZ227" s="218"/>
      <c r="CA227" s="218"/>
      <c r="CB227" s="218"/>
      <c r="CC227" s="218"/>
      <c r="CD227" s="218"/>
      <c r="CE227" s="218"/>
      <c r="CF227" s="218"/>
      <c r="CG227" s="218"/>
      <c r="CH227" s="218"/>
      <c r="CI227" s="218"/>
      <c r="CJ227" s="218"/>
      <c r="CK227" s="218"/>
      <c r="CL227" s="218"/>
      <c r="CM227" s="218"/>
    </row>
    <row r="228" spans="1:91" ht="12.75" hidden="1" customHeight="1" x14ac:dyDescent="0.2">
      <c r="A228" s="426"/>
      <c r="B228" s="156" t="str">
        <f>Capacidades!M216</f>
        <v xml:space="preserve">   </v>
      </c>
      <c r="C228" s="157"/>
      <c r="D228" s="14"/>
      <c r="E228" s="14"/>
      <c r="F228" s="14"/>
      <c r="G228" s="14"/>
      <c r="H228" s="14"/>
      <c r="I228" s="14"/>
      <c r="J228" s="14"/>
      <c r="K228" s="14"/>
      <c r="L228" s="424"/>
      <c r="M228" s="292" t="str">
        <f t="shared" si="5"/>
        <v xml:space="preserve">   </v>
      </c>
      <c r="N228" s="218"/>
      <c r="O228" s="218"/>
      <c r="P228" s="218"/>
      <c r="Q228" s="218"/>
      <c r="R228" s="218"/>
      <c r="S228" s="218"/>
      <c r="T228" s="218"/>
      <c r="U228" s="218"/>
      <c r="V228" s="218"/>
      <c r="W228" s="218"/>
      <c r="X228" s="218"/>
      <c r="Y228" s="218"/>
      <c r="Z228" s="218"/>
      <c r="AA228" s="218"/>
      <c r="AB228" s="218"/>
      <c r="AC228" s="218"/>
      <c r="AD228" s="218"/>
      <c r="AE228" s="218"/>
      <c r="AF228" s="218"/>
      <c r="AG228" s="218"/>
      <c r="AH228" s="218"/>
      <c r="AI228" s="218"/>
      <c r="AJ228" s="218"/>
      <c r="AK228" s="218"/>
      <c r="AL228" s="218"/>
      <c r="AM228" s="218"/>
      <c r="AN228" s="218"/>
      <c r="AO228" s="218"/>
      <c r="AP228" s="218"/>
      <c r="AQ228" s="218"/>
      <c r="AR228" s="218"/>
      <c r="AS228" s="218"/>
      <c r="AT228" s="218"/>
      <c r="AU228" s="218"/>
      <c r="AV228" s="218"/>
      <c r="AW228" s="218"/>
      <c r="AX228" s="218"/>
      <c r="AY228" s="218"/>
      <c r="AZ228" s="218"/>
      <c r="BA228" s="218"/>
      <c r="BB228" s="218"/>
      <c r="BC228" s="218"/>
      <c r="BD228" s="218"/>
      <c r="BE228" s="218"/>
      <c r="BF228" s="218"/>
      <c r="BG228" s="218"/>
      <c r="BH228" s="218"/>
      <c r="BI228" s="218"/>
      <c r="BJ228" s="218"/>
      <c r="BK228" s="218"/>
      <c r="BL228" s="218"/>
      <c r="BM228" s="218"/>
      <c r="BN228" s="218"/>
      <c r="BO228" s="218"/>
      <c r="BP228" s="218"/>
      <c r="BQ228" s="218"/>
      <c r="BR228" s="218"/>
      <c r="BS228" s="218"/>
      <c r="BT228" s="218"/>
      <c r="BU228" s="218"/>
      <c r="BV228" s="218"/>
      <c r="BW228" s="218"/>
      <c r="BX228" s="218"/>
      <c r="BY228" s="218"/>
      <c r="BZ228" s="218"/>
      <c r="CA228" s="218"/>
      <c r="CB228" s="218"/>
      <c r="CC228" s="218"/>
      <c r="CD228" s="218"/>
      <c r="CE228" s="218"/>
      <c r="CF228" s="218"/>
      <c r="CG228" s="218"/>
      <c r="CH228" s="218"/>
      <c r="CI228" s="218"/>
      <c r="CJ228" s="218"/>
      <c r="CK228" s="218"/>
      <c r="CL228" s="218"/>
      <c r="CM228" s="218"/>
    </row>
    <row r="229" spans="1:91" ht="12.75" hidden="1" customHeight="1" x14ac:dyDescent="0.2">
      <c r="A229" s="426"/>
      <c r="B229" s="156" t="str">
        <f>Capacidades!M217</f>
        <v xml:space="preserve">   </v>
      </c>
      <c r="C229" s="157"/>
      <c r="D229" s="14"/>
      <c r="E229" s="14"/>
      <c r="F229" s="14"/>
      <c r="G229" s="14"/>
      <c r="H229" s="14"/>
      <c r="I229" s="14"/>
      <c r="J229" s="14"/>
      <c r="K229" s="14"/>
      <c r="L229" s="424"/>
      <c r="M229" s="292" t="str">
        <f t="shared" si="5"/>
        <v xml:space="preserve">   </v>
      </c>
      <c r="N229" s="218"/>
      <c r="O229" s="218"/>
      <c r="P229" s="218"/>
      <c r="Q229" s="218"/>
      <c r="R229" s="218"/>
      <c r="S229" s="218"/>
      <c r="T229" s="218"/>
      <c r="U229" s="218"/>
      <c r="V229" s="218"/>
      <c r="W229" s="218"/>
      <c r="X229" s="218"/>
      <c r="Y229" s="218"/>
      <c r="Z229" s="218"/>
      <c r="AA229" s="218"/>
      <c r="AB229" s="218"/>
      <c r="AC229" s="218"/>
      <c r="AD229" s="218"/>
      <c r="AE229" s="218"/>
      <c r="AF229" s="218"/>
      <c r="AG229" s="218"/>
      <c r="AH229" s="218"/>
      <c r="AI229" s="218"/>
      <c r="AJ229" s="218"/>
      <c r="AK229" s="218"/>
      <c r="AL229" s="218"/>
      <c r="AM229" s="218"/>
      <c r="AN229" s="218"/>
      <c r="AO229" s="218"/>
      <c r="AP229" s="218"/>
      <c r="AQ229" s="218"/>
      <c r="AR229" s="218"/>
      <c r="AS229" s="218"/>
      <c r="AT229" s="218"/>
      <c r="AU229" s="218"/>
      <c r="AV229" s="218"/>
      <c r="AW229" s="218"/>
      <c r="AX229" s="218"/>
      <c r="AY229" s="218"/>
      <c r="AZ229" s="218"/>
      <c r="BA229" s="218"/>
      <c r="BB229" s="218"/>
      <c r="BC229" s="218"/>
      <c r="BD229" s="218"/>
      <c r="BE229" s="218"/>
      <c r="BF229" s="218"/>
      <c r="BG229" s="218"/>
      <c r="BH229" s="218"/>
      <c r="BI229" s="218"/>
      <c r="BJ229" s="218"/>
      <c r="BK229" s="218"/>
      <c r="BL229" s="218"/>
      <c r="BM229" s="218"/>
      <c r="BN229" s="218"/>
      <c r="BO229" s="218"/>
      <c r="BP229" s="218"/>
      <c r="BQ229" s="218"/>
      <c r="BR229" s="218"/>
      <c r="BS229" s="218"/>
      <c r="BT229" s="218"/>
      <c r="BU229" s="218"/>
      <c r="BV229" s="218"/>
      <c r="BW229" s="218"/>
      <c r="BX229" s="218"/>
      <c r="BY229" s="218"/>
      <c r="BZ229" s="218"/>
      <c r="CA229" s="218"/>
      <c r="CB229" s="218"/>
      <c r="CC229" s="218"/>
      <c r="CD229" s="218"/>
      <c r="CE229" s="218"/>
      <c r="CF229" s="218"/>
      <c r="CG229" s="218"/>
      <c r="CH229" s="218"/>
      <c r="CI229" s="218"/>
      <c r="CJ229" s="218"/>
      <c r="CK229" s="218"/>
      <c r="CL229" s="218"/>
      <c r="CM229" s="218"/>
    </row>
    <row r="230" spans="1:91" ht="12.75" hidden="1" customHeight="1" x14ac:dyDescent="0.2">
      <c r="A230" s="426"/>
      <c r="B230" s="156" t="str">
        <f>Capacidades!M218</f>
        <v xml:space="preserve">   </v>
      </c>
      <c r="C230" s="157"/>
      <c r="D230" s="14"/>
      <c r="E230" s="14"/>
      <c r="F230" s="14"/>
      <c r="G230" s="14"/>
      <c r="H230" s="14"/>
      <c r="I230" s="14"/>
      <c r="J230" s="14"/>
      <c r="K230" s="14"/>
      <c r="L230" s="424"/>
      <c r="M230" s="292" t="str">
        <f t="shared" si="5"/>
        <v xml:space="preserve">   </v>
      </c>
      <c r="N230" s="218"/>
      <c r="O230" s="218"/>
      <c r="P230" s="218"/>
      <c r="Q230" s="218"/>
      <c r="R230" s="218"/>
      <c r="S230" s="218"/>
      <c r="T230" s="218"/>
      <c r="U230" s="218"/>
      <c r="V230" s="218"/>
      <c r="W230" s="218"/>
      <c r="X230" s="218"/>
      <c r="Y230" s="218"/>
      <c r="Z230" s="218"/>
      <c r="AA230" s="218"/>
      <c r="AB230" s="218"/>
      <c r="AC230" s="218"/>
      <c r="AD230" s="218"/>
      <c r="AE230" s="218"/>
      <c r="AF230" s="218"/>
      <c r="AG230" s="218"/>
      <c r="AH230" s="218"/>
      <c r="AI230" s="218"/>
      <c r="AJ230" s="218"/>
      <c r="AK230" s="218"/>
      <c r="AL230" s="218"/>
      <c r="AM230" s="218"/>
      <c r="AN230" s="218"/>
      <c r="AO230" s="218"/>
      <c r="AP230" s="218"/>
      <c r="AQ230" s="218"/>
      <c r="AR230" s="218"/>
      <c r="AS230" s="218"/>
      <c r="AT230" s="218"/>
      <c r="AU230" s="218"/>
      <c r="AV230" s="218"/>
      <c r="AW230" s="218"/>
      <c r="AX230" s="218"/>
      <c r="AY230" s="218"/>
      <c r="AZ230" s="218"/>
      <c r="BA230" s="218"/>
      <c r="BB230" s="218"/>
      <c r="BC230" s="218"/>
      <c r="BD230" s="218"/>
      <c r="BE230" s="218"/>
      <c r="BF230" s="218"/>
      <c r="BG230" s="218"/>
      <c r="BH230" s="218"/>
      <c r="BI230" s="218"/>
      <c r="BJ230" s="218"/>
      <c r="BK230" s="218"/>
      <c r="BL230" s="218"/>
      <c r="BM230" s="218"/>
      <c r="BN230" s="218"/>
      <c r="BO230" s="218"/>
      <c r="BP230" s="218"/>
      <c r="BQ230" s="218"/>
      <c r="BR230" s="218"/>
      <c r="BS230" s="218"/>
      <c r="BT230" s="218"/>
      <c r="BU230" s="218"/>
      <c r="BV230" s="218"/>
      <c r="BW230" s="218"/>
      <c r="BX230" s="218"/>
      <c r="BY230" s="218"/>
      <c r="BZ230" s="218"/>
      <c r="CA230" s="218"/>
      <c r="CB230" s="218"/>
      <c r="CC230" s="218"/>
      <c r="CD230" s="218"/>
      <c r="CE230" s="218"/>
      <c r="CF230" s="218"/>
      <c r="CG230" s="218"/>
      <c r="CH230" s="218"/>
      <c r="CI230" s="218"/>
      <c r="CJ230" s="218"/>
      <c r="CK230" s="218"/>
      <c r="CL230" s="218"/>
      <c r="CM230" s="218"/>
    </row>
    <row r="231" spans="1:91" ht="12.75" hidden="1" customHeight="1" x14ac:dyDescent="0.2">
      <c r="A231" s="427"/>
      <c r="B231" s="156" t="str">
        <f>Capacidades!M219</f>
        <v xml:space="preserve">   </v>
      </c>
      <c r="C231" s="157"/>
      <c r="D231" s="16"/>
      <c r="E231" s="16"/>
      <c r="F231" s="16"/>
      <c r="G231" s="16"/>
      <c r="H231" s="16"/>
      <c r="I231" s="16"/>
      <c r="J231" s="16"/>
      <c r="K231" s="16"/>
      <c r="L231" s="432"/>
      <c r="M231" s="292" t="str">
        <f t="shared" si="5"/>
        <v xml:space="preserve">   </v>
      </c>
      <c r="N231" s="218"/>
      <c r="O231" s="218"/>
      <c r="P231" s="218"/>
      <c r="Q231" s="218"/>
      <c r="R231" s="218"/>
      <c r="S231" s="218"/>
      <c r="T231" s="218"/>
      <c r="U231" s="218"/>
      <c r="V231" s="218"/>
      <c r="W231" s="218"/>
      <c r="X231" s="218"/>
      <c r="Y231" s="218"/>
      <c r="Z231" s="218"/>
      <c r="AA231" s="218"/>
      <c r="AB231" s="218"/>
      <c r="AC231" s="218"/>
      <c r="AD231" s="218"/>
      <c r="AE231" s="218"/>
      <c r="AF231" s="218"/>
      <c r="AG231" s="218"/>
      <c r="AH231" s="218"/>
      <c r="AI231" s="218"/>
      <c r="AJ231" s="218"/>
      <c r="AK231" s="218"/>
      <c r="AL231" s="218"/>
      <c r="AM231" s="218"/>
      <c r="AN231" s="218"/>
      <c r="AO231" s="218"/>
      <c r="AP231" s="218"/>
      <c r="AQ231" s="218"/>
      <c r="AR231" s="218"/>
      <c r="AS231" s="218"/>
      <c r="AT231" s="218"/>
      <c r="AU231" s="218"/>
      <c r="AV231" s="218"/>
      <c r="AW231" s="218"/>
      <c r="AX231" s="218"/>
      <c r="AY231" s="218"/>
      <c r="AZ231" s="218"/>
      <c r="BA231" s="218"/>
      <c r="BB231" s="218"/>
      <c r="BC231" s="218"/>
      <c r="BD231" s="218"/>
      <c r="BE231" s="218"/>
      <c r="BF231" s="218"/>
      <c r="BG231" s="218"/>
      <c r="BH231" s="218"/>
      <c r="BI231" s="218"/>
      <c r="BJ231" s="218"/>
      <c r="BK231" s="218"/>
      <c r="BL231" s="218"/>
      <c r="BM231" s="218"/>
      <c r="BN231" s="218"/>
      <c r="BO231" s="218"/>
      <c r="BP231" s="218"/>
      <c r="BQ231" s="218"/>
      <c r="BR231" s="218"/>
      <c r="BS231" s="218"/>
      <c r="BT231" s="218"/>
      <c r="BU231" s="218"/>
      <c r="BV231" s="218"/>
      <c r="BW231" s="218"/>
      <c r="BX231" s="218"/>
      <c r="BY231" s="218"/>
      <c r="BZ231" s="218"/>
      <c r="CA231" s="218"/>
      <c r="CB231" s="218"/>
      <c r="CC231" s="218"/>
      <c r="CD231" s="218"/>
      <c r="CE231" s="218"/>
      <c r="CF231" s="218"/>
      <c r="CG231" s="218"/>
      <c r="CH231" s="218"/>
      <c r="CI231" s="218"/>
      <c r="CJ231" s="218"/>
      <c r="CK231" s="218"/>
      <c r="CL231" s="218"/>
      <c r="CM231" s="218"/>
    </row>
    <row r="232" spans="1:91" ht="58.5" customHeight="1" x14ac:dyDescent="0.2">
      <c r="A232" s="425" t="str">
        <f>Capacidades!L220</f>
        <v>CE2 C1 Utilizar aplicaciones y herramientas informáticas de las TIC de manera responsable y técnica. 
CE2 C2 Emplear software  en la realización de tareas y requerimientos vinculados a su programa de estudios.</v>
      </c>
      <c r="B232" s="156" t="str">
        <f>Capacidades!M220</f>
        <v>C1  I1 Emplea aplicaciones de internet para publicar respetando la propiedad intelectual.</v>
      </c>
      <c r="C232" s="157" t="s">
        <v>422</v>
      </c>
      <c r="D232" s="12" t="str">
        <f>Organización_Modular!F31</f>
        <v>Aplicaciones de herramientas informáticas</v>
      </c>
      <c r="E232" s="12" t="str">
        <f>Organización_Modular!G31</f>
        <v>I</v>
      </c>
      <c r="F232" s="12">
        <f>Organización_Modular!H31</f>
        <v>1</v>
      </c>
      <c r="G232" s="12">
        <f>Organización_Modular!I31</f>
        <v>1</v>
      </c>
      <c r="H232" s="12">
        <f>SUM(F232:G232)</f>
        <v>2</v>
      </c>
      <c r="I232" s="12">
        <f>F232*16</f>
        <v>16</v>
      </c>
      <c r="J232" s="12">
        <f>G232*32</f>
        <v>32</v>
      </c>
      <c r="K232" s="12">
        <f>SUM(I232:J232)</f>
        <v>48</v>
      </c>
      <c r="L232" s="423" t="s">
        <v>510</v>
      </c>
      <c r="M232" s="292" t="str">
        <f t="shared" si="5"/>
        <v>C1  I1 Emplea aplicaciones de internet para publicar respetando la propiedad intelectual.</v>
      </c>
      <c r="N232" s="218"/>
      <c r="O232" s="218"/>
      <c r="P232" s="218"/>
      <c r="Q232" s="218"/>
      <c r="R232" s="218"/>
      <c r="S232" s="218"/>
      <c r="T232" s="218"/>
      <c r="U232" s="218"/>
      <c r="V232" s="218"/>
      <c r="W232" s="218"/>
      <c r="X232" s="218"/>
      <c r="Y232" s="218"/>
      <c r="Z232" s="218"/>
      <c r="AA232" s="218"/>
      <c r="AB232" s="218"/>
      <c r="AC232" s="218"/>
      <c r="AD232" s="218"/>
      <c r="AE232" s="218"/>
      <c r="AF232" s="218"/>
      <c r="AG232" s="218"/>
      <c r="AH232" s="218"/>
      <c r="AI232" s="218"/>
      <c r="AJ232" s="218"/>
      <c r="AK232" s="218"/>
      <c r="AL232" s="218"/>
      <c r="AM232" s="218"/>
      <c r="AN232" s="218"/>
      <c r="AO232" s="218"/>
      <c r="AP232" s="218"/>
      <c r="AQ232" s="218"/>
      <c r="AR232" s="218"/>
      <c r="AS232" s="218"/>
      <c r="AT232" s="218"/>
      <c r="AU232" s="218"/>
      <c r="AV232" s="218"/>
      <c r="AW232" s="218"/>
      <c r="AX232" s="218"/>
      <c r="AY232" s="218"/>
      <c r="AZ232" s="218"/>
      <c r="BA232" s="218"/>
      <c r="BB232" s="218"/>
      <c r="BC232" s="218"/>
      <c r="BD232" s="218"/>
      <c r="BE232" s="218"/>
      <c r="BF232" s="218"/>
      <c r="BG232" s="218"/>
      <c r="BH232" s="218"/>
      <c r="BI232" s="218"/>
      <c r="BJ232" s="218"/>
      <c r="BK232" s="218"/>
      <c r="BL232" s="218"/>
      <c r="BM232" s="218"/>
      <c r="BN232" s="218"/>
      <c r="BO232" s="218"/>
      <c r="BP232" s="218"/>
      <c r="BQ232" s="218"/>
      <c r="BR232" s="218"/>
      <c r="BS232" s="218"/>
      <c r="BT232" s="218"/>
      <c r="BU232" s="218"/>
      <c r="BV232" s="218"/>
      <c r="BW232" s="218"/>
      <c r="BX232" s="218"/>
      <c r="BY232" s="218"/>
      <c r="BZ232" s="218"/>
      <c r="CA232" s="218"/>
      <c r="CB232" s="218"/>
      <c r="CC232" s="218"/>
      <c r="CD232" s="218"/>
      <c r="CE232" s="218"/>
      <c r="CF232" s="218"/>
      <c r="CG232" s="218"/>
      <c r="CH232" s="218"/>
      <c r="CI232" s="218"/>
      <c r="CJ232" s="218"/>
      <c r="CK232" s="218"/>
      <c r="CL232" s="218"/>
      <c r="CM232" s="218"/>
    </row>
    <row r="233" spans="1:91" ht="85.5" customHeight="1" x14ac:dyDescent="0.2">
      <c r="A233" s="426"/>
      <c r="B233" s="156" t="str">
        <f>Capacidades!M221</f>
        <v>C1  I2 Maneja herramientas tecnológicas que permite a los usuarios interactuar y colaborar en la creación de documentos para mejorar el servicio de la empresa facilitando el trabajo colaborativo y las habilidades informáticas.</v>
      </c>
      <c r="C233" s="157" t="s">
        <v>423</v>
      </c>
      <c r="D233" s="14"/>
      <c r="E233" s="14"/>
      <c r="F233" s="14"/>
      <c r="G233" s="14"/>
      <c r="H233" s="14"/>
      <c r="I233" s="14"/>
      <c r="J233" s="14"/>
      <c r="K233" s="14"/>
      <c r="L233" s="424"/>
      <c r="M233" s="291" t="str">
        <f t="shared" si="5"/>
        <v>C1  I2 Maneja herramientas tecnológicas que permite a los usuarios interactuar y colaborar en la creación de documentos para mejorar el servicio de la empresa facilitando el trabajo colaborativo y las habilidades informáticas.</v>
      </c>
      <c r="N233" s="293"/>
      <c r="O233" s="293"/>
      <c r="P233" s="293"/>
      <c r="Q233" s="293"/>
      <c r="R233" s="293"/>
      <c r="S233" s="293"/>
      <c r="T233" s="293"/>
      <c r="U233" s="293"/>
      <c r="V233" s="293"/>
      <c r="W233" s="293"/>
      <c r="X233" s="293"/>
      <c r="Y233" s="293"/>
      <c r="Z233" s="293"/>
      <c r="AA233" s="293"/>
      <c r="AB233" s="293"/>
      <c r="AC233" s="293"/>
      <c r="AD233" s="293"/>
      <c r="AE233" s="293"/>
      <c r="AF233" s="293"/>
      <c r="AG233" s="293"/>
      <c r="AH233" s="293"/>
      <c r="AI233" s="293"/>
    </row>
    <row r="234" spans="1:91" ht="78.75" customHeight="1" x14ac:dyDescent="0.2">
      <c r="A234" s="426"/>
      <c r="B234" s="156" t="str">
        <f>Capacidades!M222</f>
        <v>C2  I1 Emplea  procesador de textos en la elaboración de documentos, teniendo en cuenta los requerimientos del contexto laboral y los formatos vinculados a la normativa de la organización.</v>
      </c>
      <c r="C234" s="190" t="s">
        <v>424</v>
      </c>
      <c r="D234" s="14"/>
      <c r="E234" s="14"/>
      <c r="F234" s="14"/>
      <c r="G234" s="14"/>
      <c r="H234" s="14"/>
      <c r="I234" s="14"/>
      <c r="J234" s="14"/>
      <c r="K234" s="14"/>
      <c r="L234" s="424"/>
      <c r="M234" s="291" t="str">
        <f t="shared" si="5"/>
        <v>C2  I1 Emplea  procesador de textos en la elaboración de documentos, teniendo en cuenta los requerimientos del contexto laboral y los formatos vinculados a la normativa de la organización.</v>
      </c>
      <c r="N234" s="293"/>
      <c r="O234" s="293"/>
      <c r="P234" s="293"/>
      <c r="Q234" s="293"/>
      <c r="R234" s="293"/>
      <c r="S234" s="293"/>
      <c r="T234" s="293"/>
      <c r="U234" s="293"/>
      <c r="V234" s="293"/>
      <c r="W234" s="293"/>
      <c r="X234" s="293"/>
      <c r="Y234" s="293"/>
      <c r="Z234" s="293"/>
      <c r="AA234" s="293"/>
      <c r="AB234" s="293"/>
      <c r="AC234" s="293"/>
      <c r="AD234" s="293"/>
      <c r="AE234" s="293"/>
      <c r="AF234" s="293"/>
      <c r="AG234" s="293"/>
      <c r="AH234" s="293"/>
      <c r="AI234" s="293"/>
    </row>
    <row r="235" spans="1:91" ht="126" customHeight="1" x14ac:dyDescent="0.2">
      <c r="A235" s="426"/>
      <c r="B235" s="156" t="str">
        <f>Capacidades!M223</f>
        <v>C2  I2 Emplea  la hoja de cálculo y presentaciones en la elaboración de base de datos y diapositivas, teniendo en cuenta los requerimientos del contexto laboral y los formatos vinculados a la normativa de la empresa.</v>
      </c>
      <c r="C235" s="190" t="s">
        <v>425</v>
      </c>
      <c r="D235" s="14"/>
      <c r="E235" s="14"/>
      <c r="F235" s="14"/>
      <c r="G235" s="14"/>
      <c r="H235" s="14"/>
      <c r="I235" s="14"/>
      <c r="J235" s="14"/>
      <c r="K235" s="14"/>
      <c r="L235" s="424"/>
      <c r="M235" s="291" t="str">
        <f t="shared" si="5"/>
        <v>C2  I2 Emplea  la hoja de cálculo y presentaciones en la elaboración de base de datos y diapositivas, teniendo en cuenta los requerimientos del contexto laboral y los formatos vinculados a la normativa de la empresa.</v>
      </c>
      <c r="N235" s="293"/>
      <c r="O235" s="293"/>
      <c r="P235" s="293"/>
      <c r="Q235" s="293"/>
      <c r="R235" s="293"/>
      <c r="S235" s="293"/>
      <c r="T235" s="293"/>
      <c r="U235" s="293"/>
      <c r="V235" s="293"/>
      <c r="W235" s="293"/>
      <c r="X235" s="293"/>
      <c r="Y235" s="293"/>
      <c r="Z235" s="293"/>
      <c r="AA235" s="293"/>
      <c r="AB235" s="293"/>
      <c r="AC235" s="293"/>
      <c r="AD235" s="293"/>
      <c r="AE235" s="293"/>
      <c r="AF235" s="293"/>
      <c r="AG235" s="293"/>
      <c r="AH235" s="293"/>
      <c r="AI235" s="293"/>
    </row>
    <row r="236" spans="1:91" ht="0.75" customHeight="1" x14ac:dyDescent="0.2">
      <c r="A236" s="426"/>
      <c r="B236" s="156" t="str">
        <f>Capacidades!M224</f>
        <v xml:space="preserve">   </v>
      </c>
      <c r="C236" s="157"/>
      <c r="D236" s="14"/>
      <c r="E236" s="14"/>
      <c r="F236" s="14"/>
      <c r="G236" s="14"/>
      <c r="H236" s="14"/>
      <c r="I236" s="14"/>
      <c r="J236" s="14"/>
      <c r="K236" s="14"/>
      <c r="L236" s="424"/>
      <c r="M236" s="291" t="str">
        <f t="shared" si="5"/>
        <v xml:space="preserve">   </v>
      </c>
      <c r="N236" s="293"/>
      <c r="O236" s="293"/>
      <c r="P236" s="293"/>
      <c r="Q236" s="293"/>
      <c r="R236" s="293"/>
      <c r="S236" s="293"/>
      <c r="T236" s="293"/>
      <c r="U236" s="293"/>
      <c r="V236" s="293"/>
      <c r="W236" s="293"/>
      <c r="X236" s="293"/>
      <c r="Y236" s="293"/>
      <c r="Z236" s="293"/>
      <c r="AA236" s="293"/>
      <c r="AB236" s="293"/>
      <c r="AC236" s="293"/>
      <c r="AD236" s="293"/>
      <c r="AE236" s="293"/>
      <c r="AF236" s="293"/>
      <c r="AG236" s="293"/>
      <c r="AH236" s="293"/>
      <c r="AI236" s="293"/>
    </row>
    <row r="237" spans="1:91" ht="9.75" hidden="1" customHeight="1" x14ac:dyDescent="0.2">
      <c r="A237" s="426"/>
      <c r="B237" s="156" t="str">
        <f>Capacidades!M225</f>
        <v xml:space="preserve">   </v>
      </c>
      <c r="C237" s="157"/>
      <c r="D237" s="14"/>
      <c r="E237" s="14"/>
      <c r="F237" s="14"/>
      <c r="G237" s="14"/>
      <c r="H237" s="14"/>
      <c r="I237" s="14"/>
      <c r="J237" s="14"/>
      <c r="K237" s="14"/>
      <c r="L237" s="424"/>
      <c r="M237" s="291" t="str">
        <f t="shared" si="5"/>
        <v xml:space="preserve">   </v>
      </c>
      <c r="N237" s="293"/>
      <c r="O237" s="293"/>
      <c r="P237" s="293"/>
      <c r="Q237" s="293"/>
      <c r="R237" s="293"/>
      <c r="S237" s="293"/>
      <c r="T237" s="293"/>
      <c r="U237" s="293"/>
      <c r="V237" s="293"/>
      <c r="W237" s="293"/>
      <c r="X237" s="293"/>
      <c r="Y237" s="293"/>
      <c r="Z237" s="293"/>
      <c r="AA237" s="293"/>
      <c r="AB237" s="293"/>
      <c r="AC237" s="293"/>
      <c r="AD237" s="293"/>
      <c r="AE237" s="293"/>
      <c r="AF237" s="293"/>
      <c r="AG237" s="293"/>
      <c r="AH237" s="293"/>
      <c r="AI237" s="293"/>
    </row>
    <row r="238" spans="1:91" hidden="1" x14ac:dyDescent="0.2">
      <c r="A238" s="426"/>
      <c r="B238" s="156" t="str">
        <f>Capacidades!M226</f>
        <v xml:space="preserve">   </v>
      </c>
      <c r="C238" s="157"/>
      <c r="D238" s="14"/>
      <c r="E238" s="14"/>
      <c r="F238" s="14"/>
      <c r="G238" s="14"/>
      <c r="H238" s="14"/>
      <c r="I238" s="14"/>
      <c r="J238" s="14"/>
      <c r="K238" s="14"/>
      <c r="L238" s="424"/>
      <c r="M238" s="291" t="str">
        <f t="shared" si="5"/>
        <v xml:space="preserve">   </v>
      </c>
      <c r="N238" s="293"/>
      <c r="O238" s="293"/>
      <c r="P238" s="293"/>
      <c r="Q238" s="293"/>
      <c r="R238" s="293"/>
      <c r="S238" s="293"/>
      <c r="T238" s="293"/>
      <c r="U238" s="293"/>
      <c r="V238" s="293"/>
      <c r="W238" s="293"/>
      <c r="X238" s="293"/>
      <c r="Y238" s="293"/>
      <c r="Z238" s="293"/>
      <c r="AA238" s="293"/>
      <c r="AB238" s="293"/>
      <c r="AC238" s="293"/>
      <c r="AD238" s="293"/>
      <c r="AE238" s="293"/>
      <c r="AF238" s="293"/>
      <c r="AG238" s="293"/>
      <c r="AH238" s="293"/>
      <c r="AI238" s="293"/>
    </row>
    <row r="239" spans="1:91" hidden="1" x14ac:dyDescent="0.2">
      <c r="A239" s="426"/>
      <c r="B239" s="156" t="str">
        <f>Capacidades!M227</f>
        <v xml:space="preserve">   </v>
      </c>
      <c r="C239" s="157"/>
      <c r="D239" s="14"/>
      <c r="E239" s="14"/>
      <c r="F239" s="14"/>
      <c r="G239" s="14"/>
      <c r="H239" s="14"/>
      <c r="I239" s="14"/>
      <c r="J239" s="14"/>
      <c r="K239" s="14"/>
      <c r="L239" s="424"/>
      <c r="M239" s="291" t="str">
        <f t="shared" si="5"/>
        <v xml:space="preserve">   </v>
      </c>
      <c r="N239" s="293"/>
      <c r="O239" s="293"/>
      <c r="P239" s="293"/>
      <c r="Q239" s="293"/>
      <c r="R239" s="293"/>
      <c r="S239" s="293"/>
      <c r="T239" s="293"/>
      <c r="U239" s="293"/>
      <c r="V239" s="293"/>
      <c r="W239" s="293"/>
      <c r="X239" s="293"/>
      <c r="Y239" s="293"/>
      <c r="Z239" s="293"/>
      <c r="AA239" s="293"/>
      <c r="AB239" s="293"/>
      <c r="AC239" s="293"/>
      <c r="AD239" s="293"/>
      <c r="AE239" s="293"/>
      <c r="AF239" s="293"/>
      <c r="AG239" s="293"/>
      <c r="AH239" s="293"/>
      <c r="AI239" s="293"/>
    </row>
    <row r="240" spans="1:91" hidden="1" x14ac:dyDescent="0.2">
      <c r="A240" s="426"/>
      <c r="B240" s="156" t="str">
        <f>Capacidades!M228</f>
        <v xml:space="preserve">   </v>
      </c>
      <c r="C240" s="157"/>
      <c r="D240" s="14"/>
      <c r="E240" s="14"/>
      <c r="F240" s="14"/>
      <c r="G240" s="14"/>
      <c r="H240" s="14"/>
      <c r="I240" s="14"/>
      <c r="J240" s="14"/>
      <c r="K240" s="14"/>
      <c r="L240" s="424"/>
      <c r="M240" s="291" t="str">
        <f t="shared" si="5"/>
        <v xml:space="preserve">   </v>
      </c>
      <c r="N240" s="293"/>
      <c r="O240" s="293"/>
      <c r="P240" s="293"/>
      <c r="Q240" s="293"/>
      <c r="R240" s="293"/>
      <c r="S240" s="293"/>
      <c r="T240" s="293"/>
      <c r="U240" s="293"/>
      <c r="V240" s="293"/>
      <c r="W240" s="293"/>
      <c r="X240" s="293"/>
      <c r="Y240" s="293"/>
      <c r="Z240" s="293"/>
      <c r="AA240" s="293"/>
      <c r="AB240" s="293"/>
      <c r="AC240" s="293"/>
      <c r="AD240" s="293"/>
      <c r="AE240" s="293"/>
      <c r="AF240" s="293"/>
      <c r="AG240" s="293"/>
      <c r="AH240" s="293"/>
      <c r="AI240" s="293"/>
    </row>
    <row r="241" spans="1:35" hidden="1" x14ac:dyDescent="0.2">
      <c r="A241" s="427"/>
      <c r="B241" s="156" t="str">
        <f>Capacidades!M229</f>
        <v xml:space="preserve">   </v>
      </c>
      <c r="C241" s="160"/>
      <c r="D241" s="14"/>
      <c r="E241" s="14"/>
      <c r="F241" s="14"/>
      <c r="G241" s="14"/>
      <c r="H241" s="14"/>
      <c r="I241" s="14"/>
      <c r="J241" s="14"/>
      <c r="K241" s="14"/>
      <c r="L241" s="424"/>
      <c r="M241" s="291" t="str">
        <f t="shared" si="5"/>
        <v xml:space="preserve">   </v>
      </c>
      <c r="N241" s="293"/>
      <c r="O241" s="293"/>
      <c r="P241" s="293"/>
      <c r="Q241" s="293"/>
      <c r="R241" s="293"/>
      <c r="S241" s="293"/>
      <c r="T241" s="293"/>
      <c r="U241" s="293"/>
      <c r="V241" s="293"/>
      <c r="W241" s="293"/>
      <c r="X241" s="293"/>
      <c r="Y241" s="293"/>
      <c r="Z241" s="293"/>
      <c r="AA241" s="293"/>
      <c r="AB241" s="293"/>
      <c r="AC241" s="293"/>
      <c r="AD241" s="293"/>
      <c r="AE241" s="293"/>
      <c r="AF241" s="293"/>
      <c r="AG241" s="293"/>
      <c r="AH241" s="293"/>
      <c r="AI241" s="293"/>
    </row>
    <row r="242" spans="1:35" hidden="1" x14ac:dyDescent="0.2">
      <c r="A242" s="425" t="str">
        <f>Capacidades!L230</f>
        <v xml:space="preserve">       </v>
      </c>
      <c r="B242" s="156" t="str">
        <f>Capacidades!M230</f>
        <v xml:space="preserve">   </v>
      </c>
      <c r="C242" s="157"/>
      <c r="D242" s="12">
        <f>Organización_Modular!F32</f>
        <v>0</v>
      </c>
      <c r="E242" s="12">
        <f>Organización_Modular!G32</f>
        <v>0</v>
      </c>
      <c r="F242" s="12">
        <f>Organización_Modular!H32</f>
        <v>0</v>
      </c>
      <c r="G242" s="12">
        <f>Organización_Modular!I32</f>
        <v>0</v>
      </c>
      <c r="H242" s="12">
        <f>SUM(F242:G242)</f>
        <v>0</v>
      </c>
      <c r="I242" s="12">
        <f>F242*16</f>
        <v>0</v>
      </c>
      <c r="J242" s="12">
        <f>G242*32</f>
        <v>0</v>
      </c>
      <c r="K242" s="12">
        <f>SUM(I242:J242)</f>
        <v>0</v>
      </c>
      <c r="L242" s="445"/>
      <c r="M242" s="291" t="str">
        <f t="shared" si="5"/>
        <v xml:space="preserve">   </v>
      </c>
      <c r="N242" s="293"/>
      <c r="O242" s="293"/>
      <c r="P242" s="293"/>
      <c r="Q242" s="293"/>
      <c r="R242" s="293"/>
      <c r="S242" s="293"/>
      <c r="T242" s="293"/>
      <c r="U242" s="293"/>
      <c r="V242" s="293"/>
      <c r="W242" s="293"/>
      <c r="X242" s="293"/>
      <c r="Y242" s="293"/>
      <c r="Z242" s="293"/>
      <c r="AA242" s="293"/>
      <c r="AB242" s="293"/>
      <c r="AC242" s="293"/>
      <c r="AD242" s="293"/>
      <c r="AE242" s="293"/>
      <c r="AF242" s="293"/>
      <c r="AG242" s="293"/>
      <c r="AH242" s="293"/>
      <c r="AI242" s="293"/>
    </row>
    <row r="243" spans="1:35" hidden="1" x14ac:dyDescent="0.2">
      <c r="A243" s="426"/>
      <c r="B243" s="156" t="str">
        <f>Capacidades!M231</f>
        <v xml:space="preserve">   </v>
      </c>
      <c r="C243" s="157"/>
      <c r="D243" s="14"/>
      <c r="E243" s="14"/>
      <c r="F243" s="14"/>
      <c r="G243" s="14"/>
      <c r="H243" s="14"/>
      <c r="I243" s="14"/>
      <c r="J243" s="14"/>
      <c r="K243" s="14"/>
      <c r="L243" s="446"/>
      <c r="M243" s="291" t="str">
        <f t="shared" si="5"/>
        <v xml:space="preserve">   </v>
      </c>
      <c r="N243" s="293"/>
      <c r="O243" s="293"/>
      <c r="P243" s="293"/>
      <c r="Q243" s="293"/>
      <c r="R243" s="293"/>
      <c r="S243" s="293"/>
      <c r="T243" s="293"/>
      <c r="U243" s="293"/>
      <c r="V243" s="293"/>
      <c r="W243" s="293"/>
      <c r="X243" s="293"/>
      <c r="Y243" s="293"/>
      <c r="Z243" s="293"/>
      <c r="AA243" s="293"/>
      <c r="AB243" s="293"/>
      <c r="AC243" s="293"/>
      <c r="AD243" s="293"/>
      <c r="AE243" s="293"/>
      <c r="AF243" s="293"/>
      <c r="AG243" s="293"/>
      <c r="AH243" s="293"/>
      <c r="AI243" s="293"/>
    </row>
    <row r="244" spans="1:35" hidden="1" x14ac:dyDescent="0.2">
      <c r="A244" s="426"/>
      <c r="B244" s="156" t="str">
        <f>Capacidades!M232</f>
        <v xml:space="preserve">   </v>
      </c>
      <c r="C244" s="157"/>
      <c r="D244" s="14"/>
      <c r="E244" s="14"/>
      <c r="F244" s="14"/>
      <c r="G244" s="14"/>
      <c r="H244" s="14"/>
      <c r="I244" s="14"/>
      <c r="J244" s="14"/>
      <c r="K244" s="14"/>
      <c r="L244" s="446"/>
      <c r="M244" s="291" t="str">
        <f t="shared" si="5"/>
        <v xml:space="preserve">   </v>
      </c>
      <c r="N244" s="293"/>
      <c r="O244" s="293"/>
      <c r="P244" s="293"/>
      <c r="Q244" s="293"/>
      <c r="R244" s="293"/>
      <c r="S244" s="293"/>
      <c r="T244" s="293"/>
      <c r="U244" s="293"/>
      <c r="V244" s="293"/>
      <c r="W244" s="293"/>
      <c r="X244" s="293"/>
      <c r="Y244" s="293"/>
      <c r="Z244" s="293"/>
      <c r="AA244" s="293"/>
      <c r="AB244" s="293"/>
      <c r="AC244" s="293"/>
      <c r="AD244" s="293"/>
      <c r="AE244" s="293"/>
      <c r="AF244" s="293"/>
      <c r="AG244" s="293"/>
      <c r="AH244" s="293"/>
      <c r="AI244" s="293"/>
    </row>
    <row r="245" spans="1:35" hidden="1" x14ac:dyDescent="0.2">
      <c r="A245" s="426"/>
      <c r="B245" s="156" t="str">
        <f>Capacidades!M233</f>
        <v xml:space="preserve">   </v>
      </c>
      <c r="C245" s="157"/>
      <c r="D245" s="14"/>
      <c r="E245" s="14"/>
      <c r="F245" s="14"/>
      <c r="G245" s="14"/>
      <c r="H245" s="14"/>
      <c r="I245" s="14"/>
      <c r="J245" s="14"/>
      <c r="K245" s="14"/>
      <c r="L245" s="446"/>
      <c r="M245" s="291" t="str">
        <f t="shared" si="5"/>
        <v xml:space="preserve">   </v>
      </c>
      <c r="N245" s="293"/>
      <c r="O245" s="293"/>
      <c r="P245" s="293"/>
      <c r="Q245" s="293"/>
      <c r="R245" s="293"/>
      <c r="S245" s="293"/>
      <c r="T245" s="293"/>
      <c r="U245" s="293"/>
      <c r="V245" s="293"/>
      <c r="W245" s="293"/>
      <c r="X245" s="293"/>
      <c r="Y245" s="293"/>
      <c r="Z245" s="293"/>
      <c r="AA245" s="293"/>
      <c r="AB245" s="293"/>
      <c r="AC245" s="293"/>
      <c r="AD245" s="293"/>
      <c r="AE245" s="293"/>
      <c r="AF245" s="293"/>
      <c r="AG245" s="293"/>
      <c r="AH245" s="293"/>
      <c r="AI245" s="293"/>
    </row>
    <row r="246" spans="1:35" hidden="1" x14ac:dyDescent="0.2">
      <c r="A246" s="426"/>
      <c r="B246" s="156" t="str">
        <f>Capacidades!M234</f>
        <v xml:space="preserve">   </v>
      </c>
      <c r="C246" s="157"/>
      <c r="D246" s="14"/>
      <c r="E246" s="14"/>
      <c r="F246" s="14"/>
      <c r="G246" s="14"/>
      <c r="H246" s="14"/>
      <c r="I246" s="14"/>
      <c r="J246" s="14"/>
      <c r="K246" s="14"/>
      <c r="L246" s="446"/>
      <c r="M246" s="291" t="str">
        <f t="shared" si="5"/>
        <v xml:space="preserve">   </v>
      </c>
      <c r="N246" s="293"/>
      <c r="O246" s="293"/>
      <c r="P246" s="293"/>
      <c r="Q246" s="293"/>
      <c r="R246" s="293"/>
      <c r="S246" s="293"/>
      <c r="T246" s="293"/>
      <c r="U246" s="293"/>
      <c r="V246" s="293"/>
      <c r="W246" s="293"/>
      <c r="X246" s="293"/>
      <c r="Y246" s="293"/>
      <c r="Z246" s="293"/>
      <c r="AA246" s="293"/>
      <c r="AB246" s="293"/>
      <c r="AC246" s="293"/>
      <c r="AD246" s="293"/>
      <c r="AE246" s="293"/>
      <c r="AF246" s="293"/>
      <c r="AG246" s="293"/>
      <c r="AH246" s="293"/>
      <c r="AI246" s="293"/>
    </row>
    <row r="247" spans="1:35" hidden="1" x14ac:dyDescent="0.2">
      <c r="A247" s="426"/>
      <c r="B247" s="156" t="str">
        <f>Capacidades!M235</f>
        <v xml:space="preserve">   </v>
      </c>
      <c r="C247" s="157"/>
      <c r="D247" s="14"/>
      <c r="E247" s="14"/>
      <c r="F247" s="14"/>
      <c r="G247" s="14"/>
      <c r="H247" s="14"/>
      <c r="I247" s="14"/>
      <c r="J247" s="14"/>
      <c r="K247" s="14"/>
      <c r="L247" s="446"/>
      <c r="M247" s="291" t="str">
        <f t="shared" si="5"/>
        <v xml:space="preserve">   </v>
      </c>
      <c r="N247" s="293"/>
      <c r="O247" s="293"/>
      <c r="P247" s="293"/>
      <c r="Q247" s="293"/>
      <c r="R247" s="293"/>
      <c r="S247" s="293"/>
      <c r="T247" s="293"/>
      <c r="U247" s="293"/>
      <c r="V247" s="293"/>
      <c r="W247" s="293"/>
      <c r="X247" s="293"/>
      <c r="Y247" s="293"/>
      <c r="Z247" s="293"/>
      <c r="AA247" s="293"/>
      <c r="AB247" s="293"/>
      <c r="AC247" s="293"/>
      <c r="AD247" s="293"/>
      <c r="AE247" s="293"/>
      <c r="AF247" s="293"/>
      <c r="AG247" s="293"/>
      <c r="AH247" s="293"/>
      <c r="AI247" s="293"/>
    </row>
    <row r="248" spans="1:35" hidden="1" x14ac:dyDescent="0.2">
      <c r="A248" s="426"/>
      <c r="B248" s="156" t="str">
        <f>Capacidades!M236</f>
        <v xml:space="preserve">   </v>
      </c>
      <c r="C248" s="157"/>
      <c r="D248" s="14"/>
      <c r="E248" s="14"/>
      <c r="F248" s="14"/>
      <c r="G248" s="14"/>
      <c r="H248" s="14"/>
      <c r="I248" s="14"/>
      <c r="J248" s="14"/>
      <c r="K248" s="14"/>
      <c r="L248" s="446"/>
      <c r="M248" s="291" t="str">
        <f t="shared" si="5"/>
        <v xml:space="preserve">   </v>
      </c>
      <c r="N248" s="293"/>
      <c r="O248" s="293"/>
      <c r="P248" s="293"/>
      <c r="Q248" s="293"/>
      <c r="R248" s="293"/>
      <c r="S248" s="293"/>
      <c r="T248" s="293"/>
      <c r="U248" s="293"/>
      <c r="V248" s="293"/>
      <c r="W248" s="293"/>
      <c r="X248" s="293"/>
      <c r="Y248" s="293"/>
      <c r="Z248" s="293"/>
      <c r="AA248" s="293"/>
      <c r="AB248" s="293"/>
      <c r="AC248" s="293"/>
      <c r="AD248" s="293"/>
      <c r="AE248" s="293"/>
      <c r="AF248" s="293"/>
      <c r="AG248" s="293"/>
      <c r="AH248" s="293"/>
      <c r="AI248" s="293"/>
    </row>
    <row r="249" spans="1:35" hidden="1" x14ac:dyDescent="0.2">
      <c r="A249" s="426"/>
      <c r="B249" s="156" t="str">
        <f>Capacidades!M237</f>
        <v xml:space="preserve">   </v>
      </c>
      <c r="C249" s="157"/>
      <c r="D249" s="14"/>
      <c r="E249" s="14"/>
      <c r="F249" s="14"/>
      <c r="G249" s="14"/>
      <c r="H249" s="14"/>
      <c r="I249" s="14"/>
      <c r="J249" s="14"/>
      <c r="K249" s="14"/>
      <c r="L249" s="446"/>
      <c r="M249" s="291" t="str">
        <f t="shared" si="5"/>
        <v xml:space="preserve">   </v>
      </c>
      <c r="N249" s="293"/>
      <c r="O249" s="293"/>
      <c r="P249" s="293"/>
      <c r="Q249" s="293"/>
      <c r="R249" s="293"/>
      <c r="S249" s="293"/>
      <c r="T249" s="293"/>
      <c r="U249" s="293"/>
      <c r="V249" s="293"/>
      <c r="W249" s="293"/>
      <c r="X249" s="293"/>
      <c r="Y249" s="293"/>
      <c r="Z249" s="293"/>
      <c r="AA249" s="293"/>
      <c r="AB249" s="293"/>
      <c r="AC249" s="293"/>
      <c r="AD249" s="293"/>
      <c r="AE249" s="293"/>
      <c r="AF249" s="293"/>
      <c r="AG249" s="293"/>
      <c r="AH249" s="293"/>
      <c r="AI249" s="293"/>
    </row>
    <row r="250" spans="1:35" hidden="1" x14ac:dyDescent="0.2">
      <c r="A250" s="426"/>
      <c r="B250" s="156" t="str">
        <f>Capacidades!M238</f>
        <v xml:space="preserve">   </v>
      </c>
      <c r="C250" s="157"/>
      <c r="D250" s="14"/>
      <c r="E250" s="14"/>
      <c r="F250" s="14"/>
      <c r="G250" s="14"/>
      <c r="H250" s="14"/>
      <c r="I250" s="14"/>
      <c r="J250" s="14"/>
      <c r="K250" s="14"/>
      <c r="L250" s="446"/>
      <c r="M250" s="291" t="str">
        <f t="shared" si="5"/>
        <v xml:space="preserve">   </v>
      </c>
      <c r="N250" s="293"/>
      <c r="O250" s="293"/>
      <c r="P250" s="293"/>
      <c r="Q250" s="293"/>
      <c r="R250" s="293"/>
      <c r="S250" s="293"/>
      <c r="T250" s="293"/>
      <c r="U250" s="293"/>
      <c r="V250" s="293"/>
      <c r="W250" s="293"/>
      <c r="X250" s="293"/>
      <c r="Y250" s="293"/>
      <c r="Z250" s="293"/>
      <c r="AA250" s="293"/>
      <c r="AB250" s="293"/>
      <c r="AC250" s="293"/>
      <c r="AD250" s="293"/>
      <c r="AE250" s="293"/>
      <c r="AF250" s="293"/>
      <c r="AG250" s="293"/>
      <c r="AH250" s="293"/>
      <c r="AI250" s="293"/>
    </row>
    <row r="251" spans="1:35" hidden="1" x14ac:dyDescent="0.2">
      <c r="A251" s="427"/>
      <c r="B251" s="156" t="str">
        <f>Capacidades!M239</f>
        <v xml:space="preserve">   </v>
      </c>
      <c r="C251" s="160"/>
      <c r="D251" s="14"/>
      <c r="E251" s="14"/>
      <c r="F251" s="14"/>
      <c r="G251" s="14"/>
      <c r="H251" s="14"/>
      <c r="I251" s="14"/>
      <c r="J251" s="14"/>
      <c r="K251" s="14"/>
      <c r="L251" s="446"/>
      <c r="M251" s="291" t="str">
        <f t="shared" si="5"/>
        <v xml:space="preserve">   </v>
      </c>
      <c r="N251" s="293"/>
      <c r="O251" s="293"/>
      <c r="P251" s="293"/>
      <c r="Q251" s="293"/>
      <c r="R251" s="293"/>
      <c r="S251" s="293"/>
      <c r="T251" s="293"/>
      <c r="U251" s="293"/>
      <c r="V251" s="293"/>
      <c r="W251" s="293"/>
      <c r="X251" s="293"/>
      <c r="Y251" s="293"/>
      <c r="Z251" s="293"/>
      <c r="AA251" s="293"/>
      <c r="AB251" s="293"/>
      <c r="AC251" s="293"/>
      <c r="AD251" s="293"/>
      <c r="AE251" s="293"/>
      <c r="AF251" s="293"/>
      <c r="AG251" s="293"/>
      <c r="AH251" s="293"/>
      <c r="AI251" s="293"/>
    </row>
    <row r="252" spans="1:35" hidden="1" x14ac:dyDescent="0.2">
      <c r="A252" s="425" t="str">
        <f>Capacidades!L240</f>
        <v xml:space="preserve">       </v>
      </c>
      <c r="B252" s="156" t="str">
        <f>Capacidades!M240</f>
        <v xml:space="preserve">   </v>
      </c>
      <c r="C252" s="157"/>
      <c r="D252" s="12">
        <f>Organización_Modular!F33</f>
        <v>0</v>
      </c>
      <c r="E252" s="12">
        <f>Organización_Modular!G33</f>
        <v>0</v>
      </c>
      <c r="F252" s="12">
        <f>Organización_Modular!H33</f>
        <v>0</v>
      </c>
      <c r="G252" s="12">
        <f>Organización_Modular!I33</f>
        <v>0</v>
      </c>
      <c r="H252" s="12">
        <f>SUM(F252:G252)</f>
        <v>0</v>
      </c>
      <c r="I252" s="12">
        <f>F252*16</f>
        <v>0</v>
      </c>
      <c r="J252" s="12">
        <f>G252*32</f>
        <v>0</v>
      </c>
      <c r="K252" s="12">
        <f>SUM(I252:J252)</f>
        <v>0</v>
      </c>
      <c r="L252" s="445"/>
      <c r="M252" s="291" t="str">
        <f t="shared" si="5"/>
        <v xml:space="preserve">   </v>
      </c>
      <c r="N252" s="293"/>
      <c r="O252" s="293"/>
      <c r="P252" s="293"/>
      <c r="Q252" s="293"/>
      <c r="R252" s="293"/>
      <c r="S252" s="293"/>
      <c r="T252" s="293"/>
      <c r="U252" s="293"/>
      <c r="V252" s="293"/>
      <c r="W252" s="293"/>
      <c r="X252" s="293"/>
      <c r="Y252" s="293"/>
      <c r="Z252" s="293"/>
      <c r="AA252" s="293"/>
      <c r="AB252" s="293"/>
      <c r="AC252" s="293"/>
      <c r="AD252" s="293"/>
      <c r="AE252" s="293"/>
      <c r="AF252" s="293"/>
      <c r="AG252" s="293"/>
      <c r="AH252" s="293"/>
      <c r="AI252" s="293"/>
    </row>
    <row r="253" spans="1:35" hidden="1" x14ac:dyDescent="0.2">
      <c r="A253" s="426"/>
      <c r="B253" s="156" t="str">
        <f>Capacidades!M241</f>
        <v xml:space="preserve">   </v>
      </c>
      <c r="C253" s="157"/>
      <c r="D253" s="14"/>
      <c r="E253" s="14"/>
      <c r="F253" s="14"/>
      <c r="G253" s="14"/>
      <c r="H253" s="14"/>
      <c r="I253" s="14"/>
      <c r="J253" s="14"/>
      <c r="K253" s="14"/>
      <c r="L253" s="446"/>
      <c r="M253" s="291" t="str">
        <f t="shared" si="5"/>
        <v xml:space="preserve">   </v>
      </c>
      <c r="N253" s="293"/>
      <c r="O253" s="293"/>
      <c r="P253" s="293"/>
      <c r="Q253" s="293"/>
      <c r="R253" s="293"/>
      <c r="S253" s="293"/>
      <c r="T253" s="293"/>
      <c r="U253" s="293"/>
      <c r="V253" s="293"/>
      <c r="W253" s="293"/>
      <c r="X253" s="293"/>
      <c r="Y253" s="293"/>
      <c r="Z253" s="293"/>
      <c r="AA253" s="293"/>
      <c r="AB253" s="293"/>
      <c r="AC253" s="293"/>
      <c r="AD253" s="293"/>
      <c r="AE253" s="293"/>
      <c r="AF253" s="293"/>
      <c r="AG253" s="293"/>
      <c r="AH253" s="293"/>
      <c r="AI253" s="293"/>
    </row>
    <row r="254" spans="1:35" hidden="1" x14ac:dyDescent="0.2">
      <c r="A254" s="426"/>
      <c r="B254" s="156" t="str">
        <f>Capacidades!M242</f>
        <v xml:space="preserve">   </v>
      </c>
      <c r="C254" s="157"/>
      <c r="D254" s="14"/>
      <c r="E254" s="14"/>
      <c r="F254" s="14"/>
      <c r="G254" s="14"/>
      <c r="H254" s="14"/>
      <c r="I254" s="14"/>
      <c r="J254" s="14"/>
      <c r="K254" s="14"/>
      <c r="L254" s="446"/>
      <c r="M254" s="291" t="str">
        <f t="shared" si="5"/>
        <v xml:space="preserve">   </v>
      </c>
      <c r="N254" s="293"/>
      <c r="O254" s="293"/>
      <c r="P254" s="293"/>
      <c r="Q254" s="293"/>
      <c r="R254" s="293"/>
      <c r="S254" s="293"/>
      <c r="T254" s="293"/>
      <c r="U254" s="293"/>
      <c r="V254" s="293"/>
      <c r="W254" s="293"/>
      <c r="X254" s="293"/>
      <c r="Y254" s="293"/>
      <c r="Z254" s="293"/>
      <c r="AA254" s="293"/>
      <c r="AB254" s="293"/>
      <c r="AC254" s="293"/>
      <c r="AD254" s="293"/>
      <c r="AE254" s="293"/>
      <c r="AF254" s="293"/>
      <c r="AG254" s="293"/>
      <c r="AH254" s="293"/>
      <c r="AI254" s="293"/>
    </row>
    <row r="255" spans="1:35" hidden="1" x14ac:dyDescent="0.2">
      <c r="A255" s="426"/>
      <c r="B255" s="156" t="str">
        <f>Capacidades!M243</f>
        <v xml:space="preserve">   </v>
      </c>
      <c r="C255" s="157"/>
      <c r="D255" s="14"/>
      <c r="E255" s="14"/>
      <c r="F255" s="14"/>
      <c r="G255" s="14"/>
      <c r="H255" s="14"/>
      <c r="I255" s="14"/>
      <c r="J255" s="14"/>
      <c r="K255" s="14"/>
      <c r="L255" s="446"/>
      <c r="M255" s="291" t="str">
        <f t="shared" si="5"/>
        <v xml:space="preserve">   </v>
      </c>
      <c r="N255" s="293"/>
      <c r="O255" s="293"/>
      <c r="P255" s="293"/>
      <c r="Q255" s="293"/>
      <c r="R255" s="293"/>
      <c r="S255" s="293"/>
      <c r="T255" s="293"/>
      <c r="U255" s="293"/>
      <c r="V255" s="293"/>
      <c r="W255" s="293"/>
      <c r="X255" s="293"/>
      <c r="Y255" s="293"/>
      <c r="Z255" s="293"/>
      <c r="AA255" s="293"/>
      <c r="AB255" s="293"/>
      <c r="AC255" s="293"/>
      <c r="AD255" s="293"/>
      <c r="AE255" s="293"/>
      <c r="AF255" s="293"/>
      <c r="AG255" s="293"/>
      <c r="AH255" s="293"/>
      <c r="AI255" s="293"/>
    </row>
    <row r="256" spans="1:35" hidden="1" x14ac:dyDescent="0.2">
      <c r="A256" s="426"/>
      <c r="B256" s="156" t="str">
        <f>Capacidades!M244</f>
        <v xml:space="preserve">   </v>
      </c>
      <c r="C256" s="157"/>
      <c r="D256" s="14"/>
      <c r="E256" s="14"/>
      <c r="F256" s="14"/>
      <c r="G256" s="14"/>
      <c r="H256" s="14"/>
      <c r="I256" s="14"/>
      <c r="J256" s="14"/>
      <c r="K256" s="14"/>
      <c r="L256" s="446"/>
      <c r="M256" s="291" t="str">
        <f t="shared" si="5"/>
        <v xml:space="preserve">   </v>
      </c>
      <c r="N256" s="293"/>
      <c r="O256" s="293"/>
      <c r="P256" s="293"/>
      <c r="Q256" s="293"/>
      <c r="R256" s="293"/>
      <c r="S256" s="293"/>
      <c r="T256" s="293"/>
      <c r="U256" s="293"/>
      <c r="V256" s="293"/>
      <c r="W256" s="293"/>
      <c r="X256" s="293"/>
      <c r="Y256" s="293"/>
      <c r="Z256" s="293"/>
      <c r="AA256" s="293"/>
      <c r="AB256" s="293"/>
      <c r="AC256" s="293"/>
      <c r="AD256" s="293"/>
      <c r="AE256" s="293"/>
      <c r="AF256" s="293"/>
      <c r="AG256" s="293"/>
      <c r="AH256" s="293"/>
      <c r="AI256" s="293"/>
    </row>
    <row r="257" spans="1:35" hidden="1" x14ac:dyDescent="0.2">
      <c r="A257" s="426"/>
      <c r="B257" s="156" t="str">
        <f>Capacidades!M245</f>
        <v xml:space="preserve">   </v>
      </c>
      <c r="C257" s="157"/>
      <c r="D257" s="14"/>
      <c r="E257" s="14"/>
      <c r="F257" s="14"/>
      <c r="G257" s="14"/>
      <c r="H257" s="14"/>
      <c r="I257" s="14"/>
      <c r="J257" s="14"/>
      <c r="K257" s="14"/>
      <c r="L257" s="446"/>
      <c r="M257" s="291" t="str">
        <f t="shared" si="5"/>
        <v xml:space="preserve">   </v>
      </c>
      <c r="N257" s="293"/>
      <c r="O257" s="293"/>
      <c r="P257" s="293"/>
      <c r="Q257" s="293"/>
      <c r="R257" s="293"/>
      <c r="S257" s="293"/>
      <c r="T257" s="293"/>
      <c r="U257" s="293"/>
      <c r="V257" s="293"/>
      <c r="W257" s="293"/>
      <c r="X257" s="293"/>
      <c r="Y257" s="293"/>
      <c r="Z257" s="293"/>
      <c r="AA257" s="293"/>
      <c r="AB257" s="293"/>
      <c r="AC257" s="293"/>
      <c r="AD257" s="293"/>
      <c r="AE257" s="293"/>
      <c r="AF257" s="293"/>
      <c r="AG257" s="293"/>
      <c r="AH257" s="293"/>
      <c r="AI257" s="293"/>
    </row>
    <row r="258" spans="1:35" hidden="1" x14ac:dyDescent="0.2">
      <c r="A258" s="426"/>
      <c r="B258" s="156" t="str">
        <f>Capacidades!M246</f>
        <v xml:space="preserve">   </v>
      </c>
      <c r="C258" s="157"/>
      <c r="D258" s="14"/>
      <c r="E258" s="14"/>
      <c r="F258" s="14"/>
      <c r="G258" s="14"/>
      <c r="H258" s="14"/>
      <c r="I258" s="14"/>
      <c r="J258" s="14"/>
      <c r="K258" s="14"/>
      <c r="L258" s="446"/>
      <c r="M258" s="291" t="str">
        <f t="shared" si="5"/>
        <v xml:space="preserve">   </v>
      </c>
      <c r="N258" s="293"/>
      <c r="O258" s="293"/>
      <c r="P258" s="293"/>
      <c r="Q258" s="293"/>
      <c r="R258" s="293"/>
      <c r="S258" s="293"/>
      <c r="T258" s="293"/>
      <c r="U258" s="293"/>
      <c r="V258" s="293"/>
      <c r="W258" s="293"/>
      <c r="X258" s="293"/>
      <c r="Y258" s="293"/>
      <c r="Z258" s="293"/>
      <c r="AA258" s="293"/>
      <c r="AB258" s="293"/>
      <c r="AC258" s="293"/>
      <c r="AD258" s="293"/>
      <c r="AE258" s="293"/>
      <c r="AF258" s="293"/>
      <c r="AG258" s="293"/>
      <c r="AH258" s="293"/>
      <c r="AI258" s="293"/>
    </row>
    <row r="259" spans="1:35" hidden="1" x14ac:dyDescent="0.2">
      <c r="A259" s="426"/>
      <c r="B259" s="156" t="str">
        <f>Capacidades!M247</f>
        <v xml:space="preserve">   </v>
      </c>
      <c r="C259" s="157"/>
      <c r="D259" s="14"/>
      <c r="E259" s="14"/>
      <c r="F259" s="14"/>
      <c r="G259" s="14"/>
      <c r="H259" s="14"/>
      <c r="I259" s="14"/>
      <c r="J259" s="14"/>
      <c r="K259" s="14"/>
      <c r="L259" s="446"/>
      <c r="M259" s="291" t="str">
        <f t="shared" si="5"/>
        <v xml:space="preserve">   </v>
      </c>
      <c r="N259" s="293"/>
      <c r="O259" s="293"/>
      <c r="P259" s="293"/>
      <c r="Q259" s="293"/>
      <c r="R259" s="293"/>
      <c r="S259" s="293"/>
      <c r="T259" s="293"/>
      <c r="U259" s="293"/>
      <c r="V259" s="293"/>
      <c r="W259" s="293"/>
      <c r="X259" s="293"/>
      <c r="Y259" s="293"/>
      <c r="Z259" s="293"/>
      <c r="AA259" s="293"/>
      <c r="AB259" s="293"/>
      <c r="AC259" s="293"/>
      <c r="AD259" s="293"/>
      <c r="AE259" s="293"/>
      <c r="AF259" s="293"/>
      <c r="AG259" s="293"/>
      <c r="AH259" s="293"/>
      <c r="AI259" s="293"/>
    </row>
    <row r="260" spans="1:35" ht="12" hidden="1" customHeight="1" x14ac:dyDescent="0.2">
      <c r="A260" s="426"/>
      <c r="B260" s="156" t="str">
        <f>Capacidades!M248</f>
        <v xml:space="preserve">   </v>
      </c>
      <c r="C260" s="157"/>
      <c r="D260" s="14"/>
      <c r="E260" s="14"/>
      <c r="F260" s="14"/>
      <c r="G260" s="14"/>
      <c r="H260" s="14"/>
      <c r="I260" s="14"/>
      <c r="J260" s="14"/>
      <c r="K260" s="14"/>
      <c r="L260" s="446"/>
      <c r="M260" s="291" t="str">
        <f t="shared" si="5"/>
        <v xml:space="preserve">   </v>
      </c>
      <c r="N260" s="293"/>
      <c r="O260" s="293"/>
      <c r="P260" s="293"/>
      <c r="Q260" s="293"/>
      <c r="R260" s="293"/>
      <c r="S260" s="293"/>
      <c r="T260" s="293"/>
      <c r="U260" s="293"/>
      <c r="V260" s="293"/>
      <c r="W260" s="293"/>
      <c r="X260" s="293"/>
      <c r="Y260" s="293"/>
      <c r="Z260" s="293"/>
      <c r="AA260" s="293"/>
      <c r="AB260" s="293"/>
      <c r="AC260" s="293"/>
      <c r="AD260" s="293"/>
      <c r="AE260" s="293"/>
      <c r="AF260" s="293"/>
      <c r="AG260" s="293"/>
      <c r="AH260" s="293"/>
      <c r="AI260" s="293"/>
    </row>
    <row r="261" spans="1:35" hidden="1" x14ac:dyDescent="0.2">
      <c r="A261" s="427"/>
      <c r="B261" s="156" t="str">
        <f>Capacidades!M249</f>
        <v xml:space="preserve">   </v>
      </c>
      <c r="C261" s="160"/>
      <c r="D261" s="14"/>
      <c r="E261" s="14"/>
      <c r="F261" s="14"/>
      <c r="G261" s="14"/>
      <c r="H261" s="14"/>
      <c r="I261" s="14"/>
      <c r="J261" s="14"/>
      <c r="K261" s="14"/>
      <c r="L261" s="446"/>
      <c r="M261" s="291" t="str">
        <f t="shared" si="5"/>
        <v xml:space="preserve">   </v>
      </c>
      <c r="N261" s="293"/>
      <c r="O261" s="293"/>
      <c r="P261" s="293"/>
      <c r="Q261" s="293"/>
      <c r="R261" s="293"/>
      <c r="S261" s="293"/>
      <c r="T261" s="293"/>
      <c r="U261" s="293"/>
      <c r="V261" s="293"/>
      <c r="W261" s="293"/>
      <c r="X261" s="293"/>
      <c r="Y261" s="293"/>
      <c r="Z261" s="293"/>
      <c r="AA261" s="293"/>
      <c r="AB261" s="293"/>
      <c r="AC261" s="293"/>
      <c r="AD261" s="293"/>
      <c r="AE261" s="293"/>
      <c r="AF261" s="293"/>
      <c r="AG261" s="293"/>
      <c r="AH261" s="293"/>
      <c r="AI261" s="293"/>
    </row>
    <row r="262" spans="1:35" hidden="1" x14ac:dyDescent="0.2">
      <c r="A262" s="425" t="str">
        <f>Capacidades!L250</f>
        <v xml:space="preserve">       </v>
      </c>
      <c r="B262" s="156" t="str">
        <f>Capacidades!M250</f>
        <v xml:space="preserve">   </v>
      </c>
      <c r="C262" s="157"/>
      <c r="D262" s="12">
        <f>Organización_Modular!F34</f>
        <v>0</v>
      </c>
      <c r="E262" s="12">
        <f>Organización_Modular!G34</f>
        <v>0</v>
      </c>
      <c r="F262" s="12">
        <f>Organización_Modular!H34</f>
        <v>0</v>
      </c>
      <c r="G262" s="12">
        <f>Organización_Modular!I34</f>
        <v>0</v>
      </c>
      <c r="H262" s="12">
        <f>SUM(F262:G262)</f>
        <v>0</v>
      </c>
      <c r="I262" s="12">
        <f>F262*16</f>
        <v>0</v>
      </c>
      <c r="J262" s="12">
        <f>G262*32</f>
        <v>0</v>
      </c>
      <c r="K262" s="12">
        <f>SUM(I262:J262)</f>
        <v>0</v>
      </c>
      <c r="L262" s="445"/>
      <c r="M262" s="291" t="str">
        <f t="shared" si="5"/>
        <v xml:space="preserve">   </v>
      </c>
      <c r="N262" s="293"/>
      <c r="O262" s="293"/>
      <c r="P262" s="293"/>
      <c r="Q262" s="293"/>
      <c r="R262" s="293"/>
      <c r="S262" s="293"/>
      <c r="T262" s="293"/>
      <c r="U262" s="293"/>
      <c r="V262" s="293"/>
      <c r="W262" s="293"/>
      <c r="X262" s="293"/>
      <c r="Y262" s="293"/>
      <c r="Z262" s="293"/>
      <c r="AA262" s="293"/>
      <c r="AB262" s="293"/>
      <c r="AC262" s="293"/>
      <c r="AD262" s="293"/>
      <c r="AE262" s="293"/>
      <c r="AF262" s="293"/>
      <c r="AG262" s="293"/>
      <c r="AH262" s="293"/>
      <c r="AI262" s="293"/>
    </row>
    <row r="263" spans="1:35" hidden="1" x14ac:dyDescent="0.2">
      <c r="A263" s="426"/>
      <c r="B263" s="156" t="str">
        <f>Capacidades!M251</f>
        <v xml:space="preserve">   </v>
      </c>
      <c r="C263" s="157"/>
      <c r="D263" s="14"/>
      <c r="E263" s="14"/>
      <c r="F263" s="14"/>
      <c r="G263" s="14"/>
      <c r="H263" s="14"/>
      <c r="I263" s="14"/>
      <c r="J263" s="14"/>
      <c r="K263" s="14"/>
      <c r="L263" s="446"/>
      <c r="M263" s="291" t="str">
        <f t="shared" si="5"/>
        <v xml:space="preserve">   </v>
      </c>
      <c r="N263" s="293"/>
      <c r="O263" s="293"/>
      <c r="P263" s="293"/>
      <c r="Q263" s="293"/>
      <c r="R263" s="293"/>
      <c r="S263" s="293"/>
      <c r="T263" s="293"/>
      <c r="U263" s="293"/>
      <c r="V263" s="293"/>
      <c r="W263" s="293"/>
      <c r="X263" s="293"/>
      <c r="Y263" s="293"/>
      <c r="Z263" s="293"/>
      <c r="AA263" s="293"/>
      <c r="AB263" s="293"/>
      <c r="AC263" s="293"/>
      <c r="AD263" s="293"/>
      <c r="AE263" s="293"/>
      <c r="AF263" s="293"/>
      <c r="AG263" s="293"/>
      <c r="AH263" s="293"/>
      <c r="AI263" s="293"/>
    </row>
    <row r="264" spans="1:35" hidden="1" x14ac:dyDescent="0.2">
      <c r="A264" s="426"/>
      <c r="B264" s="156" t="str">
        <f>Capacidades!M252</f>
        <v xml:space="preserve">   </v>
      </c>
      <c r="C264" s="157"/>
      <c r="D264" s="14"/>
      <c r="E264" s="14"/>
      <c r="F264" s="14"/>
      <c r="G264" s="14"/>
      <c r="H264" s="14"/>
      <c r="I264" s="14"/>
      <c r="J264" s="14"/>
      <c r="K264" s="14"/>
      <c r="L264" s="446"/>
      <c r="M264" s="291" t="str">
        <f t="shared" si="5"/>
        <v xml:space="preserve">   </v>
      </c>
      <c r="N264" s="293"/>
      <c r="O264" s="293"/>
      <c r="P264" s="293"/>
      <c r="Q264" s="293"/>
      <c r="R264" s="293"/>
      <c r="S264" s="293"/>
      <c r="T264" s="293"/>
      <c r="U264" s="293"/>
      <c r="V264" s="293"/>
      <c r="W264" s="293"/>
      <c r="X264" s="293"/>
      <c r="Y264" s="293"/>
      <c r="Z264" s="293"/>
      <c r="AA264" s="293"/>
      <c r="AB264" s="293"/>
      <c r="AC264" s="293"/>
      <c r="AD264" s="293"/>
      <c r="AE264" s="293"/>
      <c r="AF264" s="293"/>
      <c r="AG264" s="293"/>
      <c r="AH264" s="293"/>
      <c r="AI264" s="293"/>
    </row>
    <row r="265" spans="1:35" hidden="1" x14ac:dyDescent="0.2">
      <c r="A265" s="426"/>
      <c r="B265" s="156" t="str">
        <f>Capacidades!M253</f>
        <v xml:space="preserve">   </v>
      </c>
      <c r="C265" s="157"/>
      <c r="D265" s="14"/>
      <c r="E265" s="14"/>
      <c r="F265" s="14"/>
      <c r="G265" s="14"/>
      <c r="H265" s="14"/>
      <c r="I265" s="14"/>
      <c r="J265" s="14"/>
      <c r="K265" s="14"/>
      <c r="L265" s="446"/>
      <c r="M265" s="291" t="str">
        <f t="shared" si="5"/>
        <v xml:space="preserve">   </v>
      </c>
      <c r="N265" s="293"/>
      <c r="O265" s="293"/>
      <c r="P265" s="293"/>
      <c r="Q265" s="293"/>
      <c r="R265" s="293"/>
      <c r="S265" s="293"/>
      <c r="T265" s="293"/>
      <c r="U265" s="293"/>
      <c r="V265" s="293"/>
      <c r="W265" s="293"/>
      <c r="X265" s="293"/>
      <c r="Y265" s="293"/>
      <c r="Z265" s="293"/>
      <c r="AA265" s="293"/>
      <c r="AB265" s="293"/>
      <c r="AC265" s="293"/>
      <c r="AD265" s="293"/>
      <c r="AE265" s="293"/>
      <c r="AF265" s="293"/>
      <c r="AG265" s="293"/>
      <c r="AH265" s="293"/>
      <c r="AI265" s="293"/>
    </row>
    <row r="266" spans="1:35" hidden="1" x14ac:dyDescent="0.2">
      <c r="A266" s="426"/>
      <c r="B266" s="156" t="str">
        <f>Capacidades!M254</f>
        <v xml:space="preserve">   </v>
      </c>
      <c r="C266" s="157"/>
      <c r="D266" s="14"/>
      <c r="E266" s="14"/>
      <c r="F266" s="14"/>
      <c r="G266" s="14"/>
      <c r="H266" s="14"/>
      <c r="I266" s="14"/>
      <c r="J266" s="14"/>
      <c r="K266" s="14"/>
      <c r="L266" s="446"/>
      <c r="M266" s="291" t="str">
        <f t="shared" si="5"/>
        <v xml:space="preserve">   </v>
      </c>
      <c r="N266" s="293"/>
      <c r="O266" s="293"/>
      <c r="P266" s="293"/>
      <c r="Q266" s="293"/>
      <c r="R266" s="293"/>
      <c r="S266" s="293"/>
      <c r="T266" s="293"/>
      <c r="U266" s="293"/>
      <c r="V266" s="293"/>
      <c r="W266" s="293"/>
      <c r="X266" s="293"/>
      <c r="Y266" s="293"/>
      <c r="Z266" s="293"/>
      <c r="AA266" s="293"/>
      <c r="AB266" s="293"/>
      <c r="AC266" s="293"/>
      <c r="AD266" s="293"/>
      <c r="AE266" s="293"/>
      <c r="AF266" s="293"/>
      <c r="AG266" s="293"/>
      <c r="AH266" s="293"/>
      <c r="AI266" s="293"/>
    </row>
    <row r="267" spans="1:35" hidden="1" x14ac:dyDescent="0.2">
      <c r="A267" s="426"/>
      <c r="B267" s="156" t="str">
        <f>Capacidades!M255</f>
        <v xml:space="preserve">   </v>
      </c>
      <c r="C267" s="157"/>
      <c r="D267" s="14"/>
      <c r="E267" s="14"/>
      <c r="F267" s="14"/>
      <c r="G267" s="14"/>
      <c r="H267" s="14"/>
      <c r="I267" s="14"/>
      <c r="J267" s="14"/>
      <c r="K267" s="14"/>
      <c r="L267" s="446"/>
      <c r="M267" s="291" t="str">
        <f t="shared" si="5"/>
        <v xml:space="preserve">   </v>
      </c>
      <c r="N267" s="293"/>
      <c r="O267" s="293"/>
      <c r="P267" s="293"/>
      <c r="Q267" s="293"/>
      <c r="R267" s="293"/>
      <c r="S267" s="293"/>
      <c r="T267" s="293"/>
      <c r="U267" s="293"/>
      <c r="V267" s="293"/>
      <c r="W267" s="293"/>
      <c r="X267" s="293"/>
      <c r="Y267" s="293"/>
      <c r="Z267" s="293"/>
      <c r="AA267" s="293"/>
      <c r="AB267" s="293"/>
      <c r="AC267" s="293"/>
      <c r="AD267" s="293"/>
      <c r="AE267" s="293"/>
      <c r="AF267" s="293"/>
      <c r="AG267" s="293"/>
      <c r="AH267" s="293"/>
      <c r="AI267" s="293"/>
    </row>
    <row r="268" spans="1:35" hidden="1" x14ac:dyDescent="0.2">
      <c r="A268" s="426"/>
      <c r="B268" s="156" t="str">
        <f>Capacidades!M256</f>
        <v xml:space="preserve">   </v>
      </c>
      <c r="C268" s="157"/>
      <c r="D268" s="14"/>
      <c r="E268" s="14"/>
      <c r="F268" s="14"/>
      <c r="G268" s="14"/>
      <c r="H268" s="14"/>
      <c r="I268" s="14"/>
      <c r="J268" s="14"/>
      <c r="K268" s="14"/>
      <c r="L268" s="446"/>
      <c r="M268" s="291" t="str">
        <f t="shared" si="5"/>
        <v xml:space="preserve">   </v>
      </c>
      <c r="N268" s="293"/>
      <c r="O268" s="293"/>
      <c r="P268" s="293"/>
      <c r="Q268" s="293"/>
      <c r="R268" s="293"/>
      <c r="S268" s="293"/>
      <c r="T268" s="293"/>
      <c r="U268" s="293"/>
      <c r="V268" s="293"/>
      <c r="W268" s="293"/>
      <c r="X268" s="293"/>
      <c r="Y268" s="293"/>
      <c r="Z268" s="293"/>
      <c r="AA268" s="293"/>
      <c r="AB268" s="293"/>
      <c r="AC268" s="293"/>
      <c r="AD268" s="293"/>
      <c r="AE268" s="293"/>
      <c r="AF268" s="293"/>
      <c r="AG268" s="293"/>
      <c r="AH268" s="293"/>
      <c r="AI268" s="293"/>
    </row>
    <row r="269" spans="1:35" hidden="1" x14ac:dyDescent="0.2">
      <c r="A269" s="426"/>
      <c r="B269" s="156" t="str">
        <f>Capacidades!M257</f>
        <v xml:space="preserve">   </v>
      </c>
      <c r="C269" s="157"/>
      <c r="D269" s="14"/>
      <c r="E269" s="14"/>
      <c r="F269" s="14"/>
      <c r="G269" s="14"/>
      <c r="H269" s="14"/>
      <c r="I269" s="14"/>
      <c r="J269" s="14"/>
      <c r="K269" s="14"/>
      <c r="L269" s="446"/>
      <c r="M269" s="291" t="str">
        <f t="shared" si="5"/>
        <v xml:space="preserve">   </v>
      </c>
      <c r="N269" s="293"/>
      <c r="O269" s="293"/>
      <c r="P269" s="293"/>
      <c r="Q269" s="293"/>
      <c r="R269" s="293"/>
      <c r="S269" s="293"/>
      <c r="T269" s="293"/>
      <c r="U269" s="293"/>
      <c r="V269" s="293"/>
      <c r="W269" s="293"/>
      <c r="X269" s="293"/>
      <c r="Y269" s="293"/>
      <c r="Z269" s="293"/>
      <c r="AA269" s="293"/>
      <c r="AB269" s="293"/>
      <c r="AC269" s="293"/>
      <c r="AD269" s="293"/>
      <c r="AE269" s="293"/>
      <c r="AF269" s="293"/>
      <c r="AG269" s="293"/>
      <c r="AH269" s="293"/>
      <c r="AI269" s="293"/>
    </row>
    <row r="270" spans="1:35" hidden="1" x14ac:dyDescent="0.2">
      <c r="A270" s="426"/>
      <c r="B270" s="156" t="str">
        <f>Capacidades!M258</f>
        <v xml:space="preserve">   </v>
      </c>
      <c r="C270" s="157"/>
      <c r="D270" s="14"/>
      <c r="E270" s="14"/>
      <c r="F270" s="14"/>
      <c r="G270" s="14"/>
      <c r="H270" s="14"/>
      <c r="I270" s="14"/>
      <c r="J270" s="14"/>
      <c r="K270" s="14"/>
      <c r="L270" s="446"/>
      <c r="M270" s="291" t="str">
        <f t="shared" si="5"/>
        <v xml:space="preserve">   </v>
      </c>
      <c r="N270" s="293"/>
      <c r="O270" s="293"/>
      <c r="P270" s="293"/>
      <c r="Q270" s="293"/>
      <c r="R270" s="293"/>
      <c r="S270" s="293"/>
      <c r="T270" s="293"/>
      <c r="U270" s="293"/>
      <c r="V270" s="293"/>
      <c r="W270" s="293"/>
      <c r="X270" s="293"/>
      <c r="Y270" s="293"/>
      <c r="Z270" s="293"/>
      <c r="AA270" s="293"/>
      <c r="AB270" s="293"/>
      <c r="AC270" s="293"/>
      <c r="AD270" s="293"/>
      <c r="AE270" s="293"/>
      <c r="AF270" s="293"/>
      <c r="AG270" s="293"/>
      <c r="AH270" s="293"/>
      <c r="AI270" s="293"/>
    </row>
    <row r="271" spans="1:35" hidden="1" x14ac:dyDescent="0.2">
      <c r="A271" s="427"/>
      <c r="B271" s="156" t="str">
        <f>Capacidades!M259</f>
        <v xml:space="preserve">   </v>
      </c>
      <c r="C271" s="160"/>
      <c r="D271" s="14"/>
      <c r="E271" s="14"/>
      <c r="F271" s="14"/>
      <c r="G271" s="14"/>
      <c r="H271" s="14"/>
      <c r="I271" s="14"/>
      <c r="J271" s="14"/>
      <c r="K271" s="14"/>
      <c r="L271" s="446"/>
      <c r="M271" s="291" t="str">
        <f t="shared" si="5"/>
        <v xml:space="preserve">   </v>
      </c>
      <c r="N271" s="293"/>
      <c r="O271" s="293"/>
      <c r="P271" s="293"/>
      <c r="Q271" s="293"/>
      <c r="R271" s="293"/>
      <c r="S271" s="293"/>
      <c r="T271" s="293"/>
      <c r="U271" s="293"/>
      <c r="V271" s="293"/>
      <c r="W271" s="293"/>
      <c r="X271" s="293"/>
      <c r="Y271" s="293"/>
      <c r="Z271" s="293"/>
      <c r="AA271" s="293"/>
      <c r="AB271" s="293"/>
      <c r="AC271" s="293"/>
      <c r="AD271" s="293"/>
      <c r="AE271" s="293"/>
      <c r="AF271" s="293"/>
      <c r="AG271" s="293"/>
      <c r="AH271" s="293"/>
      <c r="AI271" s="293"/>
    </row>
    <row r="272" spans="1:35" hidden="1" x14ac:dyDescent="0.2">
      <c r="A272" s="425" t="str">
        <f>Capacidades!L260</f>
        <v xml:space="preserve">       </v>
      </c>
      <c r="B272" s="156" t="str">
        <f>Capacidades!M260</f>
        <v xml:space="preserve">   </v>
      </c>
      <c r="C272" s="157"/>
      <c r="D272" s="12">
        <f>Organización_Modular!F35</f>
        <v>0</v>
      </c>
      <c r="E272" s="12">
        <f>Organización_Modular!G35</f>
        <v>0</v>
      </c>
      <c r="F272" s="12">
        <f>Organización_Modular!H35</f>
        <v>0</v>
      </c>
      <c r="G272" s="12">
        <f>Organización_Modular!I35</f>
        <v>0</v>
      </c>
      <c r="H272" s="12">
        <f>SUM(F272:G272)</f>
        <v>0</v>
      </c>
      <c r="I272" s="12">
        <f>F272*16</f>
        <v>0</v>
      </c>
      <c r="J272" s="12">
        <f>G272*32</f>
        <v>0</v>
      </c>
      <c r="K272" s="12">
        <f>SUM(I272:J272)</f>
        <v>0</v>
      </c>
      <c r="L272" s="445"/>
      <c r="M272" s="291" t="str">
        <f t="shared" si="5"/>
        <v xml:space="preserve">   </v>
      </c>
      <c r="N272" s="293"/>
      <c r="O272" s="293"/>
      <c r="P272" s="293"/>
      <c r="Q272" s="293"/>
      <c r="R272" s="293"/>
      <c r="S272" s="293"/>
      <c r="T272" s="293"/>
      <c r="U272" s="293"/>
      <c r="V272" s="293"/>
      <c r="W272" s="293"/>
      <c r="X272" s="293"/>
      <c r="Y272" s="293"/>
      <c r="Z272" s="293"/>
      <c r="AA272" s="293"/>
      <c r="AB272" s="293"/>
      <c r="AC272" s="293"/>
      <c r="AD272" s="293"/>
      <c r="AE272" s="293"/>
      <c r="AF272" s="293"/>
      <c r="AG272" s="293"/>
      <c r="AH272" s="293"/>
      <c r="AI272" s="293"/>
    </row>
    <row r="273" spans="1:35" hidden="1" x14ac:dyDescent="0.2">
      <c r="A273" s="426"/>
      <c r="B273" s="156" t="str">
        <f>Capacidades!M261</f>
        <v xml:space="preserve">   </v>
      </c>
      <c r="C273" s="157"/>
      <c r="D273" s="14"/>
      <c r="E273" s="14"/>
      <c r="F273" s="14"/>
      <c r="G273" s="14"/>
      <c r="H273" s="14"/>
      <c r="I273" s="14"/>
      <c r="J273" s="14"/>
      <c r="K273" s="14"/>
      <c r="L273" s="446"/>
      <c r="M273" s="291" t="str">
        <f t="shared" si="5"/>
        <v xml:space="preserve">   </v>
      </c>
      <c r="N273" s="293"/>
      <c r="O273" s="293"/>
      <c r="P273" s="293"/>
      <c r="Q273" s="293"/>
      <c r="R273" s="293"/>
      <c r="S273" s="293"/>
      <c r="T273" s="293"/>
      <c r="U273" s="293"/>
      <c r="V273" s="293"/>
      <c r="W273" s="293"/>
      <c r="X273" s="293"/>
      <c r="Y273" s="293"/>
      <c r="Z273" s="293"/>
      <c r="AA273" s="293"/>
      <c r="AB273" s="293"/>
      <c r="AC273" s="293"/>
      <c r="AD273" s="293"/>
      <c r="AE273" s="293"/>
      <c r="AF273" s="293"/>
      <c r="AG273" s="293"/>
      <c r="AH273" s="293"/>
      <c r="AI273" s="293"/>
    </row>
    <row r="274" spans="1:35" hidden="1" x14ac:dyDescent="0.2">
      <c r="A274" s="426"/>
      <c r="B274" s="156" t="str">
        <f>Capacidades!M262</f>
        <v xml:space="preserve">   </v>
      </c>
      <c r="C274" s="157"/>
      <c r="D274" s="14"/>
      <c r="E274" s="14"/>
      <c r="F274" s="14"/>
      <c r="G274" s="14"/>
      <c r="H274" s="14"/>
      <c r="I274" s="14"/>
      <c r="J274" s="14"/>
      <c r="K274" s="14"/>
      <c r="L274" s="446"/>
      <c r="M274" s="291" t="str">
        <f t="shared" si="5"/>
        <v xml:space="preserve">   </v>
      </c>
      <c r="N274" s="293"/>
      <c r="O274" s="293"/>
      <c r="P274" s="293"/>
      <c r="Q274" s="293"/>
      <c r="R274" s="293"/>
      <c r="S274" s="293"/>
      <c r="T274" s="293"/>
      <c r="U274" s="293"/>
      <c r="V274" s="293"/>
      <c r="W274" s="293"/>
      <c r="X274" s="293"/>
      <c r="Y274" s="293"/>
      <c r="Z274" s="293"/>
      <c r="AA274" s="293"/>
      <c r="AB274" s="293"/>
      <c r="AC274" s="293"/>
      <c r="AD274" s="293"/>
      <c r="AE274" s="293"/>
      <c r="AF274" s="293"/>
      <c r="AG274" s="293"/>
      <c r="AH274" s="293"/>
      <c r="AI274" s="293"/>
    </row>
    <row r="275" spans="1:35" hidden="1" x14ac:dyDescent="0.2">
      <c r="A275" s="426"/>
      <c r="B275" s="156" t="str">
        <f>Capacidades!M263</f>
        <v xml:space="preserve">   </v>
      </c>
      <c r="C275" s="157"/>
      <c r="D275" s="14"/>
      <c r="E275" s="14"/>
      <c r="F275" s="14"/>
      <c r="G275" s="14"/>
      <c r="H275" s="14"/>
      <c r="I275" s="14"/>
      <c r="J275" s="14"/>
      <c r="K275" s="14"/>
      <c r="L275" s="446"/>
      <c r="M275" s="291" t="str">
        <f t="shared" si="5"/>
        <v xml:space="preserve">   </v>
      </c>
      <c r="N275" s="293"/>
      <c r="O275" s="293"/>
      <c r="P275" s="293"/>
      <c r="Q275" s="293"/>
      <c r="R275" s="293"/>
      <c r="S275" s="293"/>
      <c r="T275" s="293"/>
      <c r="U275" s="293"/>
      <c r="V275" s="293"/>
      <c r="W275" s="293"/>
      <c r="X275" s="293"/>
      <c r="Y275" s="293"/>
      <c r="Z275" s="293"/>
      <c r="AA275" s="293"/>
      <c r="AB275" s="293"/>
      <c r="AC275" s="293"/>
      <c r="AD275" s="293"/>
      <c r="AE275" s="293"/>
      <c r="AF275" s="293"/>
      <c r="AG275" s="293"/>
      <c r="AH275" s="293"/>
      <c r="AI275" s="293"/>
    </row>
    <row r="276" spans="1:35" hidden="1" x14ac:dyDescent="0.2">
      <c r="A276" s="426"/>
      <c r="B276" s="156" t="str">
        <f>Capacidades!M264</f>
        <v xml:space="preserve">   </v>
      </c>
      <c r="C276" s="157"/>
      <c r="D276" s="14"/>
      <c r="E276" s="14"/>
      <c r="F276" s="14"/>
      <c r="G276" s="14"/>
      <c r="H276" s="14"/>
      <c r="I276" s="14"/>
      <c r="J276" s="14"/>
      <c r="K276" s="14"/>
      <c r="L276" s="446"/>
      <c r="M276" s="291" t="str">
        <f t="shared" si="5"/>
        <v xml:space="preserve">   </v>
      </c>
      <c r="N276" s="293"/>
      <c r="O276" s="293"/>
      <c r="P276" s="293"/>
      <c r="Q276" s="293"/>
      <c r="R276" s="293"/>
      <c r="S276" s="293"/>
      <c r="T276" s="293"/>
      <c r="U276" s="293"/>
      <c r="V276" s="293"/>
      <c r="W276" s="293"/>
      <c r="X276" s="293"/>
      <c r="Y276" s="293"/>
      <c r="Z276" s="293"/>
      <c r="AA276" s="293"/>
      <c r="AB276" s="293"/>
      <c r="AC276" s="293"/>
      <c r="AD276" s="293"/>
      <c r="AE276" s="293"/>
      <c r="AF276" s="293"/>
      <c r="AG276" s="293"/>
      <c r="AH276" s="293"/>
      <c r="AI276" s="293"/>
    </row>
    <row r="277" spans="1:35" hidden="1" x14ac:dyDescent="0.2">
      <c r="A277" s="426"/>
      <c r="B277" s="156" t="str">
        <f>Capacidades!M265</f>
        <v xml:space="preserve">   </v>
      </c>
      <c r="C277" s="157"/>
      <c r="D277" s="14"/>
      <c r="E277" s="14"/>
      <c r="F277" s="14"/>
      <c r="G277" s="14"/>
      <c r="H277" s="14"/>
      <c r="I277" s="14"/>
      <c r="J277" s="14"/>
      <c r="K277" s="14"/>
      <c r="L277" s="446"/>
      <c r="M277" s="291" t="str">
        <f t="shared" si="5"/>
        <v xml:space="preserve">   </v>
      </c>
      <c r="N277" s="293"/>
      <c r="O277" s="293"/>
      <c r="P277" s="293"/>
      <c r="Q277" s="293"/>
      <c r="R277" s="293"/>
      <c r="S277" s="293"/>
      <c r="T277" s="293"/>
      <c r="U277" s="293"/>
      <c r="V277" s="293"/>
      <c r="W277" s="293"/>
      <c r="X277" s="293"/>
      <c r="Y277" s="293"/>
      <c r="Z277" s="293"/>
      <c r="AA277" s="293"/>
      <c r="AB277" s="293"/>
      <c r="AC277" s="293"/>
      <c r="AD277" s="293"/>
      <c r="AE277" s="293"/>
      <c r="AF277" s="293"/>
      <c r="AG277" s="293"/>
      <c r="AH277" s="293"/>
      <c r="AI277" s="293"/>
    </row>
    <row r="278" spans="1:35" hidden="1" x14ac:dyDescent="0.2">
      <c r="A278" s="426"/>
      <c r="B278" s="156" t="str">
        <f>Capacidades!M266</f>
        <v xml:space="preserve">   </v>
      </c>
      <c r="C278" s="157"/>
      <c r="D278" s="14"/>
      <c r="E278" s="14"/>
      <c r="F278" s="14"/>
      <c r="G278" s="14"/>
      <c r="H278" s="14"/>
      <c r="I278" s="14"/>
      <c r="J278" s="14"/>
      <c r="K278" s="14"/>
      <c r="L278" s="446"/>
      <c r="M278" s="291" t="str">
        <f t="shared" si="5"/>
        <v xml:space="preserve">   </v>
      </c>
      <c r="N278" s="293"/>
      <c r="O278" s="293"/>
      <c r="P278" s="293"/>
      <c r="Q278" s="293"/>
      <c r="R278" s="293"/>
      <c r="S278" s="293"/>
      <c r="T278" s="293"/>
      <c r="U278" s="293"/>
      <c r="V278" s="293"/>
      <c r="W278" s="293"/>
      <c r="X278" s="293"/>
      <c r="Y278" s="293"/>
      <c r="Z278" s="293"/>
      <c r="AA278" s="293"/>
      <c r="AB278" s="293"/>
      <c r="AC278" s="293"/>
      <c r="AD278" s="293"/>
      <c r="AE278" s="293"/>
      <c r="AF278" s="293"/>
      <c r="AG278" s="293"/>
      <c r="AH278" s="293"/>
      <c r="AI278" s="293"/>
    </row>
    <row r="279" spans="1:35" hidden="1" x14ac:dyDescent="0.2">
      <c r="A279" s="426"/>
      <c r="B279" s="156" t="str">
        <f>Capacidades!M267</f>
        <v xml:space="preserve">   </v>
      </c>
      <c r="C279" s="157"/>
      <c r="D279" s="14"/>
      <c r="E279" s="14"/>
      <c r="F279" s="14"/>
      <c r="G279" s="14"/>
      <c r="H279" s="14"/>
      <c r="I279" s="14"/>
      <c r="J279" s="14"/>
      <c r="K279" s="14"/>
      <c r="L279" s="446"/>
      <c r="M279" s="291" t="str">
        <f t="shared" si="5"/>
        <v xml:space="preserve">   </v>
      </c>
      <c r="N279" s="293"/>
      <c r="O279" s="293"/>
      <c r="P279" s="293"/>
      <c r="Q279" s="293"/>
      <c r="R279" s="293"/>
      <c r="S279" s="293"/>
      <c r="T279" s="293"/>
      <c r="U279" s="293"/>
      <c r="V279" s="293"/>
      <c r="W279" s="293"/>
      <c r="X279" s="293"/>
      <c r="Y279" s="293"/>
      <c r="Z279" s="293"/>
      <c r="AA279" s="293"/>
      <c r="AB279" s="293"/>
      <c r="AC279" s="293"/>
      <c r="AD279" s="293"/>
      <c r="AE279" s="293"/>
      <c r="AF279" s="293"/>
      <c r="AG279" s="293"/>
      <c r="AH279" s="293"/>
      <c r="AI279" s="293"/>
    </row>
    <row r="280" spans="1:35" hidden="1" x14ac:dyDescent="0.2">
      <c r="A280" s="426"/>
      <c r="B280" s="156" t="str">
        <f>Capacidades!M268</f>
        <v xml:space="preserve">   </v>
      </c>
      <c r="C280" s="157"/>
      <c r="D280" s="14"/>
      <c r="E280" s="14"/>
      <c r="F280" s="14"/>
      <c r="G280" s="14"/>
      <c r="H280" s="14"/>
      <c r="I280" s="14"/>
      <c r="J280" s="14"/>
      <c r="K280" s="14"/>
      <c r="L280" s="446"/>
      <c r="M280" s="291" t="str">
        <f t="shared" si="5"/>
        <v xml:space="preserve">   </v>
      </c>
      <c r="N280" s="293"/>
      <c r="O280" s="293"/>
      <c r="P280" s="293"/>
      <c r="Q280" s="293"/>
      <c r="R280" s="293"/>
      <c r="S280" s="293"/>
      <c r="T280" s="293"/>
      <c r="U280" s="293"/>
      <c r="V280" s="293"/>
      <c r="W280" s="293"/>
      <c r="X280" s="293"/>
      <c r="Y280" s="293"/>
      <c r="Z280" s="293"/>
      <c r="AA280" s="293"/>
      <c r="AB280" s="293"/>
      <c r="AC280" s="293"/>
      <c r="AD280" s="293"/>
      <c r="AE280" s="293"/>
      <c r="AF280" s="293"/>
      <c r="AG280" s="293"/>
      <c r="AH280" s="293"/>
      <c r="AI280" s="293"/>
    </row>
    <row r="281" spans="1:35" hidden="1" x14ac:dyDescent="0.2">
      <c r="A281" s="427"/>
      <c r="B281" s="156" t="str">
        <f>Capacidades!M269</f>
        <v xml:space="preserve">   </v>
      </c>
      <c r="C281" s="160"/>
      <c r="D281" s="14"/>
      <c r="E281" s="14"/>
      <c r="F281" s="14"/>
      <c r="G281" s="14"/>
      <c r="H281" s="14"/>
      <c r="I281" s="14"/>
      <c r="J281" s="14"/>
      <c r="K281" s="14"/>
      <c r="L281" s="446"/>
      <c r="M281" s="291" t="str">
        <f t="shared" si="5"/>
        <v xml:space="preserve">   </v>
      </c>
      <c r="N281" s="293"/>
      <c r="O281" s="293"/>
      <c r="P281" s="293"/>
      <c r="Q281" s="293"/>
      <c r="R281" s="293"/>
      <c r="S281" s="293"/>
      <c r="T281" s="293"/>
      <c r="U281" s="293"/>
      <c r="V281" s="293"/>
      <c r="W281" s="293"/>
      <c r="X281" s="293"/>
      <c r="Y281" s="293"/>
      <c r="Z281" s="293"/>
      <c r="AA281" s="293"/>
      <c r="AB281" s="293"/>
      <c r="AC281" s="293"/>
      <c r="AD281" s="293"/>
      <c r="AE281" s="293"/>
      <c r="AF281" s="293"/>
      <c r="AG281" s="293"/>
      <c r="AH281" s="293"/>
      <c r="AI281" s="293"/>
    </row>
    <row r="282" spans="1:35" hidden="1" x14ac:dyDescent="0.2">
      <c r="A282" s="425" t="str">
        <f>Capacidades!L270</f>
        <v xml:space="preserve">       </v>
      </c>
      <c r="B282" s="156" t="str">
        <f>Capacidades!M270</f>
        <v xml:space="preserve">   </v>
      </c>
      <c r="C282" s="157"/>
      <c r="D282" s="12">
        <f>Organización_Modular!F36</f>
        <v>0</v>
      </c>
      <c r="E282" s="12">
        <f>Organización_Modular!G36</f>
        <v>0</v>
      </c>
      <c r="F282" s="12">
        <f>Organización_Modular!H36</f>
        <v>0</v>
      </c>
      <c r="G282" s="12">
        <f>Organización_Modular!I36</f>
        <v>0</v>
      </c>
      <c r="H282" s="12">
        <f>SUM(F282:G282)</f>
        <v>0</v>
      </c>
      <c r="I282" s="12">
        <f>F282*16</f>
        <v>0</v>
      </c>
      <c r="J282" s="12">
        <f>G282*32</f>
        <v>0</v>
      </c>
      <c r="K282" s="12">
        <f>SUM(I282:J282)</f>
        <v>0</v>
      </c>
      <c r="L282" s="445"/>
      <c r="M282" s="291" t="str">
        <f t="shared" si="5"/>
        <v xml:space="preserve">   </v>
      </c>
      <c r="N282" s="293"/>
      <c r="O282" s="293"/>
      <c r="P282" s="293"/>
      <c r="Q282" s="293"/>
      <c r="R282" s="293"/>
      <c r="S282" s="293"/>
      <c r="T282" s="293"/>
      <c r="U282" s="293"/>
      <c r="V282" s="293"/>
      <c r="W282" s="293"/>
      <c r="X282" s="293"/>
      <c r="Y282" s="293"/>
      <c r="Z282" s="293"/>
      <c r="AA282" s="293"/>
      <c r="AB282" s="293"/>
      <c r="AC282" s="293"/>
      <c r="AD282" s="293"/>
      <c r="AE282" s="293"/>
      <c r="AF282" s="293"/>
      <c r="AG282" s="293"/>
      <c r="AH282" s="293"/>
      <c r="AI282" s="293"/>
    </row>
    <row r="283" spans="1:35" hidden="1" x14ac:dyDescent="0.2">
      <c r="A283" s="426"/>
      <c r="B283" s="156" t="str">
        <f>Capacidades!M271</f>
        <v xml:space="preserve">   </v>
      </c>
      <c r="C283" s="157"/>
      <c r="D283" s="14"/>
      <c r="E283" s="14"/>
      <c r="F283" s="14"/>
      <c r="G283" s="14"/>
      <c r="H283" s="14"/>
      <c r="I283" s="14"/>
      <c r="J283" s="14"/>
      <c r="K283" s="14"/>
      <c r="L283" s="446"/>
      <c r="M283" s="291" t="str">
        <f t="shared" si="5"/>
        <v xml:space="preserve">   </v>
      </c>
      <c r="N283" s="293"/>
      <c r="O283" s="293"/>
      <c r="P283" s="293"/>
      <c r="Q283" s="293"/>
      <c r="R283" s="293"/>
      <c r="S283" s="293"/>
      <c r="T283" s="293"/>
      <c r="U283" s="293"/>
      <c r="V283" s="293"/>
      <c r="W283" s="293"/>
      <c r="X283" s="293"/>
      <c r="Y283" s="293"/>
      <c r="Z283" s="293"/>
      <c r="AA283" s="293"/>
      <c r="AB283" s="293"/>
      <c r="AC283" s="293"/>
      <c r="AD283" s="293"/>
      <c r="AE283" s="293"/>
      <c r="AF283" s="293"/>
      <c r="AG283" s="293"/>
      <c r="AH283" s="293"/>
      <c r="AI283" s="293"/>
    </row>
    <row r="284" spans="1:35" hidden="1" x14ac:dyDescent="0.2">
      <c r="A284" s="426"/>
      <c r="B284" s="156" t="str">
        <f>Capacidades!M272</f>
        <v xml:space="preserve">   </v>
      </c>
      <c r="C284" s="157"/>
      <c r="D284" s="14"/>
      <c r="E284" s="14"/>
      <c r="F284" s="14"/>
      <c r="G284" s="14"/>
      <c r="H284" s="14"/>
      <c r="I284" s="14"/>
      <c r="J284" s="14"/>
      <c r="K284" s="14"/>
      <c r="L284" s="446"/>
      <c r="M284" s="291" t="str">
        <f t="shared" si="5"/>
        <v xml:space="preserve">   </v>
      </c>
      <c r="N284" s="293"/>
      <c r="O284" s="293"/>
      <c r="P284" s="293"/>
      <c r="Q284" s="293"/>
      <c r="R284" s="293"/>
      <c r="S284" s="293"/>
      <c r="T284" s="293"/>
      <c r="U284" s="293"/>
      <c r="V284" s="293"/>
      <c r="W284" s="293"/>
      <c r="X284" s="293"/>
      <c r="Y284" s="293"/>
      <c r="Z284" s="293"/>
      <c r="AA284" s="293"/>
      <c r="AB284" s="293"/>
      <c r="AC284" s="293"/>
      <c r="AD284" s="293"/>
      <c r="AE284" s="293"/>
      <c r="AF284" s="293"/>
      <c r="AG284" s="293"/>
      <c r="AH284" s="293"/>
      <c r="AI284" s="293"/>
    </row>
    <row r="285" spans="1:35" hidden="1" x14ac:dyDescent="0.2">
      <c r="A285" s="426"/>
      <c r="B285" s="156" t="str">
        <f>Capacidades!M273</f>
        <v xml:space="preserve">   </v>
      </c>
      <c r="C285" s="157"/>
      <c r="D285" s="14"/>
      <c r="E285" s="14"/>
      <c r="F285" s="14"/>
      <c r="G285" s="14"/>
      <c r="H285" s="14"/>
      <c r="I285" s="14"/>
      <c r="J285" s="14"/>
      <c r="K285" s="14"/>
      <c r="L285" s="446"/>
      <c r="M285" s="291" t="str">
        <f t="shared" si="5"/>
        <v xml:space="preserve">   </v>
      </c>
      <c r="N285" s="293"/>
      <c r="O285" s="293"/>
      <c r="P285" s="293"/>
      <c r="Q285" s="293"/>
      <c r="R285" s="293"/>
      <c r="S285" s="293"/>
      <c r="T285" s="293"/>
      <c r="U285" s="293"/>
      <c r="V285" s="293"/>
      <c r="W285" s="293"/>
      <c r="X285" s="293"/>
      <c r="Y285" s="293"/>
      <c r="Z285" s="293"/>
      <c r="AA285" s="293"/>
      <c r="AB285" s="293"/>
      <c r="AC285" s="293"/>
      <c r="AD285" s="293"/>
      <c r="AE285" s="293"/>
      <c r="AF285" s="293"/>
      <c r="AG285" s="293"/>
      <c r="AH285" s="293"/>
      <c r="AI285" s="293"/>
    </row>
    <row r="286" spans="1:35" hidden="1" x14ac:dyDescent="0.2">
      <c r="A286" s="426"/>
      <c r="B286" s="156" t="str">
        <f>Capacidades!M274</f>
        <v xml:space="preserve">   </v>
      </c>
      <c r="C286" s="157"/>
      <c r="D286" s="14"/>
      <c r="E286" s="14"/>
      <c r="F286" s="14"/>
      <c r="G286" s="14"/>
      <c r="H286" s="14"/>
      <c r="I286" s="14"/>
      <c r="J286" s="14"/>
      <c r="K286" s="14"/>
      <c r="L286" s="446"/>
      <c r="M286" s="291" t="str">
        <f t="shared" si="5"/>
        <v xml:space="preserve">   </v>
      </c>
      <c r="N286" s="293"/>
      <c r="O286" s="293"/>
      <c r="P286" s="293"/>
      <c r="Q286" s="293"/>
      <c r="R286" s="293"/>
      <c r="S286" s="293"/>
      <c r="T286" s="293"/>
      <c r="U286" s="293"/>
      <c r="V286" s="293"/>
      <c r="W286" s="293"/>
      <c r="X286" s="293"/>
      <c r="Y286" s="293"/>
      <c r="Z286" s="293"/>
      <c r="AA286" s="293"/>
      <c r="AB286" s="293"/>
      <c r="AC286" s="293"/>
      <c r="AD286" s="293"/>
      <c r="AE286" s="293"/>
      <c r="AF286" s="293"/>
      <c r="AG286" s="293"/>
      <c r="AH286" s="293"/>
      <c r="AI286" s="293"/>
    </row>
    <row r="287" spans="1:35" hidden="1" x14ac:dyDescent="0.2">
      <c r="A287" s="426"/>
      <c r="B287" s="156" t="str">
        <f>Capacidades!M275</f>
        <v xml:space="preserve">   </v>
      </c>
      <c r="C287" s="157"/>
      <c r="D287" s="14"/>
      <c r="E287" s="14"/>
      <c r="F287" s="14"/>
      <c r="G287" s="14"/>
      <c r="H287" s="14"/>
      <c r="I287" s="14"/>
      <c r="J287" s="14"/>
      <c r="K287" s="14"/>
      <c r="L287" s="446"/>
      <c r="M287" s="291" t="str">
        <f t="shared" ref="M287:M321" si="6">B287</f>
        <v xml:space="preserve">   </v>
      </c>
      <c r="N287" s="293"/>
      <c r="O287" s="293"/>
      <c r="P287" s="293"/>
      <c r="Q287" s="293"/>
      <c r="R287" s="293"/>
      <c r="S287" s="293"/>
      <c r="T287" s="293"/>
      <c r="U287" s="293"/>
      <c r="V287" s="293"/>
      <c r="W287" s="293"/>
      <c r="X287" s="293"/>
      <c r="Y287" s="293"/>
      <c r="Z287" s="293"/>
      <c r="AA287" s="293"/>
      <c r="AB287" s="293"/>
      <c r="AC287" s="293"/>
      <c r="AD287" s="293"/>
      <c r="AE287" s="293"/>
      <c r="AF287" s="293"/>
      <c r="AG287" s="293"/>
      <c r="AH287" s="293"/>
      <c r="AI287" s="293"/>
    </row>
    <row r="288" spans="1:35" hidden="1" x14ac:dyDescent="0.2">
      <c r="A288" s="426"/>
      <c r="B288" s="156" t="str">
        <f>Capacidades!M276</f>
        <v xml:space="preserve">   </v>
      </c>
      <c r="C288" s="157"/>
      <c r="D288" s="14"/>
      <c r="E288" s="14"/>
      <c r="F288" s="14"/>
      <c r="G288" s="14"/>
      <c r="H288" s="14"/>
      <c r="I288" s="14"/>
      <c r="J288" s="14"/>
      <c r="K288" s="14"/>
      <c r="L288" s="446"/>
      <c r="M288" s="291" t="str">
        <f t="shared" si="6"/>
        <v xml:space="preserve">   </v>
      </c>
      <c r="N288" s="293"/>
      <c r="O288" s="293"/>
      <c r="P288" s="293"/>
      <c r="Q288" s="293"/>
      <c r="R288" s="293"/>
      <c r="S288" s="293"/>
      <c r="T288" s="293"/>
      <c r="U288" s="293"/>
      <c r="V288" s="293"/>
      <c r="W288" s="293"/>
      <c r="X288" s="293"/>
      <c r="Y288" s="293"/>
      <c r="Z288" s="293"/>
      <c r="AA288" s="293"/>
      <c r="AB288" s="293"/>
      <c r="AC288" s="293"/>
      <c r="AD288" s="293"/>
      <c r="AE288" s="293"/>
      <c r="AF288" s="293"/>
      <c r="AG288" s="293"/>
      <c r="AH288" s="293"/>
      <c r="AI288" s="293"/>
    </row>
    <row r="289" spans="1:35" hidden="1" x14ac:dyDescent="0.2">
      <c r="A289" s="426"/>
      <c r="B289" s="156" t="str">
        <f>Capacidades!M277</f>
        <v xml:space="preserve">   </v>
      </c>
      <c r="C289" s="157"/>
      <c r="D289" s="14"/>
      <c r="E289" s="14"/>
      <c r="F289" s="14"/>
      <c r="G289" s="14"/>
      <c r="H289" s="14"/>
      <c r="I289" s="14"/>
      <c r="J289" s="14"/>
      <c r="K289" s="14"/>
      <c r="L289" s="446"/>
      <c r="M289" s="291" t="str">
        <f t="shared" si="6"/>
        <v xml:space="preserve">   </v>
      </c>
      <c r="N289" s="293"/>
      <c r="O289" s="293"/>
      <c r="P289" s="293"/>
      <c r="Q289" s="293"/>
      <c r="R289" s="293"/>
      <c r="S289" s="293"/>
      <c r="T289" s="293"/>
      <c r="U289" s="293"/>
      <c r="V289" s="293"/>
      <c r="W289" s="293"/>
      <c r="X289" s="293"/>
      <c r="Y289" s="293"/>
      <c r="Z289" s="293"/>
      <c r="AA289" s="293"/>
      <c r="AB289" s="293"/>
      <c r="AC289" s="293"/>
      <c r="AD289" s="293"/>
      <c r="AE289" s="293"/>
      <c r="AF289" s="293"/>
      <c r="AG289" s="293"/>
      <c r="AH289" s="293"/>
      <c r="AI289" s="293"/>
    </row>
    <row r="290" spans="1:35" hidden="1" x14ac:dyDescent="0.2">
      <c r="A290" s="426"/>
      <c r="B290" s="156" t="str">
        <f>Capacidades!M278</f>
        <v xml:space="preserve">   </v>
      </c>
      <c r="C290" s="157"/>
      <c r="D290" s="14"/>
      <c r="E290" s="14"/>
      <c r="F290" s="14"/>
      <c r="G290" s="14"/>
      <c r="H290" s="14"/>
      <c r="I290" s="14"/>
      <c r="J290" s="14"/>
      <c r="K290" s="14"/>
      <c r="L290" s="446"/>
      <c r="M290" s="291" t="str">
        <f t="shared" si="6"/>
        <v xml:space="preserve">   </v>
      </c>
      <c r="N290" s="293"/>
      <c r="O290" s="293"/>
      <c r="P290" s="293"/>
      <c r="Q290" s="293"/>
      <c r="R290" s="293"/>
      <c r="S290" s="293"/>
      <c r="T290" s="293"/>
      <c r="U290" s="293"/>
      <c r="V290" s="293"/>
      <c r="W290" s="293"/>
      <c r="X290" s="293"/>
      <c r="Y290" s="293"/>
      <c r="Z290" s="293"/>
      <c r="AA290" s="293"/>
      <c r="AB290" s="293"/>
      <c r="AC290" s="293"/>
      <c r="AD290" s="293"/>
      <c r="AE290" s="293"/>
      <c r="AF290" s="293"/>
      <c r="AG290" s="293"/>
      <c r="AH290" s="293"/>
      <c r="AI290" s="293"/>
    </row>
    <row r="291" spans="1:35" ht="3" hidden="1" customHeight="1" x14ac:dyDescent="0.2">
      <c r="A291" s="427"/>
      <c r="B291" s="156" t="str">
        <f>Capacidades!M279</f>
        <v xml:space="preserve">   </v>
      </c>
      <c r="C291" s="160"/>
      <c r="D291" s="14"/>
      <c r="E291" s="14"/>
      <c r="F291" s="14"/>
      <c r="G291" s="14"/>
      <c r="H291" s="14"/>
      <c r="I291" s="14"/>
      <c r="J291" s="14"/>
      <c r="K291" s="14"/>
      <c r="L291" s="446"/>
      <c r="M291" s="291" t="str">
        <f t="shared" si="6"/>
        <v xml:space="preserve">   </v>
      </c>
      <c r="N291" s="293"/>
      <c r="O291" s="293"/>
      <c r="P291" s="293"/>
      <c r="Q291" s="293"/>
      <c r="R291" s="293"/>
      <c r="S291" s="293"/>
      <c r="T291" s="293"/>
      <c r="U291" s="293"/>
      <c r="V291" s="293"/>
      <c r="W291" s="293"/>
      <c r="X291" s="293"/>
      <c r="Y291" s="293"/>
      <c r="Z291" s="293"/>
      <c r="AA291" s="293"/>
      <c r="AB291" s="293"/>
      <c r="AC291" s="293"/>
      <c r="AD291" s="293"/>
      <c r="AE291" s="293"/>
      <c r="AF291" s="293"/>
      <c r="AG291" s="293"/>
      <c r="AH291" s="293"/>
      <c r="AI291" s="293"/>
    </row>
    <row r="292" spans="1:35" hidden="1" x14ac:dyDescent="0.2">
      <c r="A292" s="425" t="str">
        <f>Capacidades!L280</f>
        <v xml:space="preserve">       </v>
      </c>
      <c r="B292" s="156" t="str">
        <f>Capacidades!M280</f>
        <v xml:space="preserve">   </v>
      </c>
      <c r="C292" s="157"/>
      <c r="D292" s="12">
        <f>Organización_Modular!F37</f>
        <v>0</v>
      </c>
      <c r="E292" s="12">
        <f>Organización_Modular!G37</f>
        <v>0</v>
      </c>
      <c r="F292" s="12">
        <f>Organización_Modular!H37</f>
        <v>0</v>
      </c>
      <c r="G292" s="12">
        <f>Organización_Modular!I37</f>
        <v>0</v>
      </c>
      <c r="H292" s="12">
        <f>SUM(F292:G292)</f>
        <v>0</v>
      </c>
      <c r="I292" s="12">
        <f>F292*16</f>
        <v>0</v>
      </c>
      <c r="J292" s="12">
        <f>G292*32</f>
        <v>0</v>
      </c>
      <c r="K292" s="12">
        <f>SUM(I292:J292)</f>
        <v>0</v>
      </c>
      <c r="L292" s="445"/>
      <c r="M292" s="291" t="str">
        <f t="shared" si="6"/>
        <v xml:space="preserve">   </v>
      </c>
      <c r="N292" s="293"/>
      <c r="O292" s="293"/>
      <c r="P292" s="293"/>
      <c r="Q292" s="293"/>
      <c r="R292" s="293"/>
      <c r="S292" s="293"/>
      <c r="T292" s="293"/>
      <c r="U292" s="293"/>
      <c r="V292" s="293"/>
      <c r="W292" s="293"/>
      <c r="X292" s="293"/>
      <c r="Y292" s="293"/>
      <c r="Z292" s="293"/>
      <c r="AA292" s="293"/>
      <c r="AB292" s="293"/>
      <c r="AC292" s="293"/>
      <c r="AD292" s="293"/>
      <c r="AE292" s="293"/>
      <c r="AF292" s="293"/>
      <c r="AG292" s="293"/>
      <c r="AH292" s="293"/>
      <c r="AI292" s="293"/>
    </row>
    <row r="293" spans="1:35" hidden="1" x14ac:dyDescent="0.2">
      <c r="A293" s="426"/>
      <c r="B293" s="156" t="str">
        <f>Capacidades!M281</f>
        <v xml:space="preserve">   </v>
      </c>
      <c r="C293" s="157"/>
      <c r="D293" s="14"/>
      <c r="E293" s="14"/>
      <c r="F293" s="14"/>
      <c r="G293" s="14"/>
      <c r="H293" s="14"/>
      <c r="I293" s="14"/>
      <c r="J293" s="14"/>
      <c r="K293" s="14"/>
      <c r="L293" s="446"/>
      <c r="M293" s="291" t="str">
        <f t="shared" si="6"/>
        <v xml:space="preserve">   </v>
      </c>
      <c r="N293" s="293"/>
      <c r="O293" s="293"/>
      <c r="P293" s="293"/>
      <c r="Q293" s="293"/>
      <c r="R293" s="293"/>
      <c r="S293" s="293"/>
      <c r="T293" s="293"/>
      <c r="U293" s="293"/>
      <c r="V293" s="293"/>
      <c r="W293" s="293"/>
      <c r="X293" s="293"/>
      <c r="Y293" s="293"/>
      <c r="Z293" s="293"/>
      <c r="AA293" s="293"/>
      <c r="AB293" s="293"/>
      <c r="AC293" s="293"/>
      <c r="AD293" s="293"/>
      <c r="AE293" s="293"/>
      <c r="AF293" s="293"/>
      <c r="AG293" s="293"/>
      <c r="AH293" s="293"/>
      <c r="AI293" s="293"/>
    </row>
    <row r="294" spans="1:35" hidden="1" x14ac:dyDescent="0.2">
      <c r="A294" s="426"/>
      <c r="B294" s="156" t="str">
        <f>Capacidades!M282</f>
        <v xml:space="preserve">   </v>
      </c>
      <c r="C294" s="157"/>
      <c r="D294" s="14"/>
      <c r="E294" s="14"/>
      <c r="F294" s="14"/>
      <c r="G294" s="14"/>
      <c r="H294" s="14"/>
      <c r="I294" s="14"/>
      <c r="J294" s="14"/>
      <c r="K294" s="14"/>
      <c r="L294" s="446"/>
      <c r="M294" s="291" t="str">
        <f t="shared" si="6"/>
        <v xml:space="preserve">   </v>
      </c>
      <c r="N294" s="293"/>
      <c r="O294" s="293"/>
      <c r="P294" s="293"/>
      <c r="Q294" s="293"/>
      <c r="R294" s="293"/>
      <c r="S294" s="293"/>
      <c r="T294" s="293"/>
      <c r="U294" s="293"/>
      <c r="V294" s="293"/>
      <c r="W294" s="293"/>
      <c r="X294" s="293"/>
      <c r="Y294" s="293"/>
      <c r="Z294" s="293"/>
      <c r="AA294" s="293"/>
      <c r="AB294" s="293"/>
      <c r="AC294" s="293"/>
      <c r="AD294" s="293"/>
      <c r="AE294" s="293"/>
      <c r="AF294" s="293"/>
      <c r="AG294" s="293"/>
      <c r="AH294" s="293"/>
      <c r="AI294" s="293"/>
    </row>
    <row r="295" spans="1:35" hidden="1" x14ac:dyDescent="0.2">
      <c r="A295" s="426"/>
      <c r="B295" s="156" t="str">
        <f>Capacidades!M283</f>
        <v xml:space="preserve">   </v>
      </c>
      <c r="C295" s="157"/>
      <c r="D295" s="14"/>
      <c r="E295" s="14"/>
      <c r="F295" s="14"/>
      <c r="G295" s="14"/>
      <c r="H295" s="14"/>
      <c r="I295" s="14"/>
      <c r="J295" s="14"/>
      <c r="K295" s="14"/>
      <c r="L295" s="446"/>
      <c r="M295" s="291" t="str">
        <f t="shared" si="6"/>
        <v xml:space="preserve">   </v>
      </c>
      <c r="N295" s="293"/>
      <c r="O295" s="293"/>
      <c r="P295" s="293"/>
      <c r="Q295" s="293"/>
      <c r="R295" s="293"/>
      <c r="S295" s="293"/>
      <c r="T295" s="293"/>
      <c r="U295" s="293"/>
      <c r="V295" s="293"/>
      <c r="W295" s="293"/>
      <c r="X295" s="293"/>
      <c r="Y295" s="293"/>
      <c r="Z295" s="293"/>
      <c r="AA295" s="293"/>
      <c r="AB295" s="293"/>
      <c r="AC295" s="293"/>
      <c r="AD295" s="293"/>
      <c r="AE295" s="293"/>
      <c r="AF295" s="293"/>
      <c r="AG295" s="293"/>
      <c r="AH295" s="293"/>
      <c r="AI295" s="293"/>
    </row>
    <row r="296" spans="1:35" hidden="1" x14ac:dyDescent="0.2">
      <c r="A296" s="426"/>
      <c r="B296" s="156" t="str">
        <f>Capacidades!M284</f>
        <v xml:space="preserve">   </v>
      </c>
      <c r="C296" s="157"/>
      <c r="D296" s="14"/>
      <c r="E296" s="14"/>
      <c r="F296" s="14"/>
      <c r="G296" s="14"/>
      <c r="H296" s="14"/>
      <c r="I296" s="14"/>
      <c r="J296" s="14"/>
      <c r="K296" s="14"/>
      <c r="L296" s="446"/>
      <c r="M296" s="291" t="str">
        <f t="shared" si="6"/>
        <v xml:space="preserve">   </v>
      </c>
      <c r="N296" s="293"/>
      <c r="O296" s="293"/>
      <c r="P296" s="293"/>
      <c r="Q296" s="293"/>
      <c r="R296" s="293"/>
      <c r="S296" s="293"/>
      <c r="T296" s="293"/>
      <c r="U296" s="293"/>
      <c r="V296" s="293"/>
      <c r="W296" s="293"/>
      <c r="X296" s="293"/>
      <c r="Y296" s="293"/>
      <c r="Z296" s="293"/>
      <c r="AA296" s="293"/>
      <c r="AB296" s="293"/>
      <c r="AC296" s="293"/>
      <c r="AD296" s="293"/>
      <c r="AE296" s="293"/>
      <c r="AF296" s="293"/>
      <c r="AG296" s="293"/>
      <c r="AH296" s="293"/>
      <c r="AI296" s="293"/>
    </row>
    <row r="297" spans="1:35" hidden="1" x14ac:dyDescent="0.2">
      <c r="A297" s="426"/>
      <c r="B297" s="156" t="str">
        <f>Capacidades!M285</f>
        <v xml:space="preserve">   </v>
      </c>
      <c r="C297" s="157"/>
      <c r="D297" s="14"/>
      <c r="E297" s="14"/>
      <c r="F297" s="14"/>
      <c r="G297" s="14"/>
      <c r="H297" s="14"/>
      <c r="I297" s="14"/>
      <c r="J297" s="14"/>
      <c r="K297" s="14"/>
      <c r="L297" s="446"/>
      <c r="M297" s="291" t="str">
        <f t="shared" si="6"/>
        <v xml:space="preserve">   </v>
      </c>
      <c r="N297" s="293"/>
      <c r="O297" s="293"/>
      <c r="P297" s="293"/>
      <c r="Q297" s="293"/>
      <c r="R297" s="293"/>
      <c r="S297" s="293"/>
      <c r="T297" s="293"/>
      <c r="U297" s="293"/>
      <c r="V297" s="293"/>
      <c r="W297" s="293"/>
      <c r="X297" s="293"/>
      <c r="Y297" s="293"/>
      <c r="Z297" s="293"/>
      <c r="AA297" s="293"/>
      <c r="AB297" s="293"/>
      <c r="AC297" s="293"/>
      <c r="AD297" s="293"/>
      <c r="AE297" s="293"/>
      <c r="AF297" s="293"/>
      <c r="AG297" s="293"/>
      <c r="AH297" s="293"/>
      <c r="AI297" s="293"/>
    </row>
    <row r="298" spans="1:35" hidden="1" x14ac:dyDescent="0.2">
      <c r="A298" s="426"/>
      <c r="B298" s="156" t="str">
        <f>Capacidades!M286</f>
        <v xml:space="preserve">   </v>
      </c>
      <c r="C298" s="157"/>
      <c r="D298" s="14"/>
      <c r="E298" s="14"/>
      <c r="F298" s="14"/>
      <c r="G298" s="14"/>
      <c r="H298" s="14"/>
      <c r="I298" s="14"/>
      <c r="J298" s="14"/>
      <c r="K298" s="14"/>
      <c r="L298" s="446"/>
      <c r="M298" s="291" t="str">
        <f t="shared" si="6"/>
        <v xml:space="preserve">   </v>
      </c>
      <c r="N298" s="293"/>
      <c r="O298" s="293"/>
      <c r="P298" s="293"/>
      <c r="Q298" s="293"/>
      <c r="R298" s="293"/>
      <c r="S298" s="293"/>
      <c r="T298" s="293"/>
      <c r="U298" s="293"/>
      <c r="V298" s="293"/>
      <c r="W298" s="293"/>
      <c r="X298" s="293"/>
      <c r="Y298" s="293"/>
      <c r="Z298" s="293"/>
      <c r="AA298" s="293"/>
      <c r="AB298" s="293"/>
      <c r="AC298" s="293"/>
      <c r="AD298" s="293"/>
      <c r="AE298" s="293"/>
      <c r="AF298" s="293"/>
      <c r="AG298" s="293"/>
      <c r="AH298" s="293"/>
      <c r="AI298" s="293"/>
    </row>
    <row r="299" spans="1:35" hidden="1" x14ac:dyDescent="0.2">
      <c r="A299" s="426"/>
      <c r="B299" s="156" t="str">
        <f>Capacidades!M287</f>
        <v xml:space="preserve">   </v>
      </c>
      <c r="C299" s="157"/>
      <c r="D299" s="14"/>
      <c r="E299" s="14"/>
      <c r="F299" s="14"/>
      <c r="G299" s="14"/>
      <c r="H299" s="14"/>
      <c r="I299" s="14"/>
      <c r="J299" s="14"/>
      <c r="K299" s="14"/>
      <c r="L299" s="446"/>
      <c r="M299" s="291" t="str">
        <f t="shared" si="6"/>
        <v xml:space="preserve">   </v>
      </c>
      <c r="N299" s="293"/>
      <c r="O299" s="293"/>
      <c r="P299" s="293"/>
      <c r="Q299" s="293"/>
      <c r="R299" s="293"/>
      <c r="S299" s="293"/>
      <c r="T299" s="293"/>
      <c r="U299" s="293"/>
      <c r="V299" s="293"/>
      <c r="W299" s="293"/>
      <c r="X299" s="293"/>
      <c r="Y299" s="293"/>
      <c r="Z299" s="293"/>
      <c r="AA299" s="293"/>
      <c r="AB299" s="293"/>
      <c r="AC299" s="293"/>
      <c r="AD299" s="293"/>
      <c r="AE299" s="293"/>
      <c r="AF299" s="293"/>
      <c r="AG299" s="293"/>
      <c r="AH299" s="293"/>
      <c r="AI299" s="293"/>
    </row>
    <row r="300" spans="1:35" hidden="1" x14ac:dyDescent="0.2">
      <c r="A300" s="426"/>
      <c r="B300" s="156" t="str">
        <f>Capacidades!M288</f>
        <v xml:space="preserve">   </v>
      </c>
      <c r="C300" s="157"/>
      <c r="D300" s="14"/>
      <c r="E300" s="14"/>
      <c r="F300" s="14"/>
      <c r="G300" s="14"/>
      <c r="H300" s="14"/>
      <c r="I300" s="14"/>
      <c r="J300" s="14"/>
      <c r="K300" s="14"/>
      <c r="L300" s="446"/>
      <c r="M300" s="291" t="str">
        <f t="shared" si="6"/>
        <v xml:space="preserve">   </v>
      </c>
      <c r="N300" s="293"/>
      <c r="O300" s="293"/>
      <c r="P300" s="293"/>
      <c r="Q300" s="293"/>
      <c r="R300" s="293"/>
      <c r="S300" s="293"/>
      <c r="T300" s="293"/>
      <c r="U300" s="293"/>
      <c r="V300" s="293"/>
      <c r="W300" s="293"/>
      <c r="X300" s="293"/>
      <c r="Y300" s="293"/>
      <c r="Z300" s="293"/>
      <c r="AA300" s="293"/>
      <c r="AB300" s="293"/>
      <c r="AC300" s="293"/>
      <c r="AD300" s="293"/>
      <c r="AE300" s="293"/>
      <c r="AF300" s="293"/>
      <c r="AG300" s="293"/>
      <c r="AH300" s="293"/>
      <c r="AI300" s="293"/>
    </row>
    <row r="301" spans="1:35" hidden="1" x14ac:dyDescent="0.2">
      <c r="A301" s="427"/>
      <c r="B301" s="156" t="str">
        <f>Capacidades!M289</f>
        <v xml:space="preserve">   </v>
      </c>
      <c r="C301" s="160"/>
      <c r="D301" s="14"/>
      <c r="E301" s="14"/>
      <c r="F301" s="14"/>
      <c r="G301" s="14"/>
      <c r="H301" s="14"/>
      <c r="I301" s="14"/>
      <c r="J301" s="14"/>
      <c r="K301" s="14"/>
      <c r="L301" s="446"/>
      <c r="M301" s="291" t="str">
        <f t="shared" si="6"/>
        <v xml:space="preserve">   </v>
      </c>
      <c r="N301" s="293"/>
      <c r="O301" s="293"/>
      <c r="P301" s="293"/>
      <c r="Q301" s="293"/>
      <c r="R301" s="293"/>
      <c r="S301" s="293"/>
      <c r="T301" s="293"/>
      <c r="U301" s="293"/>
      <c r="V301" s="293"/>
      <c r="W301" s="293"/>
      <c r="X301" s="293"/>
      <c r="Y301" s="293"/>
      <c r="Z301" s="293"/>
      <c r="AA301" s="293"/>
      <c r="AB301" s="293"/>
      <c r="AC301" s="293"/>
      <c r="AD301" s="293"/>
      <c r="AE301" s="293"/>
      <c r="AF301" s="293"/>
      <c r="AG301" s="293"/>
      <c r="AH301" s="293"/>
      <c r="AI301" s="293"/>
    </row>
    <row r="302" spans="1:35" hidden="1" x14ac:dyDescent="0.2">
      <c r="A302" s="425" t="str">
        <f>Capacidades!L290</f>
        <v xml:space="preserve">       </v>
      </c>
      <c r="B302" s="156" t="str">
        <f>Capacidades!M290</f>
        <v xml:space="preserve">   </v>
      </c>
      <c r="C302" s="157"/>
      <c r="D302" s="12">
        <f>Organización_Modular!F38</f>
        <v>0</v>
      </c>
      <c r="E302" s="12">
        <f>Organización_Modular!G38</f>
        <v>0</v>
      </c>
      <c r="F302" s="12">
        <f>Organización_Modular!H38</f>
        <v>0</v>
      </c>
      <c r="G302" s="12">
        <f>Organización_Modular!I38</f>
        <v>0</v>
      </c>
      <c r="H302" s="12">
        <f>SUM(F302:G302)</f>
        <v>0</v>
      </c>
      <c r="I302" s="12">
        <f>F302*16</f>
        <v>0</v>
      </c>
      <c r="J302" s="12">
        <f>G302*32</f>
        <v>0</v>
      </c>
      <c r="K302" s="12">
        <f>SUM(I302:J302)</f>
        <v>0</v>
      </c>
      <c r="L302" s="445"/>
      <c r="M302" s="291" t="str">
        <f t="shared" si="6"/>
        <v xml:space="preserve">   </v>
      </c>
      <c r="N302" s="293"/>
      <c r="O302" s="293"/>
      <c r="P302" s="293"/>
      <c r="Q302" s="293"/>
      <c r="R302" s="293"/>
      <c r="S302" s="293"/>
      <c r="T302" s="293"/>
      <c r="U302" s="293"/>
      <c r="V302" s="293"/>
      <c r="W302" s="293"/>
      <c r="X302" s="293"/>
      <c r="Y302" s="293"/>
      <c r="Z302" s="293"/>
      <c r="AA302" s="293"/>
      <c r="AB302" s="293"/>
      <c r="AC302" s="293"/>
      <c r="AD302" s="293"/>
      <c r="AE302" s="293"/>
      <c r="AF302" s="293"/>
      <c r="AG302" s="293"/>
      <c r="AH302" s="293"/>
      <c r="AI302" s="293"/>
    </row>
    <row r="303" spans="1:35" hidden="1" x14ac:dyDescent="0.2">
      <c r="A303" s="426"/>
      <c r="B303" s="156" t="str">
        <f>Capacidades!M291</f>
        <v xml:space="preserve">   </v>
      </c>
      <c r="C303" s="157"/>
      <c r="D303" s="14"/>
      <c r="E303" s="14"/>
      <c r="F303" s="14"/>
      <c r="G303" s="14"/>
      <c r="H303" s="14"/>
      <c r="I303" s="14"/>
      <c r="J303" s="14"/>
      <c r="K303" s="14"/>
      <c r="L303" s="446"/>
      <c r="M303" s="291" t="str">
        <f t="shared" si="6"/>
        <v xml:space="preserve">   </v>
      </c>
      <c r="N303" s="293"/>
      <c r="O303" s="293"/>
      <c r="P303" s="293"/>
      <c r="Q303" s="293"/>
      <c r="R303" s="293"/>
      <c r="S303" s="293"/>
      <c r="T303" s="293"/>
      <c r="U303" s="293"/>
      <c r="V303" s="293"/>
      <c r="W303" s="293"/>
      <c r="X303" s="293"/>
      <c r="Y303" s="293"/>
      <c r="Z303" s="293"/>
      <c r="AA303" s="293"/>
      <c r="AB303" s="293"/>
      <c r="AC303" s="293"/>
      <c r="AD303" s="293"/>
      <c r="AE303" s="293"/>
      <c r="AF303" s="293"/>
      <c r="AG303" s="293"/>
      <c r="AH303" s="293"/>
      <c r="AI303" s="293"/>
    </row>
    <row r="304" spans="1:35" hidden="1" x14ac:dyDescent="0.2">
      <c r="A304" s="426"/>
      <c r="B304" s="156" t="str">
        <f>Capacidades!M292</f>
        <v xml:space="preserve">   </v>
      </c>
      <c r="C304" s="157"/>
      <c r="D304" s="14"/>
      <c r="E304" s="14"/>
      <c r="F304" s="14"/>
      <c r="G304" s="14"/>
      <c r="H304" s="14"/>
      <c r="I304" s="14"/>
      <c r="J304" s="14"/>
      <c r="K304" s="14"/>
      <c r="L304" s="446"/>
      <c r="M304" s="291" t="str">
        <f t="shared" si="6"/>
        <v xml:space="preserve">   </v>
      </c>
      <c r="N304" s="293"/>
      <c r="O304" s="293"/>
      <c r="P304" s="293"/>
      <c r="Q304" s="293"/>
      <c r="R304" s="293"/>
      <c r="S304" s="293"/>
      <c r="T304" s="293"/>
      <c r="U304" s="293"/>
      <c r="V304" s="293"/>
      <c r="W304" s="293"/>
      <c r="X304" s="293"/>
      <c r="Y304" s="293"/>
      <c r="Z304" s="293"/>
      <c r="AA304" s="293"/>
      <c r="AB304" s="293"/>
      <c r="AC304" s="293"/>
      <c r="AD304" s="293"/>
      <c r="AE304" s="293"/>
      <c r="AF304" s="293"/>
      <c r="AG304" s="293"/>
      <c r="AH304" s="293"/>
      <c r="AI304" s="293"/>
    </row>
    <row r="305" spans="1:35" hidden="1" x14ac:dyDescent="0.2">
      <c r="A305" s="426"/>
      <c r="B305" s="156" t="str">
        <f>Capacidades!M293</f>
        <v xml:space="preserve">   </v>
      </c>
      <c r="C305" s="157"/>
      <c r="D305" s="14"/>
      <c r="E305" s="14"/>
      <c r="F305" s="14"/>
      <c r="G305" s="14"/>
      <c r="H305" s="14"/>
      <c r="I305" s="14"/>
      <c r="J305" s="14"/>
      <c r="K305" s="14"/>
      <c r="L305" s="446"/>
      <c r="M305" s="291" t="str">
        <f t="shared" si="6"/>
        <v xml:space="preserve">   </v>
      </c>
      <c r="N305" s="293"/>
      <c r="O305" s="293"/>
      <c r="P305" s="293"/>
      <c r="Q305" s="293"/>
      <c r="R305" s="293"/>
      <c r="S305" s="293"/>
      <c r="T305" s="293"/>
      <c r="U305" s="293"/>
      <c r="V305" s="293"/>
      <c r="W305" s="293"/>
      <c r="X305" s="293"/>
      <c r="Y305" s="293"/>
      <c r="Z305" s="293"/>
      <c r="AA305" s="293"/>
      <c r="AB305" s="293"/>
      <c r="AC305" s="293"/>
      <c r="AD305" s="293"/>
      <c r="AE305" s="293"/>
      <c r="AF305" s="293"/>
      <c r="AG305" s="293"/>
      <c r="AH305" s="293"/>
      <c r="AI305" s="293"/>
    </row>
    <row r="306" spans="1:35" hidden="1" x14ac:dyDescent="0.2">
      <c r="A306" s="426"/>
      <c r="B306" s="156" t="str">
        <f>Capacidades!M294</f>
        <v xml:space="preserve">   </v>
      </c>
      <c r="C306" s="157"/>
      <c r="D306" s="14"/>
      <c r="E306" s="14"/>
      <c r="F306" s="14"/>
      <c r="G306" s="14"/>
      <c r="H306" s="14"/>
      <c r="I306" s="14"/>
      <c r="J306" s="14"/>
      <c r="K306" s="14"/>
      <c r="L306" s="446"/>
      <c r="M306" s="291" t="str">
        <f t="shared" si="6"/>
        <v xml:space="preserve">   </v>
      </c>
      <c r="N306" s="293"/>
      <c r="O306" s="293"/>
      <c r="P306" s="293"/>
      <c r="Q306" s="293"/>
      <c r="R306" s="293"/>
      <c r="S306" s="293"/>
      <c r="T306" s="293"/>
      <c r="U306" s="293"/>
      <c r="V306" s="293"/>
      <c r="W306" s="293"/>
      <c r="X306" s="293"/>
      <c r="Y306" s="293"/>
      <c r="Z306" s="293"/>
      <c r="AA306" s="293"/>
      <c r="AB306" s="293"/>
      <c r="AC306" s="293"/>
      <c r="AD306" s="293"/>
      <c r="AE306" s="293"/>
      <c r="AF306" s="293"/>
      <c r="AG306" s="293"/>
      <c r="AH306" s="293"/>
      <c r="AI306" s="293"/>
    </row>
    <row r="307" spans="1:35" hidden="1" x14ac:dyDescent="0.2">
      <c r="A307" s="426"/>
      <c r="B307" s="156" t="str">
        <f>Capacidades!M295</f>
        <v xml:space="preserve">   </v>
      </c>
      <c r="C307" s="157"/>
      <c r="D307" s="14"/>
      <c r="E307" s="14"/>
      <c r="F307" s="14"/>
      <c r="G307" s="14"/>
      <c r="H307" s="14"/>
      <c r="I307" s="14"/>
      <c r="J307" s="14"/>
      <c r="K307" s="14"/>
      <c r="L307" s="446"/>
      <c r="M307" s="291" t="str">
        <f t="shared" si="6"/>
        <v xml:space="preserve">   </v>
      </c>
      <c r="N307" s="293"/>
      <c r="O307" s="293"/>
      <c r="P307" s="293"/>
      <c r="Q307" s="293"/>
      <c r="R307" s="293"/>
      <c r="S307" s="293"/>
      <c r="T307" s="293"/>
      <c r="U307" s="293"/>
      <c r="V307" s="293"/>
      <c r="W307" s="293"/>
      <c r="X307" s="293"/>
      <c r="Y307" s="293"/>
      <c r="Z307" s="293"/>
      <c r="AA307" s="293"/>
      <c r="AB307" s="293"/>
      <c r="AC307" s="293"/>
      <c r="AD307" s="293"/>
      <c r="AE307" s="293"/>
      <c r="AF307" s="293"/>
      <c r="AG307" s="293"/>
      <c r="AH307" s="293"/>
      <c r="AI307" s="293"/>
    </row>
    <row r="308" spans="1:35" hidden="1" x14ac:dyDescent="0.2">
      <c r="A308" s="426"/>
      <c r="B308" s="156" t="str">
        <f>Capacidades!M296</f>
        <v xml:space="preserve">   </v>
      </c>
      <c r="C308" s="157"/>
      <c r="D308" s="14"/>
      <c r="E308" s="14"/>
      <c r="F308" s="14"/>
      <c r="G308" s="14"/>
      <c r="H308" s="14"/>
      <c r="I308" s="14"/>
      <c r="J308" s="14"/>
      <c r="K308" s="14"/>
      <c r="L308" s="446"/>
      <c r="M308" s="291" t="str">
        <f t="shared" si="6"/>
        <v xml:space="preserve">   </v>
      </c>
      <c r="N308" s="293"/>
      <c r="O308" s="293"/>
      <c r="P308" s="293"/>
      <c r="Q308" s="293"/>
      <c r="R308" s="293"/>
      <c r="S308" s="293"/>
      <c r="T308" s="293"/>
      <c r="U308" s="293"/>
      <c r="V308" s="293"/>
      <c r="W308" s="293"/>
      <c r="X308" s="293"/>
      <c r="Y308" s="293"/>
      <c r="Z308" s="293"/>
      <c r="AA308" s="293"/>
      <c r="AB308" s="293"/>
      <c r="AC308" s="293"/>
      <c r="AD308" s="293"/>
      <c r="AE308" s="293"/>
      <c r="AF308" s="293"/>
      <c r="AG308" s="293"/>
      <c r="AH308" s="293"/>
      <c r="AI308" s="293"/>
    </row>
    <row r="309" spans="1:35" hidden="1" x14ac:dyDescent="0.2">
      <c r="A309" s="426"/>
      <c r="B309" s="156" t="str">
        <f>Capacidades!M297</f>
        <v xml:space="preserve">   </v>
      </c>
      <c r="C309" s="157"/>
      <c r="D309" s="14"/>
      <c r="E309" s="14"/>
      <c r="F309" s="14"/>
      <c r="G309" s="14"/>
      <c r="H309" s="14"/>
      <c r="I309" s="14"/>
      <c r="J309" s="14"/>
      <c r="K309" s="14"/>
      <c r="L309" s="446"/>
      <c r="M309" s="291" t="str">
        <f t="shared" si="6"/>
        <v xml:space="preserve">   </v>
      </c>
      <c r="N309" s="293"/>
      <c r="O309" s="293"/>
      <c r="P309" s="293"/>
      <c r="Q309" s="293"/>
      <c r="R309" s="293"/>
      <c r="S309" s="293"/>
      <c r="T309" s="293"/>
      <c r="U309" s="293"/>
      <c r="V309" s="293"/>
      <c r="W309" s="293"/>
      <c r="X309" s="293"/>
      <c r="Y309" s="293"/>
      <c r="Z309" s="293"/>
      <c r="AA309" s="293"/>
      <c r="AB309" s="293"/>
      <c r="AC309" s="293"/>
      <c r="AD309" s="293"/>
      <c r="AE309" s="293"/>
      <c r="AF309" s="293"/>
      <c r="AG309" s="293"/>
      <c r="AH309" s="293"/>
      <c r="AI309" s="293"/>
    </row>
    <row r="310" spans="1:35" hidden="1" x14ac:dyDescent="0.2">
      <c r="A310" s="426"/>
      <c r="B310" s="156" t="str">
        <f>Capacidades!M298</f>
        <v xml:space="preserve">   </v>
      </c>
      <c r="C310" s="157"/>
      <c r="D310" s="14"/>
      <c r="E310" s="14"/>
      <c r="F310" s="14"/>
      <c r="G310" s="14"/>
      <c r="H310" s="14"/>
      <c r="I310" s="14"/>
      <c r="J310" s="14"/>
      <c r="K310" s="14"/>
      <c r="L310" s="446"/>
      <c r="M310" s="291" t="str">
        <f t="shared" si="6"/>
        <v xml:space="preserve">   </v>
      </c>
      <c r="N310" s="293"/>
      <c r="O310" s="293"/>
      <c r="P310" s="293"/>
      <c r="Q310" s="293"/>
      <c r="R310" s="293"/>
      <c r="S310" s="293"/>
      <c r="T310" s="293"/>
      <c r="U310" s="293"/>
      <c r="V310" s="293"/>
      <c r="W310" s="293"/>
      <c r="X310" s="293"/>
      <c r="Y310" s="293"/>
      <c r="Z310" s="293"/>
      <c r="AA310" s="293"/>
      <c r="AB310" s="293"/>
      <c r="AC310" s="293"/>
      <c r="AD310" s="293"/>
      <c r="AE310" s="293"/>
      <c r="AF310" s="293"/>
      <c r="AG310" s="293"/>
      <c r="AH310" s="293"/>
      <c r="AI310" s="293"/>
    </row>
    <row r="311" spans="1:35" hidden="1" x14ac:dyDescent="0.2">
      <c r="A311" s="427"/>
      <c r="B311" s="156" t="str">
        <f>Capacidades!M299</f>
        <v xml:space="preserve">   </v>
      </c>
      <c r="C311" s="160"/>
      <c r="D311" s="14"/>
      <c r="E311" s="14"/>
      <c r="F311" s="14"/>
      <c r="G311" s="14"/>
      <c r="H311" s="14"/>
      <c r="I311" s="14"/>
      <c r="J311" s="14"/>
      <c r="K311" s="14"/>
      <c r="L311" s="446"/>
      <c r="M311" s="291" t="str">
        <f t="shared" si="6"/>
        <v xml:space="preserve">   </v>
      </c>
      <c r="N311" s="293"/>
      <c r="O311" s="293"/>
      <c r="P311" s="293"/>
      <c r="Q311" s="293"/>
      <c r="R311" s="293"/>
      <c r="S311" s="293"/>
      <c r="T311" s="293"/>
      <c r="U311" s="293"/>
      <c r="V311" s="293"/>
      <c r="W311" s="293"/>
      <c r="X311" s="293"/>
      <c r="Y311" s="293"/>
      <c r="Z311" s="293"/>
      <c r="AA311" s="293"/>
      <c r="AB311" s="293"/>
      <c r="AC311" s="293"/>
      <c r="AD311" s="293"/>
      <c r="AE311" s="293"/>
      <c r="AF311" s="293"/>
      <c r="AG311" s="293"/>
      <c r="AH311" s="293"/>
      <c r="AI311" s="293"/>
    </row>
    <row r="312" spans="1:35" hidden="1" x14ac:dyDescent="0.2">
      <c r="A312" s="425" t="str">
        <f>Capacidades!L300</f>
        <v xml:space="preserve">       </v>
      </c>
      <c r="B312" s="156" t="str">
        <f>Capacidades!M300</f>
        <v xml:space="preserve">   </v>
      </c>
      <c r="C312" s="157"/>
      <c r="D312" s="12">
        <f>Organización_Modular!F39</f>
        <v>0</v>
      </c>
      <c r="E312" s="12">
        <f>Organización_Modular!G39</f>
        <v>0</v>
      </c>
      <c r="F312" s="12">
        <f>Organización_Modular!H39</f>
        <v>0</v>
      </c>
      <c r="G312" s="12">
        <f>Organización_Modular!I39</f>
        <v>0</v>
      </c>
      <c r="H312" s="12">
        <f>SUM(F312:G312)</f>
        <v>0</v>
      </c>
      <c r="I312" s="12">
        <f>F312*16</f>
        <v>0</v>
      </c>
      <c r="J312" s="12">
        <f>G312*32</f>
        <v>0</v>
      </c>
      <c r="K312" s="12">
        <f>SUM(I312:J312)</f>
        <v>0</v>
      </c>
      <c r="L312" s="445"/>
      <c r="M312" s="291" t="str">
        <f t="shared" si="6"/>
        <v xml:space="preserve">   </v>
      </c>
      <c r="N312" s="293"/>
      <c r="O312" s="293"/>
      <c r="P312" s="293"/>
      <c r="Q312" s="293"/>
      <c r="R312" s="293"/>
      <c r="S312" s="293"/>
      <c r="T312" s="293"/>
      <c r="U312" s="293"/>
      <c r="V312" s="293"/>
      <c r="W312" s="293"/>
      <c r="X312" s="293"/>
      <c r="Y312" s="293"/>
      <c r="Z312" s="293"/>
      <c r="AA312" s="293"/>
      <c r="AB312" s="293"/>
      <c r="AC312" s="293"/>
      <c r="AD312" s="293"/>
      <c r="AE312" s="293"/>
      <c r="AF312" s="293"/>
      <c r="AG312" s="293"/>
      <c r="AH312" s="293"/>
      <c r="AI312" s="293"/>
    </row>
    <row r="313" spans="1:35" hidden="1" x14ac:dyDescent="0.2">
      <c r="A313" s="426"/>
      <c r="B313" s="156" t="str">
        <f>Capacidades!M301</f>
        <v xml:space="preserve">   </v>
      </c>
      <c r="C313" s="157"/>
      <c r="D313" s="14"/>
      <c r="E313" s="14"/>
      <c r="F313" s="14"/>
      <c r="G313" s="14"/>
      <c r="H313" s="14"/>
      <c r="I313" s="14"/>
      <c r="J313" s="14"/>
      <c r="K313" s="14"/>
      <c r="L313" s="446"/>
      <c r="M313" s="291" t="str">
        <f t="shared" si="6"/>
        <v xml:space="preserve">   </v>
      </c>
      <c r="N313" s="293"/>
      <c r="O313" s="293"/>
      <c r="P313" s="293"/>
      <c r="Q313" s="293"/>
      <c r="R313" s="293"/>
      <c r="S313" s="293"/>
      <c r="T313" s="293"/>
      <c r="U313" s="293"/>
      <c r="V313" s="293"/>
      <c r="W313" s="293"/>
      <c r="X313" s="293"/>
      <c r="Y313" s="293"/>
      <c r="Z313" s="293"/>
      <c r="AA313" s="293"/>
      <c r="AB313" s="293"/>
      <c r="AC313" s="293"/>
      <c r="AD313" s="293"/>
      <c r="AE313" s="293"/>
      <c r="AF313" s="293"/>
      <c r="AG313" s="293"/>
      <c r="AH313" s="293"/>
      <c r="AI313" s="293"/>
    </row>
    <row r="314" spans="1:35" hidden="1" x14ac:dyDescent="0.2">
      <c r="A314" s="426"/>
      <c r="B314" s="156" t="str">
        <f>Capacidades!M302</f>
        <v xml:space="preserve">   </v>
      </c>
      <c r="C314" s="157"/>
      <c r="D314" s="14"/>
      <c r="E314" s="14"/>
      <c r="F314" s="14"/>
      <c r="G314" s="14"/>
      <c r="H314" s="14"/>
      <c r="I314" s="14"/>
      <c r="J314" s="14"/>
      <c r="K314" s="14"/>
      <c r="L314" s="446"/>
      <c r="M314" s="291" t="str">
        <f t="shared" si="6"/>
        <v xml:space="preserve">   </v>
      </c>
      <c r="N314" s="293"/>
      <c r="O314" s="293"/>
      <c r="P314" s="293"/>
      <c r="Q314" s="293"/>
      <c r="R314" s="293"/>
      <c r="S314" s="293"/>
      <c r="T314" s="293"/>
      <c r="U314" s="293"/>
      <c r="V314" s="293"/>
      <c r="W314" s="293"/>
      <c r="X314" s="293"/>
      <c r="Y314" s="293"/>
      <c r="Z314" s="293"/>
      <c r="AA314" s="293"/>
      <c r="AB314" s="293"/>
      <c r="AC314" s="293"/>
      <c r="AD314" s="293"/>
      <c r="AE314" s="293"/>
      <c r="AF314" s="293"/>
      <c r="AG314" s="293"/>
      <c r="AH314" s="293"/>
      <c r="AI314" s="293"/>
    </row>
    <row r="315" spans="1:35" hidden="1" x14ac:dyDescent="0.2">
      <c r="A315" s="426"/>
      <c r="B315" s="156" t="str">
        <f>Capacidades!M303</f>
        <v xml:space="preserve">   </v>
      </c>
      <c r="C315" s="157"/>
      <c r="D315" s="14"/>
      <c r="E315" s="14"/>
      <c r="F315" s="14"/>
      <c r="G315" s="14"/>
      <c r="H315" s="14"/>
      <c r="I315" s="14"/>
      <c r="J315" s="14"/>
      <c r="K315" s="14"/>
      <c r="L315" s="446"/>
      <c r="M315" s="291" t="str">
        <f t="shared" si="6"/>
        <v xml:space="preserve">   </v>
      </c>
      <c r="N315" s="293"/>
      <c r="O315" s="293"/>
      <c r="P315" s="293"/>
      <c r="Q315" s="293"/>
      <c r="R315" s="293"/>
      <c r="S315" s="293"/>
      <c r="T315" s="293"/>
      <c r="U315" s="293"/>
      <c r="V315" s="293"/>
      <c r="W315" s="293"/>
      <c r="X315" s="293"/>
      <c r="Y315" s="293"/>
      <c r="Z315" s="293"/>
      <c r="AA315" s="293"/>
      <c r="AB315" s="293"/>
      <c r="AC315" s="293"/>
      <c r="AD315" s="293"/>
      <c r="AE315" s="293"/>
      <c r="AF315" s="293"/>
      <c r="AG315" s="293"/>
      <c r="AH315" s="293"/>
      <c r="AI315" s="293"/>
    </row>
    <row r="316" spans="1:35" hidden="1" x14ac:dyDescent="0.2">
      <c r="A316" s="426"/>
      <c r="B316" s="156" t="str">
        <f>Capacidades!M304</f>
        <v xml:space="preserve">   </v>
      </c>
      <c r="C316" s="157"/>
      <c r="D316" s="14"/>
      <c r="E316" s="14"/>
      <c r="F316" s="14"/>
      <c r="G316" s="14"/>
      <c r="H316" s="14"/>
      <c r="I316" s="14"/>
      <c r="J316" s="14"/>
      <c r="K316" s="14"/>
      <c r="L316" s="446"/>
      <c r="M316" s="291" t="str">
        <f t="shared" si="6"/>
        <v xml:space="preserve">   </v>
      </c>
      <c r="N316" s="293"/>
      <c r="O316" s="293"/>
      <c r="P316" s="293"/>
      <c r="Q316" s="293"/>
      <c r="R316" s="293"/>
      <c r="S316" s="293"/>
      <c r="T316" s="293"/>
      <c r="U316" s="293"/>
      <c r="V316" s="293"/>
      <c r="W316" s="293"/>
      <c r="X316" s="293"/>
      <c r="Y316" s="293"/>
      <c r="Z316" s="293"/>
      <c r="AA316" s="293"/>
      <c r="AB316" s="293"/>
      <c r="AC316" s="293"/>
      <c r="AD316" s="293"/>
      <c r="AE316" s="293"/>
      <c r="AF316" s="293"/>
      <c r="AG316" s="293"/>
      <c r="AH316" s="293"/>
      <c r="AI316" s="293"/>
    </row>
    <row r="317" spans="1:35" hidden="1" x14ac:dyDescent="0.2">
      <c r="A317" s="426"/>
      <c r="B317" s="156" t="str">
        <f>Capacidades!M305</f>
        <v xml:space="preserve">   </v>
      </c>
      <c r="C317" s="157"/>
      <c r="D317" s="14"/>
      <c r="E317" s="14"/>
      <c r="F317" s="14"/>
      <c r="G317" s="14"/>
      <c r="H317" s="14"/>
      <c r="I317" s="14"/>
      <c r="J317" s="14"/>
      <c r="K317" s="14"/>
      <c r="L317" s="446"/>
      <c r="M317" s="291" t="str">
        <f t="shared" si="6"/>
        <v xml:space="preserve">   </v>
      </c>
      <c r="N317" s="293"/>
      <c r="O317" s="293"/>
      <c r="P317" s="293"/>
      <c r="Q317" s="293"/>
      <c r="R317" s="293"/>
      <c r="S317" s="293"/>
      <c r="T317" s="293"/>
      <c r="U317" s="293"/>
      <c r="V317" s="293"/>
      <c r="W317" s="293"/>
      <c r="X317" s="293"/>
      <c r="Y317" s="293"/>
      <c r="Z317" s="293"/>
      <c r="AA317" s="293"/>
      <c r="AB317" s="293"/>
      <c r="AC317" s="293"/>
      <c r="AD317" s="293"/>
      <c r="AE317" s="293"/>
      <c r="AF317" s="293"/>
      <c r="AG317" s="293"/>
      <c r="AH317" s="293"/>
      <c r="AI317" s="293"/>
    </row>
    <row r="318" spans="1:35" hidden="1" x14ac:dyDescent="0.2">
      <c r="A318" s="426"/>
      <c r="B318" s="156" t="str">
        <f>Capacidades!M306</f>
        <v xml:space="preserve">   </v>
      </c>
      <c r="C318" s="157"/>
      <c r="D318" s="14"/>
      <c r="E318" s="14"/>
      <c r="F318" s="14"/>
      <c r="G318" s="14"/>
      <c r="H318" s="14"/>
      <c r="I318" s="14"/>
      <c r="J318" s="14"/>
      <c r="K318" s="14"/>
      <c r="L318" s="446"/>
      <c r="M318" s="291" t="str">
        <f t="shared" si="6"/>
        <v xml:space="preserve">   </v>
      </c>
      <c r="N318" s="293"/>
      <c r="O318" s="293"/>
      <c r="P318" s="293"/>
      <c r="Q318" s="293"/>
      <c r="R318" s="293"/>
      <c r="S318" s="293"/>
      <c r="T318" s="293"/>
      <c r="U318" s="293"/>
      <c r="V318" s="293"/>
      <c r="W318" s="293"/>
      <c r="X318" s="293"/>
      <c r="Y318" s="293"/>
      <c r="Z318" s="293"/>
      <c r="AA318" s="293"/>
      <c r="AB318" s="293"/>
      <c r="AC318" s="293"/>
      <c r="AD318" s="293"/>
      <c r="AE318" s="293"/>
      <c r="AF318" s="293"/>
      <c r="AG318" s="293"/>
      <c r="AH318" s="293"/>
      <c r="AI318" s="293"/>
    </row>
    <row r="319" spans="1:35" hidden="1" x14ac:dyDescent="0.2">
      <c r="A319" s="426"/>
      <c r="B319" s="156" t="str">
        <f>Capacidades!M307</f>
        <v xml:space="preserve">   </v>
      </c>
      <c r="C319" s="157"/>
      <c r="D319" s="14"/>
      <c r="E319" s="14"/>
      <c r="F319" s="14"/>
      <c r="G319" s="14"/>
      <c r="H319" s="14"/>
      <c r="I319" s="14"/>
      <c r="J319" s="14"/>
      <c r="K319" s="14"/>
      <c r="L319" s="446"/>
      <c r="M319" s="291" t="str">
        <f t="shared" si="6"/>
        <v xml:space="preserve">   </v>
      </c>
      <c r="N319" s="293"/>
      <c r="O319" s="293"/>
      <c r="P319" s="293"/>
      <c r="Q319" s="293"/>
      <c r="R319" s="293"/>
      <c r="S319" s="293"/>
      <c r="T319" s="293"/>
      <c r="U319" s="293"/>
      <c r="V319" s="293"/>
      <c r="W319" s="293"/>
      <c r="X319" s="293"/>
      <c r="Y319" s="293"/>
      <c r="Z319" s="293"/>
      <c r="AA319" s="293"/>
      <c r="AB319" s="293"/>
      <c r="AC319" s="293"/>
      <c r="AD319" s="293"/>
      <c r="AE319" s="293"/>
      <c r="AF319" s="293"/>
      <c r="AG319" s="293"/>
      <c r="AH319" s="293"/>
      <c r="AI319" s="293"/>
    </row>
    <row r="320" spans="1:35" hidden="1" x14ac:dyDescent="0.2">
      <c r="A320" s="426"/>
      <c r="B320" s="156" t="str">
        <f>Capacidades!M308</f>
        <v xml:space="preserve">   </v>
      </c>
      <c r="C320" s="157"/>
      <c r="D320" s="14"/>
      <c r="E320" s="14"/>
      <c r="F320" s="14"/>
      <c r="G320" s="14"/>
      <c r="H320" s="14"/>
      <c r="I320" s="14"/>
      <c r="J320" s="14"/>
      <c r="K320" s="14"/>
      <c r="L320" s="446"/>
      <c r="M320" s="291" t="str">
        <f t="shared" si="6"/>
        <v xml:space="preserve">   </v>
      </c>
      <c r="N320" s="293"/>
      <c r="O320" s="293"/>
      <c r="P320" s="293"/>
      <c r="Q320" s="293"/>
      <c r="R320" s="293"/>
      <c r="S320" s="293"/>
      <c r="T320" s="293"/>
      <c r="U320" s="293"/>
      <c r="V320" s="293"/>
      <c r="W320" s="293"/>
      <c r="X320" s="293"/>
      <c r="Y320" s="293"/>
      <c r="Z320" s="293"/>
      <c r="AA320" s="293"/>
      <c r="AB320" s="293"/>
      <c r="AC320" s="293"/>
      <c r="AD320" s="293"/>
      <c r="AE320" s="293"/>
      <c r="AF320" s="293"/>
      <c r="AG320" s="293"/>
      <c r="AH320" s="293"/>
      <c r="AI320" s="293"/>
    </row>
    <row r="321" spans="1:35" hidden="1" x14ac:dyDescent="0.2">
      <c r="A321" s="427"/>
      <c r="B321" s="156" t="str">
        <f>Capacidades!M309</f>
        <v xml:space="preserve">   </v>
      </c>
      <c r="C321" s="160"/>
      <c r="D321" s="14"/>
      <c r="E321" s="14"/>
      <c r="F321" s="14"/>
      <c r="G321" s="14"/>
      <c r="H321" s="14"/>
      <c r="I321" s="14"/>
      <c r="J321" s="14"/>
      <c r="K321" s="14"/>
      <c r="L321" s="446"/>
      <c r="M321" s="291" t="str">
        <f t="shared" si="6"/>
        <v xml:space="preserve">   </v>
      </c>
      <c r="N321" s="293"/>
      <c r="O321" s="293"/>
      <c r="P321" s="293"/>
      <c r="Q321" s="293"/>
      <c r="R321" s="293"/>
      <c r="S321" s="293"/>
      <c r="T321" s="293"/>
      <c r="U321" s="293"/>
      <c r="V321" s="293"/>
      <c r="W321" s="293"/>
      <c r="X321" s="293"/>
      <c r="Y321" s="293"/>
      <c r="Z321" s="293"/>
      <c r="AA321" s="293"/>
      <c r="AB321" s="293"/>
      <c r="AC321" s="293"/>
      <c r="AD321" s="293"/>
      <c r="AE321" s="293"/>
      <c r="AF321" s="293"/>
      <c r="AG321" s="293"/>
      <c r="AH321" s="293"/>
      <c r="AI321" s="293"/>
    </row>
    <row r="322" spans="1:35" ht="15.75" x14ac:dyDescent="0.2">
      <c r="A322" s="422" t="s">
        <v>87</v>
      </c>
      <c r="B322" s="422"/>
      <c r="C322" s="422"/>
      <c r="D322" s="422"/>
      <c r="E322" s="422"/>
      <c r="F322" s="422"/>
      <c r="G322" s="422"/>
      <c r="H322" s="422"/>
      <c r="I322" s="422"/>
      <c r="J322" s="422"/>
      <c r="K322" s="422"/>
      <c r="L322" s="422"/>
      <c r="M322" s="291" t="str">
        <f>A322</f>
        <v xml:space="preserve">COMPETENCIAS PARA LA EMPLEABILIDAD INCORPORADAS COMO CONTENIDO  TRANSVERSAL </v>
      </c>
      <c r="N322" s="293"/>
      <c r="O322" s="293"/>
      <c r="P322" s="293"/>
      <c r="Q322" s="293"/>
      <c r="R322" s="293"/>
      <c r="S322" s="293"/>
      <c r="T322" s="293"/>
      <c r="U322" s="293"/>
      <c r="V322" s="293"/>
      <c r="W322" s="293"/>
      <c r="X322" s="293"/>
      <c r="Y322" s="293"/>
      <c r="Z322" s="293"/>
      <c r="AA322" s="293"/>
      <c r="AB322" s="293"/>
      <c r="AC322" s="293"/>
      <c r="AD322" s="293"/>
      <c r="AE322" s="293"/>
      <c r="AF322" s="293"/>
      <c r="AG322" s="293"/>
      <c r="AH322" s="293"/>
      <c r="AI322" s="293"/>
    </row>
    <row r="323" spans="1:35" ht="39" customHeight="1" x14ac:dyDescent="0.2">
      <c r="A323" s="468" t="s">
        <v>426</v>
      </c>
      <c r="B323" s="469"/>
      <c r="C323" s="469"/>
      <c r="D323" s="469"/>
      <c r="E323" s="469"/>
      <c r="F323" s="469"/>
      <c r="G323" s="469"/>
      <c r="H323" s="469"/>
      <c r="I323" s="469"/>
      <c r="J323" s="469"/>
      <c r="K323" s="469"/>
      <c r="L323" s="470"/>
      <c r="M323" s="291" t="str">
        <f t="shared" ref="M323:M326" si="7">A323</f>
        <v>CE5  Liderazgo Personal y Profesional:
 Articular recursos y potencialidades de cada integrante de su equipo logrando un trabajo comprometido, colaborativo, creativo, ético, sensible a su contexto social y ambiente, en pro del bien común.</v>
      </c>
      <c r="N323" s="293"/>
      <c r="O323" s="293"/>
      <c r="P323" s="293"/>
      <c r="Q323" s="293"/>
      <c r="R323" s="293"/>
      <c r="S323" s="293"/>
      <c r="T323" s="293"/>
      <c r="U323" s="293"/>
      <c r="V323" s="293"/>
      <c r="W323" s="293"/>
      <c r="X323" s="293"/>
      <c r="Y323" s="293"/>
      <c r="Z323" s="293"/>
      <c r="AA323" s="293"/>
      <c r="AB323" s="293"/>
      <c r="AC323" s="293"/>
      <c r="AD323" s="293"/>
      <c r="AE323" s="293"/>
      <c r="AF323" s="293"/>
      <c r="AG323" s="293"/>
      <c r="AH323" s="293"/>
      <c r="AI323" s="293"/>
    </row>
    <row r="324" spans="1:35" ht="24" customHeight="1" x14ac:dyDescent="0.2">
      <c r="A324" s="464" t="s">
        <v>427</v>
      </c>
      <c r="B324" s="464"/>
      <c r="C324" s="464"/>
      <c r="D324" s="464"/>
      <c r="E324" s="464"/>
      <c r="F324" s="464"/>
      <c r="G324" s="464"/>
      <c r="H324" s="464"/>
      <c r="I324" s="464"/>
      <c r="J324" s="464"/>
      <c r="K324" s="464"/>
      <c r="L324" s="464"/>
      <c r="M324" s="291" t="str">
        <f t="shared" si="7"/>
        <v>CE6  Cultura ambiental.- Convivir de manera ética, autónoma, responsable y sostenible, previniendo, reduciendo y controlando permanente y progresivamente los impactos ambientales.</v>
      </c>
      <c r="N324" s="293"/>
      <c r="O324" s="293"/>
      <c r="P324" s="293"/>
      <c r="Q324" s="293"/>
      <c r="R324" s="293"/>
      <c r="S324" s="293"/>
      <c r="T324" s="293"/>
      <c r="U324" s="293"/>
      <c r="V324" s="293"/>
      <c r="W324" s="293"/>
      <c r="X324" s="293"/>
      <c r="Y324" s="293"/>
      <c r="Z324" s="293"/>
      <c r="AA324" s="293"/>
      <c r="AB324" s="293"/>
      <c r="AC324" s="293"/>
      <c r="AD324" s="293"/>
      <c r="AE324" s="293"/>
      <c r="AF324" s="293"/>
      <c r="AG324" s="293"/>
      <c r="AH324" s="293"/>
      <c r="AI324" s="293"/>
    </row>
    <row r="325" spans="1:35" ht="18.75" hidden="1" customHeight="1" x14ac:dyDescent="0.2">
      <c r="A325" s="465"/>
      <c r="B325" s="465"/>
      <c r="C325" s="465"/>
      <c r="D325" s="465"/>
      <c r="E325" s="465"/>
      <c r="F325" s="465"/>
      <c r="G325" s="465"/>
      <c r="H325" s="465"/>
      <c r="I325" s="465"/>
      <c r="J325" s="465"/>
      <c r="K325" s="465"/>
      <c r="L325" s="465"/>
      <c r="M325" s="291">
        <f t="shared" si="7"/>
        <v>0</v>
      </c>
      <c r="N325" s="293"/>
      <c r="O325" s="293"/>
      <c r="P325" s="293"/>
      <c r="Q325" s="293"/>
      <c r="R325" s="293"/>
      <c r="S325" s="293"/>
      <c r="T325" s="293"/>
      <c r="U325" s="293"/>
      <c r="V325" s="293"/>
      <c r="W325" s="293"/>
      <c r="X325" s="293"/>
      <c r="Y325" s="293"/>
      <c r="Z325" s="293"/>
      <c r="AA325" s="293"/>
      <c r="AB325" s="293"/>
      <c r="AC325" s="293"/>
      <c r="AD325" s="293"/>
      <c r="AE325" s="293"/>
      <c r="AF325" s="293"/>
      <c r="AG325" s="293"/>
      <c r="AH325" s="293"/>
      <c r="AI325" s="293"/>
    </row>
    <row r="326" spans="1:35" ht="25.5" customHeight="1" x14ac:dyDescent="0.2">
      <c r="A326" s="451" t="s">
        <v>73</v>
      </c>
      <c r="B326" s="451"/>
      <c r="C326" s="451" t="s">
        <v>133</v>
      </c>
      <c r="D326" s="451"/>
      <c r="E326" s="451"/>
      <c r="F326" s="451"/>
      <c r="G326" s="451"/>
      <c r="H326" s="451"/>
      <c r="I326" s="451"/>
      <c r="J326" s="451"/>
      <c r="K326" s="451"/>
      <c r="L326" s="451"/>
      <c r="M326" s="291" t="str">
        <f t="shared" si="7"/>
        <v>CAPACIDADES A FORTALECER</v>
      </c>
      <c r="N326" s="293"/>
      <c r="O326" s="293"/>
      <c r="P326" s="293"/>
      <c r="Q326" s="293"/>
      <c r="R326" s="293"/>
      <c r="S326" s="293"/>
      <c r="T326" s="293"/>
      <c r="U326" s="293"/>
      <c r="V326" s="293"/>
      <c r="W326" s="293"/>
      <c r="X326" s="293"/>
      <c r="Y326" s="293"/>
      <c r="Z326" s="293"/>
      <c r="AA326" s="293"/>
      <c r="AB326" s="293"/>
      <c r="AC326" s="293"/>
      <c r="AD326" s="293"/>
      <c r="AE326" s="293"/>
      <c r="AF326" s="293"/>
      <c r="AG326" s="293"/>
      <c r="AH326" s="293"/>
      <c r="AI326" s="293"/>
    </row>
    <row r="327" spans="1:35" ht="33" customHeight="1" x14ac:dyDescent="0.2">
      <c r="A327" s="454" t="str">
        <f ca="1">OFFSET($A$9,(ROW()-326)*10-1,0)</f>
        <v xml:space="preserve">UC1 C1 Organizar el área de trabajo, equipos y materiales teniendo en cuenta las normas de seguridad laboral y ambiental.    </v>
      </c>
      <c r="B327" s="454"/>
      <c r="C327" s="475" t="s">
        <v>428</v>
      </c>
      <c r="D327" s="476"/>
      <c r="E327" s="476"/>
      <c r="F327" s="476"/>
      <c r="G327" s="476"/>
      <c r="H327" s="476"/>
      <c r="I327" s="476"/>
      <c r="J327" s="476"/>
      <c r="K327" s="476"/>
      <c r="L327" s="477"/>
      <c r="M327" s="291" t="str">
        <f t="shared" ref="M327:M358" ca="1" si="8">A327</f>
        <v xml:space="preserve">UC1 C1 Organizar el área de trabajo, equipos y materiales teniendo en cuenta las normas de seguridad laboral y ambiental.    </v>
      </c>
      <c r="N327" s="293"/>
      <c r="O327" s="293"/>
      <c r="P327" s="293"/>
      <c r="Q327" s="293"/>
      <c r="R327" s="293"/>
      <c r="S327" s="293"/>
      <c r="T327" s="293"/>
      <c r="U327" s="293"/>
      <c r="V327" s="293"/>
      <c r="W327" s="293"/>
      <c r="X327" s="293"/>
      <c r="Y327" s="293"/>
      <c r="Z327" s="293"/>
      <c r="AA327" s="293"/>
      <c r="AB327" s="293"/>
      <c r="AC327" s="293"/>
      <c r="AD327" s="293"/>
      <c r="AE327" s="293"/>
      <c r="AF327" s="293"/>
      <c r="AG327" s="293"/>
      <c r="AH327" s="293"/>
      <c r="AI327" s="293"/>
    </row>
    <row r="328" spans="1:35" ht="45" customHeight="1" x14ac:dyDescent="0.2">
      <c r="A328" s="454" t="str">
        <f t="shared" ref="A328:A346" ca="1" si="9">OFFSET($A$9,(ROW()-326)*10-1,0)</f>
        <v xml:space="preserve">UC1 C2 Elaborar documentos administrativos y/o mercantiles de  acuerdo a las características y estructuras de las mismas, aplicando técnicas de redacción, reglas ortográficas y gramaticales .     </v>
      </c>
      <c r="B328" s="454"/>
      <c r="C328" s="478"/>
      <c r="D328" s="479"/>
      <c r="E328" s="479"/>
      <c r="F328" s="479"/>
      <c r="G328" s="479"/>
      <c r="H328" s="479"/>
      <c r="I328" s="479"/>
      <c r="J328" s="479"/>
      <c r="K328" s="479"/>
      <c r="L328" s="480"/>
      <c r="M328" s="291" t="str">
        <f t="shared" ca="1" si="8"/>
        <v xml:space="preserve">UC1 C2 Elaborar documentos administrativos y/o mercantiles de  acuerdo a las características y estructuras de las mismas, aplicando técnicas de redacción, reglas ortográficas y gramaticales .     </v>
      </c>
      <c r="N328" s="293"/>
      <c r="O328" s="293"/>
      <c r="P328" s="293"/>
      <c r="Q328" s="293"/>
      <c r="R328" s="293"/>
      <c r="S328" s="293"/>
      <c r="T328" s="293"/>
      <c r="U328" s="293"/>
      <c r="V328" s="293"/>
      <c r="W328" s="293"/>
      <c r="X328" s="293"/>
      <c r="Y328" s="293"/>
      <c r="Z328" s="293"/>
      <c r="AA328" s="293"/>
      <c r="AB328" s="293"/>
      <c r="AC328" s="293"/>
      <c r="AD328" s="293"/>
      <c r="AE328" s="293"/>
      <c r="AF328" s="293"/>
      <c r="AG328" s="293"/>
      <c r="AH328" s="293"/>
      <c r="AI328" s="293"/>
    </row>
    <row r="329" spans="1:35" ht="41.25" customHeight="1" x14ac:dyDescent="0.2">
      <c r="A329" s="454" t="str">
        <f ca="1">OFFSET($A$9,(ROW()-326)*10-1,0)</f>
        <v xml:space="preserve">UC1 C3 Realizar  el trámite de datos y documentos,  de acuerdo a los procedimientos, normativa vigente y políticas de la organización.    </v>
      </c>
      <c r="B329" s="454"/>
      <c r="C329" s="478"/>
      <c r="D329" s="479"/>
      <c r="E329" s="479"/>
      <c r="F329" s="479"/>
      <c r="G329" s="479"/>
      <c r="H329" s="479"/>
      <c r="I329" s="479"/>
      <c r="J329" s="479"/>
      <c r="K329" s="479"/>
      <c r="L329" s="480"/>
      <c r="M329" s="291" t="str">
        <f t="shared" ca="1" si="8"/>
        <v xml:space="preserve">UC1 C3 Realizar  el trámite de datos y documentos,  de acuerdo a los procedimientos, normativa vigente y políticas de la organización.    </v>
      </c>
      <c r="N329" s="293"/>
      <c r="O329" s="293"/>
      <c r="P329" s="293"/>
      <c r="Q329" s="293"/>
      <c r="R329" s="293"/>
      <c r="S329" s="293"/>
      <c r="T329" s="293"/>
      <c r="U329" s="293"/>
      <c r="V329" s="293"/>
      <c r="W329" s="293"/>
      <c r="X329" s="293"/>
      <c r="Y329" s="293"/>
      <c r="Z329" s="293"/>
      <c r="AA329" s="293"/>
      <c r="AB329" s="293"/>
      <c r="AC329" s="293"/>
      <c r="AD329" s="293"/>
      <c r="AE329" s="293"/>
      <c r="AF329" s="293"/>
      <c r="AG329" s="293"/>
      <c r="AH329" s="293"/>
      <c r="AI329" s="293"/>
    </row>
    <row r="330" spans="1:35" x14ac:dyDescent="0.2">
      <c r="A330" s="484" t="str">
        <f t="shared" ca="1" si="9"/>
        <v xml:space="preserve">       </v>
      </c>
      <c r="B330" s="485"/>
      <c r="C330" s="479"/>
      <c r="D330" s="479"/>
      <c r="E330" s="479"/>
      <c r="F330" s="479"/>
      <c r="G330" s="479"/>
      <c r="H330" s="479"/>
      <c r="I330" s="479"/>
      <c r="J330" s="479"/>
      <c r="K330" s="479"/>
      <c r="L330" s="480"/>
      <c r="M330" s="291" t="str">
        <f t="shared" ca="1" si="8"/>
        <v xml:space="preserve">       </v>
      </c>
      <c r="N330" s="293"/>
      <c r="O330" s="293"/>
      <c r="P330" s="293"/>
      <c r="Q330" s="293"/>
      <c r="R330" s="293"/>
      <c r="S330" s="293"/>
      <c r="T330" s="293"/>
      <c r="U330" s="293"/>
      <c r="V330" s="293"/>
      <c r="W330" s="293"/>
      <c r="X330" s="293"/>
      <c r="Y330" s="293"/>
      <c r="Z330" s="293"/>
      <c r="AA330" s="293"/>
      <c r="AB330" s="293"/>
      <c r="AC330" s="293"/>
      <c r="AD330" s="293"/>
      <c r="AE330" s="293"/>
      <c r="AF330" s="293"/>
      <c r="AG330" s="293"/>
      <c r="AH330" s="293"/>
      <c r="AI330" s="293"/>
    </row>
    <row r="331" spans="1:35" x14ac:dyDescent="0.2">
      <c r="A331" s="452" t="str">
        <f t="shared" ca="1" si="9"/>
        <v xml:space="preserve">       </v>
      </c>
      <c r="B331" s="453"/>
      <c r="C331" s="479"/>
      <c r="D331" s="479"/>
      <c r="E331" s="479"/>
      <c r="F331" s="479"/>
      <c r="G331" s="479"/>
      <c r="H331" s="479"/>
      <c r="I331" s="479"/>
      <c r="J331" s="479"/>
      <c r="K331" s="479"/>
      <c r="L331" s="480"/>
      <c r="M331" s="291" t="str">
        <f t="shared" ca="1" si="8"/>
        <v xml:space="preserve">       </v>
      </c>
      <c r="N331" s="293"/>
      <c r="O331" s="293"/>
      <c r="P331" s="293"/>
      <c r="Q331" s="293"/>
      <c r="R331" s="293"/>
      <c r="S331" s="293"/>
      <c r="T331" s="293"/>
      <c r="U331" s="293"/>
      <c r="V331" s="293"/>
      <c r="W331" s="293"/>
      <c r="X331" s="293"/>
      <c r="Y331" s="293"/>
      <c r="Z331" s="293"/>
      <c r="AA331" s="293"/>
      <c r="AB331" s="293"/>
      <c r="AC331" s="293"/>
      <c r="AD331" s="293"/>
      <c r="AE331" s="293"/>
      <c r="AF331" s="293"/>
      <c r="AG331" s="293"/>
      <c r="AH331" s="293"/>
      <c r="AI331" s="293"/>
    </row>
    <row r="332" spans="1:35" x14ac:dyDescent="0.2">
      <c r="A332" s="452" t="str">
        <f t="shared" ca="1" si="9"/>
        <v xml:space="preserve">       </v>
      </c>
      <c r="B332" s="453"/>
      <c r="C332" s="479"/>
      <c r="D332" s="479"/>
      <c r="E332" s="479"/>
      <c r="F332" s="479"/>
      <c r="G332" s="479"/>
      <c r="H332" s="479"/>
      <c r="I332" s="479"/>
      <c r="J332" s="479"/>
      <c r="K332" s="479"/>
      <c r="L332" s="480"/>
      <c r="M332" s="291" t="str">
        <f t="shared" ca="1" si="8"/>
        <v xml:space="preserve">       </v>
      </c>
      <c r="N332" s="293"/>
      <c r="O332" s="293"/>
      <c r="P332" s="293"/>
      <c r="Q332" s="293"/>
      <c r="R332" s="293"/>
      <c r="S332" s="293"/>
      <c r="T332" s="293"/>
      <c r="U332" s="293"/>
      <c r="V332" s="293"/>
      <c r="W332" s="293"/>
      <c r="X332" s="293"/>
      <c r="Y332" s="293"/>
      <c r="Z332" s="293"/>
      <c r="AA332" s="293"/>
      <c r="AB332" s="293"/>
      <c r="AC332" s="293"/>
      <c r="AD332" s="293"/>
      <c r="AE332" s="293"/>
      <c r="AF332" s="293"/>
      <c r="AG332" s="293"/>
      <c r="AH332" s="293"/>
      <c r="AI332" s="293"/>
    </row>
    <row r="333" spans="1:35" x14ac:dyDescent="0.2">
      <c r="A333" s="452" t="str">
        <f t="shared" ca="1" si="9"/>
        <v xml:space="preserve">       </v>
      </c>
      <c r="B333" s="453"/>
      <c r="C333" s="479"/>
      <c r="D333" s="479"/>
      <c r="E333" s="479"/>
      <c r="F333" s="479"/>
      <c r="G333" s="479"/>
      <c r="H333" s="479"/>
      <c r="I333" s="479"/>
      <c r="J333" s="479"/>
      <c r="K333" s="479"/>
      <c r="L333" s="480"/>
      <c r="M333" s="291" t="str">
        <f t="shared" ca="1" si="8"/>
        <v xml:space="preserve">       </v>
      </c>
      <c r="N333" s="293"/>
      <c r="O333" s="293"/>
      <c r="P333" s="293"/>
      <c r="Q333" s="293"/>
      <c r="R333" s="293"/>
      <c r="S333" s="293"/>
      <c r="T333" s="293"/>
      <c r="U333" s="293"/>
      <c r="V333" s="293"/>
      <c r="W333" s="293"/>
      <c r="X333" s="293"/>
      <c r="Y333" s="293"/>
      <c r="Z333" s="293"/>
      <c r="AA333" s="293"/>
      <c r="AB333" s="293"/>
      <c r="AC333" s="293"/>
      <c r="AD333" s="293"/>
      <c r="AE333" s="293"/>
      <c r="AF333" s="293"/>
      <c r="AG333" s="293"/>
      <c r="AH333" s="293"/>
      <c r="AI333" s="293"/>
    </row>
    <row r="334" spans="1:35" x14ac:dyDescent="0.2">
      <c r="A334" s="452" t="str">
        <f t="shared" ca="1" si="9"/>
        <v xml:space="preserve">       </v>
      </c>
      <c r="B334" s="453"/>
      <c r="C334" s="479"/>
      <c r="D334" s="479"/>
      <c r="E334" s="479"/>
      <c r="F334" s="479"/>
      <c r="G334" s="479"/>
      <c r="H334" s="479"/>
      <c r="I334" s="479"/>
      <c r="J334" s="479"/>
      <c r="K334" s="479"/>
      <c r="L334" s="480"/>
      <c r="M334" s="291" t="str">
        <f t="shared" ca="1" si="8"/>
        <v xml:space="preserve">       </v>
      </c>
      <c r="N334" s="293"/>
      <c r="O334" s="293"/>
      <c r="P334" s="293"/>
      <c r="Q334" s="293"/>
      <c r="R334" s="293"/>
      <c r="S334" s="293"/>
      <c r="T334" s="293"/>
      <c r="U334" s="293"/>
      <c r="V334" s="293"/>
      <c r="W334" s="293"/>
      <c r="X334" s="293"/>
      <c r="Y334" s="293"/>
      <c r="Z334" s="293"/>
      <c r="AA334" s="293"/>
      <c r="AB334" s="293"/>
      <c r="AC334" s="293"/>
      <c r="AD334" s="293"/>
      <c r="AE334" s="293"/>
      <c r="AF334" s="293"/>
      <c r="AG334" s="293"/>
      <c r="AH334" s="293"/>
      <c r="AI334" s="293"/>
    </row>
    <row r="335" spans="1:35" x14ac:dyDescent="0.2">
      <c r="A335" s="452" t="str">
        <f t="shared" ca="1" si="9"/>
        <v xml:space="preserve">       </v>
      </c>
      <c r="B335" s="453"/>
      <c r="C335" s="479"/>
      <c r="D335" s="479"/>
      <c r="E335" s="479"/>
      <c r="F335" s="479"/>
      <c r="G335" s="479"/>
      <c r="H335" s="479"/>
      <c r="I335" s="479"/>
      <c r="J335" s="479"/>
      <c r="K335" s="479"/>
      <c r="L335" s="480"/>
      <c r="M335" s="291" t="str">
        <f t="shared" ca="1" si="8"/>
        <v xml:space="preserve">       </v>
      </c>
      <c r="N335" s="293"/>
      <c r="O335" s="293"/>
      <c r="P335" s="293"/>
      <c r="Q335" s="293"/>
      <c r="R335" s="293"/>
      <c r="S335" s="293"/>
      <c r="T335" s="293"/>
      <c r="U335" s="293"/>
      <c r="V335" s="293"/>
      <c r="W335" s="293"/>
      <c r="X335" s="293"/>
      <c r="Y335" s="293"/>
      <c r="Z335" s="293"/>
      <c r="AA335" s="293"/>
      <c r="AB335" s="293"/>
      <c r="AC335" s="293"/>
      <c r="AD335" s="293"/>
      <c r="AE335" s="293"/>
      <c r="AF335" s="293"/>
      <c r="AG335" s="293"/>
      <c r="AH335" s="293"/>
      <c r="AI335" s="293"/>
    </row>
    <row r="336" spans="1:35" ht="5.25" customHeight="1" x14ac:dyDescent="0.2">
      <c r="A336" s="452" t="str">
        <f t="shared" ca="1" si="9"/>
        <v xml:space="preserve">       </v>
      </c>
      <c r="B336" s="453"/>
      <c r="C336" s="479"/>
      <c r="D336" s="479"/>
      <c r="E336" s="479"/>
      <c r="F336" s="479"/>
      <c r="G336" s="479"/>
      <c r="H336" s="479"/>
      <c r="I336" s="479"/>
      <c r="J336" s="479"/>
      <c r="K336" s="479"/>
      <c r="L336" s="480"/>
      <c r="M336" s="291" t="str">
        <f t="shared" ca="1" si="8"/>
        <v xml:space="preserve">       </v>
      </c>
      <c r="N336" s="293"/>
      <c r="O336" s="293"/>
      <c r="P336" s="293"/>
      <c r="Q336" s="293"/>
      <c r="R336" s="293"/>
      <c r="S336" s="293"/>
      <c r="T336" s="293"/>
      <c r="U336" s="293"/>
      <c r="V336" s="293"/>
      <c r="W336" s="293"/>
      <c r="X336" s="293"/>
      <c r="Y336" s="293"/>
      <c r="Z336" s="293"/>
      <c r="AA336" s="293"/>
      <c r="AB336" s="293"/>
      <c r="AC336" s="293"/>
      <c r="AD336" s="293"/>
      <c r="AE336" s="293"/>
      <c r="AF336" s="293"/>
      <c r="AG336" s="293"/>
      <c r="AH336" s="293"/>
      <c r="AI336" s="293"/>
    </row>
    <row r="337" spans="1:35" hidden="1" x14ac:dyDescent="0.2">
      <c r="A337" s="452" t="str">
        <f t="shared" ca="1" si="9"/>
        <v xml:space="preserve">       </v>
      </c>
      <c r="B337" s="453"/>
      <c r="C337" s="479"/>
      <c r="D337" s="479"/>
      <c r="E337" s="479"/>
      <c r="F337" s="479"/>
      <c r="G337" s="479"/>
      <c r="H337" s="479"/>
      <c r="I337" s="479"/>
      <c r="J337" s="479"/>
      <c r="K337" s="479"/>
      <c r="L337" s="480"/>
      <c r="M337" s="291" t="str">
        <f t="shared" ca="1" si="8"/>
        <v xml:space="preserve">       </v>
      </c>
      <c r="N337" s="293"/>
      <c r="O337" s="293"/>
      <c r="P337" s="293"/>
      <c r="Q337" s="293"/>
      <c r="R337" s="293"/>
      <c r="S337" s="293"/>
      <c r="T337" s="293"/>
      <c r="U337" s="293"/>
      <c r="V337" s="293"/>
      <c r="W337" s="293"/>
      <c r="X337" s="293"/>
      <c r="Y337" s="293"/>
      <c r="Z337" s="293"/>
      <c r="AA337" s="293"/>
      <c r="AB337" s="293"/>
      <c r="AC337" s="293"/>
      <c r="AD337" s="293"/>
      <c r="AE337" s="293"/>
      <c r="AF337" s="293"/>
      <c r="AG337" s="293"/>
      <c r="AH337" s="293"/>
      <c r="AI337" s="293"/>
    </row>
    <row r="338" spans="1:35" hidden="1" x14ac:dyDescent="0.2">
      <c r="A338" s="452" t="str">
        <f t="shared" ca="1" si="9"/>
        <v xml:space="preserve">       </v>
      </c>
      <c r="B338" s="453"/>
      <c r="C338" s="479"/>
      <c r="D338" s="479"/>
      <c r="E338" s="479"/>
      <c r="F338" s="479"/>
      <c r="G338" s="479"/>
      <c r="H338" s="479"/>
      <c r="I338" s="479"/>
      <c r="J338" s="479"/>
      <c r="K338" s="479"/>
      <c r="L338" s="480"/>
      <c r="M338" s="291" t="str">
        <f t="shared" ca="1" si="8"/>
        <v xml:space="preserve">       </v>
      </c>
      <c r="N338" s="293"/>
      <c r="O338" s="293"/>
      <c r="P338" s="293"/>
      <c r="Q338" s="293"/>
      <c r="R338" s="293"/>
      <c r="S338" s="293"/>
      <c r="T338" s="293"/>
      <c r="U338" s="293"/>
      <c r="V338" s="293"/>
      <c r="W338" s="293"/>
      <c r="X338" s="293"/>
      <c r="Y338" s="293"/>
      <c r="Z338" s="293"/>
      <c r="AA338" s="293"/>
      <c r="AB338" s="293"/>
      <c r="AC338" s="293"/>
      <c r="AD338" s="293"/>
      <c r="AE338" s="293"/>
      <c r="AF338" s="293"/>
      <c r="AG338" s="293"/>
      <c r="AH338" s="293"/>
      <c r="AI338" s="293"/>
    </row>
    <row r="339" spans="1:35" hidden="1" x14ac:dyDescent="0.2">
      <c r="A339" s="452" t="str">
        <f t="shared" ca="1" si="9"/>
        <v xml:space="preserve">       </v>
      </c>
      <c r="B339" s="453"/>
      <c r="C339" s="479"/>
      <c r="D339" s="479"/>
      <c r="E339" s="479"/>
      <c r="F339" s="479"/>
      <c r="G339" s="479"/>
      <c r="H339" s="479"/>
      <c r="I339" s="479"/>
      <c r="J339" s="479"/>
      <c r="K339" s="479"/>
      <c r="L339" s="480"/>
      <c r="M339" s="291" t="str">
        <f t="shared" ca="1" si="8"/>
        <v xml:space="preserve">       </v>
      </c>
      <c r="N339" s="293"/>
      <c r="O339" s="293"/>
      <c r="P339" s="293"/>
      <c r="Q339" s="293"/>
      <c r="R339" s="293"/>
      <c r="S339" s="293"/>
      <c r="T339" s="293"/>
      <c r="U339" s="293"/>
      <c r="V339" s="293"/>
      <c r="W339" s="293"/>
      <c r="X339" s="293"/>
      <c r="Y339" s="293"/>
      <c r="Z339" s="293"/>
      <c r="AA339" s="293"/>
      <c r="AB339" s="293"/>
      <c r="AC339" s="293"/>
      <c r="AD339" s="293"/>
      <c r="AE339" s="293"/>
      <c r="AF339" s="293"/>
      <c r="AG339" s="293"/>
      <c r="AH339" s="293"/>
      <c r="AI339" s="293"/>
    </row>
    <row r="340" spans="1:35" hidden="1" x14ac:dyDescent="0.2">
      <c r="A340" s="452" t="str">
        <f t="shared" ca="1" si="9"/>
        <v xml:space="preserve">       </v>
      </c>
      <c r="B340" s="453"/>
      <c r="C340" s="479"/>
      <c r="D340" s="479"/>
      <c r="E340" s="479"/>
      <c r="F340" s="479"/>
      <c r="G340" s="479"/>
      <c r="H340" s="479"/>
      <c r="I340" s="479"/>
      <c r="J340" s="479"/>
      <c r="K340" s="479"/>
      <c r="L340" s="480"/>
      <c r="M340" s="291" t="str">
        <f t="shared" ca="1" si="8"/>
        <v xml:space="preserve">       </v>
      </c>
      <c r="N340" s="293"/>
      <c r="O340" s="293"/>
      <c r="P340" s="293"/>
      <c r="Q340" s="293"/>
      <c r="R340" s="293"/>
      <c r="S340" s="293"/>
      <c r="T340" s="293"/>
      <c r="U340" s="293"/>
      <c r="V340" s="293"/>
      <c r="W340" s="293"/>
      <c r="X340" s="293"/>
      <c r="Y340" s="293"/>
      <c r="Z340" s="293"/>
      <c r="AA340" s="293"/>
      <c r="AB340" s="293"/>
      <c r="AC340" s="293"/>
      <c r="AD340" s="293"/>
      <c r="AE340" s="293"/>
      <c r="AF340" s="293"/>
      <c r="AG340" s="293"/>
      <c r="AH340" s="293"/>
      <c r="AI340" s="293"/>
    </row>
    <row r="341" spans="1:35" hidden="1" x14ac:dyDescent="0.2">
      <c r="A341" s="427" t="str">
        <f t="shared" ca="1" si="9"/>
        <v xml:space="preserve">       </v>
      </c>
      <c r="B341" s="427"/>
      <c r="C341" s="478"/>
      <c r="D341" s="479"/>
      <c r="E341" s="479"/>
      <c r="F341" s="479"/>
      <c r="G341" s="479"/>
      <c r="H341" s="479"/>
      <c r="I341" s="479"/>
      <c r="J341" s="479"/>
      <c r="K341" s="479"/>
      <c r="L341" s="480"/>
      <c r="M341" s="291" t="str">
        <f t="shared" ca="1" si="8"/>
        <v xml:space="preserve">       </v>
      </c>
      <c r="N341" s="293"/>
      <c r="O341" s="293"/>
      <c r="P341" s="293"/>
      <c r="Q341" s="293"/>
      <c r="R341" s="293"/>
      <c r="S341" s="293"/>
      <c r="T341" s="293"/>
      <c r="U341" s="293"/>
      <c r="V341" s="293"/>
      <c r="W341" s="293"/>
      <c r="X341" s="293"/>
      <c r="Y341" s="293"/>
      <c r="Z341" s="293"/>
      <c r="AA341" s="293"/>
      <c r="AB341" s="293"/>
      <c r="AC341" s="293"/>
      <c r="AD341" s="293"/>
      <c r="AE341" s="293"/>
      <c r="AF341" s="293"/>
      <c r="AG341" s="293"/>
      <c r="AH341" s="293"/>
      <c r="AI341" s="293"/>
    </row>
    <row r="342" spans="1:35" hidden="1" x14ac:dyDescent="0.2">
      <c r="A342" s="454" t="str">
        <f t="shared" ca="1" si="9"/>
        <v xml:space="preserve">       </v>
      </c>
      <c r="B342" s="454"/>
      <c r="C342" s="478"/>
      <c r="D342" s="479"/>
      <c r="E342" s="479"/>
      <c r="F342" s="479"/>
      <c r="G342" s="479"/>
      <c r="H342" s="479"/>
      <c r="I342" s="479"/>
      <c r="J342" s="479"/>
      <c r="K342" s="479"/>
      <c r="L342" s="480"/>
      <c r="M342" s="291" t="str">
        <f t="shared" ca="1" si="8"/>
        <v xml:space="preserve">       </v>
      </c>
      <c r="N342" s="293"/>
      <c r="O342" s="293"/>
      <c r="P342" s="293"/>
      <c r="Q342" s="293"/>
      <c r="R342" s="293"/>
      <c r="S342" s="293"/>
      <c r="T342" s="293"/>
      <c r="U342" s="293"/>
      <c r="V342" s="293"/>
      <c r="W342" s="293"/>
      <c r="X342" s="293"/>
      <c r="Y342" s="293"/>
      <c r="Z342" s="293"/>
      <c r="AA342" s="293"/>
      <c r="AB342" s="293"/>
      <c r="AC342" s="293"/>
      <c r="AD342" s="293"/>
      <c r="AE342" s="293"/>
      <c r="AF342" s="293"/>
      <c r="AG342" s="293"/>
      <c r="AH342" s="293"/>
      <c r="AI342" s="293"/>
    </row>
    <row r="343" spans="1:35" hidden="1" x14ac:dyDescent="0.2">
      <c r="A343" s="454" t="str">
        <f t="shared" ca="1" si="9"/>
        <v xml:space="preserve">       </v>
      </c>
      <c r="B343" s="454"/>
      <c r="C343" s="478"/>
      <c r="D343" s="479"/>
      <c r="E343" s="479"/>
      <c r="F343" s="479"/>
      <c r="G343" s="479"/>
      <c r="H343" s="479"/>
      <c r="I343" s="479"/>
      <c r="J343" s="479"/>
      <c r="K343" s="479"/>
      <c r="L343" s="480"/>
      <c r="M343" s="291" t="str">
        <f t="shared" ca="1" si="8"/>
        <v xml:space="preserve">       </v>
      </c>
      <c r="N343" s="293"/>
      <c r="O343" s="293"/>
      <c r="P343" s="293"/>
      <c r="Q343" s="293"/>
      <c r="R343" s="293"/>
      <c r="S343" s="293"/>
      <c r="T343" s="293"/>
      <c r="U343" s="293"/>
      <c r="V343" s="293"/>
      <c r="W343" s="293"/>
      <c r="X343" s="293"/>
      <c r="Y343" s="293"/>
      <c r="Z343" s="293"/>
      <c r="AA343" s="293"/>
      <c r="AB343" s="293"/>
      <c r="AC343" s="293"/>
      <c r="AD343" s="293"/>
      <c r="AE343" s="293"/>
      <c r="AF343" s="293"/>
      <c r="AG343" s="293"/>
      <c r="AH343" s="293"/>
      <c r="AI343" s="293"/>
    </row>
    <row r="344" spans="1:35" hidden="1" x14ac:dyDescent="0.2">
      <c r="A344" s="454" t="str">
        <f t="shared" ca="1" si="9"/>
        <v xml:space="preserve">       </v>
      </c>
      <c r="B344" s="454"/>
      <c r="C344" s="478"/>
      <c r="D344" s="479"/>
      <c r="E344" s="479"/>
      <c r="F344" s="479"/>
      <c r="G344" s="479"/>
      <c r="H344" s="479"/>
      <c r="I344" s="479"/>
      <c r="J344" s="479"/>
      <c r="K344" s="479"/>
      <c r="L344" s="480"/>
      <c r="M344" s="291" t="str">
        <f t="shared" ca="1" si="8"/>
        <v xml:space="preserve">       </v>
      </c>
      <c r="N344" s="293"/>
      <c r="O344" s="293"/>
      <c r="P344" s="293"/>
      <c r="Q344" s="293"/>
      <c r="R344" s="293"/>
      <c r="S344" s="293"/>
      <c r="T344" s="293"/>
      <c r="U344" s="293"/>
      <c r="V344" s="293"/>
      <c r="W344" s="293"/>
      <c r="X344" s="293"/>
      <c r="Y344" s="293"/>
      <c r="Z344" s="293"/>
      <c r="AA344" s="293"/>
      <c r="AB344" s="293"/>
      <c r="AC344" s="293"/>
      <c r="AD344" s="293"/>
      <c r="AE344" s="293"/>
      <c r="AF344" s="293"/>
      <c r="AG344" s="293"/>
      <c r="AH344" s="293"/>
      <c r="AI344" s="293"/>
    </row>
    <row r="345" spans="1:35" hidden="1" x14ac:dyDescent="0.2">
      <c r="A345" s="454" t="str">
        <f ca="1">OFFSET($A$9,(ROW()-326)*10-1,0)</f>
        <v xml:space="preserve">       </v>
      </c>
      <c r="B345" s="454"/>
      <c r="C345" s="478"/>
      <c r="D345" s="479"/>
      <c r="E345" s="479"/>
      <c r="F345" s="479"/>
      <c r="G345" s="479"/>
      <c r="H345" s="479"/>
      <c r="I345" s="479"/>
      <c r="J345" s="479"/>
      <c r="K345" s="479"/>
      <c r="L345" s="480"/>
      <c r="M345" s="291" t="str">
        <f t="shared" ca="1" si="8"/>
        <v xml:space="preserve">       </v>
      </c>
      <c r="N345" s="293"/>
      <c r="O345" s="293"/>
      <c r="P345" s="293"/>
      <c r="Q345" s="293"/>
      <c r="R345" s="293"/>
      <c r="S345" s="293"/>
      <c r="T345" s="293"/>
      <c r="U345" s="293"/>
      <c r="V345" s="293"/>
      <c r="W345" s="293"/>
      <c r="X345" s="293"/>
      <c r="Y345" s="293"/>
      <c r="Z345" s="293"/>
      <c r="AA345" s="293"/>
      <c r="AB345" s="293"/>
      <c r="AC345" s="293"/>
      <c r="AD345" s="293"/>
      <c r="AE345" s="293"/>
      <c r="AF345" s="293"/>
      <c r="AG345" s="293"/>
      <c r="AH345" s="293"/>
      <c r="AI345" s="293"/>
    </row>
    <row r="346" spans="1:35" hidden="1" x14ac:dyDescent="0.2">
      <c r="A346" s="454" t="str">
        <f t="shared" ca="1" si="9"/>
        <v xml:space="preserve">       </v>
      </c>
      <c r="B346" s="454"/>
      <c r="C346" s="478"/>
      <c r="D346" s="479"/>
      <c r="E346" s="479"/>
      <c r="F346" s="479"/>
      <c r="G346" s="479"/>
      <c r="H346" s="479"/>
      <c r="I346" s="479"/>
      <c r="J346" s="479"/>
      <c r="K346" s="479"/>
      <c r="L346" s="480"/>
      <c r="M346" s="291" t="str">
        <f t="shared" ca="1" si="8"/>
        <v xml:space="preserve">       </v>
      </c>
      <c r="N346" s="293"/>
      <c r="O346" s="293"/>
      <c r="P346" s="293"/>
      <c r="Q346" s="293"/>
      <c r="R346" s="293"/>
      <c r="S346" s="293"/>
      <c r="T346" s="293"/>
      <c r="U346" s="293"/>
      <c r="V346" s="293"/>
      <c r="W346" s="293"/>
      <c r="X346" s="293"/>
      <c r="Y346" s="293"/>
      <c r="Z346" s="293"/>
      <c r="AA346" s="293"/>
      <c r="AB346" s="293"/>
      <c r="AC346" s="293"/>
      <c r="AD346" s="293"/>
      <c r="AE346" s="293"/>
      <c r="AF346" s="293"/>
      <c r="AG346" s="293"/>
      <c r="AH346" s="293"/>
      <c r="AI346" s="293"/>
    </row>
    <row r="347" spans="1:35" ht="69.75" customHeight="1" x14ac:dyDescent="0.2">
      <c r="A347" s="454" t="str">
        <f ca="1">OFFSET($A$213,(ROW()-346)*10-1,0)</f>
        <v>CE1 C1 Comunicar conceptos, ideas, opiniones, sentimientos y hechos  en forma oral en situaciones relacionadas a su entorno personal y profesional. 
CE1 C2 Transmitir conceptos, ideas, opiniones, sentimientos y hechos en forma escrita en situaciones relacionadas a su entorno social y laboral.</v>
      </c>
      <c r="B347" s="454"/>
      <c r="C347" s="478"/>
      <c r="D347" s="479"/>
      <c r="E347" s="479"/>
      <c r="F347" s="479"/>
      <c r="G347" s="479"/>
      <c r="H347" s="479"/>
      <c r="I347" s="479"/>
      <c r="J347" s="479"/>
      <c r="K347" s="479"/>
      <c r="L347" s="480"/>
      <c r="M347" s="428" t="str">
        <f t="shared" ca="1" si="8"/>
        <v>CE1 C1 Comunicar conceptos, ideas, opiniones, sentimientos y hechos  en forma oral en situaciones relacionadas a su entorno personal y profesional. 
CE1 C2 Transmitir conceptos, ideas, opiniones, sentimientos y hechos en forma escrita en situaciones relacionadas a su entorno social y laboral.</v>
      </c>
      <c r="N347" s="429"/>
      <c r="O347" s="429"/>
      <c r="P347" s="429"/>
      <c r="Q347" s="429"/>
      <c r="R347" s="429"/>
      <c r="S347" s="429"/>
      <c r="T347" s="429"/>
      <c r="U347" s="429"/>
      <c r="V347" s="429"/>
      <c r="W347" s="429"/>
      <c r="X347" s="429"/>
      <c r="Y347" s="429"/>
      <c r="Z347" s="429"/>
      <c r="AA347" s="429"/>
      <c r="AB347" s="429"/>
      <c r="AC347" s="429"/>
      <c r="AD347" s="429"/>
      <c r="AE347" s="429"/>
      <c r="AF347" s="429"/>
      <c r="AG347" s="429"/>
      <c r="AH347" s="429"/>
      <c r="AI347" s="429"/>
    </row>
    <row r="348" spans="1:35" ht="45" customHeight="1" x14ac:dyDescent="0.2">
      <c r="A348" s="454" t="str">
        <f t="shared" ref="A348:A356" ca="1" si="10">OFFSET($A$213,(ROW()-346)*10-1,0)</f>
        <v>CE2 C1 Utilizar aplicaciones y herramientas informáticas de las TIC de manera responsable y técnica. 
CE2 C2 Emplear software  en la realización de tareas y requerimientos vinculados a su programa de estudios.</v>
      </c>
      <c r="B348" s="454"/>
      <c r="C348" s="478"/>
      <c r="D348" s="479"/>
      <c r="E348" s="479"/>
      <c r="F348" s="479"/>
      <c r="G348" s="479"/>
      <c r="H348" s="479"/>
      <c r="I348" s="479"/>
      <c r="J348" s="479"/>
      <c r="K348" s="479"/>
      <c r="L348" s="480"/>
      <c r="M348" s="291" t="str">
        <f t="shared" ca="1" si="8"/>
        <v>CE2 C1 Utilizar aplicaciones y herramientas informáticas de las TIC de manera responsable y técnica. 
CE2 C2 Emplear software  en la realización de tareas y requerimientos vinculados a su programa de estudios.</v>
      </c>
      <c r="N348" s="293"/>
      <c r="O348" s="293"/>
      <c r="P348" s="293"/>
      <c r="Q348" s="293"/>
      <c r="R348" s="293"/>
      <c r="S348" s="293"/>
      <c r="T348" s="293"/>
      <c r="U348" s="293"/>
      <c r="V348" s="293"/>
      <c r="W348" s="293"/>
      <c r="X348" s="293"/>
      <c r="Y348" s="293"/>
      <c r="Z348" s="293"/>
      <c r="AA348" s="293"/>
      <c r="AB348" s="293"/>
      <c r="AC348" s="293"/>
      <c r="AD348" s="293"/>
      <c r="AE348" s="293"/>
      <c r="AF348" s="293"/>
      <c r="AG348" s="293"/>
      <c r="AH348" s="293"/>
      <c r="AI348" s="293"/>
    </row>
    <row r="349" spans="1:35" ht="0.75" customHeight="1" x14ac:dyDescent="0.2">
      <c r="A349" s="454" t="str">
        <f t="shared" ca="1" si="10"/>
        <v xml:space="preserve">       </v>
      </c>
      <c r="B349" s="454"/>
      <c r="C349" s="478"/>
      <c r="D349" s="479"/>
      <c r="E349" s="479"/>
      <c r="F349" s="479"/>
      <c r="G349" s="479"/>
      <c r="H349" s="479"/>
      <c r="I349" s="479"/>
      <c r="J349" s="479"/>
      <c r="K349" s="479"/>
      <c r="L349" s="480"/>
      <c r="M349" s="291" t="str">
        <f t="shared" ca="1" si="8"/>
        <v xml:space="preserve">       </v>
      </c>
      <c r="N349" s="293"/>
      <c r="O349" s="293"/>
      <c r="P349" s="293"/>
      <c r="Q349" s="293"/>
      <c r="R349" s="293"/>
      <c r="S349" s="293"/>
      <c r="T349" s="293"/>
      <c r="U349" s="293"/>
      <c r="V349" s="293"/>
      <c r="W349" s="293"/>
      <c r="X349" s="293"/>
      <c r="Y349" s="293"/>
      <c r="Z349" s="293"/>
      <c r="AA349" s="293"/>
      <c r="AB349" s="293"/>
      <c r="AC349" s="293"/>
      <c r="AD349" s="293"/>
      <c r="AE349" s="293"/>
      <c r="AF349" s="293"/>
      <c r="AG349" s="293"/>
      <c r="AH349" s="293"/>
      <c r="AI349" s="293"/>
    </row>
    <row r="350" spans="1:35" hidden="1" x14ac:dyDescent="0.2">
      <c r="A350" s="454" t="str">
        <f t="shared" ca="1" si="10"/>
        <v xml:space="preserve">       </v>
      </c>
      <c r="B350" s="454"/>
      <c r="C350" s="478"/>
      <c r="D350" s="479"/>
      <c r="E350" s="479"/>
      <c r="F350" s="479"/>
      <c r="G350" s="479"/>
      <c r="H350" s="479"/>
      <c r="I350" s="479"/>
      <c r="J350" s="479"/>
      <c r="K350" s="479"/>
      <c r="L350" s="480"/>
      <c r="M350" s="291" t="str">
        <f t="shared" ca="1" si="8"/>
        <v xml:space="preserve">       </v>
      </c>
      <c r="N350" s="293"/>
      <c r="O350" s="293"/>
      <c r="P350" s="293"/>
      <c r="Q350" s="293"/>
      <c r="R350" s="293"/>
      <c r="S350" s="293"/>
      <c r="T350" s="293"/>
      <c r="U350" s="293"/>
      <c r="V350" s="293"/>
      <c r="W350" s="293"/>
      <c r="X350" s="293"/>
      <c r="Y350" s="293"/>
      <c r="Z350" s="293"/>
      <c r="AA350" s="293"/>
      <c r="AB350" s="293"/>
      <c r="AC350" s="293"/>
      <c r="AD350" s="293"/>
      <c r="AE350" s="293"/>
      <c r="AF350" s="293"/>
      <c r="AG350" s="293"/>
      <c r="AH350" s="293"/>
      <c r="AI350" s="293"/>
    </row>
    <row r="351" spans="1:35" hidden="1" x14ac:dyDescent="0.2">
      <c r="A351" s="454" t="str">
        <f t="shared" ca="1" si="10"/>
        <v xml:space="preserve">       </v>
      </c>
      <c r="B351" s="454"/>
      <c r="C351" s="478"/>
      <c r="D351" s="479"/>
      <c r="E351" s="479"/>
      <c r="F351" s="479"/>
      <c r="G351" s="479"/>
      <c r="H351" s="479"/>
      <c r="I351" s="479"/>
      <c r="J351" s="479"/>
      <c r="K351" s="479"/>
      <c r="L351" s="480"/>
      <c r="M351" s="291" t="str">
        <f t="shared" ca="1" si="8"/>
        <v xml:space="preserve">       </v>
      </c>
      <c r="N351" s="293"/>
      <c r="O351" s="293"/>
      <c r="P351" s="293"/>
      <c r="Q351" s="293"/>
      <c r="R351" s="293"/>
      <c r="S351" s="293"/>
      <c r="T351" s="293"/>
      <c r="U351" s="293"/>
      <c r="V351" s="293"/>
      <c r="W351" s="293"/>
      <c r="X351" s="293"/>
      <c r="Y351" s="293"/>
      <c r="Z351" s="293"/>
      <c r="AA351" s="293"/>
      <c r="AB351" s="293"/>
      <c r="AC351" s="293"/>
      <c r="AD351" s="293"/>
      <c r="AE351" s="293"/>
      <c r="AF351" s="293"/>
      <c r="AG351" s="293"/>
      <c r="AH351" s="293"/>
      <c r="AI351" s="293"/>
    </row>
    <row r="352" spans="1:35" hidden="1" x14ac:dyDescent="0.2">
      <c r="A352" s="454" t="str">
        <f t="shared" ca="1" si="10"/>
        <v xml:space="preserve">       </v>
      </c>
      <c r="B352" s="454"/>
      <c r="C352" s="478"/>
      <c r="D352" s="479"/>
      <c r="E352" s="479"/>
      <c r="F352" s="479"/>
      <c r="G352" s="479"/>
      <c r="H352" s="479"/>
      <c r="I352" s="479"/>
      <c r="J352" s="479"/>
      <c r="K352" s="479"/>
      <c r="L352" s="480"/>
      <c r="M352" s="291" t="str">
        <f t="shared" ca="1" si="8"/>
        <v xml:space="preserve">       </v>
      </c>
      <c r="N352" s="293"/>
      <c r="O352" s="293"/>
      <c r="P352" s="293"/>
      <c r="Q352" s="293"/>
      <c r="R352" s="293"/>
      <c r="S352" s="293"/>
      <c r="T352" s="293"/>
      <c r="U352" s="293"/>
      <c r="V352" s="293"/>
      <c r="W352" s="293"/>
      <c r="X352" s="293"/>
      <c r="Y352" s="293"/>
      <c r="Z352" s="293"/>
      <c r="AA352" s="293"/>
      <c r="AB352" s="293"/>
      <c r="AC352" s="293"/>
      <c r="AD352" s="293"/>
      <c r="AE352" s="293"/>
      <c r="AF352" s="293"/>
      <c r="AG352" s="293"/>
      <c r="AH352" s="293"/>
      <c r="AI352" s="293"/>
    </row>
    <row r="353" spans="1:91" hidden="1" x14ac:dyDescent="0.2">
      <c r="A353" s="454" t="str">
        <f t="shared" ca="1" si="10"/>
        <v xml:space="preserve">       </v>
      </c>
      <c r="B353" s="454"/>
      <c r="C353" s="478"/>
      <c r="D353" s="479"/>
      <c r="E353" s="479"/>
      <c r="F353" s="479"/>
      <c r="G353" s="479"/>
      <c r="H353" s="479"/>
      <c r="I353" s="479"/>
      <c r="J353" s="479"/>
      <c r="K353" s="479"/>
      <c r="L353" s="480"/>
      <c r="M353" s="291" t="str">
        <f t="shared" ca="1" si="8"/>
        <v xml:space="preserve">       </v>
      </c>
      <c r="N353" s="293"/>
      <c r="O353" s="293"/>
      <c r="P353" s="293"/>
      <c r="Q353" s="293"/>
      <c r="R353" s="293"/>
      <c r="S353" s="293"/>
      <c r="T353" s="293"/>
      <c r="U353" s="293"/>
      <c r="V353" s="293"/>
      <c r="W353" s="293"/>
      <c r="X353" s="293"/>
      <c r="Y353" s="293"/>
      <c r="Z353" s="293"/>
      <c r="AA353" s="293"/>
      <c r="AB353" s="293"/>
      <c r="AC353" s="293"/>
      <c r="AD353" s="293"/>
      <c r="AE353" s="293"/>
      <c r="AF353" s="293"/>
      <c r="AG353" s="293"/>
      <c r="AH353" s="293"/>
      <c r="AI353" s="293"/>
    </row>
    <row r="354" spans="1:91" hidden="1" x14ac:dyDescent="0.2">
      <c r="A354" s="454" t="str">
        <f t="shared" ca="1" si="10"/>
        <v xml:space="preserve">       </v>
      </c>
      <c r="B354" s="454"/>
      <c r="C354" s="478"/>
      <c r="D354" s="479"/>
      <c r="E354" s="479"/>
      <c r="F354" s="479"/>
      <c r="G354" s="479"/>
      <c r="H354" s="479"/>
      <c r="I354" s="479"/>
      <c r="J354" s="479"/>
      <c r="K354" s="479"/>
      <c r="L354" s="480"/>
      <c r="M354" s="291" t="str">
        <f t="shared" ca="1" si="8"/>
        <v xml:space="preserve">       </v>
      </c>
      <c r="N354" s="293"/>
      <c r="O354" s="293"/>
      <c r="P354" s="293"/>
      <c r="Q354" s="293"/>
      <c r="R354" s="293"/>
      <c r="S354" s="293"/>
      <c r="T354" s="293"/>
      <c r="U354" s="293"/>
      <c r="V354" s="293"/>
      <c r="W354" s="293"/>
      <c r="X354" s="293"/>
      <c r="Y354" s="293"/>
      <c r="Z354" s="293"/>
      <c r="AA354" s="293"/>
      <c r="AB354" s="293"/>
      <c r="AC354" s="293"/>
      <c r="AD354" s="293"/>
      <c r="AE354" s="293"/>
      <c r="AF354" s="293"/>
      <c r="AG354" s="293"/>
      <c r="AH354" s="293"/>
      <c r="AI354" s="293"/>
    </row>
    <row r="355" spans="1:91" hidden="1" x14ac:dyDescent="0.2">
      <c r="A355" s="454" t="str">
        <f t="shared" ca="1" si="10"/>
        <v xml:space="preserve">       </v>
      </c>
      <c r="B355" s="454"/>
      <c r="C355" s="478"/>
      <c r="D355" s="479"/>
      <c r="E355" s="479"/>
      <c r="F355" s="479"/>
      <c r="G355" s="479"/>
      <c r="H355" s="479"/>
      <c r="I355" s="479"/>
      <c r="J355" s="479"/>
      <c r="K355" s="479"/>
      <c r="L355" s="480"/>
      <c r="M355" s="291" t="str">
        <f t="shared" ca="1" si="8"/>
        <v xml:space="preserve">       </v>
      </c>
      <c r="N355" s="293"/>
      <c r="O355" s="293"/>
      <c r="P355" s="293"/>
      <c r="Q355" s="293"/>
      <c r="R355" s="293"/>
      <c r="S355" s="293"/>
      <c r="T355" s="293"/>
      <c r="U355" s="293"/>
      <c r="V355" s="293"/>
      <c r="W355" s="293"/>
      <c r="X355" s="293"/>
      <c r="Y355" s="293"/>
      <c r="Z355" s="293"/>
      <c r="AA355" s="293"/>
      <c r="AB355" s="293"/>
      <c r="AC355" s="293"/>
      <c r="AD355" s="293"/>
      <c r="AE355" s="293"/>
      <c r="AF355" s="293"/>
      <c r="AG355" s="293"/>
      <c r="AH355" s="293"/>
      <c r="AI355" s="293"/>
    </row>
    <row r="356" spans="1:91" hidden="1" x14ac:dyDescent="0.2">
      <c r="A356" s="454" t="str">
        <f t="shared" ca="1" si="10"/>
        <v xml:space="preserve">       </v>
      </c>
      <c r="B356" s="454"/>
      <c r="C356" s="481"/>
      <c r="D356" s="482"/>
      <c r="E356" s="482"/>
      <c r="F356" s="482"/>
      <c r="G356" s="482"/>
      <c r="H356" s="482"/>
      <c r="I356" s="482"/>
      <c r="J356" s="482"/>
      <c r="K356" s="482"/>
      <c r="L356" s="483"/>
      <c r="M356" s="291" t="str">
        <f t="shared" ca="1" si="8"/>
        <v xml:space="preserve">       </v>
      </c>
      <c r="N356" s="293"/>
      <c r="O356" s="293"/>
      <c r="P356" s="293"/>
      <c r="Q356" s="293"/>
      <c r="R356" s="293"/>
      <c r="S356" s="293"/>
      <c r="T356" s="293"/>
      <c r="U356" s="293"/>
      <c r="V356" s="293"/>
      <c r="W356" s="293"/>
      <c r="X356" s="293"/>
      <c r="Y356" s="293"/>
      <c r="Z356" s="293"/>
      <c r="AA356" s="293"/>
      <c r="AB356" s="293"/>
      <c r="AC356" s="293"/>
      <c r="AD356" s="293"/>
      <c r="AE356" s="293"/>
      <c r="AF356" s="293"/>
      <c r="AG356" s="293"/>
      <c r="AH356" s="293"/>
      <c r="AI356" s="293"/>
    </row>
    <row r="357" spans="1:91" s="55" customFormat="1" ht="18" customHeight="1" x14ac:dyDescent="0.2">
      <c r="A357" s="489" t="s">
        <v>100</v>
      </c>
      <c r="B357" s="489"/>
      <c r="C357" s="489"/>
      <c r="D357" s="489"/>
      <c r="E357" s="489"/>
      <c r="F357" s="489"/>
      <c r="G357" s="489"/>
      <c r="H357" s="489"/>
      <c r="I357" s="489"/>
      <c r="J357" s="489"/>
      <c r="K357" s="489"/>
      <c r="L357" s="489"/>
      <c r="M357" s="291" t="str">
        <f t="shared" si="8"/>
        <v>EXPERIENCIAS FORMATIVAS EN SITUACIONES REALES DE TRABAJO (EFSRT)</v>
      </c>
      <c r="N357" s="294"/>
      <c r="O357" s="294"/>
      <c r="P357" s="294"/>
      <c r="Q357" s="294"/>
      <c r="R357" s="294"/>
      <c r="S357" s="294"/>
      <c r="T357" s="294"/>
      <c r="U357" s="294"/>
      <c r="V357" s="294"/>
      <c r="W357" s="294"/>
      <c r="X357" s="294"/>
      <c r="Y357" s="294"/>
      <c r="Z357" s="294"/>
      <c r="AA357" s="294"/>
      <c r="AB357" s="294"/>
      <c r="AC357" s="294"/>
      <c r="AD357" s="294"/>
      <c r="AE357" s="294"/>
      <c r="AF357" s="294"/>
      <c r="AG357" s="294"/>
      <c r="AH357" s="294"/>
      <c r="AI357" s="294"/>
    </row>
    <row r="358" spans="1:91" s="55" customFormat="1" ht="27.75" customHeight="1" x14ac:dyDescent="0.2">
      <c r="A358" s="148" t="s">
        <v>136</v>
      </c>
      <c r="B358" s="148" t="s">
        <v>134</v>
      </c>
      <c r="C358" s="490" t="s">
        <v>135</v>
      </c>
      <c r="D358" s="490"/>
      <c r="E358" s="490"/>
      <c r="F358" s="490"/>
      <c r="G358" s="490"/>
      <c r="H358" s="490"/>
      <c r="I358" s="490"/>
      <c r="J358" s="490"/>
      <c r="K358" s="148" t="s">
        <v>71</v>
      </c>
      <c r="L358" s="148" t="s">
        <v>70</v>
      </c>
      <c r="M358" s="291" t="str">
        <f t="shared" si="8"/>
        <v>LUGAR PARA EL DESARROLLO DE LA EFSRT</v>
      </c>
      <c r="N358" s="294"/>
      <c r="O358" s="294"/>
      <c r="P358" s="294"/>
      <c r="Q358" s="294"/>
      <c r="R358" s="294"/>
      <c r="S358" s="294"/>
      <c r="T358" s="294"/>
      <c r="U358" s="294"/>
      <c r="V358" s="294"/>
      <c r="W358" s="294"/>
      <c r="X358" s="294"/>
      <c r="Y358" s="294"/>
      <c r="Z358" s="294"/>
      <c r="AA358" s="294"/>
      <c r="AB358" s="294"/>
      <c r="AC358" s="294"/>
      <c r="AD358" s="294"/>
      <c r="AE358" s="294"/>
      <c r="AF358" s="294"/>
      <c r="AG358" s="294"/>
      <c r="AH358" s="294"/>
      <c r="AI358" s="294"/>
    </row>
    <row r="359" spans="1:91" s="55" customFormat="1" ht="342" customHeight="1" x14ac:dyDescent="0.2">
      <c r="A359" s="215" t="s">
        <v>146</v>
      </c>
      <c r="B359" s="241" t="s">
        <v>429</v>
      </c>
      <c r="C359" s="486" t="s">
        <v>182</v>
      </c>
      <c r="D359" s="487"/>
      <c r="E359" s="487"/>
      <c r="F359" s="487"/>
      <c r="G359" s="487"/>
      <c r="H359" s="487"/>
      <c r="I359" s="487"/>
      <c r="J359" s="488"/>
      <c r="K359" s="17">
        <f>Organización_Modular!I40</f>
        <v>6</v>
      </c>
      <c r="L359" s="18">
        <f>K359*32</f>
        <v>192</v>
      </c>
      <c r="M359" s="295"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c r="AK359" s="292"/>
      <c r="AL359" s="292"/>
      <c r="AM359" s="292"/>
      <c r="AN359" s="292"/>
      <c r="AO359" s="292"/>
      <c r="AP359" s="292"/>
      <c r="AQ359" s="292"/>
      <c r="AR359" s="292"/>
      <c r="AS359" s="292"/>
      <c r="AT359" s="292"/>
      <c r="AU359" s="292"/>
      <c r="AV359" s="292"/>
      <c r="AW359" s="292"/>
      <c r="AX359" s="292"/>
      <c r="AY359" s="292"/>
      <c r="AZ359" s="292"/>
      <c r="BA359" s="292"/>
      <c r="BB359" s="292"/>
      <c r="BC359" s="292"/>
      <c r="BD359" s="292"/>
      <c r="BE359" s="292"/>
      <c r="BF359" s="292"/>
      <c r="BG359" s="292"/>
      <c r="BH359" s="292"/>
      <c r="BI359" s="292"/>
      <c r="BJ359" s="292"/>
      <c r="BK359" s="292"/>
      <c r="BL359" s="292"/>
      <c r="BM359" s="292"/>
      <c r="BN359" s="292"/>
      <c r="BO359" s="292"/>
      <c r="BP359" s="292"/>
      <c r="BQ359" s="292"/>
      <c r="BR359" s="292"/>
      <c r="BS359" s="292"/>
      <c r="BT359" s="292"/>
      <c r="BU359" s="292"/>
      <c r="BV359" s="292"/>
      <c r="BW359" s="292"/>
      <c r="BX359" s="292"/>
      <c r="BY359" s="292"/>
      <c r="BZ359" s="292"/>
      <c r="CA359" s="292"/>
      <c r="CB359" s="292"/>
      <c r="CC359" s="292"/>
      <c r="CD359" s="292"/>
      <c r="CE359" s="292"/>
      <c r="CF359" s="292"/>
      <c r="CG359" s="292"/>
      <c r="CH359" s="292"/>
      <c r="CI359" s="292"/>
      <c r="CJ359" s="292"/>
      <c r="CK359" s="292"/>
      <c r="CL359" s="292"/>
      <c r="CM359" s="292"/>
    </row>
    <row r="360" spans="1:91" s="55" customFormat="1" ht="409.6" customHeight="1" x14ac:dyDescent="0.2">
      <c r="A360" s="215" t="s">
        <v>112</v>
      </c>
      <c r="B360" s="155" t="s">
        <v>430</v>
      </c>
      <c r="C360" s="486" t="s">
        <v>181</v>
      </c>
      <c r="D360" s="487"/>
      <c r="E360" s="487"/>
      <c r="F360" s="487"/>
      <c r="G360" s="487"/>
      <c r="H360" s="487"/>
      <c r="I360" s="487"/>
      <c r="J360" s="488"/>
      <c r="K360" s="84"/>
      <c r="L360" s="85"/>
      <c r="M360" s="295"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c r="AK360" s="292"/>
      <c r="AL360" s="292"/>
      <c r="AM360" s="292"/>
      <c r="AN360" s="292"/>
      <c r="AO360" s="292"/>
      <c r="AP360" s="292"/>
      <c r="AQ360" s="292"/>
      <c r="AR360" s="292"/>
      <c r="AS360" s="292"/>
      <c r="AT360" s="292"/>
      <c r="AU360" s="292"/>
      <c r="AV360" s="292"/>
      <c r="AW360" s="292"/>
      <c r="AX360" s="292"/>
      <c r="AY360" s="292"/>
      <c r="AZ360" s="292"/>
      <c r="BA360" s="292"/>
      <c r="BB360" s="292"/>
      <c r="BC360" s="292"/>
      <c r="BD360" s="292"/>
      <c r="BE360" s="292"/>
      <c r="BF360" s="292"/>
      <c r="BG360" s="292"/>
      <c r="BH360" s="292"/>
      <c r="BI360" s="292"/>
      <c r="BJ360" s="292"/>
      <c r="BK360" s="292"/>
      <c r="BL360" s="292"/>
      <c r="BM360" s="292"/>
      <c r="BN360" s="292"/>
      <c r="BO360" s="292"/>
      <c r="BP360" s="292"/>
      <c r="BQ360" s="292"/>
      <c r="BR360" s="292"/>
      <c r="BS360" s="292"/>
      <c r="BT360" s="292"/>
      <c r="BU360" s="292"/>
      <c r="BV360" s="292"/>
      <c r="BW360" s="292"/>
      <c r="BX360" s="292"/>
      <c r="BY360" s="292"/>
      <c r="BZ360" s="292"/>
      <c r="CA360" s="292"/>
      <c r="CB360" s="292"/>
      <c r="CC360" s="292"/>
      <c r="CD360" s="292"/>
      <c r="CE360" s="292"/>
      <c r="CF360" s="292"/>
      <c r="CG360" s="292"/>
      <c r="CH360" s="292"/>
      <c r="CI360" s="292"/>
      <c r="CJ360" s="292"/>
      <c r="CK360" s="292"/>
      <c r="CL360" s="292"/>
      <c r="CM360" s="292"/>
    </row>
    <row r="361" spans="1:91" ht="27" hidden="1" customHeight="1" x14ac:dyDescent="0.2">
      <c r="A361" s="430"/>
      <c r="B361" s="431"/>
      <c r="M361" s="197">
        <f>A361</f>
        <v>0</v>
      </c>
    </row>
    <row r="362" spans="1:91" x14ac:dyDescent="0.2">
      <c r="A362" s="219"/>
      <c r="B362" s="220"/>
      <c r="C362" s="220"/>
      <c r="D362" s="221"/>
      <c r="E362" s="221"/>
      <c r="F362" s="219"/>
      <c r="G362" s="219"/>
      <c r="H362" s="219"/>
      <c r="I362" s="219"/>
      <c r="J362" s="219"/>
      <c r="K362" s="219"/>
      <c r="L362" s="219"/>
    </row>
    <row r="363" spans="1:91" x14ac:dyDescent="0.2">
      <c r="A363" s="219"/>
      <c r="B363" s="220"/>
      <c r="C363" s="220"/>
      <c r="D363" s="221"/>
      <c r="E363" s="221"/>
      <c r="F363" s="219"/>
      <c r="G363" s="219"/>
      <c r="H363" s="219"/>
      <c r="I363" s="219"/>
      <c r="J363" s="219"/>
      <c r="K363" s="219"/>
      <c r="L363" s="219"/>
    </row>
    <row r="364" spans="1:91" x14ac:dyDescent="0.2">
      <c r="A364" s="219"/>
      <c r="B364" s="220"/>
      <c r="C364" s="220"/>
      <c r="D364" s="221"/>
      <c r="E364" s="221"/>
      <c r="F364" s="219"/>
      <c r="G364" s="219"/>
      <c r="H364" s="219"/>
      <c r="I364" s="219"/>
      <c r="J364" s="219"/>
      <c r="K364" s="219"/>
      <c r="L364" s="219"/>
    </row>
    <row r="365" spans="1:91" x14ac:dyDescent="0.2">
      <c r="A365" s="219"/>
      <c r="B365" s="220"/>
      <c r="C365" s="220"/>
      <c r="D365" s="221"/>
      <c r="E365" s="221"/>
      <c r="F365" s="219"/>
      <c r="G365" s="219"/>
      <c r="H365" s="219"/>
      <c r="I365" s="219"/>
      <c r="J365" s="219"/>
      <c r="K365" s="219"/>
      <c r="L365" s="219"/>
    </row>
    <row r="366" spans="1:91" x14ac:dyDescent="0.2">
      <c r="A366" s="219"/>
      <c r="B366" s="220"/>
      <c r="C366" s="220"/>
      <c r="D366" s="221"/>
      <c r="E366" s="221"/>
      <c r="F366" s="219"/>
      <c r="G366" s="219"/>
      <c r="H366" s="219"/>
      <c r="I366" s="219"/>
      <c r="J366" s="219"/>
      <c r="K366" s="219"/>
      <c r="L366" s="219"/>
    </row>
    <row r="367" spans="1:91" x14ac:dyDescent="0.2">
      <c r="B367" s="220"/>
    </row>
  </sheetData>
  <sheetProtection formatRows="0" autoFilter="0"/>
  <autoFilter ref="A16:M367" xr:uid="{00000000-0009-0000-0000-000004000000}">
    <filterColumn colId="5" showButton="0"/>
    <filterColumn colId="8" showButton="0"/>
  </autoFilter>
  <mergeCells count="143">
    <mergeCell ref="C359:J359"/>
    <mergeCell ref="C360:J360"/>
    <mergeCell ref="A347:B347"/>
    <mergeCell ref="A348:B348"/>
    <mergeCell ref="A336:B336"/>
    <mergeCell ref="A337:B337"/>
    <mergeCell ref="A338:B338"/>
    <mergeCell ref="A339:B339"/>
    <mergeCell ref="A357:L357"/>
    <mergeCell ref="C358:J358"/>
    <mergeCell ref="A340:B340"/>
    <mergeCell ref="A341:B341"/>
    <mergeCell ref="A342:B342"/>
    <mergeCell ref="A343:B343"/>
    <mergeCell ref="A344:B344"/>
    <mergeCell ref="A353:B353"/>
    <mergeCell ref="A354:B354"/>
    <mergeCell ref="A351:B351"/>
    <mergeCell ref="A349:B349"/>
    <mergeCell ref="A350:B350"/>
    <mergeCell ref="A327:B327"/>
    <mergeCell ref="C327:L356"/>
    <mergeCell ref="A328:B328"/>
    <mergeCell ref="A329:B329"/>
    <mergeCell ref="A330:B330"/>
    <mergeCell ref="A331:B331"/>
    <mergeCell ref="A332:B332"/>
    <mergeCell ref="A18:A27"/>
    <mergeCell ref="A28:A37"/>
    <mergeCell ref="A38:A47"/>
    <mergeCell ref="A48:A57"/>
    <mergeCell ref="A58:A67"/>
    <mergeCell ref="A68:A77"/>
    <mergeCell ref="A78:A87"/>
    <mergeCell ref="A88:A97"/>
    <mergeCell ref="A98:A107"/>
    <mergeCell ref="E220:E221"/>
    <mergeCell ref="A355:B355"/>
    <mergeCell ref="A356:B356"/>
    <mergeCell ref="A346:B346"/>
    <mergeCell ref="L98:L107"/>
    <mergeCell ref="L108:L117"/>
    <mergeCell ref="A262:A271"/>
    <mergeCell ref="A272:A281"/>
    <mergeCell ref="A282:A291"/>
    <mergeCell ref="A292:A301"/>
    <mergeCell ref="A302:A311"/>
    <mergeCell ref="A312:A321"/>
    <mergeCell ref="L220:L221"/>
    <mergeCell ref="A222:A231"/>
    <mergeCell ref="M16:M17"/>
    <mergeCell ref="E16:E17"/>
    <mergeCell ref="L262:L271"/>
    <mergeCell ref="A178:A187"/>
    <mergeCell ref="A188:A197"/>
    <mergeCell ref="L208:L217"/>
    <mergeCell ref="A198:A207"/>
    <mergeCell ref="A208:A217"/>
    <mergeCell ref="B220:B221"/>
    <mergeCell ref="C220:C221"/>
    <mergeCell ref="D220:D221"/>
    <mergeCell ref="F220:G220"/>
    <mergeCell ref="H220:H221"/>
    <mergeCell ref="I220:J220"/>
    <mergeCell ref="K220:K221"/>
    <mergeCell ref="A232:A241"/>
    <mergeCell ref="A108:A117"/>
    <mergeCell ref="A118:A127"/>
    <mergeCell ref="A333:B333"/>
    <mergeCell ref="A335:B335"/>
    <mergeCell ref="L118:L127"/>
    <mergeCell ref="L128:L137"/>
    <mergeCell ref="L138:L147"/>
    <mergeCell ref="L148:L157"/>
    <mergeCell ref="L158:L167"/>
    <mergeCell ref="L168:L177"/>
    <mergeCell ref="L178:L187"/>
    <mergeCell ref="A324:L324"/>
    <mergeCell ref="A325:L325"/>
    <mergeCell ref="L272:L281"/>
    <mergeCell ref="L282:L291"/>
    <mergeCell ref="L292:L301"/>
    <mergeCell ref="L302:L311"/>
    <mergeCell ref="L312:L321"/>
    <mergeCell ref="A242:A251"/>
    <mergeCell ref="A252:A261"/>
    <mergeCell ref="A218:L218"/>
    <mergeCell ref="A219:L219"/>
    <mergeCell ref="A323:L323"/>
    <mergeCell ref="L242:L251"/>
    <mergeCell ref="L252:L261"/>
    <mergeCell ref="A220:A221"/>
    <mergeCell ref="L78:L87"/>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B7:C7"/>
    <mergeCell ref="I3:L3"/>
    <mergeCell ref="F3:H3"/>
    <mergeCell ref="F5:H5"/>
    <mergeCell ref="F7:H7"/>
    <mergeCell ref="F9:H9"/>
    <mergeCell ref="F11:H11"/>
    <mergeCell ref="I5:L5"/>
    <mergeCell ref="I7:L7"/>
    <mergeCell ref="I9:L9"/>
    <mergeCell ref="I11:L11"/>
    <mergeCell ref="A322:L322"/>
    <mergeCell ref="L232:L241"/>
    <mergeCell ref="A158:A167"/>
    <mergeCell ref="A128:A137"/>
    <mergeCell ref="A138:A147"/>
    <mergeCell ref="A148:A157"/>
    <mergeCell ref="M347:AI347"/>
    <mergeCell ref="A361:B361"/>
    <mergeCell ref="L18:L27"/>
    <mergeCell ref="L88:L97"/>
    <mergeCell ref="L28:L37"/>
    <mergeCell ref="L38:L47"/>
    <mergeCell ref="L48:L57"/>
    <mergeCell ref="L58:L67"/>
    <mergeCell ref="L188:L197"/>
    <mergeCell ref="L198:L207"/>
    <mergeCell ref="L222:L231"/>
    <mergeCell ref="C326:L326"/>
    <mergeCell ref="A326:B326"/>
    <mergeCell ref="A334:B334"/>
    <mergeCell ref="A345:B345"/>
    <mergeCell ref="A352:B352"/>
    <mergeCell ref="A168:A177"/>
    <mergeCell ref="L68:L77"/>
  </mergeCells>
  <conditionalFormatting sqref="A359:J360">
    <cfRule type="containsBlanks" dxfId="71" priority="3">
      <formula>LEN(TRIM(A359))=0</formula>
    </cfRule>
  </conditionalFormatting>
  <conditionalFormatting sqref="A323:L325">
    <cfRule type="containsBlanks" dxfId="70" priority="5">
      <formula>LEN(TRIM(A323))=0</formula>
    </cfRule>
  </conditionalFormatting>
  <conditionalFormatting sqref="C18:C217">
    <cfRule type="containsBlanks" dxfId="69" priority="1">
      <formula>LEN(TRIM(C18))=0</formula>
    </cfRule>
  </conditionalFormatting>
  <conditionalFormatting sqref="C222:C321">
    <cfRule type="containsBlanks" dxfId="68" priority="6">
      <formula>LEN(TRIM(C222))=0</formula>
    </cfRule>
  </conditionalFormatting>
  <conditionalFormatting sqref="L18:L217 L222:L321 C327:L356">
    <cfRule type="containsBlanks" dxfId="67" priority="19">
      <formula>LEN(TRIM(C18))=0</formula>
    </cfRule>
  </conditionalFormatting>
  <dataValidations count="1">
    <dataValidation type="list" allowBlank="1" showInputMessage="1" showErrorMessage="1" sqref="A359:A360" xr:uid="{00000000-0002-0000-0400-000000000000}">
      <formula1>$A$362:$A$363</formula1>
    </dataValidation>
  </dataValidations>
  <pageMargins left="0.23622047244094491" right="0.19685039370078741" top="0.74803149606299213" bottom="0.74803149606299213" header="0.31496062992125984" footer="0.31496062992125984"/>
  <pageSetup paperSize="9" scale="61" orientation="landscape" r:id="rId1"/>
  <colBreaks count="2" manualBreakCount="2">
    <brk id="12" max="1048575" man="1"/>
    <brk id="33" max="1048575" man="1"/>
  </colBreaks>
  <ignoredErrors>
    <ignoredError sqref="M19:M35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M367"/>
  <sheetViews>
    <sheetView showGridLines="0" view="pageBreakPreview" zoomScale="80" zoomScaleNormal="100" zoomScaleSheetLayoutView="80" workbookViewId="0">
      <selection activeCell="C360" sqref="C360:J360"/>
    </sheetView>
  </sheetViews>
  <sheetFormatPr baseColWidth="10" defaultColWidth="11.42578125" defaultRowHeight="12.75" x14ac:dyDescent="0.2"/>
  <cols>
    <col min="1" max="1" width="39.7109375" style="56" customWidth="1"/>
    <col min="2" max="2" width="41.7109375" style="97" customWidth="1"/>
    <col min="3" max="3" width="45.7109375" style="97"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8.42578125" style="2" customWidth="1"/>
    <col min="14" max="16384" width="11.42578125" style="2"/>
  </cols>
  <sheetData>
    <row r="1" spans="1:13" s="55" customFormat="1" ht="18.75" x14ac:dyDescent="0.2">
      <c r="A1" s="455" t="str">
        <f>'M1'!A1:L1</f>
        <v>ORGANIZACIÓN DE LOS ELEMENTOS DEL MÓDULO</v>
      </c>
      <c r="B1" s="455"/>
      <c r="C1" s="455"/>
      <c r="D1" s="455"/>
      <c r="E1" s="455"/>
      <c r="F1" s="455"/>
      <c r="G1" s="455"/>
      <c r="H1" s="455"/>
      <c r="I1" s="455"/>
      <c r="J1" s="455"/>
      <c r="K1" s="455"/>
      <c r="L1" s="455"/>
    </row>
    <row r="2" spans="1:13" s="55" customFormat="1" ht="15.75" x14ac:dyDescent="0.2">
      <c r="A2" s="83"/>
      <c r="B2" s="83"/>
      <c r="C2" s="83"/>
      <c r="D2" s="83"/>
      <c r="E2" s="83"/>
      <c r="F2" s="83"/>
      <c r="G2" s="83"/>
      <c r="H2" s="83"/>
      <c r="I2" s="83"/>
      <c r="J2" s="83"/>
      <c r="K2" s="83"/>
      <c r="L2" s="83"/>
    </row>
    <row r="3" spans="1:13" ht="25.5" customHeight="1" x14ac:dyDescent="0.2">
      <c r="A3" s="19" t="s">
        <v>36</v>
      </c>
      <c r="B3" s="368" t="str">
        <f>Perfil_Egreso!B3</f>
        <v xml:space="preserve">CETPRO JUANJUI </v>
      </c>
      <c r="C3" s="368"/>
      <c r="D3" s="9"/>
      <c r="E3" s="9"/>
      <c r="F3" s="504" t="s">
        <v>51</v>
      </c>
      <c r="G3" s="504"/>
      <c r="H3" s="505"/>
      <c r="I3" s="506" t="str">
        <f>Perfil_Egreso!E3</f>
        <v>0533836</v>
      </c>
      <c r="J3" s="507"/>
      <c r="K3" s="507"/>
      <c r="L3" s="394"/>
    </row>
    <row r="4" spans="1:13" ht="15" customHeight="1" x14ac:dyDescent="0.2">
      <c r="A4" s="33"/>
      <c r="B4" s="33"/>
      <c r="C4" s="20"/>
      <c r="D4" s="20"/>
      <c r="E4" s="20"/>
      <c r="F4" s="9"/>
      <c r="G4" s="9"/>
      <c r="H4" s="9"/>
      <c r="I4" s="9"/>
      <c r="J4" s="9"/>
      <c r="K4" s="9"/>
      <c r="L4" s="9"/>
    </row>
    <row r="5" spans="1:13" ht="40.5" customHeight="1" x14ac:dyDescent="0.2">
      <c r="A5" s="19" t="s">
        <v>40</v>
      </c>
      <c r="B5" s="73" t="str">
        <f>Perfil_Egreso!B5</f>
        <v>Actividades profesionales, científicas y técnicas</v>
      </c>
      <c r="C5" s="21" t="s">
        <v>41</v>
      </c>
      <c r="D5" s="5" t="str">
        <f>Perfil_Egreso!D5</f>
        <v>Servicios prestados a empresas</v>
      </c>
      <c r="E5" s="22"/>
      <c r="F5" s="508" t="s">
        <v>42</v>
      </c>
      <c r="G5" s="508"/>
      <c r="H5" s="509"/>
      <c r="I5" s="393" t="str">
        <f>Perfil_Egreso!B7</f>
        <v>Actividades administrativas y de apoyo de oficina y otras actividades de
apoyo a las empresas</v>
      </c>
      <c r="J5" s="507"/>
      <c r="K5" s="507"/>
      <c r="L5" s="394"/>
    </row>
    <row r="6" spans="1:13" ht="12.75" customHeight="1" x14ac:dyDescent="0.2">
      <c r="A6" s="69"/>
      <c r="B6" s="69"/>
      <c r="C6" s="23"/>
      <c r="D6" s="23"/>
      <c r="E6" s="23"/>
      <c r="F6" s="9"/>
      <c r="G6" s="9"/>
      <c r="H6" s="9"/>
      <c r="I6" s="9"/>
      <c r="J6" s="9"/>
      <c r="K6" s="9"/>
      <c r="L6" s="9"/>
    </row>
    <row r="7" spans="1:13" ht="42.75" customHeight="1" x14ac:dyDescent="0.2">
      <c r="A7" s="69" t="str">
        <f>Perfil_Egreso!A10</f>
        <v>DENOMINACIÓN DEL PROGRAMA DE ESTUDIOS SEGÚN CNOF (según corresponda)</v>
      </c>
      <c r="B7" s="393" t="str">
        <f>Perfil_Egreso!B10</f>
        <v>APOYO ADMINISTRATIVO</v>
      </c>
      <c r="C7" s="394"/>
      <c r="D7" s="169"/>
      <c r="E7" s="169"/>
      <c r="F7" s="504" t="s">
        <v>44</v>
      </c>
      <c r="G7" s="504"/>
      <c r="H7" s="505"/>
      <c r="I7" s="506" t="str">
        <f>Perfil_Egreso!E10</f>
        <v>M2982-1-002</v>
      </c>
      <c r="J7" s="507"/>
      <c r="K7" s="507"/>
      <c r="L7" s="394"/>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2" t="str">
        <f>Perfil_Egreso!B12</f>
        <v>AUXILIAR TECNICO</v>
      </c>
      <c r="C9" s="26" t="s">
        <v>5</v>
      </c>
      <c r="D9" s="5">
        <f>Itinerario!W17</f>
        <v>1072</v>
      </c>
      <c r="E9" s="27"/>
      <c r="F9" s="510" t="s">
        <v>34</v>
      </c>
      <c r="G9" s="510"/>
      <c r="H9" s="511"/>
      <c r="I9" s="393">
        <f>Itinerario!T17</f>
        <v>40</v>
      </c>
      <c r="J9" s="507"/>
      <c r="K9" s="507"/>
      <c r="L9" s="394"/>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24" t="str">
        <f>Perfil_Egreso!D12</f>
        <v>PRESENCIAL</v>
      </c>
      <c r="C11" s="326"/>
      <c r="D11" s="9"/>
      <c r="E11" s="9"/>
      <c r="F11" s="512" t="str">
        <f>Perfil_Egreso!A14</f>
        <v>NIVEL FORMATIVO</v>
      </c>
      <c r="G11" s="512"/>
      <c r="H11" s="513"/>
      <c r="I11" s="393" t="str">
        <f>Perfil_Egreso!B14</f>
        <v>AUXILIAR TÉCNICO</v>
      </c>
      <c r="J11" s="507"/>
      <c r="K11" s="507"/>
      <c r="L11" s="394"/>
    </row>
    <row r="12" spans="1:13" s="55" customFormat="1" ht="8.25" customHeight="1" x14ac:dyDescent="0.2">
      <c r="A12" s="30"/>
      <c r="B12" s="30"/>
      <c r="C12" s="30"/>
      <c r="D12" s="30"/>
      <c r="E12" s="30"/>
      <c r="F12" s="30"/>
      <c r="G12" s="30"/>
      <c r="H12" s="30"/>
      <c r="I12" s="30"/>
      <c r="J12" s="30"/>
      <c r="K12" s="30"/>
      <c r="L12" s="30"/>
    </row>
    <row r="13" spans="1:13" ht="18.75" customHeight="1" x14ac:dyDescent="0.2">
      <c r="A13" s="456" t="s">
        <v>85</v>
      </c>
      <c r="B13" s="456"/>
      <c r="C13" s="456"/>
      <c r="D13" s="456"/>
      <c r="E13" s="456"/>
      <c r="F13" s="456"/>
      <c r="G13" s="456"/>
      <c r="H13" s="456"/>
      <c r="I13" s="456"/>
      <c r="J13" s="456"/>
      <c r="K13" s="456"/>
      <c r="L13" s="456"/>
    </row>
    <row r="14" spans="1:13" ht="39.75" customHeight="1" x14ac:dyDescent="0.2">
      <c r="A14" s="457" t="str">
        <f>Organización_Modular!C41</f>
        <v>UC2 Procesar la documentación de las distintas áreas de la organización, en función a sus políticas y normativa correspondiente.
UC3 Custodiar la documentación, según políticas  y procedimientos de la organización, y normativa correspondiente.</v>
      </c>
      <c r="B14" s="457"/>
      <c r="C14" s="457"/>
      <c r="D14" s="457"/>
      <c r="E14" s="457"/>
      <c r="F14" s="457"/>
      <c r="G14" s="457"/>
      <c r="H14" s="457"/>
      <c r="I14" s="457"/>
      <c r="J14" s="457"/>
      <c r="K14" s="457"/>
      <c r="L14" s="457"/>
    </row>
    <row r="15" spans="1:13" ht="21" x14ac:dyDescent="0.2">
      <c r="A15" s="146" t="s">
        <v>84</v>
      </c>
      <c r="B15" s="458" t="str">
        <f>Organización_Modular!A41</f>
        <v>MÓDULO II: PROCESAMIENTO Y ARCHIVO DOCUMENTARIO</v>
      </c>
      <c r="C15" s="458"/>
      <c r="D15" s="458"/>
      <c r="E15" s="458"/>
      <c r="F15" s="458"/>
      <c r="G15" s="458"/>
      <c r="H15" s="458"/>
      <c r="I15" s="458"/>
      <c r="J15" s="458"/>
      <c r="K15" s="458"/>
      <c r="L15" s="458"/>
    </row>
    <row r="16" spans="1:13" ht="18" customHeight="1" x14ac:dyDescent="0.2">
      <c r="A16" s="459" t="s">
        <v>83</v>
      </c>
      <c r="B16" s="460" t="s">
        <v>82</v>
      </c>
      <c r="C16" s="459" t="s">
        <v>78</v>
      </c>
      <c r="D16" s="459" t="s">
        <v>0</v>
      </c>
      <c r="E16" s="459" t="s">
        <v>50</v>
      </c>
      <c r="F16" s="459" t="s">
        <v>71</v>
      </c>
      <c r="G16" s="459"/>
      <c r="H16" s="459" t="s">
        <v>71</v>
      </c>
      <c r="I16" s="459" t="s">
        <v>77</v>
      </c>
      <c r="J16" s="459"/>
      <c r="K16" s="459" t="s">
        <v>77</v>
      </c>
      <c r="L16" s="459" t="s">
        <v>81</v>
      </c>
      <c r="M16" s="472" t="s">
        <v>91</v>
      </c>
    </row>
    <row r="17" spans="1:13" ht="15.75" customHeight="1" x14ac:dyDescent="0.2">
      <c r="A17" s="459"/>
      <c r="B17" s="460"/>
      <c r="C17" s="459"/>
      <c r="D17" s="459"/>
      <c r="E17" s="459"/>
      <c r="F17" s="149" t="s">
        <v>75</v>
      </c>
      <c r="G17" s="149" t="s">
        <v>74</v>
      </c>
      <c r="H17" s="459"/>
      <c r="I17" s="149" t="s">
        <v>75</v>
      </c>
      <c r="J17" s="149" t="s">
        <v>74</v>
      </c>
      <c r="K17" s="459"/>
      <c r="L17" s="459"/>
      <c r="M17" s="472"/>
    </row>
    <row r="18" spans="1:13" ht="90" customHeight="1" x14ac:dyDescent="0.2">
      <c r="A18" s="425" t="str">
        <f>Capacidades!L311</f>
        <v xml:space="preserve">UC2 C1 Realizar el procesamiento y transmisión de la información y/o documentación, teniendo en cuenta los medios adecuados,  la confiabilidad,  en función a los objetivos de la organización y procedimientos establecidos.    </v>
      </c>
      <c r="B18" s="156" t="str">
        <f>Capacidades!M311</f>
        <v>C1 I1 Identifica  el flujo de información  en función a los objetivos de la organización y procedimientos establecidos.</v>
      </c>
      <c r="C18" s="191" t="s">
        <v>431</v>
      </c>
      <c r="D18" s="11" t="str">
        <f>Organización_Modular!F41</f>
        <v>Recepción y procesamiento de la información</v>
      </c>
      <c r="E18" s="11" t="str">
        <f>Organización_Modular!G41</f>
        <v>II</v>
      </c>
      <c r="F18" s="11">
        <f>Organización_Modular!H41</f>
        <v>1</v>
      </c>
      <c r="G18" s="11">
        <f>Organización_Modular!I41</f>
        <v>1</v>
      </c>
      <c r="H18" s="12">
        <f>SUM(F18:G18)</f>
        <v>2</v>
      </c>
      <c r="I18" s="12">
        <f>F18*16</f>
        <v>16</v>
      </c>
      <c r="J18" s="12">
        <f>G18*32</f>
        <v>32</v>
      </c>
      <c r="K18" s="12">
        <f>SUM(I18:J18)</f>
        <v>48</v>
      </c>
      <c r="L18" s="423" t="s">
        <v>510</v>
      </c>
      <c r="M18" s="87" t="str">
        <f>B18</f>
        <v>C1 I1 Identifica  el flujo de información  en función a los objetivos de la organización y procedimientos establecidos.</v>
      </c>
    </row>
    <row r="19" spans="1:13" ht="78.75" customHeight="1" x14ac:dyDescent="0.2">
      <c r="A19" s="426"/>
      <c r="B19" s="156" t="str">
        <f>Capacidades!M312</f>
        <v>C1 I2 Procesa  la información  utilizando los medios electrónicos y digitales, teniendo en la confiabilidad  y procedimientos establecidos.</v>
      </c>
      <c r="C19" s="191" t="s">
        <v>432</v>
      </c>
      <c r="D19" s="13"/>
      <c r="E19" s="13"/>
      <c r="F19" s="14"/>
      <c r="G19" s="14"/>
      <c r="H19" s="14"/>
      <c r="I19" s="14"/>
      <c r="J19" s="14"/>
      <c r="K19" s="14"/>
      <c r="L19" s="424"/>
      <c r="M19" s="87" t="str">
        <f t="shared" ref="M19:M82" si="0">B19</f>
        <v>C1 I2 Procesa  la información  utilizando los medios electrónicos y digitales, teniendo en la confiabilidad  y procedimientos establecidos.</v>
      </c>
    </row>
    <row r="20" spans="1:13" ht="72" x14ac:dyDescent="0.2">
      <c r="A20" s="426"/>
      <c r="B20" s="156" t="str">
        <f>Capacidades!M313</f>
        <v>C1 I3 Transmite  la información y/o documentación teniendo en cuenta los medios adecuados,  la confiabilidad,  en función a los objetivos de la organización y procedimientos establecidos.</v>
      </c>
      <c r="C20" s="191" t="s">
        <v>433</v>
      </c>
      <c r="D20" s="13"/>
      <c r="E20" s="13"/>
      <c r="F20" s="14"/>
      <c r="G20" s="14"/>
      <c r="H20" s="14"/>
      <c r="I20" s="14"/>
      <c r="J20" s="14"/>
      <c r="K20" s="14"/>
      <c r="L20" s="424"/>
      <c r="M20" s="87" t="str">
        <f t="shared" si="0"/>
        <v>C1 I3 Transmite  la información y/o documentación teniendo en cuenta los medios adecuados,  la confiabilidad,  en función a los objetivos de la organización y procedimientos establecidos.</v>
      </c>
    </row>
    <row r="21" spans="1:13" ht="71.25" customHeight="1" x14ac:dyDescent="0.2">
      <c r="A21" s="426"/>
      <c r="B21" s="156" t="str">
        <f>Capacidades!M314</f>
        <v>C1 I4 Ejecuta  el control de la información  teniendo en cuenta los medios adecuados,  la confiabilidad,  en función a los objetivos de la organización y procedimientos establecidos.</v>
      </c>
      <c r="C21" s="157" t="s">
        <v>434</v>
      </c>
      <c r="D21" s="13"/>
      <c r="E21" s="13"/>
      <c r="F21" s="14"/>
      <c r="G21" s="14"/>
      <c r="H21" s="14"/>
      <c r="I21" s="14"/>
      <c r="J21" s="14"/>
      <c r="K21" s="14"/>
      <c r="L21" s="424"/>
      <c r="M21" s="87" t="str">
        <f t="shared" si="0"/>
        <v>C1 I4 Ejecuta  el control de la información  teniendo en cuenta los medios adecuados,  la confiabilidad,  en función a los objetivos de la organización y procedimientos establecidos.</v>
      </c>
    </row>
    <row r="22" spans="1:13" hidden="1" x14ac:dyDescent="0.2">
      <c r="A22" s="426"/>
      <c r="B22" s="156" t="str">
        <f>Capacidades!M315</f>
        <v xml:space="preserve">   </v>
      </c>
      <c r="C22" s="191"/>
      <c r="D22" s="13"/>
      <c r="E22" s="13"/>
      <c r="F22" s="14"/>
      <c r="G22" s="14"/>
      <c r="H22" s="14"/>
      <c r="I22" s="14"/>
      <c r="J22" s="14"/>
      <c r="K22" s="14"/>
      <c r="L22" s="424"/>
      <c r="M22" s="87" t="str">
        <f t="shared" si="0"/>
        <v xml:space="preserve">   </v>
      </c>
    </row>
    <row r="23" spans="1:13" hidden="1" x14ac:dyDescent="0.2">
      <c r="A23" s="426"/>
      <c r="B23" s="156" t="str">
        <f>Capacidades!M316</f>
        <v xml:space="preserve">   </v>
      </c>
      <c r="C23" s="189"/>
      <c r="D23" s="13"/>
      <c r="E23" s="13"/>
      <c r="F23" s="14"/>
      <c r="G23" s="14"/>
      <c r="H23" s="14"/>
      <c r="I23" s="14"/>
      <c r="J23" s="14"/>
      <c r="K23" s="14"/>
      <c r="L23" s="424"/>
      <c r="M23" s="87" t="str">
        <f t="shared" si="0"/>
        <v xml:space="preserve">   </v>
      </c>
    </row>
    <row r="24" spans="1:13" hidden="1" x14ac:dyDescent="0.2">
      <c r="A24" s="426"/>
      <c r="B24" s="156" t="str">
        <f>Capacidades!M317</f>
        <v xml:space="preserve">   </v>
      </c>
      <c r="C24" s="157"/>
      <c r="D24" s="13"/>
      <c r="E24" s="13"/>
      <c r="F24" s="14"/>
      <c r="G24" s="14"/>
      <c r="H24" s="14"/>
      <c r="I24" s="14"/>
      <c r="J24" s="14"/>
      <c r="K24" s="14"/>
      <c r="L24" s="424"/>
      <c r="M24" s="87" t="str">
        <f t="shared" si="0"/>
        <v xml:space="preserve">   </v>
      </c>
    </row>
    <row r="25" spans="1:13" hidden="1" x14ac:dyDescent="0.2">
      <c r="A25" s="426"/>
      <c r="B25" s="156" t="str">
        <f>Capacidades!M318</f>
        <v xml:space="preserve">   </v>
      </c>
      <c r="C25" s="157"/>
      <c r="D25" s="13"/>
      <c r="E25" s="13"/>
      <c r="F25" s="14"/>
      <c r="G25" s="14"/>
      <c r="H25" s="14"/>
      <c r="I25" s="14"/>
      <c r="J25" s="14"/>
      <c r="K25" s="14"/>
      <c r="L25" s="424"/>
      <c r="M25" s="87" t="str">
        <f t="shared" si="0"/>
        <v xml:space="preserve">   </v>
      </c>
    </row>
    <row r="26" spans="1:13" hidden="1" x14ac:dyDescent="0.2">
      <c r="A26" s="426"/>
      <c r="B26" s="156" t="str">
        <f>Capacidades!M319</f>
        <v xml:space="preserve">   </v>
      </c>
      <c r="C26" s="157"/>
      <c r="D26" s="13"/>
      <c r="E26" s="13"/>
      <c r="F26" s="14"/>
      <c r="G26" s="14"/>
      <c r="H26" s="14"/>
      <c r="I26" s="14"/>
      <c r="J26" s="14"/>
      <c r="K26" s="14"/>
      <c r="L26" s="424"/>
      <c r="M26" s="87" t="str">
        <f t="shared" si="0"/>
        <v xml:space="preserve">   </v>
      </c>
    </row>
    <row r="27" spans="1:13" hidden="1" x14ac:dyDescent="0.2">
      <c r="A27" s="427"/>
      <c r="B27" s="156" t="str">
        <f>Capacidades!M320</f>
        <v xml:space="preserve">   </v>
      </c>
      <c r="C27" s="157"/>
      <c r="D27" s="15"/>
      <c r="E27" s="15"/>
      <c r="F27" s="16"/>
      <c r="G27" s="16"/>
      <c r="H27" s="16"/>
      <c r="I27" s="16"/>
      <c r="J27" s="16"/>
      <c r="K27" s="16"/>
      <c r="L27" s="432"/>
      <c r="M27" s="87" t="str">
        <f t="shared" si="0"/>
        <v xml:space="preserve">   </v>
      </c>
    </row>
    <row r="28" spans="1:13" ht="120" customHeight="1" x14ac:dyDescent="0.2">
      <c r="A28" s="425" t="str">
        <f>Capacidades!L321</f>
        <v xml:space="preserve">UC2 C2 Ejecutar  actividades administrativas de apoyo2,  en función de los objetivos de la organización, los procedimientos establecidos y el área asignada.    </v>
      </c>
      <c r="B28" s="156" t="str">
        <f>Capacidades!M321</f>
        <v>C2 I1 Notifica la culminación del trámite  documentario   en función de los objetivos de la organización, los procedimientos establecidos y el área asignada.</v>
      </c>
      <c r="C28" s="189" t="s">
        <v>435</v>
      </c>
      <c r="D28" s="11" t="str">
        <f>Organización_Modular!F42</f>
        <v xml:space="preserve">Actividades administrativas </v>
      </c>
      <c r="E28" s="11" t="str">
        <f>Organización_Modular!G42</f>
        <v>II</v>
      </c>
      <c r="F28" s="11">
        <f>Organización_Modular!H42</f>
        <v>0</v>
      </c>
      <c r="G28" s="11">
        <f>Organización_Modular!I42</f>
        <v>1</v>
      </c>
      <c r="H28" s="12">
        <f>SUM(F28:G28)</f>
        <v>1</v>
      </c>
      <c r="I28" s="12">
        <f>F28*16</f>
        <v>0</v>
      </c>
      <c r="J28" s="12">
        <f>G28*32</f>
        <v>32</v>
      </c>
      <c r="K28" s="12">
        <f>SUM(I28:J28)</f>
        <v>32</v>
      </c>
      <c r="L28" s="423" t="s">
        <v>510</v>
      </c>
      <c r="M28" s="87" t="str">
        <f t="shared" si="0"/>
        <v>C2 I1 Notifica la culminación del trámite  documentario   en función de los objetivos de la organización, los procedimientos establecidos y el área asignada.</v>
      </c>
    </row>
    <row r="29" spans="1:13" ht="68.25" customHeight="1" x14ac:dyDescent="0.2">
      <c r="A29" s="426"/>
      <c r="B29" s="156" t="str">
        <f>Capacidades!M322</f>
        <v>C2 I2 Digita  los documentos administrativos y/o comerciales en función de los objetivos de la organización, los procedimientos establecidos y el área asignada.</v>
      </c>
      <c r="C29" s="191" t="s">
        <v>436</v>
      </c>
      <c r="D29" s="13"/>
      <c r="E29" s="13"/>
      <c r="F29" s="14"/>
      <c r="G29" s="14"/>
      <c r="H29" s="14"/>
      <c r="I29" s="14"/>
      <c r="J29" s="14"/>
      <c r="K29" s="14"/>
      <c r="L29" s="424"/>
      <c r="M29" s="87" t="str">
        <f t="shared" si="0"/>
        <v>C2 I2 Digita  los documentos administrativos y/o comerciales en función de los objetivos de la organización, los procedimientos establecidos y el área asignada.</v>
      </c>
    </row>
    <row r="30" spans="1:13" ht="64.5" customHeight="1" x14ac:dyDescent="0.2">
      <c r="A30" s="426"/>
      <c r="B30" s="156" t="str">
        <f>Capacidades!M323</f>
        <v>C2 I3 Imprime los documentos administrativos y/o comerciales en función de los objetivos de la organización, los procedimientos establecidos y el área asignada.</v>
      </c>
      <c r="C30" s="189" t="s">
        <v>437</v>
      </c>
      <c r="D30" s="13"/>
      <c r="E30" s="13"/>
      <c r="F30" s="14"/>
      <c r="G30" s="14"/>
      <c r="H30" s="14"/>
      <c r="I30" s="14"/>
      <c r="J30" s="14"/>
      <c r="K30" s="14"/>
      <c r="L30" s="424"/>
      <c r="M30" s="87" t="str">
        <f t="shared" si="0"/>
        <v>C2 I3 Imprime los documentos administrativos y/o comerciales en función de los objetivos de la organización, los procedimientos establecidos y el área asignada.</v>
      </c>
    </row>
    <row r="31" spans="1:13" ht="60.75" customHeight="1" x14ac:dyDescent="0.2">
      <c r="A31" s="426"/>
      <c r="B31" s="156" t="str">
        <f>Capacidades!M324</f>
        <v>C2 I4 Realiza  el fotocopiado los documentos administrativos y/o comerciales en función de los objetivos de la organización, los procedimientos establecidos y el área asignada.</v>
      </c>
      <c r="C31" s="190" t="s">
        <v>438</v>
      </c>
      <c r="D31" s="13"/>
      <c r="E31" s="13"/>
      <c r="F31" s="14"/>
      <c r="G31" s="14"/>
      <c r="H31" s="14"/>
      <c r="I31" s="14"/>
      <c r="J31" s="14"/>
      <c r="K31" s="14"/>
      <c r="L31" s="424"/>
      <c r="M31" s="87" t="str">
        <f t="shared" si="0"/>
        <v>C2 I4 Realiza  el fotocopiado los documentos administrativos y/o comerciales en función de los objetivos de la organización, los procedimientos establecidos y el área asignada.</v>
      </c>
    </row>
    <row r="32" spans="1:13" ht="64.5" customHeight="1" x14ac:dyDescent="0.2">
      <c r="A32" s="426"/>
      <c r="B32" s="156" t="str">
        <f>Capacidades!M325</f>
        <v>C2 I5 Realiza  el mantenimiento e higienes de los ambientes  en función de los objetivos de la organización, los procedimientos establecidos y el área asignada.</v>
      </c>
      <c r="C32" s="190" t="s">
        <v>439</v>
      </c>
      <c r="D32" s="13"/>
      <c r="E32" s="13"/>
      <c r="F32" s="14"/>
      <c r="G32" s="14"/>
      <c r="H32" s="14"/>
      <c r="I32" s="14"/>
      <c r="J32" s="14"/>
      <c r="K32" s="14"/>
      <c r="L32" s="424"/>
      <c r="M32" s="87" t="str">
        <f t="shared" si="0"/>
        <v>C2 I5 Realiza  el mantenimiento e higienes de los ambientes  en función de los objetivos de la organización, los procedimientos establecidos y el área asignada.</v>
      </c>
    </row>
    <row r="33" spans="1:13" hidden="1" x14ac:dyDescent="0.2">
      <c r="A33" s="426"/>
      <c r="B33" s="156" t="str">
        <f>Capacidades!M326</f>
        <v xml:space="preserve">   </v>
      </c>
      <c r="C33" s="157"/>
      <c r="D33" s="13"/>
      <c r="E33" s="13"/>
      <c r="F33" s="14"/>
      <c r="G33" s="14"/>
      <c r="H33" s="14"/>
      <c r="I33" s="14"/>
      <c r="J33" s="14"/>
      <c r="K33" s="14"/>
      <c r="L33" s="424"/>
      <c r="M33" s="87" t="str">
        <f t="shared" si="0"/>
        <v xml:space="preserve">   </v>
      </c>
    </row>
    <row r="34" spans="1:13" hidden="1" x14ac:dyDescent="0.2">
      <c r="A34" s="426"/>
      <c r="B34" s="156" t="str">
        <f>Capacidades!M327</f>
        <v xml:space="preserve">   </v>
      </c>
      <c r="C34" s="157"/>
      <c r="D34" s="13"/>
      <c r="E34" s="13"/>
      <c r="F34" s="14"/>
      <c r="G34" s="14"/>
      <c r="H34" s="14"/>
      <c r="I34" s="14"/>
      <c r="J34" s="14"/>
      <c r="K34" s="14"/>
      <c r="L34" s="424"/>
      <c r="M34" s="87" t="str">
        <f t="shared" si="0"/>
        <v xml:space="preserve">   </v>
      </c>
    </row>
    <row r="35" spans="1:13" hidden="1" x14ac:dyDescent="0.2">
      <c r="A35" s="426"/>
      <c r="B35" s="156" t="str">
        <f>Capacidades!M328</f>
        <v xml:space="preserve">   </v>
      </c>
      <c r="C35" s="157"/>
      <c r="D35" s="13"/>
      <c r="E35" s="13"/>
      <c r="F35" s="14"/>
      <c r="G35" s="14"/>
      <c r="H35" s="14"/>
      <c r="I35" s="14"/>
      <c r="J35" s="14"/>
      <c r="K35" s="14"/>
      <c r="L35" s="424"/>
      <c r="M35" s="87" t="str">
        <f t="shared" si="0"/>
        <v xml:space="preserve">   </v>
      </c>
    </row>
    <row r="36" spans="1:13" hidden="1" x14ac:dyDescent="0.2">
      <c r="A36" s="426"/>
      <c r="B36" s="156" t="str">
        <f>Capacidades!M329</f>
        <v xml:space="preserve">   </v>
      </c>
      <c r="C36" s="157"/>
      <c r="D36" s="13"/>
      <c r="E36" s="13"/>
      <c r="F36" s="14"/>
      <c r="G36" s="14"/>
      <c r="H36" s="14"/>
      <c r="I36" s="14"/>
      <c r="J36" s="14"/>
      <c r="K36" s="14"/>
      <c r="L36" s="424"/>
      <c r="M36" s="87" t="str">
        <f t="shared" si="0"/>
        <v xml:space="preserve">   </v>
      </c>
    </row>
    <row r="37" spans="1:13" hidden="1" x14ac:dyDescent="0.2">
      <c r="A37" s="427"/>
      <c r="B37" s="156" t="str">
        <f>Capacidades!M330</f>
        <v xml:space="preserve">   </v>
      </c>
      <c r="C37" s="157"/>
      <c r="D37" s="15"/>
      <c r="E37" s="15"/>
      <c r="F37" s="16"/>
      <c r="G37" s="16"/>
      <c r="H37" s="16"/>
      <c r="I37" s="16"/>
      <c r="J37" s="16"/>
      <c r="K37" s="16"/>
      <c r="L37" s="432"/>
      <c r="M37" s="87" t="str">
        <f t="shared" si="0"/>
        <v xml:space="preserve">   </v>
      </c>
    </row>
    <row r="38" spans="1:13" ht="72" x14ac:dyDescent="0.2">
      <c r="A38" s="425" t="str">
        <f>Capacidades!L331</f>
        <v xml:space="preserve">UC2 C3 Atender las comunicaciones, consultas, y/o centro de atención virtual,  utilizando los medios adecuados y protocolos de la organización.    </v>
      </c>
      <c r="B38" s="156" t="str">
        <f>Capacidades!M331</f>
        <v xml:space="preserve">C3 I1 Identifica  la tipología del cliente  considerando las caracteríscas personales  y los protocolos de atención la organización </v>
      </c>
      <c r="C38" s="189" t="s">
        <v>488</v>
      </c>
      <c r="D38" s="11" t="str">
        <f>Organización_Modular!F43</f>
        <v>Atención al público</v>
      </c>
      <c r="E38" s="11" t="str">
        <f>Organización_Modular!G43</f>
        <v>II</v>
      </c>
      <c r="F38" s="11">
        <f>Organización_Modular!H43</f>
        <v>1</v>
      </c>
      <c r="G38" s="11">
        <f>Organización_Modular!I43</f>
        <v>1</v>
      </c>
      <c r="H38" s="12">
        <f>SUM(F38:G38)</f>
        <v>2</v>
      </c>
      <c r="I38" s="12">
        <f>F38*16</f>
        <v>16</v>
      </c>
      <c r="J38" s="12">
        <f>G38*32</f>
        <v>32</v>
      </c>
      <c r="K38" s="12">
        <f>SUM(I38:J38)</f>
        <v>48</v>
      </c>
      <c r="L38" s="423" t="s">
        <v>510</v>
      </c>
      <c r="M38" s="87" t="str">
        <f t="shared" si="0"/>
        <v xml:space="preserve">C3 I1 Identifica  la tipología del cliente  considerando las caracteríscas personales  y los protocolos de atención la organización </v>
      </c>
    </row>
    <row r="39" spans="1:13" ht="88.5" customHeight="1" x14ac:dyDescent="0.2">
      <c r="A39" s="426"/>
      <c r="B39" s="156" t="str">
        <f>Capacidades!M332</f>
        <v xml:space="preserve">C3 I2 Maneja  los protocolos de atención al cliente según las políticas de la organización. </v>
      </c>
      <c r="C39" s="189" t="s">
        <v>440</v>
      </c>
      <c r="D39" s="13"/>
      <c r="E39" s="13"/>
      <c r="F39" s="14"/>
      <c r="G39" s="14"/>
      <c r="H39" s="14"/>
      <c r="I39" s="14"/>
      <c r="J39" s="14"/>
      <c r="K39" s="14"/>
      <c r="L39" s="424"/>
      <c r="M39" s="87" t="str">
        <f t="shared" si="0"/>
        <v xml:space="preserve">C3 I2 Maneja  los protocolos de atención al cliente según las políticas de la organización. </v>
      </c>
    </row>
    <row r="40" spans="1:13" ht="102.75" customHeight="1" x14ac:dyDescent="0.2">
      <c r="A40" s="426"/>
      <c r="B40" s="156" t="str">
        <f>Capacidades!M333</f>
        <v>C3 I3 Recibe las llamadas telefónicas teniendo en cuenta las normas de cortesía.</v>
      </c>
      <c r="C40" s="242" t="s">
        <v>441</v>
      </c>
      <c r="D40" s="13"/>
      <c r="E40" s="13"/>
      <c r="F40" s="14"/>
      <c r="G40" s="14"/>
      <c r="H40" s="14"/>
      <c r="I40" s="14"/>
      <c r="J40" s="14"/>
      <c r="K40" s="14"/>
      <c r="L40" s="424"/>
      <c r="M40" s="87" t="str">
        <f t="shared" si="0"/>
        <v>C3 I3 Recibe las llamadas telefónicas teniendo en cuenta las normas de cortesía.</v>
      </c>
    </row>
    <row r="41" spans="1:13" ht="55.5" customHeight="1" x14ac:dyDescent="0.2">
      <c r="A41" s="426"/>
      <c r="B41" s="156" t="str">
        <f>Capacidades!M334</f>
        <v>C3 I4 Realiza  la identificación del mensaje recibido y la transmisión del mismo de acuerdo los protocolos establecidos y en función  a los objetivos de la organización.</v>
      </c>
      <c r="C41" s="189" t="s">
        <v>442</v>
      </c>
      <c r="D41" s="13"/>
      <c r="E41" s="13"/>
      <c r="F41" s="14"/>
      <c r="G41" s="14"/>
      <c r="H41" s="14"/>
      <c r="I41" s="14"/>
      <c r="J41" s="14"/>
      <c r="K41" s="14"/>
      <c r="L41" s="424"/>
      <c r="M41" s="87" t="str">
        <f t="shared" si="0"/>
        <v>C3 I4 Realiza  la identificación del mensaje recibido y la transmisión del mismo de acuerdo los protocolos establecidos y en función  a los objetivos de la organización.</v>
      </c>
    </row>
    <row r="42" spans="1:13" ht="60" customHeight="1" x14ac:dyDescent="0.2">
      <c r="A42" s="426"/>
      <c r="B42" s="156" t="str">
        <f>Capacidades!M335</f>
        <v>C3 I5 Ejecuta  la atención al cliente considerando la imagen y protocolos de la organización.</v>
      </c>
      <c r="C42" s="189" t="s">
        <v>443</v>
      </c>
      <c r="D42" s="13"/>
      <c r="E42" s="13"/>
      <c r="F42" s="14"/>
      <c r="G42" s="14"/>
      <c r="H42" s="14"/>
      <c r="I42" s="14"/>
      <c r="J42" s="14"/>
      <c r="K42" s="14"/>
      <c r="L42" s="424"/>
      <c r="M42" s="87" t="str">
        <f t="shared" si="0"/>
        <v>C3 I5 Ejecuta  la atención al cliente considerando la imagen y protocolos de la organización.</v>
      </c>
    </row>
    <row r="43" spans="1:13" ht="0.75" customHeight="1" x14ac:dyDescent="0.2">
      <c r="A43" s="426"/>
      <c r="B43" s="156" t="str">
        <f>Capacidades!M336</f>
        <v xml:space="preserve">   </v>
      </c>
      <c r="C43" s="157"/>
      <c r="D43" s="13"/>
      <c r="E43" s="13"/>
      <c r="F43" s="14"/>
      <c r="G43" s="14"/>
      <c r="H43" s="14"/>
      <c r="I43" s="14"/>
      <c r="J43" s="14"/>
      <c r="K43" s="14"/>
      <c r="L43" s="424"/>
      <c r="M43" s="87" t="str">
        <f t="shared" si="0"/>
        <v xml:space="preserve">   </v>
      </c>
    </row>
    <row r="44" spans="1:13" ht="12.75" hidden="1" customHeight="1" x14ac:dyDescent="0.2">
      <c r="A44" s="426"/>
      <c r="B44" s="156" t="str">
        <f>Capacidades!M337</f>
        <v xml:space="preserve">   </v>
      </c>
      <c r="C44" s="157"/>
      <c r="D44" s="13"/>
      <c r="E44" s="13"/>
      <c r="F44" s="14"/>
      <c r="G44" s="14"/>
      <c r="H44" s="14"/>
      <c r="I44" s="14"/>
      <c r="J44" s="14"/>
      <c r="K44" s="14"/>
      <c r="L44" s="424"/>
      <c r="M44" s="87" t="str">
        <f t="shared" si="0"/>
        <v xml:space="preserve">   </v>
      </c>
    </row>
    <row r="45" spans="1:13" ht="12.75" hidden="1" customHeight="1" x14ac:dyDescent="0.2">
      <c r="A45" s="426"/>
      <c r="B45" s="156" t="str">
        <f>Capacidades!M338</f>
        <v xml:space="preserve">   </v>
      </c>
      <c r="C45" s="157"/>
      <c r="D45" s="13"/>
      <c r="E45" s="13"/>
      <c r="F45" s="14"/>
      <c r="G45" s="14"/>
      <c r="H45" s="14"/>
      <c r="I45" s="14"/>
      <c r="J45" s="14"/>
      <c r="K45" s="14"/>
      <c r="L45" s="424"/>
      <c r="M45" s="87" t="str">
        <f t="shared" si="0"/>
        <v xml:space="preserve">   </v>
      </c>
    </row>
    <row r="46" spans="1:13" ht="12.75" hidden="1" customHeight="1" x14ac:dyDescent="0.2">
      <c r="A46" s="426"/>
      <c r="B46" s="156" t="str">
        <f>Capacidades!M339</f>
        <v xml:space="preserve">   </v>
      </c>
      <c r="C46" s="157"/>
      <c r="D46" s="13"/>
      <c r="E46" s="13"/>
      <c r="F46" s="14"/>
      <c r="G46" s="14"/>
      <c r="H46" s="14"/>
      <c r="I46" s="14"/>
      <c r="J46" s="14"/>
      <c r="K46" s="14"/>
      <c r="L46" s="424"/>
      <c r="M46" s="87" t="str">
        <f t="shared" si="0"/>
        <v xml:space="preserve">   </v>
      </c>
    </row>
    <row r="47" spans="1:13" ht="12.75" hidden="1" customHeight="1" x14ac:dyDescent="0.2">
      <c r="A47" s="427"/>
      <c r="B47" s="156" t="str">
        <f>Capacidades!M340</f>
        <v xml:space="preserve">   </v>
      </c>
      <c r="C47" s="157"/>
      <c r="D47" s="15"/>
      <c r="E47" s="15"/>
      <c r="F47" s="16"/>
      <c r="G47" s="16"/>
      <c r="H47" s="16"/>
      <c r="I47" s="16"/>
      <c r="J47" s="16"/>
      <c r="K47" s="16"/>
      <c r="L47" s="432"/>
      <c r="M47" s="87" t="str">
        <f t="shared" si="0"/>
        <v xml:space="preserve">   </v>
      </c>
    </row>
    <row r="48" spans="1:13" ht="77.25" customHeight="1" x14ac:dyDescent="0.2">
      <c r="A48" s="425" t="str">
        <f>Capacidades!L341</f>
        <v xml:space="preserve">UC2 C4 Realiza  la revisisón de información y/o documentación  en función a los requerimientos de la organización y procedimientos establecidos.    </v>
      </c>
      <c r="B48" s="156" t="str">
        <f>Capacidades!M341</f>
        <v xml:space="preserve">C4 I1 Clasifica  la documentación (recibida y remitida) y la atención brindada según los procedimientos y  políticas de la organización. </v>
      </c>
      <c r="C48" s="189" t="s">
        <v>444</v>
      </c>
      <c r="D48" s="11" t="str">
        <f>Organización_Modular!F44</f>
        <v>Control y registro documentario</v>
      </c>
      <c r="E48" s="11" t="str">
        <f>Organización_Modular!G44</f>
        <v>II</v>
      </c>
      <c r="F48" s="11">
        <f>Organización_Modular!H44</f>
        <v>0</v>
      </c>
      <c r="G48" s="11">
        <f>Organización_Modular!I44</f>
        <v>1</v>
      </c>
      <c r="H48" s="12">
        <f>SUM(F48:G48)</f>
        <v>1</v>
      </c>
      <c r="I48" s="12">
        <f>F48*16</f>
        <v>0</v>
      </c>
      <c r="J48" s="12">
        <f>G48*32</f>
        <v>32</v>
      </c>
      <c r="K48" s="12">
        <f>SUM(I48:J48)</f>
        <v>32</v>
      </c>
      <c r="L48" s="423" t="s">
        <v>510</v>
      </c>
      <c r="M48" s="87" t="str">
        <f t="shared" si="0"/>
        <v xml:space="preserve">C4 I1 Clasifica  la documentación (recibida y remitida) y la atención brindada según los procedimientos y  políticas de la organización. </v>
      </c>
    </row>
    <row r="49" spans="1:13" ht="61.5" customHeight="1" x14ac:dyDescent="0.2">
      <c r="A49" s="426"/>
      <c r="B49" s="156" t="str">
        <f>Capacidades!M342</f>
        <v xml:space="preserve">C4 I2 Revisa la información y/o documentación  según los procedimientos y  políticas de la organización. </v>
      </c>
      <c r="C49" s="191" t="s">
        <v>445</v>
      </c>
      <c r="D49" s="13"/>
      <c r="E49" s="13"/>
      <c r="F49" s="14"/>
      <c r="G49" s="14"/>
      <c r="H49" s="14"/>
      <c r="I49" s="14"/>
      <c r="J49" s="14"/>
      <c r="K49" s="14"/>
      <c r="L49" s="424"/>
      <c r="M49" s="87" t="str">
        <f t="shared" si="0"/>
        <v xml:space="preserve">C4 I2 Revisa la información y/o documentación  según los procedimientos y  políticas de la organización. </v>
      </c>
    </row>
    <row r="50" spans="1:13" ht="52.5" customHeight="1" x14ac:dyDescent="0.2">
      <c r="A50" s="426"/>
      <c r="B50" s="156" t="str">
        <f>Capacidades!M343</f>
        <v xml:space="preserve">C4 I3 Elabora  el registro de la atención brindada  según los procedimientos y  políticas de la organización. </v>
      </c>
      <c r="C50" s="189" t="s">
        <v>446</v>
      </c>
      <c r="D50" s="13"/>
      <c r="E50" s="13"/>
      <c r="F50" s="14"/>
      <c r="G50" s="14"/>
      <c r="H50" s="14"/>
      <c r="I50" s="14"/>
      <c r="J50" s="14"/>
      <c r="K50" s="14"/>
      <c r="L50" s="424"/>
      <c r="M50" s="87" t="str">
        <f t="shared" si="0"/>
        <v xml:space="preserve">C4 I3 Elabora  el registro de la atención brindada  según los procedimientos y  políticas de la organización. </v>
      </c>
    </row>
    <row r="51" spans="1:13" ht="0.75" customHeight="1" x14ac:dyDescent="0.2">
      <c r="A51" s="426"/>
      <c r="B51" s="156" t="str">
        <f>Capacidades!M344</f>
        <v xml:space="preserve">   </v>
      </c>
      <c r="C51" s="190"/>
      <c r="D51" s="13"/>
      <c r="E51" s="13"/>
      <c r="F51" s="14"/>
      <c r="G51" s="14"/>
      <c r="H51" s="14"/>
      <c r="I51" s="14"/>
      <c r="J51" s="14"/>
      <c r="K51" s="14"/>
      <c r="L51" s="424"/>
      <c r="M51" s="87" t="str">
        <f t="shared" si="0"/>
        <v xml:space="preserve">   </v>
      </c>
    </row>
    <row r="52" spans="1:13" ht="12.75" hidden="1" customHeight="1" x14ac:dyDescent="0.2">
      <c r="A52" s="426"/>
      <c r="B52" s="156" t="str">
        <f>Capacidades!M345</f>
        <v xml:space="preserve">   </v>
      </c>
      <c r="C52" s="157"/>
      <c r="D52" s="13"/>
      <c r="E52" s="13"/>
      <c r="F52" s="14"/>
      <c r="G52" s="14"/>
      <c r="H52" s="14"/>
      <c r="I52" s="14"/>
      <c r="J52" s="14"/>
      <c r="K52" s="14"/>
      <c r="L52" s="424"/>
      <c r="M52" s="87" t="str">
        <f t="shared" si="0"/>
        <v xml:space="preserve">   </v>
      </c>
    </row>
    <row r="53" spans="1:13" ht="12.75" hidden="1" customHeight="1" x14ac:dyDescent="0.2">
      <c r="A53" s="426"/>
      <c r="B53" s="156" t="str">
        <f>Capacidades!M346</f>
        <v xml:space="preserve">   </v>
      </c>
      <c r="C53" s="157"/>
      <c r="D53" s="13"/>
      <c r="E53" s="13"/>
      <c r="F53" s="14"/>
      <c r="G53" s="14"/>
      <c r="H53" s="14"/>
      <c r="I53" s="14"/>
      <c r="J53" s="14"/>
      <c r="K53" s="14"/>
      <c r="L53" s="424"/>
      <c r="M53" s="87" t="str">
        <f t="shared" si="0"/>
        <v xml:space="preserve">   </v>
      </c>
    </row>
    <row r="54" spans="1:13" ht="12.75" hidden="1" customHeight="1" x14ac:dyDescent="0.2">
      <c r="A54" s="426"/>
      <c r="B54" s="156" t="str">
        <f>Capacidades!M347</f>
        <v xml:space="preserve">   </v>
      </c>
      <c r="C54" s="157"/>
      <c r="D54" s="13"/>
      <c r="E54" s="13"/>
      <c r="F54" s="14"/>
      <c r="G54" s="14"/>
      <c r="H54" s="14"/>
      <c r="I54" s="14"/>
      <c r="J54" s="14"/>
      <c r="K54" s="14"/>
      <c r="L54" s="424"/>
      <c r="M54" s="87" t="str">
        <f t="shared" si="0"/>
        <v xml:space="preserve">   </v>
      </c>
    </row>
    <row r="55" spans="1:13" ht="12.75" hidden="1" customHeight="1" x14ac:dyDescent="0.2">
      <c r="A55" s="426"/>
      <c r="B55" s="156" t="str">
        <f>Capacidades!M348</f>
        <v xml:space="preserve">   </v>
      </c>
      <c r="C55" s="157"/>
      <c r="D55" s="13"/>
      <c r="E55" s="13"/>
      <c r="F55" s="14"/>
      <c r="G55" s="14"/>
      <c r="H55" s="14"/>
      <c r="I55" s="14"/>
      <c r="J55" s="14"/>
      <c r="K55" s="14"/>
      <c r="L55" s="424"/>
      <c r="M55" s="87" t="str">
        <f t="shared" si="0"/>
        <v xml:space="preserve">   </v>
      </c>
    </row>
    <row r="56" spans="1:13" ht="12.75" hidden="1" customHeight="1" x14ac:dyDescent="0.2">
      <c r="A56" s="426"/>
      <c r="B56" s="156" t="str">
        <f>Capacidades!M349</f>
        <v xml:space="preserve">   </v>
      </c>
      <c r="C56" s="157"/>
      <c r="D56" s="13"/>
      <c r="E56" s="13"/>
      <c r="F56" s="14"/>
      <c r="G56" s="14"/>
      <c r="H56" s="14"/>
      <c r="I56" s="14"/>
      <c r="J56" s="14"/>
      <c r="K56" s="14"/>
      <c r="L56" s="424"/>
      <c r="M56" s="87" t="str">
        <f t="shared" si="0"/>
        <v xml:space="preserve">   </v>
      </c>
    </row>
    <row r="57" spans="1:13" ht="12.75" hidden="1" customHeight="1" x14ac:dyDescent="0.2">
      <c r="A57" s="427"/>
      <c r="B57" s="156" t="str">
        <f>Capacidades!M350</f>
        <v xml:space="preserve">   </v>
      </c>
      <c r="C57" s="157"/>
      <c r="D57" s="15"/>
      <c r="E57" s="15"/>
      <c r="F57" s="16"/>
      <c r="G57" s="16"/>
      <c r="H57" s="16"/>
      <c r="I57" s="16"/>
      <c r="J57" s="16"/>
      <c r="K57" s="16"/>
      <c r="L57" s="432"/>
      <c r="M57" s="87" t="str">
        <f t="shared" si="0"/>
        <v xml:space="preserve">   </v>
      </c>
    </row>
    <row r="58" spans="1:13" ht="84" customHeight="1" x14ac:dyDescent="0.2">
      <c r="A58" s="425" t="str">
        <f>Capacidades!L351</f>
        <v>UC3 C1 Organizar  el sistema de gestión de archivos según políticas de la organización y normativa vigente. UC3 C2 Realizar  la clasificación de documentos según políticas de la organización y normativa vigente.</v>
      </c>
      <c r="B58" s="156" t="str">
        <f>Capacidades!M351</f>
        <v>C1 I1 Explica  el sistema de gestión de archivos, tipos y características del sistema de archivo y flujo de archivos de gestión según políticas de la organización.</v>
      </c>
      <c r="C58" s="191" t="s">
        <v>447</v>
      </c>
      <c r="D58" s="11" t="str">
        <f>Organización_Modular!F45</f>
        <v>Organización del sistema de gestión de archivos</v>
      </c>
      <c r="E58" s="11" t="str">
        <f>Organización_Modular!G45</f>
        <v>II</v>
      </c>
      <c r="F58" s="11">
        <f>Organización_Modular!H45</f>
        <v>1</v>
      </c>
      <c r="G58" s="11">
        <f>Organización_Modular!I45</f>
        <v>1</v>
      </c>
      <c r="H58" s="12">
        <f>SUM(F58:G58)</f>
        <v>2</v>
      </c>
      <c r="I58" s="12">
        <f>F58*16</f>
        <v>16</v>
      </c>
      <c r="J58" s="12">
        <f>G58*32</f>
        <v>32</v>
      </c>
      <c r="K58" s="12">
        <f>SUM(I58:J58)</f>
        <v>48</v>
      </c>
      <c r="L58" s="423" t="s">
        <v>510</v>
      </c>
      <c r="M58" s="87" t="str">
        <f t="shared" si="0"/>
        <v>C1 I1 Explica  el sistema de gestión de archivos, tipos y características del sistema de archivo y flujo de archivos de gestión según políticas de la organización.</v>
      </c>
    </row>
    <row r="59" spans="1:13" ht="73.5" customHeight="1" x14ac:dyDescent="0.2">
      <c r="A59" s="426"/>
      <c r="B59" s="156" t="str">
        <f>Capacidades!M352</f>
        <v>C1 I2 Identifica  los equipos y materiales, elementos de bioseguridad  empleados en los sistemas de archivos</v>
      </c>
      <c r="C59" s="191" t="s">
        <v>448</v>
      </c>
      <c r="D59" s="13"/>
      <c r="E59" s="13"/>
      <c r="F59" s="14"/>
      <c r="G59" s="14"/>
      <c r="H59" s="14"/>
      <c r="I59" s="14"/>
      <c r="J59" s="14"/>
      <c r="K59" s="14"/>
      <c r="L59" s="424"/>
      <c r="M59" s="87" t="str">
        <f t="shared" si="0"/>
        <v>C1 I2 Identifica  los equipos y materiales, elementos de bioseguridad  empleados en los sistemas de archivos</v>
      </c>
    </row>
    <row r="60" spans="1:13" ht="76.5" customHeight="1" x14ac:dyDescent="0.2">
      <c r="A60" s="426"/>
      <c r="B60" s="156" t="str">
        <f>Capacidades!M353</f>
        <v>C1 I3 Utiliza los equipos y materiales para un determinado sistema de archivo según los requerimientos de la organización.</v>
      </c>
      <c r="C60" s="190" t="s">
        <v>449</v>
      </c>
      <c r="D60" s="13"/>
      <c r="E60" s="13"/>
      <c r="F60" s="14"/>
      <c r="G60" s="14"/>
      <c r="H60" s="14"/>
      <c r="I60" s="14"/>
      <c r="J60" s="14"/>
      <c r="K60" s="14"/>
      <c r="L60" s="424"/>
      <c r="M60" s="87" t="str">
        <f t="shared" si="0"/>
        <v>C1 I3 Utiliza los equipos y materiales para un determinado sistema de archivo según los requerimientos de la organización.</v>
      </c>
    </row>
    <row r="61" spans="1:13" ht="55.5" customHeight="1" x14ac:dyDescent="0.2">
      <c r="A61" s="426"/>
      <c r="B61" s="156" t="str">
        <f>Capacidades!M354</f>
        <v xml:space="preserve">C1 I4 Realiza la organización del sistema de gestión de archivo  aplicando normas de bioseguridad. </v>
      </c>
      <c r="C61" s="189" t="s">
        <v>450</v>
      </c>
      <c r="D61" s="13"/>
      <c r="E61" s="13"/>
      <c r="F61" s="14"/>
      <c r="G61" s="14"/>
      <c r="H61" s="14"/>
      <c r="I61" s="14"/>
      <c r="J61" s="14"/>
      <c r="K61" s="14"/>
      <c r="L61" s="424"/>
      <c r="M61" s="87" t="str">
        <f t="shared" si="0"/>
        <v xml:space="preserve">C1 I4 Realiza la organización del sistema de gestión de archivo  aplicando normas de bioseguridad. </v>
      </c>
    </row>
    <row r="62" spans="1:13" ht="57.75" customHeight="1" x14ac:dyDescent="0.2">
      <c r="A62" s="426"/>
      <c r="B62" s="156" t="str">
        <f>Capacidades!M355</f>
        <v>C2 I1 Realiza  la identificación y ordenamiento de la documentación  según políticas de la organización y normativa vigente.</v>
      </c>
      <c r="C62" s="191" t="s">
        <v>451</v>
      </c>
      <c r="D62" s="13"/>
      <c r="E62" s="13"/>
      <c r="F62" s="14"/>
      <c r="G62" s="14"/>
      <c r="H62" s="14"/>
      <c r="I62" s="14"/>
      <c r="J62" s="14"/>
      <c r="K62" s="14"/>
      <c r="L62" s="424"/>
      <c r="M62" s="87" t="str">
        <f t="shared" si="0"/>
        <v>C2 I1 Realiza  la identificación y ordenamiento de la documentación  según políticas de la organización y normativa vigente.</v>
      </c>
    </row>
    <row r="63" spans="1:13" ht="70.5" customHeight="1" x14ac:dyDescent="0.2">
      <c r="A63" s="426"/>
      <c r="B63" s="156" t="str">
        <f>Capacidades!M356</f>
        <v>C2 I2 Realiza  la foliación y/o depuración de la documentación  según el sistema de archivo  de la organización y normativa vigente.</v>
      </c>
      <c r="C63" s="157" t="s">
        <v>453</v>
      </c>
      <c r="D63" s="13"/>
      <c r="E63" s="13"/>
      <c r="F63" s="14"/>
      <c r="G63" s="14"/>
      <c r="H63" s="14"/>
      <c r="I63" s="14"/>
      <c r="J63" s="14"/>
      <c r="K63" s="14"/>
      <c r="L63" s="424"/>
      <c r="M63" s="87" t="str">
        <f t="shared" si="0"/>
        <v>C2 I2 Realiza  la foliación y/o depuración de la documentación  según el sistema de archivo  de la organización y normativa vigente.</v>
      </c>
    </row>
    <row r="64" spans="1:13" ht="73.5" customHeight="1" x14ac:dyDescent="0.2">
      <c r="A64" s="426"/>
      <c r="B64" s="156" t="str">
        <f>Capacidades!M357</f>
        <v>C2 I3 Codifica la documentación y/o archivos según el sistema de archivo de la organización y normativa vigente.</v>
      </c>
      <c r="C64" s="157" t="s">
        <v>452</v>
      </c>
      <c r="D64" s="13"/>
      <c r="E64" s="13"/>
      <c r="F64" s="14"/>
      <c r="G64" s="14"/>
      <c r="H64" s="14"/>
      <c r="I64" s="14"/>
      <c r="J64" s="14"/>
      <c r="K64" s="14"/>
      <c r="L64" s="424"/>
      <c r="M64" s="87" t="str">
        <f t="shared" si="0"/>
        <v>C2 I3 Codifica la documentación y/o archivos según el sistema de archivo de la organización y normativa vigente.</v>
      </c>
    </row>
    <row r="65" spans="1:13" ht="0.75" customHeight="1" x14ac:dyDescent="0.2">
      <c r="A65" s="426"/>
      <c r="B65" s="156" t="str">
        <f>Capacidades!M358</f>
        <v xml:space="preserve">   </v>
      </c>
      <c r="C65" s="157"/>
      <c r="D65" s="13"/>
      <c r="E65" s="13"/>
      <c r="F65" s="14"/>
      <c r="G65" s="14"/>
      <c r="H65" s="14"/>
      <c r="I65" s="14"/>
      <c r="J65" s="14"/>
      <c r="K65" s="14"/>
      <c r="L65" s="424"/>
      <c r="M65" s="87" t="str">
        <f t="shared" si="0"/>
        <v xml:space="preserve">   </v>
      </c>
    </row>
    <row r="66" spans="1:13" ht="12.75" hidden="1" customHeight="1" x14ac:dyDescent="0.2">
      <c r="A66" s="426"/>
      <c r="B66" s="156" t="str">
        <f>Capacidades!M359</f>
        <v xml:space="preserve">   </v>
      </c>
      <c r="C66" s="157"/>
      <c r="D66" s="13"/>
      <c r="E66" s="13"/>
      <c r="F66" s="14"/>
      <c r="G66" s="14"/>
      <c r="H66" s="14"/>
      <c r="I66" s="14"/>
      <c r="J66" s="14"/>
      <c r="K66" s="14"/>
      <c r="L66" s="424"/>
      <c r="M66" s="87" t="str">
        <f t="shared" si="0"/>
        <v xml:space="preserve">   </v>
      </c>
    </row>
    <row r="67" spans="1:13" ht="12.75" hidden="1" customHeight="1" x14ac:dyDescent="0.2">
      <c r="A67" s="427"/>
      <c r="B67" s="156" t="str">
        <f>Capacidades!M360</f>
        <v xml:space="preserve">   </v>
      </c>
      <c r="C67" s="157"/>
      <c r="D67" s="15"/>
      <c r="E67" s="15"/>
      <c r="F67" s="16"/>
      <c r="G67" s="16"/>
      <c r="H67" s="16"/>
      <c r="I67" s="16"/>
      <c r="J67" s="16"/>
      <c r="K67" s="16"/>
      <c r="L67" s="432"/>
      <c r="M67" s="87" t="str">
        <f t="shared" si="0"/>
        <v xml:space="preserve">   </v>
      </c>
    </row>
    <row r="68" spans="1:13" ht="96" customHeight="1" x14ac:dyDescent="0.2">
      <c r="A68" s="425" t="str">
        <f>Capacidades!L361</f>
        <v>UC3 C3 Archivar los documentos de gestión  según políticas de la organización y normativa vigente. UC3 C4 Realizar  el archivo, mantenimiento y conservación de los documentos según políticas de la organización y normativa vigente.</v>
      </c>
      <c r="B68" s="156" t="str">
        <f>Capacidades!M361</f>
        <v>C3 I1 Rotula  la documentación y/o archivos según el sistema de archivo de la organización y normativa vigente.</v>
      </c>
      <c r="C68" s="191" t="s">
        <v>454</v>
      </c>
      <c r="D68" s="11" t="str">
        <f>Organización_Modular!F46</f>
        <v>Archivos, mantenimiento y conservación de documentos</v>
      </c>
      <c r="E68" s="11" t="str">
        <f>Organización_Modular!G46</f>
        <v>II</v>
      </c>
      <c r="F68" s="11">
        <f>Organización_Modular!H46</f>
        <v>1</v>
      </c>
      <c r="G68" s="11">
        <f>Organización_Modular!I46</f>
        <v>1</v>
      </c>
      <c r="H68" s="12">
        <f>SUM(F68:G68)</f>
        <v>2</v>
      </c>
      <c r="I68" s="12">
        <f>F68*16</f>
        <v>16</v>
      </c>
      <c r="J68" s="12">
        <f>G68*32</f>
        <v>32</v>
      </c>
      <c r="K68" s="12">
        <f>SUM(I68:J68)</f>
        <v>48</v>
      </c>
      <c r="L68" s="423" t="s">
        <v>510</v>
      </c>
      <c r="M68" s="87" t="str">
        <f t="shared" si="0"/>
        <v>C3 I1 Rotula  la documentación y/o archivos según el sistema de archivo de la organización y normativa vigente.</v>
      </c>
    </row>
    <row r="69" spans="1:13" ht="56.25" customHeight="1" x14ac:dyDescent="0.2">
      <c r="A69" s="426"/>
      <c r="B69" s="156" t="str">
        <f>Capacidades!M362</f>
        <v>C3 I2 Realiza el empastado o cocido de achivos documentarios de acuerdo a los procedimientos de la organización.</v>
      </c>
      <c r="C69" s="191" t="s">
        <v>455</v>
      </c>
      <c r="D69" s="13"/>
      <c r="E69" s="13"/>
      <c r="F69" s="14"/>
      <c r="G69" s="14"/>
      <c r="H69" s="14"/>
      <c r="I69" s="14"/>
      <c r="J69" s="14"/>
      <c r="K69" s="14"/>
      <c r="L69" s="424"/>
      <c r="M69" s="87" t="str">
        <f t="shared" si="0"/>
        <v>C3 I2 Realiza el empastado o cocido de achivos documentarios de acuerdo a los procedimientos de la organización.</v>
      </c>
    </row>
    <row r="70" spans="1:13" ht="47.25" customHeight="1" x14ac:dyDescent="0.2">
      <c r="A70" s="426"/>
      <c r="B70" s="156" t="str">
        <f>Capacidades!M363</f>
        <v>C3 I3 Archiva los documentos administrativos y/o comerciales teniendo en cuenta los criterios establecidos en la organización.</v>
      </c>
      <c r="C70" s="191" t="s">
        <v>456</v>
      </c>
      <c r="D70" s="13"/>
      <c r="E70" s="13"/>
      <c r="F70" s="14"/>
      <c r="G70" s="14"/>
      <c r="H70" s="14"/>
      <c r="I70" s="14"/>
      <c r="J70" s="14"/>
      <c r="K70" s="14"/>
      <c r="L70" s="424"/>
      <c r="M70" s="87" t="str">
        <f t="shared" si="0"/>
        <v>C3 I3 Archiva los documentos administrativos y/o comerciales teniendo en cuenta los criterios establecidos en la organización.</v>
      </c>
    </row>
    <row r="71" spans="1:13" ht="63" customHeight="1" x14ac:dyDescent="0.2">
      <c r="A71" s="426"/>
      <c r="B71" s="156" t="str">
        <f>Capacidades!M364</f>
        <v>C3 I4 Realiza la consulta y localización de los documentos teniendo en cuenta la información almacenada.</v>
      </c>
      <c r="C71" s="244" t="s">
        <v>459</v>
      </c>
      <c r="D71" s="13"/>
      <c r="E71" s="13"/>
      <c r="F71" s="14"/>
      <c r="G71" s="14"/>
      <c r="H71" s="14"/>
      <c r="I71" s="14"/>
      <c r="J71" s="14"/>
      <c r="K71" s="14"/>
      <c r="L71" s="424"/>
      <c r="M71" s="87" t="str">
        <f t="shared" si="0"/>
        <v>C3 I4 Realiza la consulta y localización de los documentos teniendo en cuenta la información almacenada.</v>
      </c>
    </row>
    <row r="72" spans="1:13" ht="67.5" customHeight="1" x14ac:dyDescent="0.2">
      <c r="A72" s="426"/>
      <c r="B72" s="156" t="str">
        <f>Capacidades!M365</f>
        <v>C4 I1 Explica el procedimiento de conservación y mantenimiento de los archivos documentarios según políticas de la organización y normativa vigente.</v>
      </c>
      <c r="C72" s="243" t="s">
        <v>457</v>
      </c>
      <c r="D72" s="13"/>
      <c r="E72" s="13"/>
      <c r="F72" s="14"/>
      <c r="G72" s="14"/>
      <c r="H72" s="14"/>
      <c r="I72" s="14"/>
      <c r="J72" s="14"/>
      <c r="K72" s="14"/>
      <c r="L72" s="424"/>
      <c r="M72" s="87" t="str">
        <f t="shared" si="0"/>
        <v>C4 I1 Explica el procedimiento de conservación y mantenimiento de los archivos documentarios según políticas de la organización y normativa vigente.</v>
      </c>
    </row>
    <row r="73" spans="1:13" ht="48" x14ac:dyDescent="0.2">
      <c r="A73" s="426"/>
      <c r="B73" s="156" t="str">
        <f>Capacidades!M366</f>
        <v>C4 I2 Ejecuta  el procedimiento de conservación y mantenimiento de los archivos documentarios según políticas de la organización y normativa vigente.</v>
      </c>
      <c r="C73" s="243" t="s">
        <v>458</v>
      </c>
      <c r="D73" s="13"/>
      <c r="E73" s="13"/>
      <c r="F73" s="14"/>
      <c r="G73" s="14"/>
      <c r="H73" s="14"/>
      <c r="I73" s="14"/>
      <c r="J73" s="14"/>
      <c r="K73" s="14"/>
      <c r="L73" s="424"/>
      <c r="M73" s="87" t="str">
        <f t="shared" si="0"/>
        <v>C4 I2 Ejecuta  el procedimiento de conservación y mantenimiento de los archivos documentarios según políticas de la organización y normativa vigente.</v>
      </c>
    </row>
    <row r="74" spans="1:13" ht="12.75" hidden="1" customHeight="1" x14ac:dyDescent="0.2">
      <c r="A74" s="426"/>
      <c r="B74" s="156" t="str">
        <f>Capacidades!M367</f>
        <v xml:space="preserve">   </v>
      </c>
      <c r="C74" s="157"/>
      <c r="D74" s="13"/>
      <c r="E74" s="13"/>
      <c r="F74" s="14"/>
      <c r="G74" s="14"/>
      <c r="H74" s="14"/>
      <c r="I74" s="14"/>
      <c r="J74" s="14"/>
      <c r="K74" s="14"/>
      <c r="L74" s="424"/>
      <c r="M74" s="87" t="str">
        <f t="shared" si="0"/>
        <v xml:space="preserve">   </v>
      </c>
    </row>
    <row r="75" spans="1:13" ht="12.75" hidden="1" customHeight="1" x14ac:dyDescent="0.2">
      <c r="A75" s="426"/>
      <c r="B75" s="156" t="str">
        <f>Capacidades!M368</f>
        <v xml:space="preserve">   </v>
      </c>
      <c r="C75" s="157"/>
      <c r="D75" s="13"/>
      <c r="E75" s="13"/>
      <c r="F75" s="14"/>
      <c r="G75" s="14"/>
      <c r="H75" s="14"/>
      <c r="I75" s="14"/>
      <c r="J75" s="14"/>
      <c r="K75" s="14"/>
      <c r="L75" s="424"/>
      <c r="M75" s="87" t="str">
        <f t="shared" si="0"/>
        <v xml:space="preserve">   </v>
      </c>
    </row>
    <row r="76" spans="1:13" ht="12.75" hidden="1" customHeight="1" x14ac:dyDescent="0.2">
      <c r="A76" s="426"/>
      <c r="B76" s="156" t="str">
        <f>Capacidades!M369</f>
        <v xml:space="preserve">   </v>
      </c>
      <c r="C76" s="157"/>
      <c r="D76" s="13"/>
      <c r="E76" s="13"/>
      <c r="F76" s="14"/>
      <c r="G76" s="14"/>
      <c r="H76" s="14"/>
      <c r="I76" s="14"/>
      <c r="J76" s="14"/>
      <c r="K76" s="14"/>
      <c r="L76" s="424"/>
      <c r="M76" s="87" t="str">
        <f t="shared" si="0"/>
        <v xml:space="preserve">   </v>
      </c>
    </row>
    <row r="77" spans="1:13" ht="12.75" hidden="1" customHeight="1" x14ac:dyDescent="0.2">
      <c r="A77" s="427"/>
      <c r="B77" s="156" t="str">
        <f>Capacidades!M370</f>
        <v xml:space="preserve">   </v>
      </c>
      <c r="C77" s="157"/>
      <c r="D77" s="15"/>
      <c r="E77" s="15"/>
      <c r="F77" s="16"/>
      <c r="G77" s="16"/>
      <c r="H77" s="16"/>
      <c r="I77" s="16"/>
      <c r="J77" s="16"/>
      <c r="K77" s="16"/>
      <c r="L77" s="432"/>
      <c r="M77" s="87" t="str">
        <f t="shared" si="0"/>
        <v xml:space="preserve">   </v>
      </c>
    </row>
    <row r="78" spans="1:13" hidden="1" x14ac:dyDescent="0.2">
      <c r="A78" s="425" t="str">
        <f>Capacidades!L371</f>
        <v xml:space="preserve">       </v>
      </c>
      <c r="B78" s="156" t="str">
        <f>Capacidades!M371</f>
        <v xml:space="preserve">   </v>
      </c>
      <c r="C78" s="157"/>
      <c r="D78" s="11">
        <f>Organización_Modular!F47</f>
        <v>0</v>
      </c>
      <c r="E78" s="11">
        <f>Organización_Modular!G47</f>
        <v>0</v>
      </c>
      <c r="F78" s="11">
        <f>Organización_Modular!H47</f>
        <v>0</v>
      </c>
      <c r="G78" s="11">
        <f>Organización_Modular!I47</f>
        <v>0</v>
      </c>
      <c r="H78" s="12">
        <f>SUM(F78:G78)</f>
        <v>0</v>
      </c>
      <c r="I78" s="12">
        <f>F78*16</f>
        <v>0</v>
      </c>
      <c r="J78" s="12">
        <f>G78*32</f>
        <v>0</v>
      </c>
      <c r="K78" s="12">
        <f>SUM(I78:J78)</f>
        <v>0</v>
      </c>
      <c r="L78" s="445"/>
      <c r="M78" s="87" t="str">
        <f t="shared" si="0"/>
        <v xml:space="preserve">   </v>
      </c>
    </row>
    <row r="79" spans="1:13" hidden="1" x14ac:dyDescent="0.2">
      <c r="A79" s="426"/>
      <c r="B79" s="156" t="str">
        <f>Capacidades!M372</f>
        <v xml:space="preserve">   </v>
      </c>
      <c r="C79" s="157"/>
      <c r="D79" s="13"/>
      <c r="E79" s="13"/>
      <c r="F79" s="14"/>
      <c r="G79" s="14"/>
      <c r="H79" s="14"/>
      <c r="I79" s="14"/>
      <c r="J79" s="14"/>
      <c r="K79" s="14"/>
      <c r="L79" s="446"/>
      <c r="M79" s="87" t="str">
        <f t="shared" si="0"/>
        <v xml:space="preserve">   </v>
      </c>
    </row>
    <row r="80" spans="1:13" hidden="1" x14ac:dyDescent="0.2">
      <c r="A80" s="426"/>
      <c r="B80" s="156" t="str">
        <f>Capacidades!M373</f>
        <v xml:space="preserve">   </v>
      </c>
      <c r="C80" s="157"/>
      <c r="D80" s="13"/>
      <c r="E80" s="13"/>
      <c r="F80" s="14"/>
      <c r="G80" s="14"/>
      <c r="H80" s="14"/>
      <c r="I80" s="14"/>
      <c r="J80" s="14"/>
      <c r="K80" s="14"/>
      <c r="L80" s="446"/>
      <c r="M80" s="87" t="str">
        <f t="shared" si="0"/>
        <v xml:space="preserve">   </v>
      </c>
    </row>
    <row r="81" spans="1:13" hidden="1" x14ac:dyDescent="0.2">
      <c r="A81" s="426"/>
      <c r="B81" s="156" t="str">
        <f>Capacidades!M374</f>
        <v xml:space="preserve">   </v>
      </c>
      <c r="C81" s="157"/>
      <c r="D81" s="13"/>
      <c r="E81" s="13"/>
      <c r="F81" s="14"/>
      <c r="G81" s="14"/>
      <c r="H81" s="14"/>
      <c r="I81" s="14"/>
      <c r="J81" s="14"/>
      <c r="K81" s="14"/>
      <c r="L81" s="446"/>
      <c r="M81" s="87" t="str">
        <f t="shared" si="0"/>
        <v xml:space="preserve">   </v>
      </c>
    </row>
    <row r="82" spans="1:13" hidden="1" x14ac:dyDescent="0.2">
      <c r="A82" s="426"/>
      <c r="B82" s="156" t="str">
        <f>Capacidades!M375</f>
        <v xml:space="preserve">   </v>
      </c>
      <c r="C82" s="157"/>
      <c r="D82" s="13"/>
      <c r="E82" s="13"/>
      <c r="F82" s="14"/>
      <c r="G82" s="14"/>
      <c r="H82" s="14"/>
      <c r="I82" s="14"/>
      <c r="J82" s="14"/>
      <c r="K82" s="14"/>
      <c r="L82" s="446"/>
      <c r="M82" s="87" t="str">
        <f t="shared" si="0"/>
        <v xml:space="preserve">   </v>
      </c>
    </row>
    <row r="83" spans="1:13" hidden="1" x14ac:dyDescent="0.2">
      <c r="A83" s="426"/>
      <c r="B83" s="156" t="str">
        <f>Capacidades!M376</f>
        <v xml:space="preserve">   </v>
      </c>
      <c r="C83" s="157"/>
      <c r="D83" s="13"/>
      <c r="E83" s="13"/>
      <c r="F83" s="14"/>
      <c r="G83" s="14"/>
      <c r="H83" s="14"/>
      <c r="I83" s="14"/>
      <c r="J83" s="14"/>
      <c r="K83" s="14"/>
      <c r="L83" s="446"/>
      <c r="M83" s="87" t="str">
        <f t="shared" ref="M83:M146" si="1">B83</f>
        <v xml:space="preserve">   </v>
      </c>
    </row>
    <row r="84" spans="1:13" hidden="1" x14ac:dyDescent="0.2">
      <c r="A84" s="426"/>
      <c r="B84" s="156" t="str">
        <f>Capacidades!M377</f>
        <v xml:space="preserve">   </v>
      </c>
      <c r="C84" s="157"/>
      <c r="D84" s="13"/>
      <c r="E84" s="13"/>
      <c r="F84" s="14"/>
      <c r="G84" s="14"/>
      <c r="H84" s="14"/>
      <c r="I84" s="14"/>
      <c r="J84" s="14"/>
      <c r="K84" s="14"/>
      <c r="L84" s="446"/>
      <c r="M84" s="87" t="str">
        <f t="shared" si="1"/>
        <v xml:space="preserve">   </v>
      </c>
    </row>
    <row r="85" spans="1:13" hidden="1" x14ac:dyDescent="0.2">
      <c r="A85" s="426"/>
      <c r="B85" s="156" t="str">
        <f>Capacidades!M378</f>
        <v xml:space="preserve">   </v>
      </c>
      <c r="C85" s="157"/>
      <c r="D85" s="13"/>
      <c r="E85" s="13"/>
      <c r="F85" s="14"/>
      <c r="G85" s="14"/>
      <c r="H85" s="14"/>
      <c r="I85" s="14"/>
      <c r="J85" s="14"/>
      <c r="K85" s="14"/>
      <c r="L85" s="446"/>
      <c r="M85" s="87" t="str">
        <f t="shared" si="1"/>
        <v xml:space="preserve">   </v>
      </c>
    </row>
    <row r="86" spans="1:13" hidden="1" x14ac:dyDescent="0.2">
      <c r="A86" s="426"/>
      <c r="B86" s="156" t="str">
        <f>Capacidades!M379</f>
        <v xml:space="preserve">   </v>
      </c>
      <c r="C86" s="157"/>
      <c r="D86" s="13"/>
      <c r="E86" s="13"/>
      <c r="F86" s="14"/>
      <c r="G86" s="14"/>
      <c r="H86" s="14"/>
      <c r="I86" s="14"/>
      <c r="J86" s="14"/>
      <c r="K86" s="14"/>
      <c r="L86" s="446"/>
      <c r="M86" s="87" t="str">
        <f t="shared" si="1"/>
        <v xml:space="preserve">   </v>
      </c>
    </row>
    <row r="87" spans="1:13" hidden="1" x14ac:dyDescent="0.2">
      <c r="A87" s="427"/>
      <c r="B87" s="156" t="str">
        <f>Capacidades!M380</f>
        <v xml:space="preserve">   </v>
      </c>
      <c r="C87" s="157"/>
      <c r="D87" s="15"/>
      <c r="E87" s="15"/>
      <c r="F87" s="16"/>
      <c r="G87" s="16"/>
      <c r="H87" s="16"/>
      <c r="I87" s="16"/>
      <c r="J87" s="16"/>
      <c r="K87" s="16"/>
      <c r="L87" s="447"/>
      <c r="M87" s="87" t="str">
        <f t="shared" si="1"/>
        <v xml:space="preserve">   </v>
      </c>
    </row>
    <row r="88" spans="1:13" hidden="1" x14ac:dyDescent="0.2">
      <c r="A88" s="425" t="str">
        <f>Capacidades!L381</f>
        <v xml:space="preserve">       </v>
      </c>
      <c r="B88" s="156" t="str">
        <f>Capacidades!M381</f>
        <v xml:space="preserve">   </v>
      </c>
      <c r="C88" s="157"/>
      <c r="D88" s="11">
        <f>Organización_Modular!F48</f>
        <v>0</v>
      </c>
      <c r="E88" s="11">
        <f>Organización_Modular!G48</f>
        <v>0</v>
      </c>
      <c r="F88" s="11">
        <f>Organización_Modular!H48</f>
        <v>0</v>
      </c>
      <c r="G88" s="11">
        <f>Organización_Modular!I48</f>
        <v>0</v>
      </c>
      <c r="H88" s="12">
        <f>SUM(F88:G88)</f>
        <v>0</v>
      </c>
      <c r="I88" s="12">
        <f>F88*16</f>
        <v>0</v>
      </c>
      <c r="J88" s="12">
        <f>G88*32</f>
        <v>0</v>
      </c>
      <c r="K88" s="12">
        <f>SUM(I88:J88)</f>
        <v>0</v>
      </c>
      <c r="L88" s="445"/>
      <c r="M88" s="87" t="str">
        <f t="shared" si="1"/>
        <v xml:space="preserve">   </v>
      </c>
    </row>
    <row r="89" spans="1:13" hidden="1" x14ac:dyDescent="0.2">
      <c r="A89" s="426"/>
      <c r="B89" s="156" t="str">
        <f>Capacidades!M382</f>
        <v xml:space="preserve">   </v>
      </c>
      <c r="C89" s="157"/>
      <c r="D89" s="13"/>
      <c r="E89" s="13"/>
      <c r="F89" s="14"/>
      <c r="G89" s="14"/>
      <c r="H89" s="14"/>
      <c r="I89" s="14"/>
      <c r="J89" s="14"/>
      <c r="K89" s="14"/>
      <c r="L89" s="446"/>
      <c r="M89" s="87" t="str">
        <f t="shared" si="1"/>
        <v xml:space="preserve">   </v>
      </c>
    </row>
    <row r="90" spans="1:13" hidden="1" x14ac:dyDescent="0.2">
      <c r="A90" s="426"/>
      <c r="B90" s="156" t="str">
        <f>Capacidades!M383</f>
        <v xml:space="preserve">   </v>
      </c>
      <c r="C90" s="157"/>
      <c r="D90" s="13"/>
      <c r="E90" s="13"/>
      <c r="F90" s="14"/>
      <c r="G90" s="14"/>
      <c r="H90" s="14"/>
      <c r="I90" s="14"/>
      <c r="J90" s="14"/>
      <c r="K90" s="14"/>
      <c r="L90" s="446"/>
      <c r="M90" s="87" t="str">
        <f t="shared" si="1"/>
        <v xml:space="preserve">   </v>
      </c>
    </row>
    <row r="91" spans="1:13" hidden="1" x14ac:dyDescent="0.2">
      <c r="A91" s="426"/>
      <c r="B91" s="156" t="str">
        <f>Capacidades!M384</f>
        <v xml:space="preserve">   </v>
      </c>
      <c r="C91" s="157"/>
      <c r="D91" s="13"/>
      <c r="E91" s="13"/>
      <c r="F91" s="14"/>
      <c r="G91" s="14"/>
      <c r="H91" s="14"/>
      <c r="I91" s="14"/>
      <c r="J91" s="14"/>
      <c r="K91" s="14"/>
      <c r="L91" s="446"/>
      <c r="M91" s="87" t="str">
        <f t="shared" si="1"/>
        <v xml:space="preserve">   </v>
      </c>
    </row>
    <row r="92" spans="1:13" hidden="1" x14ac:dyDescent="0.2">
      <c r="A92" s="426"/>
      <c r="B92" s="156" t="str">
        <f>Capacidades!M385</f>
        <v xml:space="preserve">   </v>
      </c>
      <c r="C92" s="157"/>
      <c r="D92" s="13"/>
      <c r="E92" s="13"/>
      <c r="F92" s="14"/>
      <c r="G92" s="14"/>
      <c r="H92" s="14"/>
      <c r="I92" s="14"/>
      <c r="J92" s="14"/>
      <c r="K92" s="14"/>
      <c r="L92" s="446"/>
      <c r="M92" s="87" t="str">
        <f t="shared" si="1"/>
        <v xml:space="preserve">   </v>
      </c>
    </row>
    <row r="93" spans="1:13" hidden="1" x14ac:dyDescent="0.2">
      <c r="A93" s="426"/>
      <c r="B93" s="156" t="str">
        <f>Capacidades!M386</f>
        <v xml:space="preserve">   </v>
      </c>
      <c r="C93" s="157"/>
      <c r="D93" s="13"/>
      <c r="E93" s="13"/>
      <c r="F93" s="14"/>
      <c r="G93" s="14"/>
      <c r="H93" s="14"/>
      <c r="I93" s="14"/>
      <c r="J93" s="14"/>
      <c r="K93" s="14"/>
      <c r="L93" s="446"/>
      <c r="M93" s="87" t="str">
        <f t="shared" si="1"/>
        <v xml:space="preserve">   </v>
      </c>
    </row>
    <row r="94" spans="1:13" hidden="1" x14ac:dyDescent="0.2">
      <c r="A94" s="426"/>
      <c r="B94" s="156" t="str">
        <f>Capacidades!M387</f>
        <v xml:space="preserve">   </v>
      </c>
      <c r="C94" s="157"/>
      <c r="D94" s="13"/>
      <c r="E94" s="13"/>
      <c r="F94" s="14"/>
      <c r="G94" s="14"/>
      <c r="H94" s="14"/>
      <c r="I94" s="14"/>
      <c r="J94" s="14"/>
      <c r="K94" s="14"/>
      <c r="L94" s="446"/>
      <c r="M94" s="87" t="str">
        <f t="shared" si="1"/>
        <v xml:space="preserve">   </v>
      </c>
    </row>
    <row r="95" spans="1:13" hidden="1" x14ac:dyDescent="0.2">
      <c r="A95" s="426"/>
      <c r="B95" s="156" t="str">
        <f>Capacidades!M388</f>
        <v xml:space="preserve">   </v>
      </c>
      <c r="C95" s="157"/>
      <c r="D95" s="13"/>
      <c r="E95" s="13"/>
      <c r="F95" s="14"/>
      <c r="G95" s="14"/>
      <c r="H95" s="14"/>
      <c r="I95" s="14"/>
      <c r="J95" s="14"/>
      <c r="K95" s="14"/>
      <c r="L95" s="446"/>
      <c r="M95" s="87" t="str">
        <f t="shared" si="1"/>
        <v xml:space="preserve">   </v>
      </c>
    </row>
    <row r="96" spans="1:13" hidden="1" x14ac:dyDescent="0.2">
      <c r="A96" s="426"/>
      <c r="B96" s="156" t="str">
        <f>Capacidades!M389</f>
        <v xml:space="preserve">   </v>
      </c>
      <c r="C96" s="157"/>
      <c r="D96" s="13"/>
      <c r="E96" s="13"/>
      <c r="F96" s="14"/>
      <c r="G96" s="14"/>
      <c r="H96" s="14"/>
      <c r="I96" s="14"/>
      <c r="J96" s="14"/>
      <c r="K96" s="14"/>
      <c r="L96" s="446"/>
      <c r="M96" s="87" t="str">
        <f t="shared" si="1"/>
        <v xml:space="preserve">   </v>
      </c>
    </row>
    <row r="97" spans="1:13" hidden="1" x14ac:dyDescent="0.2">
      <c r="A97" s="427"/>
      <c r="B97" s="156" t="str">
        <f>Capacidades!M390</f>
        <v xml:space="preserve">   </v>
      </c>
      <c r="C97" s="157"/>
      <c r="D97" s="15"/>
      <c r="E97" s="15"/>
      <c r="F97" s="16"/>
      <c r="G97" s="16"/>
      <c r="H97" s="16"/>
      <c r="I97" s="16"/>
      <c r="J97" s="16"/>
      <c r="K97" s="16"/>
      <c r="L97" s="447"/>
      <c r="M97" s="87" t="str">
        <f t="shared" si="1"/>
        <v xml:space="preserve">   </v>
      </c>
    </row>
    <row r="98" spans="1:13" hidden="1" x14ac:dyDescent="0.2">
      <c r="A98" s="425" t="str">
        <f>Capacidades!L391</f>
        <v xml:space="preserve">       </v>
      </c>
      <c r="B98" s="156" t="str">
        <f>Capacidades!M391</f>
        <v xml:space="preserve">   </v>
      </c>
      <c r="C98" s="157"/>
      <c r="D98" s="11">
        <f>Organización_Modular!F49</f>
        <v>0</v>
      </c>
      <c r="E98" s="11">
        <f>Organización_Modular!G49</f>
        <v>0</v>
      </c>
      <c r="F98" s="11">
        <f>Organización_Modular!H49</f>
        <v>0</v>
      </c>
      <c r="G98" s="11">
        <f>Organización_Modular!I49</f>
        <v>0</v>
      </c>
      <c r="H98" s="12">
        <f>SUM(F98:G98)</f>
        <v>0</v>
      </c>
      <c r="I98" s="12">
        <f>F98*16</f>
        <v>0</v>
      </c>
      <c r="J98" s="12">
        <f>G98*32</f>
        <v>0</v>
      </c>
      <c r="K98" s="12">
        <f>SUM(I98:J98)</f>
        <v>0</v>
      </c>
      <c r="L98" s="445"/>
      <c r="M98" s="87" t="str">
        <f t="shared" si="1"/>
        <v xml:space="preserve">   </v>
      </c>
    </row>
    <row r="99" spans="1:13" hidden="1" x14ac:dyDescent="0.2">
      <c r="A99" s="426"/>
      <c r="B99" s="156" t="str">
        <f>Capacidades!M392</f>
        <v xml:space="preserve">   </v>
      </c>
      <c r="C99" s="157"/>
      <c r="D99" s="13"/>
      <c r="E99" s="13"/>
      <c r="F99" s="14"/>
      <c r="G99" s="14"/>
      <c r="H99" s="14"/>
      <c r="I99" s="14"/>
      <c r="J99" s="14"/>
      <c r="K99" s="14"/>
      <c r="L99" s="446"/>
      <c r="M99" s="87" t="str">
        <f t="shared" si="1"/>
        <v xml:space="preserve">   </v>
      </c>
    </row>
    <row r="100" spans="1:13" hidden="1" x14ac:dyDescent="0.2">
      <c r="A100" s="426"/>
      <c r="B100" s="156" t="str">
        <f>Capacidades!M393</f>
        <v xml:space="preserve">   </v>
      </c>
      <c r="C100" s="157"/>
      <c r="D100" s="13"/>
      <c r="E100" s="13"/>
      <c r="F100" s="14"/>
      <c r="G100" s="14"/>
      <c r="H100" s="14"/>
      <c r="I100" s="14"/>
      <c r="J100" s="14"/>
      <c r="K100" s="14"/>
      <c r="L100" s="446"/>
      <c r="M100" s="87" t="str">
        <f t="shared" si="1"/>
        <v xml:space="preserve">   </v>
      </c>
    </row>
    <row r="101" spans="1:13" hidden="1" x14ac:dyDescent="0.2">
      <c r="A101" s="426"/>
      <c r="B101" s="156" t="str">
        <f>Capacidades!M394</f>
        <v xml:space="preserve">   </v>
      </c>
      <c r="C101" s="157"/>
      <c r="D101" s="13"/>
      <c r="E101" s="13"/>
      <c r="F101" s="14"/>
      <c r="G101" s="14"/>
      <c r="H101" s="14"/>
      <c r="I101" s="14"/>
      <c r="J101" s="14"/>
      <c r="K101" s="14"/>
      <c r="L101" s="446"/>
      <c r="M101" s="87" t="str">
        <f t="shared" si="1"/>
        <v xml:space="preserve">   </v>
      </c>
    </row>
    <row r="102" spans="1:13" hidden="1" x14ac:dyDescent="0.2">
      <c r="A102" s="426"/>
      <c r="B102" s="156" t="str">
        <f>Capacidades!M395</f>
        <v xml:space="preserve">   </v>
      </c>
      <c r="C102" s="157"/>
      <c r="D102" s="13"/>
      <c r="E102" s="13"/>
      <c r="F102" s="14"/>
      <c r="G102" s="14"/>
      <c r="H102" s="14"/>
      <c r="I102" s="14"/>
      <c r="J102" s="14"/>
      <c r="K102" s="14"/>
      <c r="L102" s="446"/>
      <c r="M102" s="87" t="str">
        <f t="shared" si="1"/>
        <v xml:space="preserve">   </v>
      </c>
    </row>
    <row r="103" spans="1:13" hidden="1" x14ac:dyDescent="0.2">
      <c r="A103" s="426"/>
      <c r="B103" s="156" t="str">
        <f>Capacidades!M396</f>
        <v xml:space="preserve">   </v>
      </c>
      <c r="C103" s="157"/>
      <c r="D103" s="13"/>
      <c r="E103" s="13"/>
      <c r="F103" s="14"/>
      <c r="G103" s="14"/>
      <c r="H103" s="14"/>
      <c r="I103" s="14"/>
      <c r="J103" s="14"/>
      <c r="K103" s="14"/>
      <c r="L103" s="446"/>
      <c r="M103" s="87" t="str">
        <f t="shared" si="1"/>
        <v xml:space="preserve">   </v>
      </c>
    </row>
    <row r="104" spans="1:13" hidden="1" x14ac:dyDescent="0.2">
      <c r="A104" s="426"/>
      <c r="B104" s="156" t="str">
        <f>Capacidades!M397</f>
        <v xml:space="preserve">   </v>
      </c>
      <c r="C104" s="157"/>
      <c r="D104" s="13"/>
      <c r="E104" s="13"/>
      <c r="F104" s="14"/>
      <c r="G104" s="14"/>
      <c r="H104" s="14"/>
      <c r="I104" s="14"/>
      <c r="J104" s="14"/>
      <c r="K104" s="14"/>
      <c r="L104" s="446"/>
      <c r="M104" s="87" t="str">
        <f t="shared" si="1"/>
        <v xml:space="preserve">   </v>
      </c>
    </row>
    <row r="105" spans="1:13" hidden="1" x14ac:dyDescent="0.2">
      <c r="A105" s="426"/>
      <c r="B105" s="156" t="str">
        <f>Capacidades!M398</f>
        <v xml:space="preserve">   </v>
      </c>
      <c r="C105" s="157"/>
      <c r="D105" s="13"/>
      <c r="E105" s="13"/>
      <c r="F105" s="14"/>
      <c r="G105" s="14"/>
      <c r="H105" s="14"/>
      <c r="I105" s="14"/>
      <c r="J105" s="14"/>
      <c r="K105" s="14"/>
      <c r="L105" s="446"/>
      <c r="M105" s="87" t="str">
        <f t="shared" si="1"/>
        <v xml:space="preserve">   </v>
      </c>
    </row>
    <row r="106" spans="1:13" hidden="1" x14ac:dyDescent="0.2">
      <c r="A106" s="426"/>
      <c r="B106" s="156" t="str">
        <f>Capacidades!M399</f>
        <v xml:space="preserve">   </v>
      </c>
      <c r="C106" s="157"/>
      <c r="D106" s="13"/>
      <c r="E106" s="13"/>
      <c r="F106" s="14"/>
      <c r="G106" s="14"/>
      <c r="H106" s="14"/>
      <c r="I106" s="14"/>
      <c r="J106" s="14"/>
      <c r="K106" s="14"/>
      <c r="L106" s="446"/>
      <c r="M106" s="87" t="str">
        <f t="shared" si="1"/>
        <v xml:space="preserve">   </v>
      </c>
    </row>
    <row r="107" spans="1:13" hidden="1" x14ac:dyDescent="0.2">
      <c r="A107" s="427"/>
      <c r="B107" s="156" t="str">
        <f>Capacidades!M400</f>
        <v xml:space="preserve">   </v>
      </c>
      <c r="C107" s="157"/>
      <c r="D107" s="15"/>
      <c r="E107" s="15"/>
      <c r="F107" s="16"/>
      <c r="G107" s="16"/>
      <c r="H107" s="16"/>
      <c r="I107" s="16"/>
      <c r="J107" s="16"/>
      <c r="K107" s="16"/>
      <c r="L107" s="447"/>
      <c r="M107" s="87" t="str">
        <f t="shared" si="1"/>
        <v xml:space="preserve">   </v>
      </c>
    </row>
    <row r="108" spans="1:13" hidden="1" x14ac:dyDescent="0.2">
      <c r="A108" s="425" t="str">
        <f>Capacidades!L401</f>
        <v xml:space="preserve">       </v>
      </c>
      <c r="B108" s="156" t="str">
        <f>Capacidades!M401</f>
        <v xml:space="preserve">   </v>
      </c>
      <c r="C108" s="157"/>
      <c r="D108" s="11">
        <f>Organización_Modular!F50</f>
        <v>0</v>
      </c>
      <c r="E108" s="11">
        <f>Organización_Modular!G50</f>
        <v>0</v>
      </c>
      <c r="F108" s="11">
        <f>Organización_Modular!H50</f>
        <v>0</v>
      </c>
      <c r="G108" s="11">
        <f>Organización_Modular!I50</f>
        <v>0</v>
      </c>
      <c r="H108" s="12">
        <f>SUM(F108:G108)</f>
        <v>0</v>
      </c>
      <c r="I108" s="12">
        <f>F108*16</f>
        <v>0</v>
      </c>
      <c r="J108" s="12">
        <f>G108*32</f>
        <v>0</v>
      </c>
      <c r="K108" s="12">
        <f>SUM(I108:J108)</f>
        <v>0</v>
      </c>
      <c r="L108" s="445"/>
      <c r="M108" s="87" t="str">
        <f t="shared" si="1"/>
        <v xml:space="preserve">   </v>
      </c>
    </row>
    <row r="109" spans="1:13" hidden="1" x14ac:dyDescent="0.2">
      <c r="A109" s="426"/>
      <c r="B109" s="156" t="str">
        <f>Capacidades!M402</f>
        <v xml:space="preserve">   </v>
      </c>
      <c r="C109" s="157"/>
      <c r="D109" s="13"/>
      <c r="E109" s="13"/>
      <c r="F109" s="14"/>
      <c r="G109" s="14"/>
      <c r="H109" s="14"/>
      <c r="I109" s="14"/>
      <c r="J109" s="14"/>
      <c r="K109" s="14"/>
      <c r="L109" s="446"/>
      <c r="M109" s="87" t="str">
        <f t="shared" si="1"/>
        <v xml:space="preserve">   </v>
      </c>
    </row>
    <row r="110" spans="1:13" hidden="1" x14ac:dyDescent="0.2">
      <c r="A110" s="426"/>
      <c r="B110" s="156" t="str">
        <f>Capacidades!M403</f>
        <v xml:space="preserve">   </v>
      </c>
      <c r="C110" s="157"/>
      <c r="D110" s="13"/>
      <c r="E110" s="13"/>
      <c r="F110" s="14"/>
      <c r="G110" s="14"/>
      <c r="H110" s="14"/>
      <c r="I110" s="14"/>
      <c r="J110" s="14"/>
      <c r="K110" s="14"/>
      <c r="L110" s="446"/>
      <c r="M110" s="87" t="str">
        <f t="shared" si="1"/>
        <v xml:space="preserve">   </v>
      </c>
    </row>
    <row r="111" spans="1:13" hidden="1" x14ac:dyDescent="0.2">
      <c r="A111" s="426"/>
      <c r="B111" s="156" t="str">
        <f>Capacidades!M404</f>
        <v xml:space="preserve">   </v>
      </c>
      <c r="C111" s="157"/>
      <c r="D111" s="13"/>
      <c r="E111" s="13"/>
      <c r="F111" s="14"/>
      <c r="G111" s="14"/>
      <c r="H111" s="14"/>
      <c r="I111" s="14"/>
      <c r="J111" s="14"/>
      <c r="K111" s="14"/>
      <c r="L111" s="446"/>
      <c r="M111" s="87" t="str">
        <f t="shared" si="1"/>
        <v xml:space="preserve">   </v>
      </c>
    </row>
    <row r="112" spans="1:13" ht="9" hidden="1" customHeight="1" x14ac:dyDescent="0.2">
      <c r="A112" s="426"/>
      <c r="B112" s="156" t="str">
        <f>Capacidades!M405</f>
        <v xml:space="preserve">   </v>
      </c>
      <c r="C112" s="157"/>
      <c r="D112" s="13"/>
      <c r="E112" s="13"/>
      <c r="F112" s="14"/>
      <c r="G112" s="14"/>
      <c r="H112" s="14"/>
      <c r="I112" s="14"/>
      <c r="J112" s="14"/>
      <c r="K112" s="14"/>
      <c r="L112" s="446"/>
      <c r="M112" s="87" t="str">
        <f t="shared" si="1"/>
        <v xml:space="preserve">   </v>
      </c>
    </row>
    <row r="113" spans="1:13" hidden="1" x14ac:dyDescent="0.2">
      <c r="A113" s="426"/>
      <c r="B113" s="156" t="str">
        <f>Capacidades!M406</f>
        <v xml:space="preserve">   </v>
      </c>
      <c r="C113" s="157"/>
      <c r="D113" s="13"/>
      <c r="E113" s="13"/>
      <c r="F113" s="14"/>
      <c r="G113" s="14"/>
      <c r="H113" s="14"/>
      <c r="I113" s="14"/>
      <c r="J113" s="14"/>
      <c r="K113" s="14"/>
      <c r="L113" s="446"/>
      <c r="M113" s="87" t="str">
        <f t="shared" si="1"/>
        <v xml:space="preserve">   </v>
      </c>
    </row>
    <row r="114" spans="1:13" hidden="1" x14ac:dyDescent="0.2">
      <c r="A114" s="426"/>
      <c r="B114" s="156" t="str">
        <f>Capacidades!M407</f>
        <v xml:space="preserve">   </v>
      </c>
      <c r="C114" s="157"/>
      <c r="D114" s="13"/>
      <c r="E114" s="13"/>
      <c r="F114" s="14"/>
      <c r="G114" s="14"/>
      <c r="H114" s="14"/>
      <c r="I114" s="14"/>
      <c r="J114" s="14"/>
      <c r="K114" s="14"/>
      <c r="L114" s="446"/>
      <c r="M114" s="87" t="str">
        <f t="shared" si="1"/>
        <v xml:space="preserve">   </v>
      </c>
    </row>
    <row r="115" spans="1:13" hidden="1" x14ac:dyDescent="0.2">
      <c r="A115" s="426"/>
      <c r="B115" s="156" t="str">
        <f>Capacidades!M408</f>
        <v xml:space="preserve">   </v>
      </c>
      <c r="C115" s="157"/>
      <c r="D115" s="13"/>
      <c r="E115" s="13"/>
      <c r="F115" s="14"/>
      <c r="G115" s="14"/>
      <c r="H115" s="14"/>
      <c r="I115" s="14"/>
      <c r="J115" s="14"/>
      <c r="K115" s="14"/>
      <c r="L115" s="446"/>
      <c r="M115" s="87" t="str">
        <f t="shared" si="1"/>
        <v xml:space="preserve">   </v>
      </c>
    </row>
    <row r="116" spans="1:13" hidden="1" x14ac:dyDescent="0.2">
      <c r="A116" s="426"/>
      <c r="B116" s="156" t="str">
        <f>Capacidades!M409</f>
        <v xml:space="preserve">   </v>
      </c>
      <c r="C116" s="157"/>
      <c r="D116" s="13"/>
      <c r="E116" s="13"/>
      <c r="F116" s="14"/>
      <c r="G116" s="14"/>
      <c r="H116" s="14"/>
      <c r="I116" s="14"/>
      <c r="J116" s="14"/>
      <c r="K116" s="14"/>
      <c r="L116" s="446"/>
      <c r="M116" s="87" t="str">
        <f t="shared" si="1"/>
        <v xml:space="preserve">   </v>
      </c>
    </row>
    <row r="117" spans="1:13" hidden="1" x14ac:dyDescent="0.2">
      <c r="A117" s="427"/>
      <c r="B117" s="156" t="str">
        <f>Capacidades!M410</f>
        <v xml:space="preserve">   </v>
      </c>
      <c r="C117" s="157"/>
      <c r="D117" s="15"/>
      <c r="E117" s="15"/>
      <c r="F117" s="16"/>
      <c r="G117" s="16"/>
      <c r="H117" s="16"/>
      <c r="I117" s="16"/>
      <c r="J117" s="16"/>
      <c r="K117" s="16"/>
      <c r="L117" s="447"/>
      <c r="M117" s="87" t="str">
        <f t="shared" si="1"/>
        <v xml:space="preserve">   </v>
      </c>
    </row>
    <row r="118" spans="1:13" hidden="1" x14ac:dyDescent="0.2">
      <c r="A118" s="425" t="str">
        <f>Capacidades!L411</f>
        <v xml:space="preserve">       </v>
      </c>
      <c r="B118" s="156" t="str">
        <f>Capacidades!M411</f>
        <v xml:space="preserve">   </v>
      </c>
      <c r="C118" s="157"/>
      <c r="D118" s="11">
        <f>Organización_Modular!F51</f>
        <v>0</v>
      </c>
      <c r="E118" s="11">
        <f>Organización_Modular!G51</f>
        <v>0</v>
      </c>
      <c r="F118" s="11">
        <f>Organización_Modular!H51</f>
        <v>0</v>
      </c>
      <c r="G118" s="11">
        <f>Organización_Modular!I51</f>
        <v>0</v>
      </c>
      <c r="H118" s="12">
        <f>SUM(F118:G118)</f>
        <v>0</v>
      </c>
      <c r="I118" s="12">
        <f>F118*16</f>
        <v>0</v>
      </c>
      <c r="J118" s="12">
        <f>G118*32</f>
        <v>0</v>
      </c>
      <c r="K118" s="12">
        <f>SUM(I118:J118)</f>
        <v>0</v>
      </c>
      <c r="L118" s="445"/>
      <c r="M118" s="87" t="str">
        <f t="shared" si="1"/>
        <v xml:space="preserve">   </v>
      </c>
    </row>
    <row r="119" spans="1:13" hidden="1" x14ac:dyDescent="0.2">
      <c r="A119" s="426"/>
      <c r="B119" s="156" t="str">
        <f>Capacidades!M412</f>
        <v xml:space="preserve">   </v>
      </c>
      <c r="C119" s="157"/>
      <c r="D119" s="13"/>
      <c r="E119" s="13"/>
      <c r="F119" s="14"/>
      <c r="G119" s="14"/>
      <c r="H119" s="14"/>
      <c r="I119" s="14"/>
      <c r="J119" s="14"/>
      <c r="K119" s="14"/>
      <c r="L119" s="446"/>
      <c r="M119" s="87" t="str">
        <f t="shared" si="1"/>
        <v xml:space="preserve">   </v>
      </c>
    </row>
    <row r="120" spans="1:13" hidden="1" x14ac:dyDescent="0.2">
      <c r="A120" s="426"/>
      <c r="B120" s="156" t="str">
        <f>Capacidades!M413</f>
        <v xml:space="preserve">   </v>
      </c>
      <c r="C120" s="157"/>
      <c r="D120" s="13"/>
      <c r="E120" s="13"/>
      <c r="F120" s="14"/>
      <c r="G120" s="14"/>
      <c r="H120" s="14"/>
      <c r="I120" s="14"/>
      <c r="J120" s="14"/>
      <c r="K120" s="14"/>
      <c r="L120" s="446"/>
      <c r="M120" s="87" t="str">
        <f t="shared" si="1"/>
        <v xml:space="preserve">   </v>
      </c>
    </row>
    <row r="121" spans="1:13" hidden="1" x14ac:dyDescent="0.2">
      <c r="A121" s="426"/>
      <c r="B121" s="156" t="str">
        <f>Capacidades!M414</f>
        <v xml:space="preserve">   </v>
      </c>
      <c r="C121" s="157"/>
      <c r="D121" s="13"/>
      <c r="E121" s="13"/>
      <c r="F121" s="14"/>
      <c r="G121" s="14"/>
      <c r="H121" s="14"/>
      <c r="I121" s="14"/>
      <c r="J121" s="14"/>
      <c r="K121" s="14"/>
      <c r="L121" s="446"/>
      <c r="M121" s="87" t="str">
        <f t="shared" si="1"/>
        <v xml:space="preserve">   </v>
      </c>
    </row>
    <row r="122" spans="1:13" hidden="1" x14ac:dyDescent="0.2">
      <c r="A122" s="426"/>
      <c r="B122" s="156" t="str">
        <f>Capacidades!M415</f>
        <v xml:space="preserve">   </v>
      </c>
      <c r="C122" s="157"/>
      <c r="D122" s="13"/>
      <c r="E122" s="13"/>
      <c r="F122" s="14"/>
      <c r="G122" s="14"/>
      <c r="H122" s="14"/>
      <c r="I122" s="14"/>
      <c r="J122" s="14"/>
      <c r="K122" s="14"/>
      <c r="L122" s="446"/>
      <c r="M122" s="87" t="str">
        <f t="shared" si="1"/>
        <v xml:space="preserve">   </v>
      </c>
    </row>
    <row r="123" spans="1:13" hidden="1" x14ac:dyDescent="0.2">
      <c r="A123" s="426"/>
      <c r="B123" s="156" t="str">
        <f>Capacidades!M416</f>
        <v xml:space="preserve">   </v>
      </c>
      <c r="C123" s="157"/>
      <c r="D123" s="13"/>
      <c r="E123" s="13"/>
      <c r="F123" s="14"/>
      <c r="G123" s="14"/>
      <c r="H123" s="14"/>
      <c r="I123" s="14"/>
      <c r="J123" s="14"/>
      <c r="K123" s="14"/>
      <c r="L123" s="446"/>
      <c r="M123" s="87" t="str">
        <f t="shared" si="1"/>
        <v xml:space="preserve">   </v>
      </c>
    </row>
    <row r="124" spans="1:13" hidden="1" x14ac:dyDescent="0.2">
      <c r="A124" s="426"/>
      <c r="B124" s="156" t="str">
        <f>Capacidades!M417</f>
        <v xml:space="preserve">   </v>
      </c>
      <c r="C124" s="157"/>
      <c r="D124" s="13"/>
      <c r="E124" s="13"/>
      <c r="F124" s="14"/>
      <c r="G124" s="14"/>
      <c r="H124" s="14"/>
      <c r="I124" s="14"/>
      <c r="J124" s="14"/>
      <c r="K124" s="14"/>
      <c r="L124" s="446"/>
      <c r="M124" s="87" t="str">
        <f t="shared" si="1"/>
        <v xml:space="preserve">   </v>
      </c>
    </row>
    <row r="125" spans="1:13" hidden="1" x14ac:dyDescent="0.2">
      <c r="A125" s="426"/>
      <c r="B125" s="156" t="str">
        <f>Capacidades!M418</f>
        <v xml:space="preserve">   </v>
      </c>
      <c r="C125" s="157"/>
      <c r="D125" s="13"/>
      <c r="E125" s="13"/>
      <c r="F125" s="14"/>
      <c r="G125" s="14"/>
      <c r="H125" s="14"/>
      <c r="I125" s="14"/>
      <c r="J125" s="14"/>
      <c r="K125" s="14"/>
      <c r="L125" s="446"/>
      <c r="M125" s="87" t="str">
        <f t="shared" si="1"/>
        <v xml:space="preserve">   </v>
      </c>
    </row>
    <row r="126" spans="1:13" hidden="1" x14ac:dyDescent="0.2">
      <c r="A126" s="426"/>
      <c r="B126" s="156" t="str">
        <f>Capacidades!M419</f>
        <v xml:space="preserve">   </v>
      </c>
      <c r="C126" s="157"/>
      <c r="D126" s="13"/>
      <c r="E126" s="13"/>
      <c r="F126" s="14"/>
      <c r="G126" s="14"/>
      <c r="H126" s="14"/>
      <c r="I126" s="14"/>
      <c r="J126" s="14"/>
      <c r="K126" s="14"/>
      <c r="L126" s="446"/>
      <c r="M126" s="87" t="str">
        <f t="shared" si="1"/>
        <v xml:space="preserve">   </v>
      </c>
    </row>
    <row r="127" spans="1:13" hidden="1" x14ac:dyDescent="0.2">
      <c r="A127" s="427"/>
      <c r="B127" s="156" t="str">
        <f>Capacidades!M420</f>
        <v xml:space="preserve">   </v>
      </c>
      <c r="C127" s="157"/>
      <c r="D127" s="15"/>
      <c r="E127" s="15"/>
      <c r="F127" s="16"/>
      <c r="G127" s="16"/>
      <c r="H127" s="16"/>
      <c r="I127" s="16"/>
      <c r="J127" s="16"/>
      <c r="K127" s="16"/>
      <c r="L127" s="447"/>
      <c r="M127" s="87" t="str">
        <f t="shared" si="1"/>
        <v xml:space="preserve">   </v>
      </c>
    </row>
    <row r="128" spans="1:13" hidden="1" x14ac:dyDescent="0.2">
      <c r="A128" s="425" t="str">
        <f>Capacidades!L421</f>
        <v xml:space="preserve">       </v>
      </c>
      <c r="B128" s="156" t="str">
        <f>Capacidades!M421</f>
        <v xml:space="preserve">   </v>
      </c>
      <c r="C128" s="157"/>
      <c r="D128" s="11">
        <f>Organización_Modular!F52</f>
        <v>0</v>
      </c>
      <c r="E128" s="11">
        <f>Organización_Modular!G52</f>
        <v>0</v>
      </c>
      <c r="F128" s="11">
        <f>Organización_Modular!H52</f>
        <v>0</v>
      </c>
      <c r="G128" s="11">
        <f>Organización_Modular!I52</f>
        <v>0</v>
      </c>
      <c r="H128" s="12">
        <f>SUM(F128:G128)</f>
        <v>0</v>
      </c>
      <c r="I128" s="12">
        <f>F128*16</f>
        <v>0</v>
      </c>
      <c r="J128" s="12">
        <f>G128*32</f>
        <v>0</v>
      </c>
      <c r="K128" s="12">
        <f>SUM(I128:J128)</f>
        <v>0</v>
      </c>
      <c r="L128" s="445"/>
      <c r="M128" s="87" t="str">
        <f t="shared" si="1"/>
        <v xml:space="preserve">   </v>
      </c>
    </row>
    <row r="129" spans="1:13" hidden="1" x14ac:dyDescent="0.2">
      <c r="A129" s="426"/>
      <c r="B129" s="156" t="str">
        <f>Capacidades!M422</f>
        <v xml:space="preserve">   </v>
      </c>
      <c r="C129" s="157"/>
      <c r="D129" s="13"/>
      <c r="E129" s="13"/>
      <c r="F129" s="14"/>
      <c r="G129" s="14"/>
      <c r="H129" s="14"/>
      <c r="I129" s="14"/>
      <c r="J129" s="14"/>
      <c r="K129" s="14"/>
      <c r="L129" s="446"/>
      <c r="M129" s="87" t="str">
        <f t="shared" si="1"/>
        <v xml:space="preserve">   </v>
      </c>
    </row>
    <row r="130" spans="1:13" hidden="1" x14ac:dyDescent="0.2">
      <c r="A130" s="426"/>
      <c r="B130" s="156" t="str">
        <f>Capacidades!M423</f>
        <v xml:space="preserve">   </v>
      </c>
      <c r="C130" s="157"/>
      <c r="D130" s="13"/>
      <c r="E130" s="13"/>
      <c r="F130" s="14"/>
      <c r="G130" s="14"/>
      <c r="H130" s="14"/>
      <c r="I130" s="14"/>
      <c r="J130" s="14"/>
      <c r="K130" s="14"/>
      <c r="L130" s="446"/>
      <c r="M130" s="87" t="str">
        <f t="shared" si="1"/>
        <v xml:space="preserve">   </v>
      </c>
    </row>
    <row r="131" spans="1:13" hidden="1" x14ac:dyDescent="0.2">
      <c r="A131" s="426"/>
      <c r="B131" s="156" t="str">
        <f>Capacidades!M424</f>
        <v xml:space="preserve">   </v>
      </c>
      <c r="C131" s="157"/>
      <c r="D131" s="13"/>
      <c r="E131" s="13"/>
      <c r="F131" s="14"/>
      <c r="G131" s="14"/>
      <c r="H131" s="14"/>
      <c r="I131" s="14"/>
      <c r="J131" s="14"/>
      <c r="K131" s="14"/>
      <c r="L131" s="446"/>
      <c r="M131" s="87" t="str">
        <f t="shared" si="1"/>
        <v xml:space="preserve">   </v>
      </c>
    </row>
    <row r="132" spans="1:13" hidden="1" x14ac:dyDescent="0.2">
      <c r="A132" s="426"/>
      <c r="B132" s="156" t="str">
        <f>Capacidades!M425</f>
        <v xml:space="preserve">   </v>
      </c>
      <c r="C132" s="157"/>
      <c r="D132" s="13"/>
      <c r="E132" s="13"/>
      <c r="F132" s="14"/>
      <c r="G132" s="14"/>
      <c r="H132" s="14"/>
      <c r="I132" s="14"/>
      <c r="J132" s="14"/>
      <c r="K132" s="14"/>
      <c r="L132" s="446"/>
      <c r="M132" s="87" t="str">
        <f t="shared" si="1"/>
        <v xml:space="preserve">   </v>
      </c>
    </row>
    <row r="133" spans="1:13" hidden="1" x14ac:dyDescent="0.2">
      <c r="A133" s="426"/>
      <c r="B133" s="156" t="str">
        <f>Capacidades!M426</f>
        <v xml:space="preserve">   </v>
      </c>
      <c r="C133" s="157"/>
      <c r="D133" s="13"/>
      <c r="E133" s="13"/>
      <c r="F133" s="14"/>
      <c r="G133" s="14"/>
      <c r="H133" s="14"/>
      <c r="I133" s="14"/>
      <c r="J133" s="14"/>
      <c r="K133" s="14"/>
      <c r="L133" s="446"/>
      <c r="M133" s="87" t="str">
        <f t="shared" si="1"/>
        <v xml:space="preserve">   </v>
      </c>
    </row>
    <row r="134" spans="1:13" hidden="1" x14ac:dyDescent="0.2">
      <c r="A134" s="426"/>
      <c r="B134" s="156" t="str">
        <f>Capacidades!M427</f>
        <v xml:space="preserve">   </v>
      </c>
      <c r="C134" s="157"/>
      <c r="D134" s="13"/>
      <c r="E134" s="13"/>
      <c r="F134" s="14"/>
      <c r="G134" s="14"/>
      <c r="H134" s="14"/>
      <c r="I134" s="14"/>
      <c r="J134" s="14"/>
      <c r="K134" s="14"/>
      <c r="L134" s="446"/>
      <c r="M134" s="87" t="str">
        <f t="shared" si="1"/>
        <v xml:space="preserve">   </v>
      </c>
    </row>
    <row r="135" spans="1:13" hidden="1" x14ac:dyDescent="0.2">
      <c r="A135" s="426"/>
      <c r="B135" s="156" t="str">
        <f>Capacidades!M428</f>
        <v xml:space="preserve">   </v>
      </c>
      <c r="C135" s="157"/>
      <c r="D135" s="13"/>
      <c r="E135" s="13"/>
      <c r="F135" s="14"/>
      <c r="G135" s="14"/>
      <c r="H135" s="14"/>
      <c r="I135" s="14"/>
      <c r="J135" s="14"/>
      <c r="K135" s="14"/>
      <c r="L135" s="446"/>
      <c r="M135" s="87" t="str">
        <f t="shared" si="1"/>
        <v xml:space="preserve">   </v>
      </c>
    </row>
    <row r="136" spans="1:13" hidden="1" x14ac:dyDescent="0.2">
      <c r="A136" s="426"/>
      <c r="B136" s="156" t="str">
        <f>Capacidades!M429</f>
        <v xml:space="preserve">   </v>
      </c>
      <c r="C136" s="157"/>
      <c r="D136" s="13"/>
      <c r="E136" s="13"/>
      <c r="F136" s="14"/>
      <c r="G136" s="14"/>
      <c r="H136" s="14"/>
      <c r="I136" s="14"/>
      <c r="J136" s="14"/>
      <c r="K136" s="14"/>
      <c r="L136" s="446"/>
      <c r="M136" s="87" t="str">
        <f t="shared" si="1"/>
        <v xml:space="preserve">   </v>
      </c>
    </row>
    <row r="137" spans="1:13" hidden="1" x14ac:dyDescent="0.2">
      <c r="A137" s="427"/>
      <c r="B137" s="156" t="str">
        <f>Capacidades!M430</f>
        <v xml:space="preserve">   </v>
      </c>
      <c r="C137" s="157"/>
      <c r="D137" s="15"/>
      <c r="E137" s="15"/>
      <c r="F137" s="16"/>
      <c r="G137" s="16"/>
      <c r="H137" s="16"/>
      <c r="I137" s="16"/>
      <c r="J137" s="16"/>
      <c r="K137" s="16"/>
      <c r="L137" s="447"/>
      <c r="M137" s="87" t="str">
        <f t="shared" si="1"/>
        <v xml:space="preserve">   </v>
      </c>
    </row>
    <row r="138" spans="1:13" hidden="1" x14ac:dyDescent="0.2">
      <c r="A138" s="425" t="str">
        <f>Capacidades!L431</f>
        <v xml:space="preserve">       </v>
      </c>
      <c r="B138" s="156" t="str">
        <f>Capacidades!M431</f>
        <v xml:space="preserve">   </v>
      </c>
      <c r="C138" s="157"/>
      <c r="D138" s="11">
        <f>Organización_Modular!F53</f>
        <v>0</v>
      </c>
      <c r="E138" s="11">
        <f>Organización_Modular!G53</f>
        <v>0</v>
      </c>
      <c r="F138" s="11">
        <f>Organización_Modular!H53</f>
        <v>0</v>
      </c>
      <c r="G138" s="11">
        <f>Organización_Modular!I53</f>
        <v>0</v>
      </c>
      <c r="H138" s="12">
        <f>SUM(F138:G138)</f>
        <v>0</v>
      </c>
      <c r="I138" s="12">
        <f>F138*16</f>
        <v>0</v>
      </c>
      <c r="J138" s="12">
        <f>G138*32</f>
        <v>0</v>
      </c>
      <c r="K138" s="12">
        <f>SUM(I138:J138)</f>
        <v>0</v>
      </c>
      <c r="L138" s="445"/>
      <c r="M138" s="87" t="str">
        <f t="shared" si="1"/>
        <v xml:space="preserve">   </v>
      </c>
    </row>
    <row r="139" spans="1:13" hidden="1" x14ac:dyDescent="0.2">
      <c r="A139" s="426"/>
      <c r="B139" s="156" t="str">
        <f>Capacidades!M432</f>
        <v xml:space="preserve">   </v>
      </c>
      <c r="C139" s="157"/>
      <c r="D139" s="13"/>
      <c r="E139" s="13"/>
      <c r="F139" s="14"/>
      <c r="G139" s="14"/>
      <c r="H139" s="14"/>
      <c r="I139" s="14"/>
      <c r="J139" s="14"/>
      <c r="K139" s="14"/>
      <c r="L139" s="446"/>
      <c r="M139" s="87" t="str">
        <f t="shared" si="1"/>
        <v xml:space="preserve">   </v>
      </c>
    </row>
    <row r="140" spans="1:13" hidden="1" x14ac:dyDescent="0.2">
      <c r="A140" s="426"/>
      <c r="B140" s="156" t="str">
        <f>Capacidades!M433</f>
        <v xml:space="preserve">   </v>
      </c>
      <c r="C140" s="157"/>
      <c r="D140" s="13"/>
      <c r="E140" s="13"/>
      <c r="F140" s="14"/>
      <c r="G140" s="14"/>
      <c r="H140" s="14"/>
      <c r="I140" s="14"/>
      <c r="J140" s="14"/>
      <c r="K140" s="14"/>
      <c r="L140" s="446"/>
      <c r="M140" s="87" t="str">
        <f t="shared" si="1"/>
        <v xml:space="preserve">   </v>
      </c>
    </row>
    <row r="141" spans="1:13" hidden="1" x14ac:dyDescent="0.2">
      <c r="A141" s="426"/>
      <c r="B141" s="156" t="str">
        <f>Capacidades!M434</f>
        <v xml:space="preserve">   </v>
      </c>
      <c r="C141" s="157"/>
      <c r="D141" s="13"/>
      <c r="E141" s="13"/>
      <c r="F141" s="14"/>
      <c r="G141" s="14"/>
      <c r="H141" s="14"/>
      <c r="I141" s="14"/>
      <c r="J141" s="14"/>
      <c r="K141" s="14"/>
      <c r="L141" s="446"/>
      <c r="M141" s="87" t="str">
        <f t="shared" si="1"/>
        <v xml:space="preserve">   </v>
      </c>
    </row>
    <row r="142" spans="1:13" hidden="1" x14ac:dyDescent="0.2">
      <c r="A142" s="426"/>
      <c r="B142" s="156" t="str">
        <f>Capacidades!M435</f>
        <v xml:space="preserve">   </v>
      </c>
      <c r="C142" s="157"/>
      <c r="D142" s="13"/>
      <c r="E142" s="13"/>
      <c r="F142" s="14"/>
      <c r="G142" s="14"/>
      <c r="H142" s="14"/>
      <c r="I142" s="14"/>
      <c r="J142" s="14"/>
      <c r="K142" s="14"/>
      <c r="L142" s="446"/>
      <c r="M142" s="87" t="str">
        <f t="shared" si="1"/>
        <v xml:space="preserve">   </v>
      </c>
    </row>
    <row r="143" spans="1:13" hidden="1" x14ac:dyDescent="0.2">
      <c r="A143" s="426"/>
      <c r="B143" s="156" t="str">
        <f>Capacidades!M436</f>
        <v xml:space="preserve">   </v>
      </c>
      <c r="C143" s="157"/>
      <c r="D143" s="13"/>
      <c r="E143" s="13"/>
      <c r="F143" s="14"/>
      <c r="G143" s="14"/>
      <c r="H143" s="14"/>
      <c r="I143" s="14"/>
      <c r="J143" s="14"/>
      <c r="K143" s="14"/>
      <c r="L143" s="446"/>
      <c r="M143" s="87" t="str">
        <f t="shared" si="1"/>
        <v xml:space="preserve">   </v>
      </c>
    </row>
    <row r="144" spans="1:13" hidden="1" x14ac:dyDescent="0.2">
      <c r="A144" s="426"/>
      <c r="B144" s="156" t="str">
        <f>Capacidades!M437</f>
        <v xml:space="preserve">   </v>
      </c>
      <c r="C144" s="157"/>
      <c r="D144" s="13"/>
      <c r="E144" s="13"/>
      <c r="F144" s="14"/>
      <c r="G144" s="14"/>
      <c r="H144" s="14"/>
      <c r="I144" s="14"/>
      <c r="J144" s="14"/>
      <c r="K144" s="14"/>
      <c r="L144" s="446"/>
      <c r="M144" s="87" t="str">
        <f t="shared" si="1"/>
        <v xml:space="preserve">   </v>
      </c>
    </row>
    <row r="145" spans="1:13" ht="5.25" hidden="1" customHeight="1" x14ac:dyDescent="0.2">
      <c r="A145" s="426"/>
      <c r="B145" s="156" t="str">
        <f>Capacidades!M438</f>
        <v xml:space="preserve">   </v>
      </c>
      <c r="C145" s="157"/>
      <c r="D145" s="13"/>
      <c r="E145" s="13"/>
      <c r="F145" s="14"/>
      <c r="G145" s="14"/>
      <c r="H145" s="14"/>
      <c r="I145" s="14"/>
      <c r="J145" s="14"/>
      <c r="K145" s="14"/>
      <c r="L145" s="446"/>
      <c r="M145" s="87" t="str">
        <f t="shared" si="1"/>
        <v xml:space="preserve">   </v>
      </c>
    </row>
    <row r="146" spans="1:13" hidden="1" x14ac:dyDescent="0.2">
      <c r="A146" s="426"/>
      <c r="B146" s="156" t="str">
        <f>Capacidades!M439</f>
        <v xml:space="preserve">   </v>
      </c>
      <c r="C146" s="157"/>
      <c r="D146" s="13"/>
      <c r="E146" s="13"/>
      <c r="F146" s="14"/>
      <c r="G146" s="14"/>
      <c r="H146" s="14"/>
      <c r="I146" s="14"/>
      <c r="J146" s="14"/>
      <c r="K146" s="14"/>
      <c r="L146" s="446"/>
      <c r="M146" s="87" t="str">
        <f t="shared" si="1"/>
        <v xml:space="preserve">   </v>
      </c>
    </row>
    <row r="147" spans="1:13" hidden="1" x14ac:dyDescent="0.2">
      <c r="A147" s="427"/>
      <c r="B147" s="156" t="str">
        <f>Capacidades!M440</f>
        <v xml:space="preserve">   </v>
      </c>
      <c r="C147" s="157"/>
      <c r="D147" s="15"/>
      <c r="E147" s="15"/>
      <c r="F147" s="16"/>
      <c r="G147" s="16"/>
      <c r="H147" s="16"/>
      <c r="I147" s="16"/>
      <c r="J147" s="16"/>
      <c r="K147" s="16"/>
      <c r="L147" s="447"/>
      <c r="M147" s="87" t="str">
        <f t="shared" ref="M147:M210" si="2">B147</f>
        <v xml:space="preserve">   </v>
      </c>
    </row>
    <row r="148" spans="1:13" hidden="1" x14ac:dyDescent="0.2">
      <c r="A148" s="425" t="str">
        <f>Capacidades!L441</f>
        <v xml:space="preserve">       </v>
      </c>
      <c r="B148" s="156" t="str">
        <f>Capacidades!M441</f>
        <v xml:space="preserve">   </v>
      </c>
      <c r="C148" s="157"/>
      <c r="D148" s="11">
        <f>Organización_Modular!F54</f>
        <v>0</v>
      </c>
      <c r="E148" s="11">
        <f>Organización_Modular!G54</f>
        <v>0</v>
      </c>
      <c r="F148" s="11">
        <f>Organización_Modular!H54</f>
        <v>0</v>
      </c>
      <c r="G148" s="11">
        <f>Organización_Modular!I54</f>
        <v>0</v>
      </c>
      <c r="H148" s="12">
        <f>SUM(F148:G148)</f>
        <v>0</v>
      </c>
      <c r="I148" s="12">
        <f>F148*16</f>
        <v>0</v>
      </c>
      <c r="J148" s="12">
        <f>G148*32</f>
        <v>0</v>
      </c>
      <c r="K148" s="12">
        <f>SUM(I148:J148)</f>
        <v>0</v>
      </c>
      <c r="L148" s="445"/>
      <c r="M148" s="87" t="str">
        <f t="shared" si="2"/>
        <v xml:space="preserve">   </v>
      </c>
    </row>
    <row r="149" spans="1:13" hidden="1" x14ac:dyDescent="0.2">
      <c r="A149" s="426"/>
      <c r="B149" s="156" t="str">
        <f>Capacidades!M442</f>
        <v xml:space="preserve">   </v>
      </c>
      <c r="C149" s="157"/>
      <c r="D149" s="13"/>
      <c r="E149" s="13"/>
      <c r="F149" s="14"/>
      <c r="G149" s="14"/>
      <c r="H149" s="14"/>
      <c r="I149" s="14"/>
      <c r="J149" s="14"/>
      <c r="K149" s="14"/>
      <c r="L149" s="446"/>
      <c r="M149" s="87" t="str">
        <f t="shared" si="2"/>
        <v xml:space="preserve">   </v>
      </c>
    </row>
    <row r="150" spans="1:13" hidden="1" x14ac:dyDescent="0.2">
      <c r="A150" s="426"/>
      <c r="B150" s="156" t="str">
        <f>Capacidades!M443</f>
        <v xml:space="preserve">   </v>
      </c>
      <c r="C150" s="157"/>
      <c r="D150" s="13"/>
      <c r="E150" s="13"/>
      <c r="F150" s="14"/>
      <c r="G150" s="14"/>
      <c r="H150" s="14"/>
      <c r="I150" s="14"/>
      <c r="J150" s="14"/>
      <c r="K150" s="14"/>
      <c r="L150" s="446"/>
      <c r="M150" s="87" t="str">
        <f t="shared" si="2"/>
        <v xml:space="preserve">   </v>
      </c>
    </row>
    <row r="151" spans="1:13" hidden="1" x14ac:dyDescent="0.2">
      <c r="A151" s="426"/>
      <c r="B151" s="156" t="str">
        <f>Capacidades!M444</f>
        <v xml:space="preserve">   </v>
      </c>
      <c r="C151" s="157"/>
      <c r="D151" s="13"/>
      <c r="E151" s="13"/>
      <c r="F151" s="14"/>
      <c r="G151" s="14"/>
      <c r="H151" s="14"/>
      <c r="I151" s="14"/>
      <c r="J151" s="14"/>
      <c r="K151" s="14"/>
      <c r="L151" s="446"/>
      <c r="M151" s="87" t="str">
        <f t="shared" si="2"/>
        <v xml:space="preserve">   </v>
      </c>
    </row>
    <row r="152" spans="1:13" hidden="1" x14ac:dyDescent="0.2">
      <c r="A152" s="426"/>
      <c r="B152" s="156" t="str">
        <f>Capacidades!M445</f>
        <v xml:space="preserve">   </v>
      </c>
      <c r="C152" s="157"/>
      <c r="D152" s="13"/>
      <c r="E152" s="13"/>
      <c r="F152" s="14"/>
      <c r="G152" s="14"/>
      <c r="H152" s="14"/>
      <c r="I152" s="14"/>
      <c r="J152" s="14"/>
      <c r="K152" s="14"/>
      <c r="L152" s="446"/>
      <c r="M152" s="87" t="str">
        <f t="shared" si="2"/>
        <v xml:space="preserve">   </v>
      </c>
    </row>
    <row r="153" spans="1:13" hidden="1" x14ac:dyDescent="0.2">
      <c r="A153" s="426"/>
      <c r="B153" s="156" t="str">
        <f>Capacidades!M446</f>
        <v xml:space="preserve">   </v>
      </c>
      <c r="C153" s="157"/>
      <c r="D153" s="13"/>
      <c r="E153" s="13"/>
      <c r="F153" s="14"/>
      <c r="G153" s="14"/>
      <c r="H153" s="14"/>
      <c r="I153" s="14"/>
      <c r="J153" s="14"/>
      <c r="K153" s="14"/>
      <c r="L153" s="446"/>
      <c r="M153" s="87" t="str">
        <f t="shared" si="2"/>
        <v xml:space="preserve">   </v>
      </c>
    </row>
    <row r="154" spans="1:13" hidden="1" x14ac:dyDescent="0.2">
      <c r="A154" s="426"/>
      <c r="B154" s="156" t="str">
        <f>Capacidades!M447</f>
        <v xml:space="preserve">   </v>
      </c>
      <c r="C154" s="157"/>
      <c r="D154" s="13"/>
      <c r="E154" s="13"/>
      <c r="F154" s="14"/>
      <c r="G154" s="14"/>
      <c r="H154" s="14"/>
      <c r="I154" s="14"/>
      <c r="J154" s="14"/>
      <c r="K154" s="14"/>
      <c r="L154" s="446"/>
      <c r="M154" s="87" t="str">
        <f t="shared" si="2"/>
        <v xml:space="preserve">   </v>
      </c>
    </row>
    <row r="155" spans="1:13" hidden="1" x14ac:dyDescent="0.2">
      <c r="A155" s="426"/>
      <c r="B155" s="156" t="str">
        <f>Capacidades!M448</f>
        <v xml:space="preserve">   </v>
      </c>
      <c r="C155" s="157"/>
      <c r="D155" s="13"/>
      <c r="E155" s="13"/>
      <c r="F155" s="14"/>
      <c r="G155" s="14"/>
      <c r="H155" s="14"/>
      <c r="I155" s="14"/>
      <c r="J155" s="14"/>
      <c r="K155" s="14"/>
      <c r="L155" s="446"/>
      <c r="M155" s="87" t="str">
        <f t="shared" si="2"/>
        <v xml:space="preserve">   </v>
      </c>
    </row>
    <row r="156" spans="1:13" hidden="1" x14ac:dyDescent="0.2">
      <c r="A156" s="426"/>
      <c r="B156" s="156" t="str">
        <f>Capacidades!M449</f>
        <v xml:space="preserve">   </v>
      </c>
      <c r="C156" s="157"/>
      <c r="D156" s="13"/>
      <c r="E156" s="13"/>
      <c r="F156" s="14"/>
      <c r="G156" s="14"/>
      <c r="H156" s="14"/>
      <c r="I156" s="14"/>
      <c r="J156" s="14"/>
      <c r="K156" s="14"/>
      <c r="L156" s="446"/>
      <c r="M156" s="87" t="str">
        <f t="shared" si="2"/>
        <v xml:space="preserve">   </v>
      </c>
    </row>
    <row r="157" spans="1:13" hidden="1" x14ac:dyDescent="0.2">
      <c r="A157" s="427"/>
      <c r="B157" s="156" t="str">
        <f>Capacidades!M450</f>
        <v xml:space="preserve">   </v>
      </c>
      <c r="C157" s="157"/>
      <c r="D157" s="15"/>
      <c r="E157" s="15"/>
      <c r="F157" s="16"/>
      <c r="G157" s="16"/>
      <c r="H157" s="16"/>
      <c r="I157" s="16"/>
      <c r="J157" s="16"/>
      <c r="K157" s="16"/>
      <c r="L157" s="447"/>
      <c r="M157" s="87" t="str">
        <f t="shared" si="2"/>
        <v xml:space="preserve">   </v>
      </c>
    </row>
    <row r="158" spans="1:13" hidden="1" x14ac:dyDescent="0.2">
      <c r="A158" s="425" t="str">
        <f>Capacidades!L451</f>
        <v xml:space="preserve">       </v>
      </c>
      <c r="B158" s="156" t="str">
        <f>Capacidades!M451</f>
        <v xml:space="preserve">   </v>
      </c>
      <c r="C158" s="157"/>
      <c r="D158" s="11">
        <f>Organización_Modular!F55</f>
        <v>0</v>
      </c>
      <c r="E158" s="11">
        <f>Organización_Modular!G55</f>
        <v>0</v>
      </c>
      <c r="F158" s="11">
        <f>Organización_Modular!H55</f>
        <v>0</v>
      </c>
      <c r="G158" s="11">
        <f>Organización_Modular!I55</f>
        <v>0</v>
      </c>
      <c r="H158" s="12">
        <f>SUM(F158:G158)</f>
        <v>0</v>
      </c>
      <c r="I158" s="12">
        <f>F158*16</f>
        <v>0</v>
      </c>
      <c r="J158" s="12">
        <f>G158*32</f>
        <v>0</v>
      </c>
      <c r="K158" s="12">
        <f>SUM(I158:J158)</f>
        <v>0</v>
      </c>
      <c r="L158" s="445"/>
      <c r="M158" s="87" t="str">
        <f t="shared" si="2"/>
        <v xml:space="preserve">   </v>
      </c>
    </row>
    <row r="159" spans="1:13" hidden="1" x14ac:dyDescent="0.2">
      <c r="A159" s="426"/>
      <c r="B159" s="156" t="str">
        <f>Capacidades!M452</f>
        <v xml:space="preserve">   </v>
      </c>
      <c r="C159" s="157"/>
      <c r="D159" s="13"/>
      <c r="E159" s="13"/>
      <c r="F159" s="14"/>
      <c r="G159" s="14"/>
      <c r="H159" s="14"/>
      <c r="I159" s="14"/>
      <c r="J159" s="14"/>
      <c r="K159" s="14"/>
      <c r="L159" s="446"/>
      <c r="M159" s="87" t="str">
        <f t="shared" si="2"/>
        <v xml:space="preserve">   </v>
      </c>
    </row>
    <row r="160" spans="1:13" hidden="1" x14ac:dyDescent="0.2">
      <c r="A160" s="426"/>
      <c r="B160" s="156" t="str">
        <f>Capacidades!M453</f>
        <v xml:space="preserve">   </v>
      </c>
      <c r="C160" s="157"/>
      <c r="D160" s="13"/>
      <c r="E160" s="13"/>
      <c r="F160" s="14"/>
      <c r="G160" s="14"/>
      <c r="H160" s="14"/>
      <c r="I160" s="14"/>
      <c r="J160" s="14"/>
      <c r="K160" s="14"/>
      <c r="L160" s="446"/>
      <c r="M160" s="87" t="str">
        <f t="shared" si="2"/>
        <v xml:space="preserve">   </v>
      </c>
    </row>
    <row r="161" spans="1:13" hidden="1" x14ac:dyDescent="0.2">
      <c r="A161" s="426"/>
      <c r="B161" s="156" t="str">
        <f>Capacidades!M454</f>
        <v xml:space="preserve">   </v>
      </c>
      <c r="C161" s="157"/>
      <c r="D161" s="13"/>
      <c r="E161" s="13"/>
      <c r="F161" s="14"/>
      <c r="G161" s="14"/>
      <c r="H161" s="14"/>
      <c r="I161" s="14"/>
      <c r="J161" s="14"/>
      <c r="K161" s="14"/>
      <c r="L161" s="446"/>
      <c r="M161" s="87" t="str">
        <f t="shared" si="2"/>
        <v xml:space="preserve">   </v>
      </c>
    </row>
    <row r="162" spans="1:13" hidden="1" x14ac:dyDescent="0.2">
      <c r="A162" s="426"/>
      <c r="B162" s="156" t="str">
        <f>Capacidades!M455</f>
        <v xml:space="preserve">   </v>
      </c>
      <c r="C162" s="157"/>
      <c r="D162" s="13"/>
      <c r="E162" s="13"/>
      <c r="F162" s="14"/>
      <c r="G162" s="14"/>
      <c r="H162" s="14"/>
      <c r="I162" s="14"/>
      <c r="J162" s="14"/>
      <c r="K162" s="14"/>
      <c r="L162" s="446"/>
      <c r="M162" s="87" t="str">
        <f t="shared" si="2"/>
        <v xml:space="preserve">   </v>
      </c>
    </row>
    <row r="163" spans="1:13" hidden="1" x14ac:dyDescent="0.2">
      <c r="A163" s="426"/>
      <c r="B163" s="156" t="str">
        <f>Capacidades!M456</f>
        <v xml:space="preserve">   </v>
      </c>
      <c r="C163" s="157"/>
      <c r="D163" s="13"/>
      <c r="E163" s="13"/>
      <c r="F163" s="14"/>
      <c r="G163" s="14"/>
      <c r="H163" s="14"/>
      <c r="I163" s="14"/>
      <c r="J163" s="14"/>
      <c r="K163" s="14"/>
      <c r="L163" s="446"/>
      <c r="M163" s="87" t="str">
        <f t="shared" si="2"/>
        <v xml:space="preserve">   </v>
      </c>
    </row>
    <row r="164" spans="1:13" hidden="1" x14ac:dyDescent="0.2">
      <c r="A164" s="426"/>
      <c r="B164" s="156" t="str">
        <f>Capacidades!M457</f>
        <v xml:space="preserve">   </v>
      </c>
      <c r="C164" s="157"/>
      <c r="D164" s="13"/>
      <c r="E164" s="13"/>
      <c r="F164" s="14"/>
      <c r="G164" s="14"/>
      <c r="H164" s="14"/>
      <c r="I164" s="14"/>
      <c r="J164" s="14"/>
      <c r="K164" s="14"/>
      <c r="L164" s="446"/>
      <c r="M164" s="87" t="str">
        <f t="shared" si="2"/>
        <v xml:space="preserve">   </v>
      </c>
    </row>
    <row r="165" spans="1:13" ht="105" hidden="1" customHeight="1" x14ac:dyDescent="0.2">
      <c r="A165" s="426"/>
      <c r="B165" s="156" t="str">
        <f>Capacidades!M458</f>
        <v xml:space="preserve">   </v>
      </c>
      <c r="C165" s="157"/>
      <c r="D165" s="13"/>
      <c r="E165" s="13"/>
      <c r="F165" s="14"/>
      <c r="G165" s="14"/>
      <c r="H165" s="14"/>
      <c r="I165" s="14"/>
      <c r="J165" s="14"/>
      <c r="K165" s="14"/>
      <c r="L165" s="446"/>
      <c r="M165" s="87" t="str">
        <f t="shared" si="2"/>
        <v xml:space="preserve">   </v>
      </c>
    </row>
    <row r="166" spans="1:13" hidden="1" x14ac:dyDescent="0.2">
      <c r="A166" s="426"/>
      <c r="B166" s="156" t="str">
        <f>Capacidades!M459</f>
        <v xml:space="preserve">   </v>
      </c>
      <c r="C166" s="157"/>
      <c r="D166" s="13"/>
      <c r="E166" s="13"/>
      <c r="F166" s="14"/>
      <c r="G166" s="14"/>
      <c r="H166" s="14"/>
      <c r="I166" s="14"/>
      <c r="J166" s="14"/>
      <c r="K166" s="14"/>
      <c r="L166" s="446"/>
      <c r="M166" s="87" t="str">
        <f t="shared" si="2"/>
        <v xml:space="preserve">   </v>
      </c>
    </row>
    <row r="167" spans="1:13" hidden="1" x14ac:dyDescent="0.2">
      <c r="A167" s="427"/>
      <c r="B167" s="156" t="str">
        <f>Capacidades!M460</f>
        <v xml:space="preserve">   </v>
      </c>
      <c r="C167" s="157"/>
      <c r="D167" s="15"/>
      <c r="E167" s="15"/>
      <c r="F167" s="16"/>
      <c r="G167" s="16"/>
      <c r="H167" s="16"/>
      <c r="I167" s="16"/>
      <c r="J167" s="16"/>
      <c r="K167" s="16"/>
      <c r="L167" s="447"/>
      <c r="M167" s="87" t="str">
        <f t="shared" si="2"/>
        <v xml:space="preserve">   </v>
      </c>
    </row>
    <row r="168" spans="1:13" hidden="1" x14ac:dyDescent="0.2">
      <c r="A168" s="425" t="str">
        <f>Capacidades!L461</f>
        <v xml:space="preserve">       </v>
      </c>
      <c r="B168" s="156" t="str">
        <f>Capacidades!M461</f>
        <v xml:space="preserve">   </v>
      </c>
      <c r="C168" s="157"/>
      <c r="D168" s="11">
        <f>Organización_Modular!F56</f>
        <v>0</v>
      </c>
      <c r="E168" s="11">
        <f>Organización_Modular!G56</f>
        <v>0</v>
      </c>
      <c r="F168" s="11">
        <f>Organización_Modular!H56</f>
        <v>0</v>
      </c>
      <c r="G168" s="11">
        <f>Organización_Modular!I56</f>
        <v>0</v>
      </c>
      <c r="H168" s="12">
        <f>SUM(F168:G168)</f>
        <v>0</v>
      </c>
      <c r="I168" s="12">
        <f>F168*16</f>
        <v>0</v>
      </c>
      <c r="J168" s="12">
        <f>G168*32</f>
        <v>0</v>
      </c>
      <c r="K168" s="12">
        <f>SUM(I168:J168)</f>
        <v>0</v>
      </c>
      <c r="L168" s="445"/>
      <c r="M168" s="87" t="str">
        <f t="shared" si="2"/>
        <v xml:space="preserve">   </v>
      </c>
    </row>
    <row r="169" spans="1:13" hidden="1" x14ac:dyDescent="0.2">
      <c r="A169" s="426"/>
      <c r="B169" s="156" t="str">
        <f>Capacidades!M462</f>
        <v xml:space="preserve">   </v>
      </c>
      <c r="C169" s="157"/>
      <c r="D169" s="13"/>
      <c r="E169" s="13"/>
      <c r="F169" s="14"/>
      <c r="G169" s="14"/>
      <c r="H169" s="14"/>
      <c r="I169" s="14"/>
      <c r="J169" s="14"/>
      <c r="K169" s="14"/>
      <c r="L169" s="446"/>
      <c r="M169" s="87" t="str">
        <f t="shared" si="2"/>
        <v xml:space="preserve">   </v>
      </c>
    </row>
    <row r="170" spans="1:13" hidden="1" x14ac:dyDescent="0.2">
      <c r="A170" s="426"/>
      <c r="B170" s="156" t="str">
        <f>Capacidades!M463</f>
        <v xml:space="preserve">   </v>
      </c>
      <c r="C170" s="157"/>
      <c r="D170" s="13"/>
      <c r="E170" s="13"/>
      <c r="F170" s="14"/>
      <c r="G170" s="14"/>
      <c r="H170" s="14"/>
      <c r="I170" s="14"/>
      <c r="J170" s="14"/>
      <c r="K170" s="14"/>
      <c r="L170" s="446"/>
      <c r="M170" s="87" t="str">
        <f t="shared" si="2"/>
        <v xml:space="preserve">   </v>
      </c>
    </row>
    <row r="171" spans="1:13" hidden="1" x14ac:dyDescent="0.2">
      <c r="A171" s="426"/>
      <c r="B171" s="156" t="str">
        <f>Capacidades!M464</f>
        <v xml:space="preserve">   </v>
      </c>
      <c r="C171" s="157"/>
      <c r="D171" s="13"/>
      <c r="E171" s="13"/>
      <c r="F171" s="14"/>
      <c r="G171" s="14"/>
      <c r="H171" s="14"/>
      <c r="I171" s="14"/>
      <c r="J171" s="14"/>
      <c r="K171" s="14"/>
      <c r="L171" s="446"/>
      <c r="M171" s="87" t="str">
        <f t="shared" si="2"/>
        <v xml:space="preserve">   </v>
      </c>
    </row>
    <row r="172" spans="1:13" ht="9" hidden="1" customHeight="1" x14ac:dyDescent="0.2">
      <c r="A172" s="426"/>
      <c r="B172" s="156" t="str">
        <f>Capacidades!M465</f>
        <v xml:space="preserve">   </v>
      </c>
      <c r="C172" s="157"/>
      <c r="D172" s="13"/>
      <c r="E172" s="13"/>
      <c r="F172" s="14"/>
      <c r="G172" s="14"/>
      <c r="H172" s="14"/>
      <c r="I172" s="14"/>
      <c r="J172" s="14"/>
      <c r="K172" s="14"/>
      <c r="L172" s="446"/>
      <c r="M172" s="87" t="str">
        <f t="shared" si="2"/>
        <v xml:space="preserve">   </v>
      </c>
    </row>
    <row r="173" spans="1:13" hidden="1" x14ac:dyDescent="0.2">
      <c r="A173" s="426"/>
      <c r="B173" s="156" t="str">
        <f>Capacidades!M466</f>
        <v xml:space="preserve">   </v>
      </c>
      <c r="C173" s="157"/>
      <c r="D173" s="13"/>
      <c r="E173" s="13"/>
      <c r="F173" s="14"/>
      <c r="G173" s="14"/>
      <c r="H173" s="14"/>
      <c r="I173" s="14"/>
      <c r="J173" s="14"/>
      <c r="K173" s="14"/>
      <c r="L173" s="446"/>
      <c r="M173" s="87" t="str">
        <f t="shared" si="2"/>
        <v xml:space="preserve">   </v>
      </c>
    </row>
    <row r="174" spans="1:13" hidden="1" x14ac:dyDescent="0.2">
      <c r="A174" s="426"/>
      <c r="B174" s="156" t="str">
        <f>Capacidades!M467</f>
        <v xml:space="preserve">   </v>
      </c>
      <c r="C174" s="157"/>
      <c r="D174" s="13"/>
      <c r="E174" s="13"/>
      <c r="F174" s="14"/>
      <c r="G174" s="14"/>
      <c r="H174" s="14"/>
      <c r="I174" s="14"/>
      <c r="J174" s="14"/>
      <c r="K174" s="14"/>
      <c r="L174" s="446"/>
      <c r="M174" s="87" t="str">
        <f t="shared" si="2"/>
        <v xml:space="preserve">   </v>
      </c>
    </row>
    <row r="175" spans="1:13" hidden="1" x14ac:dyDescent="0.2">
      <c r="A175" s="426"/>
      <c r="B175" s="156" t="str">
        <f>Capacidades!M468</f>
        <v xml:space="preserve">   </v>
      </c>
      <c r="C175" s="157"/>
      <c r="D175" s="13"/>
      <c r="E175" s="13"/>
      <c r="F175" s="14"/>
      <c r="G175" s="14"/>
      <c r="H175" s="14"/>
      <c r="I175" s="14"/>
      <c r="J175" s="14"/>
      <c r="K175" s="14"/>
      <c r="L175" s="446"/>
      <c r="M175" s="87" t="str">
        <f t="shared" si="2"/>
        <v xml:space="preserve">   </v>
      </c>
    </row>
    <row r="176" spans="1:13" hidden="1" x14ac:dyDescent="0.2">
      <c r="A176" s="426"/>
      <c r="B176" s="156" t="str">
        <f>Capacidades!M469</f>
        <v xml:space="preserve">   </v>
      </c>
      <c r="C176" s="157"/>
      <c r="D176" s="13"/>
      <c r="E176" s="13"/>
      <c r="F176" s="14"/>
      <c r="G176" s="14"/>
      <c r="H176" s="14"/>
      <c r="I176" s="14"/>
      <c r="J176" s="14"/>
      <c r="K176" s="14"/>
      <c r="L176" s="446"/>
      <c r="M176" s="87" t="str">
        <f t="shared" si="2"/>
        <v xml:space="preserve">   </v>
      </c>
    </row>
    <row r="177" spans="1:13" hidden="1" x14ac:dyDescent="0.2">
      <c r="A177" s="427"/>
      <c r="B177" s="156" t="str">
        <f>Capacidades!M470</f>
        <v xml:space="preserve">   </v>
      </c>
      <c r="C177" s="157"/>
      <c r="D177" s="15"/>
      <c r="E177" s="15"/>
      <c r="F177" s="16"/>
      <c r="G177" s="16"/>
      <c r="H177" s="16"/>
      <c r="I177" s="16"/>
      <c r="J177" s="16"/>
      <c r="K177" s="16"/>
      <c r="L177" s="447"/>
      <c r="M177" s="87" t="str">
        <f t="shared" si="2"/>
        <v xml:space="preserve">   </v>
      </c>
    </row>
    <row r="178" spans="1:13" hidden="1" x14ac:dyDescent="0.2">
      <c r="A178" s="425" t="str">
        <f>Capacidades!L471</f>
        <v xml:space="preserve">       </v>
      </c>
      <c r="B178" s="156" t="str">
        <f>Capacidades!M471</f>
        <v xml:space="preserve">   </v>
      </c>
      <c r="C178" s="157"/>
      <c r="D178" s="11">
        <f>Organización_Modular!F57</f>
        <v>0</v>
      </c>
      <c r="E178" s="11">
        <f>Organización_Modular!G57</f>
        <v>0</v>
      </c>
      <c r="F178" s="11">
        <f>Organización_Modular!H57</f>
        <v>0</v>
      </c>
      <c r="G178" s="11">
        <f>Organización_Modular!I57</f>
        <v>0</v>
      </c>
      <c r="H178" s="12">
        <f>SUM(F178:G178)</f>
        <v>0</v>
      </c>
      <c r="I178" s="12">
        <f>F178*16</f>
        <v>0</v>
      </c>
      <c r="J178" s="12">
        <f>G178*32</f>
        <v>0</v>
      </c>
      <c r="K178" s="12">
        <f>SUM(I178:J178)</f>
        <v>0</v>
      </c>
      <c r="L178" s="445"/>
      <c r="M178" s="87" t="str">
        <f t="shared" si="2"/>
        <v xml:space="preserve">   </v>
      </c>
    </row>
    <row r="179" spans="1:13" hidden="1" x14ac:dyDescent="0.2">
      <c r="A179" s="426"/>
      <c r="B179" s="156" t="str">
        <f>Capacidades!M472</f>
        <v xml:space="preserve">   </v>
      </c>
      <c r="C179" s="157"/>
      <c r="D179" s="13"/>
      <c r="E179" s="13"/>
      <c r="F179" s="14"/>
      <c r="G179" s="14"/>
      <c r="H179" s="14"/>
      <c r="I179" s="14"/>
      <c r="J179" s="14"/>
      <c r="K179" s="14"/>
      <c r="L179" s="446"/>
      <c r="M179" s="87" t="str">
        <f t="shared" si="2"/>
        <v xml:space="preserve">   </v>
      </c>
    </row>
    <row r="180" spans="1:13" hidden="1" x14ac:dyDescent="0.2">
      <c r="A180" s="426"/>
      <c r="B180" s="156" t="str">
        <f>Capacidades!M473</f>
        <v xml:space="preserve">   </v>
      </c>
      <c r="C180" s="157"/>
      <c r="D180" s="13"/>
      <c r="E180" s="13"/>
      <c r="F180" s="14"/>
      <c r="G180" s="14"/>
      <c r="H180" s="14"/>
      <c r="I180" s="14"/>
      <c r="J180" s="14"/>
      <c r="K180" s="14"/>
      <c r="L180" s="446"/>
      <c r="M180" s="87" t="str">
        <f t="shared" si="2"/>
        <v xml:space="preserve">   </v>
      </c>
    </row>
    <row r="181" spans="1:13" hidden="1" x14ac:dyDescent="0.2">
      <c r="A181" s="426"/>
      <c r="B181" s="156" t="str">
        <f>Capacidades!M474</f>
        <v xml:space="preserve">   </v>
      </c>
      <c r="C181" s="157"/>
      <c r="D181" s="13"/>
      <c r="E181" s="13"/>
      <c r="F181" s="14"/>
      <c r="G181" s="14"/>
      <c r="H181" s="14"/>
      <c r="I181" s="14"/>
      <c r="J181" s="14"/>
      <c r="K181" s="14"/>
      <c r="L181" s="446"/>
      <c r="M181" s="87" t="str">
        <f t="shared" si="2"/>
        <v xml:space="preserve">   </v>
      </c>
    </row>
    <row r="182" spans="1:13" hidden="1" x14ac:dyDescent="0.2">
      <c r="A182" s="426"/>
      <c r="B182" s="156" t="str">
        <f>Capacidades!M475</f>
        <v xml:space="preserve">   </v>
      </c>
      <c r="C182" s="157"/>
      <c r="D182" s="13"/>
      <c r="E182" s="13"/>
      <c r="F182" s="14"/>
      <c r="G182" s="14"/>
      <c r="H182" s="14"/>
      <c r="I182" s="14"/>
      <c r="J182" s="14"/>
      <c r="K182" s="14"/>
      <c r="L182" s="446"/>
      <c r="M182" s="87" t="str">
        <f t="shared" si="2"/>
        <v xml:space="preserve">   </v>
      </c>
    </row>
    <row r="183" spans="1:13" hidden="1" x14ac:dyDescent="0.2">
      <c r="A183" s="426"/>
      <c r="B183" s="156" t="str">
        <f>Capacidades!M476</f>
        <v xml:space="preserve">   </v>
      </c>
      <c r="C183" s="157"/>
      <c r="D183" s="13"/>
      <c r="E183" s="13"/>
      <c r="F183" s="14"/>
      <c r="G183" s="14"/>
      <c r="H183" s="14"/>
      <c r="I183" s="14"/>
      <c r="J183" s="14"/>
      <c r="K183" s="14"/>
      <c r="L183" s="446"/>
      <c r="M183" s="87" t="str">
        <f t="shared" si="2"/>
        <v xml:space="preserve">   </v>
      </c>
    </row>
    <row r="184" spans="1:13" hidden="1" x14ac:dyDescent="0.2">
      <c r="A184" s="426"/>
      <c r="B184" s="156" t="str">
        <f>Capacidades!M477</f>
        <v xml:space="preserve">   </v>
      </c>
      <c r="C184" s="157"/>
      <c r="D184" s="13"/>
      <c r="E184" s="13"/>
      <c r="F184" s="14"/>
      <c r="G184" s="14"/>
      <c r="H184" s="14"/>
      <c r="I184" s="14"/>
      <c r="J184" s="14"/>
      <c r="K184" s="14"/>
      <c r="L184" s="446"/>
      <c r="M184" s="87" t="str">
        <f t="shared" si="2"/>
        <v xml:space="preserve">   </v>
      </c>
    </row>
    <row r="185" spans="1:13" hidden="1" x14ac:dyDescent="0.2">
      <c r="A185" s="426"/>
      <c r="B185" s="156" t="str">
        <f>Capacidades!M478</f>
        <v xml:space="preserve">   </v>
      </c>
      <c r="C185" s="157"/>
      <c r="D185" s="13"/>
      <c r="E185" s="13"/>
      <c r="F185" s="14"/>
      <c r="G185" s="14"/>
      <c r="H185" s="14"/>
      <c r="I185" s="14"/>
      <c r="J185" s="14"/>
      <c r="K185" s="14"/>
      <c r="L185" s="446"/>
      <c r="M185" s="87" t="str">
        <f t="shared" si="2"/>
        <v xml:space="preserve">   </v>
      </c>
    </row>
    <row r="186" spans="1:13" hidden="1" x14ac:dyDescent="0.2">
      <c r="A186" s="426"/>
      <c r="B186" s="156" t="str">
        <f>Capacidades!M479</f>
        <v xml:space="preserve">   </v>
      </c>
      <c r="C186" s="157"/>
      <c r="D186" s="13"/>
      <c r="E186" s="13"/>
      <c r="F186" s="14"/>
      <c r="G186" s="14"/>
      <c r="H186" s="14"/>
      <c r="I186" s="14"/>
      <c r="J186" s="14"/>
      <c r="K186" s="14"/>
      <c r="L186" s="446"/>
      <c r="M186" s="87" t="str">
        <f t="shared" si="2"/>
        <v xml:space="preserve">   </v>
      </c>
    </row>
    <row r="187" spans="1:13" hidden="1" x14ac:dyDescent="0.2">
      <c r="A187" s="427"/>
      <c r="B187" s="156" t="str">
        <f>Capacidades!M480</f>
        <v xml:space="preserve">   </v>
      </c>
      <c r="C187" s="157"/>
      <c r="D187" s="15"/>
      <c r="E187" s="15"/>
      <c r="F187" s="16"/>
      <c r="G187" s="16"/>
      <c r="H187" s="16"/>
      <c r="I187" s="16"/>
      <c r="J187" s="16"/>
      <c r="K187" s="16"/>
      <c r="L187" s="447"/>
      <c r="M187" s="87" t="str">
        <f t="shared" si="2"/>
        <v xml:space="preserve">   </v>
      </c>
    </row>
    <row r="188" spans="1:13" hidden="1" x14ac:dyDescent="0.2">
      <c r="A188" s="425" t="str">
        <f>Capacidades!L481</f>
        <v xml:space="preserve">       </v>
      </c>
      <c r="B188" s="156" t="str">
        <f>Capacidades!M481</f>
        <v xml:space="preserve">   </v>
      </c>
      <c r="C188" s="157"/>
      <c r="D188" s="11">
        <f>Organización_Modular!F58</f>
        <v>0</v>
      </c>
      <c r="E188" s="11">
        <f>Organización_Modular!G58</f>
        <v>0</v>
      </c>
      <c r="F188" s="11">
        <f>Organización_Modular!H58</f>
        <v>0</v>
      </c>
      <c r="G188" s="11">
        <f>Organización_Modular!I58</f>
        <v>0</v>
      </c>
      <c r="H188" s="12">
        <f>SUM(F188:G188)</f>
        <v>0</v>
      </c>
      <c r="I188" s="12">
        <f>F188*16</f>
        <v>0</v>
      </c>
      <c r="J188" s="12">
        <f>G188*32</f>
        <v>0</v>
      </c>
      <c r="K188" s="12">
        <f>SUM(I188:J188)</f>
        <v>0</v>
      </c>
      <c r="L188" s="445"/>
      <c r="M188" s="87" t="str">
        <f t="shared" si="2"/>
        <v xml:space="preserve">   </v>
      </c>
    </row>
    <row r="189" spans="1:13" hidden="1" x14ac:dyDescent="0.2">
      <c r="A189" s="426"/>
      <c r="B189" s="156" t="str">
        <f>Capacidades!M482</f>
        <v xml:space="preserve">   </v>
      </c>
      <c r="C189" s="157"/>
      <c r="D189" s="13"/>
      <c r="E189" s="13"/>
      <c r="F189" s="14"/>
      <c r="G189" s="14"/>
      <c r="H189" s="14"/>
      <c r="I189" s="14"/>
      <c r="J189" s="14"/>
      <c r="K189" s="14"/>
      <c r="L189" s="446"/>
      <c r="M189" s="87" t="str">
        <f t="shared" si="2"/>
        <v xml:space="preserve">   </v>
      </c>
    </row>
    <row r="190" spans="1:13" hidden="1" x14ac:dyDescent="0.2">
      <c r="A190" s="426"/>
      <c r="B190" s="156" t="str">
        <f>Capacidades!M483</f>
        <v xml:space="preserve">   </v>
      </c>
      <c r="C190" s="157"/>
      <c r="D190" s="13"/>
      <c r="E190" s="13"/>
      <c r="F190" s="14"/>
      <c r="G190" s="14"/>
      <c r="H190" s="14"/>
      <c r="I190" s="14"/>
      <c r="J190" s="14"/>
      <c r="K190" s="14"/>
      <c r="L190" s="446"/>
      <c r="M190" s="87" t="str">
        <f t="shared" si="2"/>
        <v xml:space="preserve">   </v>
      </c>
    </row>
    <row r="191" spans="1:13" hidden="1" x14ac:dyDescent="0.2">
      <c r="A191" s="426"/>
      <c r="B191" s="156" t="str">
        <f>Capacidades!M484</f>
        <v xml:space="preserve">   </v>
      </c>
      <c r="C191" s="157"/>
      <c r="D191" s="13"/>
      <c r="E191" s="13"/>
      <c r="F191" s="14"/>
      <c r="G191" s="14"/>
      <c r="H191" s="14"/>
      <c r="I191" s="14"/>
      <c r="J191" s="14"/>
      <c r="K191" s="14"/>
      <c r="L191" s="446"/>
      <c r="M191" s="87" t="str">
        <f t="shared" si="2"/>
        <v xml:space="preserve">   </v>
      </c>
    </row>
    <row r="192" spans="1:13" hidden="1" x14ac:dyDescent="0.2">
      <c r="A192" s="426"/>
      <c r="B192" s="156" t="str">
        <f>Capacidades!M485</f>
        <v xml:space="preserve">   </v>
      </c>
      <c r="C192" s="157"/>
      <c r="D192" s="13"/>
      <c r="E192" s="13"/>
      <c r="F192" s="14"/>
      <c r="G192" s="14"/>
      <c r="H192" s="14"/>
      <c r="I192" s="14"/>
      <c r="J192" s="14"/>
      <c r="K192" s="14"/>
      <c r="L192" s="446"/>
      <c r="M192" s="87" t="str">
        <f t="shared" si="2"/>
        <v xml:space="preserve">   </v>
      </c>
    </row>
    <row r="193" spans="1:13" hidden="1" x14ac:dyDescent="0.2">
      <c r="A193" s="426"/>
      <c r="B193" s="156" t="str">
        <f>Capacidades!M486</f>
        <v xml:space="preserve">   </v>
      </c>
      <c r="C193" s="157"/>
      <c r="D193" s="13"/>
      <c r="E193" s="13"/>
      <c r="F193" s="14"/>
      <c r="G193" s="14"/>
      <c r="H193" s="14"/>
      <c r="I193" s="14"/>
      <c r="J193" s="14"/>
      <c r="K193" s="14"/>
      <c r="L193" s="446"/>
      <c r="M193" s="87" t="str">
        <f t="shared" si="2"/>
        <v xml:space="preserve">   </v>
      </c>
    </row>
    <row r="194" spans="1:13" hidden="1" x14ac:dyDescent="0.2">
      <c r="A194" s="426"/>
      <c r="B194" s="156" t="str">
        <f>Capacidades!M487</f>
        <v xml:space="preserve">   </v>
      </c>
      <c r="C194" s="157"/>
      <c r="D194" s="13"/>
      <c r="E194" s="13"/>
      <c r="F194" s="14"/>
      <c r="G194" s="14"/>
      <c r="H194" s="14"/>
      <c r="I194" s="14"/>
      <c r="J194" s="14"/>
      <c r="K194" s="14"/>
      <c r="L194" s="446"/>
      <c r="M194" s="87" t="str">
        <f t="shared" si="2"/>
        <v xml:space="preserve">   </v>
      </c>
    </row>
    <row r="195" spans="1:13" hidden="1" x14ac:dyDescent="0.2">
      <c r="A195" s="426"/>
      <c r="B195" s="156" t="str">
        <f>Capacidades!M488</f>
        <v xml:space="preserve">   </v>
      </c>
      <c r="C195" s="157"/>
      <c r="D195" s="13"/>
      <c r="E195" s="13"/>
      <c r="F195" s="14"/>
      <c r="G195" s="14"/>
      <c r="H195" s="14"/>
      <c r="I195" s="14"/>
      <c r="J195" s="14"/>
      <c r="K195" s="14"/>
      <c r="L195" s="446"/>
      <c r="M195" s="87" t="str">
        <f t="shared" si="2"/>
        <v xml:space="preserve">   </v>
      </c>
    </row>
    <row r="196" spans="1:13" hidden="1" x14ac:dyDescent="0.2">
      <c r="A196" s="426"/>
      <c r="B196" s="156" t="str">
        <f>Capacidades!M489</f>
        <v xml:space="preserve">   </v>
      </c>
      <c r="C196" s="157"/>
      <c r="D196" s="13"/>
      <c r="E196" s="13"/>
      <c r="F196" s="14"/>
      <c r="G196" s="14"/>
      <c r="H196" s="14"/>
      <c r="I196" s="14"/>
      <c r="J196" s="14"/>
      <c r="K196" s="14"/>
      <c r="L196" s="446"/>
      <c r="M196" s="87" t="str">
        <f t="shared" si="2"/>
        <v xml:space="preserve">   </v>
      </c>
    </row>
    <row r="197" spans="1:13" hidden="1" x14ac:dyDescent="0.2">
      <c r="A197" s="427"/>
      <c r="B197" s="156" t="str">
        <f>Capacidades!M490</f>
        <v xml:space="preserve">   </v>
      </c>
      <c r="C197" s="157"/>
      <c r="D197" s="15"/>
      <c r="E197" s="15"/>
      <c r="F197" s="16"/>
      <c r="G197" s="16"/>
      <c r="H197" s="16"/>
      <c r="I197" s="16"/>
      <c r="J197" s="16"/>
      <c r="K197" s="16"/>
      <c r="L197" s="447"/>
      <c r="M197" s="87" t="str">
        <f t="shared" si="2"/>
        <v xml:space="preserve">   </v>
      </c>
    </row>
    <row r="198" spans="1:13" hidden="1" x14ac:dyDescent="0.2">
      <c r="A198" s="425" t="str">
        <f>Capacidades!L491</f>
        <v xml:space="preserve">       </v>
      </c>
      <c r="B198" s="156" t="str">
        <f>Capacidades!M491</f>
        <v xml:space="preserve">   </v>
      </c>
      <c r="C198" s="157"/>
      <c r="D198" s="11">
        <f>Organización_Modular!F59</f>
        <v>0</v>
      </c>
      <c r="E198" s="11">
        <f>Organización_Modular!G59</f>
        <v>0</v>
      </c>
      <c r="F198" s="11">
        <f>Organización_Modular!H59</f>
        <v>0</v>
      </c>
      <c r="G198" s="11">
        <f>Organización_Modular!I59</f>
        <v>0</v>
      </c>
      <c r="H198" s="12">
        <f>SUM(F198:G198)</f>
        <v>0</v>
      </c>
      <c r="I198" s="12">
        <f>F198*16</f>
        <v>0</v>
      </c>
      <c r="J198" s="12">
        <f>G198*32</f>
        <v>0</v>
      </c>
      <c r="K198" s="12">
        <f>SUM(I198:J198)</f>
        <v>0</v>
      </c>
      <c r="L198" s="445"/>
      <c r="M198" s="87" t="str">
        <f t="shared" si="2"/>
        <v xml:space="preserve">   </v>
      </c>
    </row>
    <row r="199" spans="1:13" hidden="1" x14ac:dyDescent="0.2">
      <c r="A199" s="426"/>
      <c r="B199" s="156" t="str">
        <f>Capacidades!M492</f>
        <v xml:space="preserve">   </v>
      </c>
      <c r="C199" s="157"/>
      <c r="D199" s="13"/>
      <c r="E199" s="13"/>
      <c r="F199" s="14"/>
      <c r="G199" s="14"/>
      <c r="H199" s="14"/>
      <c r="I199" s="14"/>
      <c r="J199" s="14"/>
      <c r="K199" s="14"/>
      <c r="L199" s="446"/>
      <c r="M199" s="87" t="str">
        <f t="shared" si="2"/>
        <v xml:space="preserve">   </v>
      </c>
    </row>
    <row r="200" spans="1:13" hidden="1" x14ac:dyDescent="0.2">
      <c r="A200" s="426"/>
      <c r="B200" s="156" t="str">
        <f>Capacidades!M493</f>
        <v xml:space="preserve">   </v>
      </c>
      <c r="C200" s="157"/>
      <c r="D200" s="13"/>
      <c r="E200" s="13"/>
      <c r="F200" s="14"/>
      <c r="G200" s="14"/>
      <c r="H200" s="14"/>
      <c r="I200" s="14"/>
      <c r="J200" s="14"/>
      <c r="K200" s="14"/>
      <c r="L200" s="446"/>
      <c r="M200" s="87" t="str">
        <f t="shared" si="2"/>
        <v xml:space="preserve">   </v>
      </c>
    </row>
    <row r="201" spans="1:13" ht="7.5" hidden="1" customHeight="1" x14ac:dyDescent="0.2">
      <c r="A201" s="426"/>
      <c r="B201" s="156" t="str">
        <f>Capacidades!M494</f>
        <v xml:space="preserve">   </v>
      </c>
      <c r="C201" s="157"/>
      <c r="D201" s="13"/>
      <c r="E201" s="13"/>
      <c r="F201" s="14"/>
      <c r="G201" s="14"/>
      <c r="H201" s="14"/>
      <c r="I201" s="14"/>
      <c r="J201" s="14"/>
      <c r="K201" s="14"/>
      <c r="L201" s="446"/>
      <c r="M201" s="87" t="str">
        <f t="shared" si="2"/>
        <v xml:space="preserve">   </v>
      </c>
    </row>
    <row r="202" spans="1:13" hidden="1" x14ac:dyDescent="0.2">
      <c r="A202" s="426"/>
      <c r="B202" s="156" t="str">
        <f>Capacidades!M495</f>
        <v xml:space="preserve">   </v>
      </c>
      <c r="C202" s="157"/>
      <c r="D202" s="13"/>
      <c r="E202" s="13"/>
      <c r="F202" s="14"/>
      <c r="G202" s="14"/>
      <c r="H202" s="14"/>
      <c r="I202" s="14"/>
      <c r="J202" s="14"/>
      <c r="K202" s="14"/>
      <c r="L202" s="446"/>
      <c r="M202" s="87" t="str">
        <f t="shared" si="2"/>
        <v xml:space="preserve">   </v>
      </c>
    </row>
    <row r="203" spans="1:13" hidden="1" x14ac:dyDescent="0.2">
      <c r="A203" s="426"/>
      <c r="B203" s="156" t="str">
        <f>Capacidades!M496</f>
        <v xml:space="preserve">   </v>
      </c>
      <c r="C203" s="157"/>
      <c r="D203" s="13"/>
      <c r="E203" s="13"/>
      <c r="F203" s="14"/>
      <c r="G203" s="14"/>
      <c r="H203" s="14"/>
      <c r="I203" s="14"/>
      <c r="J203" s="14"/>
      <c r="K203" s="14"/>
      <c r="L203" s="446"/>
      <c r="M203" s="87" t="str">
        <f t="shared" si="2"/>
        <v xml:space="preserve">   </v>
      </c>
    </row>
    <row r="204" spans="1:13" hidden="1" x14ac:dyDescent="0.2">
      <c r="A204" s="426"/>
      <c r="B204" s="156" t="str">
        <f>Capacidades!M497</f>
        <v xml:space="preserve">   </v>
      </c>
      <c r="C204" s="157"/>
      <c r="D204" s="13"/>
      <c r="E204" s="13"/>
      <c r="F204" s="14"/>
      <c r="G204" s="14"/>
      <c r="H204" s="14"/>
      <c r="I204" s="14"/>
      <c r="J204" s="14"/>
      <c r="K204" s="14"/>
      <c r="L204" s="446"/>
      <c r="M204" s="87" t="str">
        <f t="shared" si="2"/>
        <v xml:space="preserve">   </v>
      </c>
    </row>
    <row r="205" spans="1:13" hidden="1" x14ac:dyDescent="0.2">
      <c r="A205" s="426"/>
      <c r="B205" s="156" t="str">
        <f>Capacidades!M498</f>
        <v xml:space="preserve">   </v>
      </c>
      <c r="C205" s="157"/>
      <c r="D205" s="13"/>
      <c r="E205" s="13"/>
      <c r="F205" s="14"/>
      <c r="G205" s="14"/>
      <c r="H205" s="14"/>
      <c r="I205" s="14"/>
      <c r="J205" s="14"/>
      <c r="K205" s="14"/>
      <c r="L205" s="446"/>
      <c r="M205" s="87" t="str">
        <f t="shared" si="2"/>
        <v xml:space="preserve">   </v>
      </c>
    </row>
    <row r="206" spans="1:13" hidden="1" x14ac:dyDescent="0.2">
      <c r="A206" s="426"/>
      <c r="B206" s="156" t="str">
        <f>Capacidades!M499</f>
        <v xml:space="preserve">   </v>
      </c>
      <c r="C206" s="157"/>
      <c r="D206" s="13"/>
      <c r="E206" s="13"/>
      <c r="F206" s="14"/>
      <c r="G206" s="14"/>
      <c r="H206" s="14"/>
      <c r="I206" s="14"/>
      <c r="J206" s="14"/>
      <c r="K206" s="14"/>
      <c r="L206" s="446"/>
      <c r="M206" s="87" t="str">
        <f t="shared" si="2"/>
        <v xml:space="preserve">   </v>
      </c>
    </row>
    <row r="207" spans="1:13" hidden="1" x14ac:dyDescent="0.2">
      <c r="A207" s="427"/>
      <c r="B207" s="156" t="str">
        <f>Capacidades!M500</f>
        <v xml:space="preserve">   </v>
      </c>
      <c r="C207" s="157"/>
      <c r="D207" s="15"/>
      <c r="E207" s="15"/>
      <c r="F207" s="16"/>
      <c r="G207" s="16"/>
      <c r="H207" s="16"/>
      <c r="I207" s="16"/>
      <c r="J207" s="16"/>
      <c r="K207" s="16"/>
      <c r="L207" s="447"/>
      <c r="M207" s="87" t="str">
        <f t="shared" si="2"/>
        <v xml:space="preserve">   </v>
      </c>
    </row>
    <row r="208" spans="1:13" hidden="1" x14ac:dyDescent="0.2">
      <c r="A208" s="425" t="str">
        <f>Capacidades!L501</f>
        <v xml:space="preserve">       </v>
      </c>
      <c r="B208" s="156" t="str">
        <f>Capacidades!M501</f>
        <v xml:space="preserve">   </v>
      </c>
      <c r="C208" s="157"/>
      <c r="D208" s="11">
        <f>Organización_Modular!F60</f>
        <v>0</v>
      </c>
      <c r="E208" s="11">
        <f>Organización_Modular!G60</f>
        <v>0</v>
      </c>
      <c r="F208" s="11">
        <f>Organización_Modular!H60</f>
        <v>0</v>
      </c>
      <c r="G208" s="11">
        <f>Organización_Modular!I60</f>
        <v>0</v>
      </c>
      <c r="H208" s="12">
        <f>SUM(F208:G208)</f>
        <v>0</v>
      </c>
      <c r="I208" s="12">
        <f>F208*16</f>
        <v>0</v>
      </c>
      <c r="J208" s="12">
        <f>G208*32</f>
        <v>0</v>
      </c>
      <c r="K208" s="12">
        <f>SUM(I208:J208)</f>
        <v>0</v>
      </c>
      <c r="L208" s="445"/>
      <c r="M208" s="87" t="str">
        <f t="shared" si="2"/>
        <v xml:space="preserve">   </v>
      </c>
    </row>
    <row r="209" spans="1:13" hidden="1" x14ac:dyDescent="0.2">
      <c r="A209" s="426"/>
      <c r="B209" s="156" t="str">
        <f>Capacidades!M502</f>
        <v xml:space="preserve">   </v>
      </c>
      <c r="C209" s="157"/>
      <c r="D209" s="13"/>
      <c r="E209" s="13"/>
      <c r="F209" s="14"/>
      <c r="G209" s="14"/>
      <c r="H209" s="14"/>
      <c r="I209" s="14"/>
      <c r="J209" s="14"/>
      <c r="K209" s="14"/>
      <c r="L209" s="446"/>
      <c r="M209" s="87" t="str">
        <f t="shared" si="2"/>
        <v xml:space="preserve">   </v>
      </c>
    </row>
    <row r="210" spans="1:13" hidden="1" x14ac:dyDescent="0.2">
      <c r="A210" s="426"/>
      <c r="B210" s="156" t="str">
        <f>Capacidades!M503</f>
        <v xml:space="preserve">   </v>
      </c>
      <c r="C210" s="157"/>
      <c r="D210" s="13"/>
      <c r="E210" s="13"/>
      <c r="F210" s="14"/>
      <c r="G210" s="14"/>
      <c r="H210" s="14"/>
      <c r="I210" s="14"/>
      <c r="J210" s="14"/>
      <c r="K210" s="14"/>
      <c r="L210" s="446"/>
      <c r="M210" s="87" t="str">
        <f t="shared" si="2"/>
        <v xml:space="preserve">   </v>
      </c>
    </row>
    <row r="211" spans="1:13" hidden="1" x14ac:dyDescent="0.2">
      <c r="A211" s="426"/>
      <c r="B211" s="156" t="str">
        <f>Capacidades!M504</f>
        <v xml:space="preserve">   </v>
      </c>
      <c r="C211" s="157"/>
      <c r="D211" s="13"/>
      <c r="E211" s="13"/>
      <c r="F211" s="14"/>
      <c r="G211" s="14"/>
      <c r="H211" s="14"/>
      <c r="I211" s="14"/>
      <c r="J211" s="14"/>
      <c r="K211" s="14"/>
      <c r="L211" s="446"/>
      <c r="M211" s="87" t="str">
        <f t="shared" ref="M211:M217" si="3">B211</f>
        <v xml:space="preserve">   </v>
      </c>
    </row>
    <row r="212" spans="1:13" hidden="1" x14ac:dyDescent="0.2">
      <c r="A212" s="426"/>
      <c r="B212" s="156" t="str">
        <f>Capacidades!M505</f>
        <v xml:space="preserve">   </v>
      </c>
      <c r="C212" s="157"/>
      <c r="D212" s="13"/>
      <c r="E212" s="13"/>
      <c r="F212" s="14"/>
      <c r="G212" s="14"/>
      <c r="H212" s="14"/>
      <c r="I212" s="14"/>
      <c r="J212" s="14"/>
      <c r="K212" s="14"/>
      <c r="L212" s="446"/>
      <c r="M212" s="87" t="str">
        <f t="shared" si="3"/>
        <v xml:space="preserve">   </v>
      </c>
    </row>
    <row r="213" spans="1:13" hidden="1" x14ac:dyDescent="0.2">
      <c r="A213" s="426"/>
      <c r="B213" s="156" t="str">
        <f>Capacidades!M506</f>
        <v xml:space="preserve">   </v>
      </c>
      <c r="C213" s="157"/>
      <c r="D213" s="13"/>
      <c r="E213" s="13"/>
      <c r="F213" s="14"/>
      <c r="G213" s="14"/>
      <c r="H213" s="14"/>
      <c r="I213" s="14"/>
      <c r="J213" s="14"/>
      <c r="K213" s="14"/>
      <c r="L213" s="446"/>
      <c r="M213" s="87" t="str">
        <f t="shared" si="3"/>
        <v xml:space="preserve">   </v>
      </c>
    </row>
    <row r="214" spans="1:13" hidden="1" x14ac:dyDescent="0.2">
      <c r="A214" s="426"/>
      <c r="B214" s="156" t="str">
        <f>Capacidades!M507</f>
        <v xml:space="preserve">   </v>
      </c>
      <c r="C214" s="157"/>
      <c r="D214" s="13"/>
      <c r="E214" s="13"/>
      <c r="F214" s="14"/>
      <c r="G214" s="14"/>
      <c r="H214" s="14"/>
      <c r="I214" s="14"/>
      <c r="J214" s="14"/>
      <c r="K214" s="14"/>
      <c r="L214" s="446"/>
      <c r="M214" s="87" t="str">
        <f t="shared" si="3"/>
        <v xml:space="preserve">   </v>
      </c>
    </row>
    <row r="215" spans="1:13" hidden="1" x14ac:dyDescent="0.2">
      <c r="A215" s="426"/>
      <c r="B215" s="156" t="str">
        <f>Capacidades!M508</f>
        <v xml:space="preserve">   </v>
      </c>
      <c r="C215" s="157"/>
      <c r="D215" s="13"/>
      <c r="E215" s="13"/>
      <c r="F215" s="14"/>
      <c r="G215" s="14"/>
      <c r="H215" s="14"/>
      <c r="I215" s="14"/>
      <c r="J215" s="14"/>
      <c r="K215" s="14"/>
      <c r="L215" s="446"/>
      <c r="M215" s="87" t="str">
        <f t="shared" si="3"/>
        <v xml:space="preserve">   </v>
      </c>
    </row>
    <row r="216" spans="1:13" hidden="1" x14ac:dyDescent="0.2">
      <c r="A216" s="426"/>
      <c r="B216" s="156" t="str">
        <f>Capacidades!M509</f>
        <v xml:space="preserve">   </v>
      </c>
      <c r="C216" s="157"/>
      <c r="D216" s="13"/>
      <c r="E216" s="13"/>
      <c r="F216" s="14"/>
      <c r="G216" s="14"/>
      <c r="H216" s="14"/>
      <c r="I216" s="14"/>
      <c r="J216" s="14"/>
      <c r="K216" s="14"/>
      <c r="L216" s="446"/>
      <c r="M216" s="87" t="str">
        <f t="shared" si="3"/>
        <v xml:space="preserve">   </v>
      </c>
    </row>
    <row r="217" spans="1:13" hidden="1" x14ac:dyDescent="0.2">
      <c r="A217" s="427"/>
      <c r="B217" s="156" t="str">
        <f>Capacidades!M510</f>
        <v xml:space="preserve">   </v>
      </c>
      <c r="C217" s="157"/>
      <c r="D217" s="15"/>
      <c r="E217" s="15"/>
      <c r="F217" s="16"/>
      <c r="G217" s="16"/>
      <c r="H217" s="16"/>
      <c r="I217" s="16"/>
      <c r="J217" s="16"/>
      <c r="K217" s="16"/>
      <c r="L217" s="447"/>
      <c r="M217" s="87" t="str">
        <f t="shared" si="3"/>
        <v xml:space="preserve">   </v>
      </c>
    </row>
    <row r="218" spans="1:13" ht="23.25" customHeight="1" x14ac:dyDescent="0.2">
      <c r="A218" s="466" t="s">
        <v>86</v>
      </c>
      <c r="B218" s="466"/>
      <c r="C218" s="466"/>
      <c r="D218" s="466"/>
      <c r="E218" s="466"/>
      <c r="F218" s="466"/>
      <c r="G218" s="466"/>
      <c r="H218" s="466"/>
      <c r="I218" s="466"/>
      <c r="J218" s="466"/>
      <c r="K218" s="466"/>
      <c r="L218" s="466"/>
      <c r="M218" s="87" t="str">
        <f>A218</f>
        <v>COMPETENCIAS PARA LA EMPLEABILIDAD INCORPORADAS MEDIANTE UNIDAD DIDÁCTICA</v>
      </c>
    </row>
    <row r="219" spans="1:13" ht="79.5" customHeight="1" x14ac:dyDescent="0.2">
      <c r="A219" s="503" t="str">
        <f>Organización_Modular!C61</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B219" s="503"/>
      <c r="C219" s="503"/>
      <c r="D219" s="503"/>
      <c r="E219" s="503"/>
      <c r="F219" s="503"/>
      <c r="G219" s="503"/>
      <c r="H219" s="503"/>
      <c r="I219" s="503"/>
      <c r="J219" s="503"/>
      <c r="K219" s="503"/>
      <c r="L219" s="503"/>
      <c r="M219" s="87" t="str">
        <f>A219</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row>
    <row r="220" spans="1:13" ht="12.75" customHeight="1" x14ac:dyDescent="0.2">
      <c r="A220" s="471" t="s">
        <v>80</v>
      </c>
      <c r="B220" s="474" t="s">
        <v>79</v>
      </c>
      <c r="C220" s="471" t="s">
        <v>78</v>
      </c>
      <c r="D220" s="471" t="s">
        <v>0</v>
      </c>
      <c r="E220" s="459" t="s">
        <v>50</v>
      </c>
      <c r="F220" s="471" t="s">
        <v>71</v>
      </c>
      <c r="G220" s="471"/>
      <c r="H220" s="471" t="s">
        <v>71</v>
      </c>
      <c r="I220" s="471" t="s">
        <v>77</v>
      </c>
      <c r="J220" s="471"/>
      <c r="K220" s="471" t="s">
        <v>77</v>
      </c>
      <c r="L220" s="471" t="s">
        <v>76</v>
      </c>
      <c r="M220" s="87" t="str">
        <f t="shared" ref="M220" si="4">A220</f>
        <v>CAPACIDADES DE EMPLEABILIDAD</v>
      </c>
    </row>
    <row r="221" spans="1:13" ht="24" customHeight="1" x14ac:dyDescent="0.2">
      <c r="A221" s="471"/>
      <c r="B221" s="474"/>
      <c r="C221" s="471"/>
      <c r="D221" s="471"/>
      <c r="E221" s="459"/>
      <c r="F221" s="147" t="s">
        <v>75</v>
      </c>
      <c r="G221" s="147" t="s">
        <v>74</v>
      </c>
      <c r="H221" s="471"/>
      <c r="I221" s="147" t="s">
        <v>75</v>
      </c>
      <c r="J221" s="147" t="s">
        <v>74</v>
      </c>
      <c r="K221" s="471"/>
      <c r="L221" s="471"/>
      <c r="M221" s="87" t="str">
        <f>A220</f>
        <v>CAPACIDADES DE EMPLEABILIDAD</v>
      </c>
    </row>
    <row r="222" spans="1:13" ht="78.75" customHeight="1" x14ac:dyDescent="0.2">
      <c r="A222" s="425" t="str">
        <f>Capacidades!L511</f>
        <v>CE3 C1 Utilizar metodologías para identificar oportunidades de negocio tomando en cuenta el programa de estudios y las necesidades del mercado.  
CE3 C2 Formular planes de negocio innovadores vinculados al programa de estudio  considerando un proceso metodológico que genere valor, sea sostenible y preserve el ambiente.</v>
      </c>
      <c r="B222" s="158" t="str">
        <f>Capacidades!M511</f>
        <v>C1  I1 Describe las metodologías del emprendimiento y la innovación a utilizarse de acuerdo al proceso de elaboración del plan de negocio.</v>
      </c>
      <c r="C222" s="190" t="s">
        <v>509</v>
      </c>
      <c r="D222" s="13" t="str">
        <f>Organización_Modular!F61</f>
        <v>Plan de Negocios</v>
      </c>
      <c r="E222" s="13" t="str">
        <f>Organización_Modular!G61</f>
        <v>II</v>
      </c>
      <c r="F222" s="13">
        <f>Organización_Modular!H61</f>
        <v>1</v>
      </c>
      <c r="G222" s="13">
        <f>Organización_Modular!I61</f>
        <v>1</v>
      </c>
      <c r="H222" s="14">
        <f>SUM(F222:G222)</f>
        <v>2</v>
      </c>
      <c r="I222" s="14">
        <f>F222*16</f>
        <v>16</v>
      </c>
      <c r="J222" s="14">
        <f>G222*32</f>
        <v>32</v>
      </c>
      <c r="K222" s="14">
        <f>SUM(I222:J222)</f>
        <v>48</v>
      </c>
      <c r="L222" s="424" t="s">
        <v>510</v>
      </c>
      <c r="M222" s="87" t="str">
        <f>B222</f>
        <v>C1  I1 Describe las metodologías del emprendimiento y la innovación a utilizarse de acuerdo al proceso de elaboración del plan de negocio.</v>
      </c>
    </row>
    <row r="223" spans="1:13" ht="60.75" customHeight="1" x14ac:dyDescent="0.2">
      <c r="A223" s="426"/>
      <c r="B223" s="158" t="str">
        <f>Capacidades!M512</f>
        <v xml:space="preserve">C1  I2 Emplea métodos y técnicas para identificar oportunidades de negocios innovadores según el programa de estudios y las necesidades del mercado. </v>
      </c>
      <c r="C223" s="190" t="s">
        <v>512</v>
      </c>
      <c r="D223" s="13"/>
      <c r="E223" s="13"/>
      <c r="F223" s="14"/>
      <c r="G223" s="14"/>
      <c r="H223" s="14"/>
      <c r="I223" s="14"/>
      <c r="J223" s="14"/>
      <c r="K223" s="14"/>
      <c r="L223" s="424"/>
      <c r="M223" s="87" t="str">
        <f t="shared" ref="M223:M286" si="5">B223</f>
        <v xml:space="preserve">C1  I2 Emplea métodos y técnicas para identificar oportunidades de negocios innovadores según el programa de estudios y las necesidades del mercado. </v>
      </c>
    </row>
    <row r="224" spans="1:13" ht="63" customHeight="1" x14ac:dyDescent="0.2">
      <c r="A224" s="426"/>
      <c r="B224" s="158" t="str">
        <f>Capacidades!M513</f>
        <v>C2  I2 Describe estrategias de marketing de acuerdo a la idea de negocio definida que genere valor y conserve el ambiente.</v>
      </c>
      <c r="C224" s="190" t="s">
        <v>508</v>
      </c>
      <c r="D224" s="13"/>
      <c r="E224" s="13"/>
      <c r="F224" s="14"/>
      <c r="G224" s="14"/>
      <c r="H224" s="14"/>
      <c r="I224" s="14"/>
      <c r="J224" s="14"/>
      <c r="K224" s="14"/>
      <c r="L224" s="424"/>
      <c r="M224" s="87" t="str">
        <f t="shared" si="5"/>
        <v>C2  I2 Describe estrategias de marketing de acuerdo a la idea de negocio definida que genere valor y conserve el ambiente.</v>
      </c>
    </row>
    <row r="225" spans="1:13" ht="43.5" hidden="1" customHeight="1" x14ac:dyDescent="0.2">
      <c r="A225" s="426"/>
      <c r="B225" s="158" t="str">
        <f>Capacidades!M514</f>
        <v xml:space="preserve">    </v>
      </c>
      <c r="C225" s="240"/>
      <c r="D225" s="13"/>
      <c r="E225" s="13"/>
      <c r="F225" s="14"/>
      <c r="G225" s="14"/>
      <c r="H225" s="14"/>
      <c r="I225" s="14"/>
      <c r="J225" s="14"/>
      <c r="K225" s="14"/>
      <c r="L225" s="424"/>
      <c r="M225" s="87" t="str">
        <f t="shared" si="5"/>
        <v xml:space="preserve">    </v>
      </c>
    </row>
    <row r="226" spans="1:13" ht="12.75" hidden="1" customHeight="1" x14ac:dyDescent="0.2">
      <c r="A226" s="426"/>
      <c r="B226" s="158" t="str">
        <f>Capacidades!M515</f>
        <v xml:space="preserve">   </v>
      </c>
      <c r="C226" s="157"/>
      <c r="D226" s="13"/>
      <c r="E226" s="13"/>
      <c r="F226" s="14"/>
      <c r="G226" s="14"/>
      <c r="H226" s="14"/>
      <c r="I226" s="14"/>
      <c r="J226" s="14"/>
      <c r="K226" s="14"/>
      <c r="L226" s="424"/>
      <c r="M226" s="87" t="str">
        <f t="shared" si="5"/>
        <v xml:space="preserve">   </v>
      </c>
    </row>
    <row r="227" spans="1:13" ht="12.75" hidden="1" customHeight="1" x14ac:dyDescent="0.2">
      <c r="A227" s="426"/>
      <c r="B227" s="158" t="str">
        <f>Capacidades!M516</f>
        <v xml:space="preserve">   </v>
      </c>
      <c r="C227" s="157"/>
      <c r="D227" s="13"/>
      <c r="E227" s="13"/>
      <c r="F227" s="14"/>
      <c r="G227" s="14"/>
      <c r="H227" s="14"/>
      <c r="I227" s="14"/>
      <c r="J227" s="14"/>
      <c r="K227" s="14"/>
      <c r="L227" s="424"/>
      <c r="M227" s="87" t="str">
        <f t="shared" si="5"/>
        <v xml:space="preserve">   </v>
      </c>
    </row>
    <row r="228" spans="1:13" ht="12.75" hidden="1" customHeight="1" x14ac:dyDescent="0.2">
      <c r="A228" s="426"/>
      <c r="B228" s="158" t="str">
        <f>Capacidades!M517</f>
        <v xml:space="preserve">   </v>
      </c>
      <c r="C228" s="157"/>
      <c r="D228" s="13"/>
      <c r="E228" s="13"/>
      <c r="F228" s="14"/>
      <c r="G228" s="14"/>
      <c r="H228" s="14"/>
      <c r="I228" s="14"/>
      <c r="J228" s="14"/>
      <c r="K228" s="14"/>
      <c r="L228" s="424"/>
      <c r="M228" s="87" t="str">
        <f t="shared" si="5"/>
        <v xml:space="preserve">   </v>
      </c>
    </row>
    <row r="229" spans="1:13" ht="12.75" hidden="1" customHeight="1" x14ac:dyDescent="0.2">
      <c r="A229" s="426"/>
      <c r="B229" s="158" t="str">
        <f>Capacidades!M518</f>
        <v xml:space="preserve">   </v>
      </c>
      <c r="C229" s="157"/>
      <c r="D229" s="13"/>
      <c r="E229" s="13"/>
      <c r="F229" s="14"/>
      <c r="G229" s="14"/>
      <c r="H229" s="14"/>
      <c r="I229" s="14"/>
      <c r="J229" s="14"/>
      <c r="K229" s="14"/>
      <c r="L229" s="424"/>
      <c r="M229" s="87" t="str">
        <f t="shared" si="5"/>
        <v xml:space="preserve">   </v>
      </c>
    </row>
    <row r="230" spans="1:13" ht="12.75" hidden="1" customHeight="1" x14ac:dyDescent="0.2">
      <c r="A230" s="426"/>
      <c r="B230" s="158" t="str">
        <f>Capacidades!M519</f>
        <v xml:space="preserve">   </v>
      </c>
      <c r="C230" s="157"/>
      <c r="D230" s="13"/>
      <c r="E230" s="13"/>
      <c r="F230" s="14"/>
      <c r="G230" s="14"/>
      <c r="H230" s="14"/>
      <c r="I230" s="14"/>
      <c r="J230" s="14"/>
      <c r="K230" s="14"/>
      <c r="L230" s="424"/>
      <c r="M230" s="87" t="str">
        <f t="shared" si="5"/>
        <v xml:space="preserve">   </v>
      </c>
    </row>
    <row r="231" spans="1:13" ht="12.75" hidden="1" customHeight="1" x14ac:dyDescent="0.2">
      <c r="A231" s="427"/>
      <c r="B231" s="158" t="str">
        <f>Capacidades!M520</f>
        <v xml:space="preserve">   </v>
      </c>
      <c r="C231" s="157"/>
      <c r="D231" s="15"/>
      <c r="E231" s="15"/>
      <c r="F231" s="16"/>
      <c r="G231" s="16"/>
      <c r="H231" s="16"/>
      <c r="I231" s="16"/>
      <c r="J231" s="16"/>
      <c r="K231" s="16"/>
      <c r="L231" s="432"/>
      <c r="M231" s="87" t="str">
        <f t="shared" si="5"/>
        <v xml:space="preserve">   </v>
      </c>
    </row>
    <row r="232" spans="1:13" ht="145.5" customHeight="1" x14ac:dyDescent="0.2">
      <c r="A232" s="425" t="str">
        <f>Capacidades!L521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232" s="158" t="str">
        <f>Capacidades!M521</f>
        <v>C1  I1 Ejerce los principios de la democracia tomando en cuenta la optimización de sus relaciones interpersonales.</v>
      </c>
      <c r="C232" s="240" t="s">
        <v>460</v>
      </c>
      <c r="D232" s="11" t="str">
        <f>Organización_Modular!F62</f>
        <v>Comportamiento ético</v>
      </c>
      <c r="E232" s="11" t="str">
        <f>Organización_Modular!G62</f>
        <v>II</v>
      </c>
      <c r="F232" s="11">
        <f>Organización_Modular!H62</f>
        <v>1</v>
      </c>
      <c r="G232" s="11">
        <f>Organización_Modular!I62</f>
        <v>1</v>
      </c>
      <c r="H232" s="12">
        <f>SUM(F232:G232)</f>
        <v>2</v>
      </c>
      <c r="I232" s="12">
        <f>F232*16</f>
        <v>16</v>
      </c>
      <c r="J232" s="12">
        <f>G232*32</f>
        <v>32</v>
      </c>
      <c r="K232" s="12">
        <f>SUM(I232:J232)</f>
        <v>48</v>
      </c>
      <c r="L232" s="423" t="s">
        <v>510</v>
      </c>
      <c r="M232" s="87" t="str">
        <f t="shared" si="5"/>
        <v>C1  I1 Ejerce los principios de la democracia tomando en cuenta la optimización de sus relaciones interpersonales.</v>
      </c>
    </row>
    <row r="233" spans="1:13" ht="186.75" customHeight="1" x14ac:dyDescent="0.2">
      <c r="A233" s="426"/>
      <c r="B233" s="158" t="str">
        <f>Capacidades!M522</f>
        <v>C1  I2 Aplica valores éticos  en el marco de sus relaciones laborales.</v>
      </c>
      <c r="C233" s="157" t="s">
        <v>461</v>
      </c>
      <c r="D233" s="13"/>
      <c r="E233" s="13"/>
      <c r="F233" s="14"/>
      <c r="G233" s="14"/>
      <c r="H233" s="14"/>
      <c r="I233" s="14"/>
      <c r="J233" s="14"/>
      <c r="K233" s="14"/>
      <c r="L233" s="424"/>
      <c r="M233" s="87" t="str">
        <f t="shared" si="5"/>
        <v>C1  I2 Aplica valores éticos  en el marco de sus relaciones laborales.</v>
      </c>
    </row>
    <row r="234" spans="1:13" ht="108" x14ac:dyDescent="0.2">
      <c r="A234" s="426"/>
      <c r="B234" s="158" t="str">
        <f>Capacidades!M523</f>
        <v>C2  I1 Actúa de manera ética  desde los múltiples roles que asume en su vida cotidiana y laboral fomentando una cultura transparente y de anticorrupción, orientada al bien común y a la ética profesional.</v>
      </c>
      <c r="C234" s="157" t="s">
        <v>462</v>
      </c>
      <c r="D234" s="13"/>
      <c r="E234" s="13"/>
      <c r="F234" s="14"/>
      <c r="G234" s="14"/>
      <c r="H234" s="14"/>
      <c r="I234" s="14"/>
      <c r="J234" s="14"/>
      <c r="K234" s="14"/>
      <c r="L234" s="424"/>
      <c r="M234" s="87" t="str">
        <f t="shared" si="5"/>
        <v>C2  I1 Actúa de manera ética  desde los múltiples roles que asume en su vida cotidiana y laboral fomentando una cultura transparente y de anticorrupción, orientada al bien común y a la ética profesional.</v>
      </c>
    </row>
    <row r="235" spans="1:13" ht="90" customHeight="1" x14ac:dyDescent="0.2">
      <c r="A235" s="426"/>
      <c r="B235" s="158" t="str">
        <f>Capacidades!M524</f>
        <v xml:space="preserve">C2  I2 Elabora  un código de ética  para su quehacer laboral orientado al bien común y a la dignidad de las personas. </v>
      </c>
      <c r="C235" s="157" t="s">
        <v>463</v>
      </c>
      <c r="D235" s="13"/>
      <c r="E235" s="13"/>
      <c r="F235" s="14"/>
      <c r="G235" s="14"/>
      <c r="H235" s="14"/>
      <c r="I235" s="14"/>
      <c r="J235" s="14"/>
      <c r="K235" s="14"/>
      <c r="L235" s="424"/>
      <c r="M235" s="87" t="str">
        <f t="shared" si="5"/>
        <v xml:space="preserve">C2  I2 Elabora  un código de ética  para su quehacer laboral orientado al bien común y a la dignidad de las personas. </v>
      </c>
    </row>
    <row r="236" spans="1:13" ht="0.75" hidden="1" customHeight="1" x14ac:dyDescent="0.2">
      <c r="A236" s="426"/>
      <c r="B236" s="158" t="str">
        <f>Capacidades!M525</f>
        <v xml:space="preserve">   </v>
      </c>
      <c r="C236" s="157"/>
      <c r="D236" s="13"/>
      <c r="E236" s="13"/>
      <c r="F236" s="14"/>
      <c r="G236" s="14"/>
      <c r="H236" s="14"/>
      <c r="I236" s="14"/>
      <c r="J236" s="14"/>
      <c r="K236" s="14"/>
      <c r="L236" s="424"/>
      <c r="M236" s="87" t="str">
        <f t="shared" si="5"/>
        <v xml:space="preserve">   </v>
      </c>
    </row>
    <row r="237" spans="1:13" ht="12.75" hidden="1" customHeight="1" x14ac:dyDescent="0.2">
      <c r="A237" s="426"/>
      <c r="B237" s="158" t="str">
        <f>Capacidades!M526</f>
        <v xml:space="preserve">   </v>
      </c>
      <c r="C237" s="157"/>
      <c r="D237" s="13"/>
      <c r="E237" s="13"/>
      <c r="F237" s="14"/>
      <c r="G237" s="14"/>
      <c r="H237" s="14"/>
      <c r="I237" s="14"/>
      <c r="J237" s="14"/>
      <c r="K237" s="14"/>
      <c r="L237" s="424"/>
      <c r="M237" s="87" t="str">
        <f t="shared" si="5"/>
        <v xml:space="preserve">   </v>
      </c>
    </row>
    <row r="238" spans="1:13" ht="12.75" hidden="1" customHeight="1" x14ac:dyDescent="0.2">
      <c r="A238" s="426"/>
      <c r="B238" s="158" t="str">
        <f>Capacidades!M527</f>
        <v xml:space="preserve">   </v>
      </c>
      <c r="C238" s="157"/>
      <c r="D238" s="13"/>
      <c r="E238" s="13"/>
      <c r="F238" s="14"/>
      <c r="G238" s="14"/>
      <c r="H238" s="14"/>
      <c r="I238" s="14"/>
      <c r="J238" s="14"/>
      <c r="K238" s="14"/>
      <c r="L238" s="424"/>
      <c r="M238" s="87" t="str">
        <f t="shared" si="5"/>
        <v xml:space="preserve">   </v>
      </c>
    </row>
    <row r="239" spans="1:13" ht="12.75" hidden="1" customHeight="1" x14ac:dyDescent="0.2">
      <c r="A239" s="426"/>
      <c r="B239" s="158" t="str">
        <f>Capacidades!M528</f>
        <v xml:space="preserve">   </v>
      </c>
      <c r="C239" s="157"/>
      <c r="D239" s="13"/>
      <c r="E239" s="13"/>
      <c r="F239" s="14"/>
      <c r="G239" s="14"/>
      <c r="H239" s="14"/>
      <c r="I239" s="14"/>
      <c r="J239" s="14"/>
      <c r="K239" s="14"/>
      <c r="L239" s="424"/>
      <c r="M239" s="87" t="str">
        <f t="shared" si="5"/>
        <v xml:space="preserve">   </v>
      </c>
    </row>
    <row r="240" spans="1:13" ht="12.75" hidden="1" customHeight="1" x14ac:dyDescent="0.2">
      <c r="A240" s="426"/>
      <c r="B240" s="158" t="str">
        <f>Capacidades!M529</f>
        <v xml:space="preserve">   </v>
      </c>
      <c r="C240" s="157"/>
      <c r="D240" s="13"/>
      <c r="E240" s="13"/>
      <c r="F240" s="14"/>
      <c r="G240" s="14"/>
      <c r="H240" s="14"/>
      <c r="I240" s="14"/>
      <c r="J240" s="14"/>
      <c r="K240" s="14"/>
      <c r="L240" s="424"/>
      <c r="M240" s="87" t="str">
        <f t="shared" si="5"/>
        <v xml:space="preserve">   </v>
      </c>
    </row>
    <row r="241" spans="1:13" ht="12.75" hidden="1" customHeight="1" x14ac:dyDescent="0.2">
      <c r="A241" s="427"/>
      <c r="B241" s="158" t="str">
        <f>Capacidades!M530</f>
        <v xml:space="preserve">   </v>
      </c>
      <c r="C241" s="160"/>
      <c r="D241" s="13"/>
      <c r="E241" s="13"/>
      <c r="F241" s="14"/>
      <c r="G241" s="14"/>
      <c r="H241" s="14"/>
      <c r="I241" s="14"/>
      <c r="J241" s="14"/>
      <c r="K241" s="14"/>
      <c r="L241" s="424"/>
      <c r="M241" s="87" t="str">
        <f t="shared" si="5"/>
        <v xml:space="preserve">   </v>
      </c>
    </row>
    <row r="242" spans="1:13" hidden="1" x14ac:dyDescent="0.2">
      <c r="A242" s="158"/>
      <c r="B242" s="158"/>
      <c r="C242" s="158"/>
      <c r="D242" s="158"/>
      <c r="E242" s="158"/>
      <c r="F242" s="158"/>
      <c r="G242" s="158"/>
      <c r="H242" s="158"/>
      <c r="I242" s="158"/>
      <c r="J242" s="158"/>
      <c r="K242" s="158"/>
      <c r="L242" s="158"/>
      <c r="M242" s="87">
        <f t="shared" si="5"/>
        <v>0</v>
      </c>
    </row>
    <row r="243" spans="1:13" ht="275.25" hidden="1" customHeight="1" x14ac:dyDescent="0.2">
      <c r="A243" s="158"/>
      <c r="B243" s="158"/>
      <c r="C243" s="158"/>
      <c r="D243" s="158"/>
      <c r="E243" s="158"/>
      <c r="F243" s="158"/>
      <c r="G243" s="158"/>
      <c r="H243" s="158"/>
      <c r="I243" s="158"/>
      <c r="J243" s="158"/>
      <c r="K243" s="158"/>
      <c r="L243" s="158"/>
      <c r="M243" s="87">
        <f t="shared" si="5"/>
        <v>0</v>
      </c>
    </row>
    <row r="244" spans="1:13" hidden="1" x14ac:dyDescent="0.2">
      <c r="A244" s="158"/>
      <c r="B244" s="158"/>
      <c r="C244" s="158"/>
      <c r="D244" s="158"/>
      <c r="E244" s="158"/>
      <c r="F244" s="158"/>
      <c r="G244" s="158"/>
      <c r="H244" s="158"/>
      <c r="I244" s="158"/>
      <c r="J244" s="158"/>
      <c r="K244" s="158"/>
      <c r="L244" s="158"/>
      <c r="M244" s="87">
        <f t="shared" si="5"/>
        <v>0</v>
      </c>
    </row>
    <row r="245" spans="1:13" hidden="1" x14ac:dyDescent="0.2">
      <c r="A245" s="158"/>
      <c r="B245" s="158"/>
      <c r="C245" s="158"/>
      <c r="D245" s="158"/>
      <c r="E245" s="158"/>
      <c r="F245" s="158"/>
      <c r="G245" s="158"/>
      <c r="H245" s="158"/>
      <c r="I245" s="158"/>
      <c r="J245" s="158"/>
      <c r="K245" s="158"/>
      <c r="L245" s="158"/>
      <c r="M245" s="87">
        <f t="shared" si="5"/>
        <v>0</v>
      </c>
    </row>
    <row r="246" spans="1:13" hidden="1" x14ac:dyDescent="0.2">
      <c r="A246" s="158"/>
      <c r="B246" s="158"/>
      <c r="C246" s="158"/>
      <c r="D246" s="158"/>
      <c r="E246" s="158"/>
      <c r="F246" s="158"/>
      <c r="G246" s="158"/>
      <c r="H246" s="158"/>
      <c r="I246" s="158"/>
      <c r="J246" s="158"/>
      <c r="K246" s="158"/>
      <c r="L246" s="158"/>
      <c r="M246" s="87">
        <f t="shared" si="5"/>
        <v>0</v>
      </c>
    </row>
    <row r="247" spans="1:13" hidden="1" x14ac:dyDescent="0.2">
      <c r="A247" s="158"/>
      <c r="B247" s="158"/>
      <c r="C247" s="158"/>
      <c r="D247" s="158"/>
      <c r="E247" s="158"/>
      <c r="F247" s="158"/>
      <c r="G247" s="158"/>
      <c r="H247" s="158"/>
      <c r="I247" s="158"/>
      <c r="J247" s="158"/>
      <c r="K247" s="158"/>
      <c r="L247" s="158"/>
      <c r="M247" s="87">
        <f t="shared" si="5"/>
        <v>0</v>
      </c>
    </row>
    <row r="248" spans="1:13" hidden="1" x14ac:dyDescent="0.2">
      <c r="A248" s="158"/>
      <c r="B248" s="158"/>
      <c r="C248" s="158"/>
      <c r="D248" s="158"/>
      <c r="E248" s="158"/>
      <c r="F248" s="158"/>
      <c r="G248" s="158"/>
      <c r="H248" s="158"/>
      <c r="I248" s="158"/>
      <c r="J248" s="158"/>
      <c r="K248" s="158"/>
      <c r="L248" s="158"/>
      <c r="M248" s="87">
        <f t="shared" si="5"/>
        <v>0</v>
      </c>
    </row>
    <row r="249" spans="1:13" hidden="1" x14ac:dyDescent="0.2">
      <c r="A249" s="158"/>
      <c r="B249" s="158"/>
      <c r="C249" s="158"/>
      <c r="D249" s="158"/>
      <c r="E249" s="158"/>
      <c r="F249" s="158"/>
      <c r="G249" s="158"/>
      <c r="H249" s="158"/>
      <c r="I249" s="158"/>
      <c r="J249" s="158"/>
      <c r="K249" s="158"/>
      <c r="L249" s="158"/>
      <c r="M249" s="87">
        <f t="shared" si="5"/>
        <v>0</v>
      </c>
    </row>
    <row r="250" spans="1:13" hidden="1" x14ac:dyDescent="0.2">
      <c r="A250" s="158"/>
      <c r="B250" s="158"/>
      <c r="C250" s="158"/>
      <c r="D250" s="158"/>
      <c r="E250" s="158"/>
      <c r="F250" s="158"/>
      <c r="G250" s="158"/>
      <c r="H250" s="158"/>
      <c r="I250" s="158"/>
      <c r="J250" s="158"/>
      <c r="K250" s="158"/>
      <c r="L250" s="158"/>
      <c r="M250" s="87">
        <f t="shared" si="5"/>
        <v>0</v>
      </c>
    </row>
    <row r="251" spans="1:13" hidden="1" x14ac:dyDescent="0.2">
      <c r="A251" s="158"/>
      <c r="B251" s="158"/>
      <c r="C251" s="158"/>
      <c r="D251" s="158"/>
      <c r="E251" s="158"/>
      <c r="F251" s="158"/>
      <c r="G251" s="158"/>
      <c r="H251" s="158"/>
      <c r="I251" s="158"/>
      <c r="J251" s="158"/>
      <c r="K251" s="158"/>
      <c r="L251" s="158"/>
      <c r="M251" s="87">
        <f t="shared" si="5"/>
        <v>0</v>
      </c>
    </row>
    <row r="252" spans="1:13" hidden="1" x14ac:dyDescent="0.2">
      <c r="A252" s="158"/>
      <c r="B252" s="158"/>
      <c r="C252" s="158"/>
      <c r="D252" s="158"/>
      <c r="E252" s="158"/>
      <c r="F252" s="158"/>
      <c r="G252" s="158"/>
      <c r="H252" s="158"/>
      <c r="I252" s="158"/>
      <c r="J252" s="158"/>
      <c r="K252" s="158"/>
      <c r="L252" s="158"/>
      <c r="M252" s="87">
        <f t="shared" si="5"/>
        <v>0</v>
      </c>
    </row>
    <row r="253" spans="1:13" hidden="1" x14ac:dyDescent="0.2">
      <c r="A253" s="158"/>
      <c r="B253" s="158"/>
      <c r="C253" s="158"/>
      <c r="D253" s="158"/>
      <c r="E253" s="158"/>
      <c r="F253" s="158"/>
      <c r="G253" s="158"/>
      <c r="H253" s="158"/>
      <c r="I253" s="158"/>
      <c r="J253" s="158"/>
      <c r="K253" s="158"/>
      <c r="L253" s="158"/>
      <c r="M253" s="87">
        <f t="shared" si="5"/>
        <v>0</v>
      </c>
    </row>
    <row r="254" spans="1:13" hidden="1" x14ac:dyDescent="0.2">
      <c r="A254" s="158"/>
      <c r="B254" s="158"/>
      <c r="C254" s="158"/>
      <c r="D254" s="158"/>
      <c r="E254" s="158"/>
      <c r="F254" s="158"/>
      <c r="G254" s="158"/>
      <c r="H254" s="158"/>
      <c r="I254" s="158"/>
      <c r="J254" s="158"/>
      <c r="K254" s="158"/>
      <c r="L254" s="158"/>
      <c r="M254" s="87">
        <f t="shared" si="5"/>
        <v>0</v>
      </c>
    </row>
    <row r="255" spans="1:13" hidden="1" x14ac:dyDescent="0.2">
      <c r="A255" s="158"/>
      <c r="B255" s="158"/>
      <c r="C255" s="158"/>
      <c r="D255" s="158"/>
      <c r="E255" s="158"/>
      <c r="F255" s="158"/>
      <c r="G255" s="158"/>
      <c r="H255" s="158"/>
      <c r="I255" s="158"/>
      <c r="J255" s="158"/>
      <c r="K255" s="158"/>
      <c r="L255" s="158"/>
      <c r="M255" s="87">
        <f t="shared" si="5"/>
        <v>0</v>
      </c>
    </row>
    <row r="256" spans="1:13" hidden="1" x14ac:dyDescent="0.2">
      <c r="A256" s="158"/>
      <c r="B256" s="158"/>
      <c r="C256" s="158"/>
      <c r="D256" s="158"/>
      <c r="E256" s="158"/>
      <c r="F256" s="158"/>
      <c r="G256" s="158"/>
      <c r="H256" s="158"/>
      <c r="I256" s="158"/>
      <c r="J256" s="158"/>
      <c r="K256" s="158"/>
      <c r="L256" s="158"/>
      <c r="M256" s="87">
        <f t="shared" si="5"/>
        <v>0</v>
      </c>
    </row>
    <row r="257" spans="1:13" hidden="1" x14ac:dyDescent="0.2">
      <c r="A257" s="158"/>
      <c r="B257" s="158"/>
      <c r="C257" s="158"/>
      <c r="D257" s="158"/>
      <c r="E257" s="158"/>
      <c r="F257" s="158"/>
      <c r="G257" s="158"/>
      <c r="H257" s="158"/>
      <c r="I257" s="158"/>
      <c r="J257" s="158"/>
      <c r="K257" s="158"/>
      <c r="L257" s="158"/>
      <c r="M257" s="87">
        <f t="shared" si="5"/>
        <v>0</v>
      </c>
    </row>
    <row r="258" spans="1:13" hidden="1" x14ac:dyDescent="0.2">
      <c r="A258" s="158"/>
      <c r="B258" s="158"/>
      <c r="C258" s="158"/>
      <c r="D258" s="158"/>
      <c r="E258" s="158"/>
      <c r="F258" s="158"/>
      <c r="G258" s="158"/>
      <c r="H258" s="158"/>
      <c r="I258" s="158"/>
      <c r="J258" s="158"/>
      <c r="K258" s="158"/>
      <c r="L258" s="158"/>
      <c r="M258" s="87">
        <f t="shared" si="5"/>
        <v>0</v>
      </c>
    </row>
    <row r="259" spans="1:13" hidden="1" x14ac:dyDescent="0.2">
      <c r="A259" s="158"/>
      <c r="B259" s="158"/>
      <c r="C259" s="158"/>
      <c r="D259" s="158"/>
      <c r="E259" s="158"/>
      <c r="F259" s="158"/>
      <c r="G259" s="158"/>
      <c r="H259" s="158"/>
      <c r="I259" s="158"/>
      <c r="J259" s="158"/>
      <c r="K259" s="158"/>
      <c r="L259" s="158"/>
      <c r="M259" s="87">
        <f t="shared" si="5"/>
        <v>0</v>
      </c>
    </row>
    <row r="260" spans="1:13" hidden="1" x14ac:dyDescent="0.2">
      <c r="A260" s="158"/>
      <c r="B260" s="158"/>
      <c r="C260" s="158"/>
      <c r="D260" s="158"/>
      <c r="E260" s="158"/>
      <c r="F260" s="158"/>
      <c r="G260" s="158"/>
      <c r="H260" s="158"/>
      <c r="I260" s="158"/>
      <c r="J260" s="158"/>
      <c r="K260" s="158"/>
      <c r="L260" s="158"/>
      <c r="M260" s="87">
        <f t="shared" si="5"/>
        <v>0</v>
      </c>
    </row>
    <row r="261" spans="1:13" hidden="1" x14ac:dyDescent="0.2">
      <c r="A261" s="158"/>
      <c r="B261" s="158"/>
      <c r="C261" s="158"/>
      <c r="D261" s="158"/>
      <c r="E261" s="158"/>
      <c r="F261" s="158"/>
      <c r="G261" s="158"/>
      <c r="H261" s="158"/>
      <c r="I261" s="158"/>
      <c r="J261" s="158"/>
      <c r="K261" s="158"/>
      <c r="L261" s="158"/>
      <c r="M261" s="87">
        <f t="shared" si="5"/>
        <v>0</v>
      </c>
    </row>
    <row r="262" spans="1:13" hidden="1" x14ac:dyDescent="0.2">
      <c r="A262" s="158"/>
      <c r="B262" s="158"/>
      <c r="C262" s="158"/>
      <c r="D262" s="158"/>
      <c r="E262" s="158"/>
      <c r="F262" s="158"/>
      <c r="G262" s="158"/>
      <c r="H262" s="158"/>
      <c r="I262" s="158"/>
      <c r="J262" s="158"/>
      <c r="K262" s="158"/>
      <c r="L262" s="158"/>
      <c r="M262" s="87">
        <f t="shared" si="5"/>
        <v>0</v>
      </c>
    </row>
    <row r="263" spans="1:13" hidden="1" x14ac:dyDescent="0.2">
      <c r="A263" s="158"/>
      <c r="B263" s="158"/>
      <c r="C263" s="158"/>
      <c r="D263" s="158"/>
      <c r="E263" s="158"/>
      <c r="F263" s="158"/>
      <c r="G263" s="158"/>
      <c r="H263" s="158"/>
      <c r="I263" s="158"/>
      <c r="J263" s="158"/>
      <c r="K263" s="158"/>
      <c r="L263" s="158"/>
      <c r="M263" s="87">
        <f t="shared" si="5"/>
        <v>0</v>
      </c>
    </row>
    <row r="264" spans="1:13" hidden="1" x14ac:dyDescent="0.2">
      <c r="A264" s="158"/>
      <c r="B264" s="158"/>
      <c r="C264" s="158"/>
      <c r="D264" s="158"/>
      <c r="E264" s="158"/>
      <c r="F264" s="158"/>
      <c r="G264" s="158"/>
      <c r="H264" s="158"/>
      <c r="I264" s="158"/>
      <c r="J264" s="158"/>
      <c r="K264" s="158"/>
      <c r="L264" s="158"/>
      <c r="M264" s="87">
        <f t="shared" si="5"/>
        <v>0</v>
      </c>
    </row>
    <row r="265" spans="1:13" hidden="1" x14ac:dyDescent="0.2">
      <c r="A265" s="158"/>
      <c r="B265" s="158"/>
      <c r="C265" s="158"/>
      <c r="D265" s="158"/>
      <c r="E265" s="158"/>
      <c r="F265" s="158"/>
      <c r="G265" s="158"/>
      <c r="H265" s="158"/>
      <c r="I265" s="158"/>
      <c r="J265" s="158"/>
      <c r="K265" s="158"/>
      <c r="L265" s="158"/>
      <c r="M265" s="87">
        <f t="shared" si="5"/>
        <v>0</v>
      </c>
    </row>
    <row r="266" spans="1:13" hidden="1" x14ac:dyDescent="0.2">
      <c r="A266" s="158"/>
      <c r="B266" s="158"/>
      <c r="C266" s="158"/>
      <c r="D266" s="158"/>
      <c r="E266" s="158"/>
      <c r="F266" s="158"/>
      <c r="G266" s="158"/>
      <c r="H266" s="158"/>
      <c r="I266" s="158"/>
      <c r="J266" s="158"/>
      <c r="K266" s="158"/>
      <c r="L266" s="158"/>
      <c r="M266" s="87">
        <f t="shared" si="5"/>
        <v>0</v>
      </c>
    </row>
    <row r="267" spans="1:13" hidden="1" x14ac:dyDescent="0.2">
      <c r="A267" s="158"/>
      <c r="B267" s="158"/>
      <c r="C267" s="158"/>
      <c r="D267" s="158"/>
      <c r="E267" s="158"/>
      <c r="F267" s="158"/>
      <c r="G267" s="158"/>
      <c r="H267" s="158"/>
      <c r="I267" s="158"/>
      <c r="J267" s="158"/>
      <c r="K267" s="158"/>
      <c r="L267" s="158"/>
      <c r="M267" s="87">
        <f t="shared" si="5"/>
        <v>0</v>
      </c>
    </row>
    <row r="268" spans="1:13" hidden="1" x14ac:dyDescent="0.2">
      <c r="A268" s="158"/>
      <c r="B268" s="158"/>
      <c r="C268" s="158"/>
      <c r="D268" s="158"/>
      <c r="E268" s="158"/>
      <c r="F268" s="158"/>
      <c r="G268" s="158"/>
      <c r="H268" s="158"/>
      <c r="I268" s="158"/>
      <c r="J268" s="158"/>
      <c r="K268" s="158"/>
      <c r="L268" s="158"/>
      <c r="M268" s="87">
        <f t="shared" si="5"/>
        <v>0</v>
      </c>
    </row>
    <row r="269" spans="1:13" hidden="1" x14ac:dyDescent="0.2">
      <c r="A269" s="158"/>
      <c r="B269" s="158"/>
      <c r="C269" s="158"/>
      <c r="D269" s="158"/>
      <c r="E269" s="158"/>
      <c r="F269" s="158"/>
      <c r="G269" s="158"/>
      <c r="H269" s="158"/>
      <c r="I269" s="158"/>
      <c r="J269" s="158"/>
      <c r="K269" s="158"/>
      <c r="L269" s="158"/>
      <c r="M269" s="87">
        <f t="shared" si="5"/>
        <v>0</v>
      </c>
    </row>
    <row r="270" spans="1:13" hidden="1" x14ac:dyDescent="0.2">
      <c r="A270" s="158"/>
      <c r="B270" s="158"/>
      <c r="C270" s="158"/>
      <c r="D270" s="158"/>
      <c r="E270" s="158"/>
      <c r="F270" s="158"/>
      <c r="G270" s="158"/>
      <c r="H270" s="158"/>
      <c r="I270" s="158"/>
      <c r="J270" s="158"/>
      <c r="K270" s="158"/>
      <c r="L270" s="158"/>
      <c r="M270" s="87">
        <f t="shared" si="5"/>
        <v>0</v>
      </c>
    </row>
    <row r="271" spans="1:13" hidden="1" x14ac:dyDescent="0.2">
      <c r="A271" s="158"/>
      <c r="B271" s="158"/>
      <c r="C271" s="158"/>
      <c r="D271" s="158"/>
      <c r="E271" s="158"/>
      <c r="F271" s="158"/>
      <c r="G271" s="158"/>
      <c r="H271" s="158"/>
      <c r="I271" s="158"/>
      <c r="J271" s="158"/>
      <c r="K271" s="158"/>
      <c r="L271" s="158"/>
      <c r="M271" s="87">
        <f t="shared" si="5"/>
        <v>0</v>
      </c>
    </row>
    <row r="272" spans="1:13" hidden="1" x14ac:dyDescent="0.2">
      <c r="A272" s="425" t="str">
        <f>Capacidades!L561</f>
        <v xml:space="preserve">       </v>
      </c>
      <c r="B272" s="158" t="str">
        <f>Capacidades!M561</f>
        <v xml:space="preserve">   </v>
      </c>
      <c r="C272" s="157"/>
      <c r="D272" s="11">
        <f>Organización_Modular!F66</f>
        <v>0</v>
      </c>
      <c r="E272" s="11">
        <f>Organización_Modular!G66</f>
        <v>0</v>
      </c>
      <c r="F272" s="11">
        <f>Organización_Modular!H66</f>
        <v>0</v>
      </c>
      <c r="G272" s="11">
        <f>Organización_Modular!I66</f>
        <v>0</v>
      </c>
      <c r="H272" s="12">
        <f>SUM(F272:G272)</f>
        <v>0</v>
      </c>
      <c r="I272" s="12">
        <f>F272*16</f>
        <v>0</v>
      </c>
      <c r="J272" s="12">
        <f>G272*32</f>
        <v>0</v>
      </c>
      <c r="K272" s="12">
        <f>SUM(I272:J272)</f>
        <v>0</v>
      </c>
      <c r="L272" s="445"/>
      <c r="M272" s="87" t="str">
        <f t="shared" si="5"/>
        <v xml:space="preserve">   </v>
      </c>
    </row>
    <row r="273" spans="1:13" hidden="1" x14ac:dyDescent="0.2">
      <c r="A273" s="426"/>
      <c r="B273" s="158" t="str">
        <f>Capacidades!M562</f>
        <v xml:space="preserve">   </v>
      </c>
      <c r="C273" s="157"/>
      <c r="D273" s="13"/>
      <c r="E273" s="13"/>
      <c r="F273" s="14"/>
      <c r="G273" s="14"/>
      <c r="H273" s="14"/>
      <c r="I273" s="14"/>
      <c r="J273" s="14"/>
      <c r="K273" s="14"/>
      <c r="L273" s="446"/>
      <c r="M273" s="87" t="str">
        <f t="shared" si="5"/>
        <v xml:space="preserve">   </v>
      </c>
    </row>
    <row r="274" spans="1:13" hidden="1" x14ac:dyDescent="0.2">
      <c r="A274" s="426"/>
      <c r="B274" s="158" t="str">
        <f>Capacidades!M563</f>
        <v xml:space="preserve">   </v>
      </c>
      <c r="C274" s="157"/>
      <c r="D274" s="13"/>
      <c r="E274" s="13"/>
      <c r="F274" s="14"/>
      <c r="G274" s="14"/>
      <c r="H274" s="14"/>
      <c r="I274" s="14"/>
      <c r="J274" s="14"/>
      <c r="K274" s="14"/>
      <c r="L274" s="446"/>
      <c r="M274" s="87" t="str">
        <f t="shared" si="5"/>
        <v xml:space="preserve">   </v>
      </c>
    </row>
    <row r="275" spans="1:13" hidden="1" x14ac:dyDescent="0.2">
      <c r="A275" s="426"/>
      <c r="B275" s="158" t="str">
        <f>Capacidades!M564</f>
        <v xml:space="preserve">   </v>
      </c>
      <c r="C275" s="157"/>
      <c r="D275" s="13"/>
      <c r="E275" s="13"/>
      <c r="F275" s="14"/>
      <c r="G275" s="14"/>
      <c r="H275" s="14"/>
      <c r="I275" s="14"/>
      <c r="J275" s="14"/>
      <c r="K275" s="14"/>
      <c r="L275" s="446"/>
      <c r="M275" s="87" t="str">
        <f t="shared" si="5"/>
        <v xml:space="preserve">   </v>
      </c>
    </row>
    <row r="276" spans="1:13" hidden="1" x14ac:dyDescent="0.2">
      <c r="A276" s="426"/>
      <c r="B276" s="158" t="str">
        <f>Capacidades!M565</f>
        <v xml:space="preserve">   </v>
      </c>
      <c r="C276" s="157"/>
      <c r="D276" s="13"/>
      <c r="E276" s="13"/>
      <c r="F276" s="14"/>
      <c r="G276" s="14"/>
      <c r="H276" s="14"/>
      <c r="I276" s="14"/>
      <c r="J276" s="14"/>
      <c r="K276" s="14"/>
      <c r="L276" s="446"/>
      <c r="M276" s="87" t="str">
        <f t="shared" si="5"/>
        <v xml:space="preserve">   </v>
      </c>
    </row>
    <row r="277" spans="1:13" hidden="1" x14ac:dyDescent="0.2">
      <c r="A277" s="426"/>
      <c r="B277" s="158" t="str">
        <f>Capacidades!M566</f>
        <v xml:space="preserve">   </v>
      </c>
      <c r="C277" s="157"/>
      <c r="D277" s="13"/>
      <c r="E277" s="13"/>
      <c r="F277" s="14"/>
      <c r="G277" s="14"/>
      <c r="H277" s="14"/>
      <c r="I277" s="14"/>
      <c r="J277" s="14"/>
      <c r="K277" s="14"/>
      <c r="L277" s="446"/>
      <c r="M277" s="87" t="str">
        <f t="shared" si="5"/>
        <v xml:space="preserve">   </v>
      </c>
    </row>
    <row r="278" spans="1:13" hidden="1" x14ac:dyDescent="0.2">
      <c r="A278" s="426"/>
      <c r="B278" s="158" t="str">
        <f>Capacidades!M567</f>
        <v xml:space="preserve">   </v>
      </c>
      <c r="C278" s="157"/>
      <c r="D278" s="13"/>
      <c r="E278" s="13"/>
      <c r="F278" s="14"/>
      <c r="G278" s="14"/>
      <c r="H278" s="14"/>
      <c r="I278" s="14"/>
      <c r="J278" s="14"/>
      <c r="K278" s="14"/>
      <c r="L278" s="446"/>
      <c r="M278" s="87" t="str">
        <f t="shared" si="5"/>
        <v xml:space="preserve">   </v>
      </c>
    </row>
    <row r="279" spans="1:13" hidden="1" x14ac:dyDescent="0.2">
      <c r="A279" s="426"/>
      <c r="B279" s="158" t="str">
        <f>Capacidades!M568</f>
        <v xml:space="preserve">   </v>
      </c>
      <c r="C279" s="157"/>
      <c r="D279" s="13"/>
      <c r="E279" s="13"/>
      <c r="F279" s="14"/>
      <c r="G279" s="14"/>
      <c r="H279" s="14"/>
      <c r="I279" s="14"/>
      <c r="J279" s="14"/>
      <c r="K279" s="14"/>
      <c r="L279" s="446"/>
      <c r="M279" s="87" t="str">
        <f t="shared" si="5"/>
        <v xml:space="preserve">   </v>
      </c>
    </row>
    <row r="280" spans="1:13" hidden="1" x14ac:dyDescent="0.2">
      <c r="A280" s="426"/>
      <c r="B280" s="158" t="str">
        <f>Capacidades!M569</f>
        <v xml:space="preserve">   </v>
      </c>
      <c r="C280" s="157"/>
      <c r="D280" s="13"/>
      <c r="E280" s="13"/>
      <c r="F280" s="14"/>
      <c r="G280" s="14"/>
      <c r="H280" s="14"/>
      <c r="I280" s="14"/>
      <c r="J280" s="14"/>
      <c r="K280" s="14"/>
      <c r="L280" s="446"/>
      <c r="M280" s="87" t="str">
        <f t="shared" si="5"/>
        <v xml:space="preserve">   </v>
      </c>
    </row>
    <row r="281" spans="1:13" hidden="1" x14ac:dyDescent="0.2">
      <c r="A281" s="427"/>
      <c r="B281" s="158" t="str">
        <f>Capacidades!M570</f>
        <v xml:space="preserve">   </v>
      </c>
      <c r="C281" s="160"/>
      <c r="D281" s="13"/>
      <c r="E281" s="13"/>
      <c r="F281" s="14"/>
      <c r="G281" s="14"/>
      <c r="H281" s="14"/>
      <c r="I281" s="14"/>
      <c r="J281" s="14"/>
      <c r="K281" s="14"/>
      <c r="L281" s="446"/>
      <c r="M281" s="87" t="str">
        <f t="shared" si="5"/>
        <v xml:space="preserve">   </v>
      </c>
    </row>
    <row r="282" spans="1:13" hidden="1" x14ac:dyDescent="0.2">
      <c r="A282" s="425" t="str">
        <f>Capacidades!L571</f>
        <v xml:space="preserve">       </v>
      </c>
      <c r="B282" s="158" t="str">
        <f>Capacidades!M571</f>
        <v xml:space="preserve">   </v>
      </c>
      <c r="C282" s="157"/>
      <c r="D282" s="11">
        <f>Organización_Modular!F67</f>
        <v>0</v>
      </c>
      <c r="E282" s="11">
        <f>Organización_Modular!G67</f>
        <v>0</v>
      </c>
      <c r="F282" s="11">
        <f>Organización_Modular!H67</f>
        <v>0</v>
      </c>
      <c r="G282" s="11">
        <f>Organización_Modular!I67</f>
        <v>0</v>
      </c>
      <c r="H282" s="12">
        <f>SUM(F282:G282)</f>
        <v>0</v>
      </c>
      <c r="I282" s="12">
        <f>F282*16</f>
        <v>0</v>
      </c>
      <c r="J282" s="12">
        <f>G282*32</f>
        <v>0</v>
      </c>
      <c r="K282" s="12">
        <f>SUM(I282:J282)</f>
        <v>0</v>
      </c>
      <c r="L282" s="445"/>
      <c r="M282" s="87" t="str">
        <f t="shared" si="5"/>
        <v xml:space="preserve">   </v>
      </c>
    </row>
    <row r="283" spans="1:13" hidden="1" x14ac:dyDescent="0.2">
      <c r="A283" s="426"/>
      <c r="B283" s="158" t="str">
        <f>Capacidades!M572</f>
        <v xml:space="preserve">   </v>
      </c>
      <c r="C283" s="157"/>
      <c r="D283" s="13"/>
      <c r="E283" s="13"/>
      <c r="F283" s="14"/>
      <c r="G283" s="14"/>
      <c r="H283" s="14"/>
      <c r="I283" s="14"/>
      <c r="J283" s="14"/>
      <c r="K283" s="14"/>
      <c r="L283" s="446"/>
      <c r="M283" s="87" t="str">
        <f t="shared" si="5"/>
        <v xml:space="preserve">   </v>
      </c>
    </row>
    <row r="284" spans="1:13" hidden="1" x14ac:dyDescent="0.2">
      <c r="A284" s="426"/>
      <c r="B284" s="158" t="str">
        <f>Capacidades!M573</f>
        <v xml:space="preserve">   </v>
      </c>
      <c r="C284" s="157"/>
      <c r="D284" s="13"/>
      <c r="E284" s="13"/>
      <c r="F284" s="14"/>
      <c r="G284" s="14"/>
      <c r="H284" s="14"/>
      <c r="I284" s="14"/>
      <c r="J284" s="14"/>
      <c r="K284" s="14"/>
      <c r="L284" s="446"/>
      <c r="M284" s="87" t="str">
        <f t="shared" si="5"/>
        <v xml:space="preserve">   </v>
      </c>
    </row>
    <row r="285" spans="1:13" hidden="1" x14ac:dyDescent="0.2">
      <c r="A285" s="426"/>
      <c r="B285" s="158" t="str">
        <f>Capacidades!M574</f>
        <v xml:space="preserve">   </v>
      </c>
      <c r="C285" s="157"/>
      <c r="D285" s="13"/>
      <c r="E285" s="13"/>
      <c r="F285" s="14"/>
      <c r="G285" s="14"/>
      <c r="H285" s="14"/>
      <c r="I285" s="14"/>
      <c r="J285" s="14"/>
      <c r="K285" s="14"/>
      <c r="L285" s="446"/>
      <c r="M285" s="87" t="str">
        <f t="shared" si="5"/>
        <v xml:space="preserve">   </v>
      </c>
    </row>
    <row r="286" spans="1:13" hidden="1" x14ac:dyDescent="0.2">
      <c r="A286" s="426"/>
      <c r="B286" s="158" t="str">
        <f>Capacidades!M575</f>
        <v xml:space="preserve">   </v>
      </c>
      <c r="C286" s="157"/>
      <c r="D286" s="13"/>
      <c r="E286" s="13"/>
      <c r="F286" s="14"/>
      <c r="G286" s="14"/>
      <c r="H286" s="14"/>
      <c r="I286" s="14"/>
      <c r="J286" s="14"/>
      <c r="K286" s="14"/>
      <c r="L286" s="446"/>
      <c r="M286" s="87" t="str">
        <f t="shared" si="5"/>
        <v xml:space="preserve">   </v>
      </c>
    </row>
    <row r="287" spans="1:13" hidden="1" x14ac:dyDescent="0.2">
      <c r="A287" s="426"/>
      <c r="B287" s="158" t="str">
        <f>Capacidades!M576</f>
        <v xml:space="preserve">   </v>
      </c>
      <c r="C287" s="157"/>
      <c r="D287" s="13"/>
      <c r="E287" s="13"/>
      <c r="F287" s="14"/>
      <c r="G287" s="14"/>
      <c r="H287" s="14"/>
      <c r="I287" s="14"/>
      <c r="J287" s="14"/>
      <c r="K287" s="14"/>
      <c r="L287" s="446"/>
      <c r="M287" s="87" t="str">
        <f t="shared" ref="M287:M321" si="6">B287</f>
        <v xml:space="preserve">   </v>
      </c>
    </row>
    <row r="288" spans="1:13" hidden="1" x14ac:dyDescent="0.2">
      <c r="A288" s="426"/>
      <c r="B288" s="158" t="str">
        <f>Capacidades!M577</f>
        <v xml:space="preserve">   </v>
      </c>
      <c r="C288" s="157"/>
      <c r="D288" s="13"/>
      <c r="E288" s="13"/>
      <c r="F288" s="14"/>
      <c r="G288" s="14"/>
      <c r="H288" s="14"/>
      <c r="I288" s="14"/>
      <c r="J288" s="14"/>
      <c r="K288" s="14"/>
      <c r="L288" s="446"/>
      <c r="M288" s="87" t="str">
        <f t="shared" si="6"/>
        <v xml:space="preserve">   </v>
      </c>
    </row>
    <row r="289" spans="1:13" hidden="1" x14ac:dyDescent="0.2">
      <c r="A289" s="426"/>
      <c r="B289" s="158" t="str">
        <f>Capacidades!M578</f>
        <v xml:space="preserve">   </v>
      </c>
      <c r="C289" s="157"/>
      <c r="D289" s="13"/>
      <c r="E289" s="13"/>
      <c r="F289" s="14"/>
      <c r="G289" s="14"/>
      <c r="H289" s="14"/>
      <c r="I289" s="14"/>
      <c r="J289" s="14"/>
      <c r="K289" s="14"/>
      <c r="L289" s="446"/>
      <c r="M289" s="87" t="str">
        <f t="shared" si="6"/>
        <v xml:space="preserve">   </v>
      </c>
    </row>
    <row r="290" spans="1:13" hidden="1" x14ac:dyDescent="0.2">
      <c r="A290" s="426"/>
      <c r="B290" s="158" t="str">
        <f>Capacidades!M579</f>
        <v xml:space="preserve">   </v>
      </c>
      <c r="C290" s="157"/>
      <c r="D290" s="13"/>
      <c r="E290" s="13"/>
      <c r="F290" s="14"/>
      <c r="G290" s="14"/>
      <c r="H290" s="14"/>
      <c r="I290" s="14"/>
      <c r="J290" s="14"/>
      <c r="K290" s="14"/>
      <c r="L290" s="446"/>
      <c r="M290" s="87" t="str">
        <f t="shared" si="6"/>
        <v xml:space="preserve">   </v>
      </c>
    </row>
    <row r="291" spans="1:13" hidden="1" x14ac:dyDescent="0.2">
      <c r="A291" s="427"/>
      <c r="B291" s="158" t="str">
        <f>Capacidades!M580</f>
        <v xml:space="preserve">   </v>
      </c>
      <c r="C291" s="160"/>
      <c r="D291" s="13"/>
      <c r="E291" s="13"/>
      <c r="F291" s="14"/>
      <c r="G291" s="14"/>
      <c r="H291" s="14"/>
      <c r="I291" s="14"/>
      <c r="J291" s="14"/>
      <c r="K291" s="14"/>
      <c r="L291" s="446"/>
      <c r="M291" s="87" t="str">
        <f t="shared" si="6"/>
        <v xml:space="preserve">   </v>
      </c>
    </row>
    <row r="292" spans="1:13" hidden="1" x14ac:dyDescent="0.2">
      <c r="A292" s="425" t="str">
        <f>Capacidades!L581</f>
        <v xml:space="preserve">       </v>
      </c>
      <c r="B292" s="158" t="str">
        <f>Capacidades!M581</f>
        <v xml:space="preserve">   </v>
      </c>
      <c r="C292" s="157"/>
      <c r="D292" s="11">
        <f>Organización_Modular!F68</f>
        <v>0</v>
      </c>
      <c r="E292" s="11">
        <f>Organización_Modular!G68</f>
        <v>0</v>
      </c>
      <c r="F292" s="11">
        <f>Organización_Modular!H68</f>
        <v>0</v>
      </c>
      <c r="G292" s="11">
        <f>Organización_Modular!I68</f>
        <v>0</v>
      </c>
      <c r="H292" s="12">
        <f>SUM(F292:G292)</f>
        <v>0</v>
      </c>
      <c r="I292" s="12">
        <f>F292*16</f>
        <v>0</v>
      </c>
      <c r="J292" s="12">
        <f>G292*32</f>
        <v>0</v>
      </c>
      <c r="K292" s="12">
        <f>SUM(I292:J292)</f>
        <v>0</v>
      </c>
      <c r="L292" s="445"/>
      <c r="M292" s="87" t="str">
        <f t="shared" si="6"/>
        <v xml:space="preserve">   </v>
      </c>
    </row>
    <row r="293" spans="1:13" hidden="1" x14ac:dyDescent="0.2">
      <c r="A293" s="426"/>
      <c r="B293" s="158" t="str">
        <f>Capacidades!M582</f>
        <v xml:space="preserve">   </v>
      </c>
      <c r="C293" s="157"/>
      <c r="D293" s="13"/>
      <c r="E293" s="13"/>
      <c r="F293" s="14"/>
      <c r="G293" s="14"/>
      <c r="H293" s="14"/>
      <c r="I293" s="14"/>
      <c r="J293" s="14"/>
      <c r="K293" s="14"/>
      <c r="L293" s="446"/>
      <c r="M293" s="87" t="str">
        <f t="shared" si="6"/>
        <v xml:space="preserve">   </v>
      </c>
    </row>
    <row r="294" spans="1:13" hidden="1" x14ac:dyDescent="0.2">
      <c r="A294" s="426"/>
      <c r="B294" s="158" t="str">
        <f>Capacidades!M583</f>
        <v xml:space="preserve">   </v>
      </c>
      <c r="C294" s="157"/>
      <c r="D294" s="13"/>
      <c r="E294" s="13"/>
      <c r="F294" s="14"/>
      <c r="G294" s="14"/>
      <c r="H294" s="14"/>
      <c r="I294" s="14"/>
      <c r="J294" s="14"/>
      <c r="K294" s="14"/>
      <c r="L294" s="446"/>
      <c r="M294" s="87" t="str">
        <f t="shared" si="6"/>
        <v xml:space="preserve">   </v>
      </c>
    </row>
    <row r="295" spans="1:13" hidden="1" x14ac:dyDescent="0.2">
      <c r="A295" s="426"/>
      <c r="B295" s="158" t="str">
        <f>Capacidades!M584</f>
        <v xml:space="preserve">   </v>
      </c>
      <c r="C295" s="157"/>
      <c r="D295" s="13"/>
      <c r="E295" s="13"/>
      <c r="F295" s="14"/>
      <c r="G295" s="14"/>
      <c r="H295" s="14"/>
      <c r="I295" s="14"/>
      <c r="J295" s="14"/>
      <c r="K295" s="14"/>
      <c r="L295" s="446"/>
      <c r="M295" s="87" t="str">
        <f t="shared" si="6"/>
        <v xml:space="preserve">   </v>
      </c>
    </row>
    <row r="296" spans="1:13" hidden="1" x14ac:dyDescent="0.2">
      <c r="A296" s="426"/>
      <c r="B296" s="158" t="str">
        <f>Capacidades!M585</f>
        <v xml:space="preserve">   </v>
      </c>
      <c r="C296" s="157"/>
      <c r="D296" s="13"/>
      <c r="E296" s="13"/>
      <c r="F296" s="14"/>
      <c r="G296" s="14"/>
      <c r="H296" s="14"/>
      <c r="I296" s="14"/>
      <c r="J296" s="14"/>
      <c r="K296" s="14"/>
      <c r="L296" s="446"/>
      <c r="M296" s="87" t="str">
        <f t="shared" si="6"/>
        <v xml:space="preserve">   </v>
      </c>
    </row>
    <row r="297" spans="1:13" hidden="1" x14ac:dyDescent="0.2">
      <c r="A297" s="426"/>
      <c r="B297" s="158" t="str">
        <f>Capacidades!M586</f>
        <v xml:space="preserve">   </v>
      </c>
      <c r="C297" s="157"/>
      <c r="D297" s="13"/>
      <c r="E297" s="13"/>
      <c r="F297" s="14"/>
      <c r="G297" s="14"/>
      <c r="H297" s="14"/>
      <c r="I297" s="14"/>
      <c r="J297" s="14"/>
      <c r="K297" s="14"/>
      <c r="L297" s="446"/>
      <c r="M297" s="87" t="str">
        <f t="shared" si="6"/>
        <v xml:space="preserve">   </v>
      </c>
    </row>
    <row r="298" spans="1:13" hidden="1" x14ac:dyDescent="0.2">
      <c r="A298" s="426"/>
      <c r="B298" s="158" t="str">
        <f>Capacidades!M587</f>
        <v xml:space="preserve">   </v>
      </c>
      <c r="C298" s="157"/>
      <c r="D298" s="13"/>
      <c r="E298" s="13"/>
      <c r="F298" s="14"/>
      <c r="G298" s="14"/>
      <c r="H298" s="14"/>
      <c r="I298" s="14"/>
      <c r="J298" s="14"/>
      <c r="K298" s="14"/>
      <c r="L298" s="446"/>
      <c r="M298" s="87" t="str">
        <f t="shared" si="6"/>
        <v xml:space="preserve">   </v>
      </c>
    </row>
    <row r="299" spans="1:13" hidden="1" x14ac:dyDescent="0.2">
      <c r="A299" s="426"/>
      <c r="B299" s="158" t="str">
        <f>Capacidades!M588</f>
        <v xml:space="preserve">   </v>
      </c>
      <c r="C299" s="157"/>
      <c r="D299" s="13"/>
      <c r="E299" s="13"/>
      <c r="F299" s="14"/>
      <c r="G299" s="14"/>
      <c r="H299" s="14"/>
      <c r="I299" s="14"/>
      <c r="J299" s="14"/>
      <c r="K299" s="14"/>
      <c r="L299" s="446"/>
      <c r="M299" s="87" t="str">
        <f t="shared" si="6"/>
        <v xml:space="preserve">   </v>
      </c>
    </row>
    <row r="300" spans="1:13" hidden="1" x14ac:dyDescent="0.2">
      <c r="A300" s="426"/>
      <c r="B300" s="158" t="str">
        <f>Capacidades!M589</f>
        <v xml:space="preserve">   </v>
      </c>
      <c r="C300" s="157"/>
      <c r="D300" s="13"/>
      <c r="E300" s="13"/>
      <c r="F300" s="14"/>
      <c r="G300" s="14"/>
      <c r="H300" s="14"/>
      <c r="I300" s="14"/>
      <c r="J300" s="14"/>
      <c r="K300" s="14"/>
      <c r="L300" s="446"/>
      <c r="M300" s="87" t="str">
        <f t="shared" si="6"/>
        <v xml:space="preserve">   </v>
      </c>
    </row>
    <row r="301" spans="1:13" hidden="1" x14ac:dyDescent="0.2">
      <c r="A301" s="427"/>
      <c r="B301" s="158" t="str">
        <f>Capacidades!M590</f>
        <v xml:space="preserve">   </v>
      </c>
      <c r="C301" s="160"/>
      <c r="D301" s="13"/>
      <c r="E301" s="13"/>
      <c r="F301" s="14"/>
      <c r="G301" s="14"/>
      <c r="H301" s="14"/>
      <c r="I301" s="14"/>
      <c r="J301" s="14"/>
      <c r="K301" s="14"/>
      <c r="L301" s="446"/>
      <c r="M301" s="87" t="str">
        <f t="shared" si="6"/>
        <v xml:space="preserve">   </v>
      </c>
    </row>
    <row r="302" spans="1:13" hidden="1" x14ac:dyDescent="0.2">
      <c r="A302" s="425" t="str">
        <f>Capacidades!L591</f>
        <v xml:space="preserve">       </v>
      </c>
      <c r="B302" s="158" t="str">
        <f>Capacidades!M591</f>
        <v xml:space="preserve">   </v>
      </c>
      <c r="C302" s="157"/>
      <c r="D302" s="11">
        <f>Organización_Modular!F69</f>
        <v>0</v>
      </c>
      <c r="E302" s="11">
        <f>Organización_Modular!G69</f>
        <v>0</v>
      </c>
      <c r="F302" s="11">
        <f>Organización_Modular!H69</f>
        <v>0</v>
      </c>
      <c r="G302" s="11">
        <f>Organización_Modular!I69</f>
        <v>0</v>
      </c>
      <c r="H302" s="12">
        <f>SUM(F302:G302)</f>
        <v>0</v>
      </c>
      <c r="I302" s="12">
        <f>F302*16</f>
        <v>0</v>
      </c>
      <c r="J302" s="12">
        <f>G302*32</f>
        <v>0</v>
      </c>
      <c r="K302" s="12">
        <f>SUM(I302:J302)</f>
        <v>0</v>
      </c>
      <c r="L302" s="445"/>
      <c r="M302" s="87" t="str">
        <f t="shared" si="6"/>
        <v xml:space="preserve">   </v>
      </c>
    </row>
    <row r="303" spans="1:13" hidden="1" x14ac:dyDescent="0.2">
      <c r="A303" s="426"/>
      <c r="B303" s="158" t="str">
        <f>Capacidades!M592</f>
        <v xml:space="preserve">   </v>
      </c>
      <c r="C303" s="157"/>
      <c r="D303" s="13"/>
      <c r="E303" s="13"/>
      <c r="F303" s="14"/>
      <c r="G303" s="14"/>
      <c r="H303" s="14"/>
      <c r="I303" s="14"/>
      <c r="J303" s="14"/>
      <c r="K303" s="14"/>
      <c r="L303" s="446"/>
      <c r="M303" s="87" t="str">
        <f t="shared" si="6"/>
        <v xml:space="preserve">   </v>
      </c>
    </row>
    <row r="304" spans="1:13" hidden="1" x14ac:dyDescent="0.2">
      <c r="A304" s="426"/>
      <c r="B304" s="158" t="str">
        <f>Capacidades!M593</f>
        <v xml:space="preserve">   </v>
      </c>
      <c r="C304" s="157"/>
      <c r="D304" s="13"/>
      <c r="E304" s="13"/>
      <c r="F304" s="14"/>
      <c r="G304" s="14"/>
      <c r="H304" s="14"/>
      <c r="I304" s="14"/>
      <c r="J304" s="14"/>
      <c r="K304" s="14"/>
      <c r="L304" s="446"/>
      <c r="M304" s="87" t="str">
        <f t="shared" si="6"/>
        <v xml:space="preserve">   </v>
      </c>
    </row>
    <row r="305" spans="1:13" hidden="1" x14ac:dyDescent="0.2">
      <c r="A305" s="426"/>
      <c r="B305" s="158" t="str">
        <f>Capacidades!M594</f>
        <v xml:space="preserve">   </v>
      </c>
      <c r="C305" s="157"/>
      <c r="D305" s="13"/>
      <c r="E305" s="13"/>
      <c r="F305" s="14"/>
      <c r="G305" s="14"/>
      <c r="H305" s="14"/>
      <c r="I305" s="14"/>
      <c r="J305" s="14"/>
      <c r="K305" s="14"/>
      <c r="L305" s="446"/>
      <c r="M305" s="87" t="str">
        <f t="shared" si="6"/>
        <v xml:space="preserve">   </v>
      </c>
    </row>
    <row r="306" spans="1:13" hidden="1" x14ac:dyDescent="0.2">
      <c r="A306" s="426"/>
      <c r="B306" s="158" t="str">
        <f>Capacidades!M595</f>
        <v xml:space="preserve">   </v>
      </c>
      <c r="C306" s="157"/>
      <c r="D306" s="13"/>
      <c r="E306" s="13"/>
      <c r="F306" s="14"/>
      <c r="G306" s="14"/>
      <c r="H306" s="14"/>
      <c r="I306" s="14"/>
      <c r="J306" s="14"/>
      <c r="K306" s="14"/>
      <c r="L306" s="446"/>
      <c r="M306" s="87" t="str">
        <f t="shared" si="6"/>
        <v xml:space="preserve">   </v>
      </c>
    </row>
    <row r="307" spans="1:13" hidden="1" x14ac:dyDescent="0.2">
      <c r="A307" s="426"/>
      <c r="B307" s="158" t="str">
        <f>Capacidades!M596</f>
        <v xml:space="preserve">   </v>
      </c>
      <c r="C307" s="157"/>
      <c r="D307" s="13"/>
      <c r="E307" s="13"/>
      <c r="F307" s="14"/>
      <c r="G307" s="14"/>
      <c r="H307" s="14"/>
      <c r="I307" s="14"/>
      <c r="J307" s="14"/>
      <c r="K307" s="14"/>
      <c r="L307" s="446"/>
      <c r="M307" s="87" t="str">
        <f t="shared" si="6"/>
        <v xml:space="preserve">   </v>
      </c>
    </row>
    <row r="308" spans="1:13" hidden="1" x14ac:dyDescent="0.2">
      <c r="A308" s="426"/>
      <c r="B308" s="158" t="str">
        <f>Capacidades!M597</f>
        <v xml:space="preserve">   </v>
      </c>
      <c r="C308" s="157"/>
      <c r="D308" s="13"/>
      <c r="E308" s="13"/>
      <c r="F308" s="14"/>
      <c r="G308" s="14"/>
      <c r="H308" s="14"/>
      <c r="I308" s="14"/>
      <c r="J308" s="14"/>
      <c r="K308" s="14"/>
      <c r="L308" s="446"/>
      <c r="M308" s="87" t="str">
        <f t="shared" si="6"/>
        <v xml:space="preserve">   </v>
      </c>
    </row>
    <row r="309" spans="1:13" hidden="1" x14ac:dyDescent="0.2">
      <c r="A309" s="426"/>
      <c r="B309" s="158" t="str">
        <f>Capacidades!M598</f>
        <v xml:space="preserve">   </v>
      </c>
      <c r="C309" s="157"/>
      <c r="D309" s="13"/>
      <c r="E309" s="13"/>
      <c r="F309" s="14"/>
      <c r="G309" s="14"/>
      <c r="H309" s="14"/>
      <c r="I309" s="14"/>
      <c r="J309" s="14"/>
      <c r="K309" s="14"/>
      <c r="L309" s="446"/>
      <c r="M309" s="87" t="str">
        <f t="shared" si="6"/>
        <v xml:space="preserve">   </v>
      </c>
    </row>
    <row r="310" spans="1:13" hidden="1" x14ac:dyDescent="0.2">
      <c r="A310" s="426"/>
      <c r="B310" s="158" t="str">
        <f>Capacidades!M599</f>
        <v xml:space="preserve">   </v>
      </c>
      <c r="C310" s="157"/>
      <c r="D310" s="13"/>
      <c r="E310" s="13"/>
      <c r="F310" s="14"/>
      <c r="G310" s="14"/>
      <c r="H310" s="14"/>
      <c r="I310" s="14"/>
      <c r="J310" s="14"/>
      <c r="K310" s="14"/>
      <c r="L310" s="446"/>
      <c r="M310" s="87" t="str">
        <f t="shared" si="6"/>
        <v xml:space="preserve">   </v>
      </c>
    </row>
    <row r="311" spans="1:13" hidden="1" x14ac:dyDescent="0.2">
      <c r="A311" s="427"/>
      <c r="B311" s="158" t="str">
        <f>Capacidades!M600</f>
        <v xml:space="preserve">   </v>
      </c>
      <c r="C311" s="160"/>
      <c r="D311" s="13"/>
      <c r="E311" s="13"/>
      <c r="F311" s="14"/>
      <c r="G311" s="14"/>
      <c r="H311" s="14"/>
      <c r="I311" s="14"/>
      <c r="J311" s="14"/>
      <c r="K311" s="14"/>
      <c r="L311" s="446"/>
      <c r="M311" s="87" t="str">
        <f t="shared" si="6"/>
        <v xml:space="preserve">   </v>
      </c>
    </row>
    <row r="312" spans="1:13" hidden="1" x14ac:dyDescent="0.2">
      <c r="A312" s="425" t="str">
        <f>Capacidades!L601</f>
        <v xml:space="preserve">       </v>
      </c>
      <c r="B312" s="158" t="str">
        <f>Capacidades!M601</f>
        <v xml:space="preserve">   </v>
      </c>
      <c r="C312" s="157"/>
      <c r="D312" s="11">
        <f>Organización_Modular!F70</f>
        <v>0</v>
      </c>
      <c r="E312" s="11">
        <f>Organización_Modular!G70</f>
        <v>0</v>
      </c>
      <c r="F312" s="11">
        <f>Organización_Modular!H70</f>
        <v>0</v>
      </c>
      <c r="G312" s="11">
        <f>Organización_Modular!I70</f>
        <v>0</v>
      </c>
      <c r="H312" s="12">
        <f>SUM(F312:G312)</f>
        <v>0</v>
      </c>
      <c r="I312" s="12">
        <f>F312*16</f>
        <v>0</v>
      </c>
      <c r="J312" s="12">
        <f>G312*32</f>
        <v>0</v>
      </c>
      <c r="K312" s="12">
        <f>SUM(I312:J312)</f>
        <v>0</v>
      </c>
      <c r="L312" s="445"/>
      <c r="M312" s="87" t="str">
        <f t="shared" si="6"/>
        <v xml:space="preserve">   </v>
      </c>
    </row>
    <row r="313" spans="1:13" hidden="1" x14ac:dyDescent="0.2">
      <c r="A313" s="426"/>
      <c r="B313" s="158" t="str">
        <f>Capacidades!M602</f>
        <v xml:space="preserve">   </v>
      </c>
      <c r="C313" s="157"/>
      <c r="D313" s="13"/>
      <c r="E313" s="13"/>
      <c r="F313" s="14"/>
      <c r="G313" s="14"/>
      <c r="H313" s="14"/>
      <c r="I313" s="14"/>
      <c r="J313" s="14"/>
      <c r="K313" s="14"/>
      <c r="L313" s="446"/>
      <c r="M313" s="87" t="str">
        <f t="shared" si="6"/>
        <v xml:space="preserve">   </v>
      </c>
    </row>
    <row r="314" spans="1:13" hidden="1" x14ac:dyDescent="0.2">
      <c r="A314" s="426"/>
      <c r="B314" s="158" t="str">
        <f>Capacidades!M603</f>
        <v xml:space="preserve">   </v>
      </c>
      <c r="C314" s="157"/>
      <c r="D314" s="13"/>
      <c r="E314" s="13"/>
      <c r="F314" s="14"/>
      <c r="G314" s="14"/>
      <c r="H314" s="14"/>
      <c r="I314" s="14"/>
      <c r="J314" s="14"/>
      <c r="K314" s="14"/>
      <c r="L314" s="446"/>
      <c r="M314" s="87" t="str">
        <f t="shared" si="6"/>
        <v xml:space="preserve">   </v>
      </c>
    </row>
    <row r="315" spans="1:13" hidden="1" x14ac:dyDescent="0.2">
      <c r="A315" s="426"/>
      <c r="B315" s="158" t="str">
        <f>Capacidades!M604</f>
        <v xml:space="preserve">   </v>
      </c>
      <c r="C315" s="157"/>
      <c r="D315" s="13"/>
      <c r="E315" s="13"/>
      <c r="F315" s="14"/>
      <c r="G315" s="14"/>
      <c r="H315" s="14"/>
      <c r="I315" s="14"/>
      <c r="J315" s="14"/>
      <c r="K315" s="14"/>
      <c r="L315" s="446"/>
      <c r="M315" s="87" t="str">
        <f t="shared" si="6"/>
        <v xml:space="preserve">   </v>
      </c>
    </row>
    <row r="316" spans="1:13" hidden="1" x14ac:dyDescent="0.2">
      <c r="A316" s="426"/>
      <c r="B316" s="158" t="str">
        <f>Capacidades!M605</f>
        <v xml:space="preserve">   </v>
      </c>
      <c r="C316" s="157"/>
      <c r="D316" s="13"/>
      <c r="E316" s="13"/>
      <c r="F316" s="14"/>
      <c r="G316" s="14"/>
      <c r="H316" s="14"/>
      <c r="I316" s="14"/>
      <c r="J316" s="14"/>
      <c r="K316" s="14"/>
      <c r="L316" s="446"/>
      <c r="M316" s="87" t="str">
        <f t="shared" si="6"/>
        <v xml:space="preserve">   </v>
      </c>
    </row>
    <row r="317" spans="1:13" hidden="1" x14ac:dyDescent="0.2">
      <c r="A317" s="426"/>
      <c r="B317" s="158" t="str">
        <f>Capacidades!M606</f>
        <v xml:space="preserve">   </v>
      </c>
      <c r="C317" s="157"/>
      <c r="D317" s="13"/>
      <c r="E317" s="13"/>
      <c r="F317" s="14"/>
      <c r="G317" s="14"/>
      <c r="H317" s="14"/>
      <c r="I317" s="14"/>
      <c r="J317" s="14"/>
      <c r="K317" s="14"/>
      <c r="L317" s="446"/>
      <c r="M317" s="87" t="str">
        <f t="shared" si="6"/>
        <v xml:space="preserve">   </v>
      </c>
    </row>
    <row r="318" spans="1:13" hidden="1" x14ac:dyDescent="0.2">
      <c r="A318" s="426"/>
      <c r="B318" s="158" t="str">
        <f>Capacidades!M607</f>
        <v xml:space="preserve">   </v>
      </c>
      <c r="C318" s="157"/>
      <c r="D318" s="13"/>
      <c r="E318" s="13"/>
      <c r="F318" s="14"/>
      <c r="G318" s="14"/>
      <c r="H318" s="14"/>
      <c r="I318" s="14"/>
      <c r="J318" s="14"/>
      <c r="K318" s="14"/>
      <c r="L318" s="446"/>
      <c r="M318" s="87" t="str">
        <f t="shared" si="6"/>
        <v xml:space="preserve">   </v>
      </c>
    </row>
    <row r="319" spans="1:13" hidden="1" x14ac:dyDescent="0.2">
      <c r="A319" s="426"/>
      <c r="B319" s="158" t="str">
        <f>Capacidades!M608</f>
        <v xml:space="preserve">   </v>
      </c>
      <c r="C319" s="157"/>
      <c r="D319" s="13"/>
      <c r="E319" s="13"/>
      <c r="F319" s="14"/>
      <c r="G319" s="14"/>
      <c r="H319" s="14"/>
      <c r="I319" s="14"/>
      <c r="J319" s="14"/>
      <c r="K319" s="14"/>
      <c r="L319" s="446"/>
      <c r="M319" s="87" t="str">
        <f t="shared" si="6"/>
        <v xml:space="preserve">   </v>
      </c>
    </row>
    <row r="320" spans="1:13" hidden="1" x14ac:dyDescent="0.2">
      <c r="A320" s="426"/>
      <c r="B320" s="158" t="str">
        <f>Capacidades!M609</f>
        <v xml:space="preserve">   </v>
      </c>
      <c r="C320" s="157"/>
      <c r="D320" s="13"/>
      <c r="E320" s="13"/>
      <c r="F320" s="14"/>
      <c r="G320" s="14"/>
      <c r="H320" s="14"/>
      <c r="I320" s="14"/>
      <c r="J320" s="14"/>
      <c r="K320" s="14"/>
      <c r="L320" s="446"/>
      <c r="M320" s="87" t="str">
        <f t="shared" si="6"/>
        <v xml:space="preserve">   </v>
      </c>
    </row>
    <row r="321" spans="1:13" hidden="1" x14ac:dyDescent="0.2">
      <c r="A321" s="427"/>
      <c r="B321" s="158" t="str">
        <f>Capacidades!M610</f>
        <v xml:space="preserve">   </v>
      </c>
      <c r="C321" s="160"/>
      <c r="D321" s="13"/>
      <c r="E321" s="13"/>
      <c r="F321" s="14"/>
      <c r="G321" s="14"/>
      <c r="H321" s="14"/>
      <c r="I321" s="14"/>
      <c r="J321" s="14"/>
      <c r="K321" s="14"/>
      <c r="L321" s="446"/>
      <c r="M321" s="87" t="str">
        <f t="shared" si="6"/>
        <v xml:space="preserve">   </v>
      </c>
    </row>
    <row r="322" spans="1:13" ht="15.75" x14ac:dyDescent="0.2">
      <c r="A322" s="489" t="s">
        <v>87</v>
      </c>
      <c r="B322" s="489"/>
      <c r="C322" s="489"/>
      <c r="D322" s="489"/>
      <c r="E322" s="489"/>
      <c r="F322" s="489"/>
      <c r="G322" s="489"/>
      <c r="H322" s="489"/>
      <c r="I322" s="489"/>
      <c r="J322" s="489"/>
      <c r="K322" s="489"/>
      <c r="L322" s="489"/>
      <c r="M322" s="87" t="str">
        <f>A322</f>
        <v xml:space="preserve">COMPETENCIAS PARA LA EMPLEABILIDAD INCORPORADAS COMO CONTENIDO  TRANSVERSAL </v>
      </c>
    </row>
    <row r="323" spans="1:13" ht="32.25" customHeight="1" x14ac:dyDescent="0.2">
      <c r="A323" s="493" t="str">
        <f>'M1'!A323:L323</f>
        <v>CE5  Liderazgo Personal y Profesional:
 Articular recursos y potencialidades de cada integrante de su equipo logrando un trabajo comprometido, colaborativo, creativo, ético, sensible a su contexto social y ambiente, en pro del bien común.</v>
      </c>
      <c r="B323" s="493"/>
      <c r="C323" s="493"/>
      <c r="D323" s="493"/>
      <c r="E323" s="493"/>
      <c r="F323" s="493"/>
      <c r="G323" s="493"/>
      <c r="H323" s="493"/>
      <c r="I323" s="493"/>
      <c r="J323" s="493"/>
      <c r="K323" s="493"/>
      <c r="L323" s="493"/>
      <c r="M323" s="87" t="str">
        <f t="shared" ref="M323:M358" si="7">A323</f>
        <v>CE5  Liderazgo Personal y Profesional:
 Articular recursos y potencialidades de cada integrante de su equipo logrando un trabajo comprometido, colaborativo, creativo, ético, sensible a su contexto social y ambiente, en pro del bien común.</v>
      </c>
    </row>
    <row r="324" spans="1:13" ht="24" customHeight="1" x14ac:dyDescent="0.2">
      <c r="A324" s="493" t="str">
        <f>'M1'!A324:L324</f>
        <v>CE6  Cultura ambiental.- Convivir de manera ética, autónoma, responsable y sostenible, previniendo, reduciendo y controlando permanente y progresivamente los impactos ambientales.</v>
      </c>
      <c r="B324" s="493"/>
      <c r="C324" s="493"/>
      <c r="D324" s="493"/>
      <c r="E324" s="493"/>
      <c r="F324" s="493"/>
      <c r="G324" s="493"/>
      <c r="H324" s="493"/>
      <c r="I324" s="493"/>
      <c r="J324" s="493"/>
      <c r="K324" s="493"/>
      <c r="L324" s="493"/>
      <c r="M324" s="87" t="str">
        <f t="shared" si="7"/>
        <v>CE6  Cultura ambiental.- Convivir de manera ética, autónoma, responsable y sostenible, previniendo, reduciendo y controlando permanente y progresivamente los impactos ambientales.</v>
      </c>
    </row>
    <row r="325" spans="1:13" ht="18.75" customHeight="1" x14ac:dyDescent="0.2">
      <c r="A325" s="493"/>
      <c r="B325" s="493"/>
      <c r="C325" s="493"/>
      <c r="D325" s="493"/>
      <c r="E325" s="493"/>
      <c r="F325" s="493"/>
      <c r="G325" s="493"/>
      <c r="H325" s="493"/>
      <c r="I325" s="493"/>
      <c r="J325" s="493"/>
      <c r="K325" s="493"/>
      <c r="L325" s="493"/>
      <c r="M325" s="87">
        <f t="shared" si="7"/>
        <v>0</v>
      </c>
    </row>
    <row r="326" spans="1:13" ht="25.5" customHeight="1" x14ac:dyDescent="0.2">
      <c r="A326" s="459" t="s">
        <v>73</v>
      </c>
      <c r="B326" s="459"/>
      <c r="C326" s="459" t="s">
        <v>72</v>
      </c>
      <c r="D326" s="459"/>
      <c r="E326" s="459"/>
      <c r="F326" s="459"/>
      <c r="G326" s="459"/>
      <c r="H326" s="459"/>
      <c r="I326" s="459"/>
      <c r="J326" s="459"/>
      <c r="K326" s="459"/>
      <c r="L326" s="459"/>
      <c r="M326" s="87" t="str">
        <f t="shared" si="7"/>
        <v>CAPACIDADES A FORTALECER</v>
      </c>
    </row>
    <row r="327" spans="1:13" ht="142.5" customHeight="1" x14ac:dyDescent="0.2">
      <c r="A327" s="493" t="str">
        <f ca="1">OFFSET($A$9,(ROW()-326)*10-1,0)</f>
        <v xml:space="preserve">UC2 C1 Realizar el procesamiento y transmisión de la información y/o documentación, teniendo en cuenta los medios adecuados,  la confiabilidad,  en función a los objetivos de la organización y procedimientos establecidos.    </v>
      </c>
      <c r="B327" s="493"/>
      <c r="C327" s="494" t="str">
        <f>'M1'!C327:L356</f>
        <v xml:space="preserve">CE5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CE6 Cultura Ambiental:
1. Establecer como política institucional la práctica de la cultura ambiental, buscando el punto de equilibrio entre las actividades humanas y el medio ambiente. 
2. Implementar normas institucionales para laS buenas práctica educativas   manera paulatina. </v>
      </c>
      <c r="D327" s="495"/>
      <c r="E327" s="495"/>
      <c r="F327" s="495"/>
      <c r="G327" s="495"/>
      <c r="H327" s="495"/>
      <c r="I327" s="495"/>
      <c r="J327" s="495"/>
      <c r="K327" s="495"/>
      <c r="L327" s="496"/>
      <c r="M327" s="87" t="str">
        <f t="shared" ca="1" si="7"/>
        <v xml:space="preserve">UC2 C1 Realizar el procesamiento y transmisión de la información y/o documentación, teniendo en cuenta los medios adecuados,  la confiabilidad,  en función a los objetivos de la organización y procedimientos establecidos.    </v>
      </c>
    </row>
    <row r="328" spans="1:13" ht="50.25" customHeight="1" x14ac:dyDescent="0.2">
      <c r="A328" s="493" t="str">
        <f t="shared" ref="A328:A346" ca="1" si="8">OFFSET($A$9,(ROW()-326)*10-1,0)</f>
        <v xml:space="preserve">UC2 C2 Ejecutar  actividades administrativas de apoyo2,  en función de los objetivos de la organización, los procedimientos establecidos y el área asignada.    </v>
      </c>
      <c r="B328" s="493"/>
      <c r="C328" s="497"/>
      <c r="D328" s="498"/>
      <c r="E328" s="498"/>
      <c r="F328" s="498"/>
      <c r="G328" s="498"/>
      <c r="H328" s="498"/>
      <c r="I328" s="498"/>
      <c r="J328" s="498"/>
      <c r="K328" s="498"/>
      <c r="L328" s="499"/>
      <c r="M328" s="87" t="str">
        <f t="shared" ca="1" si="7"/>
        <v xml:space="preserve">UC2 C2 Ejecutar  actividades administrativas de apoyo2,  en función de los objetivos de la organización, los procedimientos establecidos y el área asignada.    </v>
      </c>
    </row>
    <row r="329" spans="1:13" ht="39" customHeight="1" x14ac:dyDescent="0.2">
      <c r="A329" s="493" t="str">
        <f t="shared" ca="1" si="8"/>
        <v xml:space="preserve">UC2 C3 Atender las comunicaciones, consultas, y/o centro de atención virtual,  utilizando los medios adecuados y protocolos de la organización.    </v>
      </c>
      <c r="B329" s="493"/>
      <c r="C329" s="497"/>
      <c r="D329" s="498"/>
      <c r="E329" s="498"/>
      <c r="F329" s="498"/>
      <c r="G329" s="498"/>
      <c r="H329" s="498"/>
      <c r="I329" s="498"/>
      <c r="J329" s="498"/>
      <c r="K329" s="498"/>
      <c r="L329" s="499"/>
      <c r="M329" s="87" t="str">
        <f t="shared" ca="1" si="7"/>
        <v xml:space="preserve">UC2 C3 Atender las comunicaciones, consultas, y/o centro de atención virtual,  utilizando los medios adecuados y protocolos de la organización.    </v>
      </c>
    </row>
    <row r="330" spans="1:13" ht="39" customHeight="1" x14ac:dyDescent="0.2">
      <c r="A330" s="493" t="str">
        <f t="shared" ca="1" si="8"/>
        <v xml:space="preserve">UC2 C4 Realiza  la revisisón de información y/o documentación  en función a los requerimientos de la organización y procedimientos establecidos.    </v>
      </c>
      <c r="B330" s="493"/>
      <c r="C330" s="497"/>
      <c r="D330" s="498"/>
      <c r="E330" s="498"/>
      <c r="F330" s="498"/>
      <c r="G330" s="498"/>
      <c r="H330" s="498"/>
      <c r="I330" s="498"/>
      <c r="J330" s="498"/>
      <c r="K330" s="498"/>
      <c r="L330" s="499"/>
      <c r="M330" s="87" t="str">
        <f t="shared" ca="1" si="7"/>
        <v xml:space="preserve">UC2 C4 Realiza  la revisisón de información y/o documentación  en función a los requerimientos de la organización y procedimientos establecidos.    </v>
      </c>
    </row>
    <row r="331" spans="1:13" ht="42" customHeight="1" x14ac:dyDescent="0.2">
      <c r="A331" s="493" t="str">
        <f t="shared" ca="1" si="8"/>
        <v>UC3 C1 Organizar  el sistema de gestión de archivos según políticas de la organización y normativa vigente. UC3 C2 Realizar  la clasificación de documentos según políticas de la organización y normativa vigente.</v>
      </c>
      <c r="B331" s="493"/>
      <c r="C331" s="497"/>
      <c r="D331" s="498"/>
      <c r="E331" s="498"/>
      <c r="F331" s="498"/>
      <c r="G331" s="498"/>
      <c r="H331" s="498"/>
      <c r="I331" s="498"/>
      <c r="J331" s="498"/>
      <c r="K331" s="498"/>
      <c r="L331" s="499"/>
      <c r="M331" s="87" t="str">
        <f t="shared" ca="1" si="7"/>
        <v>UC3 C1 Organizar  el sistema de gestión de archivos según políticas de la organización y normativa vigente. UC3 C2 Realizar  la clasificación de documentos según políticas de la organización y normativa vigente.</v>
      </c>
    </row>
    <row r="332" spans="1:13" ht="50.25" customHeight="1" x14ac:dyDescent="0.2">
      <c r="A332" s="493" t="str">
        <f t="shared" ca="1" si="8"/>
        <v>UC3 C3 Archivar los documentos de gestión  según políticas de la organización y normativa vigente. UC3 C4 Realizar  el archivo, mantenimiento y conservación de los documentos según políticas de la organización y normativa vigente.</v>
      </c>
      <c r="B332" s="493"/>
      <c r="C332" s="497"/>
      <c r="D332" s="498"/>
      <c r="E332" s="498"/>
      <c r="F332" s="498"/>
      <c r="G332" s="498"/>
      <c r="H332" s="498"/>
      <c r="I332" s="498"/>
      <c r="J332" s="498"/>
      <c r="K332" s="498"/>
      <c r="L332" s="499"/>
      <c r="M332" s="87" t="str">
        <f t="shared" ca="1" si="7"/>
        <v>UC3 C3 Archivar los documentos de gestión  según políticas de la organización y normativa vigente. UC3 C4 Realizar  el archivo, mantenimiento y conservación de los documentos según políticas de la organización y normativa vigente.</v>
      </c>
    </row>
    <row r="333" spans="1:13" ht="20.25" hidden="1" customHeight="1" x14ac:dyDescent="0.2">
      <c r="A333" s="493" t="str">
        <f t="shared" ca="1" si="8"/>
        <v xml:space="preserve">       </v>
      </c>
      <c r="B333" s="493"/>
      <c r="C333" s="497"/>
      <c r="D333" s="498"/>
      <c r="E333" s="498"/>
      <c r="F333" s="498"/>
      <c r="G333" s="498"/>
      <c r="H333" s="498"/>
      <c r="I333" s="498"/>
      <c r="J333" s="498"/>
      <c r="K333" s="498"/>
      <c r="L333" s="499"/>
      <c r="M333" s="87" t="str">
        <f t="shared" ca="1" si="7"/>
        <v xml:space="preserve">       </v>
      </c>
    </row>
    <row r="334" spans="1:13" ht="20.25" hidden="1" customHeight="1" x14ac:dyDescent="0.2">
      <c r="A334" s="493" t="str">
        <f t="shared" ca="1" si="8"/>
        <v xml:space="preserve">       </v>
      </c>
      <c r="B334" s="493"/>
      <c r="C334" s="497"/>
      <c r="D334" s="498"/>
      <c r="E334" s="498"/>
      <c r="F334" s="498"/>
      <c r="G334" s="498"/>
      <c r="H334" s="498"/>
      <c r="I334" s="498"/>
      <c r="J334" s="498"/>
      <c r="K334" s="498"/>
      <c r="L334" s="499"/>
      <c r="M334" s="87" t="str">
        <f t="shared" ca="1" si="7"/>
        <v xml:space="preserve">       </v>
      </c>
    </row>
    <row r="335" spans="1:13" ht="20.25" hidden="1" customHeight="1" x14ac:dyDescent="0.2">
      <c r="A335" s="493" t="str">
        <f t="shared" ca="1" si="8"/>
        <v xml:space="preserve">       </v>
      </c>
      <c r="B335" s="493"/>
      <c r="C335" s="497"/>
      <c r="D335" s="498"/>
      <c r="E335" s="498"/>
      <c r="F335" s="498"/>
      <c r="G335" s="498"/>
      <c r="H335" s="498"/>
      <c r="I335" s="498"/>
      <c r="J335" s="498"/>
      <c r="K335" s="498"/>
      <c r="L335" s="499"/>
      <c r="M335" s="87" t="str">
        <f t="shared" ca="1" si="7"/>
        <v xml:space="preserve">       </v>
      </c>
    </row>
    <row r="336" spans="1:13" ht="20.25" hidden="1" customHeight="1" x14ac:dyDescent="0.2">
      <c r="A336" s="493" t="str">
        <f t="shared" ca="1" si="8"/>
        <v xml:space="preserve">       </v>
      </c>
      <c r="B336" s="493"/>
      <c r="C336" s="497"/>
      <c r="D336" s="498"/>
      <c r="E336" s="498"/>
      <c r="F336" s="498"/>
      <c r="G336" s="498"/>
      <c r="H336" s="498"/>
      <c r="I336" s="498"/>
      <c r="J336" s="498"/>
      <c r="K336" s="498"/>
      <c r="L336" s="499"/>
      <c r="M336" s="87" t="str">
        <f t="shared" ca="1" si="7"/>
        <v xml:space="preserve">       </v>
      </c>
    </row>
    <row r="337" spans="1:13" ht="20.25" hidden="1" customHeight="1" x14ac:dyDescent="0.2">
      <c r="A337" s="493" t="str">
        <f t="shared" ca="1" si="8"/>
        <v xml:space="preserve">       </v>
      </c>
      <c r="B337" s="493"/>
      <c r="C337" s="497"/>
      <c r="D337" s="498"/>
      <c r="E337" s="498"/>
      <c r="F337" s="498"/>
      <c r="G337" s="498"/>
      <c r="H337" s="498"/>
      <c r="I337" s="498"/>
      <c r="J337" s="498"/>
      <c r="K337" s="498"/>
      <c r="L337" s="499"/>
      <c r="M337" s="87" t="str">
        <f t="shared" ca="1" si="7"/>
        <v xml:space="preserve">       </v>
      </c>
    </row>
    <row r="338" spans="1:13" ht="20.25" hidden="1" customHeight="1" x14ac:dyDescent="0.2">
      <c r="A338" s="493" t="str">
        <f t="shared" ca="1" si="8"/>
        <v xml:space="preserve">       </v>
      </c>
      <c r="B338" s="493"/>
      <c r="C338" s="497"/>
      <c r="D338" s="498"/>
      <c r="E338" s="498"/>
      <c r="F338" s="498"/>
      <c r="G338" s="498"/>
      <c r="H338" s="498"/>
      <c r="I338" s="498"/>
      <c r="J338" s="498"/>
      <c r="K338" s="498"/>
      <c r="L338" s="499"/>
      <c r="M338" s="87" t="str">
        <f t="shared" ca="1" si="7"/>
        <v xml:space="preserve">       </v>
      </c>
    </row>
    <row r="339" spans="1:13" ht="20.25" hidden="1" customHeight="1" x14ac:dyDescent="0.2">
      <c r="A339" s="493" t="str">
        <f t="shared" ca="1" si="8"/>
        <v xml:space="preserve">       </v>
      </c>
      <c r="B339" s="493"/>
      <c r="C339" s="497"/>
      <c r="D339" s="498"/>
      <c r="E339" s="498"/>
      <c r="F339" s="498"/>
      <c r="G339" s="498"/>
      <c r="H339" s="498"/>
      <c r="I339" s="498"/>
      <c r="J339" s="498"/>
      <c r="K339" s="498"/>
      <c r="L339" s="499"/>
      <c r="M339" s="87" t="str">
        <f t="shared" ca="1" si="7"/>
        <v xml:space="preserve">       </v>
      </c>
    </row>
    <row r="340" spans="1:13" ht="20.25" hidden="1" customHeight="1" x14ac:dyDescent="0.2">
      <c r="A340" s="493" t="str">
        <f t="shared" ca="1" si="8"/>
        <v xml:space="preserve">       </v>
      </c>
      <c r="B340" s="493"/>
      <c r="C340" s="497"/>
      <c r="D340" s="498"/>
      <c r="E340" s="498"/>
      <c r="F340" s="498"/>
      <c r="G340" s="498"/>
      <c r="H340" s="498"/>
      <c r="I340" s="498"/>
      <c r="J340" s="498"/>
      <c r="K340" s="498"/>
      <c r="L340" s="499"/>
      <c r="M340" s="87" t="str">
        <f t="shared" ca="1" si="7"/>
        <v xml:space="preserve">       </v>
      </c>
    </row>
    <row r="341" spans="1:13" ht="20.25" hidden="1" customHeight="1" x14ac:dyDescent="0.2">
      <c r="A341" s="493" t="str">
        <f t="shared" ca="1" si="8"/>
        <v xml:space="preserve">       </v>
      </c>
      <c r="B341" s="493"/>
      <c r="C341" s="497"/>
      <c r="D341" s="498"/>
      <c r="E341" s="498"/>
      <c r="F341" s="498"/>
      <c r="G341" s="498"/>
      <c r="H341" s="498"/>
      <c r="I341" s="498"/>
      <c r="J341" s="498"/>
      <c r="K341" s="498"/>
      <c r="L341" s="499"/>
      <c r="M341" s="87" t="str">
        <f t="shared" ca="1" si="7"/>
        <v xml:space="preserve">       </v>
      </c>
    </row>
    <row r="342" spans="1:13" ht="20.25" hidden="1" customHeight="1" x14ac:dyDescent="0.2">
      <c r="A342" s="493" t="str">
        <f t="shared" ca="1" si="8"/>
        <v xml:space="preserve">       </v>
      </c>
      <c r="B342" s="493"/>
      <c r="C342" s="497"/>
      <c r="D342" s="498"/>
      <c r="E342" s="498"/>
      <c r="F342" s="498"/>
      <c r="G342" s="498"/>
      <c r="H342" s="498"/>
      <c r="I342" s="498"/>
      <c r="J342" s="498"/>
      <c r="K342" s="498"/>
      <c r="L342" s="499"/>
      <c r="M342" s="87" t="str">
        <f t="shared" ca="1" si="7"/>
        <v xml:space="preserve">       </v>
      </c>
    </row>
    <row r="343" spans="1:13" ht="20.25" hidden="1" customHeight="1" x14ac:dyDescent="0.2">
      <c r="A343" s="493" t="str">
        <f t="shared" ca="1" si="8"/>
        <v xml:space="preserve">       </v>
      </c>
      <c r="B343" s="493"/>
      <c r="C343" s="497"/>
      <c r="D343" s="498"/>
      <c r="E343" s="498"/>
      <c r="F343" s="498"/>
      <c r="G343" s="498"/>
      <c r="H343" s="498"/>
      <c r="I343" s="498"/>
      <c r="J343" s="498"/>
      <c r="K343" s="498"/>
      <c r="L343" s="499"/>
      <c r="M343" s="87" t="str">
        <f t="shared" ca="1" si="7"/>
        <v xml:space="preserve">       </v>
      </c>
    </row>
    <row r="344" spans="1:13" ht="20.25" hidden="1" customHeight="1" x14ac:dyDescent="0.2">
      <c r="A344" s="493" t="str">
        <f t="shared" ca="1" si="8"/>
        <v xml:space="preserve">       </v>
      </c>
      <c r="B344" s="493"/>
      <c r="C344" s="497"/>
      <c r="D344" s="498"/>
      <c r="E344" s="498"/>
      <c r="F344" s="498"/>
      <c r="G344" s="498"/>
      <c r="H344" s="498"/>
      <c r="I344" s="498"/>
      <c r="J344" s="498"/>
      <c r="K344" s="498"/>
      <c r="L344" s="499"/>
      <c r="M344" s="87" t="str">
        <f t="shared" ca="1" si="7"/>
        <v xml:space="preserve">       </v>
      </c>
    </row>
    <row r="345" spans="1:13" ht="20.25" hidden="1" customHeight="1" x14ac:dyDescent="0.2">
      <c r="A345" s="493" t="str">
        <f ca="1">OFFSET($A$9,(ROW()-326)*10-1,0)</f>
        <v xml:space="preserve">       </v>
      </c>
      <c r="B345" s="493"/>
      <c r="C345" s="497"/>
      <c r="D345" s="498"/>
      <c r="E345" s="498"/>
      <c r="F345" s="498"/>
      <c r="G345" s="498"/>
      <c r="H345" s="498"/>
      <c r="I345" s="498"/>
      <c r="J345" s="498"/>
      <c r="K345" s="498"/>
      <c r="L345" s="499"/>
      <c r="M345" s="87" t="str">
        <f t="shared" ca="1" si="7"/>
        <v xml:space="preserve">       </v>
      </c>
    </row>
    <row r="346" spans="1:13" ht="20.25" hidden="1" customHeight="1" x14ac:dyDescent="0.2">
      <c r="A346" s="493" t="str">
        <f t="shared" ca="1" si="8"/>
        <v xml:space="preserve">       </v>
      </c>
      <c r="B346" s="493"/>
      <c r="C346" s="497"/>
      <c r="D346" s="498"/>
      <c r="E346" s="498"/>
      <c r="F346" s="498"/>
      <c r="G346" s="498"/>
      <c r="H346" s="498"/>
      <c r="I346" s="498"/>
      <c r="J346" s="498"/>
      <c r="K346" s="498"/>
      <c r="L346" s="499"/>
      <c r="M346" s="87" t="str">
        <f t="shared" ca="1" si="7"/>
        <v xml:space="preserve">       </v>
      </c>
    </row>
    <row r="347" spans="1:13" ht="57" customHeight="1" x14ac:dyDescent="0.2">
      <c r="A347" s="493" t="str">
        <f ca="1">OFFSET($A$213,(ROW()-346)*10-1,0)</f>
        <v>CE3 C1 Utilizar metodologías para identificar oportunidades de negocio tomando en cuenta el programa de estudios y las necesidades del mercado.  
CE3 C2 Formular planes de negocio innovadores vinculados al programa de estudio  considerando un proceso metodológico que genere valor, sea sostenible y preserve el ambiente.</v>
      </c>
      <c r="B347" s="493"/>
      <c r="C347" s="497"/>
      <c r="D347" s="498"/>
      <c r="E347" s="498"/>
      <c r="F347" s="498"/>
      <c r="G347" s="498"/>
      <c r="H347" s="498"/>
      <c r="I347" s="498"/>
      <c r="J347" s="498"/>
      <c r="K347" s="498"/>
      <c r="L347" s="499"/>
      <c r="M347" s="87" t="str">
        <f t="shared" ca="1" si="7"/>
        <v>CE3 C1 Utilizar metodologías para identificar oportunidades de negocio tomando en cuenta el programa de estudios y las necesidades del mercado.  
CE3 C2 Formular planes de negocio innovadores vinculados al programa de estudio  considerando un proceso metodológico que genere valor, sea sostenible y preserve el ambiente.</v>
      </c>
    </row>
    <row r="348" spans="1:13" ht="68.25" customHeight="1" x14ac:dyDescent="0.2">
      <c r="A348" s="493" t="str">
        <f t="shared" ref="A348:A356" ca="1" si="9">OFFSET($A$213,(ROW()-346)*10-1,0)</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348" s="493"/>
      <c r="C348" s="497"/>
      <c r="D348" s="498"/>
      <c r="E348" s="498"/>
      <c r="F348" s="498"/>
      <c r="G348" s="498"/>
      <c r="H348" s="498"/>
      <c r="I348" s="498"/>
      <c r="J348" s="498"/>
      <c r="K348" s="498"/>
      <c r="L348" s="499"/>
      <c r="M348" s="87" t="str">
        <f t="shared" ca="1" si="7"/>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row>
    <row r="349" spans="1:13" ht="20.25" hidden="1" customHeight="1" x14ac:dyDescent="0.2">
      <c r="A349" s="493">
        <f t="shared" ca="1" si="9"/>
        <v>0</v>
      </c>
      <c r="B349" s="493"/>
      <c r="C349" s="497"/>
      <c r="D349" s="498"/>
      <c r="E349" s="498"/>
      <c r="F349" s="498"/>
      <c r="G349" s="498"/>
      <c r="H349" s="498"/>
      <c r="I349" s="498"/>
      <c r="J349" s="498"/>
      <c r="K349" s="498"/>
      <c r="L349" s="499"/>
      <c r="M349" s="87">
        <f t="shared" ca="1" si="7"/>
        <v>0</v>
      </c>
    </row>
    <row r="350" spans="1:13" ht="20.25" hidden="1" customHeight="1" x14ac:dyDescent="0.2">
      <c r="A350" s="493">
        <f t="shared" ca="1" si="9"/>
        <v>0</v>
      </c>
      <c r="B350" s="493"/>
      <c r="C350" s="497"/>
      <c r="D350" s="498"/>
      <c r="E350" s="498"/>
      <c r="F350" s="498"/>
      <c r="G350" s="498"/>
      <c r="H350" s="498"/>
      <c r="I350" s="498"/>
      <c r="J350" s="498"/>
      <c r="K350" s="498"/>
      <c r="L350" s="499"/>
      <c r="M350" s="87">
        <f t="shared" ca="1" si="7"/>
        <v>0</v>
      </c>
    </row>
    <row r="351" spans="1:13" ht="20.25" hidden="1" customHeight="1" x14ac:dyDescent="0.2">
      <c r="A351" s="493">
        <f t="shared" ca="1" si="9"/>
        <v>0</v>
      </c>
      <c r="B351" s="493"/>
      <c r="C351" s="497"/>
      <c r="D351" s="498"/>
      <c r="E351" s="498"/>
      <c r="F351" s="498"/>
      <c r="G351" s="498"/>
      <c r="H351" s="498"/>
      <c r="I351" s="498"/>
      <c r="J351" s="498"/>
      <c r="K351" s="498"/>
      <c r="L351" s="499"/>
      <c r="M351" s="87">
        <f t="shared" ca="1" si="7"/>
        <v>0</v>
      </c>
    </row>
    <row r="352" spans="1:13" ht="20.25" hidden="1" customHeight="1" x14ac:dyDescent="0.2">
      <c r="A352" s="493" t="str">
        <f t="shared" ca="1" si="9"/>
        <v xml:space="preserve">       </v>
      </c>
      <c r="B352" s="493"/>
      <c r="C352" s="497"/>
      <c r="D352" s="498"/>
      <c r="E352" s="498"/>
      <c r="F352" s="498"/>
      <c r="G352" s="498"/>
      <c r="H352" s="498"/>
      <c r="I352" s="498"/>
      <c r="J352" s="498"/>
      <c r="K352" s="498"/>
      <c r="L352" s="499"/>
      <c r="M352" s="87" t="str">
        <f t="shared" ca="1" si="7"/>
        <v xml:space="preserve">       </v>
      </c>
    </row>
    <row r="353" spans="1:13" ht="20.25" hidden="1" customHeight="1" x14ac:dyDescent="0.2">
      <c r="A353" s="493" t="str">
        <f t="shared" ca="1" si="9"/>
        <v xml:space="preserve">       </v>
      </c>
      <c r="B353" s="493"/>
      <c r="C353" s="497"/>
      <c r="D353" s="498"/>
      <c r="E353" s="498"/>
      <c r="F353" s="498"/>
      <c r="G353" s="498"/>
      <c r="H353" s="498"/>
      <c r="I353" s="498"/>
      <c r="J353" s="498"/>
      <c r="K353" s="498"/>
      <c r="L353" s="499"/>
      <c r="M353" s="87" t="str">
        <f t="shared" ca="1" si="7"/>
        <v xml:space="preserve">       </v>
      </c>
    </row>
    <row r="354" spans="1:13" ht="20.25" hidden="1" customHeight="1" x14ac:dyDescent="0.2">
      <c r="A354" s="493" t="str">
        <f t="shared" ca="1" si="9"/>
        <v xml:space="preserve">       </v>
      </c>
      <c r="B354" s="493"/>
      <c r="C354" s="497"/>
      <c r="D354" s="498"/>
      <c r="E354" s="498"/>
      <c r="F354" s="498"/>
      <c r="G354" s="498"/>
      <c r="H354" s="498"/>
      <c r="I354" s="498"/>
      <c r="J354" s="498"/>
      <c r="K354" s="498"/>
      <c r="L354" s="499"/>
      <c r="M354" s="87" t="str">
        <f t="shared" ca="1" si="7"/>
        <v xml:space="preserve">       </v>
      </c>
    </row>
    <row r="355" spans="1:13" ht="20.25" hidden="1" customHeight="1" x14ac:dyDescent="0.2">
      <c r="A355" s="493" t="str">
        <f t="shared" ca="1" si="9"/>
        <v xml:space="preserve">       </v>
      </c>
      <c r="B355" s="493"/>
      <c r="C355" s="497"/>
      <c r="D355" s="498"/>
      <c r="E355" s="498"/>
      <c r="F355" s="498"/>
      <c r="G355" s="498"/>
      <c r="H355" s="498"/>
      <c r="I355" s="498"/>
      <c r="J355" s="498"/>
      <c r="K355" s="498"/>
      <c r="L355" s="499"/>
      <c r="M355" s="87" t="str">
        <f t="shared" ca="1" si="7"/>
        <v xml:space="preserve">       </v>
      </c>
    </row>
    <row r="356" spans="1:13" ht="10.5" hidden="1" customHeight="1" x14ac:dyDescent="0.2">
      <c r="A356" s="493" t="str">
        <f t="shared" ca="1" si="9"/>
        <v xml:space="preserve">       </v>
      </c>
      <c r="B356" s="493"/>
      <c r="C356" s="500"/>
      <c r="D356" s="501"/>
      <c r="E356" s="501"/>
      <c r="F356" s="501"/>
      <c r="G356" s="501"/>
      <c r="H356" s="501"/>
      <c r="I356" s="501"/>
      <c r="J356" s="501"/>
      <c r="K356" s="501"/>
      <c r="L356" s="502"/>
      <c r="M356" s="87" t="str">
        <f t="shared" ca="1" si="7"/>
        <v xml:space="preserve">       </v>
      </c>
    </row>
    <row r="357" spans="1:13" s="55" customFormat="1" ht="18" customHeight="1" x14ac:dyDescent="0.2">
      <c r="A357" s="489" t="str">
        <f>'M1'!A357:L357</f>
        <v>EXPERIENCIAS FORMATIVAS EN SITUACIONES REALES DE TRABAJO (EFSRT)</v>
      </c>
      <c r="B357" s="489"/>
      <c r="C357" s="489"/>
      <c r="D357" s="489"/>
      <c r="E357" s="489"/>
      <c r="F357" s="489"/>
      <c r="G357" s="489"/>
      <c r="H357" s="489"/>
      <c r="I357" s="489"/>
      <c r="J357" s="489"/>
      <c r="K357" s="489"/>
      <c r="L357" s="489"/>
      <c r="M357" s="87" t="str">
        <f t="shared" si="7"/>
        <v>EXPERIENCIAS FORMATIVAS EN SITUACIONES REALES DE TRABAJO (EFSRT)</v>
      </c>
    </row>
    <row r="358" spans="1:13" s="55" customFormat="1" ht="18.75" customHeight="1" x14ac:dyDescent="0.2">
      <c r="A358" s="148" t="str">
        <f>'M1'!A358</f>
        <v>LUGAR PARA EL DESARROLLO DE LA EFSRT</v>
      </c>
      <c r="B358" s="148" t="str">
        <f>'M1'!B358</f>
        <v>AMBIENTES/ÁREAS (1)</v>
      </c>
      <c r="C358" s="490" t="str">
        <f>'M1'!C358:J358</f>
        <v>DESCRIPCIÓN DE LA ESTRATEGIA PARA LA IMPLEMENTACIÓN DE LA EFSRT (2)</v>
      </c>
      <c r="D358" s="490"/>
      <c r="E358" s="490"/>
      <c r="F358" s="490"/>
      <c r="G358" s="490"/>
      <c r="H358" s="490"/>
      <c r="I358" s="490"/>
      <c r="J358" s="490"/>
      <c r="K358" s="148" t="str">
        <f>'M1'!K358</f>
        <v>CRÉDITOS</v>
      </c>
      <c r="L358" s="148" t="str">
        <f>'M1'!L358</f>
        <v>HORAS (P)</v>
      </c>
      <c r="M358" s="87" t="str">
        <f t="shared" si="7"/>
        <v>LUGAR PARA EL DESARROLLO DE LA EFSRT</v>
      </c>
    </row>
    <row r="359" spans="1:13" s="55" customFormat="1" ht="409.5" customHeight="1" x14ac:dyDescent="0.2">
      <c r="A359" s="155" t="s">
        <v>146</v>
      </c>
      <c r="B359" s="245" t="s">
        <v>466</v>
      </c>
      <c r="C359" s="486" t="s">
        <v>464</v>
      </c>
      <c r="D359" s="487"/>
      <c r="E359" s="487"/>
      <c r="F359" s="487"/>
      <c r="G359" s="487"/>
      <c r="H359" s="487"/>
      <c r="I359" s="487"/>
      <c r="J359" s="488"/>
      <c r="K359" s="17">
        <f>Organización_Modular!I71</f>
        <v>6</v>
      </c>
      <c r="L359" s="18">
        <f>K359*32</f>
        <v>192</v>
      </c>
      <c r="M359" s="87" t="str">
        <f>C359</f>
        <v xml:space="preserve">Taller de programa apoyo administrativo.
Estrategia: proyectos productivos.
De organización
PROYECTOS PRODUCTIVOS DE BIENES Y SERVICIOS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326.25" customHeight="1" x14ac:dyDescent="0.2">
      <c r="A360" s="155" t="s">
        <v>112</v>
      </c>
      <c r="B360" s="155" t="s">
        <v>430</v>
      </c>
      <c r="C360" s="486" t="s">
        <v>465</v>
      </c>
      <c r="D360" s="487"/>
      <c r="E360" s="487"/>
      <c r="F360" s="487"/>
      <c r="G360" s="487"/>
      <c r="H360" s="487"/>
      <c r="I360" s="487"/>
      <c r="J360" s="488"/>
      <c r="K360" s="84"/>
      <c r="L360" s="85"/>
      <c r="M360" s="87"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30" customHeight="1" x14ac:dyDescent="0.2">
      <c r="A361" s="491">
        <f>'M1'!A361</f>
        <v>0</v>
      </c>
      <c r="B361" s="492"/>
      <c r="M361" s="87">
        <f>A361</f>
        <v>0</v>
      </c>
    </row>
    <row r="362" spans="1:13" x14ac:dyDescent="0.2">
      <c r="A362" s="129" t="s">
        <v>146</v>
      </c>
      <c r="B362" s="130" t="s">
        <v>115</v>
      </c>
      <c r="M362" s="49"/>
    </row>
    <row r="363" spans="1:13" ht="38.25" x14ac:dyDescent="0.2">
      <c r="A363" s="129" t="s">
        <v>112</v>
      </c>
      <c r="B363" s="296" t="s">
        <v>116</v>
      </c>
      <c r="M363" s="49"/>
    </row>
    <row r="364" spans="1:13" x14ac:dyDescent="0.2">
      <c r="A364" s="129"/>
      <c r="B364" s="130" t="s">
        <v>119</v>
      </c>
    </row>
    <row r="365" spans="1:13" x14ac:dyDescent="0.2">
      <c r="A365" s="129"/>
      <c r="B365" s="130" t="s">
        <v>117</v>
      </c>
    </row>
    <row r="366" spans="1:13" x14ac:dyDescent="0.2">
      <c r="A366" s="129"/>
      <c r="B366" s="130" t="s">
        <v>118</v>
      </c>
    </row>
    <row r="367" spans="1:13" x14ac:dyDescent="0.2">
      <c r="A367" s="126"/>
      <c r="B367" s="130" t="s">
        <v>120</v>
      </c>
    </row>
  </sheetData>
  <sheetProtection formatRows="0" autoFilter="0"/>
  <autoFilter ref="A16:M361" xr:uid="{00000000-0009-0000-0000-000005000000}">
    <filterColumn colId="5" showButton="0"/>
    <filterColumn colId="8" showButton="0"/>
  </autoFilter>
  <mergeCells count="136">
    <mergeCell ref="L222:L231"/>
    <mergeCell ref="L232:L241"/>
    <mergeCell ref="A272:A281"/>
    <mergeCell ref="A282:A291"/>
    <mergeCell ref="F220:G220"/>
    <mergeCell ref="H220:H221"/>
    <mergeCell ref="I220:J220"/>
    <mergeCell ref="K220:K221"/>
    <mergeCell ref="L220:L221"/>
    <mergeCell ref="E220:E221"/>
    <mergeCell ref="A222:A231"/>
    <mergeCell ref="A232:A241"/>
    <mergeCell ref="L272:L281"/>
    <mergeCell ref="D220:D221"/>
    <mergeCell ref="C359:J359"/>
    <mergeCell ref="C360:J360"/>
    <mergeCell ref="M16:M17"/>
    <mergeCell ref="A356:B356"/>
    <mergeCell ref="A347:B347"/>
    <mergeCell ref="A348:B348"/>
    <mergeCell ref="A349:B349"/>
    <mergeCell ref="A350:B350"/>
    <mergeCell ref="A351:B351"/>
    <mergeCell ref="A352:B352"/>
    <mergeCell ref="A353:B353"/>
    <mergeCell ref="A354:B354"/>
    <mergeCell ref="A355:B355"/>
    <mergeCell ref="L48:L57"/>
    <mergeCell ref="L58:L67"/>
    <mergeCell ref="L68:L77"/>
    <mergeCell ref="L78:L87"/>
    <mergeCell ref="L88:L97"/>
    <mergeCell ref="L98:L107"/>
    <mergeCell ref="L28:L37"/>
    <mergeCell ref="L38:L47"/>
    <mergeCell ref="L208:L217"/>
    <mergeCell ref="A218:L218"/>
    <mergeCell ref="L168:L177"/>
    <mergeCell ref="L16:L17"/>
    <mergeCell ref="L108:L117"/>
    <mergeCell ref="L118:L127"/>
    <mergeCell ref="L128:L137"/>
    <mergeCell ref="L138:L147"/>
    <mergeCell ref="L148:L157"/>
    <mergeCell ref="L158:L167"/>
    <mergeCell ref="A16:A17"/>
    <mergeCell ref="B16:B17"/>
    <mergeCell ref="C16:C17"/>
    <mergeCell ref="D16:D17"/>
    <mergeCell ref="F16:G16"/>
    <mergeCell ref="H16:H17"/>
    <mergeCell ref="E16:E17"/>
    <mergeCell ref="I16:J16"/>
    <mergeCell ref="K16:K17"/>
    <mergeCell ref="A18:A27"/>
    <mergeCell ref="A28:A37"/>
    <mergeCell ref="A38:A47"/>
    <mergeCell ref="A48:A57"/>
    <mergeCell ref="A58:A67"/>
    <mergeCell ref="A68:A77"/>
    <mergeCell ref="A78:A87"/>
    <mergeCell ref="A88:A97"/>
    <mergeCell ref="A1:L1"/>
    <mergeCell ref="B3:C3"/>
    <mergeCell ref="F3:H3"/>
    <mergeCell ref="I3:L3"/>
    <mergeCell ref="F5:H5"/>
    <mergeCell ref="I5:L5"/>
    <mergeCell ref="A13:L13"/>
    <mergeCell ref="A14:L14"/>
    <mergeCell ref="B15:L15"/>
    <mergeCell ref="B7:C7"/>
    <mergeCell ref="F7:H7"/>
    <mergeCell ref="I7:L7"/>
    <mergeCell ref="F9:H9"/>
    <mergeCell ref="I9:L9"/>
    <mergeCell ref="B11:C11"/>
    <mergeCell ref="F11:H11"/>
    <mergeCell ref="I11:L11"/>
    <mergeCell ref="A98:A107"/>
    <mergeCell ref="A108:A117"/>
    <mergeCell ref="A118:A127"/>
    <mergeCell ref="A128:A137"/>
    <mergeCell ref="A138:A147"/>
    <mergeCell ref="A148:A157"/>
    <mergeCell ref="A158:A167"/>
    <mergeCell ref="B220:B221"/>
    <mergeCell ref="C220:C221"/>
    <mergeCell ref="A168:A177"/>
    <mergeCell ref="A178:A187"/>
    <mergeCell ref="A188:A197"/>
    <mergeCell ref="A198:A207"/>
    <mergeCell ref="A208:A217"/>
    <mergeCell ref="A219:L219"/>
    <mergeCell ref="A220:A221"/>
    <mergeCell ref="L178:L187"/>
    <mergeCell ref="L188:L197"/>
    <mergeCell ref="L198:L207"/>
    <mergeCell ref="C358:J358"/>
    <mergeCell ref="A324:L324"/>
    <mergeCell ref="A325:L325"/>
    <mergeCell ref="A326:B326"/>
    <mergeCell ref="C326:L326"/>
    <mergeCell ref="L282:L291"/>
    <mergeCell ref="L292:L301"/>
    <mergeCell ref="L302:L311"/>
    <mergeCell ref="L312:L321"/>
    <mergeCell ref="A322:L322"/>
    <mergeCell ref="A323:L323"/>
    <mergeCell ref="A292:A301"/>
    <mergeCell ref="A302:A311"/>
    <mergeCell ref="A312:A321"/>
    <mergeCell ref="L18:L27"/>
    <mergeCell ref="A361:B361"/>
    <mergeCell ref="A327:B327"/>
    <mergeCell ref="C327:L35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57:L357"/>
  </mergeCells>
  <conditionalFormatting sqref="A359:J360">
    <cfRule type="containsBlanks" dxfId="66" priority="1">
      <formula>LEN(TRIM(A359))=0</formula>
    </cfRule>
  </conditionalFormatting>
  <conditionalFormatting sqref="C18:C217">
    <cfRule type="containsBlanks" dxfId="65" priority="4">
      <formula>LEN(TRIM(C18))=0</formula>
    </cfRule>
  </conditionalFormatting>
  <conditionalFormatting sqref="C222:C241 C272:C321">
    <cfRule type="containsBlanks" dxfId="64" priority="2">
      <formula>LEN(TRIM(C222))=0</formula>
    </cfRule>
  </conditionalFormatting>
  <conditionalFormatting sqref="L18 L222:L241 C327:L356 L28:L217 L272:L321">
    <cfRule type="containsBlanks" dxfId="63" priority="16">
      <formula>LEN(TRIM(C18))=0</formula>
    </cfRule>
  </conditionalFormatting>
  <dataValidations count="1">
    <dataValidation type="list" allowBlank="1" showInputMessage="1" showErrorMessage="1" sqref="A359:A360" xr:uid="{00000000-0002-0000-0500-000000000000}">
      <formula1>$A$362:$A$363</formula1>
    </dataValidation>
  </dataValidations>
  <pageMargins left="0.23622047244094491" right="0.19685039370078741" top="0.74803149606299213" bottom="0.74803149606299213" header="0.31496062992125984" footer="0.31496062992125984"/>
  <pageSetup paperSize="9" scale="63" orientation="landscape" r:id="rId1"/>
  <colBreaks count="1" manualBreakCount="1">
    <brk id="13" max="1048575" man="1"/>
  </colBreaks>
  <ignoredErrors>
    <ignoredError sqref="A323:C324 M19:M358 D323:L32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M367"/>
  <sheetViews>
    <sheetView showGridLines="0" topLeftCell="B20" zoomScale="70" zoomScaleNormal="70" workbookViewId="0">
      <selection activeCell="S360" sqref="S360"/>
    </sheetView>
  </sheetViews>
  <sheetFormatPr baseColWidth="10" defaultColWidth="11.42578125" defaultRowHeight="12.75" x14ac:dyDescent="0.2"/>
  <cols>
    <col min="1" max="1" width="39.7109375" style="56" customWidth="1"/>
    <col min="2" max="2" width="41.7109375" style="97" customWidth="1"/>
    <col min="3" max="3" width="45.7109375" style="97"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9.42578125" style="2" customWidth="1"/>
    <col min="14" max="16384" width="11.42578125" style="2"/>
  </cols>
  <sheetData>
    <row r="1" spans="1:13" s="55" customFormat="1" ht="18.75" x14ac:dyDescent="0.2">
      <c r="A1" s="455" t="str">
        <f>'M2'!A1:L1</f>
        <v>ORGANIZACIÓN DE LOS ELEMENTOS DEL MÓDULO</v>
      </c>
      <c r="B1" s="455"/>
      <c r="C1" s="455"/>
      <c r="D1" s="455"/>
      <c r="E1" s="455"/>
      <c r="F1" s="455"/>
      <c r="G1" s="455"/>
      <c r="H1" s="455"/>
      <c r="I1" s="455"/>
      <c r="J1" s="455"/>
      <c r="K1" s="455"/>
      <c r="L1" s="455"/>
    </row>
    <row r="2" spans="1:13" s="55" customFormat="1" ht="15.75" x14ac:dyDescent="0.2">
      <c r="A2" s="83"/>
      <c r="B2" s="83"/>
      <c r="C2" s="83"/>
      <c r="D2" s="83"/>
      <c r="E2" s="83"/>
      <c r="F2" s="83"/>
      <c r="G2" s="83"/>
      <c r="H2" s="83"/>
      <c r="I2" s="83"/>
      <c r="J2" s="83"/>
      <c r="K2" s="83"/>
      <c r="L2" s="83"/>
    </row>
    <row r="3" spans="1:13" ht="25.5" customHeight="1" x14ac:dyDescent="0.2">
      <c r="A3" s="19" t="s">
        <v>36</v>
      </c>
      <c r="B3" s="368" t="str">
        <f>Perfil_Egreso!B3</f>
        <v xml:space="preserve">CETPRO JUANJUI </v>
      </c>
      <c r="C3" s="368"/>
      <c r="D3" s="9"/>
      <c r="E3" s="9"/>
      <c r="F3" s="504" t="s">
        <v>51</v>
      </c>
      <c r="G3" s="504"/>
      <c r="H3" s="505"/>
      <c r="I3" s="506" t="str">
        <f>Perfil_Egreso!E3</f>
        <v>0533836</v>
      </c>
      <c r="J3" s="507"/>
      <c r="K3" s="507"/>
      <c r="L3" s="394"/>
    </row>
    <row r="4" spans="1:13" ht="15" customHeight="1" x14ac:dyDescent="0.2">
      <c r="A4" s="33"/>
      <c r="B4" s="33"/>
      <c r="C4" s="20"/>
      <c r="D4" s="20"/>
      <c r="E4" s="20"/>
      <c r="F4" s="9"/>
      <c r="G4" s="9"/>
      <c r="H4" s="9"/>
      <c r="I4" s="9"/>
      <c r="J4" s="9"/>
      <c r="K4" s="9"/>
      <c r="L4" s="9"/>
    </row>
    <row r="5" spans="1:13" ht="26.25" customHeight="1" x14ac:dyDescent="0.2">
      <c r="A5" s="19" t="s">
        <v>40</v>
      </c>
      <c r="B5" s="73" t="str">
        <f>Perfil_Egreso!B5</f>
        <v>Actividades profesionales, científicas y técnicas</v>
      </c>
      <c r="C5" s="21" t="s">
        <v>41</v>
      </c>
      <c r="D5" s="5" t="str">
        <f>Perfil_Egreso!D5</f>
        <v>Servicios prestados a empresas</v>
      </c>
      <c r="E5" s="22"/>
      <c r="F5" s="508" t="s">
        <v>42</v>
      </c>
      <c r="G5" s="508"/>
      <c r="H5" s="509"/>
      <c r="I5" s="393" t="str">
        <f>Perfil_Egreso!B7</f>
        <v>Actividades administrativas y de apoyo de oficina y otras actividades de
apoyo a las empresas</v>
      </c>
      <c r="J5" s="507"/>
      <c r="K5" s="507"/>
      <c r="L5" s="394"/>
    </row>
    <row r="6" spans="1:13" ht="12.75" customHeight="1" x14ac:dyDescent="0.2">
      <c r="A6" s="69"/>
      <c r="B6" s="69"/>
      <c r="C6" s="23"/>
      <c r="D6" s="23"/>
      <c r="E6" s="23"/>
      <c r="F6" s="9"/>
      <c r="G6" s="9"/>
      <c r="H6" s="9"/>
      <c r="I6" s="9"/>
      <c r="J6" s="9"/>
      <c r="K6" s="9"/>
      <c r="L6" s="9"/>
    </row>
    <row r="7" spans="1:13" ht="24" customHeight="1" x14ac:dyDescent="0.2">
      <c r="A7" s="69" t="str">
        <f>Perfil_Egreso!A10</f>
        <v>DENOMINACIÓN DEL PROGRAMA DE ESTUDIOS SEGÚN CNOF (según corresponda)</v>
      </c>
      <c r="B7" s="393" t="str">
        <f>Perfil_Egreso!B10</f>
        <v>APOYO ADMINISTRATIVO</v>
      </c>
      <c r="C7" s="394"/>
      <c r="D7" s="169"/>
      <c r="E7" s="169"/>
      <c r="F7" s="504" t="s">
        <v>44</v>
      </c>
      <c r="G7" s="504"/>
      <c r="H7" s="505"/>
      <c r="I7" s="506" t="str">
        <f>Perfil_Egreso!E10</f>
        <v>M2982-1-002</v>
      </c>
      <c r="J7" s="507"/>
      <c r="K7" s="507"/>
      <c r="L7" s="394"/>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2" t="str">
        <f>Perfil_Egreso!B12</f>
        <v>AUXILIAR TECNICO</v>
      </c>
      <c r="C9" s="26" t="s">
        <v>5</v>
      </c>
      <c r="D9" s="5">
        <f>Itinerario!W17</f>
        <v>1072</v>
      </c>
      <c r="E9" s="27"/>
      <c r="F9" s="510" t="s">
        <v>34</v>
      </c>
      <c r="G9" s="510"/>
      <c r="H9" s="511"/>
      <c r="I9" s="393">
        <f>Itinerario!T17</f>
        <v>40</v>
      </c>
      <c r="J9" s="507"/>
      <c r="K9" s="507"/>
      <c r="L9" s="394"/>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24" t="str">
        <f>Perfil_Egreso!D12</f>
        <v>PRESENCIAL</v>
      </c>
      <c r="C11" s="326"/>
      <c r="D11" s="9"/>
      <c r="E11" s="9"/>
      <c r="F11" s="512" t="str">
        <f>Perfil_Egreso!A14</f>
        <v>NIVEL FORMATIVO</v>
      </c>
      <c r="G11" s="512"/>
      <c r="H11" s="513"/>
      <c r="I11" s="393" t="str">
        <f>Perfil_Egreso!B14</f>
        <v>AUXILIAR TÉCNICO</v>
      </c>
      <c r="J11" s="507"/>
      <c r="K11" s="507"/>
      <c r="L11" s="394"/>
    </row>
    <row r="12" spans="1:13" s="55" customFormat="1" ht="8.25" customHeight="1" x14ac:dyDescent="0.2">
      <c r="A12" s="30"/>
      <c r="B12" s="30"/>
      <c r="C12" s="30"/>
      <c r="D12" s="30"/>
      <c r="E12" s="30"/>
      <c r="F12" s="30"/>
      <c r="G12" s="30"/>
      <c r="H12" s="30"/>
      <c r="I12" s="30"/>
      <c r="J12" s="30"/>
      <c r="K12" s="30"/>
      <c r="L12" s="30"/>
    </row>
    <row r="13" spans="1:13" ht="18.75" customHeight="1" x14ac:dyDescent="0.2">
      <c r="A13" s="456" t="s">
        <v>85</v>
      </c>
      <c r="B13" s="456"/>
      <c r="C13" s="456"/>
      <c r="D13" s="456"/>
      <c r="E13" s="456"/>
      <c r="F13" s="456"/>
      <c r="G13" s="456"/>
      <c r="H13" s="456"/>
      <c r="I13" s="456"/>
      <c r="J13" s="456"/>
      <c r="K13" s="456"/>
      <c r="L13" s="456"/>
    </row>
    <row r="14" spans="1:13" ht="78.75" customHeight="1" x14ac:dyDescent="0.2">
      <c r="A14" s="457">
        <f>Organización_Modular!C72</f>
        <v>0</v>
      </c>
      <c r="B14" s="457"/>
      <c r="C14" s="457"/>
      <c r="D14" s="457"/>
      <c r="E14" s="457"/>
      <c r="F14" s="457"/>
      <c r="G14" s="457"/>
      <c r="H14" s="457"/>
      <c r="I14" s="457"/>
      <c r="J14" s="457"/>
      <c r="K14" s="457"/>
      <c r="L14" s="457"/>
    </row>
    <row r="15" spans="1:13" ht="21" x14ac:dyDescent="0.2">
      <c r="A15" s="146" t="s">
        <v>84</v>
      </c>
      <c r="B15" s="458">
        <f>Organización_Modular!A72</f>
        <v>0</v>
      </c>
      <c r="C15" s="458"/>
      <c r="D15" s="458"/>
      <c r="E15" s="458"/>
      <c r="F15" s="458"/>
      <c r="G15" s="458"/>
      <c r="H15" s="458"/>
      <c r="I15" s="458"/>
      <c r="J15" s="458"/>
      <c r="K15" s="458"/>
      <c r="L15" s="458"/>
    </row>
    <row r="16" spans="1:13" ht="18" customHeight="1" x14ac:dyDescent="0.2">
      <c r="A16" s="459" t="s">
        <v>83</v>
      </c>
      <c r="B16" s="460" t="s">
        <v>82</v>
      </c>
      <c r="C16" s="459" t="s">
        <v>78</v>
      </c>
      <c r="D16" s="459" t="s">
        <v>0</v>
      </c>
      <c r="E16" s="459" t="s">
        <v>50</v>
      </c>
      <c r="F16" s="459" t="s">
        <v>71</v>
      </c>
      <c r="G16" s="459"/>
      <c r="H16" s="459" t="s">
        <v>71</v>
      </c>
      <c r="I16" s="459" t="s">
        <v>77</v>
      </c>
      <c r="J16" s="459"/>
      <c r="K16" s="459" t="s">
        <v>77</v>
      </c>
      <c r="L16" s="459" t="s">
        <v>81</v>
      </c>
      <c r="M16" s="472" t="s">
        <v>91</v>
      </c>
    </row>
    <row r="17" spans="1:13" ht="15.75" customHeight="1" x14ac:dyDescent="0.2">
      <c r="A17" s="459"/>
      <c r="B17" s="460"/>
      <c r="C17" s="459"/>
      <c r="D17" s="459"/>
      <c r="E17" s="459"/>
      <c r="F17" s="149" t="s">
        <v>75</v>
      </c>
      <c r="G17" s="149" t="s">
        <v>74</v>
      </c>
      <c r="H17" s="459"/>
      <c r="I17" s="149" t="s">
        <v>75</v>
      </c>
      <c r="J17" s="149" t="s">
        <v>74</v>
      </c>
      <c r="K17" s="459"/>
      <c r="L17" s="459"/>
      <c r="M17" s="472"/>
    </row>
    <row r="18" spans="1:13" x14ac:dyDescent="0.2">
      <c r="A18" s="425" t="str">
        <f>Capacidades!L612</f>
        <v xml:space="preserve">       </v>
      </c>
      <c r="B18" s="156" t="str">
        <f>Capacidades!M612</f>
        <v xml:space="preserve">   </v>
      </c>
      <c r="C18" s="191"/>
      <c r="D18" s="11">
        <f>Organización_Modular!F72</f>
        <v>0</v>
      </c>
      <c r="E18" s="11">
        <f>Organización_Modular!G72</f>
        <v>0</v>
      </c>
      <c r="F18" s="11">
        <f>Organización_Modular!H72</f>
        <v>0</v>
      </c>
      <c r="G18" s="11">
        <f>Organización_Modular!I72</f>
        <v>0</v>
      </c>
      <c r="H18" s="12">
        <f>SUM(F18:G18)</f>
        <v>0</v>
      </c>
      <c r="I18" s="12">
        <f>F18*16</f>
        <v>0</v>
      </c>
      <c r="J18" s="12">
        <f>G18*32</f>
        <v>0</v>
      </c>
      <c r="K18" s="12">
        <f>SUM(I18:J18)</f>
        <v>0</v>
      </c>
      <c r="L18" s="445"/>
      <c r="M18" s="87" t="str">
        <f>B18</f>
        <v xml:space="preserve">   </v>
      </c>
    </row>
    <row r="19" spans="1:13" x14ac:dyDescent="0.2">
      <c r="A19" s="426"/>
      <c r="B19" s="156" t="str">
        <f>Capacidades!M613</f>
        <v xml:space="preserve">   </v>
      </c>
      <c r="C19" s="157"/>
      <c r="D19" s="13"/>
      <c r="E19" s="13"/>
      <c r="F19" s="14"/>
      <c r="G19" s="14"/>
      <c r="H19" s="14"/>
      <c r="I19" s="14"/>
      <c r="J19" s="14"/>
      <c r="K19" s="14"/>
      <c r="L19" s="446"/>
      <c r="M19" s="87" t="str">
        <f t="shared" ref="M19:M82" si="0">B19</f>
        <v xml:space="preserve">   </v>
      </c>
    </row>
    <row r="20" spans="1:13" x14ac:dyDescent="0.2">
      <c r="A20" s="426"/>
      <c r="B20" s="156" t="str">
        <f>Capacidades!M614</f>
        <v xml:space="preserve">   </v>
      </c>
      <c r="C20" s="157"/>
      <c r="D20" s="13"/>
      <c r="E20" s="13"/>
      <c r="F20" s="14"/>
      <c r="G20" s="14"/>
      <c r="H20" s="14"/>
      <c r="I20" s="14"/>
      <c r="J20" s="14"/>
      <c r="K20" s="14"/>
      <c r="L20" s="446"/>
      <c r="M20" s="87" t="str">
        <f t="shared" si="0"/>
        <v xml:space="preserve">   </v>
      </c>
    </row>
    <row r="21" spans="1:13" ht="57" customHeight="1" x14ac:dyDescent="0.2">
      <c r="A21" s="426"/>
      <c r="B21" s="156" t="str">
        <f>Capacidades!M615</f>
        <v xml:space="preserve">   </v>
      </c>
      <c r="C21" s="157"/>
      <c r="D21" s="13"/>
      <c r="E21" s="13"/>
      <c r="F21" s="14"/>
      <c r="G21" s="14"/>
      <c r="H21" s="14"/>
      <c r="I21" s="14"/>
      <c r="J21" s="14"/>
      <c r="K21" s="14"/>
      <c r="L21" s="446"/>
      <c r="M21" s="87" t="str">
        <f t="shared" si="0"/>
        <v xml:space="preserve">   </v>
      </c>
    </row>
    <row r="22" spans="1:13" x14ac:dyDescent="0.2">
      <c r="A22" s="426"/>
      <c r="B22" s="156" t="str">
        <f>Capacidades!M616</f>
        <v xml:space="preserve">   </v>
      </c>
      <c r="C22" s="157"/>
      <c r="D22" s="13"/>
      <c r="E22" s="13"/>
      <c r="F22" s="14"/>
      <c r="G22" s="14"/>
      <c r="H22" s="14"/>
      <c r="I22" s="14"/>
      <c r="J22" s="14"/>
      <c r="K22" s="14"/>
      <c r="L22" s="446"/>
      <c r="M22" s="87" t="str">
        <f t="shared" si="0"/>
        <v xml:space="preserve">   </v>
      </c>
    </row>
    <row r="23" spans="1:13" x14ac:dyDescent="0.2">
      <c r="A23" s="426"/>
      <c r="B23" s="156" t="str">
        <f>Capacidades!M617</f>
        <v xml:space="preserve">   </v>
      </c>
      <c r="C23" s="157"/>
      <c r="D23" s="13"/>
      <c r="E23" s="13"/>
      <c r="F23" s="14"/>
      <c r="G23" s="14"/>
      <c r="H23" s="14"/>
      <c r="I23" s="14"/>
      <c r="J23" s="14"/>
      <c r="K23" s="14"/>
      <c r="L23" s="446"/>
      <c r="M23" s="87" t="str">
        <f t="shared" si="0"/>
        <v xml:space="preserve">   </v>
      </c>
    </row>
    <row r="24" spans="1:13" x14ac:dyDescent="0.2">
      <c r="A24" s="426"/>
      <c r="B24" s="156" t="str">
        <f>Capacidades!M618</f>
        <v xml:space="preserve">   </v>
      </c>
      <c r="C24" s="157"/>
      <c r="D24" s="13"/>
      <c r="E24" s="13"/>
      <c r="F24" s="14"/>
      <c r="G24" s="14"/>
      <c r="H24" s="14"/>
      <c r="I24" s="14"/>
      <c r="J24" s="14"/>
      <c r="K24" s="14"/>
      <c r="L24" s="446"/>
      <c r="M24" s="87" t="str">
        <f t="shared" si="0"/>
        <v xml:space="preserve">   </v>
      </c>
    </row>
    <row r="25" spans="1:13" x14ac:dyDescent="0.2">
      <c r="A25" s="426"/>
      <c r="B25" s="156" t="str">
        <f>Capacidades!M619</f>
        <v xml:space="preserve">   </v>
      </c>
      <c r="C25" s="157"/>
      <c r="D25" s="13"/>
      <c r="E25" s="13"/>
      <c r="F25" s="14"/>
      <c r="G25" s="14"/>
      <c r="H25" s="14"/>
      <c r="I25" s="14"/>
      <c r="J25" s="14"/>
      <c r="K25" s="14"/>
      <c r="L25" s="446"/>
      <c r="M25" s="87" t="str">
        <f t="shared" si="0"/>
        <v xml:space="preserve">   </v>
      </c>
    </row>
    <row r="26" spans="1:13" x14ac:dyDescent="0.2">
      <c r="A26" s="426"/>
      <c r="B26" s="156" t="str">
        <f>Capacidades!M620</f>
        <v xml:space="preserve">   </v>
      </c>
      <c r="C26" s="157"/>
      <c r="D26" s="13"/>
      <c r="E26" s="13"/>
      <c r="F26" s="14"/>
      <c r="G26" s="14"/>
      <c r="H26" s="14"/>
      <c r="I26" s="14"/>
      <c r="J26" s="14"/>
      <c r="K26" s="14"/>
      <c r="L26" s="446"/>
      <c r="M26" s="87" t="str">
        <f t="shared" si="0"/>
        <v xml:space="preserve">   </v>
      </c>
    </row>
    <row r="27" spans="1:13" x14ac:dyDescent="0.2">
      <c r="A27" s="427"/>
      <c r="B27" s="156" t="str">
        <f>Capacidades!M621</f>
        <v xml:space="preserve">   </v>
      </c>
      <c r="C27" s="157"/>
      <c r="D27" s="15"/>
      <c r="E27" s="15"/>
      <c r="F27" s="16"/>
      <c r="G27" s="16"/>
      <c r="H27" s="16"/>
      <c r="I27" s="16"/>
      <c r="J27" s="16"/>
      <c r="K27" s="16"/>
      <c r="L27" s="447"/>
      <c r="M27" s="87" t="str">
        <f t="shared" si="0"/>
        <v xml:space="preserve">   </v>
      </c>
    </row>
    <row r="28" spans="1:13" ht="69" customHeight="1" x14ac:dyDescent="0.2">
      <c r="A28" s="425" t="str">
        <f>Capacidades!L622</f>
        <v xml:space="preserve">       </v>
      </c>
      <c r="B28" s="156" t="str">
        <f>Capacidades!M622</f>
        <v xml:space="preserve">   </v>
      </c>
      <c r="C28" s="157"/>
      <c r="D28" s="11">
        <f>Organización_Modular!F73</f>
        <v>0</v>
      </c>
      <c r="E28" s="11">
        <f>Organización_Modular!G73</f>
        <v>0</v>
      </c>
      <c r="F28" s="11">
        <f>Organización_Modular!H73</f>
        <v>0</v>
      </c>
      <c r="G28" s="11">
        <f>Organización_Modular!I73</f>
        <v>0</v>
      </c>
      <c r="H28" s="12">
        <f>SUM(F28:G28)</f>
        <v>0</v>
      </c>
      <c r="I28" s="12">
        <f>F28*16</f>
        <v>0</v>
      </c>
      <c r="J28" s="12">
        <f>G28*32</f>
        <v>0</v>
      </c>
      <c r="K28" s="12">
        <f>SUM(I28:J28)</f>
        <v>0</v>
      </c>
      <c r="L28" s="445"/>
      <c r="M28" s="87" t="str">
        <f t="shared" si="0"/>
        <v xml:space="preserve">   </v>
      </c>
    </row>
    <row r="29" spans="1:13" x14ac:dyDescent="0.2">
      <c r="A29" s="426"/>
      <c r="B29" s="156" t="str">
        <f>Capacidades!M623</f>
        <v xml:space="preserve">   </v>
      </c>
      <c r="C29" s="157"/>
      <c r="D29" s="13"/>
      <c r="E29" s="13"/>
      <c r="F29" s="14"/>
      <c r="G29" s="14"/>
      <c r="H29" s="14"/>
      <c r="I29" s="14"/>
      <c r="J29" s="14"/>
      <c r="K29" s="14"/>
      <c r="L29" s="446"/>
      <c r="M29" s="87" t="str">
        <f t="shared" si="0"/>
        <v xml:space="preserve">   </v>
      </c>
    </row>
    <row r="30" spans="1:13" ht="68.25" customHeight="1" x14ac:dyDescent="0.2">
      <c r="A30" s="426"/>
      <c r="B30" s="156" t="str">
        <f>Capacidades!M624</f>
        <v xml:space="preserve">   </v>
      </c>
      <c r="C30" s="157"/>
      <c r="D30" s="13"/>
      <c r="E30" s="13"/>
      <c r="F30" s="14"/>
      <c r="G30" s="14"/>
      <c r="H30" s="14"/>
      <c r="I30" s="14"/>
      <c r="J30" s="14"/>
      <c r="K30" s="14"/>
      <c r="L30" s="446"/>
      <c r="M30" s="87" t="str">
        <f t="shared" si="0"/>
        <v xml:space="preserve">   </v>
      </c>
    </row>
    <row r="31" spans="1:13" x14ac:dyDescent="0.2">
      <c r="A31" s="426"/>
      <c r="B31" s="156" t="str">
        <f>Capacidades!M625</f>
        <v xml:space="preserve">   </v>
      </c>
      <c r="C31" s="157"/>
      <c r="D31" s="13"/>
      <c r="E31" s="13"/>
      <c r="F31" s="14"/>
      <c r="G31" s="14"/>
      <c r="H31" s="14"/>
      <c r="I31" s="14"/>
      <c r="J31" s="14"/>
      <c r="K31" s="14"/>
      <c r="L31" s="446"/>
      <c r="M31" s="87" t="str">
        <f t="shared" si="0"/>
        <v xml:space="preserve">   </v>
      </c>
    </row>
    <row r="32" spans="1:13" ht="54.75" customHeight="1" x14ac:dyDescent="0.2">
      <c r="A32" s="426"/>
      <c r="B32" s="156" t="str">
        <f>Capacidades!M626</f>
        <v xml:space="preserve">   </v>
      </c>
      <c r="C32" s="157"/>
      <c r="D32" s="13"/>
      <c r="E32" s="13"/>
      <c r="F32" s="14"/>
      <c r="G32" s="14"/>
      <c r="H32" s="14"/>
      <c r="I32" s="14"/>
      <c r="J32" s="14"/>
      <c r="K32" s="14"/>
      <c r="L32" s="446"/>
      <c r="M32" s="87" t="str">
        <f t="shared" si="0"/>
        <v xml:space="preserve">   </v>
      </c>
    </row>
    <row r="33" spans="1:13" ht="34.5" customHeight="1" x14ac:dyDescent="0.2">
      <c r="A33" s="426"/>
      <c r="B33" s="156" t="str">
        <f>Capacidades!M627</f>
        <v xml:space="preserve">   </v>
      </c>
      <c r="C33" s="157"/>
      <c r="D33" s="13"/>
      <c r="E33" s="13"/>
      <c r="F33" s="14"/>
      <c r="G33" s="14"/>
      <c r="H33" s="14"/>
      <c r="I33" s="14"/>
      <c r="J33" s="14"/>
      <c r="K33" s="14"/>
      <c r="L33" s="446"/>
      <c r="M33" s="87" t="str">
        <f t="shared" si="0"/>
        <v xml:space="preserve">   </v>
      </c>
    </row>
    <row r="34" spans="1:13" x14ac:dyDescent="0.2">
      <c r="A34" s="426"/>
      <c r="B34" s="156" t="str">
        <f>Capacidades!M628</f>
        <v xml:space="preserve">   </v>
      </c>
      <c r="C34" s="157"/>
      <c r="D34" s="13"/>
      <c r="E34" s="13"/>
      <c r="F34" s="14"/>
      <c r="G34" s="14"/>
      <c r="H34" s="14"/>
      <c r="I34" s="14"/>
      <c r="J34" s="14"/>
      <c r="K34" s="14"/>
      <c r="L34" s="446"/>
      <c r="M34" s="87" t="str">
        <f t="shared" si="0"/>
        <v xml:space="preserve">   </v>
      </c>
    </row>
    <row r="35" spans="1:13" x14ac:dyDescent="0.2">
      <c r="A35" s="426"/>
      <c r="B35" s="156" t="str">
        <f>Capacidades!M629</f>
        <v xml:space="preserve">   </v>
      </c>
      <c r="C35" s="157"/>
      <c r="D35" s="13"/>
      <c r="E35" s="13"/>
      <c r="F35" s="14"/>
      <c r="G35" s="14"/>
      <c r="H35" s="14"/>
      <c r="I35" s="14"/>
      <c r="J35" s="14"/>
      <c r="K35" s="14"/>
      <c r="L35" s="446"/>
      <c r="M35" s="87" t="str">
        <f t="shared" si="0"/>
        <v xml:space="preserve">   </v>
      </c>
    </row>
    <row r="36" spans="1:13" x14ac:dyDescent="0.2">
      <c r="A36" s="426"/>
      <c r="B36" s="156" t="str">
        <f>Capacidades!M630</f>
        <v xml:space="preserve">   </v>
      </c>
      <c r="C36" s="157"/>
      <c r="D36" s="13"/>
      <c r="E36" s="13"/>
      <c r="F36" s="14"/>
      <c r="G36" s="14"/>
      <c r="H36" s="14"/>
      <c r="I36" s="14"/>
      <c r="J36" s="14"/>
      <c r="K36" s="14"/>
      <c r="L36" s="446"/>
      <c r="M36" s="87" t="str">
        <f t="shared" si="0"/>
        <v xml:space="preserve">   </v>
      </c>
    </row>
    <row r="37" spans="1:13" x14ac:dyDescent="0.2">
      <c r="A37" s="427"/>
      <c r="B37" s="156" t="str">
        <f>Capacidades!M631</f>
        <v xml:space="preserve">   </v>
      </c>
      <c r="C37" s="157"/>
      <c r="D37" s="15"/>
      <c r="E37" s="15"/>
      <c r="F37" s="16"/>
      <c r="G37" s="16"/>
      <c r="H37" s="16"/>
      <c r="I37" s="16"/>
      <c r="J37" s="16"/>
      <c r="K37" s="16"/>
      <c r="L37" s="447"/>
      <c r="M37" s="87" t="str">
        <f t="shared" si="0"/>
        <v xml:space="preserve">   </v>
      </c>
    </row>
    <row r="38" spans="1:13" x14ac:dyDescent="0.2">
      <c r="A38" s="425" t="str">
        <f>Capacidades!L632</f>
        <v xml:space="preserve">       </v>
      </c>
      <c r="B38" s="156" t="str">
        <f>Capacidades!M632</f>
        <v xml:space="preserve">   </v>
      </c>
      <c r="C38" s="157"/>
      <c r="D38" s="11">
        <f>Organización_Modular!F74</f>
        <v>0</v>
      </c>
      <c r="E38" s="11">
        <f>Organización_Modular!G74</f>
        <v>0</v>
      </c>
      <c r="F38" s="11">
        <f>Organización_Modular!H74</f>
        <v>0</v>
      </c>
      <c r="G38" s="11">
        <f>Organización_Modular!I74</f>
        <v>0</v>
      </c>
      <c r="H38" s="12">
        <f>SUM(F38:G38)</f>
        <v>0</v>
      </c>
      <c r="I38" s="12">
        <f>F38*16</f>
        <v>0</v>
      </c>
      <c r="J38" s="12">
        <f>G38*32</f>
        <v>0</v>
      </c>
      <c r="K38" s="12">
        <f>SUM(I38:J38)</f>
        <v>0</v>
      </c>
      <c r="L38" s="445"/>
      <c r="M38" s="87" t="str">
        <f t="shared" si="0"/>
        <v xml:space="preserve">   </v>
      </c>
    </row>
    <row r="39" spans="1:13" x14ac:dyDescent="0.2">
      <c r="A39" s="426"/>
      <c r="B39" s="156" t="str">
        <f>Capacidades!M633</f>
        <v xml:space="preserve">   </v>
      </c>
      <c r="C39" s="157"/>
      <c r="D39" s="13"/>
      <c r="E39" s="13"/>
      <c r="F39" s="14"/>
      <c r="G39" s="14"/>
      <c r="H39" s="14"/>
      <c r="I39" s="14"/>
      <c r="J39" s="14"/>
      <c r="K39" s="14"/>
      <c r="L39" s="446"/>
      <c r="M39" s="87" t="str">
        <f t="shared" si="0"/>
        <v xml:space="preserve">   </v>
      </c>
    </row>
    <row r="40" spans="1:13" x14ac:dyDescent="0.2">
      <c r="A40" s="426"/>
      <c r="B40" s="156" t="str">
        <f>Capacidades!M634</f>
        <v xml:space="preserve">   </v>
      </c>
      <c r="C40" s="157"/>
      <c r="D40" s="13"/>
      <c r="E40" s="13"/>
      <c r="F40" s="14"/>
      <c r="G40" s="14"/>
      <c r="H40" s="14"/>
      <c r="I40" s="14"/>
      <c r="J40" s="14"/>
      <c r="K40" s="14"/>
      <c r="L40" s="446"/>
      <c r="M40" s="87" t="str">
        <f t="shared" si="0"/>
        <v xml:space="preserve">   </v>
      </c>
    </row>
    <row r="41" spans="1:13" x14ac:dyDescent="0.2">
      <c r="A41" s="426"/>
      <c r="B41" s="156" t="str">
        <f>Capacidades!M635</f>
        <v xml:space="preserve">   </v>
      </c>
      <c r="C41" s="157"/>
      <c r="D41" s="13"/>
      <c r="E41" s="13"/>
      <c r="F41" s="14"/>
      <c r="G41" s="14"/>
      <c r="H41" s="14"/>
      <c r="I41" s="14"/>
      <c r="J41" s="14"/>
      <c r="K41" s="14"/>
      <c r="L41" s="446"/>
      <c r="M41" s="87" t="str">
        <f t="shared" si="0"/>
        <v xml:space="preserve">   </v>
      </c>
    </row>
    <row r="42" spans="1:13" x14ac:dyDescent="0.2">
      <c r="A42" s="426"/>
      <c r="B42" s="156" t="str">
        <f>Capacidades!M636</f>
        <v xml:space="preserve">   </v>
      </c>
      <c r="C42" s="157"/>
      <c r="D42" s="13"/>
      <c r="E42" s="13"/>
      <c r="F42" s="14"/>
      <c r="G42" s="14"/>
      <c r="H42" s="14"/>
      <c r="I42" s="14"/>
      <c r="J42" s="14"/>
      <c r="K42" s="14"/>
      <c r="L42" s="446"/>
      <c r="M42" s="87" t="str">
        <f t="shared" si="0"/>
        <v xml:space="preserve">   </v>
      </c>
    </row>
    <row r="43" spans="1:13" x14ac:dyDescent="0.2">
      <c r="A43" s="426"/>
      <c r="B43" s="156" t="str">
        <f>Capacidades!M637</f>
        <v xml:space="preserve">   </v>
      </c>
      <c r="C43" s="157"/>
      <c r="D43" s="13"/>
      <c r="E43" s="13"/>
      <c r="F43" s="14"/>
      <c r="G43" s="14"/>
      <c r="H43" s="14"/>
      <c r="I43" s="14"/>
      <c r="J43" s="14"/>
      <c r="K43" s="14"/>
      <c r="L43" s="446"/>
      <c r="M43" s="87" t="str">
        <f t="shared" si="0"/>
        <v xml:space="preserve">   </v>
      </c>
    </row>
    <row r="44" spans="1:13" x14ac:dyDescent="0.2">
      <c r="A44" s="426"/>
      <c r="B44" s="156" t="str">
        <f>Capacidades!M638</f>
        <v xml:space="preserve">   </v>
      </c>
      <c r="C44" s="157"/>
      <c r="D44" s="13"/>
      <c r="E44" s="13"/>
      <c r="F44" s="14"/>
      <c r="G44" s="14"/>
      <c r="H44" s="14"/>
      <c r="I44" s="14"/>
      <c r="J44" s="14"/>
      <c r="K44" s="14"/>
      <c r="L44" s="446"/>
      <c r="M44" s="87" t="str">
        <f t="shared" si="0"/>
        <v xml:space="preserve">   </v>
      </c>
    </row>
    <row r="45" spans="1:13" x14ac:dyDescent="0.2">
      <c r="A45" s="426"/>
      <c r="B45" s="156" t="str">
        <f>Capacidades!M639</f>
        <v xml:space="preserve">   </v>
      </c>
      <c r="C45" s="157"/>
      <c r="D45" s="13"/>
      <c r="E45" s="13"/>
      <c r="F45" s="14"/>
      <c r="G45" s="14"/>
      <c r="H45" s="14"/>
      <c r="I45" s="14"/>
      <c r="J45" s="14"/>
      <c r="K45" s="14"/>
      <c r="L45" s="446"/>
      <c r="M45" s="87" t="str">
        <f t="shared" si="0"/>
        <v xml:space="preserve">   </v>
      </c>
    </row>
    <row r="46" spans="1:13" x14ac:dyDescent="0.2">
      <c r="A46" s="426"/>
      <c r="B46" s="156" t="str">
        <f>Capacidades!M640</f>
        <v xml:space="preserve">   </v>
      </c>
      <c r="C46" s="157"/>
      <c r="D46" s="13"/>
      <c r="E46" s="13"/>
      <c r="F46" s="14"/>
      <c r="G46" s="14"/>
      <c r="H46" s="14"/>
      <c r="I46" s="14"/>
      <c r="J46" s="14"/>
      <c r="K46" s="14"/>
      <c r="L46" s="446"/>
      <c r="M46" s="87" t="str">
        <f t="shared" si="0"/>
        <v xml:space="preserve">   </v>
      </c>
    </row>
    <row r="47" spans="1:13" x14ac:dyDescent="0.2">
      <c r="A47" s="427"/>
      <c r="B47" s="156" t="str">
        <f>Capacidades!M641</f>
        <v xml:space="preserve">   </v>
      </c>
      <c r="C47" s="157"/>
      <c r="D47" s="15"/>
      <c r="E47" s="15"/>
      <c r="F47" s="16"/>
      <c r="G47" s="16"/>
      <c r="H47" s="16"/>
      <c r="I47" s="16"/>
      <c r="J47" s="16"/>
      <c r="K47" s="16"/>
      <c r="L47" s="447"/>
      <c r="M47" s="87" t="str">
        <f t="shared" si="0"/>
        <v xml:space="preserve">   </v>
      </c>
    </row>
    <row r="48" spans="1:13" x14ac:dyDescent="0.2">
      <c r="A48" s="425" t="str">
        <f>Capacidades!L642</f>
        <v xml:space="preserve">       </v>
      </c>
      <c r="B48" s="156" t="str">
        <f>Capacidades!M642</f>
        <v xml:space="preserve">   </v>
      </c>
      <c r="C48" s="157"/>
      <c r="D48" s="11">
        <f>Organización_Modular!F75</f>
        <v>0</v>
      </c>
      <c r="E48" s="11">
        <f>Organización_Modular!G75</f>
        <v>0</v>
      </c>
      <c r="F48" s="11">
        <f>Organización_Modular!H75</f>
        <v>0</v>
      </c>
      <c r="G48" s="11">
        <f>Organización_Modular!I75</f>
        <v>0</v>
      </c>
      <c r="H48" s="12">
        <f>SUM(F48:G48)</f>
        <v>0</v>
      </c>
      <c r="I48" s="12">
        <f>F48*16</f>
        <v>0</v>
      </c>
      <c r="J48" s="12">
        <f>G48*32</f>
        <v>0</v>
      </c>
      <c r="K48" s="12">
        <f>SUM(I48:J48)</f>
        <v>0</v>
      </c>
      <c r="L48" s="445"/>
      <c r="M48" s="87" t="str">
        <f t="shared" si="0"/>
        <v xml:space="preserve">   </v>
      </c>
    </row>
    <row r="49" spans="1:13" x14ac:dyDescent="0.2">
      <c r="A49" s="426"/>
      <c r="B49" s="156" t="str">
        <f>Capacidades!M643</f>
        <v xml:space="preserve">   </v>
      </c>
      <c r="C49" s="157"/>
      <c r="D49" s="13"/>
      <c r="E49" s="13"/>
      <c r="F49" s="14"/>
      <c r="G49" s="14"/>
      <c r="H49" s="14"/>
      <c r="I49" s="14"/>
      <c r="J49" s="14"/>
      <c r="K49" s="14"/>
      <c r="L49" s="446"/>
      <c r="M49" s="87" t="str">
        <f t="shared" si="0"/>
        <v xml:space="preserve">   </v>
      </c>
    </row>
    <row r="50" spans="1:13" x14ac:dyDescent="0.2">
      <c r="A50" s="426"/>
      <c r="B50" s="156" t="str">
        <f>Capacidades!M644</f>
        <v xml:space="preserve">   </v>
      </c>
      <c r="C50" s="157"/>
      <c r="D50" s="13"/>
      <c r="E50" s="13"/>
      <c r="F50" s="14"/>
      <c r="G50" s="14"/>
      <c r="H50" s="14"/>
      <c r="I50" s="14"/>
      <c r="J50" s="14"/>
      <c r="K50" s="14"/>
      <c r="L50" s="446"/>
      <c r="M50" s="87" t="str">
        <f t="shared" si="0"/>
        <v xml:space="preserve">   </v>
      </c>
    </row>
    <row r="51" spans="1:13" x14ac:dyDescent="0.2">
      <c r="A51" s="426"/>
      <c r="B51" s="156" t="str">
        <f>Capacidades!M645</f>
        <v xml:space="preserve">   </v>
      </c>
      <c r="C51" s="157"/>
      <c r="D51" s="13"/>
      <c r="E51" s="13"/>
      <c r="F51" s="14"/>
      <c r="G51" s="14"/>
      <c r="H51" s="14"/>
      <c r="I51" s="14"/>
      <c r="J51" s="14"/>
      <c r="K51" s="14"/>
      <c r="L51" s="446"/>
      <c r="M51" s="87" t="str">
        <f t="shared" si="0"/>
        <v xml:space="preserve">   </v>
      </c>
    </row>
    <row r="52" spans="1:13" ht="74.25" customHeight="1" x14ac:dyDescent="0.2">
      <c r="A52" s="426"/>
      <c r="B52" s="156" t="str">
        <f>Capacidades!M646</f>
        <v xml:space="preserve">   </v>
      </c>
      <c r="C52" s="157"/>
      <c r="D52" s="13"/>
      <c r="E52" s="13"/>
      <c r="F52" s="14"/>
      <c r="G52" s="14"/>
      <c r="H52" s="14"/>
      <c r="I52" s="14"/>
      <c r="J52" s="14"/>
      <c r="K52" s="14"/>
      <c r="L52" s="446"/>
      <c r="M52" s="87" t="str">
        <f t="shared" si="0"/>
        <v xml:space="preserve">   </v>
      </c>
    </row>
    <row r="53" spans="1:13" x14ac:dyDescent="0.2">
      <c r="A53" s="426"/>
      <c r="B53" s="156" t="str">
        <f>Capacidades!M647</f>
        <v xml:space="preserve">   </v>
      </c>
      <c r="C53" s="157"/>
      <c r="D53" s="13"/>
      <c r="E53" s="13"/>
      <c r="F53" s="14"/>
      <c r="G53" s="14"/>
      <c r="H53" s="14"/>
      <c r="I53" s="14"/>
      <c r="J53" s="14"/>
      <c r="K53" s="14"/>
      <c r="L53" s="446"/>
      <c r="M53" s="87" t="str">
        <f t="shared" si="0"/>
        <v xml:space="preserve">   </v>
      </c>
    </row>
    <row r="54" spans="1:13" x14ac:dyDescent="0.2">
      <c r="A54" s="426"/>
      <c r="B54" s="156" t="str">
        <f>Capacidades!M648</f>
        <v xml:space="preserve">   </v>
      </c>
      <c r="C54" s="157"/>
      <c r="D54" s="13"/>
      <c r="E54" s="13"/>
      <c r="F54" s="14"/>
      <c r="G54" s="14"/>
      <c r="H54" s="14"/>
      <c r="I54" s="14"/>
      <c r="J54" s="14"/>
      <c r="K54" s="14"/>
      <c r="L54" s="446"/>
      <c r="M54" s="87" t="str">
        <f t="shared" si="0"/>
        <v xml:space="preserve">   </v>
      </c>
    </row>
    <row r="55" spans="1:13" x14ac:dyDescent="0.2">
      <c r="A55" s="426"/>
      <c r="B55" s="156" t="str">
        <f>Capacidades!M649</f>
        <v xml:space="preserve">   </v>
      </c>
      <c r="C55" s="157"/>
      <c r="D55" s="13"/>
      <c r="E55" s="13"/>
      <c r="F55" s="14"/>
      <c r="G55" s="14"/>
      <c r="H55" s="14"/>
      <c r="I55" s="14"/>
      <c r="J55" s="14"/>
      <c r="K55" s="14"/>
      <c r="L55" s="446"/>
      <c r="M55" s="87" t="str">
        <f t="shared" si="0"/>
        <v xml:space="preserve">   </v>
      </c>
    </row>
    <row r="56" spans="1:13" x14ac:dyDescent="0.2">
      <c r="A56" s="426"/>
      <c r="B56" s="156" t="str">
        <f>Capacidades!M650</f>
        <v xml:space="preserve">   </v>
      </c>
      <c r="C56" s="157"/>
      <c r="D56" s="13"/>
      <c r="E56" s="13"/>
      <c r="F56" s="14"/>
      <c r="G56" s="14"/>
      <c r="H56" s="14"/>
      <c r="I56" s="14"/>
      <c r="J56" s="14"/>
      <c r="K56" s="14"/>
      <c r="L56" s="446"/>
      <c r="M56" s="87" t="str">
        <f t="shared" si="0"/>
        <v xml:space="preserve">   </v>
      </c>
    </row>
    <row r="57" spans="1:13" x14ac:dyDescent="0.2">
      <c r="A57" s="427"/>
      <c r="B57" s="156" t="str">
        <f>Capacidades!M651</f>
        <v xml:space="preserve">   </v>
      </c>
      <c r="C57" s="157"/>
      <c r="D57" s="15"/>
      <c r="E57" s="15"/>
      <c r="F57" s="16"/>
      <c r="G57" s="16"/>
      <c r="H57" s="16"/>
      <c r="I57" s="16"/>
      <c r="J57" s="16"/>
      <c r="K57" s="16"/>
      <c r="L57" s="447"/>
      <c r="M57" s="87" t="str">
        <f t="shared" si="0"/>
        <v xml:space="preserve">   </v>
      </c>
    </row>
    <row r="58" spans="1:13" x14ac:dyDescent="0.2">
      <c r="A58" s="425" t="str">
        <f>Capacidades!L652</f>
        <v xml:space="preserve">       </v>
      </c>
      <c r="B58" s="156" t="str">
        <f>Capacidades!M652</f>
        <v xml:space="preserve">   </v>
      </c>
      <c r="C58" s="157"/>
      <c r="D58" s="11">
        <f>Organización_Modular!F76</f>
        <v>0</v>
      </c>
      <c r="E58" s="11">
        <f>Organización_Modular!G76</f>
        <v>0</v>
      </c>
      <c r="F58" s="11">
        <f>Organización_Modular!H76</f>
        <v>0</v>
      </c>
      <c r="G58" s="11">
        <f>Organización_Modular!I76</f>
        <v>0</v>
      </c>
      <c r="H58" s="12">
        <f>SUM(F58:G58)</f>
        <v>0</v>
      </c>
      <c r="I58" s="12">
        <f>F58*16</f>
        <v>0</v>
      </c>
      <c r="J58" s="12">
        <f>G58*32</f>
        <v>0</v>
      </c>
      <c r="K58" s="12">
        <f>SUM(I58:J58)</f>
        <v>0</v>
      </c>
      <c r="L58" s="445"/>
      <c r="M58" s="87" t="str">
        <f t="shared" si="0"/>
        <v xml:space="preserve">   </v>
      </c>
    </row>
    <row r="59" spans="1:13" x14ac:dyDescent="0.2">
      <c r="A59" s="426"/>
      <c r="B59" s="156" t="str">
        <f>Capacidades!M653</f>
        <v xml:space="preserve">   </v>
      </c>
      <c r="C59" s="157"/>
      <c r="D59" s="13"/>
      <c r="E59" s="13"/>
      <c r="F59" s="14"/>
      <c r="G59" s="14"/>
      <c r="H59" s="14"/>
      <c r="I59" s="14"/>
      <c r="J59" s="14"/>
      <c r="K59" s="14"/>
      <c r="L59" s="446"/>
      <c r="M59" s="87" t="str">
        <f t="shared" si="0"/>
        <v xml:space="preserve">   </v>
      </c>
    </row>
    <row r="60" spans="1:13" x14ac:dyDescent="0.2">
      <c r="A60" s="426"/>
      <c r="B60" s="156" t="str">
        <f>Capacidades!M654</f>
        <v xml:space="preserve">   </v>
      </c>
      <c r="C60" s="157"/>
      <c r="D60" s="13"/>
      <c r="E60" s="13"/>
      <c r="F60" s="14"/>
      <c r="G60" s="14"/>
      <c r="H60" s="14"/>
      <c r="I60" s="14"/>
      <c r="J60" s="14"/>
      <c r="K60" s="14"/>
      <c r="L60" s="446"/>
      <c r="M60" s="87" t="str">
        <f t="shared" si="0"/>
        <v xml:space="preserve">   </v>
      </c>
    </row>
    <row r="61" spans="1:13" x14ac:dyDescent="0.2">
      <c r="A61" s="426"/>
      <c r="B61" s="156" t="str">
        <f>Capacidades!M655</f>
        <v xml:space="preserve">   </v>
      </c>
      <c r="C61" s="157"/>
      <c r="D61" s="13"/>
      <c r="E61" s="13"/>
      <c r="F61" s="14"/>
      <c r="G61" s="14"/>
      <c r="H61" s="14"/>
      <c r="I61" s="14"/>
      <c r="J61" s="14"/>
      <c r="K61" s="14"/>
      <c r="L61" s="446"/>
      <c r="M61" s="87" t="str">
        <f t="shared" si="0"/>
        <v xml:space="preserve">   </v>
      </c>
    </row>
    <row r="62" spans="1:13" x14ac:dyDescent="0.2">
      <c r="A62" s="426"/>
      <c r="B62" s="156" t="str">
        <f>Capacidades!M656</f>
        <v xml:space="preserve">   </v>
      </c>
      <c r="C62" s="157"/>
      <c r="D62" s="13"/>
      <c r="E62" s="13"/>
      <c r="F62" s="14"/>
      <c r="G62" s="14"/>
      <c r="H62" s="14"/>
      <c r="I62" s="14"/>
      <c r="J62" s="14"/>
      <c r="K62" s="14"/>
      <c r="L62" s="446"/>
      <c r="M62" s="87" t="str">
        <f t="shared" si="0"/>
        <v xml:space="preserve">   </v>
      </c>
    </row>
    <row r="63" spans="1:13" x14ac:dyDescent="0.2">
      <c r="A63" s="426"/>
      <c r="B63" s="156" t="str">
        <f>Capacidades!M657</f>
        <v xml:space="preserve">   </v>
      </c>
      <c r="C63" s="157"/>
      <c r="D63" s="13"/>
      <c r="E63" s="13"/>
      <c r="F63" s="14"/>
      <c r="G63" s="14"/>
      <c r="H63" s="14"/>
      <c r="I63" s="14"/>
      <c r="J63" s="14"/>
      <c r="K63" s="14"/>
      <c r="L63" s="446"/>
      <c r="M63" s="87" t="str">
        <f t="shared" si="0"/>
        <v xml:space="preserve">   </v>
      </c>
    </row>
    <row r="64" spans="1:13" x14ac:dyDescent="0.2">
      <c r="A64" s="426"/>
      <c r="B64" s="156" t="str">
        <f>Capacidades!M658</f>
        <v xml:space="preserve">   </v>
      </c>
      <c r="C64" s="157"/>
      <c r="D64" s="13"/>
      <c r="E64" s="13"/>
      <c r="F64" s="14"/>
      <c r="G64" s="14"/>
      <c r="H64" s="14"/>
      <c r="I64" s="14"/>
      <c r="J64" s="14"/>
      <c r="K64" s="14"/>
      <c r="L64" s="446"/>
      <c r="M64" s="87" t="str">
        <f t="shared" si="0"/>
        <v xml:space="preserve">   </v>
      </c>
    </row>
    <row r="65" spans="1:13" x14ac:dyDescent="0.2">
      <c r="A65" s="426"/>
      <c r="B65" s="156" t="str">
        <f>Capacidades!M659</f>
        <v xml:space="preserve">   </v>
      </c>
      <c r="C65" s="157"/>
      <c r="D65" s="13"/>
      <c r="E65" s="13"/>
      <c r="F65" s="14"/>
      <c r="G65" s="14"/>
      <c r="H65" s="14"/>
      <c r="I65" s="14"/>
      <c r="J65" s="14"/>
      <c r="K65" s="14"/>
      <c r="L65" s="446"/>
      <c r="M65" s="87" t="str">
        <f t="shared" si="0"/>
        <v xml:space="preserve">   </v>
      </c>
    </row>
    <row r="66" spans="1:13" x14ac:dyDescent="0.2">
      <c r="A66" s="426"/>
      <c r="B66" s="156" t="str">
        <f>Capacidades!M660</f>
        <v xml:space="preserve">   </v>
      </c>
      <c r="C66" s="157"/>
      <c r="D66" s="13"/>
      <c r="E66" s="13"/>
      <c r="F66" s="14"/>
      <c r="G66" s="14"/>
      <c r="H66" s="14"/>
      <c r="I66" s="14"/>
      <c r="J66" s="14"/>
      <c r="K66" s="14"/>
      <c r="L66" s="446"/>
      <c r="M66" s="87" t="str">
        <f t="shared" si="0"/>
        <v xml:space="preserve">   </v>
      </c>
    </row>
    <row r="67" spans="1:13" x14ac:dyDescent="0.2">
      <c r="A67" s="427"/>
      <c r="B67" s="156" t="str">
        <f>Capacidades!M661</f>
        <v xml:space="preserve">   </v>
      </c>
      <c r="C67" s="157"/>
      <c r="D67" s="15"/>
      <c r="E67" s="15"/>
      <c r="F67" s="16"/>
      <c r="G67" s="16"/>
      <c r="H67" s="16"/>
      <c r="I67" s="16"/>
      <c r="J67" s="16"/>
      <c r="K67" s="16"/>
      <c r="L67" s="447"/>
      <c r="M67" s="87" t="str">
        <f t="shared" si="0"/>
        <v xml:space="preserve">   </v>
      </c>
    </row>
    <row r="68" spans="1:13" x14ac:dyDescent="0.2">
      <c r="A68" s="425" t="str">
        <f>Capacidades!L662</f>
        <v xml:space="preserve">       </v>
      </c>
      <c r="B68" s="156" t="str">
        <f>Capacidades!M662</f>
        <v xml:space="preserve">   </v>
      </c>
      <c r="C68" s="157"/>
      <c r="D68" s="11">
        <f>Organización_Modular!F77</f>
        <v>0</v>
      </c>
      <c r="E68" s="11">
        <f>Organización_Modular!G77</f>
        <v>0</v>
      </c>
      <c r="F68" s="11">
        <f>Organización_Modular!H77</f>
        <v>0</v>
      </c>
      <c r="G68" s="11">
        <f>Organización_Modular!I77</f>
        <v>0</v>
      </c>
      <c r="H68" s="12">
        <f>SUM(F68:G68)</f>
        <v>0</v>
      </c>
      <c r="I68" s="12">
        <f>F68*16</f>
        <v>0</v>
      </c>
      <c r="J68" s="12">
        <f>G68*32</f>
        <v>0</v>
      </c>
      <c r="K68" s="12">
        <f>SUM(I68:J68)</f>
        <v>0</v>
      </c>
      <c r="L68" s="445"/>
      <c r="M68" s="87" t="str">
        <f t="shared" si="0"/>
        <v xml:space="preserve">   </v>
      </c>
    </row>
    <row r="69" spans="1:13" x14ac:dyDescent="0.2">
      <c r="A69" s="426"/>
      <c r="B69" s="156" t="str">
        <f>Capacidades!M663</f>
        <v xml:space="preserve">   </v>
      </c>
      <c r="C69" s="157"/>
      <c r="D69" s="13"/>
      <c r="E69" s="13"/>
      <c r="F69" s="14"/>
      <c r="G69" s="14"/>
      <c r="H69" s="14"/>
      <c r="I69" s="14"/>
      <c r="J69" s="14"/>
      <c r="K69" s="14"/>
      <c r="L69" s="446"/>
      <c r="M69" s="87" t="str">
        <f t="shared" si="0"/>
        <v xml:space="preserve">   </v>
      </c>
    </row>
    <row r="70" spans="1:13" x14ac:dyDescent="0.2">
      <c r="A70" s="426"/>
      <c r="B70" s="156" t="str">
        <f>Capacidades!M664</f>
        <v xml:space="preserve">   </v>
      </c>
      <c r="C70" s="157"/>
      <c r="D70" s="13"/>
      <c r="E70" s="13"/>
      <c r="F70" s="14"/>
      <c r="G70" s="14"/>
      <c r="H70" s="14"/>
      <c r="I70" s="14"/>
      <c r="J70" s="14"/>
      <c r="K70" s="14"/>
      <c r="L70" s="446"/>
      <c r="M70" s="87" t="str">
        <f t="shared" si="0"/>
        <v xml:space="preserve">   </v>
      </c>
    </row>
    <row r="71" spans="1:13" x14ac:dyDescent="0.2">
      <c r="A71" s="426"/>
      <c r="B71" s="156" t="str">
        <f>Capacidades!M665</f>
        <v xml:space="preserve">   </v>
      </c>
      <c r="C71" s="157"/>
      <c r="D71" s="13"/>
      <c r="E71" s="13"/>
      <c r="F71" s="14"/>
      <c r="G71" s="14"/>
      <c r="H71" s="14"/>
      <c r="I71" s="14"/>
      <c r="J71" s="14"/>
      <c r="K71" s="14"/>
      <c r="L71" s="446"/>
      <c r="M71" s="87" t="str">
        <f t="shared" si="0"/>
        <v xml:space="preserve">   </v>
      </c>
    </row>
    <row r="72" spans="1:13" x14ac:dyDescent="0.2">
      <c r="A72" s="426"/>
      <c r="B72" s="156" t="str">
        <f>Capacidades!M666</f>
        <v xml:space="preserve">   </v>
      </c>
      <c r="C72" s="157"/>
      <c r="D72" s="13"/>
      <c r="E72" s="13"/>
      <c r="F72" s="14"/>
      <c r="G72" s="14"/>
      <c r="H72" s="14"/>
      <c r="I72" s="14"/>
      <c r="J72" s="14"/>
      <c r="K72" s="14"/>
      <c r="L72" s="446"/>
      <c r="M72" s="87" t="str">
        <f t="shared" si="0"/>
        <v xml:space="preserve">   </v>
      </c>
    </row>
    <row r="73" spans="1:13" x14ac:dyDescent="0.2">
      <c r="A73" s="426"/>
      <c r="B73" s="156" t="str">
        <f>Capacidades!M667</f>
        <v xml:space="preserve">   </v>
      </c>
      <c r="C73" s="157"/>
      <c r="D73" s="13"/>
      <c r="E73" s="13"/>
      <c r="F73" s="14"/>
      <c r="G73" s="14"/>
      <c r="H73" s="14"/>
      <c r="I73" s="14"/>
      <c r="J73" s="14"/>
      <c r="K73" s="14"/>
      <c r="L73" s="446"/>
      <c r="M73" s="87" t="str">
        <f t="shared" si="0"/>
        <v xml:space="preserve">   </v>
      </c>
    </row>
    <row r="74" spans="1:13" x14ac:dyDescent="0.2">
      <c r="A74" s="426"/>
      <c r="B74" s="156" t="str">
        <f>Capacidades!M668</f>
        <v xml:space="preserve">   </v>
      </c>
      <c r="C74" s="157"/>
      <c r="D74" s="13"/>
      <c r="E74" s="13"/>
      <c r="F74" s="14"/>
      <c r="G74" s="14"/>
      <c r="H74" s="14"/>
      <c r="I74" s="14"/>
      <c r="J74" s="14"/>
      <c r="K74" s="14"/>
      <c r="L74" s="446"/>
      <c r="M74" s="87" t="str">
        <f t="shared" si="0"/>
        <v xml:space="preserve">   </v>
      </c>
    </row>
    <row r="75" spans="1:13" x14ac:dyDescent="0.2">
      <c r="A75" s="426"/>
      <c r="B75" s="156" t="str">
        <f>Capacidades!M669</f>
        <v xml:space="preserve">   </v>
      </c>
      <c r="C75" s="157"/>
      <c r="D75" s="13"/>
      <c r="E75" s="13"/>
      <c r="F75" s="14"/>
      <c r="G75" s="14"/>
      <c r="H75" s="14"/>
      <c r="I75" s="14"/>
      <c r="J75" s="14"/>
      <c r="K75" s="14"/>
      <c r="L75" s="446"/>
      <c r="M75" s="87" t="str">
        <f t="shared" si="0"/>
        <v xml:space="preserve">   </v>
      </c>
    </row>
    <row r="76" spans="1:13" x14ac:dyDescent="0.2">
      <c r="A76" s="426"/>
      <c r="B76" s="156" t="str">
        <f>Capacidades!M670</f>
        <v xml:space="preserve">   </v>
      </c>
      <c r="C76" s="157"/>
      <c r="D76" s="13"/>
      <c r="E76" s="13"/>
      <c r="F76" s="14"/>
      <c r="G76" s="14"/>
      <c r="H76" s="14"/>
      <c r="I76" s="14"/>
      <c r="J76" s="14"/>
      <c r="K76" s="14"/>
      <c r="L76" s="446"/>
      <c r="M76" s="87" t="str">
        <f t="shared" si="0"/>
        <v xml:space="preserve">   </v>
      </c>
    </row>
    <row r="77" spans="1:13" x14ac:dyDescent="0.2">
      <c r="A77" s="427"/>
      <c r="B77" s="156" t="str">
        <f>Capacidades!M671</f>
        <v xml:space="preserve">   </v>
      </c>
      <c r="C77" s="157"/>
      <c r="D77" s="15"/>
      <c r="E77" s="15"/>
      <c r="F77" s="16"/>
      <c r="G77" s="16"/>
      <c r="H77" s="16"/>
      <c r="I77" s="16"/>
      <c r="J77" s="16"/>
      <c r="K77" s="16"/>
      <c r="L77" s="447"/>
      <c r="M77" s="87" t="str">
        <f t="shared" si="0"/>
        <v xml:space="preserve">   </v>
      </c>
    </row>
    <row r="78" spans="1:13" x14ac:dyDescent="0.2">
      <c r="A78" s="425" t="str">
        <f>Capacidades!L672</f>
        <v xml:space="preserve">       </v>
      </c>
      <c r="B78" s="156" t="str">
        <f>Capacidades!M672</f>
        <v xml:space="preserve">   </v>
      </c>
      <c r="C78" s="157"/>
      <c r="D78" s="11">
        <f>Organización_Modular!F78</f>
        <v>0</v>
      </c>
      <c r="E78" s="11">
        <f>Organización_Modular!G78</f>
        <v>0</v>
      </c>
      <c r="F78" s="11">
        <f>Organización_Modular!H78</f>
        <v>0</v>
      </c>
      <c r="G78" s="11">
        <f>Organización_Modular!I78</f>
        <v>0</v>
      </c>
      <c r="H78" s="12">
        <f>SUM(F78:G78)</f>
        <v>0</v>
      </c>
      <c r="I78" s="12">
        <f>F78*16</f>
        <v>0</v>
      </c>
      <c r="J78" s="12">
        <f>G78*32</f>
        <v>0</v>
      </c>
      <c r="K78" s="12">
        <f>SUM(I78:J78)</f>
        <v>0</v>
      </c>
      <c r="L78" s="445"/>
      <c r="M78" s="87" t="str">
        <f t="shared" si="0"/>
        <v xml:space="preserve">   </v>
      </c>
    </row>
    <row r="79" spans="1:13" x14ac:dyDescent="0.2">
      <c r="A79" s="426"/>
      <c r="B79" s="156" t="str">
        <f>Capacidades!M673</f>
        <v xml:space="preserve">   </v>
      </c>
      <c r="C79" s="157"/>
      <c r="D79" s="13"/>
      <c r="E79" s="13"/>
      <c r="F79" s="14"/>
      <c r="G79" s="14"/>
      <c r="H79" s="14"/>
      <c r="I79" s="14"/>
      <c r="J79" s="14"/>
      <c r="K79" s="14"/>
      <c r="L79" s="446"/>
      <c r="M79" s="87" t="str">
        <f t="shared" si="0"/>
        <v xml:space="preserve">   </v>
      </c>
    </row>
    <row r="80" spans="1:13" x14ac:dyDescent="0.2">
      <c r="A80" s="426"/>
      <c r="B80" s="156" t="str">
        <f>Capacidades!M674</f>
        <v xml:space="preserve">   </v>
      </c>
      <c r="C80" s="157"/>
      <c r="D80" s="13"/>
      <c r="E80" s="13"/>
      <c r="F80" s="14"/>
      <c r="G80" s="14"/>
      <c r="H80" s="14"/>
      <c r="I80" s="14"/>
      <c r="J80" s="14"/>
      <c r="K80" s="14"/>
      <c r="L80" s="446"/>
      <c r="M80" s="87" t="str">
        <f t="shared" si="0"/>
        <v xml:space="preserve">   </v>
      </c>
    </row>
    <row r="81" spans="1:13" x14ac:dyDescent="0.2">
      <c r="A81" s="426"/>
      <c r="B81" s="156" t="str">
        <f>Capacidades!M675</f>
        <v xml:space="preserve">   </v>
      </c>
      <c r="C81" s="157"/>
      <c r="D81" s="13"/>
      <c r="E81" s="13"/>
      <c r="F81" s="14"/>
      <c r="G81" s="14"/>
      <c r="H81" s="14"/>
      <c r="I81" s="14"/>
      <c r="J81" s="14"/>
      <c r="K81" s="14"/>
      <c r="L81" s="446"/>
      <c r="M81" s="87" t="str">
        <f t="shared" si="0"/>
        <v xml:space="preserve">   </v>
      </c>
    </row>
    <row r="82" spans="1:13" x14ac:dyDescent="0.2">
      <c r="A82" s="426"/>
      <c r="B82" s="156" t="str">
        <f>Capacidades!M676</f>
        <v xml:space="preserve">   </v>
      </c>
      <c r="C82" s="157"/>
      <c r="D82" s="13"/>
      <c r="E82" s="13"/>
      <c r="F82" s="14"/>
      <c r="G82" s="14"/>
      <c r="H82" s="14"/>
      <c r="I82" s="14"/>
      <c r="J82" s="14"/>
      <c r="K82" s="14"/>
      <c r="L82" s="446"/>
      <c r="M82" s="87" t="str">
        <f t="shared" si="0"/>
        <v xml:space="preserve">   </v>
      </c>
    </row>
    <row r="83" spans="1:13" x14ac:dyDescent="0.2">
      <c r="A83" s="426"/>
      <c r="B83" s="156" t="str">
        <f>Capacidades!M677</f>
        <v xml:space="preserve">   </v>
      </c>
      <c r="C83" s="157"/>
      <c r="D83" s="13"/>
      <c r="E83" s="13"/>
      <c r="F83" s="14"/>
      <c r="G83" s="14"/>
      <c r="H83" s="14"/>
      <c r="I83" s="14"/>
      <c r="J83" s="14"/>
      <c r="K83" s="14"/>
      <c r="L83" s="446"/>
      <c r="M83" s="87" t="str">
        <f t="shared" ref="M83:M146" si="1">B83</f>
        <v xml:space="preserve">   </v>
      </c>
    </row>
    <row r="84" spans="1:13" x14ac:dyDescent="0.2">
      <c r="A84" s="426"/>
      <c r="B84" s="156" t="str">
        <f>Capacidades!M678</f>
        <v xml:space="preserve">   </v>
      </c>
      <c r="C84" s="157"/>
      <c r="D84" s="13"/>
      <c r="E84" s="13"/>
      <c r="F84" s="14"/>
      <c r="G84" s="14"/>
      <c r="H84" s="14"/>
      <c r="I84" s="14"/>
      <c r="J84" s="14"/>
      <c r="K84" s="14"/>
      <c r="L84" s="446"/>
      <c r="M84" s="87" t="str">
        <f t="shared" si="1"/>
        <v xml:space="preserve">   </v>
      </c>
    </row>
    <row r="85" spans="1:13" x14ac:dyDescent="0.2">
      <c r="A85" s="426"/>
      <c r="B85" s="156" t="str">
        <f>Capacidades!M679</f>
        <v xml:space="preserve">   </v>
      </c>
      <c r="C85" s="157"/>
      <c r="D85" s="13"/>
      <c r="E85" s="13"/>
      <c r="F85" s="14"/>
      <c r="G85" s="14"/>
      <c r="H85" s="14"/>
      <c r="I85" s="14"/>
      <c r="J85" s="14"/>
      <c r="K85" s="14"/>
      <c r="L85" s="446"/>
      <c r="M85" s="87" t="str">
        <f t="shared" si="1"/>
        <v xml:space="preserve">   </v>
      </c>
    </row>
    <row r="86" spans="1:13" x14ac:dyDescent="0.2">
      <c r="A86" s="426"/>
      <c r="B86" s="156" t="str">
        <f>Capacidades!M680</f>
        <v xml:space="preserve">   </v>
      </c>
      <c r="C86" s="157"/>
      <c r="D86" s="13"/>
      <c r="E86" s="13"/>
      <c r="F86" s="14"/>
      <c r="G86" s="14"/>
      <c r="H86" s="14"/>
      <c r="I86" s="14"/>
      <c r="J86" s="14"/>
      <c r="K86" s="14"/>
      <c r="L86" s="446"/>
      <c r="M86" s="87" t="str">
        <f t="shared" si="1"/>
        <v xml:space="preserve">   </v>
      </c>
    </row>
    <row r="87" spans="1:13" x14ac:dyDescent="0.2">
      <c r="A87" s="427"/>
      <c r="B87" s="156" t="str">
        <f>Capacidades!M681</f>
        <v xml:space="preserve">   </v>
      </c>
      <c r="C87" s="157"/>
      <c r="D87" s="15"/>
      <c r="E87" s="15"/>
      <c r="F87" s="16"/>
      <c r="G87" s="16"/>
      <c r="H87" s="16"/>
      <c r="I87" s="16"/>
      <c r="J87" s="16"/>
      <c r="K87" s="16"/>
      <c r="L87" s="447"/>
      <c r="M87" s="87" t="str">
        <f t="shared" si="1"/>
        <v xml:space="preserve">   </v>
      </c>
    </row>
    <row r="88" spans="1:13" x14ac:dyDescent="0.2">
      <c r="A88" s="425" t="str">
        <f>Capacidades!L682</f>
        <v xml:space="preserve">       </v>
      </c>
      <c r="B88" s="156" t="str">
        <f>Capacidades!M682</f>
        <v xml:space="preserve">   </v>
      </c>
      <c r="C88" s="157"/>
      <c r="D88" s="11">
        <f>Organización_Modular!F79</f>
        <v>0</v>
      </c>
      <c r="E88" s="11">
        <f>Organización_Modular!G79</f>
        <v>0</v>
      </c>
      <c r="F88" s="11">
        <f>Organización_Modular!H79</f>
        <v>0</v>
      </c>
      <c r="G88" s="11">
        <f>Organización_Modular!I79</f>
        <v>0</v>
      </c>
      <c r="H88" s="12">
        <f>SUM(F88:G88)</f>
        <v>0</v>
      </c>
      <c r="I88" s="12">
        <f>F88*16</f>
        <v>0</v>
      </c>
      <c r="J88" s="12">
        <f>G88*32</f>
        <v>0</v>
      </c>
      <c r="K88" s="12">
        <f>SUM(I88:J88)</f>
        <v>0</v>
      </c>
      <c r="L88" s="445"/>
      <c r="M88" s="87" t="str">
        <f t="shared" si="1"/>
        <v xml:space="preserve">   </v>
      </c>
    </row>
    <row r="89" spans="1:13" x14ac:dyDescent="0.2">
      <c r="A89" s="426"/>
      <c r="B89" s="156" t="str">
        <f>Capacidades!M683</f>
        <v xml:space="preserve">   </v>
      </c>
      <c r="C89" s="157"/>
      <c r="D89" s="13"/>
      <c r="E89" s="13"/>
      <c r="F89" s="14"/>
      <c r="G89" s="14"/>
      <c r="H89" s="14"/>
      <c r="I89" s="14"/>
      <c r="J89" s="14"/>
      <c r="K89" s="14"/>
      <c r="L89" s="446"/>
      <c r="M89" s="87" t="str">
        <f t="shared" si="1"/>
        <v xml:space="preserve">   </v>
      </c>
    </row>
    <row r="90" spans="1:13" x14ac:dyDescent="0.2">
      <c r="A90" s="426"/>
      <c r="B90" s="156" t="str">
        <f>Capacidades!M684</f>
        <v xml:space="preserve">   </v>
      </c>
      <c r="C90" s="157"/>
      <c r="D90" s="13"/>
      <c r="E90" s="13"/>
      <c r="F90" s="14"/>
      <c r="G90" s="14"/>
      <c r="H90" s="14"/>
      <c r="I90" s="14"/>
      <c r="J90" s="14"/>
      <c r="K90" s="14"/>
      <c r="L90" s="446"/>
      <c r="M90" s="87" t="str">
        <f t="shared" si="1"/>
        <v xml:space="preserve">   </v>
      </c>
    </row>
    <row r="91" spans="1:13" x14ac:dyDescent="0.2">
      <c r="A91" s="426"/>
      <c r="B91" s="156" t="str">
        <f>Capacidades!M685</f>
        <v xml:space="preserve">   </v>
      </c>
      <c r="C91" s="157"/>
      <c r="D91" s="13"/>
      <c r="E91" s="13"/>
      <c r="F91" s="14"/>
      <c r="G91" s="14"/>
      <c r="H91" s="14"/>
      <c r="I91" s="14"/>
      <c r="J91" s="14"/>
      <c r="K91" s="14"/>
      <c r="L91" s="446"/>
      <c r="M91" s="87" t="str">
        <f t="shared" si="1"/>
        <v xml:space="preserve">   </v>
      </c>
    </row>
    <row r="92" spans="1:13" x14ac:dyDescent="0.2">
      <c r="A92" s="426"/>
      <c r="B92" s="156" t="str">
        <f>Capacidades!M686</f>
        <v xml:space="preserve">   </v>
      </c>
      <c r="C92" s="157"/>
      <c r="D92" s="13"/>
      <c r="E92" s="13"/>
      <c r="F92" s="14"/>
      <c r="G92" s="14"/>
      <c r="H92" s="14"/>
      <c r="I92" s="14"/>
      <c r="J92" s="14"/>
      <c r="K92" s="14"/>
      <c r="L92" s="446"/>
      <c r="M92" s="87" t="str">
        <f t="shared" si="1"/>
        <v xml:space="preserve">   </v>
      </c>
    </row>
    <row r="93" spans="1:13" x14ac:dyDescent="0.2">
      <c r="A93" s="426"/>
      <c r="B93" s="156" t="str">
        <f>Capacidades!M687</f>
        <v xml:space="preserve">   </v>
      </c>
      <c r="C93" s="157"/>
      <c r="D93" s="13"/>
      <c r="E93" s="13"/>
      <c r="F93" s="14"/>
      <c r="G93" s="14"/>
      <c r="H93" s="14"/>
      <c r="I93" s="14"/>
      <c r="J93" s="14"/>
      <c r="K93" s="14"/>
      <c r="L93" s="446"/>
      <c r="M93" s="87" t="str">
        <f t="shared" si="1"/>
        <v xml:space="preserve">   </v>
      </c>
    </row>
    <row r="94" spans="1:13" x14ac:dyDescent="0.2">
      <c r="A94" s="426"/>
      <c r="B94" s="156" t="str">
        <f>Capacidades!M688</f>
        <v xml:space="preserve">   </v>
      </c>
      <c r="C94" s="157"/>
      <c r="D94" s="13"/>
      <c r="E94" s="13"/>
      <c r="F94" s="14"/>
      <c r="G94" s="14"/>
      <c r="H94" s="14"/>
      <c r="I94" s="14"/>
      <c r="J94" s="14"/>
      <c r="K94" s="14"/>
      <c r="L94" s="446"/>
      <c r="M94" s="87" t="str">
        <f t="shared" si="1"/>
        <v xml:space="preserve">   </v>
      </c>
    </row>
    <row r="95" spans="1:13" x14ac:dyDescent="0.2">
      <c r="A95" s="426"/>
      <c r="B95" s="156" t="str">
        <f>Capacidades!M689</f>
        <v xml:space="preserve">   </v>
      </c>
      <c r="C95" s="157"/>
      <c r="D95" s="13"/>
      <c r="E95" s="13"/>
      <c r="F95" s="14"/>
      <c r="G95" s="14"/>
      <c r="H95" s="14"/>
      <c r="I95" s="14"/>
      <c r="J95" s="14"/>
      <c r="K95" s="14"/>
      <c r="L95" s="446"/>
      <c r="M95" s="87" t="str">
        <f t="shared" si="1"/>
        <v xml:space="preserve">   </v>
      </c>
    </row>
    <row r="96" spans="1:13" x14ac:dyDescent="0.2">
      <c r="A96" s="426"/>
      <c r="B96" s="156" t="str">
        <f>Capacidades!M690</f>
        <v xml:space="preserve">   </v>
      </c>
      <c r="C96" s="157"/>
      <c r="D96" s="13"/>
      <c r="E96" s="13"/>
      <c r="F96" s="14"/>
      <c r="G96" s="14"/>
      <c r="H96" s="14"/>
      <c r="I96" s="14"/>
      <c r="J96" s="14"/>
      <c r="K96" s="14"/>
      <c r="L96" s="446"/>
      <c r="M96" s="87" t="str">
        <f t="shared" si="1"/>
        <v xml:space="preserve">   </v>
      </c>
    </row>
    <row r="97" spans="1:13" x14ac:dyDescent="0.2">
      <c r="A97" s="427"/>
      <c r="B97" s="156" t="str">
        <f>Capacidades!M691</f>
        <v xml:space="preserve">   </v>
      </c>
      <c r="C97" s="157"/>
      <c r="D97" s="15"/>
      <c r="E97" s="15"/>
      <c r="F97" s="16"/>
      <c r="G97" s="16"/>
      <c r="H97" s="16"/>
      <c r="I97" s="16"/>
      <c r="J97" s="16"/>
      <c r="K97" s="16"/>
      <c r="L97" s="447"/>
      <c r="M97" s="87" t="str">
        <f t="shared" si="1"/>
        <v xml:space="preserve">   </v>
      </c>
    </row>
    <row r="98" spans="1:13" x14ac:dyDescent="0.2">
      <c r="A98" s="425" t="str">
        <f>Capacidades!L692</f>
        <v xml:space="preserve">       </v>
      </c>
      <c r="B98" s="156" t="str">
        <f>Capacidades!M692</f>
        <v xml:space="preserve">   </v>
      </c>
      <c r="C98" s="157"/>
      <c r="D98" s="11">
        <f>Organización_Modular!F80</f>
        <v>0</v>
      </c>
      <c r="E98" s="11">
        <f>Organización_Modular!G80</f>
        <v>0</v>
      </c>
      <c r="F98" s="11">
        <f>Organización_Modular!H80</f>
        <v>0</v>
      </c>
      <c r="G98" s="11">
        <f>Organización_Modular!I80</f>
        <v>0</v>
      </c>
      <c r="H98" s="12">
        <f>SUM(F98:G98)</f>
        <v>0</v>
      </c>
      <c r="I98" s="12">
        <f>F98*16</f>
        <v>0</v>
      </c>
      <c r="J98" s="12">
        <f>G98*32</f>
        <v>0</v>
      </c>
      <c r="K98" s="12">
        <f>SUM(I98:J98)</f>
        <v>0</v>
      </c>
      <c r="L98" s="445"/>
      <c r="M98" s="87" t="str">
        <f t="shared" si="1"/>
        <v xml:space="preserve">   </v>
      </c>
    </row>
    <row r="99" spans="1:13" x14ac:dyDescent="0.2">
      <c r="A99" s="426"/>
      <c r="B99" s="156" t="str">
        <f>Capacidades!M693</f>
        <v xml:space="preserve">   </v>
      </c>
      <c r="C99" s="157"/>
      <c r="D99" s="13"/>
      <c r="E99" s="13"/>
      <c r="F99" s="14"/>
      <c r="G99" s="14"/>
      <c r="H99" s="14"/>
      <c r="I99" s="14"/>
      <c r="J99" s="14"/>
      <c r="K99" s="14"/>
      <c r="L99" s="446"/>
      <c r="M99" s="87" t="str">
        <f t="shared" si="1"/>
        <v xml:space="preserve">   </v>
      </c>
    </row>
    <row r="100" spans="1:13" x14ac:dyDescent="0.2">
      <c r="A100" s="426"/>
      <c r="B100" s="156" t="str">
        <f>Capacidades!M694</f>
        <v xml:space="preserve">   </v>
      </c>
      <c r="C100" s="157"/>
      <c r="D100" s="13"/>
      <c r="E100" s="13"/>
      <c r="F100" s="14"/>
      <c r="G100" s="14"/>
      <c r="H100" s="14"/>
      <c r="I100" s="14"/>
      <c r="J100" s="14"/>
      <c r="K100" s="14"/>
      <c r="L100" s="446"/>
      <c r="M100" s="87" t="str">
        <f t="shared" si="1"/>
        <v xml:space="preserve">   </v>
      </c>
    </row>
    <row r="101" spans="1:13" x14ac:dyDescent="0.2">
      <c r="A101" s="426"/>
      <c r="B101" s="156" t="str">
        <f>Capacidades!M695</f>
        <v xml:space="preserve">   </v>
      </c>
      <c r="C101" s="157"/>
      <c r="D101" s="13"/>
      <c r="E101" s="13"/>
      <c r="F101" s="14"/>
      <c r="G101" s="14"/>
      <c r="H101" s="14"/>
      <c r="I101" s="14"/>
      <c r="J101" s="14"/>
      <c r="K101" s="14"/>
      <c r="L101" s="446"/>
      <c r="M101" s="87" t="str">
        <f t="shared" si="1"/>
        <v xml:space="preserve">   </v>
      </c>
    </row>
    <row r="102" spans="1:13" x14ac:dyDescent="0.2">
      <c r="A102" s="426"/>
      <c r="B102" s="156" t="str">
        <f>Capacidades!M696</f>
        <v xml:space="preserve">   </v>
      </c>
      <c r="C102" s="157"/>
      <c r="D102" s="13"/>
      <c r="E102" s="13"/>
      <c r="F102" s="14"/>
      <c r="G102" s="14"/>
      <c r="H102" s="14"/>
      <c r="I102" s="14"/>
      <c r="J102" s="14"/>
      <c r="K102" s="14"/>
      <c r="L102" s="446"/>
      <c r="M102" s="87" t="str">
        <f t="shared" si="1"/>
        <v xml:space="preserve">   </v>
      </c>
    </row>
    <row r="103" spans="1:13" x14ac:dyDescent="0.2">
      <c r="A103" s="426"/>
      <c r="B103" s="156" t="str">
        <f>Capacidades!M697</f>
        <v xml:space="preserve">   </v>
      </c>
      <c r="C103" s="157"/>
      <c r="D103" s="13"/>
      <c r="E103" s="13"/>
      <c r="F103" s="14"/>
      <c r="G103" s="14"/>
      <c r="H103" s="14"/>
      <c r="I103" s="14"/>
      <c r="J103" s="14"/>
      <c r="K103" s="14"/>
      <c r="L103" s="446"/>
      <c r="M103" s="87" t="str">
        <f t="shared" si="1"/>
        <v xml:space="preserve">   </v>
      </c>
    </row>
    <row r="104" spans="1:13" x14ac:dyDescent="0.2">
      <c r="A104" s="426"/>
      <c r="B104" s="156" t="str">
        <f>Capacidades!M698</f>
        <v xml:space="preserve">   </v>
      </c>
      <c r="C104" s="157"/>
      <c r="D104" s="13"/>
      <c r="E104" s="13"/>
      <c r="F104" s="14"/>
      <c r="G104" s="14"/>
      <c r="H104" s="14"/>
      <c r="I104" s="14"/>
      <c r="J104" s="14"/>
      <c r="K104" s="14"/>
      <c r="L104" s="446"/>
      <c r="M104" s="87" t="str">
        <f t="shared" si="1"/>
        <v xml:space="preserve">   </v>
      </c>
    </row>
    <row r="105" spans="1:13" x14ac:dyDescent="0.2">
      <c r="A105" s="426"/>
      <c r="B105" s="156" t="str">
        <f>Capacidades!M699</f>
        <v xml:space="preserve">   </v>
      </c>
      <c r="C105" s="157"/>
      <c r="D105" s="13"/>
      <c r="E105" s="13"/>
      <c r="F105" s="14"/>
      <c r="G105" s="14"/>
      <c r="H105" s="14"/>
      <c r="I105" s="14"/>
      <c r="J105" s="14"/>
      <c r="K105" s="14"/>
      <c r="L105" s="446"/>
      <c r="M105" s="87" t="str">
        <f t="shared" si="1"/>
        <v xml:space="preserve">   </v>
      </c>
    </row>
    <row r="106" spans="1:13" x14ac:dyDescent="0.2">
      <c r="A106" s="426"/>
      <c r="B106" s="156" t="str">
        <f>Capacidades!M700</f>
        <v xml:space="preserve">   </v>
      </c>
      <c r="C106" s="157"/>
      <c r="D106" s="13"/>
      <c r="E106" s="13"/>
      <c r="F106" s="14"/>
      <c r="G106" s="14"/>
      <c r="H106" s="14"/>
      <c r="I106" s="14"/>
      <c r="J106" s="14"/>
      <c r="K106" s="14"/>
      <c r="L106" s="446"/>
      <c r="M106" s="87" t="str">
        <f t="shared" si="1"/>
        <v xml:space="preserve">   </v>
      </c>
    </row>
    <row r="107" spans="1:13" x14ac:dyDescent="0.2">
      <c r="A107" s="427"/>
      <c r="B107" s="156" t="str">
        <f>Capacidades!M701</f>
        <v xml:space="preserve">   </v>
      </c>
      <c r="C107" s="157"/>
      <c r="D107" s="15"/>
      <c r="E107" s="15"/>
      <c r="F107" s="16"/>
      <c r="G107" s="16"/>
      <c r="H107" s="16"/>
      <c r="I107" s="16"/>
      <c r="J107" s="16"/>
      <c r="K107" s="16"/>
      <c r="L107" s="447"/>
      <c r="M107" s="87" t="str">
        <f t="shared" si="1"/>
        <v xml:space="preserve">   </v>
      </c>
    </row>
    <row r="108" spans="1:13" x14ac:dyDescent="0.2">
      <c r="A108" s="425" t="str">
        <f>Capacidades!L702</f>
        <v xml:space="preserve">       </v>
      </c>
      <c r="B108" s="156" t="str">
        <f>Capacidades!M702</f>
        <v xml:space="preserve">   </v>
      </c>
      <c r="C108" s="157"/>
      <c r="D108" s="11">
        <f>Organización_Modular!F81</f>
        <v>0</v>
      </c>
      <c r="E108" s="11">
        <f>Organización_Modular!G81</f>
        <v>0</v>
      </c>
      <c r="F108" s="11">
        <f>Organización_Modular!H81</f>
        <v>0</v>
      </c>
      <c r="G108" s="11">
        <f>Organización_Modular!I81</f>
        <v>0</v>
      </c>
      <c r="H108" s="12">
        <f>SUM(F108:G108)</f>
        <v>0</v>
      </c>
      <c r="I108" s="12">
        <f>F108*16</f>
        <v>0</v>
      </c>
      <c r="J108" s="12">
        <f>G108*32</f>
        <v>0</v>
      </c>
      <c r="K108" s="12">
        <f>SUM(I108:J108)</f>
        <v>0</v>
      </c>
      <c r="L108" s="445"/>
      <c r="M108" s="87" t="str">
        <f t="shared" si="1"/>
        <v xml:space="preserve">   </v>
      </c>
    </row>
    <row r="109" spans="1:13" x14ac:dyDescent="0.2">
      <c r="A109" s="426"/>
      <c r="B109" s="156" t="str">
        <f>Capacidades!M703</f>
        <v xml:space="preserve">   </v>
      </c>
      <c r="C109" s="157"/>
      <c r="D109" s="13"/>
      <c r="E109" s="13"/>
      <c r="F109" s="14"/>
      <c r="G109" s="14"/>
      <c r="H109" s="14"/>
      <c r="I109" s="14"/>
      <c r="J109" s="14"/>
      <c r="K109" s="14"/>
      <c r="L109" s="446"/>
      <c r="M109" s="87" t="str">
        <f t="shared" si="1"/>
        <v xml:space="preserve">   </v>
      </c>
    </row>
    <row r="110" spans="1:13" x14ac:dyDescent="0.2">
      <c r="A110" s="426"/>
      <c r="B110" s="156" t="str">
        <f>Capacidades!M704</f>
        <v xml:space="preserve">   </v>
      </c>
      <c r="C110" s="157"/>
      <c r="D110" s="13"/>
      <c r="E110" s="13"/>
      <c r="F110" s="14"/>
      <c r="G110" s="14"/>
      <c r="H110" s="14"/>
      <c r="I110" s="14"/>
      <c r="J110" s="14"/>
      <c r="K110" s="14"/>
      <c r="L110" s="446"/>
      <c r="M110" s="87" t="str">
        <f t="shared" si="1"/>
        <v xml:space="preserve">   </v>
      </c>
    </row>
    <row r="111" spans="1:13" x14ac:dyDescent="0.2">
      <c r="A111" s="426"/>
      <c r="B111" s="156" t="str">
        <f>Capacidades!M705</f>
        <v xml:space="preserve">   </v>
      </c>
      <c r="C111" s="157"/>
      <c r="D111" s="13"/>
      <c r="E111" s="13"/>
      <c r="F111" s="14"/>
      <c r="G111" s="14"/>
      <c r="H111" s="14"/>
      <c r="I111" s="14"/>
      <c r="J111" s="14"/>
      <c r="K111" s="14"/>
      <c r="L111" s="446"/>
      <c r="M111" s="87" t="str">
        <f t="shared" si="1"/>
        <v xml:space="preserve">   </v>
      </c>
    </row>
    <row r="112" spans="1:13" x14ac:dyDescent="0.2">
      <c r="A112" s="426"/>
      <c r="B112" s="156" t="str">
        <f>Capacidades!M706</f>
        <v xml:space="preserve">   </v>
      </c>
      <c r="C112" s="157"/>
      <c r="D112" s="13"/>
      <c r="E112" s="13"/>
      <c r="F112" s="14"/>
      <c r="G112" s="14"/>
      <c r="H112" s="14"/>
      <c r="I112" s="14"/>
      <c r="J112" s="14"/>
      <c r="K112" s="14"/>
      <c r="L112" s="446"/>
      <c r="M112" s="87" t="str">
        <f t="shared" si="1"/>
        <v xml:space="preserve">   </v>
      </c>
    </row>
    <row r="113" spans="1:13" x14ac:dyDescent="0.2">
      <c r="A113" s="426"/>
      <c r="B113" s="156" t="str">
        <f>Capacidades!M707</f>
        <v xml:space="preserve">   </v>
      </c>
      <c r="C113" s="157"/>
      <c r="D113" s="13"/>
      <c r="E113" s="13"/>
      <c r="F113" s="14"/>
      <c r="G113" s="14"/>
      <c r="H113" s="14"/>
      <c r="I113" s="14"/>
      <c r="J113" s="14"/>
      <c r="K113" s="14"/>
      <c r="L113" s="446"/>
      <c r="M113" s="87" t="str">
        <f t="shared" si="1"/>
        <v xml:space="preserve">   </v>
      </c>
    </row>
    <row r="114" spans="1:13" x14ac:dyDescent="0.2">
      <c r="A114" s="426"/>
      <c r="B114" s="156" t="str">
        <f>Capacidades!M708</f>
        <v xml:space="preserve">   </v>
      </c>
      <c r="C114" s="157"/>
      <c r="D114" s="13"/>
      <c r="E114" s="13"/>
      <c r="F114" s="14"/>
      <c r="G114" s="14"/>
      <c r="H114" s="14"/>
      <c r="I114" s="14"/>
      <c r="J114" s="14"/>
      <c r="K114" s="14"/>
      <c r="L114" s="446"/>
      <c r="M114" s="87" t="str">
        <f t="shared" si="1"/>
        <v xml:space="preserve">   </v>
      </c>
    </row>
    <row r="115" spans="1:13" x14ac:dyDescent="0.2">
      <c r="A115" s="426"/>
      <c r="B115" s="156" t="str">
        <f>Capacidades!M709</f>
        <v xml:space="preserve">   </v>
      </c>
      <c r="C115" s="157"/>
      <c r="D115" s="13"/>
      <c r="E115" s="13"/>
      <c r="F115" s="14"/>
      <c r="G115" s="14"/>
      <c r="H115" s="14"/>
      <c r="I115" s="14"/>
      <c r="J115" s="14"/>
      <c r="K115" s="14"/>
      <c r="L115" s="446"/>
      <c r="M115" s="87" t="str">
        <f t="shared" si="1"/>
        <v xml:space="preserve">   </v>
      </c>
    </row>
    <row r="116" spans="1:13" x14ac:dyDescent="0.2">
      <c r="A116" s="426"/>
      <c r="B116" s="156" t="str">
        <f>Capacidades!M710</f>
        <v xml:space="preserve">   </v>
      </c>
      <c r="C116" s="157"/>
      <c r="D116" s="13"/>
      <c r="E116" s="13"/>
      <c r="F116" s="14"/>
      <c r="G116" s="14"/>
      <c r="H116" s="14"/>
      <c r="I116" s="14"/>
      <c r="J116" s="14"/>
      <c r="K116" s="14"/>
      <c r="L116" s="446"/>
      <c r="M116" s="87" t="str">
        <f t="shared" si="1"/>
        <v xml:space="preserve">   </v>
      </c>
    </row>
    <row r="117" spans="1:13" x14ac:dyDescent="0.2">
      <c r="A117" s="427"/>
      <c r="B117" s="156" t="str">
        <f>Capacidades!M711</f>
        <v xml:space="preserve">   </v>
      </c>
      <c r="C117" s="157"/>
      <c r="D117" s="15"/>
      <c r="E117" s="15"/>
      <c r="F117" s="16"/>
      <c r="G117" s="16"/>
      <c r="H117" s="16"/>
      <c r="I117" s="16"/>
      <c r="J117" s="16"/>
      <c r="K117" s="16"/>
      <c r="L117" s="447"/>
      <c r="M117" s="87" t="str">
        <f t="shared" si="1"/>
        <v xml:space="preserve">   </v>
      </c>
    </row>
    <row r="118" spans="1:13" x14ac:dyDescent="0.2">
      <c r="A118" s="425" t="str">
        <f>Capacidades!L712</f>
        <v xml:space="preserve">       </v>
      </c>
      <c r="B118" s="156" t="str">
        <f>Capacidades!M712</f>
        <v xml:space="preserve">   </v>
      </c>
      <c r="C118" s="157"/>
      <c r="D118" s="11">
        <f>Organización_Modular!F82</f>
        <v>0</v>
      </c>
      <c r="E118" s="11">
        <f>Organización_Modular!G82</f>
        <v>0</v>
      </c>
      <c r="F118" s="11">
        <f>Organización_Modular!H82</f>
        <v>0</v>
      </c>
      <c r="G118" s="11">
        <f>Organización_Modular!I82</f>
        <v>0</v>
      </c>
      <c r="H118" s="12">
        <f>SUM(F118:G118)</f>
        <v>0</v>
      </c>
      <c r="I118" s="12">
        <f>F118*16</f>
        <v>0</v>
      </c>
      <c r="J118" s="12">
        <f>G118*32</f>
        <v>0</v>
      </c>
      <c r="K118" s="12">
        <f>SUM(I118:J118)</f>
        <v>0</v>
      </c>
      <c r="L118" s="445"/>
      <c r="M118" s="87" t="str">
        <f t="shared" si="1"/>
        <v xml:space="preserve">   </v>
      </c>
    </row>
    <row r="119" spans="1:13" x14ac:dyDescent="0.2">
      <c r="A119" s="426"/>
      <c r="B119" s="156" t="str">
        <f>Capacidades!M713</f>
        <v xml:space="preserve">   </v>
      </c>
      <c r="C119" s="157"/>
      <c r="D119" s="13"/>
      <c r="E119" s="13"/>
      <c r="F119" s="14"/>
      <c r="G119" s="14"/>
      <c r="H119" s="14"/>
      <c r="I119" s="14"/>
      <c r="J119" s="14"/>
      <c r="K119" s="14"/>
      <c r="L119" s="446"/>
      <c r="M119" s="87" t="str">
        <f t="shared" si="1"/>
        <v xml:space="preserve">   </v>
      </c>
    </row>
    <row r="120" spans="1:13" x14ac:dyDescent="0.2">
      <c r="A120" s="426"/>
      <c r="B120" s="156" t="str">
        <f>Capacidades!M714</f>
        <v xml:space="preserve">   </v>
      </c>
      <c r="C120" s="157"/>
      <c r="D120" s="13"/>
      <c r="E120" s="13"/>
      <c r="F120" s="14"/>
      <c r="G120" s="14"/>
      <c r="H120" s="14"/>
      <c r="I120" s="14"/>
      <c r="J120" s="14"/>
      <c r="K120" s="14"/>
      <c r="L120" s="446"/>
      <c r="M120" s="87" t="str">
        <f t="shared" si="1"/>
        <v xml:space="preserve">   </v>
      </c>
    </row>
    <row r="121" spans="1:13" x14ac:dyDescent="0.2">
      <c r="A121" s="426"/>
      <c r="B121" s="156" t="str">
        <f>Capacidades!M715</f>
        <v xml:space="preserve">   </v>
      </c>
      <c r="C121" s="157"/>
      <c r="D121" s="13"/>
      <c r="E121" s="13"/>
      <c r="F121" s="14"/>
      <c r="G121" s="14"/>
      <c r="H121" s="14"/>
      <c r="I121" s="14"/>
      <c r="J121" s="14"/>
      <c r="K121" s="14"/>
      <c r="L121" s="446"/>
      <c r="M121" s="87" t="str">
        <f t="shared" si="1"/>
        <v xml:space="preserve">   </v>
      </c>
    </row>
    <row r="122" spans="1:13" x14ac:dyDescent="0.2">
      <c r="A122" s="426"/>
      <c r="B122" s="156" t="str">
        <f>Capacidades!M716</f>
        <v xml:space="preserve">   </v>
      </c>
      <c r="C122" s="157"/>
      <c r="D122" s="13"/>
      <c r="E122" s="13"/>
      <c r="F122" s="14"/>
      <c r="G122" s="14"/>
      <c r="H122" s="14"/>
      <c r="I122" s="14"/>
      <c r="J122" s="14"/>
      <c r="K122" s="14"/>
      <c r="L122" s="446"/>
      <c r="M122" s="87" t="str">
        <f t="shared" si="1"/>
        <v xml:space="preserve">   </v>
      </c>
    </row>
    <row r="123" spans="1:13" x14ac:dyDescent="0.2">
      <c r="A123" s="426"/>
      <c r="B123" s="156" t="str">
        <f>Capacidades!M717</f>
        <v xml:space="preserve">   </v>
      </c>
      <c r="C123" s="157"/>
      <c r="D123" s="13"/>
      <c r="E123" s="13"/>
      <c r="F123" s="14"/>
      <c r="G123" s="14"/>
      <c r="H123" s="14"/>
      <c r="I123" s="14"/>
      <c r="J123" s="14"/>
      <c r="K123" s="14"/>
      <c r="L123" s="446"/>
      <c r="M123" s="87" t="str">
        <f t="shared" si="1"/>
        <v xml:space="preserve">   </v>
      </c>
    </row>
    <row r="124" spans="1:13" x14ac:dyDescent="0.2">
      <c r="A124" s="426"/>
      <c r="B124" s="156" t="str">
        <f>Capacidades!M718</f>
        <v xml:space="preserve">   </v>
      </c>
      <c r="C124" s="157"/>
      <c r="D124" s="13"/>
      <c r="E124" s="13"/>
      <c r="F124" s="14"/>
      <c r="G124" s="14"/>
      <c r="H124" s="14"/>
      <c r="I124" s="14"/>
      <c r="J124" s="14"/>
      <c r="K124" s="14"/>
      <c r="L124" s="446"/>
      <c r="M124" s="87" t="str">
        <f t="shared" si="1"/>
        <v xml:space="preserve">   </v>
      </c>
    </row>
    <row r="125" spans="1:13" x14ac:dyDescent="0.2">
      <c r="A125" s="426"/>
      <c r="B125" s="156" t="str">
        <f>Capacidades!M719</f>
        <v xml:space="preserve">   </v>
      </c>
      <c r="C125" s="157"/>
      <c r="D125" s="13"/>
      <c r="E125" s="13"/>
      <c r="F125" s="14"/>
      <c r="G125" s="14"/>
      <c r="H125" s="14"/>
      <c r="I125" s="14"/>
      <c r="J125" s="14"/>
      <c r="K125" s="14"/>
      <c r="L125" s="446"/>
      <c r="M125" s="87" t="str">
        <f t="shared" si="1"/>
        <v xml:space="preserve">   </v>
      </c>
    </row>
    <row r="126" spans="1:13" x14ac:dyDescent="0.2">
      <c r="A126" s="426"/>
      <c r="B126" s="156" t="str">
        <f>Capacidades!M720</f>
        <v xml:space="preserve">   </v>
      </c>
      <c r="C126" s="157"/>
      <c r="D126" s="13"/>
      <c r="E126" s="13"/>
      <c r="F126" s="14"/>
      <c r="G126" s="14"/>
      <c r="H126" s="14"/>
      <c r="I126" s="14"/>
      <c r="J126" s="14"/>
      <c r="K126" s="14"/>
      <c r="L126" s="446"/>
      <c r="M126" s="87" t="str">
        <f t="shared" si="1"/>
        <v xml:space="preserve">   </v>
      </c>
    </row>
    <row r="127" spans="1:13" x14ac:dyDescent="0.2">
      <c r="A127" s="427"/>
      <c r="B127" s="156" t="str">
        <f>Capacidades!M721</f>
        <v xml:space="preserve">   </v>
      </c>
      <c r="C127" s="157"/>
      <c r="D127" s="15"/>
      <c r="E127" s="15"/>
      <c r="F127" s="16"/>
      <c r="G127" s="16"/>
      <c r="H127" s="16"/>
      <c r="I127" s="16"/>
      <c r="J127" s="16"/>
      <c r="K127" s="16"/>
      <c r="L127" s="447"/>
      <c r="M127" s="87" t="str">
        <f t="shared" si="1"/>
        <v xml:space="preserve">   </v>
      </c>
    </row>
    <row r="128" spans="1:13" x14ac:dyDescent="0.2">
      <c r="A128" s="425" t="str">
        <f>Capacidades!L722</f>
        <v xml:space="preserve">       </v>
      </c>
      <c r="B128" s="156" t="str">
        <f>Capacidades!M722</f>
        <v xml:space="preserve">   </v>
      </c>
      <c r="C128" s="157"/>
      <c r="D128" s="11">
        <f>Organización_Modular!F83</f>
        <v>0</v>
      </c>
      <c r="E128" s="11">
        <f>Organización_Modular!G83</f>
        <v>0</v>
      </c>
      <c r="F128" s="11">
        <f>Organización_Modular!H83</f>
        <v>0</v>
      </c>
      <c r="G128" s="11">
        <f>Organización_Modular!I83</f>
        <v>0</v>
      </c>
      <c r="H128" s="12">
        <f>SUM(F128:G128)</f>
        <v>0</v>
      </c>
      <c r="I128" s="12">
        <f>F128*16</f>
        <v>0</v>
      </c>
      <c r="J128" s="12">
        <f>G128*32</f>
        <v>0</v>
      </c>
      <c r="K128" s="12">
        <f>SUM(I128:J128)</f>
        <v>0</v>
      </c>
      <c r="L128" s="445"/>
      <c r="M128" s="87" t="str">
        <f t="shared" si="1"/>
        <v xml:space="preserve">   </v>
      </c>
    </row>
    <row r="129" spans="1:13" x14ac:dyDescent="0.2">
      <c r="A129" s="426"/>
      <c r="B129" s="156" t="str">
        <f>Capacidades!M723</f>
        <v xml:space="preserve">   </v>
      </c>
      <c r="C129" s="157"/>
      <c r="D129" s="13"/>
      <c r="E129" s="13"/>
      <c r="F129" s="14"/>
      <c r="G129" s="14"/>
      <c r="H129" s="14"/>
      <c r="I129" s="14"/>
      <c r="J129" s="14"/>
      <c r="K129" s="14"/>
      <c r="L129" s="446"/>
      <c r="M129" s="87" t="str">
        <f t="shared" si="1"/>
        <v xml:space="preserve">   </v>
      </c>
    </row>
    <row r="130" spans="1:13" x14ac:dyDescent="0.2">
      <c r="A130" s="426"/>
      <c r="B130" s="156" t="str">
        <f>Capacidades!M724</f>
        <v xml:space="preserve">   </v>
      </c>
      <c r="C130" s="157"/>
      <c r="D130" s="13"/>
      <c r="E130" s="13"/>
      <c r="F130" s="14"/>
      <c r="G130" s="14"/>
      <c r="H130" s="14"/>
      <c r="I130" s="14"/>
      <c r="J130" s="14"/>
      <c r="K130" s="14"/>
      <c r="L130" s="446"/>
      <c r="M130" s="87" t="str">
        <f t="shared" si="1"/>
        <v xml:space="preserve">   </v>
      </c>
    </row>
    <row r="131" spans="1:13" x14ac:dyDescent="0.2">
      <c r="A131" s="426"/>
      <c r="B131" s="156" t="str">
        <f>Capacidades!M725</f>
        <v xml:space="preserve">   </v>
      </c>
      <c r="C131" s="157"/>
      <c r="D131" s="13"/>
      <c r="E131" s="13"/>
      <c r="F131" s="14"/>
      <c r="G131" s="14"/>
      <c r="H131" s="14"/>
      <c r="I131" s="14"/>
      <c r="J131" s="14"/>
      <c r="K131" s="14"/>
      <c r="L131" s="446"/>
      <c r="M131" s="87" t="str">
        <f t="shared" si="1"/>
        <v xml:space="preserve">   </v>
      </c>
    </row>
    <row r="132" spans="1:13" x14ac:dyDescent="0.2">
      <c r="A132" s="426"/>
      <c r="B132" s="156" t="str">
        <f>Capacidades!M726</f>
        <v xml:space="preserve">   </v>
      </c>
      <c r="C132" s="157"/>
      <c r="D132" s="13"/>
      <c r="E132" s="13"/>
      <c r="F132" s="14"/>
      <c r="G132" s="14"/>
      <c r="H132" s="14"/>
      <c r="I132" s="14"/>
      <c r="J132" s="14"/>
      <c r="K132" s="14"/>
      <c r="L132" s="446"/>
      <c r="M132" s="87" t="str">
        <f t="shared" si="1"/>
        <v xml:space="preserve">   </v>
      </c>
    </row>
    <row r="133" spans="1:13" x14ac:dyDescent="0.2">
      <c r="A133" s="426"/>
      <c r="B133" s="156" t="str">
        <f>Capacidades!M727</f>
        <v xml:space="preserve">   </v>
      </c>
      <c r="C133" s="157"/>
      <c r="D133" s="13"/>
      <c r="E133" s="13"/>
      <c r="F133" s="14"/>
      <c r="G133" s="14"/>
      <c r="H133" s="14"/>
      <c r="I133" s="14"/>
      <c r="J133" s="14"/>
      <c r="K133" s="14"/>
      <c r="L133" s="446"/>
      <c r="M133" s="87" t="str">
        <f t="shared" si="1"/>
        <v xml:space="preserve">   </v>
      </c>
    </row>
    <row r="134" spans="1:13" x14ac:dyDescent="0.2">
      <c r="A134" s="426"/>
      <c r="B134" s="156" t="str">
        <f>Capacidades!M728</f>
        <v xml:space="preserve">   </v>
      </c>
      <c r="C134" s="157"/>
      <c r="D134" s="13"/>
      <c r="E134" s="13"/>
      <c r="F134" s="14"/>
      <c r="G134" s="14"/>
      <c r="H134" s="14"/>
      <c r="I134" s="14"/>
      <c r="J134" s="14"/>
      <c r="K134" s="14"/>
      <c r="L134" s="446"/>
      <c r="M134" s="87" t="str">
        <f t="shared" si="1"/>
        <v xml:space="preserve">   </v>
      </c>
    </row>
    <row r="135" spans="1:13" x14ac:dyDescent="0.2">
      <c r="A135" s="426"/>
      <c r="B135" s="156" t="str">
        <f>Capacidades!M729</f>
        <v xml:space="preserve">   </v>
      </c>
      <c r="C135" s="157"/>
      <c r="D135" s="13"/>
      <c r="E135" s="13"/>
      <c r="F135" s="14"/>
      <c r="G135" s="14"/>
      <c r="H135" s="14"/>
      <c r="I135" s="14"/>
      <c r="J135" s="14"/>
      <c r="K135" s="14"/>
      <c r="L135" s="446"/>
      <c r="M135" s="87" t="str">
        <f t="shared" si="1"/>
        <v xml:space="preserve">   </v>
      </c>
    </row>
    <row r="136" spans="1:13" x14ac:dyDescent="0.2">
      <c r="A136" s="426"/>
      <c r="B136" s="156" t="str">
        <f>Capacidades!M730</f>
        <v xml:space="preserve">   </v>
      </c>
      <c r="C136" s="157"/>
      <c r="D136" s="13"/>
      <c r="E136" s="13"/>
      <c r="F136" s="14"/>
      <c r="G136" s="14"/>
      <c r="H136" s="14"/>
      <c r="I136" s="14"/>
      <c r="J136" s="14"/>
      <c r="K136" s="14"/>
      <c r="L136" s="446"/>
      <c r="M136" s="87" t="str">
        <f t="shared" si="1"/>
        <v xml:space="preserve">   </v>
      </c>
    </row>
    <row r="137" spans="1:13" x14ac:dyDescent="0.2">
      <c r="A137" s="427"/>
      <c r="B137" s="156" t="str">
        <f>Capacidades!M731</f>
        <v xml:space="preserve">   </v>
      </c>
      <c r="C137" s="157"/>
      <c r="D137" s="15"/>
      <c r="E137" s="15"/>
      <c r="F137" s="16"/>
      <c r="G137" s="16"/>
      <c r="H137" s="16"/>
      <c r="I137" s="16"/>
      <c r="J137" s="16"/>
      <c r="K137" s="16"/>
      <c r="L137" s="447"/>
      <c r="M137" s="87" t="str">
        <f t="shared" si="1"/>
        <v xml:space="preserve">   </v>
      </c>
    </row>
    <row r="138" spans="1:13" x14ac:dyDescent="0.2">
      <c r="A138" s="425" t="str">
        <f>Capacidades!L732</f>
        <v xml:space="preserve">       </v>
      </c>
      <c r="B138" s="156" t="str">
        <f>Capacidades!M732</f>
        <v xml:space="preserve">   </v>
      </c>
      <c r="C138" s="157"/>
      <c r="D138" s="11">
        <f>Organización_Modular!F84</f>
        <v>0</v>
      </c>
      <c r="E138" s="11">
        <f>Organización_Modular!G84</f>
        <v>0</v>
      </c>
      <c r="F138" s="11">
        <f>Organización_Modular!H84</f>
        <v>0</v>
      </c>
      <c r="G138" s="11">
        <f>Organización_Modular!I84</f>
        <v>0</v>
      </c>
      <c r="H138" s="12">
        <f>SUM(F138:G138)</f>
        <v>0</v>
      </c>
      <c r="I138" s="12">
        <f>F138*16</f>
        <v>0</v>
      </c>
      <c r="J138" s="12">
        <f>G138*32</f>
        <v>0</v>
      </c>
      <c r="K138" s="12">
        <f>SUM(I138:J138)</f>
        <v>0</v>
      </c>
      <c r="L138" s="445"/>
      <c r="M138" s="87" t="str">
        <f t="shared" si="1"/>
        <v xml:space="preserve">   </v>
      </c>
    </row>
    <row r="139" spans="1:13" x14ac:dyDescent="0.2">
      <c r="A139" s="426"/>
      <c r="B139" s="156" t="str">
        <f>Capacidades!M733</f>
        <v xml:space="preserve">   </v>
      </c>
      <c r="C139" s="157"/>
      <c r="D139" s="13"/>
      <c r="E139" s="13"/>
      <c r="F139" s="14"/>
      <c r="G139" s="14"/>
      <c r="H139" s="14"/>
      <c r="I139" s="14"/>
      <c r="J139" s="14"/>
      <c r="K139" s="14"/>
      <c r="L139" s="446"/>
      <c r="M139" s="87" t="str">
        <f t="shared" si="1"/>
        <v xml:space="preserve">   </v>
      </c>
    </row>
    <row r="140" spans="1:13" x14ac:dyDescent="0.2">
      <c r="A140" s="426"/>
      <c r="B140" s="156" t="str">
        <f>Capacidades!M734</f>
        <v xml:space="preserve">   </v>
      </c>
      <c r="C140" s="157"/>
      <c r="D140" s="13"/>
      <c r="E140" s="13"/>
      <c r="F140" s="14"/>
      <c r="G140" s="14"/>
      <c r="H140" s="14"/>
      <c r="I140" s="14"/>
      <c r="J140" s="14"/>
      <c r="K140" s="14"/>
      <c r="L140" s="446"/>
      <c r="M140" s="87" t="str">
        <f t="shared" si="1"/>
        <v xml:space="preserve">   </v>
      </c>
    </row>
    <row r="141" spans="1:13" x14ac:dyDescent="0.2">
      <c r="A141" s="426"/>
      <c r="B141" s="156" t="str">
        <f>Capacidades!M735</f>
        <v xml:space="preserve">   </v>
      </c>
      <c r="C141" s="157"/>
      <c r="D141" s="13"/>
      <c r="E141" s="13"/>
      <c r="F141" s="14"/>
      <c r="G141" s="14"/>
      <c r="H141" s="14"/>
      <c r="I141" s="14"/>
      <c r="J141" s="14"/>
      <c r="K141" s="14"/>
      <c r="L141" s="446"/>
      <c r="M141" s="87" t="str">
        <f t="shared" si="1"/>
        <v xml:space="preserve">   </v>
      </c>
    </row>
    <row r="142" spans="1:13" x14ac:dyDescent="0.2">
      <c r="A142" s="426"/>
      <c r="B142" s="156" t="str">
        <f>Capacidades!M736</f>
        <v xml:space="preserve">   </v>
      </c>
      <c r="C142" s="157"/>
      <c r="D142" s="13"/>
      <c r="E142" s="13"/>
      <c r="F142" s="14"/>
      <c r="G142" s="14"/>
      <c r="H142" s="14"/>
      <c r="I142" s="14"/>
      <c r="J142" s="14"/>
      <c r="K142" s="14"/>
      <c r="L142" s="446"/>
      <c r="M142" s="87" t="str">
        <f t="shared" si="1"/>
        <v xml:space="preserve">   </v>
      </c>
    </row>
    <row r="143" spans="1:13" x14ac:dyDescent="0.2">
      <c r="A143" s="426"/>
      <c r="B143" s="156" t="str">
        <f>Capacidades!M737</f>
        <v xml:space="preserve">   </v>
      </c>
      <c r="C143" s="157"/>
      <c r="D143" s="13"/>
      <c r="E143" s="13"/>
      <c r="F143" s="14"/>
      <c r="G143" s="14"/>
      <c r="H143" s="14"/>
      <c r="I143" s="14"/>
      <c r="J143" s="14"/>
      <c r="K143" s="14"/>
      <c r="L143" s="446"/>
      <c r="M143" s="87" t="str">
        <f t="shared" si="1"/>
        <v xml:space="preserve">   </v>
      </c>
    </row>
    <row r="144" spans="1:13" x14ac:dyDescent="0.2">
      <c r="A144" s="426"/>
      <c r="B144" s="156" t="str">
        <f>Capacidades!M738</f>
        <v xml:space="preserve">   </v>
      </c>
      <c r="C144" s="157"/>
      <c r="D144" s="13"/>
      <c r="E144" s="13"/>
      <c r="F144" s="14"/>
      <c r="G144" s="14"/>
      <c r="H144" s="14"/>
      <c r="I144" s="14"/>
      <c r="J144" s="14"/>
      <c r="K144" s="14"/>
      <c r="L144" s="446"/>
      <c r="M144" s="87" t="str">
        <f t="shared" si="1"/>
        <v xml:space="preserve">   </v>
      </c>
    </row>
    <row r="145" spans="1:13" x14ac:dyDescent="0.2">
      <c r="A145" s="426"/>
      <c r="B145" s="156" t="str">
        <f>Capacidades!M739</f>
        <v xml:space="preserve">   </v>
      </c>
      <c r="C145" s="157"/>
      <c r="D145" s="13"/>
      <c r="E145" s="13"/>
      <c r="F145" s="14"/>
      <c r="G145" s="14"/>
      <c r="H145" s="14"/>
      <c r="I145" s="14"/>
      <c r="J145" s="14"/>
      <c r="K145" s="14"/>
      <c r="L145" s="446"/>
      <c r="M145" s="87" t="str">
        <f t="shared" si="1"/>
        <v xml:space="preserve">   </v>
      </c>
    </row>
    <row r="146" spans="1:13" x14ac:dyDescent="0.2">
      <c r="A146" s="426"/>
      <c r="B146" s="156" t="str">
        <f>Capacidades!M740</f>
        <v xml:space="preserve">   </v>
      </c>
      <c r="C146" s="157"/>
      <c r="D146" s="13"/>
      <c r="E146" s="13"/>
      <c r="F146" s="14"/>
      <c r="G146" s="14"/>
      <c r="H146" s="14"/>
      <c r="I146" s="14"/>
      <c r="J146" s="14"/>
      <c r="K146" s="14"/>
      <c r="L146" s="446"/>
      <c r="M146" s="87" t="str">
        <f t="shared" si="1"/>
        <v xml:space="preserve">   </v>
      </c>
    </row>
    <row r="147" spans="1:13" x14ac:dyDescent="0.2">
      <c r="A147" s="427"/>
      <c r="B147" s="156" t="str">
        <f>Capacidades!M741</f>
        <v xml:space="preserve">   </v>
      </c>
      <c r="C147" s="157"/>
      <c r="D147" s="15"/>
      <c r="E147" s="15"/>
      <c r="F147" s="16"/>
      <c r="G147" s="16"/>
      <c r="H147" s="16"/>
      <c r="I147" s="16"/>
      <c r="J147" s="16"/>
      <c r="K147" s="16"/>
      <c r="L147" s="447"/>
      <c r="M147" s="87" t="str">
        <f t="shared" ref="M147:M210" si="2">B147</f>
        <v xml:space="preserve">   </v>
      </c>
    </row>
    <row r="148" spans="1:13" x14ac:dyDescent="0.2">
      <c r="A148" s="425" t="str">
        <f>Capacidades!L742</f>
        <v xml:space="preserve">       </v>
      </c>
      <c r="B148" s="156" t="str">
        <f>Capacidades!M742</f>
        <v xml:space="preserve">   </v>
      </c>
      <c r="C148" s="157"/>
      <c r="D148" s="11">
        <f>Organización_Modular!F85</f>
        <v>0</v>
      </c>
      <c r="E148" s="11">
        <f>Organización_Modular!G85</f>
        <v>0</v>
      </c>
      <c r="F148" s="11">
        <f>Organización_Modular!H85</f>
        <v>0</v>
      </c>
      <c r="G148" s="11">
        <f>Organización_Modular!I85</f>
        <v>0</v>
      </c>
      <c r="H148" s="12">
        <f>SUM(F148:G148)</f>
        <v>0</v>
      </c>
      <c r="I148" s="12">
        <f>F148*16</f>
        <v>0</v>
      </c>
      <c r="J148" s="12">
        <f>G148*32</f>
        <v>0</v>
      </c>
      <c r="K148" s="12">
        <f>SUM(I148:J148)</f>
        <v>0</v>
      </c>
      <c r="L148" s="445"/>
      <c r="M148" s="87" t="str">
        <f t="shared" si="2"/>
        <v xml:space="preserve">   </v>
      </c>
    </row>
    <row r="149" spans="1:13" x14ac:dyDescent="0.2">
      <c r="A149" s="426"/>
      <c r="B149" s="156" t="str">
        <f>Capacidades!M743</f>
        <v xml:space="preserve">   </v>
      </c>
      <c r="C149" s="157"/>
      <c r="D149" s="13"/>
      <c r="E149" s="13"/>
      <c r="F149" s="13"/>
      <c r="G149" s="13"/>
      <c r="H149" s="14"/>
      <c r="I149" s="14"/>
      <c r="J149" s="14"/>
      <c r="K149" s="14"/>
      <c r="L149" s="446"/>
      <c r="M149" s="87" t="str">
        <f t="shared" si="2"/>
        <v xml:space="preserve">   </v>
      </c>
    </row>
    <row r="150" spans="1:13" x14ac:dyDescent="0.2">
      <c r="A150" s="426"/>
      <c r="B150" s="156" t="str">
        <f>Capacidades!M744</f>
        <v xml:space="preserve">   </v>
      </c>
      <c r="C150" s="157"/>
      <c r="D150" s="13"/>
      <c r="E150" s="13"/>
      <c r="F150" s="13"/>
      <c r="G150" s="13"/>
      <c r="H150" s="14"/>
      <c r="I150" s="14"/>
      <c r="J150" s="14"/>
      <c r="K150" s="14"/>
      <c r="L150" s="446"/>
      <c r="M150" s="87" t="str">
        <f t="shared" si="2"/>
        <v xml:space="preserve">   </v>
      </c>
    </row>
    <row r="151" spans="1:13" x14ac:dyDescent="0.2">
      <c r="A151" s="426"/>
      <c r="B151" s="156" t="str">
        <f>Capacidades!M745</f>
        <v xml:space="preserve">   </v>
      </c>
      <c r="C151" s="157"/>
      <c r="D151" s="13"/>
      <c r="E151" s="13"/>
      <c r="F151" s="13"/>
      <c r="G151" s="13"/>
      <c r="H151" s="14"/>
      <c r="I151" s="14"/>
      <c r="J151" s="14"/>
      <c r="K151" s="14"/>
      <c r="L151" s="446"/>
      <c r="M151" s="87" t="str">
        <f t="shared" si="2"/>
        <v xml:space="preserve">   </v>
      </c>
    </row>
    <row r="152" spans="1:13" x14ac:dyDescent="0.2">
      <c r="A152" s="426"/>
      <c r="B152" s="156" t="str">
        <f>Capacidades!M746</f>
        <v xml:space="preserve">   </v>
      </c>
      <c r="C152" s="157"/>
      <c r="D152" s="13"/>
      <c r="E152" s="13"/>
      <c r="F152" s="14"/>
      <c r="G152" s="14"/>
      <c r="H152" s="14"/>
      <c r="I152" s="14"/>
      <c r="J152" s="14"/>
      <c r="K152" s="14"/>
      <c r="L152" s="446"/>
      <c r="M152" s="87" t="str">
        <f t="shared" si="2"/>
        <v xml:space="preserve">   </v>
      </c>
    </row>
    <row r="153" spans="1:13" x14ac:dyDescent="0.2">
      <c r="A153" s="426"/>
      <c r="B153" s="156" t="str">
        <f>Capacidades!M747</f>
        <v xml:space="preserve">   </v>
      </c>
      <c r="C153" s="157"/>
      <c r="D153" s="13"/>
      <c r="E153" s="13"/>
      <c r="F153" s="14"/>
      <c r="G153" s="14"/>
      <c r="H153" s="14"/>
      <c r="I153" s="14"/>
      <c r="J153" s="14"/>
      <c r="K153" s="14"/>
      <c r="L153" s="446"/>
      <c r="M153" s="87" t="str">
        <f t="shared" si="2"/>
        <v xml:space="preserve">   </v>
      </c>
    </row>
    <row r="154" spans="1:13" x14ac:dyDescent="0.2">
      <c r="A154" s="426"/>
      <c r="B154" s="156" t="str">
        <f>Capacidades!M748</f>
        <v xml:space="preserve">   </v>
      </c>
      <c r="C154" s="157"/>
      <c r="D154" s="13"/>
      <c r="E154" s="13"/>
      <c r="F154" s="14"/>
      <c r="G154" s="14"/>
      <c r="H154" s="14"/>
      <c r="I154" s="14"/>
      <c r="J154" s="14"/>
      <c r="K154" s="14"/>
      <c r="L154" s="446"/>
      <c r="M154" s="87" t="str">
        <f t="shared" si="2"/>
        <v xml:space="preserve">   </v>
      </c>
    </row>
    <row r="155" spans="1:13" x14ac:dyDescent="0.2">
      <c r="A155" s="426"/>
      <c r="B155" s="156" t="str">
        <f>Capacidades!M749</f>
        <v xml:space="preserve">   </v>
      </c>
      <c r="C155" s="157"/>
      <c r="D155" s="13"/>
      <c r="E155" s="13"/>
      <c r="F155" s="14"/>
      <c r="G155" s="14"/>
      <c r="H155" s="14"/>
      <c r="I155" s="14"/>
      <c r="J155" s="14"/>
      <c r="K155" s="14"/>
      <c r="L155" s="446"/>
      <c r="M155" s="87" t="str">
        <f t="shared" si="2"/>
        <v xml:space="preserve">   </v>
      </c>
    </row>
    <row r="156" spans="1:13" x14ac:dyDescent="0.2">
      <c r="A156" s="426"/>
      <c r="B156" s="156" t="str">
        <f>Capacidades!M750</f>
        <v xml:space="preserve">   </v>
      </c>
      <c r="C156" s="157"/>
      <c r="D156" s="13"/>
      <c r="E156" s="13"/>
      <c r="F156" s="13"/>
      <c r="G156" s="13"/>
      <c r="H156" s="14"/>
      <c r="I156" s="14"/>
      <c r="J156" s="14"/>
      <c r="K156" s="14"/>
      <c r="L156" s="446"/>
      <c r="M156" s="87" t="str">
        <f t="shared" si="2"/>
        <v xml:space="preserve">   </v>
      </c>
    </row>
    <row r="157" spans="1:13" x14ac:dyDescent="0.2">
      <c r="A157" s="427"/>
      <c r="B157" s="156" t="str">
        <f>Capacidades!M751</f>
        <v xml:space="preserve">   </v>
      </c>
      <c r="C157" s="157"/>
      <c r="D157" s="15"/>
      <c r="E157" s="15"/>
      <c r="F157" s="15"/>
      <c r="G157" s="15"/>
      <c r="H157" s="16"/>
      <c r="I157" s="16"/>
      <c r="J157" s="16"/>
      <c r="K157" s="16"/>
      <c r="L157" s="447"/>
      <c r="M157" s="87" t="str">
        <f t="shared" si="2"/>
        <v xml:space="preserve">   </v>
      </c>
    </row>
    <row r="158" spans="1:13" x14ac:dyDescent="0.2">
      <c r="A158" s="425" t="str">
        <f>Capacidades!L752</f>
        <v xml:space="preserve">       </v>
      </c>
      <c r="B158" s="156" t="str">
        <f>Capacidades!M752</f>
        <v xml:space="preserve">   </v>
      </c>
      <c r="C158" s="157"/>
      <c r="D158" s="11">
        <f>Organización_Modular!F86</f>
        <v>0</v>
      </c>
      <c r="E158" s="11">
        <f>Organización_Modular!G86</f>
        <v>0</v>
      </c>
      <c r="F158" s="11">
        <f>Organización_Modular!H86</f>
        <v>0</v>
      </c>
      <c r="G158" s="11">
        <f>Organización_Modular!I86</f>
        <v>0</v>
      </c>
      <c r="H158" s="12">
        <f>SUM(F158:G158)</f>
        <v>0</v>
      </c>
      <c r="I158" s="12">
        <f>F158*16</f>
        <v>0</v>
      </c>
      <c r="J158" s="12">
        <f>G158*32</f>
        <v>0</v>
      </c>
      <c r="K158" s="12">
        <f>SUM(I158:J158)</f>
        <v>0</v>
      </c>
      <c r="L158" s="445"/>
      <c r="M158" s="87" t="str">
        <f t="shared" si="2"/>
        <v xml:space="preserve">   </v>
      </c>
    </row>
    <row r="159" spans="1:13" x14ac:dyDescent="0.2">
      <c r="A159" s="426"/>
      <c r="B159" s="156" t="str">
        <f>Capacidades!M753</f>
        <v xml:space="preserve">   </v>
      </c>
      <c r="C159" s="157"/>
      <c r="D159" s="13"/>
      <c r="E159" s="13"/>
      <c r="F159" s="13"/>
      <c r="G159" s="13"/>
      <c r="H159" s="14"/>
      <c r="I159" s="14"/>
      <c r="J159" s="14"/>
      <c r="K159" s="14"/>
      <c r="L159" s="446"/>
      <c r="M159" s="87" t="str">
        <f t="shared" si="2"/>
        <v xml:space="preserve">   </v>
      </c>
    </row>
    <row r="160" spans="1:13" x14ac:dyDescent="0.2">
      <c r="A160" s="426"/>
      <c r="B160" s="156" t="str">
        <f>Capacidades!M754</f>
        <v xml:space="preserve">   </v>
      </c>
      <c r="C160" s="157"/>
      <c r="D160" s="13"/>
      <c r="E160" s="13"/>
      <c r="F160" s="13"/>
      <c r="G160" s="13"/>
      <c r="H160" s="14"/>
      <c r="I160" s="14"/>
      <c r="J160" s="14"/>
      <c r="K160" s="14"/>
      <c r="L160" s="446"/>
      <c r="M160" s="87" t="str">
        <f t="shared" si="2"/>
        <v xml:space="preserve">   </v>
      </c>
    </row>
    <row r="161" spans="1:13" x14ac:dyDescent="0.2">
      <c r="A161" s="426"/>
      <c r="B161" s="156" t="str">
        <f>Capacidades!M755</f>
        <v xml:space="preserve">   </v>
      </c>
      <c r="C161" s="157"/>
      <c r="D161" s="13"/>
      <c r="E161" s="13"/>
      <c r="F161" s="13"/>
      <c r="G161" s="13"/>
      <c r="H161" s="14"/>
      <c r="I161" s="14"/>
      <c r="J161" s="14"/>
      <c r="K161" s="14"/>
      <c r="L161" s="446"/>
      <c r="M161" s="87" t="str">
        <f t="shared" si="2"/>
        <v xml:space="preserve">   </v>
      </c>
    </row>
    <row r="162" spans="1:13" x14ac:dyDescent="0.2">
      <c r="A162" s="426"/>
      <c r="B162" s="156" t="str">
        <f>Capacidades!M756</f>
        <v xml:space="preserve">   </v>
      </c>
      <c r="C162" s="157"/>
      <c r="D162" s="13"/>
      <c r="E162" s="13"/>
      <c r="F162" s="14"/>
      <c r="G162" s="14"/>
      <c r="H162" s="14"/>
      <c r="I162" s="14"/>
      <c r="J162" s="14"/>
      <c r="K162" s="14"/>
      <c r="L162" s="446"/>
      <c r="M162" s="87" t="str">
        <f t="shared" si="2"/>
        <v xml:space="preserve">   </v>
      </c>
    </row>
    <row r="163" spans="1:13" x14ac:dyDescent="0.2">
      <c r="A163" s="426"/>
      <c r="B163" s="156" t="str">
        <f>Capacidades!M757</f>
        <v xml:space="preserve">   </v>
      </c>
      <c r="C163" s="157"/>
      <c r="D163" s="13"/>
      <c r="E163" s="13"/>
      <c r="F163" s="14"/>
      <c r="G163" s="14"/>
      <c r="H163" s="14"/>
      <c r="I163" s="14"/>
      <c r="J163" s="14"/>
      <c r="K163" s="14"/>
      <c r="L163" s="446"/>
      <c r="M163" s="87" t="str">
        <f t="shared" si="2"/>
        <v xml:space="preserve">   </v>
      </c>
    </row>
    <row r="164" spans="1:13" x14ac:dyDescent="0.2">
      <c r="A164" s="426"/>
      <c r="B164" s="156" t="str">
        <f>Capacidades!M758</f>
        <v xml:space="preserve">   </v>
      </c>
      <c r="C164" s="157"/>
      <c r="D164" s="13"/>
      <c r="E164" s="13"/>
      <c r="F164" s="14"/>
      <c r="G164" s="14"/>
      <c r="H164" s="14"/>
      <c r="I164" s="14"/>
      <c r="J164" s="14"/>
      <c r="K164" s="14"/>
      <c r="L164" s="446"/>
      <c r="M164" s="87" t="str">
        <f t="shared" si="2"/>
        <v xml:space="preserve">   </v>
      </c>
    </row>
    <row r="165" spans="1:13" x14ac:dyDescent="0.2">
      <c r="A165" s="426"/>
      <c r="B165" s="156" t="str">
        <f>Capacidades!M759</f>
        <v xml:space="preserve">   </v>
      </c>
      <c r="C165" s="157"/>
      <c r="D165" s="13"/>
      <c r="E165" s="13"/>
      <c r="F165" s="14"/>
      <c r="G165" s="14"/>
      <c r="H165" s="14"/>
      <c r="I165" s="14"/>
      <c r="J165" s="14"/>
      <c r="K165" s="14"/>
      <c r="L165" s="446"/>
      <c r="M165" s="87" t="str">
        <f t="shared" si="2"/>
        <v xml:space="preserve">   </v>
      </c>
    </row>
    <row r="166" spans="1:13" x14ac:dyDescent="0.2">
      <c r="A166" s="426"/>
      <c r="B166" s="156" t="str">
        <f>Capacidades!M760</f>
        <v xml:space="preserve">   </v>
      </c>
      <c r="C166" s="157"/>
      <c r="D166" s="13"/>
      <c r="E166" s="13"/>
      <c r="F166" s="13"/>
      <c r="G166" s="13"/>
      <c r="H166" s="14"/>
      <c r="I166" s="14"/>
      <c r="J166" s="14"/>
      <c r="K166" s="14"/>
      <c r="L166" s="446"/>
      <c r="M166" s="87" t="str">
        <f t="shared" si="2"/>
        <v xml:space="preserve">   </v>
      </c>
    </row>
    <row r="167" spans="1:13" x14ac:dyDescent="0.2">
      <c r="A167" s="427"/>
      <c r="B167" s="156" t="str">
        <f>Capacidades!M761</f>
        <v xml:space="preserve">   </v>
      </c>
      <c r="C167" s="157"/>
      <c r="D167" s="15"/>
      <c r="E167" s="15"/>
      <c r="F167" s="15"/>
      <c r="G167" s="15"/>
      <c r="H167" s="16"/>
      <c r="I167" s="16"/>
      <c r="J167" s="16"/>
      <c r="K167" s="16"/>
      <c r="L167" s="447"/>
      <c r="M167" s="87" t="str">
        <f t="shared" si="2"/>
        <v xml:space="preserve">   </v>
      </c>
    </row>
    <row r="168" spans="1:13" x14ac:dyDescent="0.2">
      <c r="A168" s="425" t="str">
        <f>Capacidades!L762</f>
        <v xml:space="preserve">       </v>
      </c>
      <c r="B168" s="156" t="str">
        <f>Capacidades!M762</f>
        <v xml:space="preserve">   </v>
      </c>
      <c r="C168" s="157"/>
      <c r="D168" s="11">
        <f>Organización_Modular!F87</f>
        <v>0</v>
      </c>
      <c r="E168" s="11">
        <f>Organización_Modular!G87</f>
        <v>0</v>
      </c>
      <c r="F168" s="11">
        <f>Organización_Modular!H87</f>
        <v>0</v>
      </c>
      <c r="G168" s="11">
        <f>Organización_Modular!I87</f>
        <v>0</v>
      </c>
      <c r="H168" s="12">
        <f>SUM(F168:G168)</f>
        <v>0</v>
      </c>
      <c r="I168" s="12">
        <f>F168*16</f>
        <v>0</v>
      </c>
      <c r="J168" s="12">
        <f>G168*32</f>
        <v>0</v>
      </c>
      <c r="K168" s="12">
        <f>SUM(I168:J168)</f>
        <v>0</v>
      </c>
      <c r="L168" s="445"/>
      <c r="M168" s="87" t="str">
        <f t="shared" si="2"/>
        <v xml:space="preserve">   </v>
      </c>
    </row>
    <row r="169" spans="1:13" x14ac:dyDescent="0.2">
      <c r="A169" s="426"/>
      <c r="B169" s="156" t="str">
        <f>Capacidades!M763</f>
        <v xml:space="preserve">   </v>
      </c>
      <c r="C169" s="157"/>
      <c r="D169" s="13"/>
      <c r="E169" s="13"/>
      <c r="F169" s="13"/>
      <c r="G169" s="13"/>
      <c r="H169" s="14"/>
      <c r="I169" s="14"/>
      <c r="J169" s="14"/>
      <c r="K169" s="14"/>
      <c r="L169" s="446"/>
      <c r="M169" s="87" t="str">
        <f t="shared" si="2"/>
        <v xml:space="preserve">   </v>
      </c>
    </row>
    <row r="170" spans="1:13" x14ac:dyDescent="0.2">
      <c r="A170" s="426"/>
      <c r="B170" s="156" t="str">
        <f>Capacidades!M764</f>
        <v xml:space="preserve">   </v>
      </c>
      <c r="C170" s="157"/>
      <c r="D170" s="13"/>
      <c r="E170" s="13"/>
      <c r="F170" s="13"/>
      <c r="G170" s="13"/>
      <c r="H170" s="14"/>
      <c r="I170" s="14"/>
      <c r="J170" s="14"/>
      <c r="K170" s="14"/>
      <c r="L170" s="446"/>
      <c r="M170" s="87" t="str">
        <f t="shared" si="2"/>
        <v xml:space="preserve">   </v>
      </c>
    </row>
    <row r="171" spans="1:13" x14ac:dyDescent="0.2">
      <c r="A171" s="426"/>
      <c r="B171" s="156" t="str">
        <f>Capacidades!M765</f>
        <v xml:space="preserve">   </v>
      </c>
      <c r="C171" s="157"/>
      <c r="D171" s="13"/>
      <c r="E171" s="13"/>
      <c r="F171" s="13"/>
      <c r="G171" s="13"/>
      <c r="H171" s="14"/>
      <c r="I171" s="14"/>
      <c r="J171" s="14"/>
      <c r="K171" s="14"/>
      <c r="L171" s="446"/>
      <c r="M171" s="87" t="str">
        <f t="shared" si="2"/>
        <v xml:space="preserve">   </v>
      </c>
    </row>
    <row r="172" spans="1:13" x14ac:dyDescent="0.2">
      <c r="A172" s="426"/>
      <c r="B172" s="156" t="str">
        <f>Capacidades!M766</f>
        <v xml:space="preserve">   </v>
      </c>
      <c r="C172" s="157"/>
      <c r="D172" s="13"/>
      <c r="E172" s="13"/>
      <c r="F172" s="14"/>
      <c r="G172" s="14"/>
      <c r="H172" s="14"/>
      <c r="I172" s="14"/>
      <c r="J172" s="14"/>
      <c r="K172" s="14"/>
      <c r="L172" s="446"/>
      <c r="M172" s="87" t="str">
        <f t="shared" si="2"/>
        <v xml:space="preserve">   </v>
      </c>
    </row>
    <row r="173" spans="1:13" x14ac:dyDescent="0.2">
      <c r="A173" s="426"/>
      <c r="B173" s="156" t="str">
        <f>Capacidades!M767</f>
        <v xml:space="preserve">   </v>
      </c>
      <c r="C173" s="157"/>
      <c r="D173" s="13"/>
      <c r="E173" s="13"/>
      <c r="F173" s="14"/>
      <c r="G173" s="14"/>
      <c r="H173" s="14"/>
      <c r="I173" s="14"/>
      <c r="J173" s="14"/>
      <c r="K173" s="14"/>
      <c r="L173" s="446"/>
      <c r="M173" s="87" t="str">
        <f t="shared" si="2"/>
        <v xml:space="preserve">   </v>
      </c>
    </row>
    <row r="174" spans="1:13" x14ac:dyDescent="0.2">
      <c r="A174" s="426"/>
      <c r="B174" s="156" t="str">
        <f>Capacidades!M768</f>
        <v xml:space="preserve">   </v>
      </c>
      <c r="C174" s="157"/>
      <c r="D174" s="13"/>
      <c r="E174" s="13"/>
      <c r="F174" s="14"/>
      <c r="G174" s="14"/>
      <c r="H174" s="14"/>
      <c r="I174" s="14"/>
      <c r="J174" s="14"/>
      <c r="K174" s="14"/>
      <c r="L174" s="446"/>
      <c r="M174" s="87" t="str">
        <f t="shared" si="2"/>
        <v xml:space="preserve">   </v>
      </c>
    </row>
    <row r="175" spans="1:13" x14ac:dyDescent="0.2">
      <c r="A175" s="426"/>
      <c r="B175" s="156" t="str">
        <f>Capacidades!M769</f>
        <v xml:space="preserve">   </v>
      </c>
      <c r="C175" s="157"/>
      <c r="D175" s="13"/>
      <c r="E175" s="13"/>
      <c r="F175" s="14"/>
      <c r="G175" s="14"/>
      <c r="H175" s="14"/>
      <c r="I175" s="14"/>
      <c r="J175" s="14"/>
      <c r="K175" s="14"/>
      <c r="L175" s="446"/>
      <c r="M175" s="87" t="str">
        <f t="shared" si="2"/>
        <v xml:space="preserve">   </v>
      </c>
    </row>
    <row r="176" spans="1:13" x14ac:dyDescent="0.2">
      <c r="A176" s="426"/>
      <c r="B176" s="156" t="str">
        <f>Capacidades!M770</f>
        <v xml:space="preserve">   </v>
      </c>
      <c r="C176" s="157"/>
      <c r="D176" s="13"/>
      <c r="E176" s="13"/>
      <c r="F176" s="13"/>
      <c r="G176" s="13"/>
      <c r="H176" s="14"/>
      <c r="I176" s="14"/>
      <c r="J176" s="14"/>
      <c r="K176" s="14"/>
      <c r="L176" s="446"/>
      <c r="M176" s="87" t="str">
        <f t="shared" si="2"/>
        <v xml:space="preserve">   </v>
      </c>
    </row>
    <row r="177" spans="1:13" x14ac:dyDescent="0.2">
      <c r="A177" s="427"/>
      <c r="B177" s="156" t="str">
        <f>Capacidades!M771</f>
        <v xml:space="preserve">   </v>
      </c>
      <c r="C177" s="157"/>
      <c r="D177" s="15"/>
      <c r="E177" s="15"/>
      <c r="F177" s="15"/>
      <c r="G177" s="15"/>
      <c r="H177" s="16"/>
      <c r="I177" s="16"/>
      <c r="J177" s="16"/>
      <c r="K177" s="16"/>
      <c r="L177" s="447"/>
      <c r="M177" s="87" t="str">
        <f t="shared" si="2"/>
        <v xml:space="preserve">   </v>
      </c>
    </row>
    <row r="178" spans="1:13" x14ac:dyDescent="0.2">
      <c r="A178" s="425" t="str">
        <f>Capacidades!L772</f>
        <v xml:space="preserve">       </v>
      </c>
      <c r="B178" s="156" t="str">
        <f>Capacidades!M772</f>
        <v xml:space="preserve">   </v>
      </c>
      <c r="C178" s="157"/>
      <c r="D178" s="11">
        <f>Organización_Modular!F88</f>
        <v>0</v>
      </c>
      <c r="E178" s="11">
        <f>Organización_Modular!G88</f>
        <v>0</v>
      </c>
      <c r="F178" s="11">
        <f>Organización_Modular!H88</f>
        <v>0</v>
      </c>
      <c r="G178" s="11">
        <f>Organización_Modular!I88</f>
        <v>0</v>
      </c>
      <c r="H178" s="12">
        <f>SUM(F178:G178)</f>
        <v>0</v>
      </c>
      <c r="I178" s="12">
        <f>F178*16</f>
        <v>0</v>
      </c>
      <c r="J178" s="12">
        <f>G178*32</f>
        <v>0</v>
      </c>
      <c r="K178" s="12">
        <f>SUM(I178:J178)</f>
        <v>0</v>
      </c>
      <c r="L178" s="445"/>
      <c r="M178" s="87" t="str">
        <f t="shared" si="2"/>
        <v xml:space="preserve">   </v>
      </c>
    </row>
    <row r="179" spans="1:13" x14ac:dyDescent="0.2">
      <c r="A179" s="426"/>
      <c r="B179" s="156" t="str">
        <f>Capacidades!M773</f>
        <v xml:space="preserve">   </v>
      </c>
      <c r="C179" s="157"/>
      <c r="D179" s="13"/>
      <c r="E179" s="13"/>
      <c r="F179" s="13"/>
      <c r="G179" s="13"/>
      <c r="H179" s="14"/>
      <c r="I179" s="14"/>
      <c r="J179" s="14"/>
      <c r="K179" s="14"/>
      <c r="L179" s="446"/>
      <c r="M179" s="87" t="str">
        <f t="shared" si="2"/>
        <v xml:space="preserve">   </v>
      </c>
    </row>
    <row r="180" spans="1:13" x14ac:dyDescent="0.2">
      <c r="A180" s="426"/>
      <c r="B180" s="156" t="str">
        <f>Capacidades!M774</f>
        <v xml:space="preserve">   </v>
      </c>
      <c r="C180" s="157"/>
      <c r="D180" s="13"/>
      <c r="E180" s="13"/>
      <c r="F180" s="13"/>
      <c r="G180" s="13"/>
      <c r="H180" s="14"/>
      <c r="I180" s="14"/>
      <c r="J180" s="14"/>
      <c r="K180" s="14"/>
      <c r="L180" s="446"/>
      <c r="M180" s="87" t="str">
        <f t="shared" si="2"/>
        <v xml:space="preserve">   </v>
      </c>
    </row>
    <row r="181" spans="1:13" x14ac:dyDescent="0.2">
      <c r="A181" s="426"/>
      <c r="B181" s="156" t="str">
        <f>Capacidades!M775</f>
        <v xml:space="preserve">   </v>
      </c>
      <c r="C181" s="157"/>
      <c r="D181" s="13"/>
      <c r="E181" s="13"/>
      <c r="F181" s="13"/>
      <c r="G181" s="13"/>
      <c r="H181" s="14"/>
      <c r="I181" s="14"/>
      <c r="J181" s="14"/>
      <c r="K181" s="14"/>
      <c r="L181" s="446"/>
      <c r="M181" s="87" t="str">
        <f t="shared" si="2"/>
        <v xml:space="preserve">   </v>
      </c>
    </row>
    <row r="182" spans="1:13" x14ac:dyDescent="0.2">
      <c r="A182" s="426"/>
      <c r="B182" s="156" t="str">
        <f>Capacidades!M776</f>
        <v xml:space="preserve">   </v>
      </c>
      <c r="C182" s="157"/>
      <c r="D182" s="13"/>
      <c r="E182" s="13"/>
      <c r="F182" s="14"/>
      <c r="G182" s="14"/>
      <c r="H182" s="14"/>
      <c r="I182" s="14"/>
      <c r="J182" s="14"/>
      <c r="K182" s="14"/>
      <c r="L182" s="446"/>
      <c r="M182" s="87" t="str">
        <f t="shared" si="2"/>
        <v xml:space="preserve">   </v>
      </c>
    </row>
    <row r="183" spans="1:13" x14ac:dyDescent="0.2">
      <c r="A183" s="426"/>
      <c r="B183" s="156" t="str">
        <f>Capacidades!M777</f>
        <v xml:space="preserve">   </v>
      </c>
      <c r="C183" s="157"/>
      <c r="D183" s="13"/>
      <c r="E183" s="13"/>
      <c r="F183" s="14"/>
      <c r="G183" s="14"/>
      <c r="H183" s="14"/>
      <c r="I183" s="14"/>
      <c r="J183" s="14"/>
      <c r="K183" s="14"/>
      <c r="L183" s="446"/>
      <c r="M183" s="87" t="str">
        <f t="shared" si="2"/>
        <v xml:space="preserve">   </v>
      </c>
    </row>
    <row r="184" spans="1:13" x14ac:dyDescent="0.2">
      <c r="A184" s="426"/>
      <c r="B184" s="156" t="str">
        <f>Capacidades!M778</f>
        <v xml:space="preserve">   </v>
      </c>
      <c r="C184" s="157"/>
      <c r="D184" s="13"/>
      <c r="E184" s="13"/>
      <c r="F184" s="14"/>
      <c r="G184" s="14"/>
      <c r="H184" s="14"/>
      <c r="I184" s="14"/>
      <c r="J184" s="14"/>
      <c r="K184" s="14"/>
      <c r="L184" s="446"/>
      <c r="M184" s="87" t="str">
        <f t="shared" si="2"/>
        <v xml:space="preserve">   </v>
      </c>
    </row>
    <row r="185" spans="1:13" x14ac:dyDescent="0.2">
      <c r="A185" s="426"/>
      <c r="B185" s="156" t="str">
        <f>Capacidades!M779</f>
        <v xml:space="preserve">   </v>
      </c>
      <c r="C185" s="157"/>
      <c r="D185" s="13"/>
      <c r="E185" s="13"/>
      <c r="F185" s="14"/>
      <c r="G185" s="14"/>
      <c r="H185" s="14"/>
      <c r="I185" s="14"/>
      <c r="J185" s="14"/>
      <c r="K185" s="14"/>
      <c r="L185" s="446"/>
      <c r="M185" s="87" t="str">
        <f t="shared" si="2"/>
        <v xml:space="preserve">   </v>
      </c>
    </row>
    <row r="186" spans="1:13" x14ac:dyDescent="0.2">
      <c r="A186" s="426"/>
      <c r="B186" s="156" t="str">
        <f>Capacidades!M780</f>
        <v xml:space="preserve">   </v>
      </c>
      <c r="C186" s="157"/>
      <c r="D186" s="13"/>
      <c r="E186" s="13"/>
      <c r="F186" s="13"/>
      <c r="G186" s="13"/>
      <c r="H186" s="14"/>
      <c r="I186" s="14"/>
      <c r="J186" s="14"/>
      <c r="K186" s="14"/>
      <c r="L186" s="446"/>
      <c r="M186" s="87" t="str">
        <f t="shared" si="2"/>
        <v xml:space="preserve">   </v>
      </c>
    </row>
    <row r="187" spans="1:13" x14ac:dyDescent="0.2">
      <c r="A187" s="427"/>
      <c r="B187" s="156" t="str">
        <f>Capacidades!M781</f>
        <v xml:space="preserve">   </v>
      </c>
      <c r="C187" s="157"/>
      <c r="D187" s="15"/>
      <c r="E187" s="15"/>
      <c r="F187" s="15"/>
      <c r="G187" s="15"/>
      <c r="H187" s="16"/>
      <c r="I187" s="16"/>
      <c r="J187" s="16"/>
      <c r="K187" s="16"/>
      <c r="L187" s="447"/>
      <c r="M187" s="87" t="str">
        <f t="shared" si="2"/>
        <v xml:space="preserve">   </v>
      </c>
    </row>
    <row r="188" spans="1:13" x14ac:dyDescent="0.2">
      <c r="A188" s="425" t="str">
        <f>Capacidades!L782</f>
        <v xml:space="preserve">       </v>
      </c>
      <c r="B188" s="156" t="str">
        <f>Capacidades!M782</f>
        <v xml:space="preserve">   </v>
      </c>
      <c r="C188" s="157"/>
      <c r="D188" s="11">
        <f>Organización_Modular!F89</f>
        <v>0</v>
      </c>
      <c r="E188" s="11">
        <f>Organización_Modular!G89</f>
        <v>0</v>
      </c>
      <c r="F188" s="11">
        <f>Organización_Modular!H89</f>
        <v>0</v>
      </c>
      <c r="G188" s="11">
        <f>Organización_Modular!I89</f>
        <v>0</v>
      </c>
      <c r="H188" s="12">
        <f>SUM(F188:G188)</f>
        <v>0</v>
      </c>
      <c r="I188" s="12">
        <f>F188*16</f>
        <v>0</v>
      </c>
      <c r="J188" s="12">
        <f>G188*32</f>
        <v>0</v>
      </c>
      <c r="K188" s="12">
        <f>SUM(I188:J188)</f>
        <v>0</v>
      </c>
      <c r="L188" s="445"/>
      <c r="M188" s="87" t="str">
        <f t="shared" si="2"/>
        <v xml:space="preserve">   </v>
      </c>
    </row>
    <row r="189" spans="1:13" x14ac:dyDescent="0.2">
      <c r="A189" s="426"/>
      <c r="B189" s="156" t="str">
        <f>Capacidades!M783</f>
        <v xml:space="preserve">   </v>
      </c>
      <c r="C189" s="157"/>
      <c r="D189" s="13"/>
      <c r="E189" s="13"/>
      <c r="F189" s="13"/>
      <c r="G189" s="13"/>
      <c r="H189" s="14"/>
      <c r="I189" s="14"/>
      <c r="J189" s="14"/>
      <c r="K189" s="14"/>
      <c r="L189" s="446"/>
      <c r="M189" s="87" t="str">
        <f t="shared" si="2"/>
        <v xml:space="preserve">   </v>
      </c>
    </row>
    <row r="190" spans="1:13" x14ac:dyDescent="0.2">
      <c r="A190" s="426"/>
      <c r="B190" s="156" t="str">
        <f>Capacidades!M784</f>
        <v xml:space="preserve">   </v>
      </c>
      <c r="C190" s="157"/>
      <c r="D190" s="13"/>
      <c r="E190" s="13"/>
      <c r="F190" s="13"/>
      <c r="G190" s="13"/>
      <c r="H190" s="14"/>
      <c r="I190" s="14"/>
      <c r="J190" s="14"/>
      <c r="K190" s="14"/>
      <c r="L190" s="446"/>
      <c r="M190" s="87" t="str">
        <f t="shared" si="2"/>
        <v xml:space="preserve">   </v>
      </c>
    </row>
    <row r="191" spans="1:13" x14ac:dyDescent="0.2">
      <c r="A191" s="426"/>
      <c r="B191" s="156" t="str">
        <f>Capacidades!M785</f>
        <v xml:space="preserve">   </v>
      </c>
      <c r="C191" s="157"/>
      <c r="D191" s="13"/>
      <c r="E191" s="13"/>
      <c r="F191" s="13"/>
      <c r="G191" s="13"/>
      <c r="H191" s="14"/>
      <c r="I191" s="14"/>
      <c r="J191" s="14"/>
      <c r="K191" s="14"/>
      <c r="L191" s="446"/>
      <c r="M191" s="87" t="str">
        <f t="shared" si="2"/>
        <v xml:space="preserve">   </v>
      </c>
    </row>
    <row r="192" spans="1:13" x14ac:dyDescent="0.2">
      <c r="A192" s="426"/>
      <c r="B192" s="156" t="str">
        <f>Capacidades!M786</f>
        <v xml:space="preserve">   </v>
      </c>
      <c r="C192" s="157"/>
      <c r="D192" s="13"/>
      <c r="E192" s="13"/>
      <c r="F192" s="14"/>
      <c r="G192" s="14"/>
      <c r="H192" s="14"/>
      <c r="I192" s="14"/>
      <c r="J192" s="14"/>
      <c r="K192" s="14"/>
      <c r="L192" s="446"/>
      <c r="M192" s="87" t="str">
        <f t="shared" si="2"/>
        <v xml:space="preserve">   </v>
      </c>
    </row>
    <row r="193" spans="1:13" x14ac:dyDescent="0.2">
      <c r="A193" s="426"/>
      <c r="B193" s="156" t="str">
        <f>Capacidades!M787</f>
        <v xml:space="preserve">   </v>
      </c>
      <c r="C193" s="157"/>
      <c r="D193" s="13"/>
      <c r="E193" s="13"/>
      <c r="F193" s="14"/>
      <c r="G193" s="14"/>
      <c r="H193" s="14"/>
      <c r="I193" s="14"/>
      <c r="J193" s="14"/>
      <c r="K193" s="14"/>
      <c r="L193" s="446"/>
      <c r="M193" s="87" t="str">
        <f t="shared" si="2"/>
        <v xml:space="preserve">   </v>
      </c>
    </row>
    <row r="194" spans="1:13" x14ac:dyDescent="0.2">
      <c r="A194" s="426"/>
      <c r="B194" s="156" t="str">
        <f>Capacidades!M788</f>
        <v xml:space="preserve">   </v>
      </c>
      <c r="C194" s="157"/>
      <c r="D194" s="13"/>
      <c r="E194" s="13"/>
      <c r="F194" s="14"/>
      <c r="G194" s="14"/>
      <c r="H194" s="14"/>
      <c r="I194" s="14"/>
      <c r="J194" s="14"/>
      <c r="K194" s="14"/>
      <c r="L194" s="446"/>
      <c r="M194" s="87" t="str">
        <f t="shared" si="2"/>
        <v xml:space="preserve">   </v>
      </c>
    </row>
    <row r="195" spans="1:13" x14ac:dyDescent="0.2">
      <c r="A195" s="426"/>
      <c r="B195" s="156" t="str">
        <f>Capacidades!M789</f>
        <v xml:space="preserve">   </v>
      </c>
      <c r="C195" s="157"/>
      <c r="D195" s="13"/>
      <c r="E195" s="13"/>
      <c r="F195" s="14"/>
      <c r="G195" s="14"/>
      <c r="H195" s="14"/>
      <c r="I195" s="14"/>
      <c r="J195" s="14"/>
      <c r="K195" s="14"/>
      <c r="L195" s="446"/>
      <c r="M195" s="87" t="str">
        <f t="shared" si="2"/>
        <v xml:space="preserve">   </v>
      </c>
    </row>
    <row r="196" spans="1:13" x14ac:dyDescent="0.2">
      <c r="A196" s="426"/>
      <c r="B196" s="156" t="str">
        <f>Capacidades!M790</f>
        <v xml:space="preserve">   </v>
      </c>
      <c r="C196" s="157"/>
      <c r="D196" s="13"/>
      <c r="E196" s="13"/>
      <c r="F196" s="13"/>
      <c r="G196" s="13"/>
      <c r="H196" s="14"/>
      <c r="I196" s="14"/>
      <c r="J196" s="14"/>
      <c r="K196" s="14"/>
      <c r="L196" s="446"/>
      <c r="M196" s="87" t="str">
        <f t="shared" si="2"/>
        <v xml:space="preserve">   </v>
      </c>
    </row>
    <row r="197" spans="1:13" x14ac:dyDescent="0.2">
      <c r="A197" s="427"/>
      <c r="B197" s="156" t="str">
        <f>Capacidades!M791</f>
        <v xml:space="preserve">   </v>
      </c>
      <c r="C197" s="157"/>
      <c r="D197" s="15"/>
      <c r="E197" s="15"/>
      <c r="F197" s="15"/>
      <c r="G197" s="15"/>
      <c r="H197" s="16"/>
      <c r="I197" s="16"/>
      <c r="J197" s="16"/>
      <c r="K197" s="16"/>
      <c r="L197" s="447"/>
      <c r="M197" s="87" t="str">
        <f t="shared" si="2"/>
        <v xml:space="preserve">   </v>
      </c>
    </row>
    <row r="198" spans="1:13" x14ac:dyDescent="0.2">
      <c r="A198" s="425" t="str">
        <f>Capacidades!L792</f>
        <v xml:space="preserve">       </v>
      </c>
      <c r="B198" s="156" t="str">
        <f>Capacidades!M792</f>
        <v xml:space="preserve">   </v>
      </c>
      <c r="C198" s="157"/>
      <c r="D198" s="11">
        <f>Organización_Modular!F90</f>
        <v>0</v>
      </c>
      <c r="E198" s="11">
        <f>Organización_Modular!G90</f>
        <v>0</v>
      </c>
      <c r="F198" s="11">
        <f>Organización_Modular!H90</f>
        <v>0</v>
      </c>
      <c r="G198" s="11">
        <f>Organización_Modular!I90</f>
        <v>0</v>
      </c>
      <c r="H198" s="12">
        <f>SUM(F198:G198)</f>
        <v>0</v>
      </c>
      <c r="I198" s="12">
        <f>F198*16</f>
        <v>0</v>
      </c>
      <c r="J198" s="12">
        <f>G198*32</f>
        <v>0</v>
      </c>
      <c r="K198" s="12">
        <f>SUM(I198:J198)</f>
        <v>0</v>
      </c>
      <c r="L198" s="445"/>
      <c r="M198" s="87" t="str">
        <f t="shared" si="2"/>
        <v xml:space="preserve">   </v>
      </c>
    </row>
    <row r="199" spans="1:13" x14ac:dyDescent="0.2">
      <c r="A199" s="426"/>
      <c r="B199" s="156" t="str">
        <f>Capacidades!M793</f>
        <v xml:space="preserve">   </v>
      </c>
      <c r="C199" s="157"/>
      <c r="D199" s="13"/>
      <c r="E199" s="13"/>
      <c r="F199" s="13"/>
      <c r="G199" s="13"/>
      <c r="H199" s="14"/>
      <c r="I199" s="14"/>
      <c r="J199" s="14"/>
      <c r="K199" s="14"/>
      <c r="L199" s="446"/>
      <c r="M199" s="87" t="str">
        <f t="shared" si="2"/>
        <v xml:space="preserve">   </v>
      </c>
    </row>
    <row r="200" spans="1:13" x14ac:dyDescent="0.2">
      <c r="A200" s="426"/>
      <c r="B200" s="156" t="str">
        <f>Capacidades!M794</f>
        <v xml:space="preserve">   </v>
      </c>
      <c r="C200" s="157"/>
      <c r="D200" s="13"/>
      <c r="E200" s="13"/>
      <c r="F200" s="13"/>
      <c r="G200" s="13"/>
      <c r="H200" s="14"/>
      <c r="I200" s="14"/>
      <c r="J200" s="14"/>
      <c r="K200" s="14"/>
      <c r="L200" s="446"/>
      <c r="M200" s="87" t="str">
        <f t="shared" si="2"/>
        <v xml:space="preserve">   </v>
      </c>
    </row>
    <row r="201" spans="1:13" x14ac:dyDescent="0.2">
      <c r="A201" s="426"/>
      <c r="B201" s="156" t="str">
        <f>Capacidades!M795</f>
        <v xml:space="preserve">   </v>
      </c>
      <c r="C201" s="157"/>
      <c r="D201" s="13"/>
      <c r="E201" s="13"/>
      <c r="F201" s="13"/>
      <c r="G201" s="13"/>
      <c r="H201" s="14"/>
      <c r="I201" s="14"/>
      <c r="J201" s="14"/>
      <c r="K201" s="14"/>
      <c r="L201" s="446"/>
      <c r="M201" s="87" t="str">
        <f t="shared" si="2"/>
        <v xml:space="preserve">   </v>
      </c>
    </row>
    <row r="202" spans="1:13" x14ac:dyDescent="0.2">
      <c r="A202" s="426"/>
      <c r="B202" s="156" t="str">
        <f>Capacidades!M796</f>
        <v xml:space="preserve">   </v>
      </c>
      <c r="C202" s="157"/>
      <c r="D202" s="13"/>
      <c r="E202" s="13"/>
      <c r="F202" s="14"/>
      <c r="G202" s="14"/>
      <c r="H202" s="14"/>
      <c r="I202" s="14"/>
      <c r="J202" s="14"/>
      <c r="K202" s="14"/>
      <c r="L202" s="446"/>
      <c r="M202" s="87" t="str">
        <f t="shared" si="2"/>
        <v xml:space="preserve">   </v>
      </c>
    </row>
    <row r="203" spans="1:13" x14ac:dyDescent="0.2">
      <c r="A203" s="426"/>
      <c r="B203" s="156" t="str">
        <f>Capacidades!M797</f>
        <v xml:space="preserve">   </v>
      </c>
      <c r="C203" s="157"/>
      <c r="D203" s="13"/>
      <c r="E203" s="13"/>
      <c r="F203" s="14"/>
      <c r="G203" s="14"/>
      <c r="H203" s="14"/>
      <c r="I203" s="14"/>
      <c r="J203" s="14"/>
      <c r="K203" s="14"/>
      <c r="L203" s="446"/>
      <c r="M203" s="87" t="str">
        <f t="shared" si="2"/>
        <v xml:space="preserve">   </v>
      </c>
    </row>
    <row r="204" spans="1:13" x14ac:dyDescent="0.2">
      <c r="A204" s="426"/>
      <c r="B204" s="156" t="str">
        <f>Capacidades!M798</f>
        <v xml:space="preserve">   </v>
      </c>
      <c r="C204" s="157"/>
      <c r="D204" s="13"/>
      <c r="E204" s="13"/>
      <c r="F204" s="14"/>
      <c r="G204" s="14"/>
      <c r="H204" s="14"/>
      <c r="I204" s="14"/>
      <c r="J204" s="14"/>
      <c r="K204" s="14"/>
      <c r="L204" s="446"/>
      <c r="M204" s="87" t="str">
        <f t="shared" si="2"/>
        <v xml:space="preserve">   </v>
      </c>
    </row>
    <row r="205" spans="1:13" x14ac:dyDescent="0.2">
      <c r="A205" s="426"/>
      <c r="B205" s="156" t="str">
        <f>Capacidades!M799</f>
        <v xml:space="preserve">   </v>
      </c>
      <c r="C205" s="157"/>
      <c r="D205" s="13"/>
      <c r="E205" s="13"/>
      <c r="F205" s="14"/>
      <c r="G205" s="14"/>
      <c r="H205" s="14"/>
      <c r="I205" s="14"/>
      <c r="J205" s="14"/>
      <c r="K205" s="14"/>
      <c r="L205" s="446"/>
      <c r="M205" s="87" t="str">
        <f t="shared" si="2"/>
        <v xml:space="preserve">   </v>
      </c>
    </row>
    <row r="206" spans="1:13" x14ac:dyDescent="0.2">
      <c r="A206" s="426"/>
      <c r="B206" s="156" t="str">
        <f>Capacidades!M800</f>
        <v xml:space="preserve">   </v>
      </c>
      <c r="C206" s="157"/>
      <c r="D206" s="13"/>
      <c r="E206" s="13"/>
      <c r="F206" s="13"/>
      <c r="G206" s="13"/>
      <c r="H206" s="14"/>
      <c r="I206" s="14"/>
      <c r="J206" s="14"/>
      <c r="K206" s="14"/>
      <c r="L206" s="446"/>
      <c r="M206" s="87" t="str">
        <f t="shared" si="2"/>
        <v xml:space="preserve">   </v>
      </c>
    </row>
    <row r="207" spans="1:13" x14ac:dyDescent="0.2">
      <c r="A207" s="427"/>
      <c r="B207" s="156" t="str">
        <f>Capacidades!M801</f>
        <v xml:space="preserve">   </v>
      </c>
      <c r="C207" s="157"/>
      <c r="D207" s="15"/>
      <c r="E207" s="15"/>
      <c r="F207" s="15"/>
      <c r="G207" s="15"/>
      <c r="H207" s="16"/>
      <c r="I207" s="16"/>
      <c r="J207" s="16"/>
      <c r="K207" s="16"/>
      <c r="L207" s="447"/>
      <c r="M207" s="87" t="str">
        <f t="shared" si="2"/>
        <v xml:space="preserve">   </v>
      </c>
    </row>
    <row r="208" spans="1:13" x14ac:dyDescent="0.2">
      <c r="A208" s="425" t="str">
        <f>Capacidades!L802</f>
        <v xml:space="preserve">       </v>
      </c>
      <c r="B208" s="156" t="str">
        <f>Capacidades!M802</f>
        <v xml:space="preserve">   </v>
      </c>
      <c r="C208" s="157"/>
      <c r="D208" s="11">
        <f>Organización_Modular!F91</f>
        <v>0</v>
      </c>
      <c r="E208" s="11">
        <f>Organización_Modular!G91</f>
        <v>0</v>
      </c>
      <c r="F208" s="11">
        <f>Organización_Modular!H91</f>
        <v>0</v>
      </c>
      <c r="G208" s="11">
        <f>Organización_Modular!I91</f>
        <v>0</v>
      </c>
      <c r="H208" s="12">
        <f>SUM(F208:G208)</f>
        <v>0</v>
      </c>
      <c r="I208" s="12">
        <f>F208*16</f>
        <v>0</v>
      </c>
      <c r="J208" s="12">
        <f>G208*32</f>
        <v>0</v>
      </c>
      <c r="K208" s="12">
        <f>SUM(I208:J208)</f>
        <v>0</v>
      </c>
      <c r="L208" s="445"/>
      <c r="M208" s="87" t="str">
        <f t="shared" si="2"/>
        <v xml:space="preserve">   </v>
      </c>
    </row>
    <row r="209" spans="1:13" x14ac:dyDescent="0.2">
      <c r="A209" s="426"/>
      <c r="B209" s="156" t="str">
        <f>Capacidades!M803</f>
        <v xml:space="preserve">   </v>
      </c>
      <c r="C209" s="157"/>
      <c r="D209" s="13"/>
      <c r="E209" s="13"/>
      <c r="F209" s="14"/>
      <c r="G209" s="14"/>
      <c r="H209" s="14"/>
      <c r="I209" s="14"/>
      <c r="J209" s="14"/>
      <c r="K209" s="14"/>
      <c r="L209" s="446"/>
      <c r="M209" s="87" t="str">
        <f t="shared" si="2"/>
        <v xml:space="preserve">   </v>
      </c>
    </row>
    <row r="210" spans="1:13" x14ac:dyDescent="0.2">
      <c r="A210" s="426"/>
      <c r="B210" s="156" t="str">
        <f>Capacidades!M804</f>
        <v xml:space="preserve">   </v>
      </c>
      <c r="C210" s="157"/>
      <c r="D210" s="13"/>
      <c r="E210" s="13"/>
      <c r="F210" s="14"/>
      <c r="G210" s="14"/>
      <c r="H210" s="14"/>
      <c r="I210" s="14"/>
      <c r="J210" s="14"/>
      <c r="K210" s="14"/>
      <c r="L210" s="446"/>
      <c r="M210" s="87" t="str">
        <f t="shared" si="2"/>
        <v xml:space="preserve">   </v>
      </c>
    </row>
    <row r="211" spans="1:13" x14ac:dyDescent="0.2">
      <c r="A211" s="426"/>
      <c r="B211" s="156" t="str">
        <f>Capacidades!M805</f>
        <v xml:space="preserve">   </v>
      </c>
      <c r="C211" s="157"/>
      <c r="D211" s="13"/>
      <c r="E211" s="13"/>
      <c r="F211" s="14"/>
      <c r="G211" s="14"/>
      <c r="H211" s="14"/>
      <c r="I211" s="14"/>
      <c r="J211" s="14"/>
      <c r="K211" s="14"/>
      <c r="L211" s="446"/>
      <c r="M211" s="87" t="str">
        <f t="shared" ref="M211:M217" si="3">B211</f>
        <v xml:space="preserve">   </v>
      </c>
    </row>
    <row r="212" spans="1:13" x14ac:dyDescent="0.2">
      <c r="A212" s="426"/>
      <c r="B212" s="156" t="str">
        <f>Capacidades!M806</f>
        <v xml:space="preserve">   </v>
      </c>
      <c r="C212" s="157"/>
      <c r="D212" s="13"/>
      <c r="E212" s="13"/>
      <c r="F212" s="14"/>
      <c r="G212" s="14"/>
      <c r="H212" s="14"/>
      <c r="I212" s="14"/>
      <c r="J212" s="14"/>
      <c r="K212" s="14"/>
      <c r="L212" s="446"/>
      <c r="M212" s="87" t="str">
        <f t="shared" si="3"/>
        <v xml:space="preserve">   </v>
      </c>
    </row>
    <row r="213" spans="1:13" x14ac:dyDescent="0.2">
      <c r="A213" s="426"/>
      <c r="B213" s="156" t="str">
        <f>Capacidades!M807</f>
        <v xml:space="preserve">   </v>
      </c>
      <c r="C213" s="157"/>
      <c r="D213" s="13"/>
      <c r="E213" s="13"/>
      <c r="F213" s="14"/>
      <c r="G213" s="14"/>
      <c r="H213" s="14"/>
      <c r="I213" s="14"/>
      <c r="J213" s="14"/>
      <c r="K213" s="14"/>
      <c r="L213" s="446"/>
      <c r="M213" s="87" t="str">
        <f t="shared" si="3"/>
        <v xml:space="preserve">   </v>
      </c>
    </row>
    <row r="214" spans="1:13" x14ac:dyDescent="0.2">
      <c r="A214" s="426"/>
      <c r="B214" s="156" t="str">
        <f>Capacidades!M808</f>
        <v xml:space="preserve">   </v>
      </c>
      <c r="C214" s="157"/>
      <c r="D214" s="13"/>
      <c r="E214" s="13"/>
      <c r="F214" s="14"/>
      <c r="G214" s="14"/>
      <c r="H214" s="14"/>
      <c r="I214" s="14"/>
      <c r="J214" s="14"/>
      <c r="K214" s="14"/>
      <c r="L214" s="446"/>
      <c r="M214" s="87" t="str">
        <f t="shared" si="3"/>
        <v xml:space="preserve">   </v>
      </c>
    </row>
    <row r="215" spans="1:13" x14ac:dyDescent="0.2">
      <c r="A215" s="426"/>
      <c r="B215" s="156" t="str">
        <f>Capacidades!M809</f>
        <v xml:space="preserve">   </v>
      </c>
      <c r="C215" s="157"/>
      <c r="D215" s="13"/>
      <c r="E215" s="13"/>
      <c r="F215" s="14"/>
      <c r="G215" s="14"/>
      <c r="H215" s="14"/>
      <c r="I215" s="14"/>
      <c r="J215" s="14"/>
      <c r="K215" s="14"/>
      <c r="L215" s="446"/>
      <c r="M215" s="87" t="str">
        <f t="shared" si="3"/>
        <v xml:space="preserve">   </v>
      </c>
    </row>
    <row r="216" spans="1:13" x14ac:dyDescent="0.2">
      <c r="A216" s="426"/>
      <c r="B216" s="156" t="str">
        <f>Capacidades!M810</f>
        <v xml:space="preserve">   </v>
      </c>
      <c r="C216" s="157"/>
      <c r="D216" s="13"/>
      <c r="E216" s="13"/>
      <c r="F216" s="14"/>
      <c r="G216" s="14"/>
      <c r="H216" s="14"/>
      <c r="I216" s="14"/>
      <c r="J216" s="14"/>
      <c r="K216" s="14"/>
      <c r="L216" s="446"/>
      <c r="M216" s="87" t="str">
        <f t="shared" si="3"/>
        <v xml:space="preserve">   </v>
      </c>
    </row>
    <row r="217" spans="1:13" x14ac:dyDescent="0.2">
      <c r="A217" s="427"/>
      <c r="B217" s="156" t="str">
        <f>Capacidades!M811</f>
        <v xml:space="preserve">   </v>
      </c>
      <c r="C217" s="157"/>
      <c r="D217" s="15"/>
      <c r="E217" s="15"/>
      <c r="F217" s="16"/>
      <c r="G217" s="16"/>
      <c r="H217" s="16"/>
      <c r="I217" s="16"/>
      <c r="J217" s="16"/>
      <c r="K217" s="16"/>
      <c r="L217" s="447"/>
      <c r="M217" s="87" t="str">
        <f t="shared" si="3"/>
        <v xml:space="preserve">   </v>
      </c>
    </row>
    <row r="218" spans="1:13" ht="23.25" customHeight="1" x14ac:dyDescent="0.2">
      <c r="A218" s="466" t="s">
        <v>86</v>
      </c>
      <c r="B218" s="466"/>
      <c r="C218" s="466"/>
      <c r="D218" s="466"/>
      <c r="E218" s="466"/>
      <c r="F218" s="466"/>
      <c r="G218" s="466"/>
      <c r="H218" s="466"/>
      <c r="I218" s="466"/>
      <c r="J218" s="466"/>
      <c r="K218" s="466"/>
      <c r="L218" s="466"/>
      <c r="M218" s="87" t="str">
        <f>A218</f>
        <v>COMPETENCIAS PARA LA EMPLEABILIDAD INCORPORADAS MEDIANTE UNIDAD DIDÁCTICA</v>
      </c>
    </row>
    <row r="219" spans="1:13" ht="38.25" customHeight="1" x14ac:dyDescent="0.2">
      <c r="A219" s="503">
        <f>Organización_Modular!C92</f>
        <v>0</v>
      </c>
      <c r="B219" s="503"/>
      <c r="C219" s="503"/>
      <c r="D219" s="503"/>
      <c r="E219" s="503"/>
      <c r="F219" s="503"/>
      <c r="G219" s="503"/>
      <c r="H219" s="503"/>
      <c r="I219" s="503"/>
      <c r="J219" s="503"/>
      <c r="K219" s="503"/>
      <c r="L219" s="503"/>
      <c r="M219" s="87">
        <f>A219</f>
        <v>0</v>
      </c>
    </row>
    <row r="220" spans="1:13" ht="12.75" customHeight="1" x14ac:dyDescent="0.2">
      <c r="A220" s="471" t="s">
        <v>80</v>
      </c>
      <c r="B220" s="474" t="s">
        <v>79</v>
      </c>
      <c r="C220" s="471" t="s">
        <v>78</v>
      </c>
      <c r="D220" s="471" t="s">
        <v>0</v>
      </c>
      <c r="E220" s="459" t="s">
        <v>50</v>
      </c>
      <c r="F220" s="471" t="s">
        <v>71</v>
      </c>
      <c r="G220" s="471"/>
      <c r="H220" s="471" t="s">
        <v>71</v>
      </c>
      <c r="I220" s="471" t="s">
        <v>77</v>
      </c>
      <c r="J220" s="471"/>
      <c r="K220" s="471" t="s">
        <v>77</v>
      </c>
      <c r="L220" s="471" t="s">
        <v>76</v>
      </c>
      <c r="M220" s="87" t="str">
        <f t="shared" ref="M220" si="4">A220</f>
        <v>CAPACIDADES DE EMPLEABILIDAD</v>
      </c>
    </row>
    <row r="221" spans="1:13" x14ac:dyDescent="0.2">
      <c r="A221" s="471"/>
      <c r="B221" s="474"/>
      <c r="C221" s="471"/>
      <c r="D221" s="471"/>
      <c r="E221" s="459"/>
      <c r="F221" s="147" t="s">
        <v>75</v>
      </c>
      <c r="G221" s="147" t="s">
        <v>74</v>
      </c>
      <c r="H221" s="471"/>
      <c r="I221" s="147" t="s">
        <v>75</v>
      </c>
      <c r="J221" s="147" t="s">
        <v>74</v>
      </c>
      <c r="K221" s="471"/>
      <c r="L221" s="471"/>
      <c r="M221" s="87" t="str">
        <f>A220</f>
        <v>CAPACIDADES DE EMPLEABILIDAD</v>
      </c>
    </row>
    <row r="222" spans="1:13" x14ac:dyDescent="0.2">
      <c r="A222" s="425" t="str">
        <f>Capacidades!L812</f>
        <v xml:space="preserve">       </v>
      </c>
      <c r="B222" s="158" t="str">
        <f>Capacidades!M812</f>
        <v xml:space="preserve">   </v>
      </c>
      <c r="C222" s="192"/>
      <c r="D222" s="13">
        <f>Organización_Modular!F92</f>
        <v>0</v>
      </c>
      <c r="E222" s="13">
        <f>Organización_Modular!G92</f>
        <v>0</v>
      </c>
      <c r="F222" s="13">
        <f>Organización_Modular!H92</f>
        <v>0</v>
      </c>
      <c r="G222" s="13">
        <f>Organización_Modular!I92</f>
        <v>0</v>
      </c>
      <c r="H222" s="14">
        <f>SUM(F222:G222)</f>
        <v>0</v>
      </c>
      <c r="I222" s="14">
        <f>F222*16</f>
        <v>0</v>
      </c>
      <c r="J222" s="14">
        <f>G222*32</f>
        <v>0</v>
      </c>
      <c r="K222" s="14">
        <f>SUM(I222:J222)</f>
        <v>0</v>
      </c>
      <c r="L222" s="446"/>
      <c r="M222" s="87" t="str">
        <f>B222</f>
        <v xml:space="preserve">   </v>
      </c>
    </row>
    <row r="223" spans="1:13" ht="36.75" customHeight="1" x14ac:dyDescent="0.2">
      <c r="A223" s="426"/>
      <c r="B223" s="158" t="str">
        <f>Capacidades!M813</f>
        <v xml:space="preserve">   </v>
      </c>
      <c r="C223" s="192"/>
      <c r="D223" s="13"/>
      <c r="E223" s="13"/>
      <c r="F223" s="13"/>
      <c r="G223" s="13"/>
      <c r="H223" s="14"/>
      <c r="I223" s="14"/>
      <c r="J223" s="14"/>
      <c r="K223" s="14"/>
      <c r="L223" s="446"/>
      <c r="M223" s="87" t="str">
        <f t="shared" ref="M223:M286" si="5">B223</f>
        <v xml:space="preserve">   </v>
      </c>
    </row>
    <row r="224" spans="1:13" x14ac:dyDescent="0.2">
      <c r="A224" s="426"/>
      <c r="B224" s="158" t="str">
        <f>Capacidades!M814</f>
        <v xml:space="preserve">   </v>
      </c>
      <c r="C224" s="192"/>
      <c r="D224" s="13"/>
      <c r="E224" s="13"/>
      <c r="F224" s="13"/>
      <c r="G224" s="13"/>
      <c r="H224" s="14"/>
      <c r="I224" s="14"/>
      <c r="J224" s="14"/>
      <c r="K224" s="14"/>
      <c r="L224" s="446"/>
      <c r="M224" s="87" t="str">
        <f t="shared" si="5"/>
        <v xml:space="preserve">   </v>
      </c>
    </row>
    <row r="225" spans="1:13" x14ac:dyDescent="0.2">
      <c r="A225" s="426"/>
      <c r="B225" s="158" t="str">
        <f>Capacidades!M815</f>
        <v xml:space="preserve">   </v>
      </c>
      <c r="C225" s="192"/>
      <c r="D225" s="13"/>
      <c r="E225" s="13"/>
      <c r="F225" s="13"/>
      <c r="G225" s="13"/>
      <c r="H225" s="14"/>
      <c r="I225" s="14"/>
      <c r="J225" s="14"/>
      <c r="K225" s="14"/>
      <c r="L225" s="446"/>
      <c r="M225" s="87" t="str">
        <f t="shared" si="5"/>
        <v xml:space="preserve">   </v>
      </c>
    </row>
    <row r="226" spans="1:13" x14ac:dyDescent="0.2">
      <c r="A226" s="426"/>
      <c r="B226" s="158" t="str">
        <f>Capacidades!M816</f>
        <v xml:space="preserve">   </v>
      </c>
      <c r="C226" s="157"/>
      <c r="D226" s="13"/>
      <c r="E226" s="13"/>
      <c r="F226" s="14"/>
      <c r="G226" s="14"/>
      <c r="H226" s="14"/>
      <c r="I226" s="14"/>
      <c r="J226" s="14"/>
      <c r="K226" s="14"/>
      <c r="L226" s="446"/>
      <c r="M226" s="87" t="str">
        <f t="shared" si="5"/>
        <v xml:space="preserve">   </v>
      </c>
    </row>
    <row r="227" spans="1:13" x14ac:dyDescent="0.2">
      <c r="A227" s="426"/>
      <c r="B227" s="158" t="str">
        <f>Capacidades!M817</f>
        <v xml:space="preserve">   </v>
      </c>
      <c r="C227" s="157"/>
      <c r="D227" s="13"/>
      <c r="E227" s="13"/>
      <c r="F227" s="14"/>
      <c r="G227" s="14"/>
      <c r="H227" s="14"/>
      <c r="I227" s="14"/>
      <c r="J227" s="14"/>
      <c r="K227" s="14"/>
      <c r="L227" s="446"/>
      <c r="M227" s="87" t="str">
        <f t="shared" si="5"/>
        <v xml:space="preserve">   </v>
      </c>
    </row>
    <row r="228" spans="1:13" x14ac:dyDescent="0.2">
      <c r="A228" s="426"/>
      <c r="B228" s="158" t="str">
        <f>Capacidades!M818</f>
        <v xml:space="preserve">   </v>
      </c>
      <c r="C228" s="157"/>
      <c r="D228" s="13"/>
      <c r="E228" s="13"/>
      <c r="F228" s="14"/>
      <c r="G228" s="14"/>
      <c r="H228" s="14"/>
      <c r="I228" s="14"/>
      <c r="J228" s="14"/>
      <c r="K228" s="14"/>
      <c r="L228" s="446"/>
      <c r="M228" s="87" t="str">
        <f t="shared" si="5"/>
        <v xml:space="preserve">   </v>
      </c>
    </row>
    <row r="229" spans="1:13" x14ac:dyDescent="0.2">
      <c r="A229" s="426"/>
      <c r="B229" s="158" t="str">
        <f>Capacidades!M819</f>
        <v xml:space="preserve">   </v>
      </c>
      <c r="C229" s="157"/>
      <c r="D229" s="13"/>
      <c r="E229" s="13"/>
      <c r="F229" s="14"/>
      <c r="G229" s="14"/>
      <c r="H229" s="14"/>
      <c r="I229" s="14"/>
      <c r="J229" s="14"/>
      <c r="K229" s="14"/>
      <c r="L229" s="446"/>
      <c r="M229" s="87" t="str">
        <f t="shared" si="5"/>
        <v xml:space="preserve">   </v>
      </c>
    </row>
    <row r="230" spans="1:13" x14ac:dyDescent="0.2">
      <c r="A230" s="426"/>
      <c r="B230" s="158" t="str">
        <f>Capacidades!M820</f>
        <v xml:space="preserve">   </v>
      </c>
      <c r="C230" s="157"/>
      <c r="D230" s="13"/>
      <c r="E230" s="13"/>
      <c r="F230" s="13"/>
      <c r="G230" s="13"/>
      <c r="H230" s="14"/>
      <c r="I230" s="14"/>
      <c r="J230" s="14"/>
      <c r="K230" s="14"/>
      <c r="L230" s="446"/>
      <c r="M230" s="87" t="str">
        <f t="shared" si="5"/>
        <v xml:space="preserve">   </v>
      </c>
    </row>
    <row r="231" spans="1:13" x14ac:dyDescent="0.2">
      <c r="A231" s="427"/>
      <c r="B231" s="158" t="str">
        <f>Capacidades!M821</f>
        <v xml:space="preserve">   </v>
      </c>
      <c r="C231" s="157"/>
      <c r="D231" s="15"/>
      <c r="E231" s="15"/>
      <c r="F231" s="15"/>
      <c r="G231" s="15"/>
      <c r="H231" s="16"/>
      <c r="I231" s="16"/>
      <c r="J231" s="16"/>
      <c r="K231" s="16"/>
      <c r="L231" s="447"/>
      <c r="M231" s="87" t="str">
        <f t="shared" si="5"/>
        <v xml:space="preserve">   </v>
      </c>
    </row>
    <row r="232" spans="1:13" x14ac:dyDescent="0.2">
      <c r="A232" s="425" t="str">
        <f>Capacidades!L822</f>
        <v xml:space="preserve">       </v>
      </c>
      <c r="B232" s="158" t="str">
        <f>Capacidades!M822</f>
        <v xml:space="preserve">   </v>
      </c>
      <c r="C232" s="157"/>
      <c r="D232" s="11">
        <f>Organización_Modular!F93</f>
        <v>0</v>
      </c>
      <c r="E232" s="11">
        <f>Organización_Modular!G93</f>
        <v>0</v>
      </c>
      <c r="F232" s="11">
        <f>Organización_Modular!H93</f>
        <v>0</v>
      </c>
      <c r="G232" s="11">
        <f>Organización_Modular!I93</f>
        <v>0</v>
      </c>
      <c r="H232" s="12">
        <f>SUM(F232:G232)</f>
        <v>0</v>
      </c>
      <c r="I232" s="12">
        <f>F232*16</f>
        <v>0</v>
      </c>
      <c r="J232" s="12">
        <f>G232*32</f>
        <v>0</v>
      </c>
      <c r="K232" s="12">
        <f>SUM(I232:J232)</f>
        <v>0</v>
      </c>
      <c r="L232" s="445"/>
      <c r="M232" s="87" t="str">
        <f t="shared" si="5"/>
        <v xml:space="preserve">   </v>
      </c>
    </row>
    <row r="233" spans="1:13" x14ac:dyDescent="0.2">
      <c r="A233" s="426"/>
      <c r="B233" s="158" t="str">
        <f>Capacidades!M823</f>
        <v xml:space="preserve">   </v>
      </c>
      <c r="C233" s="157"/>
      <c r="D233" s="13"/>
      <c r="E233" s="13"/>
      <c r="F233" s="13"/>
      <c r="G233" s="13"/>
      <c r="H233" s="14"/>
      <c r="I233" s="14"/>
      <c r="J233" s="14"/>
      <c r="K233" s="14"/>
      <c r="L233" s="446"/>
      <c r="M233" s="87" t="str">
        <f t="shared" si="5"/>
        <v xml:space="preserve">   </v>
      </c>
    </row>
    <row r="234" spans="1:13" x14ac:dyDescent="0.2">
      <c r="A234" s="426"/>
      <c r="B234" s="158" t="str">
        <f>Capacidades!M824</f>
        <v xml:space="preserve">   </v>
      </c>
      <c r="C234" s="157"/>
      <c r="D234" s="13"/>
      <c r="E234" s="13"/>
      <c r="F234" s="13"/>
      <c r="G234" s="13"/>
      <c r="H234" s="14"/>
      <c r="I234" s="14"/>
      <c r="J234" s="14"/>
      <c r="K234" s="14"/>
      <c r="L234" s="446"/>
      <c r="M234" s="87" t="str">
        <f t="shared" si="5"/>
        <v xml:space="preserve">   </v>
      </c>
    </row>
    <row r="235" spans="1:13" x14ac:dyDescent="0.2">
      <c r="A235" s="426"/>
      <c r="B235" s="158" t="str">
        <f>Capacidades!M825</f>
        <v xml:space="preserve">   </v>
      </c>
      <c r="C235" s="157"/>
      <c r="D235" s="13"/>
      <c r="E235" s="13"/>
      <c r="F235" s="13"/>
      <c r="G235" s="13"/>
      <c r="H235" s="14"/>
      <c r="I235" s="14"/>
      <c r="J235" s="14"/>
      <c r="K235" s="14"/>
      <c r="L235" s="446"/>
      <c r="M235" s="87" t="str">
        <f t="shared" si="5"/>
        <v xml:space="preserve">   </v>
      </c>
    </row>
    <row r="236" spans="1:13" x14ac:dyDescent="0.2">
      <c r="A236" s="426"/>
      <c r="B236" s="158" t="str">
        <f>Capacidades!M826</f>
        <v xml:space="preserve">   </v>
      </c>
      <c r="C236" s="157"/>
      <c r="D236" s="13"/>
      <c r="E236" s="13"/>
      <c r="F236" s="14"/>
      <c r="G236" s="14"/>
      <c r="H236" s="14"/>
      <c r="I236" s="14"/>
      <c r="J236" s="14"/>
      <c r="K236" s="14"/>
      <c r="L236" s="446"/>
      <c r="M236" s="87" t="str">
        <f t="shared" si="5"/>
        <v xml:space="preserve">   </v>
      </c>
    </row>
    <row r="237" spans="1:13" x14ac:dyDescent="0.2">
      <c r="A237" s="426"/>
      <c r="B237" s="158" t="str">
        <f>Capacidades!M827</f>
        <v xml:space="preserve">   </v>
      </c>
      <c r="C237" s="157"/>
      <c r="D237" s="13"/>
      <c r="E237" s="13"/>
      <c r="F237" s="14"/>
      <c r="G237" s="14"/>
      <c r="H237" s="14"/>
      <c r="I237" s="14"/>
      <c r="J237" s="14"/>
      <c r="K237" s="14"/>
      <c r="L237" s="446"/>
      <c r="M237" s="87" t="str">
        <f t="shared" si="5"/>
        <v xml:space="preserve">   </v>
      </c>
    </row>
    <row r="238" spans="1:13" x14ac:dyDescent="0.2">
      <c r="A238" s="426"/>
      <c r="B238" s="158" t="str">
        <f>Capacidades!M828</f>
        <v xml:space="preserve">   </v>
      </c>
      <c r="C238" s="157"/>
      <c r="D238" s="13"/>
      <c r="E238" s="13"/>
      <c r="F238" s="14"/>
      <c r="G238" s="14"/>
      <c r="H238" s="14"/>
      <c r="I238" s="14"/>
      <c r="J238" s="14"/>
      <c r="K238" s="14"/>
      <c r="L238" s="446"/>
      <c r="M238" s="87" t="str">
        <f t="shared" si="5"/>
        <v xml:space="preserve">   </v>
      </c>
    </row>
    <row r="239" spans="1:13" x14ac:dyDescent="0.2">
      <c r="A239" s="426"/>
      <c r="B239" s="158" t="str">
        <f>Capacidades!M829</f>
        <v xml:space="preserve">   </v>
      </c>
      <c r="C239" s="157"/>
      <c r="D239" s="13"/>
      <c r="E239" s="13"/>
      <c r="F239" s="14"/>
      <c r="G239" s="14"/>
      <c r="H239" s="14"/>
      <c r="I239" s="14"/>
      <c r="J239" s="14"/>
      <c r="K239" s="14"/>
      <c r="L239" s="446"/>
      <c r="M239" s="87" t="str">
        <f t="shared" si="5"/>
        <v xml:space="preserve">   </v>
      </c>
    </row>
    <row r="240" spans="1:13" x14ac:dyDescent="0.2">
      <c r="A240" s="426"/>
      <c r="B240" s="158" t="str">
        <f>Capacidades!M830</f>
        <v xml:space="preserve">   </v>
      </c>
      <c r="C240" s="157"/>
      <c r="D240" s="13"/>
      <c r="E240" s="13"/>
      <c r="F240" s="13"/>
      <c r="G240" s="13"/>
      <c r="H240" s="14"/>
      <c r="I240" s="14"/>
      <c r="J240" s="14"/>
      <c r="K240" s="14"/>
      <c r="L240" s="446"/>
      <c r="M240" s="87" t="str">
        <f t="shared" si="5"/>
        <v xml:space="preserve">   </v>
      </c>
    </row>
    <row r="241" spans="1:13" x14ac:dyDescent="0.2">
      <c r="A241" s="427"/>
      <c r="B241" s="158" t="str">
        <f>Capacidades!M831</f>
        <v xml:space="preserve">   </v>
      </c>
      <c r="C241" s="160"/>
      <c r="D241" s="13"/>
      <c r="E241" s="13"/>
      <c r="F241" s="13"/>
      <c r="G241" s="13"/>
      <c r="H241" s="14"/>
      <c r="I241" s="14"/>
      <c r="J241" s="14"/>
      <c r="K241" s="14"/>
      <c r="L241" s="446"/>
      <c r="M241" s="87" t="str">
        <f t="shared" si="5"/>
        <v xml:space="preserve">   </v>
      </c>
    </row>
    <row r="242" spans="1:13" x14ac:dyDescent="0.2">
      <c r="A242" s="425" t="str">
        <f>Capacidades!L832</f>
        <v xml:space="preserve">       </v>
      </c>
      <c r="B242" s="158" t="str">
        <f>Capacidades!M832</f>
        <v xml:space="preserve">   </v>
      </c>
      <c r="C242" s="157"/>
      <c r="D242" s="11">
        <f>Organización_Modular!F94</f>
        <v>0</v>
      </c>
      <c r="E242" s="11">
        <f>Organización_Modular!G94</f>
        <v>0</v>
      </c>
      <c r="F242" s="11">
        <f>Organización_Modular!H94</f>
        <v>0</v>
      </c>
      <c r="G242" s="11">
        <f>Organización_Modular!I94</f>
        <v>0</v>
      </c>
      <c r="H242" s="12">
        <f>SUM(F242:G242)</f>
        <v>0</v>
      </c>
      <c r="I242" s="12">
        <f>F242*16</f>
        <v>0</v>
      </c>
      <c r="J242" s="12">
        <f>G242*32</f>
        <v>0</v>
      </c>
      <c r="K242" s="12">
        <f>SUM(I242:J242)</f>
        <v>0</v>
      </c>
      <c r="L242" s="445"/>
      <c r="M242" s="87" t="str">
        <f t="shared" si="5"/>
        <v xml:space="preserve">   </v>
      </c>
    </row>
    <row r="243" spans="1:13" x14ac:dyDescent="0.2">
      <c r="A243" s="426"/>
      <c r="B243" s="158" t="str">
        <f>Capacidades!M833</f>
        <v xml:space="preserve">   </v>
      </c>
      <c r="C243" s="157"/>
      <c r="D243" s="13"/>
      <c r="E243" s="13"/>
      <c r="F243" s="13"/>
      <c r="G243" s="13"/>
      <c r="H243" s="14"/>
      <c r="I243" s="14"/>
      <c r="J243" s="14"/>
      <c r="K243" s="14"/>
      <c r="L243" s="446"/>
      <c r="M243" s="87" t="str">
        <f t="shared" si="5"/>
        <v xml:space="preserve">   </v>
      </c>
    </row>
    <row r="244" spans="1:13" x14ac:dyDescent="0.2">
      <c r="A244" s="426"/>
      <c r="B244" s="158" t="str">
        <f>Capacidades!M834</f>
        <v xml:space="preserve">   </v>
      </c>
      <c r="C244" s="157"/>
      <c r="D244" s="13"/>
      <c r="E244" s="13"/>
      <c r="F244" s="13"/>
      <c r="G244" s="13"/>
      <c r="H244" s="14"/>
      <c r="I244" s="14"/>
      <c r="J244" s="14"/>
      <c r="K244" s="14"/>
      <c r="L244" s="446"/>
      <c r="M244" s="87" t="str">
        <f t="shared" si="5"/>
        <v xml:space="preserve">   </v>
      </c>
    </row>
    <row r="245" spans="1:13" x14ac:dyDescent="0.2">
      <c r="A245" s="426"/>
      <c r="B245" s="158" t="str">
        <f>Capacidades!M835</f>
        <v xml:space="preserve">   </v>
      </c>
      <c r="C245" s="157"/>
      <c r="D245" s="13"/>
      <c r="E245" s="13"/>
      <c r="F245" s="13"/>
      <c r="G245" s="13"/>
      <c r="H245" s="14"/>
      <c r="I245" s="14"/>
      <c r="J245" s="14"/>
      <c r="K245" s="14"/>
      <c r="L245" s="446"/>
      <c r="M245" s="87" t="str">
        <f t="shared" si="5"/>
        <v xml:space="preserve">   </v>
      </c>
    </row>
    <row r="246" spans="1:13" x14ac:dyDescent="0.2">
      <c r="A246" s="426"/>
      <c r="B246" s="158" t="str">
        <f>Capacidades!M836</f>
        <v xml:space="preserve">   </v>
      </c>
      <c r="C246" s="157"/>
      <c r="D246" s="13"/>
      <c r="E246" s="13"/>
      <c r="F246" s="14"/>
      <c r="G246" s="14"/>
      <c r="H246" s="14"/>
      <c r="I246" s="14"/>
      <c r="J246" s="14"/>
      <c r="K246" s="14"/>
      <c r="L246" s="446"/>
      <c r="M246" s="87" t="str">
        <f t="shared" si="5"/>
        <v xml:space="preserve">   </v>
      </c>
    </row>
    <row r="247" spans="1:13" x14ac:dyDescent="0.2">
      <c r="A247" s="426"/>
      <c r="B247" s="158" t="str">
        <f>Capacidades!M837</f>
        <v xml:space="preserve">   </v>
      </c>
      <c r="C247" s="157"/>
      <c r="D247" s="13"/>
      <c r="E247" s="13"/>
      <c r="F247" s="14"/>
      <c r="G247" s="14"/>
      <c r="H247" s="14"/>
      <c r="I247" s="14"/>
      <c r="J247" s="14"/>
      <c r="K247" s="14"/>
      <c r="L247" s="446"/>
      <c r="M247" s="87" t="str">
        <f t="shared" si="5"/>
        <v xml:space="preserve">   </v>
      </c>
    </row>
    <row r="248" spans="1:13" x14ac:dyDescent="0.2">
      <c r="A248" s="426"/>
      <c r="B248" s="158" t="str">
        <f>Capacidades!M838</f>
        <v xml:space="preserve">   </v>
      </c>
      <c r="C248" s="157"/>
      <c r="D248" s="13"/>
      <c r="E248" s="13"/>
      <c r="F248" s="14"/>
      <c r="G248" s="14"/>
      <c r="H248" s="14"/>
      <c r="I248" s="14"/>
      <c r="J248" s="14"/>
      <c r="K248" s="14"/>
      <c r="L248" s="446"/>
      <c r="M248" s="87" t="str">
        <f t="shared" si="5"/>
        <v xml:space="preserve">   </v>
      </c>
    </row>
    <row r="249" spans="1:13" x14ac:dyDescent="0.2">
      <c r="A249" s="426"/>
      <c r="B249" s="158" t="str">
        <f>Capacidades!M839</f>
        <v xml:space="preserve">   </v>
      </c>
      <c r="C249" s="157"/>
      <c r="D249" s="13"/>
      <c r="E249" s="13"/>
      <c r="F249" s="14"/>
      <c r="G249" s="14"/>
      <c r="H249" s="14"/>
      <c r="I249" s="14"/>
      <c r="J249" s="14"/>
      <c r="K249" s="14"/>
      <c r="L249" s="446"/>
      <c r="M249" s="87" t="str">
        <f t="shared" si="5"/>
        <v xml:space="preserve">   </v>
      </c>
    </row>
    <row r="250" spans="1:13" x14ac:dyDescent="0.2">
      <c r="A250" s="426"/>
      <c r="B250" s="158" t="str">
        <f>Capacidades!M840</f>
        <v xml:space="preserve">   </v>
      </c>
      <c r="C250" s="157"/>
      <c r="D250" s="13"/>
      <c r="E250" s="13"/>
      <c r="F250" s="13"/>
      <c r="G250" s="13"/>
      <c r="H250" s="14"/>
      <c r="I250" s="14"/>
      <c r="J250" s="14"/>
      <c r="K250" s="14"/>
      <c r="L250" s="446"/>
      <c r="M250" s="87" t="str">
        <f t="shared" si="5"/>
        <v xml:space="preserve">   </v>
      </c>
    </row>
    <row r="251" spans="1:13" x14ac:dyDescent="0.2">
      <c r="A251" s="427"/>
      <c r="B251" s="158" t="str">
        <f>Capacidades!M841</f>
        <v xml:space="preserve">   </v>
      </c>
      <c r="C251" s="160"/>
      <c r="D251" s="13"/>
      <c r="E251" s="13"/>
      <c r="F251" s="13"/>
      <c r="G251" s="13"/>
      <c r="H251" s="14"/>
      <c r="I251" s="14"/>
      <c r="J251" s="14"/>
      <c r="K251" s="14"/>
      <c r="L251" s="446"/>
      <c r="M251" s="87" t="str">
        <f t="shared" si="5"/>
        <v xml:space="preserve">   </v>
      </c>
    </row>
    <row r="252" spans="1:13" x14ac:dyDescent="0.2">
      <c r="A252" s="425" t="str">
        <f>Capacidades!L842</f>
        <v xml:space="preserve">       </v>
      </c>
      <c r="B252" s="158" t="str">
        <f>Capacidades!M842</f>
        <v xml:space="preserve">   </v>
      </c>
      <c r="C252" s="157"/>
      <c r="D252" s="11">
        <f>Organización_Modular!F95</f>
        <v>0</v>
      </c>
      <c r="E252" s="11">
        <f>Organización_Modular!G95</f>
        <v>0</v>
      </c>
      <c r="F252" s="11">
        <f>Organización_Modular!H95</f>
        <v>0</v>
      </c>
      <c r="G252" s="11">
        <f>Organización_Modular!I95</f>
        <v>0</v>
      </c>
      <c r="H252" s="12">
        <f>SUM(F252:G252)</f>
        <v>0</v>
      </c>
      <c r="I252" s="12">
        <f>F252*16</f>
        <v>0</v>
      </c>
      <c r="J252" s="12">
        <f>G252*32</f>
        <v>0</v>
      </c>
      <c r="K252" s="12">
        <f>SUM(I252:J252)</f>
        <v>0</v>
      </c>
      <c r="L252" s="445"/>
      <c r="M252" s="87" t="str">
        <f t="shared" si="5"/>
        <v xml:space="preserve">   </v>
      </c>
    </row>
    <row r="253" spans="1:13" x14ac:dyDescent="0.2">
      <c r="A253" s="426"/>
      <c r="B253" s="158" t="str">
        <f>Capacidades!M843</f>
        <v xml:space="preserve">   </v>
      </c>
      <c r="C253" s="157"/>
      <c r="D253" s="13"/>
      <c r="E253" s="13"/>
      <c r="F253" s="13"/>
      <c r="G253" s="13"/>
      <c r="H253" s="14"/>
      <c r="I253" s="14"/>
      <c r="J253" s="14"/>
      <c r="K253" s="14"/>
      <c r="L253" s="446"/>
      <c r="M253" s="87" t="str">
        <f t="shared" si="5"/>
        <v xml:space="preserve">   </v>
      </c>
    </row>
    <row r="254" spans="1:13" x14ac:dyDescent="0.2">
      <c r="A254" s="426"/>
      <c r="B254" s="158" t="str">
        <f>Capacidades!M844</f>
        <v xml:space="preserve">   </v>
      </c>
      <c r="C254" s="157"/>
      <c r="D254" s="13"/>
      <c r="E254" s="13"/>
      <c r="F254" s="13"/>
      <c r="G254" s="13"/>
      <c r="H254" s="14"/>
      <c r="I254" s="14"/>
      <c r="J254" s="14"/>
      <c r="K254" s="14"/>
      <c r="L254" s="446"/>
      <c r="M254" s="87" t="str">
        <f t="shared" si="5"/>
        <v xml:space="preserve">   </v>
      </c>
    </row>
    <row r="255" spans="1:13" x14ac:dyDescent="0.2">
      <c r="A255" s="426"/>
      <c r="B255" s="158" t="str">
        <f>Capacidades!M845</f>
        <v xml:space="preserve">   </v>
      </c>
      <c r="C255" s="157"/>
      <c r="D255" s="13"/>
      <c r="E255" s="13"/>
      <c r="F255" s="13"/>
      <c r="G255" s="13"/>
      <c r="H255" s="14"/>
      <c r="I255" s="14"/>
      <c r="J255" s="14"/>
      <c r="K255" s="14"/>
      <c r="L255" s="446"/>
      <c r="M255" s="87" t="str">
        <f t="shared" si="5"/>
        <v xml:space="preserve">   </v>
      </c>
    </row>
    <row r="256" spans="1:13" x14ac:dyDescent="0.2">
      <c r="A256" s="426"/>
      <c r="B256" s="158" t="str">
        <f>Capacidades!M846</f>
        <v xml:space="preserve">   </v>
      </c>
      <c r="C256" s="157"/>
      <c r="D256" s="13"/>
      <c r="E256" s="13"/>
      <c r="F256" s="14"/>
      <c r="G256" s="14"/>
      <c r="H256" s="14"/>
      <c r="I256" s="14"/>
      <c r="J256" s="14"/>
      <c r="K256" s="14"/>
      <c r="L256" s="446"/>
      <c r="M256" s="87" t="str">
        <f t="shared" si="5"/>
        <v xml:space="preserve">   </v>
      </c>
    </row>
    <row r="257" spans="1:13" x14ac:dyDescent="0.2">
      <c r="A257" s="426"/>
      <c r="B257" s="158" t="str">
        <f>Capacidades!M847</f>
        <v xml:space="preserve">   </v>
      </c>
      <c r="C257" s="157"/>
      <c r="D257" s="13"/>
      <c r="E257" s="13"/>
      <c r="F257" s="14"/>
      <c r="G257" s="14"/>
      <c r="H257" s="14"/>
      <c r="I257" s="14"/>
      <c r="J257" s="14"/>
      <c r="K257" s="14"/>
      <c r="L257" s="446"/>
      <c r="M257" s="87" t="str">
        <f t="shared" si="5"/>
        <v xml:space="preserve">   </v>
      </c>
    </row>
    <row r="258" spans="1:13" x14ac:dyDescent="0.2">
      <c r="A258" s="426"/>
      <c r="B258" s="158" t="str">
        <f>Capacidades!M848</f>
        <v xml:space="preserve">   </v>
      </c>
      <c r="C258" s="157"/>
      <c r="D258" s="13"/>
      <c r="E258" s="13"/>
      <c r="F258" s="14"/>
      <c r="G258" s="14"/>
      <c r="H258" s="14"/>
      <c r="I258" s="14"/>
      <c r="J258" s="14"/>
      <c r="K258" s="14"/>
      <c r="L258" s="446"/>
      <c r="M258" s="87" t="str">
        <f t="shared" si="5"/>
        <v xml:space="preserve">   </v>
      </c>
    </row>
    <row r="259" spans="1:13" x14ac:dyDescent="0.2">
      <c r="A259" s="426"/>
      <c r="B259" s="158" t="str">
        <f>Capacidades!M849</f>
        <v xml:space="preserve">   </v>
      </c>
      <c r="C259" s="157"/>
      <c r="D259" s="13"/>
      <c r="E259" s="13"/>
      <c r="F259" s="14"/>
      <c r="G259" s="14"/>
      <c r="H259" s="14"/>
      <c r="I259" s="14"/>
      <c r="J259" s="14"/>
      <c r="K259" s="14"/>
      <c r="L259" s="446"/>
      <c r="M259" s="87" t="str">
        <f t="shared" si="5"/>
        <v xml:space="preserve">   </v>
      </c>
    </row>
    <row r="260" spans="1:13" x14ac:dyDescent="0.2">
      <c r="A260" s="426"/>
      <c r="B260" s="158" t="str">
        <f>Capacidades!M850</f>
        <v xml:space="preserve">   </v>
      </c>
      <c r="C260" s="157"/>
      <c r="D260" s="13"/>
      <c r="E260" s="13"/>
      <c r="F260" s="13"/>
      <c r="G260" s="13"/>
      <c r="H260" s="14"/>
      <c r="I260" s="14"/>
      <c r="J260" s="14"/>
      <c r="K260" s="14"/>
      <c r="L260" s="446"/>
      <c r="M260" s="87" t="str">
        <f t="shared" si="5"/>
        <v xml:space="preserve">   </v>
      </c>
    </row>
    <row r="261" spans="1:13" x14ac:dyDescent="0.2">
      <c r="A261" s="427"/>
      <c r="B261" s="158" t="str">
        <f>Capacidades!M851</f>
        <v xml:space="preserve">   </v>
      </c>
      <c r="C261" s="160"/>
      <c r="D261" s="13"/>
      <c r="E261" s="13"/>
      <c r="F261" s="13"/>
      <c r="G261" s="13"/>
      <c r="H261" s="14"/>
      <c r="I261" s="14"/>
      <c r="J261" s="14"/>
      <c r="K261" s="14"/>
      <c r="L261" s="446"/>
      <c r="M261" s="87" t="str">
        <f t="shared" si="5"/>
        <v xml:space="preserve">   </v>
      </c>
    </row>
    <row r="262" spans="1:13" x14ac:dyDescent="0.2">
      <c r="A262" s="425" t="str">
        <f>Capacidades!L852</f>
        <v xml:space="preserve">       </v>
      </c>
      <c r="B262" s="158" t="str">
        <f>Capacidades!M852</f>
        <v xml:space="preserve">   </v>
      </c>
      <c r="C262" s="157"/>
      <c r="D262" s="11">
        <f>Organización_Modular!F96</f>
        <v>0</v>
      </c>
      <c r="E262" s="11">
        <f>Organización_Modular!G96</f>
        <v>0</v>
      </c>
      <c r="F262" s="11">
        <f>Organización_Modular!H96</f>
        <v>0</v>
      </c>
      <c r="G262" s="11">
        <f>Organización_Modular!I96</f>
        <v>0</v>
      </c>
      <c r="H262" s="12">
        <f>SUM(F262:G262)</f>
        <v>0</v>
      </c>
      <c r="I262" s="12">
        <f>F262*16</f>
        <v>0</v>
      </c>
      <c r="J262" s="12">
        <f>G262*32</f>
        <v>0</v>
      </c>
      <c r="K262" s="12">
        <f>SUM(I262:J262)</f>
        <v>0</v>
      </c>
      <c r="L262" s="445"/>
      <c r="M262" s="87" t="str">
        <f t="shared" si="5"/>
        <v xml:space="preserve">   </v>
      </c>
    </row>
    <row r="263" spans="1:13" x14ac:dyDescent="0.2">
      <c r="A263" s="426"/>
      <c r="B263" s="158" t="str">
        <f>Capacidades!M853</f>
        <v xml:space="preserve">   </v>
      </c>
      <c r="C263" s="157"/>
      <c r="D263" s="13"/>
      <c r="E263" s="13"/>
      <c r="F263" s="13"/>
      <c r="G263" s="13"/>
      <c r="H263" s="14"/>
      <c r="I263" s="14"/>
      <c r="J263" s="14"/>
      <c r="K263" s="14"/>
      <c r="L263" s="446"/>
      <c r="M263" s="87" t="str">
        <f t="shared" si="5"/>
        <v xml:space="preserve">   </v>
      </c>
    </row>
    <row r="264" spans="1:13" x14ac:dyDescent="0.2">
      <c r="A264" s="426"/>
      <c r="B264" s="158" t="str">
        <f>Capacidades!M854</f>
        <v xml:space="preserve">   </v>
      </c>
      <c r="C264" s="157"/>
      <c r="D264" s="13"/>
      <c r="E264" s="13"/>
      <c r="F264" s="13"/>
      <c r="G264" s="13"/>
      <c r="H264" s="14"/>
      <c r="I264" s="14"/>
      <c r="J264" s="14"/>
      <c r="K264" s="14"/>
      <c r="L264" s="446"/>
      <c r="M264" s="87" t="str">
        <f t="shared" si="5"/>
        <v xml:space="preserve">   </v>
      </c>
    </row>
    <row r="265" spans="1:13" x14ac:dyDescent="0.2">
      <c r="A265" s="426"/>
      <c r="B265" s="158" t="str">
        <f>Capacidades!M855</f>
        <v xml:space="preserve">   </v>
      </c>
      <c r="C265" s="157"/>
      <c r="D265" s="13"/>
      <c r="E265" s="13"/>
      <c r="F265" s="13"/>
      <c r="G265" s="13"/>
      <c r="H265" s="14"/>
      <c r="I265" s="14"/>
      <c r="J265" s="14"/>
      <c r="K265" s="14"/>
      <c r="L265" s="446"/>
      <c r="M265" s="87" t="str">
        <f t="shared" si="5"/>
        <v xml:space="preserve">   </v>
      </c>
    </row>
    <row r="266" spans="1:13" x14ac:dyDescent="0.2">
      <c r="A266" s="426"/>
      <c r="B266" s="158" t="str">
        <f>Capacidades!M856</f>
        <v xml:space="preserve">   </v>
      </c>
      <c r="C266" s="157"/>
      <c r="D266" s="13"/>
      <c r="E266" s="13"/>
      <c r="F266" s="14"/>
      <c r="G266" s="14"/>
      <c r="H266" s="14"/>
      <c r="I266" s="14"/>
      <c r="J266" s="14"/>
      <c r="K266" s="14"/>
      <c r="L266" s="446"/>
      <c r="M266" s="87" t="str">
        <f t="shared" si="5"/>
        <v xml:space="preserve">   </v>
      </c>
    </row>
    <row r="267" spans="1:13" x14ac:dyDescent="0.2">
      <c r="A267" s="426"/>
      <c r="B267" s="158" t="str">
        <f>Capacidades!M857</f>
        <v xml:space="preserve">   </v>
      </c>
      <c r="C267" s="157"/>
      <c r="D267" s="13"/>
      <c r="E267" s="13"/>
      <c r="F267" s="14"/>
      <c r="G267" s="14"/>
      <c r="H267" s="14"/>
      <c r="I267" s="14"/>
      <c r="J267" s="14"/>
      <c r="K267" s="14"/>
      <c r="L267" s="446"/>
      <c r="M267" s="87" t="str">
        <f t="shared" si="5"/>
        <v xml:space="preserve">   </v>
      </c>
    </row>
    <row r="268" spans="1:13" x14ac:dyDescent="0.2">
      <c r="A268" s="426"/>
      <c r="B268" s="158" t="str">
        <f>Capacidades!M858</f>
        <v xml:space="preserve">   </v>
      </c>
      <c r="C268" s="157"/>
      <c r="D268" s="13"/>
      <c r="E268" s="13"/>
      <c r="F268" s="14"/>
      <c r="G268" s="14"/>
      <c r="H268" s="14"/>
      <c r="I268" s="14"/>
      <c r="J268" s="14"/>
      <c r="K268" s="14"/>
      <c r="L268" s="446"/>
      <c r="M268" s="87" t="str">
        <f t="shared" si="5"/>
        <v xml:space="preserve">   </v>
      </c>
    </row>
    <row r="269" spans="1:13" x14ac:dyDescent="0.2">
      <c r="A269" s="426"/>
      <c r="B269" s="158" t="str">
        <f>Capacidades!M859</f>
        <v xml:space="preserve">   </v>
      </c>
      <c r="C269" s="157"/>
      <c r="D269" s="13"/>
      <c r="E269" s="13"/>
      <c r="F269" s="14"/>
      <c r="G269" s="14"/>
      <c r="H269" s="14"/>
      <c r="I269" s="14"/>
      <c r="J269" s="14"/>
      <c r="K269" s="14"/>
      <c r="L269" s="446"/>
      <c r="M269" s="87" t="str">
        <f t="shared" si="5"/>
        <v xml:space="preserve">   </v>
      </c>
    </row>
    <row r="270" spans="1:13" x14ac:dyDescent="0.2">
      <c r="A270" s="426"/>
      <c r="B270" s="158" t="str">
        <f>Capacidades!M860</f>
        <v xml:space="preserve">   </v>
      </c>
      <c r="C270" s="157"/>
      <c r="D270" s="13"/>
      <c r="E270" s="13"/>
      <c r="F270" s="13"/>
      <c r="G270" s="13"/>
      <c r="H270" s="14"/>
      <c r="I270" s="14"/>
      <c r="J270" s="14"/>
      <c r="K270" s="14"/>
      <c r="L270" s="446"/>
      <c r="M270" s="87" t="str">
        <f t="shared" si="5"/>
        <v xml:space="preserve">   </v>
      </c>
    </row>
    <row r="271" spans="1:13" x14ac:dyDescent="0.2">
      <c r="A271" s="427"/>
      <c r="B271" s="158" t="str">
        <f>Capacidades!M861</f>
        <v xml:space="preserve">   </v>
      </c>
      <c r="C271" s="160"/>
      <c r="D271" s="13"/>
      <c r="E271" s="13"/>
      <c r="F271" s="13"/>
      <c r="G271" s="13"/>
      <c r="H271" s="14"/>
      <c r="I271" s="14"/>
      <c r="J271" s="14"/>
      <c r="K271" s="14"/>
      <c r="L271" s="446"/>
      <c r="M271" s="87" t="str">
        <f t="shared" si="5"/>
        <v xml:space="preserve">   </v>
      </c>
    </row>
    <row r="272" spans="1:13" x14ac:dyDescent="0.2">
      <c r="A272" s="425" t="str">
        <f>Capacidades!L862</f>
        <v xml:space="preserve">       </v>
      </c>
      <c r="B272" s="158" t="str">
        <f>Capacidades!M862</f>
        <v xml:space="preserve">   </v>
      </c>
      <c r="C272" s="157"/>
      <c r="D272" s="11">
        <f>Organización_Modular!F97</f>
        <v>0</v>
      </c>
      <c r="E272" s="11">
        <f>Organización_Modular!G97</f>
        <v>0</v>
      </c>
      <c r="F272" s="11">
        <f>Organización_Modular!H97</f>
        <v>0</v>
      </c>
      <c r="G272" s="11">
        <f>Organización_Modular!I97</f>
        <v>0</v>
      </c>
      <c r="H272" s="12">
        <f>SUM(F272:G272)</f>
        <v>0</v>
      </c>
      <c r="I272" s="12">
        <f>F272*16</f>
        <v>0</v>
      </c>
      <c r="J272" s="12">
        <f>G272*32</f>
        <v>0</v>
      </c>
      <c r="K272" s="12">
        <f>SUM(I272:J272)</f>
        <v>0</v>
      </c>
      <c r="L272" s="445"/>
      <c r="M272" s="87" t="str">
        <f t="shared" si="5"/>
        <v xml:space="preserve">   </v>
      </c>
    </row>
    <row r="273" spans="1:13" x14ac:dyDescent="0.2">
      <c r="A273" s="426"/>
      <c r="B273" s="158" t="str">
        <f>Capacidades!M863</f>
        <v xml:space="preserve">   </v>
      </c>
      <c r="C273" s="157"/>
      <c r="D273" s="13"/>
      <c r="E273" s="13"/>
      <c r="F273" s="13"/>
      <c r="G273" s="13"/>
      <c r="H273" s="14"/>
      <c r="I273" s="14"/>
      <c r="J273" s="14"/>
      <c r="K273" s="14"/>
      <c r="L273" s="446"/>
      <c r="M273" s="87" t="str">
        <f t="shared" si="5"/>
        <v xml:space="preserve">   </v>
      </c>
    </row>
    <row r="274" spans="1:13" x14ac:dyDescent="0.2">
      <c r="A274" s="426"/>
      <c r="B274" s="158" t="str">
        <f>Capacidades!M864</f>
        <v xml:space="preserve">   </v>
      </c>
      <c r="C274" s="157"/>
      <c r="D274" s="13"/>
      <c r="E274" s="13"/>
      <c r="F274" s="13"/>
      <c r="G274" s="13"/>
      <c r="H274" s="14"/>
      <c r="I274" s="14"/>
      <c r="J274" s="14"/>
      <c r="K274" s="14"/>
      <c r="L274" s="446"/>
      <c r="M274" s="87" t="str">
        <f t="shared" si="5"/>
        <v xml:space="preserve">   </v>
      </c>
    </row>
    <row r="275" spans="1:13" x14ac:dyDescent="0.2">
      <c r="A275" s="426"/>
      <c r="B275" s="158" t="str">
        <f>Capacidades!M865</f>
        <v xml:space="preserve">   </v>
      </c>
      <c r="C275" s="157"/>
      <c r="D275" s="13"/>
      <c r="E275" s="13"/>
      <c r="F275" s="13"/>
      <c r="G275" s="13"/>
      <c r="H275" s="14"/>
      <c r="I275" s="14"/>
      <c r="J275" s="14"/>
      <c r="K275" s="14"/>
      <c r="L275" s="446"/>
      <c r="M275" s="87" t="str">
        <f t="shared" si="5"/>
        <v xml:space="preserve">   </v>
      </c>
    </row>
    <row r="276" spans="1:13" x14ac:dyDescent="0.2">
      <c r="A276" s="426"/>
      <c r="B276" s="158" t="str">
        <f>Capacidades!M866</f>
        <v xml:space="preserve">   </v>
      </c>
      <c r="C276" s="157"/>
      <c r="D276" s="13"/>
      <c r="E276" s="13"/>
      <c r="F276" s="14"/>
      <c r="G276" s="14"/>
      <c r="H276" s="14"/>
      <c r="I276" s="14"/>
      <c r="J276" s="14"/>
      <c r="K276" s="14"/>
      <c r="L276" s="446"/>
      <c r="M276" s="87" t="str">
        <f t="shared" si="5"/>
        <v xml:space="preserve">   </v>
      </c>
    </row>
    <row r="277" spans="1:13" x14ac:dyDescent="0.2">
      <c r="A277" s="426"/>
      <c r="B277" s="158" t="str">
        <f>Capacidades!M867</f>
        <v xml:space="preserve">   </v>
      </c>
      <c r="C277" s="157"/>
      <c r="D277" s="13"/>
      <c r="E277" s="13"/>
      <c r="F277" s="14"/>
      <c r="G277" s="14"/>
      <c r="H277" s="14"/>
      <c r="I277" s="14"/>
      <c r="J277" s="14"/>
      <c r="K277" s="14"/>
      <c r="L277" s="446"/>
      <c r="M277" s="87" t="str">
        <f t="shared" si="5"/>
        <v xml:space="preserve">   </v>
      </c>
    </row>
    <row r="278" spans="1:13" x14ac:dyDescent="0.2">
      <c r="A278" s="426"/>
      <c r="B278" s="158" t="str">
        <f>Capacidades!M868</f>
        <v xml:space="preserve">   </v>
      </c>
      <c r="C278" s="157"/>
      <c r="D278" s="13"/>
      <c r="E278" s="13"/>
      <c r="F278" s="14"/>
      <c r="G278" s="14"/>
      <c r="H278" s="14"/>
      <c r="I278" s="14"/>
      <c r="J278" s="14"/>
      <c r="K278" s="14"/>
      <c r="L278" s="446"/>
      <c r="M278" s="87" t="str">
        <f t="shared" si="5"/>
        <v xml:space="preserve">   </v>
      </c>
    </row>
    <row r="279" spans="1:13" x14ac:dyDescent="0.2">
      <c r="A279" s="426"/>
      <c r="B279" s="158" t="str">
        <f>Capacidades!M869</f>
        <v xml:space="preserve">   </v>
      </c>
      <c r="C279" s="157"/>
      <c r="D279" s="13"/>
      <c r="E279" s="13"/>
      <c r="F279" s="14"/>
      <c r="G279" s="14"/>
      <c r="H279" s="14"/>
      <c r="I279" s="14"/>
      <c r="J279" s="14"/>
      <c r="K279" s="14"/>
      <c r="L279" s="446"/>
      <c r="M279" s="87" t="str">
        <f t="shared" si="5"/>
        <v xml:space="preserve">   </v>
      </c>
    </row>
    <row r="280" spans="1:13" x14ac:dyDescent="0.2">
      <c r="A280" s="426"/>
      <c r="B280" s="158" t="str">
        <f>Capacidades!M870</f>
        <v xml:space="preserve">   </v>
      </c>
      <c r="C280" s="157"/>
      <c r="D280" s="13"/>
      <c r="E280" s="13"/>
      <c r="F280" s="13"/>
      <c r="G280" s="13"/>
      <c r="H280" s="14"/>
      <c r="I280" s="14"/>
      <c r="J280" s="14"/>
      <c r="K280" s="14"/>
      <c r="L280" s="446"/>
      <c r="M280" s="87" t="str">
        <f t="shared" si="5"/>
        <v xml:space="preserve">   </v>
      </c>
    </row>
    <row r="281" spans="1:13" x14ac:dyDescent="0.2">
      <c r="A281" s="427"/>
      <c r="B281" s="158" t="str">
        <f>Capacidades!M871</f>
        <v xml:space="preserve">   </v>
      </c>
      <c r="C281" s="160"/>
      <c r="D281" s="13"/>
      <c r="E281" s="13"/>
      <c r="F281" s="13"/>
      <c r="G281" s="13"/>
      <c r="H281" s="14"/>
      <c r="I281" s="14"/>
      <c r="J281" s="14"/>
      <c r="K281" s="14"/>
      <c r="L281" s="446"/>
      <c r="M281" s="87" t="str">
        <f t="shared" si="5"/>
        <v xml:space="preserve">   </v>
      </c>
    </row>
    <row r="282" spans="1:13" x14ac:dyDescent="0.2">
      <c r="A282" s="425" t="str">
        <f>Capacidades!L872</f>
        <v xml:space="preserve">       </v>
      </c>
      <c r="B282" s="158" t="str">
        <f>Capacidades!M872</f>
        <v xml:space="preserve">   </v>
      </c>
      <c r="C282" s="157"/>
      <c r="D282" s="11">
        <f>Organización_Modular!F98</f>
        <v>0</v>
      </c>
      <c r="E282" s="11">
        <f>Organización_Modular!G98</f>
        <v>0</v>
      </c>
      <c r="F282" s="11">
        <f>Organización_Modular!H98</f>
        <v>0</v>
      </c>
      <c r="G282" s="11">
        <f>Organización_Modular!I98</f>
        <v>0</v>
      </c>
      <c r="H282" s="12">
        <f>SUM(F282:G282)</f>
        <v>0</v>
      </c>
      <c r="I282" s="12">
        <f>F282*16</f>
        <v>0</v>
      </c>
      <c r="J282" s="12">
        <f>G282*32</f>
        <v>0</v>
      </c>
      <c r="K282" s="12">
        <f>SUM(I282:J282)</f>
        <v>0</v>
      </c>
      <c r="L282" s="445"/>
      <c r="M282" s="87" t="str">
        <f t="shared" si="5"/>
        <v xml:space="preserve">   </v>
      </c>
    </row>
    <row r="283" spans="1:13" x14ac:dyDescent="0.2">
      <c r="A283" s="426"/>
      <c r="B283" s="158" t="str">
        <f>Capacidades!M873</f>
        <v xml:space="preserve">   </v>
      </c>
      <c r="C283" s="157"/>
      <c r="D283" s="13"/>
      <c r="E283" s="13"/>
      <c r="F283" s="13"/>
      <c r="G283" s="13"/>
      <c r="H283" s="14"/>
      <c r="I283" s="14"/>
      <c r="J283" s="14"/>
      <c r="K283" s="14"/>
      <c r="L283" s="446"/>
      <c r="M283" s="87" t="str">
        <f t="shared" si="5"/>
        <v xml:space="preserve">   </v>
      </c>
    </row>
    <row r="284" spans="1:13" x14ac:dyDescent="0.2">
      <c r="A284" s="426"/>
      <c r="B284" s="158" t="str">
        <f>Capacidades!M874</f>
        <v xml:space="preserve">   </v>
      </c>
      <c r="C284" s="157"/>
      <c r="D284" s="13"/>
      <c r="E284" s="13"/>
      <c r="F284" s="13"/>
      <c r="G284" s="13"/>
      <c r="H284" s="14"/>
      <c r="I284" s="14"/>
      <c r="J284" s="14"/>
      <c r="K284" s="14"/>
      <c r="L284" s="446"/>
      <c r="M284" s="87" t="str">
        <f t="shared" si="5"/>
        <v xml:space="preserve">   </v>
      </c>
    </row>
    <row r="285" spans="1:13" x14ac:dyDescent="0.2">
      <c r="A285" s="426"/>
      <c r="B285" s="158" t="str">
        <f>Capacidades!M875</f>
        <v xml:space="preserve">   </v>
      </c>
      <c r="C285" s="157"/>
      <c r="D285" s="13"/>
      <c r="E285" s="13"/>
      <c r="F285" s="13"/>
      <c r="G285" s="13"/>
      <c r="H285" s="14"/>
      <c r="I285" s="14"/>
      <c r="J285" s="14"/>
      <c r="K285" s="14"/>
      <c r="L285" s="446"/>
      <c r="M285" s="87" t="str">
        <f t="shared" si="5"/>
        <v xml:space="preserve">   </v>
      </c>
    </row>
    <row r="286" spans="1:13" x14ac:dyDescent="0.2">
      <c r="A286" s="426"/>
      <c r="B286" s="158" t="str">
        <f>Capacidades!M876</f>
        <v xml:space="preserve">   </v>
      </c>
      <c r="C286" s="157"/>
      <c r="D286" s="13"/>
      <c r="E286" s="13"/>
      <c r="F286" s="14"/>
      <c r="G286" s="14"/>
      <c r="H286" s="14"/>
      <c r="I286" s="14"/>
      <c r="J286" s="14"/>
      <c r="K286" s="14"/>
      <c r="L286" s="446"/>
      <c r="M286" s="87" t="str">
        <f t="shared" si="5"/>
        <v xml:space="preserve">   </v>
      </c>
    </row>
    <row r="287" spans="1:13" x14ac:dyDescent="0.2">
      <c r="A287" s="426"/>
      <c r="B287" s="158" t="str">
        <f>Capacidades!M877</f>
        <v xml:space="preserve">   </v>
      </c>
      <c r="C287" s="157"/>
      <c r="D287" s="13"/>
      <c r="E287" s="13"/>
      <c r="F287" s="14"/>
      <c r="G287" s="14"/>
      <c r="H287" s="14"/>
      <c r="I287" s="14"/>
      <c r="J287" s="14"/>
      <c r="K287" s="14"/>
      <c r="L287" s="446"/>
      <c r="M287" s="87" t="str">
        <f t="shared" ref="M287:M321" si="6">B287</f>
        <v xml:space="preserve">   </v>
      </c>
    </row>
    <row r="288" spans="1:13" x14ac:dyDescent="0.2">
      <c r="A288" s="426"/>
      <c r="B288" s="158" t="str">
        <f>Capacidades!M878</f>
        <v xml:space="preserve">   </v>
      </c>
      <c r="C288" s="157"/>
      <c r="D288" s="13"/>
      <c r="E288" s="13"/>
      <c r="F288" s="14"/>
      <c r="G288" s="14"/>
      <c r="H288" s="14"/>
      <c r="I288" s="14"/>
      <c r="J288" s="14"/>
      <c r="K288" s="14"/>
      <c r="L288" s="446"/>
      <c r="M288" s="87" t="str">
        <f t="shared" si="6"/>
        <v xml:space="preserve">   </v>
      </c>
    </row>
    <row r="289" spans="1:13" x14ac:dyDescent="0.2">
      <c r="A289" s="426"/>
      <c r="B289" s="158" t="str">
        <f>Capacidades!M879</f>
        <v xml:space="preserve">   </v>
      </c>
      <c r="C289" s="157"/>
      <c r="D289" s="13"/>
      <c r="E289" s="13"/>
      <c r="F289" s="14"/>
      <c r="G289" s="14"/>
      <c r="H289" s="14"/>
      <c r="I289" s="14"/>
      <c r="J289" s="14"/>
      <c r="K289" s="14"/>
      <c r="L289" s="446"/>
      <c r="M289" s="87" t="str">
        <f t="shared" si="6"/>
        <v xml:space="preserve">   </v>
      </c>
    </row>
    <row r="290" spans="1:13" x14ac:dyDescent="0.2">
      <c r="A290" s="426"/>
      <c r="B290" s="158" t="str">
        <f>Capacidades!M880</f>
        <v xml:space="preserve">   </v>
      </c>
      <c r="C290" s="157"/>
      <c r="D290" s="13"/>
      <c r="E290" s="13"/>
      <c r="F290" s="13"/>
      <c r="G290" s="13"/>
      <c r="H290" s="14"/>
      <c r="I290" s="14"/>
      <c r="J290" s="14"/>
      <c r="K290" s="14"/>
      <c r="L290" s="446"/>
      <c r="M290" s="87" t="str">
        <f t="shared" si="6"/>
        <v xml:space="preserve">   </v>
      </c>
    </row>
    <row r="291" spans="1:13" x14ac:dyDescent="0.2">
      <c r="A291" s="427"/>
      <c r="B291" s="158" t="str">
        <f>Capacidades!M881</f>
        <v xml:space="preserve">   </v>
      </c>
      <c r="C291" s="160"/>
      <c r="D291" s="13"/>
      <c r="E291" s="13"/>
      <c r="F291" s="13"/>
      <c r="G291" s="13"/>
      <c r="H291" s="14"/>
      <c r="I291" s="14"/>
      <c r="J291" s="14"/>
      <c r="K291" s="14"/>
      <c r="L291" s="446"/>
      <c r="M291" s="87" t="str">
        <f t="shared" si="6"/>
        <v xml:space="preserve">   </v>
      </c>
    </row>
    <row r="292" spans="1:13" x14ac:dyDescent="0.2">
      <c r="A292" s="425" t="str">
        <f>Capacidades!L882</f>
        <v xml:space="preserve">       </v>
      </c>
      <c r="B292" s="158" t="str">
        <f>Capacidades!M882</f>
        <v xml:space="preserve">   </v>
      </c>
      <c r="C292" s="157"/>
      <c r="D292" s="11">
        <f>Organización_Modular!F99</f>
        <v>0</v>
      </c>
      <c r="E292" s="11">
        <f>Organización_Modular!G99</f>
        <v>0</v>
      </c>
      <c r="F292" s="11">
        <f>Organización_Modular!H99</f>
        <v>0</v>
      </c>
      <c r="G292" s="11">
        <f>Organización_Modular!I99</f>
        <v>0</v>
      </c>
      <c r="H292" s="12">
        <f>SUM(F292:G292)</f>
        <v>0</v>
      </c>
      <c r="I292" s="12">
        <f>F292*16</f>
        <v>0</v>
      </c>
      <c r="J292" s="12">
        <f>G292*32</f>
        <v>0</v>
      </c>
      <c r="K292" s="12">
        <f>SUM(I292:J292)</f>
        <v>0</v>
      </c>
      <c r="L292" s="445"/>
      <c r="M292" s="87" t="str">
        <f t="shared" si="6"/>
        <v xml:space="preserve">   </v>
      </c>
    </row>
    <row r="293" spans="1:13" x14ac:dyDescent="0.2">
      <c r="A293" s="426"/>
      <c r="B293" s="158" t="str">
        <f>Capacidades!M883</f>
        <v xml:space="preserve">   </v>
      </c>
      <c r="C293" s="157"/>
      <c r="D293" s="13"/>
      <c r="E293" s="13"/>
      <c r="F293" s="13"/>
      <c r="G293" s="13"/>
      <c r="H293" s="14"/>
      <c r="I293" s="14"/>
      <c r="J293" s="14"/>
      <c r="K293" s="14"/>
      <c r="L293" s="446"/>
      <c r="M293" s="87" t="str">
        <f t="shared" si="6"/>
        <v xml:space="preserve">   </v>
      </c>
    </row>
    <row r="294" spans="1:13" x14ac:dyDescent="0.2">
      <c r="A294" s="426"/>
      <c r="B294" s="158" t="str">
        <f>Capacidades!M884</f>
        <v xml:space="preserve">   </v>
      </c>
      <c r="C294" s="157"/>
      <c r="D294" s="13"/>
      <c r="E294" s="13"/>
      <c r="F294" s="13"/>
      <c r="G294" s="13"/>
      <c r="H294" s="14"/>
      <c r="I294" s="14"/>
      <c r="J294" s="14"/>
      <c r="K294" s="14"/>
      <c r="L294" s="446"/>
      <c r="M294" s="87" t="str">
        <f t="shared" si="6"/>
        <v xml:space="preserve">   </v>
      </c>
    </row>
    <row r="295" spans="1:13" x14ac:dyDescent="0.2">
      <c r="A295" s="426"/>
      <c r="B295" s="158" t="str">
        <f>Capacidades!M885</f>
        <v xml:space="preserve">   </v>
      </c>
      <c r="C295" s="157"/>
      <c r="D295" s="13"/>
      <c r="E295" s="13"/>
      <c r="F295" s="13"/>
      <c r="G295" s="13"/>
      <c r="H295" s="14"/>
      <c r="I295" s="14"/>
      <c r="J295" s="14"/>
      <c r="K295" s="14"/>
      <c r="L295" s="446"/>
      <c r="M295" s="87" t="str">
        <f t="shared" si="6"/>
        <v xml:space="preserve">   </v>
      </c>
    </row>
    <row r="296" spans="1:13" x14ac:dyDescent="0.2">
      <c r="A296" s="426"/>
      <c r="B296" s="158" t="str">
        <f>Capacidades!M886</f>
        <v xml:space="preserve">   </v>
      </c>
      <c r="C296" s="157"/>
      <c r="D296" s="13"/>
      <c r="E296" s="13"/>
      <c r="F296" s="14"/>
      <c r="G296" s="14"/>
      <c r="H296" s="14"/>
      <c r="I296" s="14"/>
      <c r="J296" s="14"/>
      <c r="K296" s="14"/>
      <c r="L296" s="446"/>
      <c r="M296" s="87" t="str">
        <f t="shared" si="6"/>
        <v xml:space="preserve">   </v>
      </c>
    </row>
    <row r="297" spans="1:13" x14ac:dyDescent="0.2">
      <c r="A297" s="426"/>
      <c r="B297" s="158" t="str">
        <f>Capacidades!M887</f>
        <v xml:space="preserve">   </v>
      </c>
      <c r="C297" s="157"/>
      <c r="D297" s="13"/>
      <c r="E297" s="13"/>
      <c r="F297" s="14"/>
      <c r="G297" s="14"/>
      <c r="H297" s="14"/>
      <c r="I297" s="14"/>
      <c r="J297" s="14"/>
      <c r="K297" s="14"/>
      <c r="L297" s="446"/>
      <c r="M297" s="87" t="str">
        <f t="shared" si="6"/>
        <v xml:space="preserve">   </v>
      </c>
    </row>
    <row r="298" spans="1:13" x14ac:dyDescent="0.2">
      <c r="A298" s="426"/>
      <c r="B298" s="158" t="str">
        <f>Capacidades!M888</f>
        <v xml:space="preserve">   </v>
      </c>
      <c r="C298" s="157"/>
      <c r="D298" s="13"/>
      <c r="E298" s="13"/>
      <c r="F298" s="14"/>
      <c r="G298" s="14"/>
      <c r="H298" s="14"/>
      <c r="I298" s="14"/>
      <c r="J298" s="14"/>
      <c r="K298" s="14"/>
      <c r="L298" s="446"/>
      <c r="M298" s="87" t="str">
        <f t="shared" si="6"/>
        <v xml:space="preserve">   </v>
      </c>
    </row>
    <row r="299" spans="1:13" x14ac:dyDescent="0.2">
      <c r="A299" s="426"/>
      <c r="B299" s="158" t="str">
        <f>Capacidades!M889</f>
        <v xml:space="preserve">   </v>
      </c>
      <c r="C299" s="157"/>
      <c r="D299" s="13"/>
      <c r="E299" s="13"/>
      <c r="F299" s="14"/>
      <c r="G299" s="14"/>
      <c r="H299" s="14"/>
      <c r="I299" s="14"/>
      <c r="J299" s="14"/>
      <c r="K299" s="14"/>
      <c r="L299" s="446"/>
      <c r="M299" s="87" t="str">
        <f t="shared" si="6"/>
        <v xml:space="preserve">   </v>
      </c>
    </row>
    <row r="300" spans="1:13" x14ac:dyDescent="0.2">
      <c r="A300" s="426"/>
      <c r="B300" s="158" t="str">
        <f>Capacidades!M890</f>
        <v xml:space="preserve">   </v>
      </c>
      <c r="C300" s="157"/>
      <c r="D300" s="13"/>
      <c r="E300" s="13"/>
      <c r="F300" s="13"/>
      <c r="G300" s="13"/>
      <c r="H300" s="14"/>
      <c r="I300" s="14"/>
      <c r="J300" s="14"/>
      <c r="K300" s="14"/>
      <c r="L300" s="446"/>
      <c r="M300" s="87" t="str">
        <f t="shared" si="6"/>
        <v xml:space="preserve">   </v>
      </c>
    </row>
    <row r="301" spans="1:13" x14ac:dyDescent="0.2">
      <c r="A301" s="427"/>
      <c r="B301" s="158" t="str">
        <f>Capacidades!M891</f>
        <v xml:space="preserve">   </v>
      </c>
      <c r="C301" s="160"/>
      <c r="D301" s="13"/>
      <c r="E301" s="13"/>
      <c r="F301" s="13"/>
      <c r="G301" s="13"/>
      <c r="H301" s="14"/>
      <c r="I301" s="14"/>
      <c r="J301" s="14"/>
      <c r="K301" s="14"/>
      <c r="L301" s="446"/>
      <c r="M301" s="87" t="str">
        <f t="shared" si="6"/>
        <v xml:space="preserve">   </v>
      </c>
    </row>
    <row r="302" spans="1:13" x14ac:dyDescent="0.2">
      <c r="A302" s="425" t="str">
        <f>Capacidades!L892</f>
        <v xml:space="preserve">       </v>
      </c>
      <c r="B302" s="158" t="str">
        <f>Capacidades!M892</f>
        <v xml:space="preserve">   </v>
      </c>
      <c r="C302" s="157"/>
      <c r="D302" s="11">
        <f>Organización_Modular!F100</f>
        <v>0</v>
      </c>
      <c r="E302" s="11">
        <f>Organización_Modular!G100</f>
        <v>0</v>
      </c>
      <c r="F302" s="11">
        <f>Organización_Modular!H100</f>
        <v>0</v>
      </c>
      <c r="G302" s="11">
        <f>Organización_Modular!I100</f>
        <v>0</v>
      </c>
      <c r="H302" s="12">
        <f>SUM(F302:G302)</f>
        <v>0</v>
      </c>
      <c r="I302" s="12">
        <f>F302*16</f>
        <v>0</v>
      </c>
      <c r="J302" s="12">
        <f>G302*32</f>
        <v>0</v>
      </c>
      <c r="K302" s="12">
        <f>SUM(I302:J302)</f>
        <v>0</v>
      </c>
      <c r="L302" s="445"/>
      <c r="M302" s="87" t="str">
        <f t="shared" si="6"/>
        <v xml:space="preserve">   </v>
      </c>
    </row>
    <row r="303" spans="1:13" x14ac:dyDescent="0.2">
      <c r="A303" s="426"/>
      <c r="B303" s="158" t="str">
        <f>Capacidades!M893</f>
        <v xml:space="preserve">   </v>
      </c>
      <c r="C303" s="157"/>
      <c r="D303" s="13"/>
      <c r="E303" s="13"/>
      <c r="F303" s="13"/>
      <c r="G303" s="13"/>
      <c r="H303" s="14"/>
      <c r="I303" s="14"/>
      <c r="J303" s="14"/>
      <c r="K303" s="14"/>
      <c r="L303" s="446"/>
      <c r="M303" s="87" t="str">
        <f t="shared" si="6"/>
        <v xml:space="preserve">   </v>
      </c>
    </row>
    <row r="304" spans="1:13" x14ac:dyDescent="0.2">
      <c r="A304" s="426"/>
      <c r="B304" s="158" t="str">
        <f>Capacidades!M894</f>
        <v xml:space="preserve">   </v>
      </c>
      <c r="C304" s="157"/>
      <c r="D304" s="13"/>
      <c r="E304" s="13"/>
      <c r="F304" s="13"/>
      <c r="G304" s="13"/>
      <c r="H304" s="14"/>
      <c r="I304" s="14"/>
      <c r="J304" s="14"/>
      <c r="K304" s="14"/>
      <c r="L304" s="446"/>
      <c r="M304" s="87" t="str">
        <f t="shared" si="6"/>
        <v xml:space="preserve">   </v>
      </c>
    </row>
    <row r="305" spans="1:13" x14ac:dyDescent="0.2">
      <c r="A305" s="426"/>
      <c r="B305" s="158" t="str">
        <f>Capacidades!M895</f>
        <v xml:space="preserve">   </v>
      </c>
      <c r="C305" s="157"/>
      <c r="D305" s="13"/>
      <c r="E305" s="13"/>
      <c r="F305" s="13"/>
      <c r="G305" s="13"/>
      <c r="H305" s="14"/>
      <c r="I305" s="14"/>
      <c r="J305" s="14"/>
      <c r="K305" s="14"/>
      <c r="L305" s="446"/>
      <c r="M305" s="87" t="str">
        <f t="shared" si="6"/>
        <v xml:space="preserve">   </v>
      </c>
    </row>
    <row r="306" spans="1:13" x14ac:dyDescent="0.2">
      <c r="A306" s="426"/>
      <c r="B306" s="158" t="str">
        <f>Capacidades!M896</f>
        <v xml:space="preserve">   </v>
      </c>
      <c r="C306" s="157"/>
      <c r="D306" s="13"/>
      <c r="E306" s="13"/>
      <c r="F306" s="14"/>
      <c r="G306" s="14"/>
      <c r="H306" s="14"/>
      <c r="I306" s="14"/>
      <c r="J306" s="14"/>
      <c r="K306" s="14"/>
      <c r="L306" s="446"/>
      <c r="M306" s="87" t="str">
        <f t="shared" si="6"/>
        <v xml:space="preserve">   </v>
      </c>
    </row>
    <row r="307" spans="1:13" x14ac:dyDescent="0.2">
      <c r="A307" s="426"/>
      <c r="B307" s="158" t="str">
        <f>Capacidades!M897</f>
        <v xml:space="preserve">   </v>
      </c>
      <c r="C307" s="157"/>
      <c r="D307" s="13"/>
      <c r="E307" s="13"/>
      <c r="F307" s="14"/>
      <c r="G307" s="14"/>
      <c r="H307" s="14"/>
      <c r="I307" s="14"/>
      <c r="J307" s="14"/>
      <c r="K307" s="14"/>
      <c r="L307" s="446"/>
      <c r="M307" s="87" t="str">
        <f t="shared" si="6"/>
        <v xml:space="preserve">   </v>
      </c>
    </row>
    <row r="308" spans="1:13" x14ac:dyDescent="0.2">
      <c r="A308" s="426"/>
      <c r="B308" s="158" t="str">
        <f>Capacidades!M898</f>
        <v xml:space="preserve">   </v>
      </c>
      <c r="C308" s="157"/>
      <c r="D308" s="13"/>
      <c r="E308" s="13"/>
      <c r="F308" s="14"/>
      <c r="G308" s="14"/>
      <c r="H308" s="14"/>
      <c r="I308" s="14"/>
      <c r="J308" s="14"/>
      <c r="K308" s="14"/>
      <c r="L308" s="446"/>
      <c r="M308" s="87" t="str">
        <f t="shared" si="6"/>
        <v xml:space="preserve">   </v>
      </c>
    </row>
    <row r="309" spans="1:13" x14ac:dyDescent="0.2">
      <c r="A309" s="426"/>
      <c r="B309" s="158" t="str">
        <f>Capacidades!M899</f>
        <v xml:space="preserve">   </v>
      </c>
      <c r="C309" s="157"/>
      <c r="D309" s="13"/>
      <c r="E309" s="13"/>
      <c r="F309" s="14"/>
      <c r="G309" s="14"/>
      <c r="H309" s="14"/>
      <c r="I309" s="14"/>
      <c r="J309" s="14"/>
      <c r="K309" s="14"/>
      <c r="L309" s="446"/>
      <c r="M309" s="87" t="str">
        <f t="shared" si="6"/>
        <v xml:space="preserve">   </v>
      </c>
    </row>
    <row r="310" spans="1:13" x14ac:dyDescent="0.2">
      <c r="A310" s="426"/>
      <c r="B310" s="158" t="str">
        <f>Capacidades!M900</f>
        <v xml:space="preserve">   </v>
      </c>
      <c r="C310" s="157"/>
      <c r="D310" s="13"/>
      <c r="E310" s="13"/>
      <c r="F310" s="13"/>
      <c r="G310" s="13"/>
      <c r="H310" s="14"/>
      <c r="I310" s="14"/>
      <c r="J310" s="14"/>
      <c r="K310" s="14"/>
      <c r="L310" s="446"/>
      <c r="M310" s="87" t="str">
        <f t="shared" si="6"/>
        <v xml:space="preserve">   </v>
      </c>
    </row>
    <row r="311" spans="1:13" x14ac:dyDescent="0.2">
      <c r="A311" s="427"/>
      <c r="B311" s="158" t="str">
        <f>Capacidades!M901</f>
        <v xml:space="preserve">   </v>
      </c>
      <c r="C311" s="160"/>
      <c r="D311" s="13"/>
      <c r="E311" s="13"/>
      <c r="F311" s="13"/>
      <c r="G311" s="13"/>
      <c r="H311" s="14"/>
      <c r="I311" s="14"/>
      <c r="J311" s="14"/>
      <c r="K311" s="14"/>
      <c r="L311" s="446"/>
      <c r="M311" s="87" t="str">
        <f t="shared" si="6"/>
        <v xml:space="preserve">   </v>
      </c>
    </row>
    <row r="312" spans="1:13" x14ac:dyDescent="0.2">
      <c r="A312" s="425" t="str">
        <f>Capacidades!L902</f>
        <v xml:space="preserve">       </v>
      </c>
      <c r="B312" s="158" t="str">
        <f>Capacidades!M902</f>
        <v xml:space="preserve">   </v>
      </c>
      <c r="C312" s="157"/>
      <c r="D312" s="11">
        <f>Organización_Modular!F101</f>
        <v>0</v>
      </c>
      <c r="E312" s="11">
        <f>Organización_Modular!G101</f>
        <v>0</v>
      </c>
      <c r="F312" s="11">
        <f>Organización_Modular!H101</f>
        <v>0</v>
      </c>
      <c r="G312" s="11">
        <f>Organización_Modular!I101</f>
        <v>0</v>
      </c>
      <c r="H312" s="12">
        <f>SUM(F312:G312)</f>
        <v>0</v>
      </c>
      <c r="I312" s="12">
        <f>F312*16</f>
        <v>0</v>
      </c>
      <c r="J312" s="12">
        <f>G312*32</f>
        <v>0</v>
      </c>
      <c r="K312" s="12">
        <f>SUM(I312:J312)</f>
        <v>0</v>
      </c>
      <c r="L312" s="445"/>
      <c r="M312" s="87" t="str">
        <f t="shared" si="6"/>
        <v xml:space="preserve">   </v>
      </c>
    </row>
    <row r="313" spans="1:13" x14ac:dyDescent="0.2">
      <c r="A313" s="426"/>
      <c r="B313" s="158" t="str">
        <f>Capacidades!M903</f>
        <v xml:space="preserve">   </v>
      </c>
      <c r="C313" s="157"/>
      <c r="D313" s="13"/>
      <c r="E313" s="13"/>
      <c r="F313" s="14"/>
      <c r="G313" s="14"/>
      <c r="H313" s="14"/>
      <c r="I313" s="14"/>
      <c r="J313" s="14"/>
      <c r="K313" s="14"/>
      <c r="L313" s="446"/>
      <c r="M313" s="87" t="str">
        <f t="shared" si="6"/>
        <v xml:space="preserve">   </v>
      </c>
    </row>
    <row r="314" spans="1:13" x14ac:dyDescent="0.2">
      <c r="A314" s="426"/>
      <c r="B314" s="158" t="str">
        <f>Capacidades!M904</f>
        <v xml:space="preserve">   </v>
      </c>
      <c r="C314" s="157"/>
      <c r="D314" s="13"/>
      <c r="E314" s="13"/>
      <c r="F314" s="14"/>
      <c r="G314" s="14"/>
      <c r="H314" s="14"/>
      <c r="I314" s="14"/>
      <c r="J314" s="14"/>
      <c r="K314" s="14"/>
      <c r="L314" s="446"/>
      <c r="M314" s="87" t="str">
        <f t="shared" si="6"/>
        <v xml:space="preserve">   </v>
      </c>
    </row>
    <row r="315" spans="1:13" x14ac:dyDescent="0.2">
      <c r="A315" s="426"/>
      <c r="B315" s="158" t="str">
        <f>Capacidades!M905</f>
        <v xml:space="preserve">   </v>
      </c>
      <c r="C315" s="157"/>
      <c r="D315" s="13"/>
      <c r="E315" s="13"/>
      <c r="F315" s="14"/>
      <c r="G315" s="14"/>
      <c r="H315" s="14"/>
      <c r="I315" s="14"/>
      <c r="J315" s="14"/>
      <c r="K315" s="14"/>
      <c r="L315" s="446"/>
      <c r="M315" s="87" t="str">
        <f t="shared" si="6"/>
        <v xml:space="preserve">   </v>
      </c>
    </row>
    <row r="316" spans="1:13" x14ac:dyDescent="0.2">
      <c r="A316" s="426"/>
      <c r="B316" s="158" t="str">
        <f>Capacidades!M906</f>
        <v xml:space="preserve">   </v>
      </c>
      <c r="C316" s="157"/>
      <c r="D316" s="13"/>
      <c r="E316" s="13"/>
      <c r="F316" s="14"/>
      <c r="G316" s="14"/>
      <c r="H316" s="14"/>
      <c r="I316" s="14"/>
      <c r="J316" s="14"/>
      <c r="K316" s="14"/>
      <c r="L316" s="446"/>
      <c r="M316" s="87" t="str">
        <f t="shared" si="6"/>
        <v xml:space="preserve">   </v>
      </c>
    </row>
    <row r="317" spans="1:13" x14ac:dyDescent="0.2">
      <c r="A317" s="426"/>
      <c r="B317" s="158" t="str">
        <f>Capacidades!M907</f>
        <v xml:space="preserve">   </v>
      </c>
      <c r="C317" s="157"/>
      <c r="D317" s="13"/>
      <c r="E317" s="13"/>
      <c r="F317" s="14"/>
      <c r="G317" s="14"/>
      <c r="H317" s="14"/>
      <c r="I317" s="14"/>
      <c r="J317" s="14"/>
      <c r="K317" s="14"/>
      <c r="L317" s="446"/>
      <c r="M317" s="87" t="str">
        <f t="shared" si="6"/>
        <v xml:space="preserve">   </v>
      </c>
    </row>
    <row r="318" spans="1:13" x14ac:dyDescent="0.2">
      <c r="A318" s="426"/>
      <c r="B318" s="158" t="str">
        <f>Capacidades!M908</f>
        <v xml:space="preserve">   </v>
      </c>
      <c r="C318" s="157"/>
      <c r="D318" s="13"/>
      <c r="E318" s="13"/>
      <c r="F318" s="14"/>
      <c r="G318" s="14"/>
      <c r="H318" s="14"/>
      <c r="I318" s="14"/>
      <c r="J318" s="14"/>
      <c r="K318" s="14"/>
      <c r="L318" s="446"/>
      <c r="M318" s="87" t="str">
        <f t="shared" si="6"/>
        <v xml:space="preserve">   </v>
      </c>
    </row>
    <row r="319" spans="1:13" x14ac:dyDescent="0.2">
      <c r="A319" s="426"/>
      <c r="B319" s="158" t="str">
        <f>Capacidades!M909</f>
        <v xml:space="preserve">   </v>
      </c>
      <c r="C319" s="157"/>
      <c r="D319" s="13"/>
      <c r="E319" s="13"/>
      <c r="F319" s="14"/>
      <c r="G319" s="14"/>
      <c r="H319" s="14"/>
      <c r="I319" s="14"/>
      <c r="J319" s="14"/>
      <c r="K319" s="14"/>
      <c r="L319" s="446"/>
      <c r="M319" s="87" t="str">
        <f t="shared" si="6"/>
        <v xml:space="preserve">   </v>
      </c>
    </row>
    <row r="320" spans="1:13" x14ac:dyDescent="0.2">
      <c r="A320" s="426"/>
      <c r="B320" s="158" t="str">
        <f>Capacidades!M910</f>
        <v xml:space="preserve">   </v>
      </c>
      <c r="C320" s="157"/>
      <c r="D320" s="13"/>
      <c r="E320" s="13"/>
      <c r="F320" s="14"/>
      <c r="G320" s="14"/>
      <c r="H320" s="14"/>
      <c r="I320" s="14"/>
      <c r="J320" s="14"/>
      <c r="K320" s="14"/>
      <c r="L320" s="446"/>
      <c r="M320" s="87" t="str">
        <f t="shared" si="6"/>
        <v xml:space="preserve">   </v>
      </c>
    </row>
    <row r="321" spans="1:13" x14ac:dyDescent="0.2">
      <c r="A321" s="427"/>
      <c r="B321" s="158" t="str">
        <f>Capacidades!M911</f>
        <v xml:space="preserve">   </v>
      </c>
      <c r="C321" s="160"/>
      <c r="D321" s="13"/>
      <c r="E321" s="13"/>
      <c r="F321" s="14"/>
      <c r="G321" s="14"/>
      <c r="H321" s="14"/>
      <c r="I321" s="14"/>
      <c r="J321" s="14"/>
      <c r="K321" s="14"/>
      <c r="L321" s="446"/>
      <c r="M321" s="87" t="str">
        <f t="shared" si="6"/>
        <v xml:space="preserve">   </v>
      </c>
    </row>
    <row r="322" spans="1:13" ht="15.75" x14ac:dyDescent="0.2">
      <c r="A322" s="489" t="s">
        <v>87</v>
      </c>
      <c r="B322" s="489"/>
      <c r="C322" s="489"/>
      <c r="D322" s="489"/>
      <c r="E322" s="489"/>
      <c r="F322" s="489"/>
      <c r="G322" s="489"/>
      <c r="H322" s="489"/>
      <c r="I322" s="489"/>
      <c r="J322" s="489"/>
      <c r="K322" s="489"/>
      <c r="L322" s="489"/>
      <c r="M322" s="87" t="str">
        <f>A322</f>
        <v xml:space="preserve">COMPETENCIAS PARA LA EMPLEABILIDAD INCORPORADAS COMO CONTENIDO  TRANSVERSAL </v>
      </c>
    </row>
    <row r="323" spans="1:13" ht="81" customHeight="1" x14ac:dyDescent="0.2">
      <c r="A323" s="493" t="str">
        <f>'M2'!A323:L323</f>
        <v>CE5  Liderazgo Personal y Profesional:
 Articular recursos y potencialidades de cada integrante de su equipo logrando un trabajo comprometido, colaborativo, creativo, ético, sensible a su contexto social y ambiente, en pro del bien común.</v>
      </c>
      <c r="B323" s="493"/>
      <c r="C323" s="493"/>
      <c r="D323" s="493"/>
      <c r="E323" s="493"/>
      <c r="F323" s="493"/>
      <c r="G323" s="493"/>
      <c r="H323" s="493"/>
      <c r="I323" s="493"/>
      <c r="J323" s="493"/>
      <c r="K323" s="493"/>
      <c r="L323" s="493"/>
      <c r="M323" s="87" t="str">
        <f t="shared" ref="M323:M358" si="7">A323</f>
        <v>CE5  Liderazgo Personal y Profesional:
 Articular recursos y potencialidades de cada integrante de su equipo logrando un trabajo comprometido, colaborativo, creativo, ético, sensible a su contexto social y ambiente, en pro del bien común.</v>
      </c>
    </row>
    <row r="324" spans="1:13" ht="24" hidden="1" customHeight="1" x14ac:dyDescent="0.2">
      <c r="A324" s="493" t="str">
        <f>'M2'!A324:L324</f>
        <v>CE6  Cultura ambiental.- Convivir de manera ética, autónoma, responsable y sostenible, previniendo, reduciendo y controlando permanente y progresivamente los impactos ambientales.</v>
      </c>
      <c r="B324" s="493"/>
      <c r="C324" s="493"/>
      <c r="D324" s="493"/>
      <c r="E324" s="493"/>
      <c r="F324" s="493"/>
      <c r="G324" s="493"/>
      <c r="H324" s="493"/>
      <c r="I324" s="493"/>
      <c r="J324" s="493"/>
      <c r="K324" s="493"/>
      <c r="L324" s="493"/>
      <c r="M324" s="87" t="str">
        <f t="shared" si="7"/>
        <v>CE6  Cultura ambiental.- Convivir de manera ética, autónoma, responsable y sostenible, previniendo, reduciendo y controlando permanente y progresivamente los impactos ambientales.</v>
      </c>
    </row>
    <row r="325" spans="1:13" ht="18.75" hidden="1" customHeight="1" x14ac:dyDescent="0.2">
      <c r="A325" s="493">
        <f>'M2'!A325:L325</f>
        <v>0</v>
      </c>
      <c r="B325" s="493"/>
      <c r="C325" s="493"/>
      <c r="D325" s="493"/>
      <c r="E325" s="493"/>
      <c r="F325" s="493"/>
      <c r="G325" s="493"/>
      <c r="H325" s="493"/>
      <c r="I325" s="493"/>
      <c r="J325" s="493"/>
      <c r="K325" s="493"/>
      <c r="L325" s="493"/>
      <c r="M325" s="87">
        <f t="shared" si="7"/>
        <v>0</v>
      </c>
    </row>
    <row r="326" spans="1:13" ht="25.5" customHeight="1" x14ac:dyDescent="0.2">
      <c r="A326" s="459" t="s">
        <v>73</v>
      </c>
      <c r="B326" s="459"/>
      <c r="C326" s="459" t="s">
        <v>72</v>
      </c>
      <c r="D326" s="459"/>
      <c r="E326" s="459"/>
      <c r="F326" s="459"/>
      <c r="G326" s="459"/>
      <c r="H326" s="459"/>
      <c r="I326" s="459"/>
      <c r="J326" s="459"/>
      <c r="K326" s="459"/>
      <c r="L326" s="459"/>
      <c r="M326" s="87" t="str">
        <f t="shared" si="7"/>
        <v>CAPACIDADES A FORTALECER</v>
      </c>
    </row>
    <row r="327" spans="1:13" x14ac:dyDescent="0.2">
      <c r="A327" s="493" t="str">
        <f ca="1">OFFSET($A$9,(ROW()-326)*10-1,0)</f>
        <v xml:space="preserve">       </v>
      </c>
      <c r="B327" s="493"/>
      <c r="C327" s="494"/>
      <c r="D327" s="495"/>
      <c r="E327" s="495"/>
      <c r="F327" s="495"/>
      <c r="G327" s="495"/>
      <c r="H327" s="495"/>
      <c r="I327" s="495"/>
      <c r="J327" s="495"/>
      <c r="K327" s="495"/>
      <c r="L327" s="496"/>
      <c r="M327" s="87" t="str">
        <f t="shared" ca="1" si="7"/>
        <v xml:space="preserve">       </v>
      </c>
    </row>
    <row r="328" spans="1:13" x14ac:dyDescent="0.2">
      <c r="A328" s="493" t="str">
        <f t="shared" ref="A328:A346" ca="1" si="8">OFFSET($A$9,(ROW()-326)*10-1,0)</f>
        <v xml:space="preserve">       </v>
      </c>
      <c r="B328" s="493"/>
      <c r="C328" s="497"/>
      <c r="D328" s="498"/>
      <c r="E328" s="498"/>
      <c r="F328" s="498"/>
      <c r="G328" s="498"/>
      <c r="H328" s="498"/>
      <c r="I328" s="498"/>
      <c r="J328" s="498"/>
      <c r="K328" s="498"/>
      <c r="L328" s="499"/>
      <c r="M328" s="87" t="str">
        <f t="shared" ca="1" si="7"/>
        <v xml:space="preserve">       </v>
      </c>
    </row>
    <row r="329" spans="1:13" x14ac:dyDescent="0.2">
      <c r="A329" s="493" t="str">
        <f t="shared" ca="1" si="8"/>
        <v xml:space="preserve">       </v>
      </c>
      <c r="B329" s="493"/>
      <c r="C329" s="497"/>
      <c r="D329" s="498"/>
      <c r="E329" s="498"/>
      <c r="F329" s="498"/>
      <c r="G329" s="498"/>
      <c r="H329" s="498"/>
      <c r="I329" s="498"/>
      <c r="J329" s="498"/>
      <c r="K329" s="498"/>
      <c r="L329" s="499"/>
      <c r="M329" s="87" t="str">
        <f t="shared" ca="1" si="7"/>
        <v xml:space="preserve">       </v>
      </c>
    </row>
    <row r="330" spans="1:13" x14ac:dyDescent="0.2">
      <c r="A330" s="493" t="str">
        <f t="shared" ca="1" si="8"/>
        <v xml:space="preserve">       </v>
      </c>
      <c r="B330" s="493"/>
      <c r="C330" s="497"/>
      <c r="D330" s="498"/>
      <c r="E330" s="498"/>
      <c r="F330" s="498"/>
      <c r="G330" s="498"/>
      <c r="H330" s="498"/>
      <c r="I330" s="498"/>
      <c r="J330" s="498"/>
      <c r="K330" s="498"/>
      <c r="L330" s="499"/>
      <c r="M330" s="87" t="str">
        <f t="shared" ca="1" si="7"/>
        <v xml:space="preserve">       </v>
      </c>
    </row>
    <row r="331" spans="1:13" x14ac:dyDescent="0.2">
      <c r="A331" s="493" t="str">
        <f t="shared" ca="1" si="8"/>
        <v xml:space="preserve">       </v>
      </c>
      <c r="B331" s="493"/>
      <c r="C331" s="497"/>
      <c r="D331" s="498"/>
      <c r="E331" s="498"/>
      <c r="F331" s="498"/>
      <c r="G331" s="498"/>
      <c r="H331" s="498"/>
      <c r="I331" s="498"/>
      <c r="J331" s="498"/>
      <c r="K331" s="498"/>
      <c r="L331" s="499"/>
      <c r="M331" s="87" t="str">
        <f t="shared" ca="1" si="7"/>
        <v xml:space="preserve">       </v>
      </c>
    </row>
    <row r="332" spans="1:13" x14ac:dyDescent="0.2">
      <c r="A332" s="493" t="str">
        <f t="shared" ca="1" si="8"/>
        <v xml:space="preserve">       </v>
      </c>
      <c r="B332" s="493"/>
      <c r="C332" s="497"/>
      <c r="D332" s="498"/>
      <c r="E332" s="498"/>
      <c r="F332" s="498"/>
      <c r="G332" s="498"/>
      <c r="H332" s="498"/>
      <c r="I332" s="498"/>
      <c r="J332" s="498"/>
      <c r="K332" s="498"/>
      <c r="L332" s="499"/>
      <c r="M332" s="87" t="str">
        <f t="shared" ca="1" si="7"/>
        <v xml:space="preserve">       </v>
      </c>
    </row>
    <row r="333" spans="1:13" x14ac:dyDescent="0.2">
      <c r="A333" s="493" t="str">
        <f t="shared" ca="1" si="8"/>
        <v xml:space="preserve">       </v>
      </c>
      <c r="B333" s="493"/>
      <c r="C333" s="497"/>
      <c r="D333" s="498"/>
      <c r="E333" s="498"/>
      <c r="F333" s="498"/>
      <c r="G333" s="498"/>
      <c r="H333" s="498"/>
      <c r="I333" s="498"/>
      <c r="J333" s="498"/>
      <c r="K333" s="498"/>
      <c r="L333" s="499"/>
      <c r="M333" s="87" t="str">
        <f t="shared" ca="1" si="7"/>
        <v xml:space="preserve">       </v>
      </c>
    </row>
    <row r="334" spans="1:13" x14ac:dyDescent="0.2">
      <c r="A334" s="493" t="str">
        <f t="shared" ca="1" si="8"/>
        <v xml:space="preserve">       </v>
      </c>
      <c r="B334" s="493"/>
      <c r="C334" s="497"/>
      <c r="D334" s="498"/>
      <c r="E334" s="498"/>
      <c r="F334" s="498"/>
      <c r="G334" s="498"/>
      <c r="H334" s="498"/>
      <c r="I334" s="498"/>
      <c r="J334" s="498"/>
      <c r="K334" s="498"/>
      <c r="L334" s="499"/>
      <c r="M334" s="87" t="str">
        <f t="shared" ca="1" si="7"/>
        <v xml:space="preserve">       </v>
      </c>
    </row>
    <row r="335" spans="1:13" x14ac:dyDescent="0.2">
      <c r="A335" s="493" t="str">
        <f t="shared" ca="1" si="8"/>
        <v xml:space="preserve">       </v>
      </c>
      <c r="B335" s="493"/>
      <c r="C335" s="497"/>
      <c r="D335" s="498"/>
      <c r="E335" s="498"/>
      <c r="F335" s="498"/>
      <c r="G335" s="498"/>
      <c r="H335" s="498"/>
      <c r="I335" s="498"/>
      <c r="J335" s="498"/>
      <c r="K335" s="498"/>
      <c r="L335" s="499"/>
      <c r="M335" s="87" t="str">
        <f t="shared" ca="1" si="7"/>
        <v xml:space="preserve">       </v>
      </c>
    </row>
    <row r="336" spans="1:13" x14ac:dyDescent="0.2">
      <c r="A336" s="493" t="str">
        <f t="shared" ca="1" si="8"/>
        <v xml:space="preserve">       </v>
      </c>
      <c r="B336" s="493"/>
      <c r="C336" s="497"/>
      <c r="D336" s="498"/>
      <c r="E336" s="498"/>
      <c r="F336" s="498"/>
      <c r="G336" s="498"/>
      <c r="H336" s="498"/>
      <c r="I336" s="498"/>
      <c r="J336" s="498"/>
      <c r="K336" s="498"/>
      <c r="L336" s="499"/>
      <c r="M336" s="87" t="str">
        <f t="shared" ca="1" si="7"/>
        <v xml:space="preserve">       </v>
      </c>
    </row>
    <row r="337" spans="1:13" x14ac:dyDescent="0.2">
      <c r="A337" s="493" t="str">
        <f t="shared" ca="1" si="8"/>
        <v xml:space="preserve">       </v>
      </c>
      <c r="B337" s="493"/>
      <c r="C337" s="497"/>
      <c r="D337" s="498"/>
      <c r="E337" s="498"/>
      <c r="F337" s="498"/>
      <c r="G337" s="498"/>
      <c r="H337" s="498"/>
      <c r="I337" s="498"/>
      <c r="J337" s="498"/>
      <c r="K337" s="498"/>
      <c r="L337" s="499"/>
      <c r="M337" s="87" t="str">
        <f t="shared" ca="1" si="7"/>
        <v xml:space="preserve">       </v>
      </c>
    </row>
    <row r="338" spans="1:13" x14ac:dyDescent="0.2">
      <c r="A338" s="493" t="str">
        <f t="shared" ca="1" si="8"/>
        <v xml:space="preserve">       </v>
      </c>
      <c r="B338" s="493"/>
      <c r="C338" s="497"/>
      <c r="D338" s="498"/>
      <c r="E338" s="498"/>
      <c r="F338" s="498"/>
      <c r="G338" s="498"/>
      <c r="H338" s="498"/>
      <c r="I338" s="498"/>
      <c r="J338" s="498"/>
      <c r="K338" s="498"/>
      <c r="L338" s="499"/>
      <c r="M338" s="87" t="str">
        <f t="shared" ca="1" si="7"/>
        <v xml:space="preserve">       </v>
      </c>
    </row>
    <row r="339" spans="1:13" x14ac:dyDescent="0.2">
      <c r="A339" s="493" t="str">
        <f t="shared" ca="1" si="8"/>
        <v xml:space="preserve">       </v>
      </c>
      <c r="B339" s="493"/>
      <c r="C339" s="497"/>
      <c r="D339" s="498"/>
      <c r="E339" s="498"/>
      <c r="F339" s="498"/>
      <c r="G339" s="498"/>
      <c r="H339" s="498"/>
      <c r="I339" s="498"/>
      <c r="J339" s="498"/>
      <c r="K339" s="498"/>
      <c r="L339" s="499"/>
      <c r="M339" s="87" t="str">
        <f t="shared" ca="1" si="7"/>
        <v xml:space="preserve">       </v>
      </c>
    </row>
    <row r="340" spans="1:13" x14ac:dyDescent="0.2">
      <c r="A340" s="493" t="str">
        <f t="shared" ca="1" si="8"/>
        <v xml:space="preserve">       </v>
      </c>
      <c r="B340" s="493"/>
      <c r="C340" s="497"/>
      <c r="D340" s="498"/>
      <c r="E340" s="498"/>
      <c r="F340" s="498"/>
      <c r="G340" s="498"/>
      <c r="H340" s="498"/>
      <c r="I340" s="498"/>
      <c r="J340" s="498"/>
      <c r="K340" s="498"/>
      <c r="L340" s="499"/>
      <c r="M340" s="87" t="str">
        <f t="shared" ca="1" si="7"/>
        <v xml:space="preserve">       </v>
      </c>
    </row>
    <row r="341" spans="1:13" x14ac:dyDescent="0.2">
      <c r="A341" s="493" t="str">
        <f t="shared" ca="1" si="8"/>
        <v xml:space="preserve">       </v>
      </c>
      <c r="B341" s="493"/>
      <c r="C341" s="497"/>
      <c r="D341" s="498"/>
      <c r="E341" s="498"/>
      <c r="F341" s="498"/>
      <c r="G341" s="498"/>
      <c r="H341" s="498"/>
      <c r="I341" s="498"/>
      <c r="J341" s="498"/>
      <c r="K341" s="498"/>
      <c r="L341" s="499"/>
      <c r="M341" s="87" t="str">
        <f t="shared" ca="1" si="7"/>
        <v xml:space="preserve">       </v>
      </c>
    </row>
    <row r="342" spans="1:13" x14ac:dyDescent="0.2">
      <c r="A342" s="493" t="str">
        <f t="shared" ca="1" si="8"/>
        <v xml:space="preserve">       </v>
      </c>
      <c r="B342" s="493"/>
      <c r="C342" s="497"/>
      <c r="D342" s="498"/>
      <c r="E342" s="498"/>
      <c r="F342" s="498"/>
      <c r="G342" s="498"/>
      <c r="H342" s="498"/>
      <c r="I342" s="498"/>
      <c r="J342" s="498"/>
      <c r="K342" s="498"/>
      <c r="L342" s="499"/>
      <c r="M342" s="87" t="str">
        <f t="shared" ca="1" si="7"/>
        <v xml:space="preserve">       </v>
      </c>
    </row>
    <row r="343" spans="1:13" x14ac:dyDescent="0.2">
      <c r="A343" s="493" t="str">
        <f t="shared" ca="1" si="8"/>
        <v xml:space="preserve">       </v>
      </c>
      <c r="B343" s="493"/>
      <c r="C343" s="497"/>
      <c r="D343" s="498"/>
      <c r="E343" s="498"/>
      <c r="F343" s="498"/>
      <c r="G343" s="498"/>
      <c r="H343" s="498"/>
      <c r="I343" s="498"/>
      <c r="J343" s="498"/>
      <c r="K343" s="498"/>
      <c r="L343" s="499"/>
      <c r="M343" s="87" t="str">
        <f t="shared" ca="1" si="7"/>
        <v xml:space="preserve">       </v>
      </c>
    </row>
    <row r="344" spans="1:13" x14ac:dyDescent="0.2">
      <c r="A344" s="493" t="str">
        <f t="shared" ca="1" si="8"/>
        <v xml:space="preserve">       </v>
      </c>
      <c r="B344" s="493"/>
      <c r="C344" s="497"/>
      <c r="D344" s="498"/>
      <c r="E344" s="498"/>
      <c r="F344" s="498"/>
      <c r="G344" s="498"/>
      <c r="H344" s="498"/>
      <c r="I344" s="498"/>
      <c r="J344" s="498"/>
      <c r="K344" s="498"/>
      <c r="L344" s="499"/>
      <c r="M344" s="87" t="str">
        <f t="shared" ca="1" si="7"/>
        <v xml:space="preserve">       </v>
      </c>
    </row>
    <row r="345" spans="1:13" x14ac:dyDescent="0.2">
      <c r="A345" s="493" t="str">
        <f ca="1">OFFSET($A$9,(ROW()-326)*10-1,0)</f>
        <v xml:space="preserve">       </v>
      </c>
      <c r="B345" s="493"/>
      <c r="C345" s="497"/>
      <c r="D345" s="498"/>
      <c r="E345" s="498"/>
      <c r="F345" s="498"/>
      <c r="G345" s="498"/>
      <c r="H345" s="498"/>
      <c r="I345" s="498"/>
      <c r="J345" s="498"/>
      <c r="K345" s="498"/>
      <c r="L345" s="499"/>
      <c r="M345" s="87" t="str">
        <f t="shared" ca="1" si="7"/>
        <v xml:space="preserve">       </v>
      </c>
    </row>
    <row r="346" spans="1:13" x14ac:dyDescent="0.2">
      <c r="A346" s="493" t="str">
        <f t="shared" ca="1" si="8"/>
        <v xml:space="preserve">       </v>
      </c>
      <c r="B346" s="493"/>
      <c r="C346" s="497"/>
      <c r="D346" s="498"/>
      <c r="E346" s="498"/>
      <c r="F346" s="498"/>
      <c r="G346" s="498"/>
      <c r="H346" s="498"/>
      <c r="I346" s="498"/>
      <c r="J346" s="498"/>
      <c r="K346" s="498"/>
      <c r="L346" s="499"/>
      <c r="M346" s="87" t="str">
        <f t="shared" ca="1" si="7"/>
        <v xml:space="preserve">       </v>
      </c>
    </row>
    <row r="347" spans="1:13" x14ac:dyDescent="0.2">
      <c r="A347" s="493" t="str">
        <f ca="1">OFFSET($A$213,(ROW()-346)*10-1,0)</f>
        <v xml:space="preserve">       </v>
      </c>
      <c r="B347" s="493"/>
      <c r="C347" s="497"/>
      <c r="D347" s="498"/>
      <c r="E347" s="498"/>
      <c r="F347" s="498"/>
      <c r="G347" s="498"/>
      <c r="H347" s="498"/>
      <c r="I347" s="498"/>
      <c r="J347" s="498"/>
      <c r="K347" s="498"/>
      <c r="L347" s="499"/>
      <c r="M347" s="87" t="str">
        <f t="shared" ca="1" si="7"/>
        <v xml:space="preserve">       </v>
      </c>
    </row>
    <row r="348" spans="1:13" x14ac:dyDescent="0.2">
      <c r="A348" s="493" t="str">
        <f t="shared" ref="A348:A356" ca="1" si="9">OFFSET($A$213,(ROW()-346)*10-1,0)</f>
        <v xml:space="preserve">       </v>
      </c>
      <c r="B348" s="493"/>
      <c r="C348" s="497"/>
      <c r="D348" s="498"/>
      <c r="E348" s="498"/>
      <c r="F348" s="498"/>
      <c r="G348" s="498"/>
      <c r="H348" s="498"/>
      <c r="I348" s="498"/>
      <c r="J348" s="498"/>
      <c r="K348" s="498"/>
      <c r="L348" s="499"/>
      <c r="M348" s="87" t="str">
        <f t="shared" ca="1" si="7"/>
        <v xml:space="preserve">       </v>
      </c>
    </row>
    <row r="349" spans="1:13" x14ac:dyDescent="0.2">
      <c r="A349" s="493" t="str">
        <f t="shared" ca="1" si="9"/>
        <v xml:space="preserve">       </v>
      </c>
      <c r="B349" s="493"/>
      <c r="C349" s="497"/>
      <c r="D349" s="498"/>
      <c r="E349" s="498"/>
      <c r="F349" s="498"/>
      <c r="G349" s="498"/>
      <c r="H349" s="498"/>
      <c r="I349" s="498"/>
      <c r="J349" s="498"/>
      <c r="K349" s="498"/>
      <c r="L349" s="499"/>
      <c r="M349" s="87" t="str">
        <f t="shared" ca="1" si="7"/>
        <v xml:space="preserve">       </v>
      </c>
    </row>
    <row r="350" spans="1:13" x14ac:dyDescent="0.2">
      <c r="A350" s="493" t="str">
        <f t="shared" ca="1" si="9"/>
        <v xml:space="preserve">       </v>
      </c>
      <c r="B350" s="493"/>
      <c r="C350" s="497"/>
      <c r="D350" s="498"/>
      <c r="E350" s="498"/>
      <c r="F350" s="498"/>
      <c r="G350" s="498"/>
      <c r="H350" s="498"/>
      <c r="I350" s="498"/>
      <c r="J350" s="498"/>
      <c r="K350" s="498"/>
      <c r="L350" s="499"/>
      <c r="M350" s="87" t="str">
        <f t="shared" ca="1" si="7"/>
        <v xml:space="preserve">       </v>
      </c>
    </row>
    <row r="351" spans="1:13" x14ac:dyDescent="0.2">
      <c r="A351" s="493" t="str">
        <f t="shared" ca="1" si="9"/>
        <v xml:space="preserve">       </v>
      </c>
      <c r="B351" s="493"/>
      <c r="C351" s="497"/>
      <c r="D351" s="498"/>
      <c r="E351" s="498"/>
      <c r="F351" s="498"/>
      <c r="G351" s="498"/>
      <c r="H351" s="498"/>
      <c r="I351" s="498"/>
      <c r="J351" s="498"/>
      <c r="K351" s="498"/>
      <c r="L351" s="499"/>
      <c r="M351" s="87" t="str">
        <f t="shared" ca="1" si="7"/>
        <v xml:space="preserve">       </v>
      </c>
    </row>
    <row r="352" spans="1:13" x14ac:dyDescent="0.2">
      <c r="A352" s="493" t="str">
        <f t="shared" ca="1" si="9"/>
        <v xml:space="preserve">       </v>
      </c>
      <c r="B352" s="493"/>
      <c r="C352" s="497"/>
      <c r="D352" s="498"/>
      <c r="E352" s="498"/>
      <c r="F352" s="498"/>
      <c r="G352" s="498"/>
      <c r="H352" s="498"/>
      <c r="I352" s="498"/>
      <c r="J352" s="498"/>
      <c r="K352" s="498"/>
      <c r="L352" s="499"/>
      <c r="M352" s="87" t="str">
        <f t="shared" ca="1" si="7"/>
        <v xml:space="preserve">       </v>
      </c>
    </row>
    <row r="353" spans="1:13" x14ac:dyDescent="0.2">
      <c r="A353" s="493" t="str">
        <f t="shared" ca="1" si="9"/>
        <v xml:space="preserve">       </v>
      </c>
      <c r="B353" s="493"/>
      <c r="C353" s="497"/>
      <c r="D353" s="498"/>
      <c r="E353" s="498"/>
      <c r="F353" s="498"/>
      <c r="G353" s="498"/>
      <c r="H353" s="498"/>
      <c r="I353" s="498"/>
      <c r="J353" s="498"/>
      <c r="K353" s="498"/>
      <c r="L353" s="499"/>
      <c r="M353" s="87" t="str">
        <f t="shared" ca="1" si="7"/>
        <v xml:space="preserve">       </v>
      </c>
    </row>
    <row r="354" spans="1:13" x14ac:dyDescent="0.2">
      <c r="A354" s="493" t="str">
        <f t="shared" ca="1" si="9"/>
        <v xml:space="preserve">       </v>
      </c>
      <c r="B354" s="493"/>
      <c r="C354" s="497"/>
      <c r="D354" s="498"/>
      <c r="E354" s="498"/>
      <c r="F354" s="498"/>
      <c r="G354" s="498"/>
      <c r="H354" s="498"/>
      <c r="I354" s="498"/>
      <c r="J354" s="498"/>
      <c r="K354" s="498"/>
      <c r="L354" s="499"/>
      <c r="M354" s="87" t="str">
        <f t="shared" ca="1" si="7"/>
        <v xml:space="preserve">       </v>
      </c>
    </row>
    <row r="355" spans="1:13" x14ac:dyDescent="0.2">
      <c r="A355" s="493" t="str">
        <f t="shared" ca="1" si="9"/>
        <v xml:space="preserve">       </v>
      </c>
      <c r="B355" s="493"/>
      <c r="C355" s="497"/>
      <c r="D355" s="498"/>
      <c r="E355" s="498"/>
      <c r="F355" s="498"/>
      <c r="G355" s="498"/>
      <c r="H355" s="498"/>
      <c r="I355" s="498"/>
      <c r="J355" s="498"/>
      <c r="K355" s="498"/>
      <c r="L355" s="499"/>
      <c r="M355" s="87" t="str">
        <f t="shared" ca="1" si="7"/>
        <v xml:space="preserve">       </v>
      </c>
    </row>
    <row r="356" spans="1:13" x14ac:dyDescent="0.2">
      <c r="A356" s="493" t="str">
        <f t="shared" ca="1" si="9"/>
        <v xml:space="preserve">       </v>
      </c>
      <c r="B356" s="493"/>
      <c r="C356" s="500"/>
      <c r="D356" s="501"/>
      <c r="E356" s="501"/>
      <c r="F356" s="501"/>
      <c r="G356" s="501"/>
      <c r="H356" s="501"/>
      <c r="I356" s="501"/>
      <c r="J356" s="501"/>
      <c r="K356" s="501"/>
      <c r="L356" s="502"/>
      <c r="M356" s="87" t="str">
        <f t="shared" ca="1" si="7"/>
        <v xml:space="preserve">       </v>
      </c>
    </row>
    <row r="357" spans="1:13" s="55" customFormat="1" ht="18" customHeight="1" x14ac:dyDescent="0.2">
      <c r="A357" s="489" t="str">
        <f>'M1'!A357:L357</f>
        <v>EXPERIENCIAS FORMATIVAS EN SITUACIONES REALES DE TRABAJO (EFSRT)</v>
      </c>
      <c r="B357" s="489"/>
      <c r="C357" s="489"/>
      <c r="D357" s="489"/>
      <c r="E357" s="489"/>
      <c r="F357" s="489"/>
      <c r="G357" s="489"/>
      <c r="H357" s="489"/>
      <c r="I357" s="489"/>
      <c r="J357" s="489"/>
      <c r="K357" s="489"/>
      <c r="L357" s="489"/>
      <c r="M357" s="87" t="str">
        <f t="shared" si="7"/>
        <v>EXPERIENCIAS FORMATIVAS EN SITUACIONES REALES DE TRABAJO (EFSRT)</v>
      </c>
    </row>
    <row r="358" spans="1:13" s="55" customFormat="1" ht="18.75" customHeight="1" x14ac:dyDescent="0.2">
      <c r="A358" s="148" t="str">
        <f>'M1'!A358</f>
        <v>LUGAR PARA EL DESARROLLO DE LA EFSRT</v>
      </c>
      <c r="B358" s="148" t="str">
        <f>'M1'!B358</f>
        <v>AMBIENTES/ÁREAS (1)</v>
      </c>
      <c r="C358" s="490" t="str">
        <f>'M1'!C358:J358</f>
        <v>DESCRIPCIÓN DE LA ESTRATEGIA PARA LA IMPLEMENTACIÓN DE LA EFSRT (2)</v>
      </c>
      <c r="D358" s="490"/>
      <c r="E358" s="490"/>
      <c r="F358" s="490"/>
      <c r="G358" s="490"/>
      <c r="H358" s="490"/>
      <c r="I358" s="490"/>
      <c r="J358" s="490"/>
      <c r="K358" s="148" t="str">
        <f>'M1'!K358</f>
        <v>CRÉDITOS</v>
      </c>
      <c r="L358" s="148" t="str">
        <f>'M1'!L358</f>
        <v>HORAS (P)</v>
      </c>
      <c r="M358" s="87" t="str">
        <f t="shared" si="7"/>
        <v>LUGAR PARA EL DESARROLLO DE LA EFSRT</v>
      </c>
    </row>
    <row r="359" spans="1:13" s="55" customFormat="1" ht="132" customHeight="1" x14ac:dyDescent="0.2">
      <c r="A359" s="155"/>
      <c r="B359" s="155"/>
      <c r="C359" s="486"/>
      <c r="D359" s="487"/>
      <c r="E359" s="487"/>
      <c r="F359" s="487"/>
      <c r="G359" s="487"/>
      <c r="H359" s="487"/>
      <c r="I359" s="487"/>
      <c r="J359" s="488"/>
      <c r="K359" s="17"/>
      <c r="L359" s="18"/>
      <c r="M359" s="87">
        <f>C359</f>
        <v>0</v>
      </c>
    </row>
    <row r="360" spans="1:13" s="55" customFormat="1" ht="118.5" customHeight="1" x14ac:dyDescent="0.2">
      <c r="A360" s="155"/>
      <c r="B360" s="155"/>
      <c r="C360" s="486"/>
      <c r="D360" s="487"/>
      <c r="E360" s="487"/>
      <c r="F360" s="487"/>
      <c r="G360" s="487"/>
      <c r="H360" s="487"/>
      <c r="I360" s="487"/>
      <c r="J360" s="488"/>
      <c r="K360" s="84"/>
      <c r="L360" s="85"/>
      <c r="M360" s="87">
        <f>C360</f>
        <v>0</v>
      </c>
    </row>
    <row r="361" spans="1:13" ht="29.25" customHeight="1" x14ac:dyDescent="0.2">
      <c r="A361" s="491">
        <f>'M1'!A361</f>
        <v>0</v>
      </c>
      <c r="B361" s="492"/>
      <c r="M361" s="87">
        <f>A361</f>
        <v>0</v>
      </c>
    </row>
    <row r="362" spans="1:13" x14ac:dyDescent="0.2">
      <c r="A362" s="129" t="s">
        <v>146</v>
      </c>
      <c r="B362" s="130" t="s">
        <v>115</v>
      </c>
      <c r="M362" s="49"/>
    </row>
    <row r="363" spans="1:13" x14ac:dyDescent="0.2">
      <c r="A363" s="129" t="s">
        <v>112</v>
      </c>
      <c r="B363" s="130" t="s">
        <v>116</v>
      </c>
      <c r="M363" s="49"/>
    </row>
    <row r="364" spans="1:13" x14ac:dyDescent="0.2">
      <c r="A364" s="129"/>
      <c r="B364" s="130" t="s">
        <v>119</v>
      </c>
    </row>
    <row r="365" spans="1:13" x14ac:dyDescent="0.2">
      <c r="A365" s="129"/>
      <c r="B365" s="130" t="s">
        <v>117</v>
      </c>
    </row>
    <row r="366" spans="1:13" x14ac:dyDescent="0.2">
      <c r="A366" s="129"/>
      <c r="B366" s="130" t="s">
        <v>118</v>
      </c>
    </row>
    <row r="367" spans="1:13" x14ac:dyDescent="0.2">
      <c r="A367" s="126"/>
      <c r="B367" s="130" t="s">
        <v>120</v>
      </c>
    </row>
  </sheetData>
  <sheetProtection formatRows="0" autoFilter="0"/>
  <autoFilter ref="A16:M361" xr:uid="{00000000-0009-0000-0000-000006000000}">
    <filterColumn colId="5" showButton="0"/>
    <filterColumn colId="8" showButton="0"/>
  </autoFilter>
  <mergeCells count="142">
    <mergeCell ref="A18:A27"/>
    <mergeCell ref="A28:A37"/>
    <mergeCell ref="A38:A47"/>
    <mergeCell ref="A48:A57"/>
    <mergeCell ref="A58:A67"/>
    <mergeCell ref="A68:A77"/>
    <mergeCell ref="A78:A87"/>
    <mergeCell ref="A88:A97"/>
    <mergeCell ref="A98:A10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8:L27"/>
    <mergeCell ref="L28:L37"/>
    <mergeCell ref="L38:L47"/>
    <mergeCell ref="L168:L177"/>
    <mergeCell ref="L178:L187"/>
    <mergeCell ref="L48:L57"/>
    <mergeCell ref="L58:L67"/>
    <mergeCell ref="L68:L77"/>
    <mergeCell ref="L78:L87"/>
    <mergeCell ref="L88:L97"/>
    <mergeCell ref="L188:L197"/>
    <mergeCell ref="A13:L13"/>
    <mergeCell ref="A14:L14"/>
    <mergeCell ref="B15:L15"/>
    <mergeCell ref="A16:A17"/>
    <mergeCell ref="B16:B17"/>
    <mergeCell ref="C16:C17"/>
    <mergeCell ref="D16:D17"/>
    <mergeCell ref="F16:G16"/>
    <mergeCell ref="H16:H17"/>
    <mergeCell ref="E16:E17"/>
    <mergeCell ref="I16:J16"/>
    <mergeCell ref="K16:K17"/>
    <mergeCell ref="L16:L17"/>
    <mergeCell ref="I7:L7"/>
    <mergeCell ref="F9:H9"/>
    <mergeCell ref="I9:L9"/>
    <mergeCell ref="B11:C11"/>
    <mergeCell ref="F11:H11"/>
    <mergeCell ref="I11:L11"/>
    <mergeCell ref="A1:L1"/>
    <mergeCell ref="B3:C3"/>
    <mergeCell ref="F3:H3"/>
    <mergeCell ref="I3:L3"/>
    <mergeCell ref="F5:H5"/>
    <mergeCell ref="I5:L5"/>
    <mergeCell ref="F7:H7"/>
    <mergeCell ref="B7:C7"/>
    <mergeCell ref="L198:L207"/>
    <mergeCell ref="L208:L217"/>
    <mergeCell ref="A218:L218"/>
    <mergeCell ref="L108:L117"/>
    <mergeCell ref="L118:L127"/>
    <mergeCell ref="L128:L137"/>
    <mergeCell ref="L138:L147"/>
    <mergeCell ref="L148:L157"/>
    <mergeCell ref="L158:L167"/>
    <mergeCell ref="A108:A117"/>
    <mergeCell ref="A118:A127"/>
    <mergeCell ref="A128:A137"/>
    <mergeCell ref="A138:A147"/>
    <mergeCell ref="A148:A157"/>
    <mergeCell ref="A158:A167"/>
    <mergeCell ref="A168:A177"/>
    <mergeCell ref="A178:A187"/>
    <mergeCell ref="A188:A197"/>
    <mergeCell ref="A198:A207"/>
    <mergeCell ref="A208:A217"/>
    <mergeCell ref="L222:L231"/>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C359:J359"/>
    <mergeCell ref="C360:J360"/>
    <mergeCell ref="A361:B361"/>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s>
  <conditionalFormatting sqref="C18:C217">
    <cfRule type="containsBlanks" dxfId="62" priority="5">
      <formula>LEN(TRIM(C18))=0</formula>
    </cfRule>
  </conditionalFormatting>
  <conditionalFormatting sqref="C222:C225">
    <cfRule type="containsBlanks" dxfId="61" priority="1">
      <formula>LEN(TRIM(C222))=0</formula>
    </cfRule>
  </conditionalFormatting>
  <conditionalFormatting sqref="L18:L217 L222:L321 C226:C321 C327:L356 A359:J360">
    <cfRule type="containsBlanks" dxfId="60" priority="9">
      <formula>LEN(TRIM(A18))=0</formula>
    </cfRule>
  </conditionalFormatting>
  <dataValidations count="1">
    <dataValidation type="list" allowBlank="1" showInputMessage="1" showErrorMessage="1" sqref="A359:A360" xr:uid="{00000000-0002-0000-06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M367"/>
  <sheetViews>
    <sheetView showGridLines="0" zoomScale="60" zoomScaleNormal="60" workbookViewId="0">
      <selection activeCell="A323" sqref="A323:L323"/>
    </sheetView>
  </sheetViews>
  <sheetFormatPr baseColWidth="10" defaultColWidth="11.42578125" defaultRowHeight="12.75" x14ac:dyDescent="0.2"/>
  <cols>
    <col min="1" max="1" width="39.7109375" style="56" customWidth="1"/>
    <col min="2" max="2" width="41.7109375" style="97" customWidth="1"/>
    <col min="3" max="3" width="45.7109375" style="97"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9.140625" style="2" customWidth="1"/>
    <col min="14" max="16384" width="11.42578125" style="2"/>
  </cols>
  <sheetData>
    <row r="1" spans="1:13" s="55" customFormat="1" ht="18.75" x14ac:dyDescent="0.2">
      <c r="A1" s="455" t="str">
        <f>'M3'!A1:L1</f>
        <v>ORGANIZACIÓN DE LOS ELEMENTOS DEL MÓDULO</v>
      </c>
      <c r="B1" s="455"/>
      <c r="C1" s="455"/>
      <c r="D1" s="455"/>
      <c r="E1" s="455"/>
      <c r="F1" s="455"/>
      <c r="G1" s="455"/>
      <c r="H1" s="455"/>
      <c r="I1" s="455"/>
      <c r="J1" s="455"/>
      <c r="K1" s="455"/>
      <c r="L1" s="455"/>
    </row>
    <row r="2" spans="1:13" s="55" customFormat="1" ht="15.75" x14ac:dyDescent="0.2">
      <c r="A2" s="83"/>
      <c r="B2" s="83"/>
      <c r="C2" s="83"/>
      <c r="D2" s="83"/>
      <c r="E2" s="83"/>
      <c r="F2" s="83"/>
      <c r="G2" s="83"/>
      <c r="H2" s="83"/>
      <c r="I2" s="83"/>
      <c r="J2" s="83"/>
      <c r="K2" s="83"/>
      <c r="L2" s="83"/>
    </row>
    <row r="3" spans="1:13" ht="25.5" customHeight="1" x14ac:dyDescent="0.2">
      <c r="A3" s="19" t="s">
        <v>36</v>
      </c>
      <c r="B3" s="368" t="str">
        <f>Perfil_Egreso!B3</f>
        <v xml:space="preserve">CETPRO JUANJUI </v>
      </c>
      <c r="C3" s="368"/>
      <c r="D3" s="9"/>
      <c r="E3" s="9"/>
      <c r="F3" s="504" t="s">
        <v>51</v>
      </c>
      <c r="G3" s="504"/>
      <c r="H3" s="505"/>
      <c r="I3" s="506" t="str">
        <f>Perfil_Egreso!E3</f>
        <v>0533836</v>
      </c>
      <c r="J3" s="507"/>
      <c r="K3" s="507"/>
      <c r="L3" s="394"/>
    </row>
    <row r="4" spans="1:13" ht="15" customHeight="1" x14ac:dyDescent="0.2">
      <c r="A4" s="33"/>
      <c r="B4" s="33"/>
      <c r="C4" s="20"/>
      <c r="D4" s="20"/>
      <c r="E4" s="20"/>
      <c r="F4" s="9"/>
      <c r="G4" s="9"/>
      <c r="H4" s="9"/>
      <c r="I4" s="9"/>
      <c r="J4" s="9"/>
      <c r="K4" s="9"/>
      <c r="L4" s="9"/>
    </row>
    <row r="5" spans="1:13" ht="26.25" customHeight="1" x14ac:dyDescent="0.2">
      <c r="A5" s="19" t="s">
        <v>40</v>
      </c>
      <c r="B5" s="73" t="str">
        <f>Perfil_Egreso!B5</f>
        <v>Actividades profesionales, científicas y técnicas</v>
      </c>
      <c r="C5" s="21" t="s">
        <v>41</v>
      </c>
      <c r="D5" s="5" t="str">
        <f>Perfil_Egreso!D5</f>
        <v>Servicios prestados a empresas</v>
      </c>
      <c r="E5" s="22"/>
      <c r="F5" s="508" t="s">
        <v>42</v>
      </c>
      <c r="G5" s="508"/>
      <c r="H5" s="509"/>
      <c r="I5" s="393" t="str">
        <f>Perfil_Egreso!B7</f>
        <v>Actividades administrativas y de apoyo de oficina y otras actividades de
apoyo a las empresas</v>
      </c>
      <c r="J5" s="507"/>
      <c r="K5" s="507"/>
      <c r="L5" s="394"/>
    </row>
    <row r="6" spans="1:13" ht="12.75" customHeight="1" x14ac:dyDescent="0.2">
      <c r="A6" s="69"/>
      <c r="B6" s="69"/>
      <c r="C6" s="23"/>
      <c r="D6" s="23"/>
      <c r="E6" s="23"/>
      <c r="F6" s="9"/>
      <c r="G6" s="9"/>
      <c r="H6" s="9"/>
      <c r="I6" s="9"/>
      <c r="J6" s="9"/>
      <c r="K6" s="9"/>
      <c r="L6" s="9"/>
    </row>
    <row r="7" spans="1:13" ht="24" customHeight="1" x14ac:dyDescent="0.2">
      <c r="A7" s="69" t="str">
        <f>Perfil_Egreso!A10</f>
        <v>DENOMINACIÓN DEL PROGRAMA DE ESTUDIOS SEGÚN CNOF (según corresponda)</v>
      </c>
      <c r="B7" s="393" t="str">
        <f>Perfil_Egreso!B10</f>
        <v>APOYO ADMINISTRATIVO</v>
      </c>
      <c r="C7" s="394"/>
      <c r="D7" s="169"/>
      <c r="E7" s="169"/>
      <c r="F7" s="504" t="s">
        <v>44</v>
      </c>
      <c r="G7" s="504"/>
      <c r="H7" s="505"/>
      <c r="I7" s="506" t="str">
        <f>Perfil_Egreso!E10</f>
        <v>M2982-1-002</v>
      </c>
      <c r="J7" s="507"/>
      <c r="K7" s="507"/>
      <c r="L7" s="394"/>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2" t="str">
        <f>Perfil_Egreso!B12</f>
        <v>AUXILIAR TECNICO</v>
      </c>
      <c r="C9" s="26" t="s">
        <v>5</v>
      </c>
      <c r="D9" s="5">
        <f>Itinerario!W17</f>
        <v>1072</v>
      </c>
      <c r="E9" s="27"/>
      <c r="F9" s="510" t="s">
        <v>34</v>
      </c>
      <c r="G9" s="510"/>
      <c r="H9" s="511"/>
      <c r="I9" s="393">
        <f>Itinerario!T17</f>
        <v>40</v>
      </c>
      <c r="J9" s="507"/>
      <c r="K9" s="507"/>
      <c r="L9" s="394"/>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24" t="str">
        <f>Perfil_Egreso!D12</f>
        <v>PRESENCIAL</v>
      </c>
      <c r="C11" s="326"/>
      <c r="D11" s="9"/>
      <c r="E11" s="9"/>
      <c r="F11" s="512" t="str">
        <f>Perfil_Egreso!A14</f>
        <v>NIVEL FORMATIVO</v>
      </c>
      <c r="G11" s="512"/>
      <c r="H11" s="513"/>
      <c r="I11" s="393" t="str">
        <f>Perfil_Egreso!B14</f>
        <v>AUXILIAR TÉCNICO</v>
      </c>
      <c r="J11" s="507"/>
      <c r="K11" s="507"/>
      <c r="L11" s="394"/>
    </row>
    <row r="12" spans="1:13" s="55" customFormat="1" ht="8.25" customHeight="1" x14ac:dyDescent="0.2">
      <c r="A12" s="30"/>
      <c r="B12" s="30"/>
      <c r="C12" s="30"/>
      <c r="D12" s="30"/>
      <c r="E12" s="30"/>
      <c r="F12" s="30"/>
      <c r="G12" s="30"/>
      <c r="H12" s="30"/>
      <c r="I12" s="30"/>
      <c r="J12" s="30"/>
      <c r="K12" s="30"/>
      <c r="L12" s="30"/>
    </row>
    <row r="13" spans="1:13" ht="18.75" customHeight="1" x14ac:dyDescent="0.2">
      <c r="A13" s="456" t="s">
        <v>85</v>
      </c>
      <c r="B13" s="456"/>
      <c r="C13" s="456"/>
      <c r="D13" s="456"/>
      <c r="E13" s="456"/>
      <c r="F13" s="456"/>
      <c r="G13" s="456"/>
      <c r="H13" s="456"/>
      <c r="I13" s="456"/>
      <c r="J13" s="456"/>
      <c r="K13" s="456"/>
      <c r="L13" s="456"/>
    </row>
    <row r="14" spans="1:13" ht="78.75" customHeight="1" x14ac:dyDescent="0.2">
      <c r="A14" s="457">
        <f>Organización_Modular!C103</f>
        <v>0</v>
      </c>
      <c r="B14" s="457"/>
      <c r="C14" s="457"/>
      <c r="D14" s="457"/>
      <c r="E14" s="457"/>
      <c r="F14" s="457"/>
      <c r="G14" s="457"/>
      <c r="H14" s="457"/>
      <c r="I14" s="457"/>
      <c r="J14" s="457"/>
      <c r="K14" s="457"/>
      <c r="L14" s="457"/>
    </row>
    <row r="15" spans="1:13" ht="21" x14ac:dyDescent="0.2">
      <c r="A15" s="146" t="s">
        <v>84</v>
      </c>
      <c r="B15" s="458" t="str">
        <f>Organización_Modular!A103</f>
        <v>MÓDULO II: 
COCINA NACIONAL E INTERNACIONAL</v>
      </c>
      <c r="C15" s="458"/>
      <c r="D15" s="458"/>
      <c r="E15" s="458"/>
      <c r="F15" s="458"/>
      <c r="G15" s="458"/>
      <c r="H15" s="458"/>
      <c r="I15" s="458"/>
      <c r="J15" s="458"/>
      <c r="K15" s="458"/>
      <c r="L15" s="458"/>
    </row>
    <row r="16" spans="1:13" ht="18" customHeight="1" x14ac:dyDescent="0.2">
      <c r="A16" s="459" t="s">
        <v>83</v>
      </c>
      <c r="B16" s="459" t="s">
        <v>82</v>
      </c>
      <c r="C16" s="459" t="s">
        <v>78</v>
      </c>
      <c r="D16" s="459" t="s">
        <v>0</v>
      </c>
      <c r="E16" s="459" t="s">
        <v>50</v>
      </c>
      <c r="F16" s="459" t="s">
        <v>71</v>
      </c>
      <c r="G16" s="459"/>
      <c r="H16" s="459" t="s">
        <v>71</v>
      </c>
      <c r="I16" s="459" t="s">
        <v>77</v>
      </c>
      <c r="J16" s="459"/>
      <c r="K16" s="459" t="s">
        <v>77</v>
      </c>
      <c r="L16" s="459" t="s">
        <v>81</v>
      </c>
      <c r="M16" s="472" t="s">
        <v>91</v>
      </c>
    </row>
    <row r="17" spans="1:13" ht="15.75" customHeight="1" x14ac:dyDescent="0.2">
      <c r="A17" s="459"/>
      <c r="B17" s="459"/>
      <c r="C17" s="459"/>
      <c r="D17" s="459"/>
      <c r="E17" s="459"/>
      <c r="F17" s="149" t="s">
        <v>75</v>
      </c>
      <c r="G17" s="149" t="s">
        <v>74</v>
      </c>
      <c r="H17" s="459"/>
      <c r="I17" s="149" t="s">
        <v>75</v>
      </c>
      <c r="J17" s="149" t="s">
        <v>74</v>
      </c>
      <c r="K17" s="459"/>
      <c r="L17" s="459"/>
      <c r="M17" s="472"/>
    </row>
    <row r="18" spans="1:13" ht="162.75" customHeight="1" x14ac:dyDescent="0.2">
      <c r="A18" s="425" t="str">
        <f>Capacidades!L913</f>
        <v xml:space="preserve">       </v>
      </c>
      <c r="B18" s="156" t="str">
        <f>Capacidades!M913</f>
        <v xml:space="preserve">   </v>
      </c>
      <c r="C18" s="157"/>
      <c r="D18" s="11">
        <f>Organización_Modular!F103</f>
        <v>0</v>
      </c>
      <c r="E18" s="11">
        <f>Organización_Modular!G103</f>
        <v>0</v>
      </c>
      <c r="F18" s="11">
        <f>Organización_Modular!H103</f>
        <v>0</v>
      </c>
      <c r="G18" s="11">
        <f>Organización_Modular!I103</f>
        <v>0</v>
      </c>
      <c r="H18" s="12">
        <f>SUM(F18:G18)</f>
        <v>0</v>
      </c>
      <c r="I18" s="12">
        <f>F18*16</f>
        <v>0</v>
      </c>
      <c r="J18" s="12">
        <f>G18*32</f>
        <v>0</v>
      </c>
      <c r="K18" s="12">
        <f>SUM(I18:J18)</f>
        <v>0</v>
      </c>
      <c r="L18" s="445"/>
      <c r="M18" s="87" t="str">
        <f>B18</f>
        <v xml:space="preserve">   </v>
      </c>
    </row>
    <row r="19" spans="1:13" ht="102.75" customHeight="1" x14ac:dyDescent="0.2">
      <c r="A19" s="426"/>
      <c r="B19" s="156" t="str">
        <f>Capacidades!M914</f>
        <v xml:space="preserve">   </v>
      </c>
      <c r="C19" s="157"/>
      <c r="D19" s="13"/>
      <c r="E19" s="13"/>
      <c r="F19" s="13"/>
      <c r="G19" s="13"/>
      <c r="H19" s="14"/>
      <c r="I19" s="14"/>
      <c r="J19" s="14"/>
      <c r="K19" s="14"/>
      <c r="L19" s="446"/>
      <c r="M19" s="87" t="str">
        <f t="shared" ref="M19:M82" si="0">B19</f>
        <v xml:space="preserve">   </v>
      </c>
    </row>
    <row r="20" spans="1:13" x14ac:dyDescent="0.2">
      <c r="A20" s="426"/>
      <c r="B20" s="156" t="str">
        <f>Capacidades!M915</f>
        <v xml:space="preserve">   </v>
      </c>
      <c r="C20" s="157"/>
      <c r="D20" s="13"/>
      <c r="E20" s="13"/>
      <c r="F20" s="13"/>
      <c r="G20" s="13"/>
      <c r="H20" s="14"/>
      <c r="I20" s="14"/>
      <c r="J20" s="14"/>
      <c r="K20" s="14"/>
      <c r="L20" s="446"/>
      <c r="M20" s="87" t="str">
        <f t="shared" si="0"/>
        <v xml:space="preserve">   </v>
      </c>
    </row>
    <row r="21" spans="1:13" x14ac:dyDescent="0.2">
      <c r="A21" s="426"/>
      <c r="B21" s="156" t="str">
        <f>Capacidades!M916</f>
        <v xml:space="preserve">   </v>
      </c>
      <c r="C21" s="157"/>
      <c r="D21" s="13"/>
      <c r="E21" s="13"/>
      <c r="F21" s="13"/>
      <c r="G21" s="13"/>
      <c r="H21" s="14"/>
      <c r="I21" s="14"/>
      <c r="J21" s="14"/>
      <c r="K21" s="14"/>
      <c r="L21" s="446"/>
      <c r="M21" s="87" t="str">
        <f t="shared" si="0"/>
        <v xml:space="preserve">   </v>
      </c>
    </row>
    <row r="22" spans="1:13" x14ac:dyDescent="0.2">
      <c r="A22" s="426"/>
      <c r="B22" s="156" t="str">
        <f>Capacidades!M917</f>
        <v xml:space="preserve">   </v>
      </c>
      <c r="C22" s="157"/>
      <c r="D22" s="13"/>
      <c r="E22" s="13"/>
      <c r="F22" s="13"/>
      <c r="G22" s="13"/>
      <c r="H22" s="14"/>
      <c r="I22" s="14"/>
      <c r="J22" s="14"/>
      <c r="K22" s="14"/>
      <c r="L22" s="446"/>
      <c r="M22" s="87" t="str">
        <f t="shared" si="0"/>
        <v xml:space="preserve">   </v>
      </c>
    </row>
    <row r="23" spans="1:13" x14ac:dyDescent="0.2">
      <c r="A23" s="426"/>
      <c r="B23" s="156" t="str">
        <f>Capacidades!M918</f>
        <v xml:space="preserve">   </v>
      </c>
      <c r="C23" s="157"/>
      <c r="D23" s="13"/>
      <c r="E23" s="13"/>
      <c r="F23" s="13"/>
      <c r="G23" s="13"/>
      <c r="H23" s="14"/>
      <c r="I23" s="14"/>
      <c r="J23" s="14"/>
      <c r="K23" s="14"/>
      <c r="L23" s="446"/>
      <c r="M23" s="87" t="str">
        <f t="shared" si="0"/>
        <v xml:space="preserve">   </v>
      </c>
    </row>
    <row r="24" spans="1:13" x14ac:dyDescent="0.2">
      <c r="A24" s="426"/>
      <c r="B24" s="156" t="str">
        <f>Capacidades!M919</f>
        <v xml:space="preserve">   </v>
      </c>
      <c r="C24" s="157"/>
      <c r="D24" s="13"/>
      <c r="E24" s="13"/>
      <c r="F24" s="13"/>
      <c r="G24" s="13"/>
      <c r="H24" s="14"/>
      <c r="I24" s="14"/>
      <c r="J24" s="14"/>
      <c r="K24" s="14"/>
      <c r="L24" s="446"/>
      <c r="M24" s="87" t="str">
        <f t="shared" si="0"/>
        <v xml:space="preserve">   </v>
      </c>
    </row>
    <row r="25" spans="1:13" x14ac:dyDescent="0.2">
      <c r="A25" s="426"/>
      <c r="B25" s="156" t="str">
        <f>Capacidades!M920</f>
        <v xml:space="preserve">   </v>
      </c>
      <c r="C25" s="157"/>
      <c r="D25" s="13"/>
      <c r="E25" s="13"/>
      <c r="F25" s="13"/>
      <c r="G25" s="13"/>
      <c r="H25" s="14"/>
      <c r="I25" s="14"/>
      <c r="J25" s="14"/>
      <c r="K25" s="14"/>
      <c r="L25" s="446"/>
      <c r="M25" s="87" t="str">
        <f t="shared" si="0"/>
        <v xml:space="preserve">   </v>
      </c>
    </row>
    <row r="26" spans="1:13" x14ac:dyDescent="0.2">
      <c r="A26" s="426"/>
      <c r="B26" s="156" t="str">
        <f>Capacidades!M921</f>
        <v xml:space="preserve">   </v>
      </c>
      <c r="C26" s="157"/>
      <c r="D26" s="13"/>
      <c r="E26" s="13"/>
      <c r="F26" s="13"/>
      <c r="G26" s="13"/>
      <c r="H26" s="14"/>
      <c r="I26" s="14"/>
      <c r="J26" s="14"/>
      <c r="K26" s="14"/>
      <c r="L26" s="446"/>
      <c r="M26" s="87" t="str">
        <f t="shared" si="0"/>
        <v xml:space="preserve">   </v>
      </c>
    </row>
    <row r="27" spans="1:13" x14ac:dyDescent="0.2">
      <c r="A27" s="427"/>
      <c r="B27" s="156" t="str">
        <f>Capacidades!M922</f>
        <v xml:space="preserve">   </v>
      </c>
      <c r="C27" s="157"/>
      <c r="D27" s="15"/>
      <c r="E27" s="15"/>
      <c r="F27" s="15"/>
      <c r="G27" s="15"/>
      <c r="H27" s="16"/>
      <c r="I27" s="16"/>
      <c r="J27" s="16"/>
      <c r="K27" s="16"/>
      <c r="L27" s="447"/>
      <c r="M27" s="87" t="str">
        <f t="shared" si="0"/>
        <v xml:space="preserve">   </v>
      </c>
    </row>
    <row r="28" spans="1:13" x14ac:dyDescent="0.2">
      <c r="A28" s="425" t="str">
        <f>Capacidades!L923</f>
        <v xml:space="preserve">       </v>
      </c>
      <c r="B28" s="156" t="str">
        <f>Capacidades!M923</f>
        <v xml:space="preserve">   </v>
      </c>
      <c r="C28" s="157"/>
      <c r="D28" s="11">
        <f>Organización_Modular!F104</f>
        <v>0</v>
      </c>
      <c r="E28" s="11">
        <f>Organización_Modular!G104</f>
        <v>0</v>
      </c>
      <c r="F28" s="11">
        <f>Organización_Modular!H104</f>
        <v>0</v>
      </c>
      <c r="G28" s="11">
        <f>Organización_Modular!I104</f>
        <v>0</v>
      </c>
      <c r="H28" s="12">
        <f>SUM(F28:G28)</f>
        <v>0</v>
      </c>
      <c r="I28" s="12">
        <f>F28*16</f>
        <v>0</v>
      </c>
      <c r="J28" s="12">
        <f>G28*32</f>
        <v>0</v>
      </c>
      <c r="K28" s="12">
        <f>SUM(I28:J28)</f>
        <v>0</v>
      </c>
      <c r="L28" s="445"/>
      <c r="M28" s="87" t="str">
        <f t="shared" si="0"/>
        <v xml:space="preserve">   </v>
      </c>
    </row>
    <row r="29" spans="1:13" x14ac:dyDescent="0.2">
      <c r="A29" s="426"/>
      <c r="B29" s="156" t="str">
        <f>Capacidades!M924</f>
        <v xml:space="preserve">   </v>
      </c>
      <c r="C29" s="157"/>
      <c r="D29" s="13"/>
      <c r="E29" s="13"/>
      <c r="F29" s="13"/>
      <c r="G29" s="13"/>
      <c r="H29" s="14"/>
      <c r="I29" s="14"/>
      <c r="J29" s="14"/>
      <c r="K29" s="14"/>
      <c r="L29" s="446"/>
      <c r="M29" s="87" t="str">
        <f t="shared" si="0"/>
        <v xml:space="preserve">   </v>
      </c>
    </row>
    <row r="30" spans="1:13" x14ac:dyDescent="0.2">
      <c r="A30" s="426"/>
      <c r="B30" s="156" t="str">
        <f>Capacidades!M925</f>
        <v xml:space="preserve">   </v>
      </c>
      <c r="C30" s="157"/>
      <c r="D30" s="13"/>
      <c r="E30" s="13"/>
      <c r="F30" s="13"/>
      <c r="G30" s="13"/>
      <c r="H30" s="14"/>
      <c r="I30" s="14"/>
      <c r="J30" s="14"/>
      <c r="K30" s="14"/>
      <c r="L30" s="446"/>
      <c r="M30" s="87" t="str">
        <f t="shared" si="0"/>
        <v xml:space="preserve">   </v>
      </c>
    </row>
    <row r="31" spans="1:13" x14ac:dyDescent="0.2">
      <c r="A31" s="426"/>
      <c r="B31" s="156" t="str">
        <f>Capacidades!M926</f>
        <v xml:space="preserve">   </v>
      </c>
      <c r="C31" s="157"/>
      <c r="D31" s="13"/>
      <c r="E31" s="13"/>
      <c r="F31" s="13"/>
      <c r="G31" s="13"/>
      <c r="H31" s="14"/>
      <c r="I31" s="14"/>
      <c r="J31" s="14"/>
      <c r="K31" s="14"/>
      <c r="L31" s="446"/>
      <c r="M31" s="87" t="str">
        <f t="shared" si="0"/>
        <v xml:space="preserve">   </v>
      </c>
    </row>
    <row r="32" spans="1:13" ht="45" customHeight="1" x14ac:dyDescent="0.2">
      <c r="A32" s="426"/>
      <c r="B32" s="156" t="str">
        <f>Capacidades!M927</f>
        <v xml:space="preserve">   </v>
      </c>
      <c r="C32" s="157"/>
      <c r="D32" s="13"/>
      <c r="E32" s="13"/>
      <c r="F32" s="13"/>
      <c r="G32" s="13"/>
      <c r="H32" s="14"/>
      <c r="I32" s="14"/>
      <c r="J32" s="14"/>
      <c r="K32" s="14"/>
      <c r="L32" s="446"/>
      <c r="M32" s="87" t="str">
        <f t="shared" si="0"/>
        <v xml:space="preserve">   </v>
      </c>
    </row>
    <row r="33" spans="1:13" x14ac:dyDescent="0.2">
      <c r="A33" s="426"/>
      <c r="B33" s="156" t="str">
        <f>Capacidades!M928</f>
        <v xml:space="preserve">   </v>
      </c>
      <c r="C33" s="157"/>
      <c r="D33" s="13"/>
      <c r="E33" s="13"/>
      <c r="F33" s="13"/>
      <c r="G33" s="13"/>
      <c r="H33" s="14"/>
      <c r="I33" s="14"/>
      <c r="J33" s="14"/>
      <c r="K33" s="14"/>
      <c r="L33" s="446"/>
      <c r="M33" s="87" t="str">
        <f t="shared" si="0"/>
        <v xml:space="preserve">   </v>
      </c>
    </row>
    <row r="34" spans="1:13" x14ac:dyDescent="0.2">
      <c r="A34" s="426"/>
      <c r="B34" s="156" t="str">
        <f>Capacidades!M929</f>
        <v xml:space="preserve">   </v>
      </c>
      <c r="C34" s="157"/>
      <c r="D34" s="13"/>
      <c r="E34" s="13"/>
      <c r="F34" s="13"/>
      <c r="G34" s="13"/>
      <c r="H34" s="14"/>
      <c r="I34" s="14"/>
      <c r="J34" s="14"/>
      <c r="K34" s="14"/>
      <c r="L34" s="446"/>
      <c r="M34" s="87" t="str">
        <f t="shared" si="0"/>
        <v xml:space="preserve">   </v>
      </c>
    </row>
    <row r="35" spans="1:13" x14ac:dyDescent="0.2">
      <c r="A35" s="426"/>
      <c r="B35" s="156" t="str">
        <f>Capacidades!M930</f>
        <v xml:space="preserve">   </v>
      </c>
      <c r="C35" s="157"/>
      <c r="D35" s="13"/>
      <c r="E35" s="13"/>
      <c r="F35" s="13"/>
      <c r="G35" s="13"/>
      <c r="H35" s="14"/>
      <c r="I35" s="14"/>
      <c r="J35" s="14"/>
      <c r="K35" s="14"/>
      <c r="L35" s="446"/>
      <c r="M35" s="87" t="str">
        <f t="shared" si="0"/>
        <v xml:space="preserve">   </v>
      </c>
    </row>
    <row r="36" spans="1:13" x14ac:dyDescent="0.2">
      <c r="A36" s="426"/>
      <c r="B36" s="156" t="str">
        <f>Capacidades!M931</f>
        <v xml:space="preserve">   </v>
      </c>
      <c r="C36" s="157"/>
      <c r="D36" s="13"/>
      <c r="E36" s="13"/>
      <c r="F36" s="13"/>
      <c r="G36" s="13"/>
      <c r="H36" s="14"/>
      <c r="I36" s="14"/>
      <c r="J36" s="14"/>
      <c r="K36" s="14"/>
      <c r="L36" s="446"/>
      <c r="M36" s="87" t="str">
        <f t="shared" si="0"/>
        <v xml:space="preserve">   </v>
      </c>
    </row>
    <row r="37" spans="1:13" x14ac:dyDescent="0.2">
      <c r="A37" s="427"/>
      <c r="B37" s="156" t="str">
        <f>Capacidades!M932</f>
        <v xml:space="preserve">   </v>
      </c>
      <c r="C37" s="157"/>
      <c r="D37" s="15"/>
      <c r="E37" s="15"/>
      <c r="F37" s="15"/>
      <c r="G37" s="15"/>
      <c r="H37" s="16"/>
      <c r="I37" s="16"/>
      <c r="J37" s="16"/>
      <c r="K37" s="16"/>
      <c r="L37" s="447"/>
      <c r="M37" s="87" t="str">
        <f t="shared" si="0"/>
        <v xml:space="preserve">   </v>
      </c>
    </row>
    <row r="38" spans="1:13" x14ac:dyDescent="0.2">
      <c r="A38" s="425" t="str">
        <f>Capacidades!L933</f>
        <v xml:space="preserve">       </v>
      </c>
      <c r="B38" s="156" t="str">
        <f>Capacidades!M933</f>
        <v xml:space="preserve">   </v>
      </c>
      <c r="C38" s="157"/>
      <c r="D38" s="11">
        <f>Organización_Modular!F105</f>
        <v>0</v>
      </c>
      <c r="E38" s="11">
        <f>Organización_Modular!G105</f>
        <v>0</v>
      </c>
      <c r="F38" s="11">
        <f>Organización_Modular!H105</f>
        <v>0</v>
      </c>
      <c r="G38" s="11">
        <f>Organización_Modular!I105</f>
        <v>0</v>
      </c>
      <c r="H38" s="12">
        <f>SUM(F38:G38)</f>
        <v>0</v>
      </c>
      <c r="I38" s="12">
        <f>F38*16</f>
        <v>0</v>
      </c>
      <c r="J38" s="12">
        <f>G38*32</f>
        <v>0</v>
      </c>
      <c r="K38" s="12">
        <f>SUM(I38:J38)</f>
        <v>0</v>
      </c>
      <c r="L38" s="445"/>
      <c r="M38" s="87" t="str">
        <f t="shared" si="0"/>
        <v xml:space="preserve">   </v>
      </c>
    </row>
    <row r="39" spans="1:13" x14ac:dyDescent="0.2">
      <c r="A39" s="426"/>
      <c r="B39" s="156" t="str">
        <f>Capacidades!M934</f>
        <v xml:space="preserve">   </v>
      </c>
      <c r="C39" s="157"/>
      <c r="D39" s="13"/>
      <c r="E39" s="13"/>
      <c r="F39" s="13"/>
      <c r="G39" s="13"/>
      <c r="H39" s="14"/>
      <c r="I39" s="14"/>
      <c r="J39" s="14"/>
      <c r="K39" s="14"/>
      <c r="L39" s="446"/>
      <c r="M39" s="87" t="str">
        <f t="shared" si="0"/>
        <v xml:space="preserve">   </v>
      </c>
    </row>
    <row r="40" spans="1:13" x14ac:dyDescent="0.2">
      <c r="A40" s="426"/>
      <c r="B40" s="156" t="str">
        <f>Capacidades!M935</f>
        <v xml:space="preserve">   </v>
      </c>
      <c r="C40" s="157"/>
      <c r="D40" s="13"/>
      <c r="E40" s="13"/>
      <c r="F40" s="13"/>
      <c r="G40" s="13"/>
      <c r="H40" s="14"/>
      <c r="I40" s="14"/>
      <c r="J40" s="14"/>
      <c r="K40" s="14"/>
      <c r="L40" s="446"/>
      <c r="M40" s="87" t="str">
        <f t="shared" si="0"/>
        <v xml:space="preserve">   </v>
      </c>
    </row>
    <row r="41" spans="1:13" ht="104.25" customHeight="1" x14ac:dyDescent="0.2">
      <c r="A41" s="426"/>
      <c r="B41" s="156" t="str">
        <f>Capacidades!M936</f>
        <v xml:space="preserve">   </v>
      </c>
      <c r="C41" s="157"/>
      <c r="D41" s="13"/>
      <c r="E41" s="13"/>
      <c r="F41" s="13"/>
      <c r="G41" s="13"/>
      <c r="H41" s="14"/>
      <c r="I41" s="14"/>
      <c r="J41" s="14"/>
      <c r="K41" s="14"/>
      <c r="L41" s="446"/>
      <c r="M41" s="87" t="str">
        <f t="shared" si="0"/>
        <v xml:space="preserve">   </v>
      </c>
    </row>
    <row r="42" spans="1:13" x14ac:dyDescent="0.2">
      <c r="A42" s="426"/>
      <c r="B42" s="156" t="str">
        <f>Capacidades!M937</f>
        <v xml:space="preserve">   </v>
      </c>
      <c r="C42" s="157"/>
      <c r="D42" s="13"/>
      <c r="E42" s="13"/>
      <c r="F42" s="13"/>
      <c r="G42" s="13"/>
      <c r="H42" s="14"/>
      <c r="I42" s="14"/>
      <c r="J42" s="14"/>
      <c r="K42" s="14"/>
      <c r="L42" s="446"/>
      <c r="M42" s="87" t="str">
        <f t="shared" si="0"/>
        <v xml:space="preserve">   </v>
      </c>
    </row>
    <row r="43" spans="1:13" x14ac:dyDescent="0.2">
      <c r="A43" s="426"/>
      <c r="B43" s="156" t="str">
        <f>Capacidades!M938</f>
        <v xml:space="preserve">   </v>
      </c>
      <c r="C43" s="157"/>
      <c r="D43" s="13"/>
      <c r="E43" s="13"/>
      <c r="F43" s="13"/>
      <c r="G43" s="13"/>
      <c r="H43" s="14"/>
      <c r="I43" s="14"/>
      <c r="J43" s="14"/>
      <c r="K43" s="14"/>
      <c r="L43" s="446"/>
      <c r="M43" s="87" t="str">
        <f t="shared" si="0"/>
        <v xml:space="preserve">   </v>
      </c>
    </row>
    <row r="44" spans="1:13" x14ac:dyDescent="0.2">
      <c r="A44" s="426"/>
      <c r="B44" s="156" t="str">
        <f>Capacidades!M939</f>
        <v xml:space="preserve">   </v>
      </c>
      <c r="C44" s="157"/>
      <c r="D44" s="13"/>
      <c r="E44" s="13"/>
      <c r="F44" s="13"/>
      <c r="G44" s="13"/>
      <c r="H44" s="14"/>
      <c r="I44" s="14"/>
      <c r="J44" s="14"/>
      <c r="K44" s="14"/>
      <c r="L44" s="446"/>
      <c r="M44" s="87" t="str">
        <f t="shared" si="0"/>
        <v xml:space="preserve">   </v>
      </c>
    </row>
    <row r="45" spans="1:13" x14ac:dyDescent="0.2">
      <c r="A45" s="426"/>
      <c r="B45" s="156" t="str">
        <f>Capacidades!M940</f>
        <v xml:space="preserve">   </v>
      </c>
      <c r="C45" s="157"/>
      <c r="D45" s="13"/>
      <c r="E45" s="13"/>
      <c r="F45" s="13"/>
      <c r="G45" s="13"/>
      <c r="H45" s="14"/>
      <c r="I45" s="14"/>
      <c r="J45" s="14"/>
      <c r="K45" s="14"/>
      <c r="L45" s="446"/>
      <c r="M45" s="87" t="str">
        <f t="shared" si="0"/>
        <v xml:space="preserve">   </v>
      </c>
    </row>
    <row r="46" spans="1:13" x14ac:dyDescent="0.2">
      <c r="A46" s="426"/>
      <c r="B46" s="156" t="str">
        <f>Capacidades!M941</f>
        <v xml:space="preserve">   </v>
      </c>
      <c r="C46" s="157"/>
      <c r="D46" s="13"/>
      <c r="E46" s="13"/>
      <c r="F46" s="13"/>
      <c r="G46" s="13"/>
      <c r="H46" s="14"/>
      <c r="I46" s="14"/>
      <c r="J46" s="14"/>
      <c r="K46" s="14"/>
      <c r="L46" s="446"/>
      <c r="M46" s="87" t="str">
        <f t="shared" si="0"/>
        <v xml:space="preserve">   </v>
      </c>
    </row>
    <row r="47" spans="1:13" x14ac:dyDescent="0.2">
      <c r="A47" s="427"/>
      <c r="B47" s="156" t="str">
        <f>Capacidades!M942</f>
        <v xml:space="preserve">   </v>
      </c>
      <c r="C47" s="157"/>
      <c r="D47" s="15"/>
      <c r="E47" s="15"/>
      <c r="F47" s="15"/>
      <c r="G47" s="15"/>
      <c r="H47" s="16"/>
      <c r="I47" s="16"/>
      <c r="J47" s="16"/>
      <c r="K47" s="16"/>
      <c r="L47" s="447"/>
      <c r="M47" s="87" t="str">
        <f t="shared" si="0"/>
        <v xml:space="preserve">   </v>
      </c>
    </row>
    <row r="48" spans="1:13" x14ac:dyDescent="0.2">
      <c r="A48" s="425" t="str">
        <f>Capacidades!L943</f>
        <v xml:space="preserve">       </v>
      </c>
      <c r="B48" s="156" t="str">
        <f>Capacidades!M943</f>
        <v xml:space="preserve">   </v>
      </c>
      <c r="C48" s="157"/>
      <c r="D48" s="11">
        <f>Organización_Modular!F106</f>
        <v>0</v>
      </c>
      <c r="E48" s="11">
        <f>Organización_Modular!G106</f>
        <v>0</v>
      </c>
      <c r="F48" s="11">
        <f>Organización_Modular!H106</f>
        <v>0</v>
      </c>
      <c r="G48" s="11">
        <f>Organización_Modular!I106</f>
        <v>0</v>
      </c>
      <c r="H48" s="12">
        <f>SUM(F48:G48)</f>
        <v>0</v>
      </c>
      <c r="I48" s="12">
        <f>F48*16</f>
        <v>0</v>
      </c>
      <c r="J48" s="12">
        <f>G48*32</f>
        <v>0</v>
      </c>
      <c r="K48" s="12">
        <f>SUM(I48:J48)</f>
        <v>0</v>
      </c>
      <c r="L48" s="445"/>
      <c r="M48" s="87" t="str">
        <f t="shared" si="0"/>
        <v xml:space="preserve">   </v>
      </c>
    </row>
    <row r="49" spans="1:13" x14ac:dyDescent="0.2">
      <c r="A49" s="426"/>
      <c r="B49" s="156" t="str">
        <f>Capacidades!M944</f>
        <v xml:space="preserve">   </v>
      </c>
      <c r="C49" s="157"/>
      <c r="D49" s="13"/>
      <c r="E49" s="13"/>
      <c r="F49" s="13"/>
      <c r="G49" s="13"/>
      <c r="H49" s="14"/>
      <c r="I49" s="14"/>
      <c r="J49" s="14"/>
      <c r="K49" s="14"/>
      <c r="L49" s="446"/>
      <c r="M49" s="87" t="str">
        <f t="shared" si="0"/>
        <v xml:space="preserve">   </v>
      </c>
    </row>
    <row r="50" spans="1:13" x14ac:dyDescent="0.2">
      <c r="A50" s="426"/>
      <c r="B50" s="156" t="str">
        <f>Capacidades!M945</f>
        <v xml:space="preserve">   </v>
      </c>
      <c r="C50" s="157"/>
      <c r="D50" s="13"/>
      <c r="E50" s="13"/>
      <c r="F50" s="13"/>
      <c r="G50" s="13"/>
      <c r="H50" s="14"/>
      <c r="I50" s="14"/>
      <c r="J50" s="14"/>
      <c r="K50" s="14"/>
      <c r="L50" s="446"/>
      <c r="M50" s="87" t="str">
        <f t="shared" si="0"/>
        <v xml:space="preserve">   </v>
      </c>
    </row>
    <row r="51" spans="1:13" x14ac:dyDescent="0.2">
      <c r="A51" s="426"/>
      <c r="B51" s="156" t="str">
        <f>Capacidades!M946</f>
        <v xml:space="preserve">   </v>
      </c>
      <c r="C51" s="157"/>
      <c r="D51" s="13"/>
      <c r="E51" s="13"/>
      <c r="F51" s="13"/>
      <c r="G51" s="13"/>
      <c r="H51" s="14"/>
      <c r="I51" s="14"/>
      <c r="J51" s="14"/>
      <c r="K51" s="14"/>
      <c r="L51" s="446"/>
      <c r="M51" s="87" t="str">
        <f t="shared" si="0"/>
        <v xml:space="preserve">   </v>
      </c>
    </row>
    <row r="52" spans="1:13" x14ac:dyDescent="0.2">
      <c r="A52" s="426"/>
      <c r="B52" s="156" t="str">
        <f>Capacidades!M947</f>
        <v xml:space="preserve">   </v>
      </c>
      <c r="C52" s="157"/>
      <c r="D52" s="13"/>
      <c r="E52" s="13"/>
      <c r="F52" s="13"/>
      <c r="G52" s="13"/>
      <c r="H52" s="14"/>
      <c r="I52" s="14"/>
      <c r="J52" s="14"/>
      <c r="K52" s="14"/>
      <c r="L52" s="446"/>
      <c r="M52" s="87" t="str">
        <f t="shared" si="0"/>
        <v xml:space="preserve">   </v>
      </c>
    </row>
    <row r="53" spans="1:13" x14ac:dyDescent="0.2">
      <c r="A53" s="426"/>
      <c r="B53" s="156" t="str">
        <f>Capacidades!M948</f>
        <v xml:space="preserve">   </v>
      </c>
      <c r="C53" s="157"/>
      <c r="D53" s="13"/>
      <c r="E53" s="13"/>
      <c r="F53" s="13"/>
      <c r="G53" s="13"/>
      <c r="H53" s="14"/>
      <c r="I53" s="14"/>
      <c r="J53" s="14"/>
      <c r="K53" s="14"/>
      <c r="L53" s="446"/>
      <c r="M53" s="87" t="str">
        <f t="shared" si="0"/>
        <v xml:space="preserve">   </v>
      </c>
    </row>
    <row r="54" spans="1:13" x14ac:dyDescent="0.2">
      <c r="A54" s="426"/>
      <c r="B54" s="156" t="str">
        <f>Capacidades!M949</f>
        <v xml:space="preserve">   </v>
      </c>
      <c r="C54" s="157"/>
      <c r="D54" s="13"/>
      <c r="E54" s="13"/>
      <c r="F54" s="13"/>
      <c r="G54" s="13"/>
      <c r="H54" s="14"/>
      <c r="I54" s="14"/>
      <c r="J54" s="14"/>
      <c r="K54" s="14"/>
      <c r="L54" s="446"/>
      <c r="M54" s="87" t="str">
        <f t="shared" si="0"/>
        <v xml:space="preserve">   </v>
      </c>
    </row>
    <row r="55" spans="1:13" x14ac:dyDescent="0.2">
      <c r="A55" s="426"/>
      <c r="B55" s="156" t="str">
        <f>Capacidades!M950</f>
        <v xml:space="preserve">   </v>
      </c>
      <c r="C55" s="157"/>
      <c r="D55" s="13"/>
      <c r="E55" s="13"/>
      <c r="F55" s="13"/>
      <c r="G55" s="13"/>
      <c r="H55" s="14"/>
      <c r="I55" s="14"/>
      <c r="J55" s="14"/>
      <c r="K55" s="14"/>
      <c r="L55" s="446"/>
      <c r="M55" s="87" t="str">
        <f t="shared" si="0"/>
        <v xml:space="preserve">   </v>
      </c>
    </row>
    <row r="56" spans="1:13" x14ac:dyDescent="0.2">
      <c r="A56" s="426"/>
      <c r="B56" s="156" t="str">
        <f>Capacidades!M951</f>
        <v xml:space="preserve">   </v>
      </c>
      <c r="C56" s="157"/>
      <c r="D56" s="13"/>
      <c r="E56" s="13"/>
      <c r="F56" s="13"/>
      <c r="G56" s="13"/>
      <c r="H56" s="14"/>
      <c r="I56" s="14"/>
      <c r="J56" s="14"/>
      <c r="K56" s="14"/>
      <c r="L56" s="446"/>
      <c r="M56" s="87" t="str">
        <f t="shared" si="0"/>
        <v xml:space="preserve">   </v>
      </c>
    </row>
    <row r="57" spans="1:13" x14ac:dyDescent="0.2">
      <c r="A57" s="427"/>
      <c r="B57" s="156" t="str">
        <f>Capacidades!M952</f>
        <v xml:space="preserve">   </v>
      </c>
      <c r="C57" s="157"/>
      <c r="D57" s="15"/>
      <c r="E57" s="15"/>
      <c r="F57" s="15"/>
      <c r="G57" s="15"/>
      <c r="H57" s="16"/>
      <c r="I57" s="16"/>
      <c r="J57" s="16"/>
      <c r="K57" s="16"/>
      <c r="L57" s="447"/>
      <c r="M57" s="87" t="str">
        <f t="shared" si="0"/>
        <v xml:space="preserve">   </v>
      </c>
    </row>
    <row r="58" spans="1:13" x14ac:dyDescent="0.2">
      <c r="A58" s="425" t="str">
        <f>Capacidades!L953</f>
        <v xml:space="preserve">       </v>
      </c>
      <c r="B58" s="156" t="str">
        <f>Capacidades!M953</f>
        <v xml:space="preserve">   </v>
      </c>
      <c r="C58" s="157"/>
      <c r="D58" s="11">
        <f>Organización_Modular!F107</f>
        <v>0</v>
      </c>
      <c r="E58" s="11">
        <f>Organización_Modular!G107</f>
        <v>0</v>
      </c>
      <c r="F58" s="11">
        <f>Organización_Modular!H107</f>
        <v>0</v>
      </c>
      <c r="G58" s="11">
        <f>Organización_Modular!I107</f>
        <v>0</v>
      </c>
      <c r="H58" s="12">
        <f>SUM(F58:G58)</f>
        <v>0</v>
      </c>
      <c r="I58" s="12">
        <f>F58*16</f>
        <v>0</v>
      </c>
      <c r="J58" s="12">
        <f>G58*32</f>
        <v>0</v>
      </c>
      <c r="K58" s="12">
        <f>SUM(I58:J58)</f>
        <v>0</v>
      </c>
      <c r="L58" s="445"/>
      <c r="M58" s="87" t="str">
        <f t="shared" si="0"/>
        <v xml:space="preserve">   </v>
      </c>
    </row>
    <row r="59" spans="1:13" x14ac:dyDescent="0.2">
      <c r="A59" s="426"/>
      <c r="B59" s="156" t="str">
        <f>Capacidades!M954</f>
        <v xml:space="preserve">   </v>
      </c>
      <c r="C59" s="157"/>
      <c r="D59" s="13"/>
      <c r="E59" s="13"/>
      <c r="F59" s="13"/>
      <c r="G59" s="13"/>
      <c r="H59" s="14"/>
      <c r="I59" s="14"/>
      <c r="J59" s="14"/>
      <c r="K59" s="14"/>
      <c r="L59" s="446"/>
      <c r="M59" s="87" t="str">
        <f t="shared" si="0"/>
        <v xml:space="preserve">   </v>
      </c>
    </row>
    <row r="60" spans="1:13" x14ac:dyDescent="0.2">
      <c r="A60" s="426"/>
      <c r="B60" s="156" t="str">
        <f>Capacidades!M955</f>
        <v xml:space="preserve">   </v>
      </c>
      <c r="C60" s="157"/>
      <c r="D60" s="13"/>
      <c r="E60" s="13"/>
      <c r="F60" s="13"/>
      <c r="G60" s="13"/>
      <c r="H60" s="14"/>
      <c r="I60" s="14"/>
      <c r="J60" s="14"/>
      <c r="K60" s="14"/>
      <c r="L60" s="446"/>
      <c r="M60" s="87" t="str">
        <f t="shared" si="0"/>
        <v xml:space="preserve">   </v>
      </c>
    </row>
    <row r="61" spans="1:13" x14ac:dyDescent="0.2">
      <c r="A61" s="426"/>
      <c r="B61" s="156" t="str">
        <f>Capacidades!M956</f>
        <v xml:space="preserve">   </v>
      </c>
      <c r="C61" s="157"/>
      <c r="D61" s="13"/>
      <c r="E61" s="13"/>
      <c r="F61" s="13"/>
      <c r="G61" s="13"/>
      <c r="H61" s="14"/>
      <c r="I61" s="14"/>
      <c r="J61" s="14"/>
      <c r="K61" s="14"/>
      <c r="L61" s="446"/>
      <c r="M61" s="87" t="str">
        <f t="shared" si="0"/>
        <v xml:space="preserve">   </v>
      </c>
    </row>
    <row r="62" spans="1:13" x14ac:dyDescent="0.2">
      <c r="A62" s="426"/>
      <c r="B62" s="156" t="str">
        <f>Capacidades!M957</f>
        <v xml:space="preserve">   </v>
      </c>
      <c r="C62" s="157"/>
      <c r="D62" s="13"/>
      <c r="E62" s="13"/>
      <c r="F62" s="13"/>
      <c r="G62" s="13"/>
      <c r="H62" s="14"/>
      <c r="I62" s="14"/>
      <c r="J62" s="14"/>
      <c r="K62" s="14"/>
      <c r="L62" s="446"/>
      <c r="M62" s="87" t="str">
        <f t="shared" si="0"/>
        <v xml:space="preserve">   </v>
      </c>
    </row>
    <row r="63" spans="1:13" x14ac:dyDescent="0.2">
      <c r="A63" s="426"/>
      <c r="B63" s="156" t="str">
        <f>Capacidades!M958</f>
        <v xml:space="preserve">   </v>
      </c>
      <c r="C63" s="157"/>
      <c r="D63" s="13"/>
      <c r="E63" s="13"/>
      <c r="F63" s="13"/>
      <c r="G63" s="13"/>
      <c r="H63" s="14"/>
      <c r="I63" s="14"/>
      <c r="J63" s="14"/>
      <c r="K63" s="14"/>
      <c r="L63" s="446"/>
      <c r="M63" s="87" t="str">
        <f t="shared" si="0"/>
        <v xml:space="preserve">   </v>
      </c>
    </row>
    <row r="64" spans="1:13" x14ac:dyDescent="0.2">
      <c r="A64" s="426"/>
      <c r="B64" s="156" t="str">
        <f>Capacidades!M959</f>
        <v xml:space="preserve">   </v>
      </c>
      <c r="C64" s="157"/>
      <c r="D64" s="13"/>
      <c r="E64" s="13"/>
      <c r="F64" s="13"/>
      <c r="G64" s="13"/>
      <c r="H64" s="14"/>
      <c r="I64" s="14"/>
      <c r="J64" s="14"/>
      <c r="K64" s="14"/>
      <c r="L64" s="446"/>
      <c r="M64" s="87" t="str">
        <f t="shared" si="0"/>
        <v xml:space="preserve">   </v>
      </c>
    </row>
    <row r="65" spans="1:13" x14ac:dyDescent="0.2">
      <c r="A65" s="426"/>
      <c r="B65" s="156" t="str">
        <f>Capacidades!M960</f>
        <v xml:space="preserve">   </v>
      </c>
      <c r="C65" s="157"/>
      <c r="D65" s="13"/>
      <c r="E65" s="13"/>
      <c r="F65" s="13"/>
      <c r="G65" s="13"/>
      <c r="H65" s="14"/>
      <c r="I65" s="14"/>
      <c r="J65" s="14"/>
      <c r="K65" s="14"/>
      <c r="L65" s="446"/>
      <c r="M65" s="87" t="str">
        <f t="shared" si="0"/>
        <v xml:space="preserve">   </v>
      </c>
    </row>
    <row r="66" spans="1:13" x14ac:dyDescent="0.2">
      <c r="A66" s="426"/>
      <c r="B66" s="156" t="str">
        <f>Capacidades!M961</f>
        <v xml:space="preserve">   </v>
      </c>
      <c r="C66" s="157"/>
      <c r="D66" s="13"/>
      <c r="E66" s="13"/>
      <c r="F66" s="13"/>
      <c r="G66" s="13"/>
      <c r="H66" s="14"/>
      <c r="I66" s="14"/>
      <c r="J66" s="14"/>
      <c r="K66" s="14"/>
      <c r="L66" s="446"/>
      <c r="M66" s="87" t="str">
        <f t="shared" si="0"/>
        <v xml:space="preserve">   </v>
      </c>
    </row>
    <row r="67" spans="1:13" x14ac:dyDescent="0.2">
      <c r="A67" s="427"/>
      <c r="B67" s="156" t="str">
        <f>Capacidades!M962</f>
        <v xml:space="preserve">   </v>
      </c>
      <c r="C67" s="157"/>
      <c r="D67" s="15"/>
      <c r="E67" s="15"/>
      <c r="F67" s="15"/>
      <c r="G67" s="15"/>
      <c r="H67" s="16"/>
      <c r="I67" s="16"/>
      <c r="J67" s="16"/>
      <c r="K67" s="16"/>
      <c r="L67" s="447"/>
      <c r="M67" s="87" t="str">
        <f t="shared" si="0"/>
        <v xml:space="preserve">   </v>
      </c>
    </row>
    <row r="68" spans="1:13" x14ac:dyDescent="0.2">
      <c r="A68" s="425" t="str">
        <f>Capacidades!L963</f>
        <v xml:space="preserve">       </v>
      </c>
      <c r="B68" s="156" t="str">
        <f>Capacidades!M963</f>
        <v xml:space="preserve">   </v>
      </c>
      <c r="C68" s="157"/>
      <c r="D68" s="11">
        <f>Organización_Modular!F108</f>
        <v>0</v>
      </c>
      <c r="E68" s="11">
        <f>Organización_Modular!G108</f>
        <v>0</v>
      </c>
      <c r="F68" s="11">
        <f>Organización_Modular!H108</f>
        <v>0</v>
      </c>
      <c r="G68" s="11">
        <f>Organización_Modular!I108</f>
        <v>0</v>
      </c>
      <c r="H68" s="12">
        <f>SUM(F68:G68)</f>
        <v>0</v>
      </c>
      <c r="I68" s="12">
        <f>F68*16</f>
        <v>0</v>
      </c>
      <c r="J68" s="12">
        <f>G68*32</f>
        <v>0</v>
      </c>
      <c r="K68" s="12">
        <f>SUM(I68:J68)</f>
        <v>0</v>
      </c>
      <c r="L68" s="445"/>
      <c r="M68" s="87" t="str">
        <f t="shared" si="0"/>
        <v xml:space="preserve">   </v>
      </c>
    </row>
    <row r="69" spans="1:13" x14ac:dyDescent="0.2">
      <c r="A69" s="426"/>
      <c r="B69" s="156" t="str">
        <f>Capacidades!M964</f>
        <v xml:space="preserve">   </v>
      </c>
      <c r="C69" s="157"/>
      <c r="D69" s="13"/>
      <c r="E69" s="13"/>
      <c r="F69" s="13"/>
      <c r="G69" s="13"/>
      <c r="H69" s="14"/>
      <c r="I69" s="14"/>
      <c r="J69" s="14"/>
      <c r="K69" s="14"/>
      <c r="L69" s="446"/>
      <c r="M69" s="87" t="str">
        <f t="shared" si="0"/>
        <v xml:space="preserve">   </v>
      </c>
    </row>
    <row r="70" spans="1:13" x14ac:dyDescent="0.2">
      <c r="A70" s="426"/>
      <c r="B70" s="156" t="str">
        <f>Capacidades!M965</f>
        <v xml:space="preserve">   </v>
      </c>
      <c r="C70" s="157"/>
      <c r="D70" s="13"/>
      <c r="E70" s="13"/>
      <c r="F70" s="13"/>
      <c r="G70" s="13"/>
      <c r="H70" s="14"/>
      <c r="I70" s="14"/>
      <c r="J70" s="14"/>
      <c r="K70" s="14"/>
      <c r="L70" s="446"/>
      <c r="M70" s="87" t="str">
        <f t="shared" si="0"/>
        <v xml:space="preserve">   </v>
      </c>
    </row>
    <row r="71" spans="1:13" x14ac:dyDescent="0.2">
      <c r="A71" s="426"/>
      <c r="B71" s="156" t="str">
        <f>Capacidades!M966</f>
        <v xml:space="preserve">   </v>
      </c>
      <c r="C71" s="157"/>
      <c r="D71" s="13"/>
      <c r="E71" s="13"/>
      <c r="F71" s="13"/>
      <c r="G71" s="13"/>
      <c r="H71" s="14"/>
      <c r="I71" s="14"/>
      <c r="J71" s="14"/>
      <c r="K71" s="14"/>
      <c r="L71" s="446"/>
      <c r="M71" s="87" t="str">
        <f t="shared" si="0"/>
        <v xml:space="preserve">   </v>
      </c>
    </row>
    <row r="72" spans="1:13" x14ac:dyDescent="0.2">
      <c r="A72" s="426"/>
      <c r="B72" s="156" t="str">
        <f>Capacidades!M967</f>
        <v xml:space="preserve">   </v>
      </c>
      <c r="C72" s="157"/>
      <c r="D72" s="13"/>
      <c r="E72" s="13"/>
      <c r="F72" s="13"/>
      <c r="G72" s="13"/>
      <c r="H72" s="14"/>
      <c r="I72" s="14"/>
      <c r="J72" s="14"/>
      <c r="K72" s="14"/>
      <c r="L72" s="446"/>
      <c r="M72" s="87" t="str">
        <f t="shared" si="0"/>
        <v xml:space="preserve">   </v>
      </c>
    </row>
    <row r="73" spans="1:13" x14ac:dyDescent="0.2">
      <c r="A73" s="426"/>
      <c r="B73" s="156" t="str">
        <f>Capacidades!M968</f>
        <v xml:space="preserve">   </v>
      </c>
      <c r="C73" s="157"/>
      <c r="D73" s="13"/>
      <c r="E73" s="13"/>
      <c r="F73" s="13"/>
      <c r="G73" s="13"/>
      <c r="H73" s="14"/>
      <c r="I73" s="14"/>
      <c r="J73" s="14"/>
      <c r="K73" s="14"/>
      <c r="L73" s="446"/>
      <c r="M73" s="87" t="str">
        <f t="shared" si="0"/>
        <v xml:space="preserve">   </v>
      </c>
    </row>
    <row r="74" spans="1:13" x14ac:dyDescent="0.2">
      <c r="A74" s="426"/>
      <c r="B74" s="156" t="str">
        <f>Capacidades!M969</f>
        <v xml:space="preserve">   </v>
      </c>
      <c r="C74" s="157"/>
      <c r="D74" s="13"/>
      <c r="E74" s="13"/>
      <c r="F74" s="13"/>
      <c r="G74" s="13"/>
      <c r="H74" s="14"/>
      <c r="I74" s="14"/>
      <c r="J74" s="14"/>
      <c r="K74" s="14"/>
      <c r="L74" s="446"/>
      <c r="M74" s="87" t="str">
        <f t="shared" si="0"/>
        <v xml:space="preserve">   </v>
      </c>
    </row>
    <row r="75" spans="1:13" x14ac:dyDescent="0.2">
      <c r="A75" s="426"/>
      <c r="B75" s="156" t="str">
        <f>Capacidades!M970</f>
        <v xml:space="preserve">   </v>
      </c>
      <c r="C75" s="157"/>
      <c r="D75" s="13"/>
      <c r="E75" s="13"/>
      <c r="F75" s="13"/>
      <c r="G75" s="13"/>
      <c r="H75" s="14"/>
      <c r="I75" s="14"/>
      <c r="J75" s="14"/>
      <c r="K75" s="14"/>
      <c r="L75" s="446"/>
      <c r="M75" s="87" t="str">
        <f t="shared" si="0"/>
        <v xml:space="preserve">   </v>
      </c>
    </row>
    <row r="76" spans="1:13" x14ac:dyDescent="0.2">
      <c r="A76" s="426"/>
      <c r="B76" s="156" t="str">
        <f>Capacidades!M971</f>
        <v xml:space="preserve">   </v>
      </c>
      <c r="C76" s="157"/>
      <c r="D76" s="13"/>
      <c r="E76" s="13"/>
      <c r="F76" s="13"/>
      <c r="G76" s="13"/>
      <c r="H76" s="14"/>
      <c r="I76" s="14"/>
      <c r="J76" s="14"/>
      <c r="K76" s="14"/>
      <c r="L76" s="446"/>
      <c r="M76" s="87" t="str">
        <f t="shared" si="0"/>
        <v xml:space="preserve">   </v>
      </c>
    </row>
    <row r="77" spans="1:13" x14ac:dyDescent="0.2">
      <c r="A77" s="427"/>
      <c r="B77" s="156" t="str">
        <f>Capacidades!M972</f>
        <v xml:space="preserve">   </v>
      </c>
      <c r="C77" s="157"/>
      <c r="D77" s="15"/>
      <c r="E77" s="15"/>
      <c r="F77" s="15"/>
      <c r="G77" s="15"/>
      <c r="H77" s="16"/>
      <c r="I77" s="16"/>
      <c r="J77" s="16"/>
      <c r="K77" s="16"/>
      <c r="L77" s="447"/>
      <c r="M77" s="87" t="str">
        <f t="shared" si="0"/>
        <v xml:space="preserve">   </v>
      </c>
    </row>
    <row r="78" spans="1:13" x14ac:dyDescent="0.2">
      <c r="A78" s="425" t="str">
        <f>Capacidades!L973</f>
        <v xml:space="preserve">       </v>
      </c>
      <c r="B78" s="156" t="str">
        <f>Capacidades!M973</f>
        <v xml:space="preserve">   </v>
      </c>
      <c r="C78" s="157"/>
      <c r="D78" s="11">
        <f>Organización_Modular!F109</f>
        <v>0</v>
      </c>
      <c r="E78" s="11">
        <f>Organización_Modular!G109</f>
        <v>0</v>
      </c>
      <c r="F78" s="11">
        <f>Organización_Modular!H109</f>
        <v>0</v>
      </c>
      <c r="G78" s="11">
        <f>Organización_Modular!I109</f>
        <v>0</v>
      </c>
      <c r="H78" s="12">
        <f>SUM(F78:G78)</f>
        <v>0</v>
      </c>
      <c r="I78" s="12">
        <f>F78*16</f>
        <v>0</v>
      </c>
      <c r="J78" s="12">
        <f>G78*32</f>
        <v>0</v>
      </c>
      <c r="K78" s="12">
        <f>SUM(I78:J78)</f>
        <v>0</v>
      </c>
      <c r="L78" s="445"/>
      <c r="M78" s="87" t="str">
        <f t="shared" si="0"/>
        <v xml:space="preserve">   </v>
      </c>
    </row>
    <row r="79" spans="1:13" x14ac:dyDescent="0.2">
      <c r="A79" s="426"/>
      <c r="B79" s="156" t="str">
        <f>Capacidades!M974</f>
        <v xml:space="preserve">   </v>
      </c>
      <c r="C79" s="157"/>
      <c r="D79" s="13"/>
      <c r="E79" s="13"/>
      <c r="F79" s="13"/>
      <c r="G79" s="13"/>
      <c r="H79" s="14"/>
      <c r="I79" s="14"/>
      <c r="J79" s="14"/>
      <c r="K79" s="14"/>
      <c r="L79" s="446"/>
      <c r="M79" s="87" t="str">
        <f t="shared" si="0"/>
        <v xml:space="preserve">   </v>
      </c>
    </row>
    <row r="80" spans="1:13" x14ac:dyDescent="0.2">
      <c r="A80" s="426"/>
      <c r="B80" s="156" t="str">
        <f>Capacidades!M975</f>
        <v xml:space="preserve">   </v>
      </c>
      <c r="C80" s="157"/>
      <c r="D80" s="13"/>
      <c r="E80" s="13"/>
      <c r="F80" s="13"/>
      <c r="G80" s="13"/>
      <c r="H80" s="14"/>
      <c r="I80" s="14"/>
      <c r="J80" s="14"/>
      <c r="K80" s="14"/>
      <c r="L80" s="446"/>
      <c r="M80" s="87" t="str">
        <f t="shared" si="0"/>
        <v xml:space="preserve">   </v>
      </c>
    </row>
    <row r="81" spans="1:13" x14ac:dyDescent="0.2">
      <c r="A81" s="426"/>
      <c r="B81" s="156" t="str">
        <f>Capacidades!M976</f>
        <v xml:space="preserve">   </v>
      </c>
      <c r="C81" s="157"/>
      <c r="D81" s="13"/>
      <c r="E81" s="13"/>
      <c r="F81" s="13"/>
      <c r="G81" s="13"/>
      <c r="H81" s="14"/>
      <c r="I81" s="14"/>
      <c r="J81" s="14"/>
      <c r="K81" s="14"/>
      <c r="L81" s="446"/>
      <c r="M81" s="87" t="str">
        <f t="shared" si="0"/>
        <v xml:space="preserve">   </v>
      </c>
    </row>
    <row r="82" spans="1:13" x14ac:dyDescent="0.2">
      <c r="A82" s="426"/>
      <c r="B82" s="156" t="str">
        <f>Capacidades!M977</f>
        <v xml:space="preserve">   </v>
      </c>
      <c r="C82" s="157"/>
      <c r="D82" s="13"/>
      <c r="E82" s="13"/>
      <c r="F82" s="13"/>
      <c r="G82" s="13"/>
      <c r="H82" s="14"/>
      <c r="I82" s="14"/>
      <c r="J82" s="14"/>
      <c r="K82" s="14"/>
      <c r="L82" s="446"/>
      <c r="M82" s="87" t="str">
        <f t="shared" si="0"/>
        <v xml:space="preserve">   </v>
      </c>
    </row>
    <row r="83" spans="1:13" x14ac:dyDescent="0.2">
      <c r="A83" s="426"/>
      <c r="B83" s="156" t="str">
        <f>Capacidades!M978</f>
        <v xml:space="preserve">   </v>
      </c>
      <c r="C83" s="157"/>
      <c r="D83" s="13"/>
      <c r="E83" s="13"/>
      <c r="F83" s="13"/>
      <c r="G83" s="13"/>
      <c r="H83" s="14"/>
      <c r="I83" s="14"/>
      <c r="J83" s="14"/>
      <c r="K83" s="14"/>
      <c r="L83" s="446"/>
      <c r="M83" s="87" t="str">
        <f t="shared" ref="M83:M146" si="1">B83</f>
        <v xml:space="preserve">   </v>
      </c>
    </row>
    <row r="84" spans="1:13" x14ac:dyDescent="0.2">
      <c r="A84" s="426"/>
      <c r="B84" s="156" t="str">
        <f>Capacidades!M979</f>
        <v xml:space="preserve">   </v>
      </c>
      <c r="C84" s="157"/>
      <c r="D84" s="13"/>
      <c r="E84" s="13"/>
      <c r="F84" s="13"/>
      <c r="G84" s="13"/>
      <c r="H84" s="14"/>
      <c r="I84" s="14"/>
      <c r="J84" s="14"/>
      <c r="K84" s="14"/>
      <c r="L84" s="446"/>
      <c r="M84" s="87" t="str">
        <f t="shared" si="1"/>
        <v xml:space="preserve">   </v>
      </c>
    </row>
    <row r="85" spans="1:13" x14ac:dyDescent="0.2">
      <c r="A85" s="426"/>
      <c r="B85" s="156" t="str">
        <f>Capacidades!M980</f>
        <v xml:space="preserve">   </v>
      </c>
      <c r="C85" s="157"/>
      <c r="D85" s="13"/>
      <c r="E85" s="13"/>
      <c r="F85" s="13"/>
      <c r="G85" s="13"/>
      <c r="H85" s="14"/>
      <c r="I85" s="14"/>
      <c r="J85" s="14"/>
      <c r="K85" s="14"/>
      <c r="L85" s="446"/>
      <c r="M85" s="87" t="str">
        <f t="shared" si="1"/>
        <v xml:space="preserve">   </v>
      </c>
    </row>
    <row r="86" spans="1:13" x14ac:dyDescent="0.2">
      <c r="A86" s="426"/>
      <c r="B86" s="156" t="str">
        <f>Capacidades!M981</f>
        <v xml:space="preserve">   </v>
      </c>
      <c r="C86" s="157"/>
      <c r="D86" s="13"/>
      <c r="E86" s="13"/>
      <c r="F86" s="13"/>
      <c r="G86" s="13"/>
      <c r="H86" s="14"/>
      <c r="I86" s="14"/>
      <c r="J86" s="14"/>
      <c r="K86" s="14"/>
      <c r="L86" s="446"/>
      <c r="M86" s="87" t="str">
        <f t="shared" si="1"/>
        <v xml:space="preserve">   </v>
      </c>
    </row>
    <row r="87" spans="1:13" x14ac:dyDescent="0.2">
      <c r="A87" s="427"/>
      <c r="B87" s="156" t="str">
        <f>Capacidades!M982</f>
        <v xml:space="preserve">   </v>
      </c>
      <c r="C87" s="157"/>
      <c r="D87" s="15"/>
      <c r="E87" s="15"/>
      <c r="F87" s="15"/>
      <c r="G87" s="15"/>
      <c r="H87" s="16"/>
      <c r="I87" s="16"/>
      <c r="J87" s="16"/>
      <c r="K87" s="16"/>
      <c r="L87" s="447"/>
      <c r="M87" s="87" t="str">
        <f t="shared" si="1"/>
        <v xml:space="preserve">   </v>
      </c>
    </row>
    <row r="88" spans="1:13" x14ac:dyDescent="0.2">
      <c r="A88" s="425" t="str">
        <f>Capacidades!L983</f>
        <v xml:space="preserve">       </v>
      </c>
      <c r="B88" s="156" t="str">
        <f>Capacidades!M983</f>
        <v xml:space="preserve">   </v>
      </c>
      <c r="C88" s="157"/>
      <c r="D88" s="11">
        <f>Organización_Modular!F110</f>
        <v>0</v>
      </c>
      <c r="E88" s="11">
        <f>Organización_Modular!G110</f>
        <v>0</v>
      </c>
      <c r="F88" s="11">
        <f>Organización_Modular!H110</f>
        <v>0</v>
      </c>
      <c r="G88" s="11">
        <f>Organización_Modular!I110</f>
        <v>0</v>
      </c>
      <c r="H88" s="12">
        <f>SUM(F88:G88)</f>
        <v>0</v>
      </c>
      <c r="I88" s="12">
        <f>F88*16</f>
        <v>0</v>
      </c>
      <c r="J88" s="12">
        <f>G88*32</f>
        <v>0</v>
      </c>
      <c r="K88" s="12">
        <f>SUM(I88:J88)</f>
        <v>0</v>
      </c>
      <c r="L88" s="445"/>
      <c r="M88" s="87" t="str">
        <f t="shared" si="1"/>
        <v xml:space="preserve">   </v>
      </c>
    </row>
    <row r="89" spans="1:13" x14ac:dyDescent="0.2">
      <c r="A89" s="426"/>
      <c r="B89" s="156" t="str">
        <f>Capacidades!M984</f>
        <v xml:space="preserve">   </v>
      </c>
      <c r="C89" s="157"/>
      <c r="D89" s="13"/>
      <c r="E89" s="13"/>
      <c r="F89" s="13"/>
      <c r="G89" s="13"/>
      <c r="H89" s="14"/>
      <c r="I89" s="14"/>
      <c r="J89" s="14"/>
      <c r="K89" s="14"/>
      <c r="L89" s="446"/>
      <c r="M89" s="87" t="str">
        <f t="shared" si="1"/>
        <v xml:space="preserve">   </v>
      </c>
    </row>
    <row r="90" spans="1:13" x14ac:dyDescent="0.2">
      <c r="A90" s="426"/>
      <c r="B90" s="156" t="str">
        <f>Capacidades!M985</f>
        <v xml:space="preserve">   </v>
      </c>
      <c r="C90" s="157"/>
      <c r="D90" s="13"/>
      <c r="E90" s="13"/>
      <c r="F90" s="13"/>
      <c r="G90" s="13"/>
      <c r="H90" s="14"/>
      <c r="I90" s="14"/>
      <c r="J90" s="14"/>
      <c r="K90" s="14"/>
      <c r="L90" s="446"/>
      <c r="M90" s="87" t="str">
        <f t="shared" si="1"/>
        <v xml:space="preserve">   </v>
      </c>
    </row>
    <row r="91" spans="1:13" x14ac:dyDescent="0.2">
      <c r="A91" s="426"/>
      <c r="B91" s="156" t="str">
        <f>Capacidades!M986</f>
        <v xml:space="preserve">   </v>
      </c>
      <c r="C91" s="157"/>
      <c r="D91" s="13"/>
      <c r="E91" s="13"/>
      <c r="F91" s="13"/>
      <c r="G91" s="13"/>
      <c r="H91" s="14"/>
      <c r="I91" s="14"/>
      <c r="J91" s="14"/>
      <c r="K91" s="14"/>
      <c r="L91" s="446"/>
      <c r="M91" s="87" t="str">
        <f t="shared" si="1"/>
        <v xml:space="preserve">   </v>
      </c>
    </row>
    <row r="92" spans="1:13" x14ac:dyDescent="0.2">
      <c r="A92" s="426"/>
      <c r="B92" s="156" t="str">
        <f>Capacidades!M987</f>
        <v xml:space="preserve">   </v>
      </c>
      <c r="C92" s="157"/>
      <c r="D92" s="13"/>
      <c r="E92" s="13"/>
      <c r="F92" s="13"/>
      <c r="G92" s="13"/>
      <c r="H92" s="14"/>
      <c r="I92" s="14"/>
      <c r="J92" s="14"/>
      <c r="K92" s="14"/>
      <c r="L92" s="446"/>
      <c r="M92" s="87" t="str">
        <f t="shared" si="1"/>
        <v xml:space="preserve">   </v>
      </c>
    </row>
    <row r="93" spans="1:13" x14ac:dyDescent="0.2">
      <c r="A93" s="426"/>
      <c r="B93" s="156" t="str">
        <f>Capacidades!M988</f>
        <v xml:space="preserve">   </v>
      </c>
      <c r="C93" s="157"/>
      <c r="D93" s="13"/>
      <c r="E93" s="13"/>
      <c r="F93" s="13"/>
      <c r="G93" s="13"/>
      <c r="H93" s="14"/>
      <c r="I93" s="14"/>
      <c r="J93" s="14"/>
      <c r="K93" s="14"/>
      <c r="L93" s="446"/>
      <c r="M93" s="87" t="str">
        <f t="shared" si="1"/>
        <v xml:space="preserve">   </v>
      </c>
    </row>
    <row r="94" spans="1:13" x14ac:dyDescent="0.2">
      <c r="A94" s="426"/>
      <c r="B94" s="156" t="str">
        <f>Capacidades!M989</f>
        <v xml:space="preserve">   </v>
      </c>
      <c r="C94" s="157"/>
      <c r="D94" s="13"/>
      <c r="E94" s="13"/>
      <c r="F94" s="13"/>
      <c r="G94" s="13"/>
      <c r="H94" s="14"/>
      <c r="I94" s="14"/>
      <c r="J94" s="14"/>
      <c r="K94" s="14"/>
      <c r="L94" s="446"/>
      <c r="M94" s="87" t="str">
        <f t="shared" si="1"/>
        <v xml:space="preserve">   </v>
      </c>
    </row>
    <row r="95" spans="1:13" x14ac:dyDescent="0.2">
      <c r="A95" s="426"/>
      <c r="B95" s="156" t="str">
        <f>Capacidades!M990</f>
        <v xml:space="preserve">   </v>
      </c>
      <c r="C95" s="157"/>
      <c r="D95" s="13"/>
      <c r="E95" s="13"/>
      <c r="F95" s="13"/>
      <c r="G95" s="13"/>
      <c r="H95" s="14"/>
      <c r="I95" s="14"/>
      <c r="J95" s="14"/>
      <c r="K95" s="14"/>
      <c r="L95" s="446"/>
      <c r="M95" s="87" t="str">
        <f t="shared" si="1"/>
        <v xml:space="preserve">   </v>
      </c>
    </row>
    <row r="96" spans="1:13" x14ac:dyDescent="0.2">
      <c r="A96" s="426"/>
      <c r="B96" s="156" t="str">
        <f>Capacidades!M991</f>
        <v xml:space="preserve">   </v>
      </c>
      <c r="C96" s="157"/>
      <c r="D96" s="13"/>
      <c r="E96" s="13"/>
      <c r="F96" s="13"/>
      <c r="G96" s="13"/>
      <c r="H96" s="14"/>
      <c r="I96" s="14"/>
      <c r="J96" s="14"/>
      <c r="K96" s="14"/>
      <c r="L96" s="446"/>
      <c r="M96" s="87" t="str">
        <f t="shared" si="1"/>
        <v xml:space="preserve">   </v>
      </c>
    </row>
    <row r="97" spans="1:13" x14ac:dyDescent="0.2">
      <c r="A97" s="427"/>
      <c r="B97" s="156" t="str">
        <f>Capacidades!M992</f>
        <v xml:space="preserve">   </v>
      </c>
      <c r="C97" s="157"/>
      <c r="D97" s="15"/>
      <c r="E97" s="15"/>
      <c r="F97" s="15"/>
      <c r="G97" s="15"/>
      <c r="H97" s="16"/>
      <c r="I97" s="16"/>
      <c r="J97" s="16"/>
      <c r="K97" s="16"/>
      <c r="L97" s="447"/>
      <c r="M97" s="87" t="str">
        <f t="shared" si="1"/>
        <v xml:space="preserve">   </v>
      </c>
    </row>
    <row r="98" spans="1:13" x14ac:dyDescent="0.2">
      <c r="A98" s="425" t="str">
        <f>Capacidades!L993</f>
        <v xml:space="preserve">       </v>
      </c>
      <c r="B98" s="156" t="str">
        <f>Capacidades!M993</f>
        <v xml:space="preserve">   </v>
      </c>
      <c r="C98" s="157"/>
      <c r="D98" s="11">
        <f>Organización_Modular!F111</f>
        <v>0</v>
      </c>
      <c r="E98" s="11">
        <f>Organización_Modular!G111</f>
        <v>0</v>
      </c>
      <c r="F98" s="11">
        <f>Organización_Modular!H111</f>
        <v>0</v>
      </c>
      <c r="G98" s="11">
        <f>Organización_Modular!I111</f>
        <v>0</v>
      </c>
      <c r="H98" s="12">
        <f>SUM(F98:G98)</f>
        <v>0</v>
      </c>
      <c r="I98" s="12">
        <f>F98*16</f>
        <v>0</v>
      </c>
      <c r="J98" s="12">
        <f>G98*32</f>
        <v>0</v>
      </c>
      <c r="K98" s="12">
        <f>SUM(I98:J98)</f>
        <v>0</v>
      </c>
      <c r="L98" s="445"/>
      <c r="M98" s="87" t="str">
        <f t="shared" si="1"/>
        <v xml:space="preserve">   </v>
      </c>
    </row>
    <row r="99" spans="1:13" x14ac:dyDescent="0.2">
      <c r="A99" s="426"/>
      <c r="B99" s="156" t="str">
        <f>Capacidades!M994</f>
        <v xml:space="preserve">   </v>
      </c>
      <c r="C99" s="157"/>
      <c r="D99" s="13"/>
      <c r="E99" s="13"/>
      <c r="F99" s="13"/>
      <c r="G99" s="13"/>
      <c r="H99" s="14"/>
      <c r="I99" s="14"/>
      <c r="J99" s="14"/>
      <c r="K99" s="14"/>
      <c r="L99" s="446"/>
      <c r="M99" s="87" t="str">
        <f t="shared" si="1"/>
        <v xml:space="preserve">   </v>
      </c>
    </row>
    <row r="100" spans="1:13" x14ac:dyDescent="0.2">
      <c r="A100" s="426"/>
      <c r="B100" s="156" t="str">
        <f>Capacidades!M995</f>
        <v xml:space="preserve">   </v>
      </c>
      <c r="C100" s="157"/>
      <c r="D100" s="13"/>
      <c r="E100" s="13"/>
      <c r="F100" s="13"/>
      <c r="G100" s="13"/>
      <c r="H100" s="14"/>
      <c r="I100" s="14"/>
      <c r="J100" s="14"/>
      <c r="K100" s="14"/>
      <c r="L100" s="446"/>
      <c r="M100" s="87" t="str">
        <f t="shared" si="1"/>
        <v xml:space="preserve">   </v>
      </c>
    </row>
    <row r="101" spans="1:13" x14ac:dyDescent="0.2">
      <c r="A101" s="426"/>
      <c r="B101" s="156" t="str">
        <f>Capacidades!M996</f>
        <v xml:space="preserve">   </v>
      </c>
      <c r="C101" s="157"/>
      <c r="D101" s="13"/>
      <c r="E101" s="13"/>
      <c r="F101" s="13"/>
      <c r="G101" s="13"/>
      <c r="H101" s="14"/>
      <c r="I101" s="14"/>
      <c r="J101" s="14"/>
      <c r="K101" s="14"/>
      <c r="L101" s="446"/>
      <c r="M101" s="87" t="str">
        <f t="shared" si="1"/>
        <v xml:space="preserve">   </v>
      </c>
    </row>
    <row r="102" spans="1:13" x14ac:dyDescent="0.2">
      <c r="A102" s="426"/>
      <c r="B102" s="156" t="str">
        <f>Capacidades!M997</f>
        <v xml:space="preserve">   </v>
      </c>
      <c r="C102" s="157"/>
      <c r="D102" s="13"/>
      <c r="E102" s="13"/>
      <c r="F102" s="13"/>
      <c r="G102" s="13"/>
      <c r="H102" s="14"/>
      <c r="I102" s="14"/>
      <c r="J102" s="14"/>
      <c r="K102" s="14"/>
      <c r="L102" s="446"/>
      <c r="M102" s="87" t="str">
        <f t="shared" si="1"/>
        <v xml:space="preserve">   </v>
      </c>
    </row>
    <row r="103" spans="1:13" x14ac:dyDescent="0.2">
      <c r="A103" s="426"/>
      <c r="B103" s="156" t="str">
        <f>Capacidades!M998</f>
        <v xml:space="preserve">   </v>
      </c>
      <c r="C103" s="157"/>
      <c r="D103" s="13"/>
      <c r="E103" s="13"/>
      <c r="F103" s="13"/>
      <c r="G103" s="13"/>
      <c r="H103" s="14"/>
      <c r="I103" s="14"/>
      <c r="J103" s="14"/>
      <c r="K103" s="14"/>
      <c r="L103" s="446"/>
      <c r="M103" s="87" t="str">
        <f t="shared" si="1"/>
        <v xml:space="preserve">   </v>
      </c>
    </row>
    <row r="104" spans="1:13" x14ac:dyDescent="0.2">
      <c r="A104" s="426"/>
      <c r="B104" s="156" t="str">
        <f>Capacidades!M999</f>
        <v xml:space="preserve">   </v>
      </c>
      <c r="C104" s="157"/>
      <c r="D104" s="13"/>
      <c r="E104" s="13"/>
      <c r="F104" s="13"/>
      <c r="G104" s="13"/>
      <c r="H104" s="14"/>
      <c r="I104" s="14"/>
      <c r="J104" s="14"/>
      <c r="K104" s="14"/>
      <c r="L104" s="446"/>
      <c r="M104" s="87" t="str">
        <f t="shared" si="1"/>
        <v xml:space="preserve">   </v>
      </c>
    </row>
    <row r="105" spans="1:13" x14ac:dyDescent="0.2">
      <c r="A105" s="426"/>
      <c r="B105" s="156" t="str">
        <f>Capacidades!M1000</f>
        <v xml:space="preserve">   </v>
      </c>
      <c r="C105" s="157"/>
      <c r="D105" s="13"/>
      <c r="E105" s="13"/>
      <c r="F105" s="13"/>
      <c r="G105" s="13"/>
      <c r="H105" s="14"/>
      <c r="I105" s="14"/>
      <c r="J105" s="14"/>
      <c r="K105" s="14"/>
      <c r="L105" s="446"/>
      <c r="M105" s="87" t="str">
        <f t="shared" si="1"/>
        <v xml:space="preserve">   </v>
      </c>
    </row>
    <row r="106" spans="1:13" x14ac:dyDescent="0.2">
      <c r="A106" s="426"/>
      <c r="B106" s="156" t="str">
        <f>Capacidades!M1001</f>
        <v xml:space="preserve">   </v>
      </c>
      <c r="C106" s="157"/>
      <c r="D106" s="13"/>
      <c r="E106" s="13"/>
      <c r="F106" s="13"/>
      <c r="G106" s="13"/>
      <c r="H106" s="14"/>
      <c r="I106" s="14"/>
      <c r="J106" s="14"/>
      <c r="K106" s="14"/>
      <c r="L106" s="446"/>
      <c r="M106" s="87" t="str">
        <f t="shared" si="1"/>
        <v xml:space="preserve">   </v>
      </c>
    </row>
    <row r="107" spans="1:13" x14ac:dyDescent="0.2">
      <c r="A107" s="427"/>
      <c r="B107" s="156" t="str">
        <f>Capacidades!M1002</f>
        <v xml:space="preserve">   </v>
      </c>
      <c r="C107" s="157"/>
      <c r="D107" s="15"/>
      <c r="E107" s="15"/>
      <c r="F107" s="15"/>
      <c r="G107" s="15"/>
      <c r="H107" s="16"/>
      <c r="I107" s="16"/>
      <c r="J107" s="16"/>
      <c r="K107" s="16"/>
      <c r="L107" s="447"/>
      <c r="M107" s="87" t="str">
        <f t="shared" si="1"/>
        <v xml:space="preserve">   </v>
      </c>
    </row>
    <row r="108" spans="1:13" x14ac:dyDescent="0.2">
      <c r="A108" s="425" t="str">
        <f>Capacidades!L1003</f>
        <v xml:space="preserve">       </v>
      </c>
      <c r="B108" s="156" t="str">
        <f>Capacidades!M1003</f>
        <v xml:space="preserve">   </v>
      </c>
      <c r="C108" s="157"/>
      <c r="D108" s="11">
        <f>Organización_Modular!F112</f>
        <v>0</v>
      </c>
      <c r="E108" s="11">
        <f>Organización_Modular!G112</f>
        <v>0</v>
      </c>
      <c r="F108" s="11">
        <f>Organización_Modular!H112</f>
        <v>0</v>
      </c>
      <c r="G108" s="11">
        <f>Organización_Modular!I112</f>
        <v>0</v>
      </c>
      <c r="H108" s="12">
        <f>SUM(F108:G108)</f>
        <v>0</v>
      </c>
      <c r="I108" s="12">
        <f>F108*16</f>
        <v>0</v>
      </c>
      <c r="J108" s="12">
        <f>G108*32</f>
        <v>0</v>
      </c>
      <c r="K108" s="12">
        <f>SUM(I108:J108)</f>
        <v>0</v>
      </c>
      <c r="L108" s="445"/>
      <c r="M108" s="87" t="str">
        <f t="shared" si="1"/>
        <v xml:space="preserve">   </v>
      </c>
    </row>
    <row r="109" spans="1:13" x14ac:dyDescent="0.2">
      <c r="A109" s="426"/>
      <c r="B109" s="156" t="str">
        <f>Capacidades!M1004</f>
        <v xml:space="preserve">   </v>
      </c>
      <c r="C109" s="157"/>
      <c r="D109" s="13"/>
      <c r="E109" s="13"/>
      <c r="F109" s="13"/>
      <c r="G109" s="13"/>
      <c r="H109" s="14"/>
      <c r="I109" s="14"/>
      <c r="J109" s="14"/>
      <c r="K109" s="14"/>
      <c r="L109" s="446"/>
      <c r="M109" s="87" t="str">
        <f t="shared" si="1"/>
        <v xml:space="preserve">   </v>
      </c>
    </row>
    <row r="110" spans="1:13" x14ac:dyDescent="0.2">
      <c r="A110" s="426"/>
      <c r="B110" s="156" t="str">
        <f>Capacidades!M1005</f>
        <v xml:space="preserve">   </v>
      </c>
      <c r="C110" s="157"/>
      <c r="D110" s="13"/>
      <c r="E110" s="13"/>
      <c r="F110" s="13"/>
      <c r="G110" s="13"/>
      <c r="H110" s="14"/>
      <c r="I110" s="14"/>
      <c r="J110" s="14"/>
      <c r="K110" s="14"/>
      <c r="L110" s="446"/>
      <c r="M110" s="87" t="str">
        <f t="shared" si="1"/>
        <v xml:space="preserve">   </v>
      </c>
    </row>
    <row r="111" spans="1:13" x14ac:dyDescent="0.2">
      <c r="A111" s="426"/>
      <c r="B111" s="156" t="str">
        <f>Capacidades!M1006</f>
        <v xml:space="preserve">   </v>
      </c>
      <c r="C111" s="157"/>
      <c r="D111" s="13"/>
      <c r="E111" s="13"/>
      <c r="F111" s="13"/>
      <c r="G111" s="13"/>
      <c r="H111" s="14"/>
      <c r="I111" s="14"/>
      <c r="J111" s="14"/>
      <c r="K111" s="14"/>
      <c r="L111" s="446"/>
      <c r="M111" s="87" t="str">
        <f t="shared" si="1"/>
        <v xml:space="preserve">   </v>
      </c>
    </row>
    <row r="112" spans="1:13" x14ac:dyDescent="0.2">
      <c r="A112" s="426"/>
      <c r="B112" s="156" t="str">
        <f>Capacidades!M1007</f>
        <v xml:space="preserve">   </v>
      </c>
      <c r="C112" s="157"/>
      <c r="D112" s="13"/>
      <c r="E112" s="13"/>
      <c r="F112" s="13"/>
      <c r="G112" s="13"/>
      <c r="H112" s="14"/>
      <c r="I112" s="14"/>
      <c r="J112" s="14"/>
      <c r="K112" s="14"/>
      <c r="L112" s="446"/>
      <c r="M112" s="87" t="str">
        <f t="shared" si="1"/>
        <v xml:space="preserve">   </v>
      </c>
    </row>
    <row r="113" spans="1:13" x14ac:dyDescent="0.2">
      <c r="A113" s="426"/>
      <c r="B113" s="156" t="str">
        <f>Capacidades!M1008</f>
        <v xml:space="preserve">   </v>
      </c>
      <c r="C113" s="157"/>
      <c r="D113" s="13"/>
      <c r="E113" s="13"/>
      <c r="F113" s="13"/>
      <c r="G113" s="13"/>
      <c r="H113" s="14"/>
      <c r="I113" s="14"/>
      <c r="J113" s="14"/>
      <c r="K113" s="14"/>
      <c r="L113" s="446"/>
      <c r="M113" s="87" t="str">
        <f t="shared" si="1"/>
        <v xml:space="preserve">   </v>
      </c>
    </row>
    <row r="114" spans="1:13" x14ac:dyDescent="0.2">
      <c r="A114" s="426"/>
      <c r="B114" s="156" t="str">
        <f>Capacidades!M1009</f>
        <v xml:space="preserve">   </v>
      </c>
      <c r="C114" s="157"/>
      <c r="D114" s="13"/>
      <c r="E114" s="13"/>
      <c r="F114" s="13"/>
      <c r="G114" s="13"/>
      <c r="H114" s="14"/>
      <c r="I114" s="14"/>
      <c r="J114" s="14"/>
      <c r="K114" s="14"/>
      <c r="L114" s="446"/>
      <c r="M114" s="87" t="str">
        <f t="shared" si="1"/>
        <v xml:space="preserve">   </v>
      </c>
    </row>
    <row r="115" spans="1:13" x14ac:dyDescent="0.2">
      <c r="A115" s="426"/>
      <c r="B115" s="156" t="str">
        <f>Capacidades!M1010</f>
        <v xml:space="preserve">   </v>
      </c>
      <c r="C115" s="157"/>
      <c r="D115" s="13"/>
      <c r="E115" s="13"/>
      <c r="F115" s="13"/>
      <c r="G115" s="13"/>
      <c r="H115" s="14"/>
      <c r="I115" s="14"/>
      <c r="J115" s="14"/>
      <c r="K115" s="14"/>
      <c r="L115" s="446"/>
      <c r="M115" s="87" t="str">
        <f t="shared" si="1"/>
        <v xml:space="preserve">   </v>
      </c>
    </row>
    <row r="116" spans="1:13" x14ac:dyDescent="0.2">
      <c r="A116" s="426"/>
      <c r="B116" s="156" t="str">
        <f>Capacidades!M1011</f>
        <v xml:space="preserve">   </v>
      </c>
      <c r="C116" s="157"/>
      <c r="D116" s="13"/>
      <c r="E116" s="13"/>
      <c r="F116" s="13"/>
      <c r="G116" s="13"/>
      <c r="H116" s="14"/>
      <c r="I116" s="14"/>
      <c r="J116" s="14"/>
      <c r="K116" s="14"/>
      <c r="L116" s="446"/>
      <c r="M116" s="87" t="str">
        <f t="shared" si="1"/>
        <v xml:space="preserve">   </v>
      </c>
    </row>
    <row r="117" spans="1:13" x14ac:dyDescent="0.2">
      <c r="A117" s="427"/>
      <c r="B117" s="156" t="str">
        <f>Capacidades!M1012</f>
        <v xml:space="preserve">   </v>
      </c>
      <c r="C117" s="157"/>
      <c r="D117" s="15"/>
      <c r="E117" s="15"/>
      <c r="F117" s="15"/>
      <c r="G117" s="15"/>
      <c r="H117" s="16"/>
      <c r="I117" s="16"/>
      <c r="J117" s="16"/>
      <c r="K117" s="16"/>
      <c r="L117" s="447"/>
      <c r="M117" s="87" t="str">
        <f t="shared" si="1"/>
        <v xml:space="preserve">   </v>
      </c>
    </row>
    <row r="118" spans="1:13" x14ac:dyDescent="0.2">
      <c r="A118" s="425" t="str">
        <f>Capacidades!L1013</f>
        <v xml:space="preserve">       </v>
      </c>
      <c r="B118" s="156" t="str">
        <f>Capacidades!M1013</f>
        <v xml:space="preserve">   </v>
      </c>
      <c r="C118" s="157"/>
      <c r="D118" s="11">
        <f>Organización_Modular!F113</f>
        <v>0</v>
      </c>
      <c r="E118" s="11">
        <f>Organización_Modular!G113</f>
        <v>0</v>
      </c>
      <c r="F118" s="11">
        <f>Organización_Modular!H113</f>
        <v>0</v>
      </c>
      <c r="G118" s="11">
        <f>Organización_Modular!I113</f>
        <v>0</v>
      </c>
      <c r="H118" s="12">
        <f>SUM(F118:G118)</f>
        <v>0</v>
      </c>
      <c r="I118" s="12">
        <f>F118*16</f>
        <v>0</v>
      </c>
      <c r="J118" s="12">
        <f>G118*32</f>
        <v>0</v>
      </c>
      <c r="K118" s="12">
        <f>SUM(I118:J118)</f>
        <v>0</v>
      </c>
      <c r="L118" s="445"/>
      <c r="M118" s="87" t="str">
        <f t="shared" si="1"/>
        <v xml:space="preserve">   </v>
      </c>
    </row>
    <row r="119" spans="1:13" x14ac:dyDescent="0.2">
      <c r="A119" s="426"/>
      <c r="B119" s="156" t="str">
        <f>Capacidades!M1014</f>
        <v xml:space="preserve">   </v>
      </c>
      <c r="C119" s="157"/>
      <c r="D119" s="13"/>
      <c r="E119" s="13"/>
      <c r="F119" s="13"/>
      <c r="G119" s="13"/>
      <c r="H119" s="14"/>
      <c r="I119" s="14"/>
      <c r="J119" s="14"/>
      <c r="K119" s="14"/>
      <c r="L119" s="446"/>
      <c r="M119" s="87" t="str">
        <f t="shared" si="1"/>
        <v xml:space="preserve">   </v>
      </c>
    </row>
    <row r="120" spans="1:13" x14ac:dyDescent="0.2">
      <c r="A120" s="426"/>
      <c r="B120" s="156" t="str">
        <f>Capacidades!M1015</f>
        <v xml:space="preserve">   </v>
      </c>
      <c r="C120" s="157"/>
      <c r="D120" s="13"/>
      <c r="E120" s="13"/>
      <c r="F120" s="13"/>
      <c r="G120" s="13"/>
      <c r="H120" s="14"/>
      <c r="I120" s="14"/>
      <c r="J120" s="14"/>
      <c r="K120" s="14"/>
      <c r="L120" s="446"/>
      <c r="M120" s="87" t="str">
        <f t="shared" si="1"/>
        <v xml:space="preserve">   </v>
      </c>
    </row>
    <row r="121" spans="1:13" x14ac:dyDescent="0.2">
      <c r="A121" s="426"/>
      <c r="B121" s="156" t="str">
        <f>Capacidades!M1016</f>
        <v xml:space="preserve">   </v>
      </c>
      <c r="C121" s="157"/>
      <c r="D121" s="13"/>
      <c r="E121" s="13"/>
      <c r="F121" s="13"/>
      <c r="G121" s="13"/>
      <c r="H121" s="14"/>
      <c r="I121" s="14"/>
      <c r="J121" s="14"/>
      <c r="K121" s="14"/>
      <c r="L121" s="446"/>
      <c r="M121" s="87" t="str">
        <f t="shared" si="1"/>
        <v xml:space="preserve">   </v>
      </c>
    </row>
    <row r="122" spans="1:13" x14ac:dyDescent="0.2">
      <c r="A122" s="426"/>
      <c r="B122" s="156" t="str">
        <f>Capacidades!M1017</f>
        <v xml:space="preserve">   </v>
      </c>
      <c r="C122" s="157"/>
      <c r="D122" s="13"/>
      <c r="E122" s="13"/>
      <c r="F122" s="13"/>
      <c r="G122" s="13"/>
      <c r="H122" s="14"/>
      <c r="I122" s="14"/>
      <c r="J122" s="14"/>
      <c r="K122" s="14"/>
      <c r="L122" s="446"/>
      <c r="M122" s="87" t="str">
        <f t="shared" si="1"/>
        <v xml:space="preserve">   </v>
      </c>
    </row>
    <row r="123" spans="1:13" x14ac:dyDescent="0.2">
      <c r="A123" s="426"/>
      <c r="B123" s="156" t="str">
        <f>Capacidades!M1018</f>
        <v xml:space="preserve">   </v>
      </c>
      <c r="C123" s="157"/>
      <c r="D123" s="13"/>
      <c r="E123" s="13"/>
      <c r="F123" s="13"/>
      <c r="G123" s="13"/>
      <c r="H123" s="14"/>
      <c r="I123" s="14"/>
      <c r="J123" s="14"/>
      <c r="K123" s="14"/>
      <c r="L123" s="446"/>
      <c r="M123" s="87" t="str">
        <f t="shared" si="1"/>
        <v xml:space="preserve">   </v>
      </c>
    </row>
    <row r="124" spans="1:13" x14ac:dyDescent="0.2">
      <c r="A124" s="426"/>
      <c r="B124" s="156" t="str">
        <f>Capacidades!M1019</f>
        <v xml:space="preserve">   </v>
      </c>
      <c r="C124" s="157"/>
      <c r="D124" s="13"/>
      <c r="E124" s="13"/>
      <c r="F124" s="13"/>
      <c r="G124" s="13"/>
      <c r="H124" s="14"/>
      <c r="I124" s="14"/>
      <c r="J124" s="14"/>
      <c r="K124" s="14"/>
      <c r="L124" s="446"/>
      <c r="M124" s="87" t="str">
        <f t="shared" si="1"/>
        <v xml:space="preserve">   </v>
      </c>
    </row>
    <row r="125" spans="1:13" x14ac:dyDescent="0.2">
      <c r="A125" s="426"/>
      <c r="B125" s="156" t="str">
        <f>Capacidades!M1020</f>
        <v xml:space="preserve">   </v>
      </c>
      <c r="C125" s="157"/>
      <c r="D125" s="13"/>
      <c r="E125" s="13"/>
      <c r="F125" s="13"/>
      <c r="G125" s="13"/>
      <c r="H125" s="14"/>
      <c r="I125" s="14"/>
      <c r="J125" s="14"/>
      <c r="K125" s="14"/>
      <c r="L125" s="446"/>
      <c r="M125" s="87" t="str">
        <f t="shared" si="1"/>
        <v xml:space="preserve">   </v>
      </c>
    </row>
    <row r="126" spans="1:13" x14ac:dyDescent="0.2">
      <c r="A126" s="426"/>
      <c r="B126" s="156" t="str">
        <f>Capacidades!M1021</f>
        <v xml:space="preserve">   </v>
      </c>
      <c r="C126" s="157"/>
      <c r="D126" s="13"/>
      <c r="E126" s="13"/>
      <c r="F126" s="13"/>
      <c r="G126" s="13"/>
      <c r="H126" s="14"/>
      <c r="I126" s="14"/>
      <c r="J126" s="14"/>
      <c r="K126" s="14"/>
      <c r="L126" s="446"/>
      <c r="M126" s="87" t="str">
        <f t="shared" si="1"/>
        <v xml:space="preserve">   </v>
      </c>
    </row>
    <row r="127" spans="1:13" x14ac:dyDescent="0.2">
      <c r="A127" s="427"/>
      <c r="B127" s="156" t="str">
        <f>Capacidades!M1022</f>
        <v xml:space="preserve">   </v>
      </c>
      <c r="C127" s="157"/>
      <c r="D127" s="15"/>
      <c r="E127" s="15"/>
      <c r="F127" s="15"/>
      <c r="G127" s="15"/>
      <c r="H127" s="16"/>
      <c r="I127" s="16"/>
      <c r="J127" s="16"/>
      <c r="K127" s="16"/>
      <c r="L127" s="447"/>
      <c r="M127" s="87" t="str">
        <f t="shared" si="1"/>
        <v xml:space="preserve">   </v>
      </c>
    </row>
    <row r="128" spans="1:13" x14ac:dyDescent="0.2">
      <c r="A128" s="425" t="str">
        <f>Capacidades!L1023</f>
        <v xml:space="preserve">       </v>
      </c>
      <c r="B128" s="156" t="str">
        <f>Capacidades!M1023</f>
        <v xml:space="preserve">   </v>
      </c>
      <c r="C128" s="157"/>
      <c r="D128" s="11">
        <f>Organización_Modular!F114</f>
        <v>0</v>
      </c>
      <c r="E128" s="11">
        <f>Organización_Modular!G114</f>
        <v>0</v>
      </c>
      <c r="F128" s="11">
        <f>Organización_Modular!H114</f>
        <v>0</v>
      </c>
      <c r="G128" s="11">
        <f>Organización_Modular!I114</f>
        <v>0</v>
      </c>
      <c r="H128" s="12">
        <f>SUM(F128:G128)</f>
        <v>0</v>
      </c>
      <c r="I128" s="12">
        <f>F128*16</f>
        <v>0</v>
      </c>
      <c r="J128" s="12">
        <f>G128*32</f>
        <v>0</v>
      </c>
      <c r="K128" s="12">
        <f>SUM(I128:J128)</f>
        <v>0</v>
      </c>
      <c r="L128" s="445"/>
      <c r="M128" s="87" t="str">
        <f t="shared" si="1"/>
        <v xml:space="preserve">   </v>
      </c>
    </row>
    <row r="129" spans="1:13" x14ac:dyDescent="0.2">
      <c r="A129" s="426"/>
      <c r="B129" s="156" t="str">
        <f>Capacidades!M1024</f>
        <v xml:space="preserve">   </v>
      </c>
      <c r="C129" s="157"/>
      <c r="D129" s="13"/>
      <c r="E129" s="13"/>
      <c r="F129" s="13"/>
      <c r="G129" s="13"/>
      <c r="H129" s="14"/>
      <c r="I129" s="14"/>
      <c r="J129" s="14"/>
      <c r="K129" s="14"/>
      <c r="L129" s="446"/>
      <c r="M129" s="87" t="str">
        <f t="shared" si="1"/>
        <v xml:space="preserve">   </v>
      </c>
    </row>
    <row r="130" spans="1:13" x14ac:dyDescent="0.2">
      <c r="A130" s="426"/>
      <c r="B130" s="156" t="str">
        <f>Capacidades!M1025</f>
        <v xml:space="preserve">   </v>
      </c>
      <c r="C130" s="157"/>
      <c r="D130" s="13"/>
      <c r="E130" s="13"/>
      <c r="F130" s="13"/>
      <c r="G130" s="13"/>
      <c r="H130" s="14"/>
      <c r="I130" s="14"/>
      <c r="J130" s="14"/>
      <c r="K130" s="14"/>
      <c r="L130" s="446"/>
      <c r="M130" s="87" t="str">
        <f t="shared" si="1"/>
        <v xml:space="preserve">   </v>
      </c>
    </row>
    <row r="131" spans="1:13" x14ac:dyDescent="0.2">
      <c r="A131" s="426"/>
      <c r="B131" s="156" t="str">
        <f>Capacidades!M1026</f>
        <v xml:space="preserve">   </v>
      </c>
      <c r="C131" s="157"/>
      <c r="D131" s="13"/>
      <c r="E131" s="13"/>
      <c r="F131" s="13"/>
      <c r="G131" s="13"/>
      <c r="H131" s="14"/>
      <c r="I131" s="14"/>
      <c r="J131" s="14"/>
      <c r="K131" s="14"/>
      <c r="L131" s="446"/>
      <c r="M131" s="87" t="str">
        <f t="shared" si="1"/>
        <v xml:space="preserve">   </v>
      </c>
    </row>
    <row r="132" spans="1:13" x14ac:dyDescent="0.2">
      <c r="A132" s="426"/>
      <c r="B132" s="156" t="str">
        <f>Capacidades!M1027</f>
        <v xml:space="preserve">   </v>
      </c>
      <c r="C132" s="157"/>
      <c r="D132" s="13"/>
      <c r="E132" s="13"/>
      <c r="F132" s="13"/>
      <c r="G132" s="13"/>
      <c r="H132" s="14"/>
      <c r="I132" s="14"/>
      <c r="J132" s="14"/>
      <c r="K132" s="14"/>
      <c r="L132" s="446"/>
      <c r="M132" s="87" t="str">
        <f t="shared" si="1"/>
        <v xml:space="preserve">   </v>
      </c>
    </row>
    <row r="133" spans="1:13" x14ac:dyDescent="0.2">
      <c r="A133" s="426"/>
      <c r="B133" s="156" t="str">
        <f>Capacidades!M1028</f>
        <v xml:space="preserve">   </v>
      </c>
      <c r="C133" s="157"/>
      <c r="D133" s="13"/>
      <c r="E133" s="13"/>
      <c r="F133" s="13"/>
      <c r="G133" s="13"/>
      <c r="H133" s="14"/>
      <c r="I133" s="14"/>
      <c r="J133" s="14"/>
      <c r="K133" s="14"/>
      <c r="L133" s="446"/>
      <c r="M133" s="87" t="str">
        <f t="shared" si="1"/>
        <v xml:space="preserve">   </v>
      </c>
    </row>
    <row r="134" spans="1:13" x14ac:dyDescent="0.2">
      <c r="A134" s="426"/>
      <c r="B134" s="156" t="str">
        <f>Capacidades!M1029</f>
        <v xml:space="preserve">   </v>
      </c>
      <c r="C134" s="157"/>
      <c r="D134" s="13"/>
      <c r="E134" s="13"/>
      <c r="F134" s="13"/>
      <c r="G134" s="13"/>
      <c r="H134" s="14"/>
      <c r="I134" s="14"/>
      <c r="J134" s="14"/>
      <c r="K134" s="14"/>
      <c r="L134" s="446"/>
      <c r="M134" s="87" t="str">
        <f t="shared" si="1"/>
        <v xml:space="preserve">   </v>
      </c>
    </row>
    <row r="135" spans="1:13" x14ac:dyDescent="0.2">
      <c r="A135" s="426"/>
      <c r="B135" s="156" t="str">
        <f>Capacidades!M1030</f>
        <v xml:space="preserve">   </v>
      </c>
      <c r="C135" s="157"/>
      <c r="D135" s="13"/>
      <c r="E135" s="13"/>
      <c r="F135" s="13"/>
      <c r="G135" s="13"/>
      <c r="H135" s="14"/>
      <c r="I135" s="14"/>
      <c r="J135" s="14"/>
      <c r="K135" s="14"/>
      <c r="L135" s="446"/>
      <c r="M135" s="87" t="str">
        <f t="shared" si="1"/>
        <v xml:space="preserve">   </v>
      </c>
    </row>
    <row r="136" spans="1:13" x14ac:dyDescent="0.2">
      <c r="A136" s="426"/>
      <c r="B136" s="156" t="str">
        <f>Capacidades!M1031</f>
        <v xml:space="preserve">   </v>
      </c>
      <c r="C136" s="157"/>
      <c r="D136" s="13"/>
      <c r="E136" s="13"/>
      <c r="F136" s="13"/>
      <c r="G136" s="13"/>
      <c r="H136" s="14"/>
      <c r="I136" s="14"/>
      <c r="J136" s="14"/>
      <c r="K136" s="14"/>
      <c r="L136" s="446"/>
      <c r="M136" s="87" t="str">
        <f t="shared" si="1"/>
        <v xml:space="preserve">   </v>
      </c>
    </row>
    <row r="137" spans="1:13" x14ac:dyDescent="0.2">
      <c r="A137" s="427"/>
      <c r="B137" s="156" t="str">
        <f>Capacidades!M1032</f>
        <v xml:space="preserve">   </v>
      </c>
      <c r="C137" s="157"/>
      <c r="D137" s="15"/>
      <c r="E137" s="15"/>
      <c r="F137" s="15"/>
      <c r="G137" s="15"/>
      <c r="H137" s="16"/>
      <c r="I137" s="16"/>
      <c r="J137" s="16"/>
      <c r="K137" s="16"/>
      <c r="L137" s="447"/>
      <c r="M137" s="87" t="str">
        <f t="shared" si="1"/>
        <v xml:space="preserve">   </v>
      </c>
    </row>
    <row r="138" spans="1:13" x14ac:dyDescent="0.2">
      <c r="A138" s="425" t="str">
        <f>Capacidades!L1033</f>
        <v xml:space="preserve">       </v>
      </c>
      <c r="B138" s="156" t="str">
        <f>Capacidades!M1033</f>
        <v xml:space="preserve">   </v>
      </c>
      <c r="C138" s="157"/>
      <c r="D138" s="11">
        <f>Organización_Modular!F115</f>
        <v>0</v>
      </c>
      <c r="E138" s="11">
        <f>Organización_Modular!G115</f>
        <v>0</v>
      </c>
      <c r="F138" s="11">
        <f>Organización_Modular!H115</f>
        <v>0</v>
      </c>
      <c r="G138" s="11">
        <f>Organización_Modular!I115</f>
        <v>0</v>
      </c>
      <c r="H138" s="12">
        <f>SUM(F138:G138)</f>
        <v>0</v>
      </c>
      <c r="I138" s="12">
        <f>F138*16</f>
        <v>0</v>
      </c>
      <c r="J138" s="12">
        <f>G138*32</f>
        <v>0</v>
      </c>
      <c r="K138" s="12">
        <f>SUM(I138:J138)</f>
        <v>0</v>
      </c>
      <c r="L138" s="445"/>
      <c r="M138" s="87" t="str">
        <f t="shared" si="1"/>
        <v xml:space="preserve">   </v>
      </c>
    </row>
    <row r="139" spans="1:13" x14ac:dyDescent="0.2">
      <c r="A139" s="426"/>
      <c r="B139" s="156" t="str">
        <f>Capacidades!M1034</f>
        <v xml:space="preserve">   </v>
      </c>
      <c r="C139" s="157"/>
      <c r="D139" s="13"/>
      <c r="E139" s="13"/>
      <c r="F139" s="13"/>
      <c r="G139" s="13"/>
      <c r="H139" s="14"/>
      <c r="I139" s="14"/>
      <c r="J139" s="14"/>
      <c r="K139" s="14"/>
      <c r="L139" s="446"/>
      <c r="M139" s="87" t="str">
        <f t="shared" si="1"/>
        <v xml:space="preserve">   </v>
      </c>
    </row>
    <row r="140" spans="1:13" x14ac:dyDescent="0.2">
      <c r="A140" s="426"/>
      <c r="B140" s="156" t="str">
        <f>Capacidades!M1035</f>
        <v xml:space="preserve">   </v>
      </c>
      <c r="C140" s="157"/>
      <c r="D140" s="13"/>
      <c r="E140" s="13"/>
      <c r="F140" s="13"/>
      <c r="G140" s="13"/>
      <c r="H140" s="14"/>
      <c r="I140" s="14"/>
      <c r="J140" s="14"/>
      <c r="K140" s="14"/>
      <c r="L140" s="446"/>
      <c r="M140" s="87" t="str">
        <f t="shared" si="1"/>
        <v xml:space="preserve">   </v>
      </c>
    </row>
    <row r="141" spans="1:13" x14ac:dyDescent="0.2">
      <c r="A141" s="426"/>
      <c r="B141" s="156" t="str">
        <f>Capacidades!M1036</f>
        <v xml:space="preserve">   </v>
      </c>
      <c r="C141" s="157"/>
      <c r="D141" s="13"/>
      <c r="E141" s="13"/>
      <c r="F141" s="13"/>
      <c r="G141" s="13"/>
      <c r="H141" s="14"/>
      <c r="I141" s="14"/>
      <c r="J141" s="14"/>
      <c r="K141" s="14"/>
      <c r="L141" s="446"/>
      <c r="M141" s="87" t="str">
        <f t="shared" si="1"/>
        <v xml:space="preserve">   </v>
      </c>
    </row>
    <row r="142" spans="1:13" x14ac:dyDescent="0.2">
      <c r="A142" s="426"/>
      <c r="B142" s="156" t="str">
        <f>Capacidades!M1037</f>
        <v xml:space="preserve">   </v>
      </c>
      <c r="C142" s="157"/>
      <c r="D142" s="13"/>
      <c r="E142" s="13"/>
      <c r="F142" s="13"/>
      <c r="G142" s="13"/>
      <c r="H142" s="14"/>
      <c r="I142" s="14"/>
      <c r="J142" s="14"/>
      <c r="K142" s="14"/>
      <c r="L142" s="446"/>
      <c r="M142" s="87" t="str">
        <f t="shared" si="1"/>
        <v xml:space="preserve">   </v>
      </c>
    </row>
    <row r="143" spans="1:13" x14ac:dyDescent="0.2">
      <c r="A143" s="426"/>
      <c r="B143" s="156" t="str">
        <f>Capacidades!M1038</f>
        <v xml:space="preserve">   </v>
      </c>
      <c r="C143" s="157"/>
      <c r="D143" s="13"/>
      <c r="E143" s="13"/>
      <c r="F143" s="13"/>
      <c r="G143" s="13"/>
      <c r="H143" s="14"/>
      <c r="I143" s="14"/>
      <c r="J143" s="14"/>
      <c r="K143" s="14"/>
      <c r="L143" s="446"/>
      <c r="M143" s="87" t="str">
        <f t="shared" si="1"/>
        <v xml:space="preserve">   </v>
      </c>
    </row>
    <row r="144" spans="1:13" x14ac:dyDescent="0.2">
      <c r="A144" s="426"/>
      <c r="B144" s="156" t="str">
        <f>Capacidades!M1039</f>
        <v xml:space="preserve">   </v>
      </c>
      <c r="C144" s="157"/>
      <c r="D144" s="13"/>
      <c r="E144" s="13"/>
      <c r="F144" s="13"/>
      <c r="G144" s="13"/>
      <c r="H144" s="14"/>
      <c r="I144" s="14"/>
      <c r="J144" s="14"/>
      <c r="K144" s="14"/>
      <c r="L144" s="446"/>
      <c r="M144" s="87" t="str">
        <f t="shared" si="1"/>
        <v xml:space="preserve">   </v>
      </c>
    </row>
    <row r="145" spans="1:13" x14ac:dyDescent="0.2">
      <c r="A145" s="426"/>
      <c r="B145" s="156" t="str">
        <f>Capacidades!M1040</f>
        <v xml:space="preserve">   </v>
      </c>
      <c r="C145" s="157"/>
      <c r="D145" s="13"/>
      <c r="E145" s="13"/>
      <c r="F145" s="13"/>
      <c r="G145" s="13"/>
      <c r="H145" s="14"/>
      <c r="I145" s="14"/>
      <c r="J145" s="14"/>
      <c r="K145" s="14"/>
      <c r="L145" s="446"/>
      <c r="M145" s="87" t="str">
        <f t="shared" si="1"/>
        <v xml:space="preserve">   </v>
      </c>
    </row>
    <row r="146" spans="1:13" x14ac:dyDescent="0.2">
      <c r="A146" s="426"/>
      <c r="B146" s="156" t="str">
        <f>Capacidades!M1041</f>
        <v xml:space="preserve">   </v>
      </c>
      <c r="C146" s="157"/>
      <c r="D146" s="13"/>
      <c r="E146" s="13"/>
      <c r="F146" s="13"/>
      <c r="G146" s="13"/>
      <c r="H146" s="14"/>
      <c r="I146" s="14"/>
      <c r="J146" s="14"/>
      <c r="K146" s="14"/>
      <c r="L146" s="446"/>
      <c r="M146" s="87" t="str">
        <f t="shared" si="1"/>
        <v xml:space="preserve">   </v>
      </c>
    </row>
    <row r="147" spans="1:13" x14ac:dyDescent="0.2">
      <c r="A147" s="427"/>
      <c r="B147" s="156" t="str">
        <f>Capacidades!M1042</f>
        <v xml:space="preserve">   </v>
      </c>
      <c r="C147" s="157"/>
      <c r="D147" s="15"/>
      <c r="E147" s="15"/>
      <c r="F147" s="15"/>
      <c r="G147" s="15"/>
      <c r="H147" s="16"/>
      <c r="I147" s="16"/>
      <c r="J147" s="16"/>
      <c r="K147" s="16"/>
      <c r="L147" s="447"/>
      <c r="M147" s="87" t="str">
        <f t="shared" ref="M147:M210" si="2">B147</f>
        <v xml:space="preserve">   </v>
      </c>
    </row>
    <row r="148" spans="1:13" x14ac:dyDescent="0.2">
      <c r="A148" s="425" t="str">
        <f>Capacidades!L1043</f>
        <v xml:space="preserve">       </v>
      </c>
      <c r="B148" s="156" t="str">
        <f>Capacidades!M1043</f>
        <v xml:space="preserve">   </v>
      </c>
      <c r="C148" s="157"/>
      <c r="D148" s="11">
        <f>Organización_Modular!F116</f>
        <v>0</v>
      </c>
      <c r="E148" s="11">
        <f>Organización_Modular!G116</f>
        <v>0</v>
      </c>
      <c r="F148" s="11">
        <f>Organización_Modular!H116</f>
        <v>0</v>
      </c>
      <c r="G148" s="11">
        <f>Organización_Modular!I116</f>
        <v>0</v>
      </c>
      <c r="H148" s="12">
        <f>SUM(F148:G148)</f>
        <v>0</v>
      </c>
      <c r="I148" s="12">
        <f>F148*16</f>
        <v>0</v>
      </c>
      <c r="J148" s="12">
        <f>G148*32</f>
        <v>0</v>
      </c>
      <c r="K148" s="12">
        <f>SUM(I148:J148)</f>
        <v>0</v>
      </c>
      <c r="L148" s="445"/>
      <c r="M148" s="87" t="str">
        <f t="shared" si="2"/>
        <v xml:space="preserve">   </v>
      </c>
    </row>
    <row r="149" spans="1:13" x14ac:dyDescent="0.2">
      <c r="A149" s="426"/>
      <c r="B149" s="156" t="str">
        <f>Capacidades!M1044</f>
        <v xml:space="preserve">   </v>
      </c>
      <c r="C149" s="157"/>
      <c r="D149" s="13"/>
      <c r="E149" s="13"/>
      <c r="F149" s="13"/>
      <c r="G149" s="13"/>
      <c r="H149" s="14"/>
      <c r="I149" s="14"/>
      <c r="J149" s="14"/>
      <c r="K149" s="14"/>
      <c r="L149" s="446"/>
      <c r="M149" s="87" t="str">
        <f t="shared" si="2"/>
        <v xml:space="preserve">   </v>
      </c>
    </row>
    <row r="150" spans="1:13" x14ac:dyDescent="0.2">
      <c r="A150" s="426"/>
      <c r="B150" s="156" t="str">
        <f>Capacidades!M1045</f>
        <v xml:space="preserve">   </v>
      </c>
      <c r="C150" s="157"/>
      <c r="D150" s="13"/>
      <c r="E150" s="13"/>
      <c r="F150" s="13"/>
      <c r="G150" s="13"/>
      <c r="H150" s="14"/>
      <c r="I150" s="14"/>
      <c r="J150" s="14"/>
      <c r="K150" s="14"/>
      <c r="L150" s="446"/>
      <c r="M150" s="87" t="str">
        <f t="shared" si="2"/>
        <v xml:space="preserve">   </v>
      </c>
    </row>
    <row r="151" spans="1:13" x14ac:dyDescent="0.2">
      <c r="A151" s="426"/>
      <c r="B151" s="156" t="str">
        <f>Capacidades!M1046</f>
        <v xml:space="preserve">   </v>
      </c>
      <c r="C151" s="157"/>
      <c r="D151" s="13"/>
      <c r="E151" s="13"/>
      <c r="F151" s="13"/>
      <c r="G151" s="13"/>
      <c r="H151" s="14"/>
      <c r="I151" s="14"/>
      <c r="J151" s="14"/>
      <c r="K151" s="14"/>
      <c r="L151" s="446"/>
      <c r="M151" s="87" t="str">
        <f t="shared" si="2"/>
        <v xml:space="preserve">   </v>
      </c>
    </row>
    <row r="152" spans="1:13" x14ac:dyDescent="0.2">
      <c r="A152" s="426"/>
      <c r="B152" s="156" t="str">
        <f>Capacidades!M1047</f>
        <v xml:space="preserve">   </v>
      </c>
      <c r="C152" s="157"/>
      <c r="D152" s="13"/>
      <c r="E152" s="13"/>
      <c r="F152" s="13"/>
      <c r="G152" s="13"/>
      <c r="H152" s="14"/>
      <c r="I152" s="14"/>
      <c r="J152" s="14"/>
      <c r="K152" s="14"/>
      <c r="L152" s="446"/>
      <c r="M152" s="87" t="str">
        <f t="shared" si="2"/>
        <v xml:space="preserve">   </v>
      </c>
    </row>
    <row r="153" spans="1:13" x14ac:dyDescent="0.2">
      <c r="A153" s="426"/>
      <c r="B153" s="156" t="str">
        <f>Capacidades!M1048</f>
        <v xml:space="preserve">   </v>
      </c>
      <c r="C153" s="157"/>
      <c r="D153" s="13"/>
      <c r="E153" s="13"/>
      <c r="F153" s="13"/>
      <c r="G153" s="13"/>
      <c r="H153" s="14"/>
      <c r="I153" s="14"/>
      <c r="J153" s="14"/>
      <c r="K153" s="14"/>
      <c r="L153" s="446"/>
      <c r="M153" s="87" t="str">
        <f t="shared" si="2"/>
        <v xml:space="preserve">   </v>
      </c>
    </row>
    <row r="154" spans="1:13" x14ac:dyDescent="0.2">
      <c r="A154" s="426"/>
      <c r="B154" s="156" t="str">
        <f>Capacidades!M1049</f>
        <v xml:space="preserve">   </v>
      </c>
      <c r="C154" s="157"/>
      <c r="D154" s="13"/>
      <c r="E154" s="13"/>
      <c r="F154" s="13"/>
      <c r="G154" s="13"/>
      <c r="H154" s="14"/>
      <c r="I154" s="14"/>
      <c r="J154" s="14"/>
      <c r="K154" s="14"/>
      <c r="L154" s="446"/>
      <c r="M154" s="87" t="str">
        <f t="shared" si="2"/>
        <v xml:space="preserve">   </v>
      </c>
    </row>
    <row r="155" spans="1:13" x14ac:dyDescent="0.2">
      <c r="A155" s="426"/>
      <c r="B155" s="156" t="str">
        <f>Capacidades!M1050</f>
        <v xml:space="preserve">   </v>
      </c>
      <c r="C155" s="157"/>
      <c r="D155" s="13"/>
      <c r="E155" s="13"/>
      <c r="F155" s="13"/>
      <c r="G155" s="13"/>
      <c r="H155" s="14"/>
      <c r="I155" s="14"/>
      <c r="J155" s="14"/>
      <c r="K155" s="14"/>
      <c r="L155" s="446"/>
      <c r="M155" s="87" t="str">
        <f t="shared" si="2"/>
        <v xml:space="preserve">   </v>
      </c>
    </row>
    <row r="156" spans="1:13" x14ac:dyDescent="0.2">
      <c r="A156" s="426"/>
      <c r="B156" s="156" t="str">
        <f>Capacidades!M1051</f>
        <v xml:space="preserve">   </v>
      </c>
      <c r="C156" s="157"/>
      <c r="D156" s="13"/>
      <c r="E156" s="13"/>
      <c r="F156" s="13"/>
      <c r="G156" s="13"/>
      <c r="H156" s="14"/>
      <c r="I156" s="14"/>
      <c r="J156" s="14"/>
      <c r="K156" s="14"/>
      <c r="L156" s="446"/>
      <c r="M156" s="87" t="str">
        <f t="shared" si="2"/>
        <v xml:space="preserve">   </v>
      </c>
    </row>
    <row r="157" spans="1:13" x14ac:dyDescent="0.2">
      <c r="A157" s="427"/>
      <c r="B157" s="156" t="str">
        <f>Capacidades!M1052</f>
        <v xml:space="preserve">   </v>
      </c>
      <c r="C157" s="157"/>
      <c r="D157" s="15"/>
      <c r="E157" s="15"/>
      <c r="F157" s="15"/>
      <c r="G157" s="15"/>
      <c r="H157" s="16"/>
      <c r="I157" s="16"/>
      <c r="J157" s="16"/>
      <c r="K157" s="16"/>
      <c r="L157" s="447"/>
      <c r="M157" s="87" t="str">
        <f t="shared" si="2"/>
        <v xml:space="preserve">   </v>
      </c>
    </row>
    <row r="158" spans="1:13" x14ac:dyDescent="0.2">
      <c r="A158" s="425" t="str">
        <f>Capacidades!L1053</f>
        <v xml:space="preserve">       </v>
      </c>
      <c r="B158" s="156" t="str">
        <f>Capacidades!M1053</f>
        <v xml:space="preserve">   </v>
      </c>
      <c r="C158" s="157"/>
      <c r="D158" s="11">
        <f>Organización_Modular!F117</f>
        <v>0</v>
      </c>
      <c r="E158" s="11">
        <f>Organización_Modular!G117</f>
        <v>0</v>
      </c>
      <c r="F158" s="11">
        <f>Organización_Modular!H117</f>
        <v>0</v>
      </c>
      <c r="G158" s="11">
        <f>Organización_Modular!I117</f>
        <v>0</v>
      </c>
      <c r="H158" s="12">
        <f>SUM(F158:G158)</f>
        <v>0</v>
      </c>
      <c r="I158" s="12">
        <f>F158*16</f>
        <v>0</v>
      </c>
      <c r="J158" s="12">
        <f>G158*32</f>
        <v>0</v>
      </c>
      <c r="K158" s="12">
        <f>SUM(I158:J158)</f>
        <v>0</v>
      </c>
      <c r="L158" s="445"/>
      <c r="M158" s="87" t="str">
        <f t="shared" si="2"/>
        <v xml:space="preserve">   </v>
      </c>
    </row>
    <row r="159" spans="1:13" x14ac:dyDescent="0.2">
      <c r="A159" s="426"/>
      <c r="B159" s="156" t="str">
        <f>Capacidades!M1054</f>
        <v xml:space="preserve">   </v>
      </c>
      <c r="C159" s="157"/>
      <c r="D159" s="13"/>
      <c r="E159" s="13"/>
      <c r="F159" s="13"/>
      <c r="G159" s="13"/>
      <c r="H159" s="14"/>
      <c r="I159" s="14"/>
      <c r="J159" s="14"/>
      <c r="K159" s="14"/>
      <c r="L159" s="446"/>
      <c r="M159" s="87" t="str">
        <f t="shared" si="2"/>
        <v xml:space="preserve">   </v>
      </c>
    </row>
    <row r="160" spans="1:13" x14ac:dyDescent="0.2">
      <c r="A160" s="426"/>
      <c r="B160" s="156" t="str">
        <f>Capacidades!M1055</f>
        <v xml:space="preserve">   </v>
      </c>
      <c r="C160" s="157"/>
      <c r="D160" s="13"/>
      <c r="E160" s="13"/>
      <c r="F160" s="13"/>
      <c r="G160" s="13"/>
      <c r="H160" s="14"/>
      <c r="I160" s="14"/>
      <c r="J160" s="14"/>
      <c r="K160" s="14"/>
      <c r="L160" s="446"/>
      <c r="M160" s="87" t="str">
        <f t="shared" si="2"/>
        <v xml:space="preserve">   </v>
      </c>
    </row>
    <row r="161" spans="1:13" x14ac:dyDescent="0.2">
      <c r="A161" s="426"/>
      <c r="B161" s="156" t="str">
        <f>Capacidades!M1056</f>
        <v xml:space="preserve">   </v>
      </c>
      <c r="C161" s="157"/>
      <c r="D161" s="13"/>
      <c r="E161" s="13"/>
      <c r="F161" s="13"/>
      <c r="G161" s="13"/>
      <c r="H161" s="14"/>
      <c r="I161" s="14"/>
      <c r="J161" s="14"/>
      <c r="K161" s="14"/>
      <c r="L161" s="446"/>
      <c r="M161" s="87" t="str">
        <f t="shared" si="2"/>
        <v xml:space="preserve">   </v>
      </c>
    </row>
    <row r="162" spans="1:13" x14ac:dyDescent="0.2">
      <c r="A162" s="426"/>
      <c r="B162" s="156" t="str">
        <f>Capacidades!M1057</f>
        <v xml:space="preserve">   </v>
      </c>
      <c r="C162" s="157"/>
      <c r="D162" s="13"/>
      <c r="E162" s="13"/>
      <c r="F162" s="13"/>
      <c r="G162" s="13"/>
      <c r="H162" s="14"/>
      <c r="I162" s="14"/>
      <c r="J162" s="14"/>
      <c r="K162" s="14"/>
      <c r="L162" s="446"/>
      <c r="M162" s="87" t="str">
        <f t="shared" si="2"/>
        <v xml:space="preserve">   </v>
      </c>
    </row>
    <row r="163" spans="1:13" x14ac:dyDescent="0.2">
      <c r="A163" s="426"/>
      <c r="B163" s="156" t="str">
        <f>Capacidades!M1058</f>
        <v xml:space="preserve">   </v>
      </c>
      <c r="C163" s="157"/>
      <c r="D163" s="13"/>
      <c r="E163" s="13"/>
      <c r="F163" s="13"/>
      <c r="G163" s="13"/>
      <c r="H163" s="14"/>
      <c r="I163" s="14"/>
      <c r="J163" s="14"/>
      <c r="K163" s="14"/>
      <c r="L163" s="446"/>
      <c r="M163" s="87" t="str">
        <f t="shared" si="2"/>
        <v xml:space="preserve">   </v>
      </c>
    </row>
    <row r="164" spans="1:13" x14ac:dyDescent="0.2">
      <c r="A164" s="426"/>
      <c r="B164" s="156" t="str">
        <f>Capacidades!M1059</f>
        <v xml:space="preserve">   </v>
      </c>
      <c r="C164" s="157"/>
      <c r="D164" s="13"/>
      <c r="E164" s="13"/>
      <c r="F164" s="13"/>
      <c r="G164" s="13"/>
      <c r="H164" s="14"/>
      <c r="I164" s="14"/>
      <c r="J164" s="14"/>
      <c r="K164" s="14"/>
      <c r="L164" s="446"/>
      <c r="M164" s="87" t="str">
        <f t="shared" si="2"/>
        <v xml:space="preserve">   </v>
      </c>
    </row>
    <row r="165" spans="1:13" x14ac:dyDescent="0.2">
      <c r="A165" s="426"/>
      <c r="B165" s="156" t="str">
        <f>Capacidades!M1060</f>
        <v xml:space="preserve">   </v>
      </c>
      <c r="C165" s="157"/>
      <c r="D165" s="13"/>
      <c r="E165" s="13"/>
      <c r="F165" s="13"/>
      <c r="G165" s="13"/>
      <c r="H165" s="14"/>
      <c r="I165" s="14"/>
      <c r="J165" s="14"/>
      <c r="K165" s="14"/>
      <c r="L165" s="446"/>
      <c r="M165" s="87" t="str">
        <f t="shared" si="2"/>
        <v xml:space="preserve">   </v>
      </c>
    </row>
    <row r="166" spans="1:13" x14ac:dyDescent="0.2">
      <c r="A166" s="426"/>
      <c r="B166" s="156" t="str">
        <f>Capacidades!M1061</f>
        <v xml:space="preserve">   </v>
      </c>
      <c r="C166" s="157"/>
      <c r="D166" s="13"/>
      <c r="E166" s="13"/>
      <c r="F166" s="13"/>
      <c r="G166" s="13"/>
      <c r="H166" s="14"/>
      <c r="I166" s="14"/>
      <c r="J166" s="14"/>
      <c r="K166" s="14"/>
      <c r="L166" s="446"/>
      <c r="M166" s="87" t="str">
        <f t="shared" si="2"/>
        <v xml:space="preserve">   </v>
      </c>
    </row>
    <row r="167" spans="1:13" x14ac:dyDescent="0.2">
      <c r="A167" s="427"/>
      <c r="B167" s="156" t="str">
        <f>Capacidades!M1062</f>
        <v xml:space="preserve">   </v>
      </c>
      <c r="C167" s="157"/>
      <c r="D167" s="15"/>
      <c r="E167" s="15"/>
      <c r="F167" s="15"/>
      <c r="G167" s="15"/>
      <c r="H167" s="16"/>
      <c r="I167" s="16"/>
      <c r="J167" s="16"/>
      <c r="K167" s="16"/>
      <c r="L167" s="447"/>
      <c r="M167" s="87" t="str">
        <f t="shared" si="2"/>
        <v xml:space="preserve">   </v>
      </c>
    </row>
    <row r="168" spans="1:13" x14ac:dyDescent="0.2">
      <c r="A168" s="425" t="str">
        <f>Capacidades!L1063</f>
        <v xml:space="preserve">       </v>
      </c>
      <c r="B168" s="156" t="str">
        <f>Capacidades!M1063</f>
        <v xml:space="preserve">   </v>
      </c>
      <c r="C168" s="157"/>
      <c r="D168" s="11">
        <f>Organización_Modular!F118</f>
        <v>0</v>
      </c>
      <c r="E168" s="11">
        <f>Organización_Modular!G118</f>
        <v>0</v>
      </c>
      <c r="F168" s="11">
        <f>Organización_Modular!H118</f>
        <v>0</v>
      </c>
      <c r="G168" s="11">
        <f>Organización_Modular!I118</f>
        <v>0</v>
      </c>
      <c r="H168" s="12">
        <f>SUM(F168:G168)</f>
        <v>0</v>
      </c>
      <c r="I168" s="12">
        <f>F168*16</f>
        <v>0</v>
      </c>
      <c r="J168" s="12">
        <f>G168*32</f>
        <v>0</v>
      </c>
      <c r="K168" s="12">
        <f>SUM(I168:J168)</f>
        <v>0</v>
      </c>
      <c r="L168" s="445"/>
      <c r="M168" s="87" t="str">
        <f t="shared" si="2"/>
        <v xml:space="preserve">   </v>
      </c>
    </row>
    <row r="169" spans="1:13" x14ac:dyDescent="0.2">
      <c r="A169" s="426"/>
      <c r="B169" s="156" t="str">
        <f>Capacidades!M1064</f>
        <v xml:space="preserve">   </v>
      </c>
      <c r="C169" s="157"/>
      <c r="D169" s="13"/>
      <c r="E169" s="13"/>
      <c r="F169" s="13"/>
      <c r="G169" s="13"/>
      <c r="H169" s="14"/>
      <c r="I169" s="14"/>
      <c r="J169" s="14"/>
      <c r="K169" s="14"/>
      <c r="L169" s="446"/>
      <c r="M169" s="87" t="str">
        <f t="shared" si="2"/>
        <v xml:space="preserve">   </v>
      </c>
    </row>
    <row r="170" spans="1:13" x14ac:dyDescent="0.2">
      <c r="A170" s="426"/>
      <c r="B170" s="156" t="str">
        <f>Capacidades!M1065</f>
        <v xml:space="preserve">   </v>
      </c>
      <c r="C170" s="157"/>
      <c r="D170" s="13"/>
      <c r="E170" s="13"/>
      <c r="F170" s="13"/>
      <c r="G170" s="13"/>
      <c r="H170" s="14"/>
      <c r="I170" s="14"/>
      <c r="J170" s="14"/>
      <c r="K170" s="14"/>
      <c r="L170" s="446"/>
      <c r="M170" s="87" t="str">
        <f t="shared" si="2"/>
        <v xml:space="preserve">   </v>
      </c>
    </row>
    <row r="171" spans="1:13" x14ac:dyDescent="0.2">
      <c r="A171" s="426"/>
      <c r="B171" s="156" t="str">
        <f>Capacidades!M1066</f>
        <v xml:space="preserve">   </v>
      </c>
      <c r="C171" s="157"/>
      <c r="D171" s="13"/>
      <c r="E171" s="13"/>
      <c r="F171" s="13"/>
      <c r="G171" s="13"/>
      <c r="H171" s="14"/>
      <c r="I171" s="14"/>
      <c r="J171" s="14"/>
      <c r="K171" s="14"/>
      <c r="L171" s="446"/>
      <c r="M171" s="87" t="str">
        <f t="shared" si="2"/>
        <v xml:space="preserve">   </v>
      </c>
    </row>
    <row r="172" spans="1:13" x14ac:dyDescent="0.2">
      <c r="A172" s="426"/>
      <c r="B172" s="156" t="str">
        <f>Capacidades!M1067</f>
        <v xml:space="preserve">   </v>
      </c>
      <c r="C172" s="157"/>
      <c r="D172" s="13"/>
      <c r="E172" s="13"/>
      <c r="F172" s="13"/>
      <c r="G172" s="13"/>
      <c r="H172" s="14"/>
      <c r="I172" s="14"/>
      <c r="J172" s="14"/>
      <c r="K172" s="14"/>
      <c r="L172" s="446"/>
      <c r="M172" s="87" t="str">
        <f t="shared" si="2"/>
        <v xml:space="preserve">   </v>
      </c>
    </row>
    <row r="173" spans="1:13" x14ac:dyDescent="0.2">
      <c r="A173" s="426"/>
      <c r="B173" s="156" t="str">
        <f>Capacidades!M1068</f>
        <v xml:space="preserve">   </v>
      </c>
      <c r="C173" s="157"/>
      <c r="D173" s="13"/>
      <c r="E173" s="13"/>
      <c r="F173" s="13"/>
      <c r="G173" s="13"/>
      <c r="H173" s="14"/>
      <c r="I173" s="14"/>
      <c r="J173" s="14"/>
      <c r="K173" s="14"/>
      <c r="L173" s="446"/>
      <c r="M173" s="87" t="str">
        <f t="shared" si="2"/>
        <v xml:space="preserve">   </v>
      </c>
    </row>
    <row r="174" spans="1:13" x14ac:dyDescent="0.2">
      <c r="A174" s="426"/>
      <c r="B174" s="156" t="str">
        <f>Capacidades!M1069</f>
        <v xml:space="preserve">   </v>
      </c>
      <c r="C174" s="157"/>
      <c r="D174" s="13"/>
      <c r="E174" s="13"/>
      <c r="F174" s="13"/>
      <c r="G174" s="13"/>
      <c r="H174" s="14"/>
      <c r="I174" s="14"/>
      <c r="J174" s="14"/>
      <c r="K174" s="14"/>
      <c r="L174" s="446"/>
      <c r="M174" s="87" t="str">
        <f t="shared" si="2"/>
        <v xml:space="preserve">   </v>
      </c>
    </row>
    <row r="175" spans="1:13" x14ac:dyDescent="0.2">
      <c r="A175" s="426"/>
      <c r="B175" s="156" t="str">
        <f>Capacidades!M1070</f>
        <v xml:space="preserve">   </v>
      </c>
      <c r="C175" s="157"/>
      <c r="D175" s="13"/>
      <c r="E175" s="13"/>
      <c r="F175" s="13"/>
      <c r="G175" s="13"/>
      <c r="H175" s="14"/>
      <c r="I175" s="14"/>
      <c r="J175" s="14"/>
      <c r="K175" s="14"/>
      <c r="L175" s="446"/>
      <c r="M175" s="87" t="str">
        <f t="shared" si="2"/>
        <v xml:space="preserve">   </v>
      </c>
    </row>
    <row r="176" spans="1:13" x14ac:dyDescent="0.2">
      <c r="A176" s="426"/>
      <c r="B176" s="156" t="str">
        <f>Capacidades!M1071</f>
        <v xml:space="preserve">   </v>
      </c>
      <c r="C176" s="157"/>
      <c r="D176" s="13"/>
      <c r="E176" s="13"/>
      <c r="F176" s="13"/>
      <c r="G176" s="13"/>
      <c r="H176" s="14"/>
      <c r="I176" s="14"/>
      <c r="J176" s="14"/>
      <c r="K176" s="14"/>
      <c r="L176" s="446"/>
      <c r="M176" s="87" t="str">
        <f t="shared" si="2"/>
        <v xml:space="preserve">   </v>
      </c>
    </row>
    <row r="177" spans="1:13" x14ac:dyDescent="0.2">
      <c r="A177" s="427"/>
      <c r="B177" s="156" t="str">
        <f>Capacidades!M1072</f>
        <v xml:space="preserve">   </v>
      </c>
      <c r="C177" s="157"/>
      <c r="D177" s="15"/>
      <c r="E177" s="15"/>
      <c r="F177" s="15"/>
      <c r="G177" s="15"/>
      <c r="H177" s="16"/>
      <c r="I177" s="16"/>
      <c r="J177" s="16"/>
      <c r="K177" s="16"/>
      <c r="L177" s="447"/>
      <c r="M177" s="87" t="str">
        <f t="shared" si="2"/>
        <v xml:space="preserve">   </v>
      </c>
    </row>
    <row r="178" spans="1:13" x14ac:dyDescent="0.2">
      <c r="A178" s="425" t="str">
        <f>Capacidades!L1073</f>
        <v xml:space="preserve">       </v>
      </c>
      <c r="B178" s="156" t="str">
        <f>Capacidades!M1073</f>
        <v xml:space="preserve">   </v>
      </c>
      <c r="C178" s="157"/>
      <c r="D178" s="11">
        <f>Organización_Modular!F119</f>
        <v>0</v>
      </c>
      <c r="E178" s="11">
        <f>Organización_Modular!G119</f>
        <v>0</v>
      </c>
      <c r="F178" s="11">
        <f>Organización_Modular!H119</f>
        <v>0</v>
      </c>
      <c r="G178" s="11">
        <f>Organización_Modular!I119</f>
        <v>0</v>
      </c>
      <c r="H178" s="12">
        <f>SUM(F178:G178)</f>
        <v>0</v>
      </c>
      <c r="I178" s="12">
        <f>F178*16</f>
        <v>0</v>
      </c>
      <c r="J178" s="12">
        <f>G178*32</f>
        <v>0</v>
      </c>
      <c r="K178" s="12">
        <f>SUM(I178:J178)</f>
        <v>0</v>
      </c>
      <c r="L178" s="445"/>
      <c r="M178" s="87" t="str">
        <f t="shared" si="2"/>
        <v xml:space="preserve">   </v>
      </c>
    </row>
    <row r="179" spans="1:13" x14ac:dyDescent="0.2">
      <c r="A179" s="426"/>
      <c r="B179" s="156" t="str">
        <f>Capacidades!M1074</f>
        <v xml:space="preserve">   </v>
      </c>
      <c r="C179" s="157"/>
      <c r="D179" s="13"/>
      <c r="E179" s="13"/>
      <c r="F179" s="13"/>
      <c r="G179" s="13"/>
      <c r="H179" s="14"/>
      <c r="I179" s="14"/>
      <c r="J179" s="14"/>
      <c r="K179" s="14"/>
      <c r="L179" s="446"/>
      <c r="M179" s="87" t="str">
        <f t="shared" si="2"/>
        <v xml:space="preserve">   </v>
      </c>
    </row>
    <row r="180" spans="1:13" x14ac:dyDescent="0.2">
      <c r="A180" s="426"/>
      <c r="B180" s="156" t="str">
        <f>Capacidades!M1075</f>
        <v xml:space="preserve">   </v>
      </c>
      <c r="C180" s="157"/>
      <c r="D180" s="13"/>
      <c r="E180" s="13"/>
      <c r="F180" s="13"/>
      <c r="G180" s="13"/>
      <c r="H180" s="14"/>
      <c r="I180" s="14"/>
      <c r="J180" s="14"/>
      <c r="K180" s="14"/>
      <c r="L180" s="446"/>
      <c r="M180" s="87" t="str">
        <f t="shared" si="2"/>
        <v xml:space="preserve">   </v>
      </c>
    </row>
    <row r="181" spans="1:13" x14ac:dyDescent="0.2">
      <c r="A181" s="426"/>
      <c r="B181" s="156" t="str">
        <f>Capacidades!M1076</f>
        <v xml:space="preserve">   </v>
      </c>
      <c r="C181" s="157"/>
      <c r="D181" s="13"/>
      <c r="E181" s="13"/>
      <c r="F181" s="13"/>
      <c r="G181" s="13"/>
      <c r="H181" s="14"/>
      <c r="I181" s="14"/>
      <c r="J181" s="14"/>
      <c r="K181" s="14"/>
      <c r="L181" s="446"/>
      <c r="M181" s="87" t="str">
        <f t="shared" si="2"/>
        <v xml:space="preserve">   </v>
      </c>
    </row>
    <row r="182" spans="1:13" x14ac:dyDescent="0.2">
      <c r="A182" s="426"/>
      <c r="B182" s="156" t="str">
        <f>Capacidades!M1077</f>
        <v xml:space="preserve">   </v>
      </c>
      <c r="C182" s="157"/>
      <c r="D182" s="13"/>
      <c r="E182" s="13"/>
      <c r="F182" s="13"/>
      <c r="G182" s="13"/>
      <c r="H182" s="14"/>
      <c r="I182" s="14"/>
      <c r="J182" s="14"/>
      <c r="K182" s="14"/>
      <c r="L182" s="446"/>
      <c r="M182" s="87" t="str">
        <f t="shared" si="2"/>
        <v xml:space="preserve">   </v>
      </c>
    </row>
    <row r="183" spans="1:13" x14ac:dyDescent="0.2">
      <c r="A183" s="426"/>
      <c r="B183" s="156" t="str">
        <f>Capacidades!M1078</f>
        <v xml:space="preserve">   </v>
      </c>
      <c r="C183" s="157"/>
      <c r="D183" s="13"/>
      <c r="E183" s="13"/>
      <c r="F183" s="13"/>
      <c r="G183" s="13"/>
      <c r="H183" s="14"/>
      <c r="I183" s="14"/>
      <c r="J183" s="14"/>
      <c r="K183" s="14"/>
      <c r="L183" s="446"/>
      <c r="M183" s="87" t="str">
        <f t="shared" si="2"/>
        <v xml:space="preserve">   </v>
      </c>
    </row>
    <row r="184" spans="1:13" x14ac:dyDescent="0.2">
      <c r="A184" s="426"/>
      <c r="B184" s="156" t="str">
        <f>Capacidades!M1079</f>
        <v xml:space="preserve">   </v>
      </c>
      <c r="C184" s="157"/>
      <c r="D184" s="13"/>
      <c r="E184" s="13"/>
      <c r="F184" s="13"/>
      <c r="G184" s="13"/>
      <c r="H184" s="14"/>
      <c r="I184" s="14"/>
      <c r="J184" s="14"/>
      <c r="K184" s="14"/>
      <c r="L184" s="446"/>
      <c r="M184" s="87" t="str">
        <f t="shared" si="2"/>
        <v xml:space="preserve">   </v>
      </c>
    </row>
    <row r="185" spans="1:13" x14ac:dyDescent="0.2">
      <c r="A185" s="426"/>
      <c r="B185" s="156" t="str">
        <f>Capacidades!M1080</f>
        <v xml:space="preserve">   </v>
      </c>
      <c r="C185" s="157"/>
      <c r="D185" s="13"/>
      <c r="E185" s="13"/>
      <c r="F185" s="13"/>
      <c r="G185" s="13"/>
      <c r="H185" s="14"/>
      <c r="I185" s="14"/>
      <c r="J185" s="14"/>
      <c r="K185" s="14"/>
      <c r="L185" s="446"/>
      <c r="M185" s="87" t="str">
        <f t="shared" si="2"/>
        <v xml:space="preserve">   </v>
      </c>
    </row>
    <row r="186" spans="1:13" x14ac:dyDescent="0.2">
      <c r="A186" s="426"/>
      <c r="B186" s="156" t="str">
        <f>Capacidades!M1081</f>
        <v xml:space="preserve">   </v>
      </c>
      <c r="C186" s="157"/>
      <c r="D186" s="13"/>
      <c r="E186" s="13"/>
      <c r="F186" s="13"/>
      <c r="G186" s="13"/>
      <c r="H186" s="14"/>
      <c r="I186" s="14"/>
      <c r="J186" s="14"/>
      <c r="K186" s="14"/>
      <c r="L186" s="446"/>
      <c r="M186" s="87" t="str">
        <f t="shared" si="2"/>
        <v xml:space="preserve">   </v>
      </c>
    </row>
    <row r="187" spans="1:13" x14ac:dyDescent="0.2">
      <c r="A187" s="427"/>
      <c r="B187" s="156" t="str">
        <f>Capacidades!M1082</f>
        <v xml:space="preserve">   </v>
      </c>
      <c r="C187" s="157"/>
      <c r="D187" s="15"/>
      <c r="E187" s="15"/>
      <c r="F187" s="15"/>
      <c r="G187" s="15"/>
      <c r="H187" s="16"/>
      <c r="I187" s="16"/>
      <c r="J187" s="16"/>
      <c r="K187" s="16"/>
      <c r="L187" s="447"/>
      <c r="M187" s="87" t="str">
        <f t="shared" si="2"/>
        <v xml:space="preserve">   </v>
      </c>
    </row>
    <row r="188" spans="1:13" x14ac:dyDescent="0.2">
      <c r="A188" s="425" t="str">
        <f>Capacidades!L1083</f>
        <v xml:space="preserve">       </v>
      </c>
      <c r="B188" s="156" t="str">
        <f>Capacidades!M1083</f>
        <v xml:space="preserve">   </v>
      </c>
      <c r="C188" s="157"/>
      <c r="D188" s="11">
        <f>Organización_Modular!F120</f>
        <v>0</v>
      </c>
      <c r="E188" s="11">
        <f>Organización_Modular!G120</f>
        <v>0</v>
      </c>
      <c r="F188" s="11">
        <f>Organización_Modular!H120</f>
        <v>0</v>
      </c>
      <c r="G188" s="11">
        <f>Organización_Modular!I120</f>
        <v>0</v>
      </c>
      <c r="H188" s="12">
        <f>SUM(F188:G188)</f>
        <v>0</v>
      </c>
      <c r="I188" s="12">
        <f>F188*16</f>
        <v>0</v>
      </c>
      <c r="J188" s="12">
        <f>G188*32</f>
        <v>0</v>
      </c>
      <c r="K188" s="12">
        <f>SUM(I188:J188)</f>
        <v>0</v>
      </c>
      <c r="L188" s="445"/>
      <c r="M188" s="87" t="str">
        <f t="shared" si="2"/>
        <v xml:space="preserve">   </v>
      </c>
    </row>
    <row r="189" spans="1:13" x14ac:dyDescent="0.2">
      <c r="A189" s="426"/>
      <c r="B189" s="156" t="str">
        <f>Capacidades!M1084</f>
        <v xml:space="preserve">   </v>
      </c>
      <c r="C189" s="157"/>
      <c r="D189" s="13"/>
      <c r="E189" s="13"/>
      <c r="F189" s="13"/>
      <c r="G189" s="13"/>
      <c r="H189" s="14"/>
      <c r="I189" s="14"/>
      <c r="J189" s="14"/>
      <c r="K189" s="14"/>
      <c r="L189" s="446"/>
      <c r="M189" s="87" t="str">
        <f t="shared" si="2"/>
        <v xml:space="preserve">   </v>
      </c>
    </row>
    <row r="190" spans="1:13" x14ac:dyDescent="0.2">
      <c r="A190" s="426"/>
      <c r="B190" s="156" t="str">
        <f>Capacidades!M1085</f>
        <v xml:space="preserve">   </v>
      </c>
      <c r="C190" s="157"/>
      <c r="D190" s="13"/>
      <c r="E190" s="13"/>
      <c r="F190" s="13"/>
      <c r="G190" s="13"/>
      <c r="H190" s="14"/>
      <c r="I190" s="14"/>
      <c r="J190" s="14"/>
      <c r="K190" s="14"/>
      <c r="L190" s="446"/>
      <c r="M190" s="87" t="str">
        <f t="shared" si="2"/>
        <v xml:space="preserve">   </v>
      </c>
    </row>
    <row r="191" spans="1:13" x14ac:dyDescent="0.2">
      <c r="A191" s="426"/>
      <c r="B191" s="156" t="str">
        <f>Capacidades!M1086</f>
        <v xml:space="preserve">   </v>
      </c>
      <c r="C191" s="157"/>
      <c r="D191" s="13"/>
      <c r="E191" s="13"/>
      <c r="F191" s="13"/>
      <c r="G191" s="13"/>
      <c r="H191" s="14"/>
      <c r="I191" s="14"/>
      <c r="J191" s="14"/>
      <c r="K191" s="14"/>
      <c r="L191" s="446"/>
      <c r="M191" s="87" t="str">
        <f t="shared" si="2"/>
        <v xml:space="preserve">   </v>
      </c>
    </row>
    <row r="192" spans="1:13" x14ac:dyDescent="0.2">
      <c r="A192" s="426"/>
      <c r="B192" s="156" t="str">
        <f>Capacidades!M1087</f>
        <v xml:space="preserve">   </v>
      </c>
      <c r="C192" s="157"/>
      <c r="D192" s="13"/>
      <c r="E192" s="13"/>
      <c r="F192" s="13"/>
      <c r="G192" s="13"/>
      <c r="H192" s="14"/>
      <c r="I192" s="14"/>
      <c r="J192" s="14"/>
      <c r="K192" s="14"/>
      <c r="L192" s="446"/>
      <c r="M192" s="87" t="str">
        <f t="shared" si="2"/>
        <v xml:space="preserve">   </v>
      </c>
    </row>
    <row r="193" spans="1:13" x14ac:dyDescent="0.2">
      <c r="A193" s="426"/>
      <c r="B193" s="156" t="str">
        <f>Capacidades!M1088</f>
        <v xml:space="preserve">   </v>
      </c>
      <c r="C193" s="157"/>
      <c r="D193" s="13"/>
      <c r="E193" s="13"/>
      <c r="F193" s="13"/>
      <c r="G193" s="13"/>
      <c r="H193" s="14"/>
      <c r="I193" s="14"/>
      <c r="J193" s="14"/>
      <c r="K193" s="14"/>
      <c r="L193" s="446"/>
      <c r="M193" s="87" t="str">
        <f t="shared" si="2"/>
        <v xml:space="preserve">   </v>
      </c>
    </row>
    <row r="194" spans="1:13" x14ac:dyDescent="0.2">
      <c r="A194" s="426"/>
      <c r="B194" s="156" t="str">
        <f>Capacidades!M1089</f>
        <v xml:space="preserve">   </v>
      </c>
      <c r="C194" s="157"/>
      <c r="D194" s="13"/>
      <c r="E194" s="13"/>
      <c r="F194" s="13"/>
      <c r="G194" s="13"/>
      <c r="H194" s="14"/>
      <c r="I194" s="14"/>
      <c r="J194" s="14"/>
      <c r="K194" s="14"/>
      <c r="L194" s="446"/>
      <c r="M194" s="87" t="str">
        <f t="shared" si="2"/>
        <v xml:space="preserve">   </v>
      </c>
    </row>
    <row r="195" spans="1:13" x14ac:dyDescent="0.2">
      <c r="A195" s="426"/>
      <c r="B195" s="156" t="str">
        <f>Capacidades!M1090</f>
        <v xml:space="preserve">   </v>
      </c>
      <c r="C195" s="157"/>
      <c r="D195" s="13"/>
      <c r="E195" s="13"/>
      <c r="F195" s="13"/>
      <c r="G195" s="13"/>
      <c r="H195" s="14"/>
      <c r="I195" s="14"/>
      <c r="J195" s="14"/>
      <c r="K195" s="14"/>
      <c r="L195" s="446"/>
      <c r="M195" s="87" t="str">
        <f t="shared" si="2"/>
        <v xml:space="preserve">   </v>
      </c>
    </row>
    <row r="196" spans="1:13" x14ac:dyDescent="0.2">
      <c r="A196" s="426"/>
      <c r="B196" s="156" t="str">
        <f>Capacidades!M1091</f>
        <v xml:space="preserve">   </v>
      </c>
      <c r="C196" s="157"/>
      <c r="D196" s="13"/>
      <c r="E196" s="13"/>
      <c r="F196" s="13"/>
      <c r="G196" s="13"/>
      <c r="H196" s="14"/>
      <c r="I196" s="14"/>
      <c r="J196" s="14"/>
      <c r="K196" s="14"/>
      <c r="L196" s="446"/>
      <c r="M196" s="87" t="str">
        <f t="shared" si="2"/>
        <v xml:space="preserve">   </v>
      </c>
    </row>
    <row r="197" spans="1:13" x14ac:dyDescent="0.2">
      <c r="A197" s="427"/>
      <c r="B197" s="156" t="str">
        <f>Capacidades!M1092</f>
        <v xml:space="preserve">   </v>
      </c>
      <c r="C197" s="157"/>
      <c r="D197" s="15"/>
      <c r="E197" s="15"/>
      <c r="F197" s="15"/>
      <c r="G197" s="15"/>
      <c r="H197" s="16"/>
      <c r="I197" s="16"/>
      <c r="J197" s="16"/>
      <c r="K197" s="16"/>
      <c r="L197" s="447"/>
      <c r="M197" s="87" t="str">
        <f t="shared" si="2"/>
        <v xml:space="preserve">   </v>
      </c>
    </row>
    <row r="198" spans="1:13" x14ac:dyDescent="0.2">
      <c r="A198" s="425" t="str">
        <f>Capacidades!L1093</f>
        <v xml:space="preserve">       </v>
      </c>
      <c r="B198" s="156" t="str">
        <f>Capacidades!M1093</f>
        <v xml:space="preserve">   </v>
      </c>
      <c r="C198" s="157"/>
      <c r="D198" s="11">
        <f>Organización_Modular!F121</f>
        <v>0</v>
      </c>
      <c r="E198" s="11">
        <f>Organización_Modular!G121</f>
        <v>0</v>
      </c>
      <c r="F198" s="11">
        <f>Organización_Modular!H121</f>
        <v>0</v>
      </c>
      <c r="G198" s="11">
        <f>Organización_Modular!I121</f>
        <v>0</v>
      </c>
      <c r="H198" s="12">
        <f>SUM(F198:G198)</f>
        <v>0</v>
      </c>
      <c r="I198" s="12">
        <f>F198*16</f>
        <v>0</v>
      </c>
      <c r="J198" s="12">
        <f>G198*32</f>
        <v>0</v>
      </c>
      <c r="K198" s="12">
        <f>SUM(I198:J198)</f>
        <v>0</v>
      </c>
      <c r="L198" s="445"/>
      <c r="M198" s="87" t="str">
        <f t="shared" si="2"/>
        <v xml:space="preserve">   </v>
      </c>
    </row>
    <row r="199" spans="1:13" x14ac:dyDescent="0.2">
      <c r="A199" s="426"/>
      <c r="B199" s="156" t="str">
        <f>Capacidades!M1094</f>
        <v xml:space="preserve">   </v>
      </c>
      <c r="C199" s="157"/>
      <c r="D199" s="13"/>
      <c r="E199" s="13"/>
      <c r="F199" s="13"/>
      <c r="G199" s="13"/>
      <c r="H199" s="14"/>
      <c r="I199" s="14"/>
      <c r="J199" s="14"/>
      <c r="K199" s="14"/>
      <c r="L199" s="446"/>
      <c r="M199" s="87" t="str">
        <f t="shared" si="2"/>
        <v xml:space="preserve">   </v>
      </c>
    </row>
    <row r="200" spans="1:13" x14ac:dyDescent="0.2">
      <c r="A200" s="426"/>
      <c r="B200" s="156" t="str">
        <f>Capacidades!M1095</f>
        <v xml:space="preserve">   </v>
      </c>
      <c r="C200" s="157"/>
      <c r="D200" s="13"/>
      <c r="E200" s="13"/>
      <c r="F200" s="13"/>
      <c r="G200" s="13"/>
      <c r="H200" s="14"/>
      <c r="I200" s="14"/>
      <c r="J200" s="14"/>
      <c r="K200" s="14"/>
      <c r="L200" s="446"/>
      <c r="M200" s="87" t="str">
        <f t="shared" si="2"/>
        <v xml:space="preserve">   </v>
      </c>
    </row>
    <row r="201" spans="1:13" x14ac:dyDescent="0.2">
      <c r="A201" s="426"/>
      <c r="B201" s="156" t="str">
        <f>Capacidades!M1096</f>
        <v xml:space="preserve">   </v>
      </c>
      <c r="C201" s="157"/>
      <c r="D201" s="13"/>
      <c r="E201" s="13"/>
      <c r="F201" s="13"/>
      <c r="G201" s="13"/>
      <c r="H201" s="14"/>
      <c r="I201" s="14"/>
      <c r="J201" s="14"/>
      <c r="K201" s="14"/>
      <c r="L201" s="446"/>
      <c r="M201" s="87" t="str">
        <f t="shared" si="2"/>
        <v xml:space="preserve">   </v>
      </c>
    </row>
    <row r="202" spans="1:13" x14ac:dyDescent="0.2">
      <c r="A202" s="426"/>
      <c r="B202" s="156" t="str">
        <f>Capacidades!M1097</f>
        <v xml:space="preserve">   </v>
      </c>
      <c r="C202" s="157"/>
      <c r="D202" s="13"/>
      <c r="E202" s="13"/>
      <c r="F202" s="13"/>
      <c r="G202" s="13"/>
      <c r="H202" s="14"/>
      <c r="I202" s="14"/>
      <c r="J202" s="14"/>
      <c r="K202" s="14"/>
      <c r="L202" s="446"/>
      <c r="M202" s="87" t="str">
        <f t="shared" si="2"/>
        <v xml:space="preserve">   </v>
      </c>
    </row>
    <row r="203" spans="1:13" x14ac:dyDescent="0.2">
      <c r="A203" s="426"/>
      <c r="B203" s="156" t="str">
        <f>Capacidades!M1098</f>
        <v xml:space="preserve">   </v>
      </c>
      <c r="C203" s="157"/>
      <c r="D203" s="13"/>
      <c r="E203" s="13"/>
      <c r="F203" s="13"/>
      <c r="G203" s="13"/>
      <c r="H203" s="14"/>
      <c r="I203" s="14"/>
      <c r="J203" s="14"/>
      <c r="K203" s="14"/>
      <c r="L203" s="446"/>
      <c r="M203" s="87" t="str">
        <f t="shared" si="2"/>
        <v xml:space="preserve">   </v>
      </c>
    </row>
    <row r="204" spans="1:13" x14ac:dyDescent="0.2">
      <c r="A204" s="426"/>
      <c r="B204" s="156" t="str">
        <f>Capacidades!M1099</f>
        <v xml:space="preserve">   </v>
      </c>
      <c r="C204" s="157"/>
      <c r="D204" s="13"/>
      <c r="E204" s="13"/>
      <c r="F204" s="13"/>
      <c r="G204" s="13"/>
      <c r="H204" s="14"/>
      <c r="I204" s="14"/>
      <c r="J204" s="14"/>
      <c r="K204" s="14"/>
      <c r="L204" s="446"/>
      <c r="M204" s="87" t="str">
        <f t="shared" si="2"/>
        <v xml:space="preserve">   </v>
      </c>
    </row>
    <row r="205" spans="1:13" x14ac:dyDescent="0.2">
      <c r="A205" s="426"/>
      <c r="B205" s="156" t="str">
        <f>Capacidades!M1100</f>
        <v xml:space="preserve">   </v>
      </c>
      <c r="C205" s="157"/>
      <c r="D205" s="13"/>
      <c r="E205" s="13"/>
      <c r="F205" s="13"/>
      <c r="G205" s="13"/>
      <c r="H205" s="14"/>
      <c r="I205" s="14"/>
      <c r="J205" s="14"/>
      <c r="K205" s="14"/>
      <c r="L205" s="446"/>
      <c r="M205" s="87" t="str">
        <f t="shared" si="2"/>
        <v xml:space="preserve">   </v>
      </c>
    </row>
    <row r="206" spans="1:13" x14ac:dyDescent="0.2">
      <c r="A206" s="426"/>
      <c r="B206" s="156" t="str">
        <f>Capacidades!M1101</f>
        <v xml:space="preserve">   </v>
      </c>
      <c r="C206" s="157"/>
      <c r="D206" s="13"/>
      <c r="E206" s="13"/>
      <c r="F206" s="13"/>
      <c r="G206" s="13"/>
      <c r="H206" s="14"/>
      <c r="I206" s="14"/>
      <c r="J206" s="14"/>
      <c r="K206" s="14"/>
      <c r="L206" s="446"/>
      <c r="M206" s="87" t="str">
        <f t="shared" si="2"/>
        <v xml:space="preserve">   </v>
      </c>
    </row>
    <row r="207" spans="1:13" x14ac:dyDescent="0.2">
      <c r="A207" s="427"/>
      <c r="B207" s="156" t="str">
        <f>Capacidades!M1102</f>
        <v xml:space="preserve">   </v>
      </c>
      <c r="C207" s="157"/>
      <c r="D207" s="15"/>
      <c r="E207" s="15"/>
      <c r="F207" s="15"/>
      <c r="G207" s="15"/>
      <c r="H207" s="16"/>
      <c r="I207" s="16"/>
      <c r="J207" s="16"/>
      <c r="K207" s="16"/>
      <c r="L207" s="447"/>
      <c r="M207" s="87" t="str">
        <f t="shared" si="2"/>
        <v xml:space="preserve">   </v>
      </c>
    </row>
    <row r="208" spans="1:13" x14ac:dyDescent="0.2">
      <c r="A208" s="425" t="str">
        <f>Capacidades!L1103</f>
        <v xml:space="preserve">       </v>
      </c>
      <c r="B208" s="156" t="str">
        <f>Capacidades!M1103</f>
        <v xml:space="preserve">   </v>
      </c>
      <c r="C208" s="157"/>
      <c r="D208" s="11">
        <f>Organización_Modular!F122</f>
        <v>0</v>
      </c>
      <c r="E208" s="11">
        <f>Organización_Modular!G122</f>
        <v>0</v>
      </c>
      <c r="F208" s="11">
        <f>Organización_Modular!H122</f>
        <v>0</v>
      </c>
      <c r="G208" s="11">
        <f>Organización_Modular!I122</f>
        <v>0</v>
      </c>
      <c r="H208" s="12">
        <f>SUM(F208:G208)</f>
        <v>0</v>
      </c>
      <c r="I208" s="12">
        <f>F208*16</f>
        <v>0</v>
      </c>
      <c r="J208" s="12">
        <f>G208*32</f>
        <v>0</v>
      </c>
      <c r="K208" s="12">
        <f>SUM(I208:J208)</f>
        <v>0</v>
      </c>
      <c r="L208" s="445"/>
      <c r="M208" s="87" t="str">
        <f t="shared" si="2"/>
        <v xml:space="preserve">   </v>
      </c>
    </row>
    <row r="209" spans="1:13" x14ac:dyDescent="0.2">
      <c r="A209" s="426"/>
      <c r="B209" s="156" t="str">
        <f>Capacidades!M1104</f>
        <v xml:space="preserve">   </v>
      </c>
      <c r="C209" s="157"/>
      <c r="D209" s="13"/>
      <c r="E209" s="13"/>
      <c r="F209" s="14"/>
      <c r="G209" s="14"/>
      <c r="H209" s="14"/>
      <c r="I209" s="14"/>
      <c r="J209" s="14"/>
      <c r="K209" s="14"/>
      <c r="L209" s="446"/>
      <c r="M209" s="87" t="str">
        <f t="shared" si="2"/>
        <v xml:space="preserve">   </v>
      </c>
    </row>
    <row r="210" spans="1:13" x14ac:dyDescent="0.2">
      <c r="A210" s="426"/>
      <c r="B210" s="156" t="str">
        <f>Capacidades!M1105</f>
        <v xml:space="preserve">   </v>
      </c>
      <c r="C210" s="157"/>
      <c r="D210" s="13"/>
      <c r="E210" s="13"/>
      <c r="F210" s="14"/>
      <c r="G210" s="14"/>
      <c r="H210" s="14"/>
      <c r="I210" s="14"/>
      <c r="J210" s="14"/>
      <c r="K210" s="14"/>
      <c r="L210" s="446"/>
      <c r="M210" s="87" t="str">
        <f t="shared" si="2"/>
        <v xml:space="preserve">   </v>
      </c>
    </row>
    <row r="211" spans="1:13" x14ac:dyDescent="0.2">
      <c r="A211" s="426"/>
      <c r="B211" s="156" t="str">
        <f>Capacidades!M1106</f>
        <v xml:space="preserve">   </v>
      </c>
      <c r="C211" s="157"/>
      <c r="D211" s="13"/>
      <c r="E211" s="13"/>
      <c r="F211" s="13"/>
      <c r="G211" s="13"/>
      <c r="H211" s="14"/>
      <c r="I211" s="14"/>
      <c r="J211" s="14"/>
      <c r="K211" s="14"/>
      <c r="L211" s="446"/>
      <c r="M211" s="87" t="str">
        <f t="shared" ref="M211:M217" si="3">B211</f>
        <v xml:space="preserve">   </v>
      </c>
    </row>
    <row r="212" spans="1:13" x14ac:dyDescent="0.2">
      <c r="A212" s="426"/>
      <c r="B212" s="156" t="str">
        <f>Capacidades!M1107</f>
        <v xml:space="preserve">   </v>
      </c>
      <c r="C212" s="157"/>
      <c r="D212" s="13"/>
      <c r="E212" s="13"/>
      <c r="F212" s="13"/>
      <c r="G212" s="13"/>
      <c r="H212" s="14"/>
      <c r="I212" s="14"/>
      <c r="J212" s="14"/>
      <c r="K212" s="14"/>
      <c r="L212" s="446"/>
      <c r="M212" s="87" t="str">
        <f t="shared" si="3"/>
        <v xml:space="preserve">   </v>
      </c>
    </row>
    <row r="213" spans="1:13" x14ac:dyDescent="0.2">
      <c r="A213" s="426"/>
      <c r="B213" s="156" t="str">
        <f>Capacidades!M1108</f>
        <v xml:space="preserve">   </v>
      </c>
      <c r="C213" s="157"/>
      <c r="D213" s="13"/>
      <c r="E213" s="13"/>
      <c r="F213" s="13"/>
      <c r="G213" s="13"/>
      <c r="H213" s="14"/>
      <c r="I213" s="14"/>
      <c r="J213" s="14"/>
      <c r="K213" s="14"/>
      <c r="L213" s="446"/>
      <c r="M213" s="87" t="str">
        <f t="shared" si="3"/>
        <v xml:space="preserve">   </v>
      </c>
    </row>
    <row r="214" spans="1:13" x14ac:dyDescent="0.2">
      <c r="A214" s="426"/>
      <c r="B214" s="156" t="str">
        <f>Capacidades!M1109</f>
        <v xml:space="preserve">   </v>
      </c>
      <c r="C214" s="157"/>
      <c r="D214" s="13"/>
      <c r="E214" s="13"/>
      <c r="F214" s="13"/>
      <c r="G214" s="13"/>
      <c r="H214" s="14"/>
      <c r="I214" s="14"/>
      <c r="J214" s="14"/>
      <c r="K214" s="14"/>
      <c r="L214" s="446"/>
      <c r="M214" s="87" t="str">
        <f t="shared" si="3"/>
        <v xml:space="preserve">   </v>
      </c>
    </row>
    <row r="215" spans="1:13" x14ac:dyDescent="0.2">
      <c r="A215" s="426"/>
      <c r="B215" s="156" t="str">
        <f>Capacidades!M1110</f>
        <v xml:space="preserve">   </v>
      </c>
      <c r="C215" s="157"/>
      <c r="D215" s="13"/>
      <c r="E215" s="13"/>
      <c r="F215" s="14"/>
      <c r="G215" s="14"/>
      <c r="H215" s="14"/>
      <c r="I215" s="14"/>
      <c r="J215" s="14"/>
      <c r="K215" s="14"/>
      <c r="L215" s="446"/>
      <c r="M215" s="87" t="str">
        <f t="shared" si="3"/>
        <v xml:space="preserve">   </v>
      </c>
    </row>
    <row r="216" spans="1:13" x14ac:dyDescent="0.2">
      <c r="A216" s="426"/>
      <c r="B216" s="156" t="str">
        <f>Capacidades!M1111</f>
        <v xml:space="preserve">   </v>
      </c>
      <c r="C216" s="157"/>
      <c r="D216" s="13"/>
      <c r="E216" s="13"/>
      <c r="F216" s="14"/>
      <c r="G216" s="14"/>
      <c r="H216" s="14"/>
      <c r="I216" s="14"/>
      <c r="J216" s="14"/>
      <c r="K216" s="14"/>
      <c r="L216" s="446"/>
      <c r="M216" s="87" t="str">
        <f t="shared" si="3"/>
        <v xml:space="preserve">   </v>
      </c>
    </row>
    <row r="217" spans="1:13" x14ac:dyDescent="0.2">
      <c r="A217" s="427"/>
      <c r="B217" s="156" t="str">
        <f>Capacidades!M1112</f>
        <v xml:space="preserve">   </v>
      </c>
      <c r="C217" s="157"/>
      <c r="D217" s="15"/>
      <c r="E217" s="15"/>
      <c r="F217" s="16"/>
      <c r="G217" s="16"/>
      <c r="H217" s="16"/>
      <c r="I217" s="16"/>
      <c r="J217" s="16"/>
      <c r="K217" s="16"/>
      <c r="L217" s="447"/>
      <c r="M217" s="87" t="str">
        <f t="shared" si="3"/>
        <v xml:space="preserve">   </v>
      </c>
    </row>
    <row r="218" spans="1:13" ht="23.25" customHeight="1" x14ac:dyDescent="0.2">
      <c r="A218" s="466" t="s">
        <v>86</v>
      </c>
      <c r="B218" s="466"/>
      <c r="C218" s="466"/>
      <c r="D218" s="466"/>
      <c r="E218" s="466"/>
      <c r="F218" s="466"/>
      <c r="G218" s="466"/>
      <c r="H218" s="466"/>
      <c r="I218" s="466"/>
      <c r="J218" s="466"/>
      <c r="K218" s="466"/>
      <c r="L218" s="466"/>
      <c r="M218" s="87" t="str">
        <f>A218</f>
        <v>COMPETENCIAS PARA LA EMPLEABILIDAD INCORPORADAS MEDIANTE UNIDAD DIDÁCTICA</v>
      </c>
    </row>
    <row r="219" spans="1:13" ht="79.5" customHeight="1" x14ac:dyDescent="0.2">
      <c r="A219" s="503">
        <f>Organización_Modular!C123</f>
        <v>0</v>
      </c>
      <c r="B219" s="503"/>
      <c r="C219" s="503"/>
      <c r="D219" s="503"/>
      <c r="E219" s="503"/>
      <c r="F219" s="503"/>
      <c r="G219" s="503"/>
      <c r="H219" s="503"/>
      <c r="I219" s="503"/>
      <c r="J219" s="503"/>
      <c r="K219" s="503"/>
      <c r="L219" s="503"/>
      <c r="M219" s="87">
        <f>A219</f>
        <v>0</v>
      </c>
    </row>
    <row r="220" spans="1:13" ht="12.75" customHeight="1" x14ac:dyDescent="0.2">
      <c r="A220" s="514" t="s">
        <v>80</v>
      </c>
      <c r="B220" s="515" t="s">
        <v>79</v>
      </c>
      <c r="C220" s="514" t="s">
        <v>78</v>
      </c>
      <c r="D220" s="514" t="s">
        <v>0</v>
      </c>
      <c r="E220" s="451" t="s">
        <v>50</v>
      </c>
      <c r="F220" s="514" t="s">
        <v>71</v>
      </c>
      <c r="G220" s="514"/>
      <c r="H220" s="514" t="s">
        <v>71</v>
      </c>
      <c r="I220" s="514" t="s">
        <v>77</v>
      </c>
      <c r="J220" s="514"/>
      <c r="K220" s="514" t="s">
        <v>77</v>
      </c>
      <c r="L220" s="514" t="s">
        <v>76</v>
      </c>
      <c r="M220" s="87" t="str">
        <f t="shared" ref="M220" si="4">A220</f>
        <v>CAPACIDADES DE EMPLEABILIDAD</v>
      </c>
    </row>
    <row r="221" spans="1:13" x14ac:dyDescent="0.2">
      <c r="A221" s="514"/>
      <c r="B221" s="515"/>
      <c r="C221" s="514"/>
      <c r="D221" s="514"/>
      <c r="E221" s="451"/>
      <c r="F221" s="150" t="s">
        <v>75</v>
      </c>
      <c r="G221" s="150" t="s">
        <v>74</v>
      </c>
      <c r="H221" s="514"/>
      <c r="I221" s="150" t="s">
        <v>75</v>
      </c>
      <c r="J221" s="150" t="s">
        <v>74</v>
      </c>
      <c r="K221" s="514"/>
      <c r="L221" s="514"/>
      <c r="M221" s="87" t="str">
        <f>A220</f>
        <v>CAPACIDADES DE EMPLEABILIDAD</v>
      </c>
    </row>
    <row r="222" spans="1:13" x14ac:dyDescent="0.2">
      <c r="A222" s="425" t="str">
        <f>Capacidades!L1113</f>
        <v xml:space="preserve">       </v>
      </c>
      <c r="B222" s="158" t="str">
        <f>Capacidades!M1113</f>
        <v xml:space="preserve">   </v>
      </c>
      <c r="C222" s="159"/>
      <c r="D222" s="13">
        <f>Organización_Modular!F123</f>
        <v>0</v>
      </c>
      <c r="E222" s="13">
        <f>Organización_Modular!G123</f>
        <v>0</v>
      </c>
      <c r="F222" s="13">
        <f>Organización_Modular!H123</f>
        <v>0</v>
      </c>
      <c r="G222" s="13">
        <f>Organización_Modular!I123</f>
        <v>0</v>
      </c>
      <c r="H222" s="14">
        <f>SUM(F222:G222)</f>
        <v>0</v>
      </c>
      <c r="I222" s="14">
        <f>F222*16</f>
        <v>0</v>
      </c>
      <c r="J222" s="14">
        <f>G222*32</f>
        <v>0</v>
      </c>
      <c r="K222" s="14">
        <f>SUM(I222:J222)</f>
        <v>0</v>
      </c>
      <c r="L222" s="446"/>
      <c r="M222" s="87" t="str">
        <f>B222</f>
        <v xml:space="preserve">   </v>
      </c>
    </row>
    <row r="223" spans="1:13" ht="30" customHeight="1" x14ac:dyDescent="0.2">
      <c r="A223" s="426"/>
      <c r="B223" s="158" t="str">
        <f>Capacidades!M1114</f>
        <v xml:space="preserve">   </v>
      </c>
      <c r="C223" s="157"/>
      <c r="D223" s="13"/>
      <c r="E223" s="13"/>
      <c r="F223" s="13"/>
      <c r="G223" s="13"/>
      <c r="H223" s="14"/>
      <c r="I223" s="14"/>
      <c r="J223" s="14"/>
      <c r="K223" s="14"/>
      <c r="L223" s="446"/>
      <c r="M223" s="87" t="str">
        <f t="shared" ref="M223:M286" si="5">B223</f>
        <v xml:space="preserve">   </v>
      </c>
    </row>
    <row r="224" spans="1:13" ht="54.75" customHeight="1" x14ac:dyDescent="0.2">
      <c r="A224" s="426"/>
      <c r="B224" s="158" t="str">
        <f>Capacidades!M1115</f>
        <v xml:space="preserve">   </v>
      </c>
      <c r="C224" s="157"/>
      <c r="D224" s="13"/>
      <c r="E224" s="13"/>
      <c r="F224" s="13"/>
      <c r="G224" s="13"/>
      <c r="H224" s="14"/>
      <c r="I224" s="14"/>
      <c r="J224" s="14"/>
      <c r="K224" s="14"/>
      <c r="L224" s="446"/>
      <c r="M224" s="87" t="str">
        <f t="shared" si="5"/>
        <v xml:space="preserve">   </v>
      </c>
    </row>
    <row r="225" spans="1:13" ht="51" customHeight="1" x14ac:dyDescent="0.2">
      <c r="A225" s="426"/>
      <c r="B225" s="158" t="str">
        <f>Capacidades!M1116</f>
        <v xml:space="preserve">   </v>
      </c>
      <c r="C225" s="157"/>
      <c r="D225" s="13"/>
      <c r="E225" s="13"/>
      <c r="F225" s="13"/>
      <c r="G225" s="13"/>
      <c r="H225" s="14"/>
      <c r="I225" s="14"/>
      <c r="J225" s="14"/>
      <c r="K225" s="14"/>
      <c r="L225" s="446"/>
      <c r="M225" s="87" t="str">
        <f t="shared" si="5"/>
        <v xml:space="preserve">   </v>
      </c>
    </row>
    <row r="226" spans="1:13" x14ac:dyDescent="0.2">
      <c r="A226" s="426"/>
      <c r="B226" s="158" t="str">
        <f>Capacidades!M1117</f>
        <v xml:space="preserve">   </v>
      </c>
      <c r="C226" s="157"/>
      <c r="D226" s="13"/>
      <c r="E226" s="13"/>
      <c r="F226" s="13"/>
      <c r="G226" s="13"/>
      <c r="H226" s="14"/>
      <c r="I226" s="14"/>
      <c r="J226" s="14"/>
      <c r="K226" s="14"/>
      <c r="L226" s="446"/>
      <c r="M226" s="87" t="str">
        <f t="shared" si="5"/>
        <v xml:space="preserve">   </v>
      </c>
    </row>
    <row r="227" spans="1:13" x14ac:dyDescent="0.2">
      <c r="A227" s="426"/>
      <c r="B227" s="158" t="str">
        <f>Capacidades!M1118</f>
        <v xml:space="preserve">   </v>
      </c>
      <c r="C227" s="157"/>
      <c r="D227" s="13"/>
      <c r="E227" s="13"/>
      <c r="F227" s="13"/>
      <c r="G227" s="13"/>
      <c r="H227" s="14"/>
      <c r="I227" s="14"/>
      <c r="J227" s="14"/>
      <c r="K227" s="14"/>
      <c r="L227" s="446"/>
      <c r="M227" s="87" t="str">
        <f t="shared" si="5"/>
        <v xml:space="preserve">   </v>
      </c>
    </row>
    <row r="228" spans="1:13" x14ac:dyDescent="0.2">
      <c r="A228" s="426"/>
      <c r="B228" s="158" t="str">
        <f>Capacidades!M1119</f>
        <v xml:space="preserve">   </v>
      </c>
      <c r="C228" s="157"/>
      <c r="D228" s="13"/>
      <c r="E228" s="13"/>
      <c r="F228" s="13"/>
      <c r="G228" s="13"/>
      <c r="H228" s="14"/>
      <c r="I228" s="14"/>
      <c r="J228" s="14"/>
      <c r="K228" s="14"/>
      <c r="L228" s="446"/>
      <c r="M228" s="87" t="str">
        <f t="shared" si="5"/>
        <v xml:space="preserve">   </v>
      </c>
    </row>
    <row r="229" spans="1:13" x14ac:dyDescent="0.2">
      <c r="A229" s="426"/>
      <c r="B229" s="158" t="str">
        <f>Capacidades!M1120</f>
        <v xml:space="preserve">   </v>
      </c>
      <c r="C229" s="157"/>
      <c r="D229" s="13"/>
      <c r="E229" s="13"/>
      <c r="F229" s="13"/>
      <c r="G229" s="13"/>
      <c r="H229" s="14"/>
      <c r="I229" s="14"/>
      <c r="J229" s="14"/>
      <c r="K229" s="14"/>
      <c r="L229" s="446"/>
      <c r="M229" s="87" t="str">
        <f t="shared" si="5"/>
        <v xml:space="preserve">   </v>
      </c>
    </row>
    <row r="230" spans="1:13" x14ac:dyDescent="0.2">
      <c r="A230" s="426"/>
      <c r="B230" s="158" t="str">
        <f>Capacidades!M1121</f>
        <v xml:space="preserve">   </v>
      </c>
      <c r="C230" s="157"/>
      <c r="D230" s="13"/>
      <c r="E230" s="13"/>
      <c r="F230" s="13"/>
      <c r="G230" s="13"/>
      <c r="H230" s="14"/>
      <c r="I230" s="14"/>
      <c r="J230" s="14"/>
      <c r="K230" s="14"/>
      <c r="L230" s="446"/>
      <c r="M230" s="87" t="str">
        <f t="shared" si="5"/>
        <v xml:space="preserve">   </v>
      </c>
    </row>
    <row r="231" spans="1:13" x14ac:dyDescent="0.2">
      <c r="A231" s="427"/>
      <c r="B231" s="158" t="str">
        <f>Capacidades!M1122</f>
        <v xml:space="preserve">   </v>
      </c>
      <c r="C231" s="157"/>
      <c r="D231" s="15"/>
      <c r="E231" s="15"/>
      <c r="F231" s="15"/>
      <c r="G231" s="15"/>
      <c r="H231" s="16"/>
      <c r="I231" s="16"/>
      <c r="J231" s="16"/>
      <c r="K231" s="16"/>
      <c r="L231" s="447"/>
      <c r="M231" s="87" t="str">
        <f t="shared" si="5"/>
        <v xml:space="preserve">   </v>
      </c>
    </row>
    <row r="232" spans="1:13" x14ac:dyDescent="0.2">
      <c r="A232" s="425" t="str">
        <f>Capacidades!L1123</f>
        <v xml:space="preserve">       </v>
      </c>
      <c r="B232" s="158" t="str">
        <f>Capacidades!M1123</f>
        <v xml:space="preserve">   </v>
      </c>
      <c r="C232" s="157"/>
      <c r="D232" s="11">
        <f>Organización_Modular!F124</f>
        <v>0</v>
      </c>
      <c r="E232" s="11">
        <f>Organización_Modular!G124</f>
        <v>0</v>
      </c>
      <c r="F232" s="11">
        <f>Organización_Modular!H124</f>
        <v>0</v>
      </c>
      <c r="G232" s="11">
        <f>Organización_Modular!I124</f>
        <v>0</v>
      </c>
      <c r="H232" s="12">
        <f>SUM(F232:G232)</f>
        <v>0</v>
      </c>
      <c r="I232" s="12">
        <f>F232*16</f>
        <v>0</v>
      </c>
      <c r="J232" s="12">
        <f>G232*32</f>
        <v>0</v>
      </c>
      <c r="K232" s="12">
        <f>SUM(I232:J232)</f>
        <v>0</v>
      </c>
      <c r="L232" s="445"/>
      <c r="M232" s="87" t="str">
        <f t="shared" si="5"/>
        <v xml:space="preserve">   </v>
      </c>
    </row>
    <row r="233" spans="1:13" x14ac:dyDescent="0.2">
      <c r="A233" s="426"/>
      <c r="B233" s="158" t="str">
        <f>Capacidades!M1124</f>
        <v xml:space="preserve">   </v>
      </c>
      <c r="C233" s="157"/>
      <c r="D233" s="13"/>
      <c r="E233" s="13"/>
      <c r="F233" s="13"/>
      <c r="G233" s="13"/>
      <c r="H233" s="14"/>
      <c r="I233" s="14"/>
      <c r="J233" s="14"/>
      <c r="K233" s="14"/>
      <c r="L233" s="446"/>
      <c r="M233" s="87" t="str">
        <f t="shared" si="5"/>
        <v xml:space="preserve">   </v>
      </c>
    </row>
    <row r="234" spans="1:13" x14ac:dyDescent="0.2">
      <c r="A234" s="426"/>
      <c r="B234" s="158" t="str">
        <f>Capacidades!M1125</f>
        <v xml:space="preserve">   </v>
      </c>
      <c r="C234" s="157"/>
      <c r="D234" s="13"/>
      <c r="E234" s="13"/>
      <c r="F234" s="13"/>
      <c r="G234" s="13"/>
      <c r="H234" s="14"/>
      <c r="I234" s="14"/>
      <c r="J234" s="14"/>
      <c r="K234" s="14"/>
      <c r="L234" s="446"/>
      <c r="M234" s="87" t="str">
        <f t="shared" si="5"/>
        <v xml:space="preserve">   </v>
      </c>
    </row>
    <row r="235" spans="1:13" x14ac:dyDescent="0.2">
      <c r="A235" s="426"/>
      <c r="B235" s="158" t="str">
        <f>Capacidades!M1126</f>
        <v xml:space="preserve">   </v>
      </c>
      <c r="C235" s="157"/>
      <c r="D235" s="13"/>
      <c r="E235" s="13"/>
      <c r="F235" s="13"/>
      <c r="G235" s="13"/>
      <c r="H235" s="14"/>
      <c r="I235" s="14"/>
      <c r="J235" s="14"/>
      <c r="K235" s="14"/>
      <c r="L235" s="446"/>
      <c r="M235" s="87" t="str">
        <f t="shared" si="5"/>
        <v xml:space="preserve">   </v>
      </c>
    </row>
    <row r="236" spans="1:13" x14ac:dyDescent="0.2">
      <c r="A236" s="426"/>
      <c r="B236" s="158" t="str">
        <f>Capacidades!M1127</f>
        <v xml:space="preserve">   </v>
      </c>
      <c r="C236" s="157"/>
      <c r="D236" s="13"/>
      <c r="E236" s="13"/>
      <c r="F236" s="13"/>
      <c r="G236" s="13"/>
      <c r="H236" s="14"/>
      <c r="I236" s="14"/>
      <c r="J236" s="14"/>
      <c r="K236" s="14"/>
      <c r="L236" s="446"/>
      <c r="M236" s="87" t="str">
        <f t="shared" si="5"/>
        <v xml:space="preserve">   </v>
      </c>
    </row>
    <row r="237" spans="1:13" x14ac:dyDescent="0.2">
      <c r="A237" s="426"/>
      <c r="B237" s="158" t="str">
        <f>Capacidades!M1128</f>
        <v xml:space="preserve">   </v>
      </c>
      <c r="C237" s="157"/>
      <c r="D237" s="13"/>
      <c r="E237" s="13"/>
      <c r="F237" s="13"/>
      <c r="G237" s="13"/>
      <c r="H237" s="14"/>
      <c r="I237" s="14"/>
      <c r="J237" s="14"/>
      <c r="K237" s="14"/>
      <c r="L237" s="446"/>
      <c r="M237" s="87" t="str">
        <f t="shared" si="5"/>
        <v xml:space="preserve">   </v>
      </c>
    </row>
    <row r="238" spans="1:13" x14ac:dyDescent="0.2">
      <c r="A238" s="426"/>
      <c r="B238" s="158" t="str">
        <f>Capacidades!M1129</f>
        <v xml:space="preserve">   </v>
      </c>
      <c r="C238" s="157"/>
      <c r="D238" s="13"/>
      <c r="E238" s="13"/>
      <c r="F238" s="13"/>
      <c r="G238" s="13"/>
      <c r="H238" s="14"/>
      <c r="I238" s="14"/>
      <c r="J238" s="14"/>
      <c r="K238" s="14"/>
      <c r="L238" s="446"/>
      <c r="M238" s="87" t="str">
        <f t="shared" si="5"/>
        <v xml:space="preserve">   </v>
      </c>
    </row>
    <row r="239" spans="1:13" x14ac:dyDescent="0.2">
      <c r="A239" s="426"/>
      <c r="B239" s="158" t="str">
        <f>Capacidades!M1130</f>
        <v xml:space="preserve">   </v>
      </c>
      <c r="C239" s="157"/>
      <c r="D239" s="13"/>
      <c r="E239" s="13"/>
      <c r="F239" s="13"/>
      <c r="G239" s="13"/>
      <c r="H239" s="14"/>
      <c r="I239" s="14"/>
      <c r="J239" s="14"/>
      <c r="K239" s="14"/>
      <c r="L239" s="446"/>
      <c r="M239" s="87" t="str">
        <f t="shared" si="5"/>
        <v xml:space="preserve">   </v>
      </c>
    </row>
    <row r="240" spans="1:13" x14ac:dyDescent="0.2">
      <c r="A240" s="426"/>
      <c r="B240" s="158" t="str">
        <f>Capacidades!M1131</f>
        <v xml:space="preserve">   </v>
      </c>
      <c r="C240" s="157"/>
      <c r="D240" s="13"/>
      <c r="E240" s="13"/>
      <c r="F240" s="13"/>
      <c r="G240" s="13"/>
      <c r="H240" s="14"/>
      <c r="I240" s="14"/>
      <c r="J240" s="14"/>
      <c r="K240" s="14"/>
      <c r="L240" s="446"/>
      <c r="M240" s="87" t="str">
        <f t="shared" si="5"/>
        <v xml:space="preserve">   </v>
      </c>
    </row>
    <row r="241" spans="1:13" x14ac:dyDescent="0.2">
      <c r="A241" s="427"/>
      <c r="B241" s="158" t="str">
        <f>Capacidades!M1132</f>
        <v xml:space="preserve">   </v>
      </c>
      <c r="C241" s="160"/>
      <c r="D241" s="13"/>
      <c r="E241" s="13"/>
      <c r="F241" s="13"/>
      <c r="G241" s="13"/>
      <c r="H241" s="14"/>
      <c r="I241" s="14"/>
      <c r="J241" s="14"/>
      <c r="K241" s="14"/>
      <c r="L241" s="446"/>
      <c r="M241" s="87" t="str">
        <f t="shared" si="5"/>
        <v xml:space="preserve">   </v>
      </c>
    </row>
    <row r="242" spans="1:13" x14ac:dyDescent="0.2">
      <c r="A242" s="425" t="str">
        <f>Capacidades!L1133</f>
        <v xml:space="preserve">       </v>
      </c>
      <c r="B242" s="158" t="str">
        <f>Capacidades!M1133</f>
        <v xml:space="preserve">   </v>
      </c>
      <c r="C242" s="157"/>
      <c r="D242" s="11">
        <f>Organización_Modular!F125</f>
        <v>0</v>
      </c>
      <c r="E242" s="11">
        <f>Organización_Modular!G125</f>
        <v>0</v>
      </c>
      <c r="F242" s="11">
        <f>Organización_Modular!H125</f>
        <v>0</v>
      </c>
      <c r="G242" s="11">
        <f>Organización_Modular!I125</f>
        <v>0</v>
      </c>
      <c r="H242" s="12">
        <f>SUM(F242:G242)</f>
        <v>0</v>
      </c>
      <c r="I242" s="12">
        <f>F242*16</f>
        <v>0</v>
      </c>
      <c r="J242" s="12">
        <f>G242*32</f>
        <v>0</v>
      </c>
      <c r="K242" s="12">
        <f>SUM(I242:J242)</f>
        <v>0</v>
      </c>
      <c r="L242" s="445"/>
      <c r="M242" s="87" t="str">
        <f t="shared" si="5"/>
        <v xml:space="preserve">   </v>
      </c>
    </row>
    <row r="243" spans="1:13" x14ac:dyDescent="0.2">
      <c r="A243" s="426"/>
      <c r="B243" s="158" t="str">
        <f>Capacidades!M1134</f>
        <v xml:space="preserve">   </v>
      </c>
      <c r="C243" s="157"/>
      <c r="D243" s="13"/>
      <c r="E243" s="13"/>
      <c r="F243" s="13"/>
      <c r="G243" s="13"/>
      <c r="H243" s="14"/>
      <c r="I243" s="14"/>
      <c r="J243" s="14"/>
      <c r="K243" s="14"/>
      <c r="L243" s="446"/>
      <c r="M243" s="87" t="str">
        <f t="shared" si="5"/>
        <v xml:space="preserve">   </v>
      </c>
    </row>
    <row r="244" spans="1:13" x14ac:dyDescent="0.2">
      <c r="A244" s="426"/>
      <c r="B244" s="158" t="str">
        <f>Capacidades!M1135</f>
        <v xml:space="preserve">   </v>
      </c>
      <c r="C244" s="157"/>
      <c r="D244" s="13"/>
      <c r="E244" s="13"/>
      <c r="F244" s="13"/>
      <c r="G244" s="13"/>
      <c r="H244" s="14"/>
      <c r="I244" s="14"/>
      <c r="J244" s="14"/>
      <c r="K244" s="14"/>
      <c r="L244" s="446"/>
      <c r="M244" s="87" t="str">
        <f t="shared" si="5"/>
        <v xml:space="preserve">   </v>
      </c>
    </row>
    <row r="245" spans="1:13" x14ac:dyDescent="0.2">
      <c r="A245" s="426"/>
      <c r="B245" s="158" t="str">
        <f>Capacidades!M1136</f>
        <v xml:space="preserve">   </v>
      </c>
      <c r="C245" s="157"/>
      <c r="D245" s="13"/>
      <c r="E245" s="13"/>
      <c r="F245" s="13"/>
      <c r="G245" s="13"/>
      <c r="H245" s="14"/>
      <c r="I245" s="14"/>
      <c r="J245" s="14"/>
      <c r="K245" s="14"/>
      <c r="L245" s="446"/>
      <c r="M245" s="87" t="str">
        <f t="shared" si="5"/>
        <v xml:space="preserve">   </v>
      </c>
    </row>
    <row r="246" spans="1:13" x14ac:dyDescent="0.2">
      <c r="A246" s="426"/>
      <c r="B246" s="158" t="str">
        <f>Capacidades!M1137</f>
        <v xml:space="preserve">   </v>
      </c>
      <c r="C246" s="157"/>
      <c r="D246" s="13"/>
      <c r="E246" s="13"/>
      <c r="F246" s="13"/>
      <c r="G246" s="13"/>
      <c r="H246" s="14"/>
      <c r="I246" s="14"/>
      <c r="J246" s="14"/>
      <c r="K246" s="14"/>
      <c r="L246" s="446"/>
      <c r="M246" s="87" t="str">
        <f t="shared" si="5"/>
        <v xml:space="preserve">   </v>
      </c>
    </row>
    <row r="247" spans="1:13" x14ac:dyDescent="0.2">
      <c r="A247" s="426"/>
      <c r="B247" s="158" t="str">
        <f>Capacidades!M1138</f>
        <v xml:space="preserve">   </v>
      </c>
      <c r="C247" s="157"/>
      <c r="D247" s="13"/>
      <c r="E247" s="13"/>
      <c r="F247" s="13"/>
      <c r="G247" s="13"/>
      <c r="H247" s="14"/>
      <c r="I247" s="14"/>
      <c r="J247" s="14"/>
      <c r="K247" s="14"/>
      <c r="L247" s="446"/>
      <c r="M247" s="87" t="str">
        <f t="shared" si="5"/>
        <v xml:space="preserve">   </v>
      </c>
    </row>
    <row r="248" spans="1:13" x14ac:dyDescent="0.2">
      <c r="A248" s="426"/>
      <c r="B248" s="158" t="str">
        <f>Capacidades!M1139</f>
        <v xml:space="preserve">   </v>
      </c>
      <c r="C248" s="157"/>
      <c r="D248" s="13"/>
      <c r="E248" s="13"/>
      <c r="F248" s="13"/>
      <c r="G248" s="13"/>
      <c r="H248" s="14"/>
      <c r="I248" s="14"/>
      <c r="J248" s="14"/>
      <c r="K248" s="14"/>
      <c r="L248" s="446"/>
      <c r="M248" s="87" t="str">
        <f t="shared" si="5"/>
        <v xml:space="preserve">   </v>
      </c>
    </row>
    <row r="249" spans="1:13" x14ac:dyDescent="0.2">
      <c r="A249" s="426"/>
      <c r="B249" s="158" t="str">
        <f>Capacidades!M1140</f>
        <v xml:space="preserve">   </v>
      </c>
      <c r="C249" s="157"/>
      <c r="D249" s="13"/>
      <c r="E249" s="13"/>
      <c r="F249" s="13"/>
      <c r="G249" s="13"/>
      <c r="H249" s="14"/>
      <c r="I249" s="14"/>
      <c r="J249" s="14"/>
      <c r="K249" s="14"/>
      <c r="L249" s="446"/>
      <c r="M249" s="87" t="str">
        <f t="shared" si="5"/>
        <v xml:space="preserve">   </v>
      </c>
    </row>
    <row r="250" spans="1:13" x14ac:dyDescent="0.2">
      <c r="A250" s="426"/>
      <c r="B250" s="158" t="str">
        <f>Capacidades!M1141</f>
        <v xml:space="preserve">   </v>
      </c>
      <c r="C250" s="157"/>
      <c r="D250" s="13"/>
      <c r="E250" s="13"/>
      <c r="F250" s="13"/>
      <c r="G250" s="13"/>
      <c r="H250" s="14"/>
      <c r="I250" s="14"/>
      <c r="J250" s="14"/>
      <c r="K250" s="14"/>
      <c r="L250" s="446"/>
      <c r="M250" s="87" t="str">
        <f t="shared" si="5"/>
        <v xml:space="preserve">   </v>
      </c>
    </row>
    <row r="251" spans="1:13" x14ac:dyDescent="0.2">
      <c r="A251" s="427"/>
      <c r="B251" s="158" t="str">
        <f>Capacidades!M1142</f>
        <v xml:space="preserve">   </v>
      </c>
      <c r="C251" s="160"/>
      <c r="D251" s="13"/>
      <c r="E251" s="13"/>
      <c r="F251" s="13"/>
      <c r="G251" s="13"/>
      <c r="H251" s="14"/>
      <c r="I251" s="14"/>
      <c r="J251" s="14"/>
      <c r="K251" s="14"/>
      <c r="L251" s="446"/>
      <c r="M251" s="87" t="str">
        <f t="shared" si="5"/>
        <v xml:space="preserve">   </v>
      </c>
    </row>
    <row r="252" spans="1:13" x14ac:dyDescent="0.2">
      <c r="A252" s="425" t="str">
        <f>Capacidades!L1143</f>
        <v xml:space="preserve">       </v>
      </c>
      <c r="B252" s="158" t="str">
        <f>Capacidades!M1143</f>
        <v xml:space="preserve">   </v>
      </c>
      <c r="C252" s="157"/>
      <c r="D252" s="11">
        <f>Organización_Modular!F126</f>
        <v>0</v>
      </c>
      <c r="E252" s="11">
        <f>Organización_Modular!G126</f>
        <v>0</v>
      </c>
      <c r="F252" s="11">
        <f>Organización_Modular!H126</f>
        <v>0</v>
      </c>
      <c r="G252" s="11">
        <f>Organización_Modular!I126</f>
        <v>0</v>
      </c>
      <c r="H252" s="12">
        <f>SUM(F252:G252)</f>
        <v>0</v>
      </c>
      <c r="I252" s="12">
        <f>F252*16</f>
        <v>0</v>
      </c>
      <c r="J252" s="12">
        <f>G252*32</f>
        <v>0</v>
      </c>
      <c r="K252" s="12">
        <f>SUM(I252:J252)</f>
        <v>0</v>
      </c>
      <c r="L252" s="445"/>
      <c r="M252" s="87" t="str">
        <f t="shared" si="5"/>
        <v xml:space="preserve">   </v>
      </c>
    </row>
    <row r="253" spans="1:13" x14ac:dyDescent="0.2">
      <c r="A253" s="426"/>
      <c r="B253" s="158" t="str">
        <f>Capacidades!M1144</f>
        <v xml:space="preserve">   </v>
      </c>
      <c r="C253" s="157"/>
      <c r="D253" s="13"/>
      <c r="E253" s="13"/>
      <c r="F253" s="13"/>
      <c r="G253" s="13"/>
      <c r="H253" s="14"/>
      <c r="I253" s="14"/>
      <c r="J253" s="14"/>
      <c r="K253" s="14"/>
      <c r="L253" s="446"/>
      <c r="M253" s="87" t="str">
        <f t="shared" si="5"/>
        <v xml:space="preserve">   </v>
      </c>
    </row>
    <row r="254" spans="1:13" x14ac:dyDescent="0.2">
      <c r="A254" s="426"/>
      <c r="B254" s="158" t="str">
        <f>Capacidades!M1145</f>
        <v xml:space="preserve">   </v>
      </c>
      <c r="C254" s="157"/>
      <c r="D254" s="13"/>
      <c r="E254" s="13"/>
      <c r="F254" s="13"/>
      <c r="G254" s="13"/>
      <c r="H254" s="14"/>
      <c r="I254" s="14"/>
      <c r="J254" s="14"/>
      <c r="K254" s="14"/>
      <c r="L254" s="446"/>
      <c r="M254" s="87" t="str">
        <f t="shared" si="5"/>
        <v xml:space="preserve">   </v>
      </c>
    </row>
    <row r="255" spans="1:13" x14ac:dyDescent="0.2">
      <c r="A255" s="426"/>
      <c r="B255" s="158" t="str">
        <f>Capacidades!M1146</f>
        <v xml:space="preserve">   </v>
      </c>
      <c r="C255" s="157"/>
      <c r="D255" s="13"/>
      <c r="E255" s="13"/>
      <c r="F255" s="13"/>
      <c r="G255" s="13"/>
      <c r="H255" s="14"/>
      <c r="I255" s="14"/>
      <c r="J255" s="14"/>
      <c r="K255" s="14"/>
      <c r="L255" s="446"/>
      <c r="M255" s="87" t="str">
        <f t="shared" si="5"/>
        <v xml:space="preserve">   </v>
      </c>
    </row>
    <row r="256" spans="1:13" x14ac:dyDescent="0.2">
      <c r="A256" s="426"/>
      <c r="B256" s="158" t="str">
        <f>Capacidades!M1147</f>
        <v xml:space="preserve">   </v>
      </c>
      <c r="C256" s="157"/>
      <c r="D256" s="13"/>
      <c r="E256" s="13"/>
      <c r="F256" s="13"/>
      <c r="G256" s="13"/>
      <c r="H256" s="14"/>
      <c r="I256" s="14"/>
      <c r="J256" s="14"/>
      <c r="K256" s="14"/>
      <c r="L256" s="446"/>
      <c r="M256" s="87" t="str">
        <f t="shared" si="5"/>
        <v xml:space="preserve">   </v>
      </c>
    </row>
    <row r="257" spans="1:13" x14ac:dyDescent="0.2">
      <c r="A257" s="426"/>
      <c r="B257" s="158" t="str">
        <f>Capacidades!M1148</f>
        <v xml:space="preserve">   </v>
      </c>
      <c r="C257" s="157"/>
      <c r="D257" s="13"/>
      <c r="E257" s="13"/>
      <c r="F257" s="13"/>
      <c r="G257" s="13"/>
      <c r="H257" s="14"/>
      <c r="I257" s="14"/>
      <c r="J257" s="14"/>
      <c r="K257" s="14"/>
      <c r="L257" s="446"/>
      <c r="M257" s="87" t="str">
        <f t="shared" si="5"/>
        <v xml:space="preserve">   </v>
      </c>
    </row>
    <row r="258" spans="1:13" x14ac:dyDescent="0.2">
      <c r="A258" s="426"/>
      <c r="B258" s="158" t="str">
        <f>Capacidades!M1149</f>
        <v xml:space="preserve">   </v>
      </c>
      <c r="C258" s="157"/>
      <c r="D258" s="13"/>
      <c r="E258" s="13"/>
      <c r="F258" s="13"/>
      <c r="G258" s="13"/>
      <c r="H258" s="14"/>
      <c r="I258" s="14"/>
      <c r="J258" s="14"/>
      <c r="K258" s="14"/>
      <c r="L258" s="446"/>
      <c r="M258" s="87" t="str">
        <f t="shared" si="5"/>
        <v xml:space="preserve">   </v>
      </c>
    </row>
    <row r="259" spans="1:13" x14ac:dyDescent="0.2">
      <c r="A259" s="426"/>
      <c r="B259" s="158" t="str">
        <f>Capacidades!M1150</f>
        <v xml:space="preserve">   </v>
      </c>
      <c r="C259" s="157"/>
      <c r="D259" s="13"/>
      <c r="E259" s="13"/>
      <c r="F259" s="13"/>
      <c r="G259" s="13"/>
      <c r="H259" s="14"/>
      <c r="I259" s="14"/>
      <c r="J259" s="14"/>
      <c r="K259" s="14"/>
      <c r="L259" s="446"/>
      <c r="M259" s="87" t="str">
        <f t="shared" si="5"/>
        <v xml:space="preserve">   </v>
      </c>
    </row>
    <row r="260" spans="1:13" x14ac:dyDescent="0.2">
      <c r="A260" s="426"/>
      <c r="B260" s="158" t="str">
        <f>Capacidades!M1151</f>
        <v xml:space="preserve">   </v>
      </c>
      <c r="C260" s="157"/>
      <c r="D260" s="13"/>
      <c r="E260" s="13"/>
      <c r="F260" s="13"/>
      <c r="G260" s="13"/>
      <c r="H260" s="14"/>
      <c r="I260" s="14"/>
      <c r="J260" s="14"/>
      <c r="K260" s="14"/>
      <c r="L260" s="446"/>
      <c r="M260" s="87" t="str">
        <f t="shared" si="5"/>
        <v xml:space="preserve">   </v>
      </c>
    </row>
    <row r="261" spans="1:13" x14ac:dyDescent="0.2">
      <c r="A261" s="427"/>
      <c r="B261" s="158" t="str">
        <f>Capacidades!M1152</f>
        <v xml:space="preserve">   </v>
      </c>
      <c r="C261" s="160"/>
      <c r="D261" s="13"/>
      <c r="E261" s="13"/>
      <c r="F261" s="13"/>
      <c r="G261" s="13"/>
      <c r="H261" s="14"/>
      <c r="I261" s="14"/>
      <c r="J261" s="14"/>
      <c r="K261" s="14"/>
      <c r="L261" s="446"/>
      <c r="M261" s="87" t="str">
        <f t="shared" si="5"/>
        <v xml:space="preserve">   </v>
      </c>
    </row>
    <row r="262" spans="1:13" x14ac:dyDescent="0.2">
      <c r="A262" s="425" t="str">
        <f>Capacidades!L1153</f>
        <v xml:space="preserve">       </v>
      </c>
      <c r="B262" s="158" t="str">
        <f>Capacidades!M1153</f>
        <v xml:space="preserve">   </v>
      </c>
      <c r="C262" s="157"/>
      <c r="D262" s="11">
        <f>Organización_Modular!F127</f>
        <v>0</v>
      </c>
      <c r="E262" s="11">
        <f>Organización_Modular!G127</f>
        <v>0</v>
      </c>
      <c r="F262" s="11">
        <f>Organización_Modular!H127</f>
        <v>0</v>
      </c>
      <c r="G262" s="11">
        <f>Organización_Modular!I127</f>
        <v>0</v>
      </c>
      <c r="H262" s="12">
        <f>SUM(F262:G262)</f>
        <v>0</v>
      </c>
      <c r="I262" s="12">
        <f>F262*16</f>
        <v>0</v>
      </c>
      <c r="J262" s="12">
        <f>G262*32</f>
        <v>0</v>
      </c>
      <c r="K262" s="12">
        <f>SUM(I262:J262)</f>
        <v>0</v>
      </c>
      <c r="L262" s="445"/>
      <c r="M262" s="87" t="str">
        <f t="shared" si="5"/>
        <v xml:space="preserve">   </v>
      </c>
    </row>
    <row r="263" spans="1:13" x14ac:dyDescent="0.2">
      <c r="A263" s="426"/>
      <c r="B263" s="158" t="str">
        <f>Capacidades!M1154</f>
        <v xml:space="preserve">   </v>
      </c>
      <c r="C263" s="157"/>
      <c r="D263" s="13"/>
      <c r="E263" s="13"/>
      <c r="F263" s="13"/>
      <c r="G263" s="13"/>
      <c r="H263" s="14"/>
      <c r="I263" s="14"/>
      <c r="J263" s="14"/>
      <c r="K263" s="14"/>
      <c r="L263" s="446"/>
      <c r="M263" s="87" t="str">
        <f t="shared" si="5"/>
        <v xml:space="preserve">   </v>
      </c>
    </row>
    <row r="264" spans="1:13" x14ac:dyDescent="0.2">
      <c r="A264" s="426"/>
      <c r="B264" s="158" t="str">
        <f>Capacidades!M1155</f>
        <v xml:space="preserve">   </v>
      </c>
      <c r="C264" s="157"/>
      <c r="D264" s="13"/>
      <c r="E264" s="13"/>
      <c r="F264" s="13"/>
      <c r="G264" s="13"/>
      <c r="H264" s="14"/>
      <c r="I264" s="14"/>
      <c r="J264" s="14"/>
      <c r="K264" s="14"/>
      <c r="L264" s="446"/>
      <c r="M264" s="87" t="str">
        <f t="shared" si="5"/>
        <v xml:space="preserve">   </v>
      </c>
    </row>
    <row r="265" spans="1:13" x14ac:dyDescent="0.2">
      <c r="A265" s="426"/>
      <c r="B265" s="158" t="str">
        <f>Capacidades!M1156</f>
        <v xml:space="preserve">   </v>
      </c>
      <c r="C265" s="157"/>
      <c r="D265" s="13"/>
      <c r="E265" s="13"/>
      <c r="F265" s="13"/>
      <c r="G265" s="13"/>
      <c r="H265" s="14"/>
      <c r="I265" s="14"/>
      <c r="J265" s="14"/>
      <c r="K265" s="14"/>
      <c r="L265" s="446"/>
      <c r="M265" s="87" t="str">
        <f t="shared" si="5"/>
        <v xml:space="preserve">   </v>
      </c>
    </row>
    <row r="266" spans="1:13" x14ac:dyDescent="0.2">
      <c r="A266" s="426"/>
      <c r="B266" s="158" t="str">
        <f>Capacidades!M1157</f>
        <v xml:space="preserve">   </v>
      </c>
      <c r="C266" s="157"/>
      <c r="D266" s="13"/>
      <c r="E266" s="13"/>
      <c r="F266" s="13"/>
      <c r="G266" s="13"/>
      <c r="H266" s="14"/>
      <c r="I266" s="14"/>
      <c r="J266" s="14"/>
      <c r="K266" s="14"/>
      <c r="L266" s="446"/>
      <c r="M266" s="87" t="str">
        <f t="shared" si="5"/>
        <v xml:space="preserve">   </v>
      </c>
    </row>
    <row r="267" spans="1:13" x14ac:dyDescent="0.2">
      <c r="A267" s="426"/>
      <c r="B267" s="158" t="str">
        <f>Capacidades!M1158</f>
        <v xml:space="preserve">   </v>
      </c>
      <c r="C267" s="157"/>
      <c r="D267" s="13"/>
      <c r="E267" s="13"/>
      <c r="F267" s="13"/>
      <c r="G267" s="13"/>
      <c r="H267" s="14"/>
      <c r="I267" s="14"/>
      <c r="J267" s="14"/>
      <c r="K267" s="14"/>
      <c r="L267" s="446"/>
      <c r="M267" s="87" t="str">
        <f t="shared" si="5"/>
        <v xml:space="preserve">   </v>
      </c>
    </row>
    <row r="268" spans="1:13" x14ac:dyDescent="0.2">
      <c r="A268" s="426"/>
      <c r="B268" s="158" t="str">
        <f>Capacidades!M1159</f>
        <v xml:space="preserve">   </v>
      </c>
      <c r="C268" s="157"/>
      <c r="D268" s="13"/>
      <c r="E268" s="13"/>
      <c r="F268" s="13"/>
      <c r="G268" s="13"/>
      <c r="H268" s="14"/>
      <c r="I268" s="14"/>
      <c r="J268" s="14"/>
      <c r="K268" s="14"/>
      <c r="L268" s="446"/>
      <c r="M268" s="87" t="str">
        <f t="shared" si="5"/>
        <v xml:space="preserve">   </v>
      </c>
    </row>
    <row r="269" spans="1:13" x14ac:dyDescent="0.2">
      <c r="A269" s="426"/>
      <c r="B269" s="158" t="str">
        <f>Capacidades!M1160</f>
        <v xml:space="preserve">   </v>
      </c>
      <c r="C269" s="157"/>
      <c r="D269" s="13"/>
      <c r="E269" s="13"/>
      <c r="F269" s="13"/>
      <c r="G269" s="13"/>
      <c r="H269" s="14"/>
      <c r="I269" s="14"/>
      <c r="J269" s="14"/>
      <c r="K269" s="14"/>
      <c r="L269" s="446"/>
      <c r="M269" s="87" t="str">
        <f t="shared" si="5"/>
        <v xml:space="preserve">   </v>
      </c>
    </row>
    <row r="270" spans="1:13" x14ac:dyDescent="0.2">
      <c r="A270" s="426"/>
      <c r="B270" s="158" t="str">
        <f>Capacidades!M1161</f>
        <v xml:space="preserve">   </v>
      </c>
      <c r="C270" s="157"/>
      <c r="D270" s="13"/>
      <c r="E270" s="13"/>
      <c r="F270" s="13"/>
      <c r="G270" s="13"/>
      <c r="H270" s="14"/>
      <c r="I270" s="14"/>
      <c r="J270" s="14"/>
      <c r="K270" s="14"/>
      <c r="L270" s="446"/>
      <c r="M270" s="87" t="str">
        <f t="shared" si="5"/>
        <v xml:space="preserve">   </v>
      </c>
    </row>
    <row r="271" spans="1:13" x14ac:dyDescent="0.2">
      <c r="A271" s="427"/>
      <c r="B271" s="158" t="str">
        <f>Capacidades!M1162</f>
        <v xml:space="preserve">   </v>
      </c>
      <c r="C271" s="160"/>
      <c r="D271" s="13"/>
      <c r="E271" s="13"/>
      <c r="F271" s="13"/>
      <c r="G271" s="13"/>
      <c r="H271" s="14"/>
      <c r="I271" s="14"/>
      <c r="J271" s="14"/>
      <c r="K271" s="14"/>
      <c r="L271" s="446"/>
      <c r="M271" s="87" t="str">
        <f t="shared" si="5"/>
        <v xml:space="preserve">   </v>
      </c>
    </row>
    <row r="272" spans="1:13" x14ac:dyDescent="0.2">
      <c r="A272" s="425" t="str">
        <f>Capacidades!L1163</f>
        <v xml:space="preserve">       </v>
      </c>
      <c r="B272" s="158" t="str">
        <f>Capacidades!M1163</f>
        <v xml:space="preserve">   </v>
      </c>
      <c r="C272" s="157"/>
      <c r="D272" s="11">
        <f>Organización_Modular!F128</f>
        <v>0</v>
      </c>
      <c r="E272" s="11">
        <f>Organización_Modular!G128</f>
        <v>0</v>
      </c>
      <c r="F272" s="11">
        <f>Organización_Modular!H128</f>
        <v>0</v>
      </c>
      <c r="G272" s="11">
        <f>Organización_Modular!I128</f>
        <v>0</v>
      </c>
      <c r="H272" s="12">
        <f>SUM(F272:G272)</f>
        <v>0</v>
      </c>
      <c r="I272" s="12">
        <f>F272*16</f>
        <v>0</v>
      </c>
      <c r="J272" s="12">
        <f>G272*32</f>
        <v>0</v>
      </c>
      <c r="K272" s="12">
        <f>SUM(I272:J272)</f>
        <v>0</v>
      </c>
      <c r="L272" s="445"/>
      <c r="M272" s="87" t="str">
        <f t="shared" si="5"/>
        <v xml:space="preserve">   </v>
      </c>
    </row>
    <row r="273" spans="1:13" x14ac:dyDescent="0.2">
      <c r="A273" s="426"/>
      <c r="B273" s="158" t="str">
        <f>Capacidades!M1164</f>
        <v xml:space="preserve">   </v>
      </c>
      <c r="C273" s="157"/>
      <c r="D273" s="13"/>
      <c r="E273" s="13"/>
      <c r="F273" s="13"/>
      <c r="G273" s="13"/>
      <c r="H273" s="14"/>
      <c r="I273" s="14"/>
      <c r="J273" s="14"/>
      <c r="K273" s="14"/>
      <c r="L273" s="446"/>
      <c r="M273" s="87" t="str">
        <f t="shared" si="5"/>
        <v xml:space="preserve">   </v>
      </c>
    </row>
    <row r="274" spans="1:13" x14ac:dyDescent="0.2">
      <c r="A274" s="426"/>
      <c r="B274" s="158" t="str">
        <f>Capacidades!M1165</f>
        <v xml:space="preserve">   </v>
      </c>
      <c r="C274" s="157"/>
      <c r="D274" s="13"/>
      <c r="E274" s="13"/>
      <c r="F274" s="13"/>
      <c r="G274" s="13"/>
      <c r="H274" s="14"/>
      <c r="I274" s="14"/>
      <c r="J274" s="14"/>
      <c r="K274" s="14"/>
      <c r="L274" s="446"/>
      <c r="M274" s="87" t="str">
        <f t="shared" si="5"/>
        <v xml:space="preserve">   </v>
      </c>
    </row>
    <row r="275" spans="1:13" x14ac:dyDescent="0.2">
      <c r="A275" s="426"/>
      <c r="B275" s="158" t="str">
        <f>Capacidades!M1166</f>
        <v xml:space="preserve">   </v>
      </c>
      <c r="C275" s="157"/>
      <c r="D275" s="13"/>
      <c r="E275" s="13"/>
      <c r="F275" s="13"/>
      <c r="G275" s="13"/>
      <c r="H275" s="14"/>
      <c r="I275" s="14"/>
      <c r="J275" s="14"/>
      <c r="K275" s="14"/>
      <c r="L275" s="446"/>
      <c r="M275" s="87" t="str">
        <f t="shared" si="5"/>
        <v xml:space="preserve">   </v>
      </c>
    </row>
    <row r="276" spans="1:13" x14ac:dyDescent="0.2">
      <c r="A276" s="426"/>
      <c r="B276" s="158" t="str">
        <f>Capacidades!M1167</f>
        <v xml:space="preserve">   </v>
      </c>
      <c r="C276" s="157"/>
      <c r="D276" s="13"/>
      <c r="E276" s="13"/>
      <c r="F276" s="13"/>
      <c r="G276" s="13"/>
      <c r="H276" s="14"/>
      <c r="I276" s="14"/>
      <c r="J276" s="14"/>
      <c r="K276" s="14"/>
      <c r="L276" s="446"/>
      <c r="M276" s="87" t="str">
        <f t="shared" si="5"/>
        <v xml:space="preserve">   </v>
      </c>
    </row>
    <row r="277" spans="1:13" x14ac:dyDescent="0.2">
      <c r="A277" s="426"/>
      <c r="B277" s="158" t="str">
        <f>Capacidades!M1168</f>
        <v xml:space="preserve">   </v>
      </c>
      <c r="C277" s="157"/>
      <c r="D277" s="13"/>
      <c r="E277" s="13"/>
      <c r="F277" s="13"/>
      <c r="G277" s="13"/>
      <c r="H277" s="14"/>
      <c r="I277" s="14"/>
      <c r="J277" s="14"/>
      <c r="K277" s="14"/>
      <c r="L277" s="446"/>
      <c r="M277" s="87" t="str">
        <f t="shared" si="5"/>
        <v xml:space="preserve">   </v>
      </c>
    </row>
    <row r="278" spans="1:13" x14ac:dyDescent="0.2">
      <c r="A278" s="426"/>
      <c r="B278" s="158" t="str">
        <f>Capacidades!M1169</f>
        <v xml:space="preserve">   </v>
      </c>
      <c r="C278" s="157"/>
      <c r="D278" s="13"/>
      <c r="E278" s="13"/>
      <c r="F278" s="13"/>
      <c r="G278" s="13"/>
      <c r="H278" s="14"/>
      <c r="I278" s="14"/>
      <c r="J278" s="14"/>
      <c r="K278" s="14"/>
      <c r="L278" s="446"/>
      <c r="M278" s="87" t="str">
        <f t="shared" si="5"/>
        <v xml:space="preserve">   </v>
      </c>
    </row>
    <row r="279" spans="1:13" x14ac:dyDescent="0.2">
      <c r="A279" s="426"/>
      <c r="B279" s="158" t="str">
        <f>Capacidades!M1170</f>
        <v xml:space="preserve">   </v>
      </c>
      <c r="C279" s="157"/>
      <c r="D279" s="13"/>
      <c r="E279" s="13"/>
      <c r="F279" s="13"/>
      <c r="G279" s="13"/>
      <c r="H279" s="14"/>
      <c r="I279" s="14"/>
      <c r="J279" s="14"/>
      <c r="K279" s="14"/>
      <c r="L279" s="446"/>
      <c r="M279" s="87" t="str">
        <f t="shared" si="5"/>
        <v xml:space="preserve">   </v>
      </c>
    </row>
    <row r="280" spans="1:13" x14ac:dyDescent="0.2">
      <c r="A280" s="426"/>
      <c r="B280" s="158" t="str">
        <f>Capacidades!M1171</f>
        <v xml:space="preserve">   </v>
      </c>
      <c r="C280" s="157"/>
      <c r="D280" s="13"/>
      <c r="E280" s="13"/>
      <c r="F280" s="13"/>
      <c r="G280" s="13"/>
      <c r="H280" s="14"/>
      <c r="I280" s="14"/>
      <c r="J280" s="14"/>
      <c r="K280" s="14"/>
      <c r="L280" s="446"/>
      <c r="M280" s="87" t="str">
        <f t="shared" si="5"/>
        <v xml:space="preserve">   </v>
      </c>
    </row>
    <row r="281" spans="1:13" x14ac:dyDescent="0.2">
      <c r="A281" s="427"/>
      <c r="B281" s="158" t="str">
        <f>Capacidades!M1172</f>
        <v xml:space="preserve">   </v>
      </c>
      <c r="C281" s="160"/>
      <c r="D281" s="13"/>
      <c r="E281" s="13"/>
      <c r="F281" s="13"/>
      <c r="G281" s="13"/>
      <c r="H281" s="14"/>
      <c r="I281" s="14"/>
      <c r="J281" s="14"/>
      <c r="K281" s="14"/>
      <c r="L281" s="446"/>
      <c r="M281" s="87" t="str">
        <f t="shared" si="5"/>
        <v xml:space="preserve">   </v>
      </c>
    </row>
    <row r="282" spans="1:13" x14ac:dyDescent="0.2">
      <c r="A282" s="425" t="str">
        <f>Capacidades!L1173</f>
        <v xml:space="preserve">       </v>
      </c>
      <c r="B282" s="158" t="str">
        <f>Capacidades!M1173</f>
        <v xml:space="preserve">   </v>
      </c>
      <c r="C282" s="157"/>
      <c r="D282" s="11">
        <f>Organización_Modular!F129</f>
        <v>0</v>
      </c>
      <c r="E282" s="11">
        <f>Organización_Modular!G129</f>
        <v>0</v>
      </c>
      <c r="F282" s="11">
        <f>Organización_Modular!H129</f>
        <v>0</v>
      </c>
      <c r="G282" s="11">
        <f>Organización_Modular!I129</f>
        <v>0</v>
      </c>
      <c r="H282" s="12">
        <f>SUM(F282:G282)</f>
        <v>0</v>
      </c>
      <c r="I282" s="12">
        <f>F282*16</f>
        <v>0</v>
      </c>
      <c r="J282" s="12">
        <f>G282*32</f>
        <v>0</v>
      </c>
      <c r="K282" s="12">
        <f>SUM(I282:J282)</f>
        <v>0</v>
      </c>
      <c r="L282" s="445"/>
      <c r="M282" s="87" t="str">
        <f t="shared" si="5"/>
        <v xml:space="preserve">   </v>
      </c>
    </row>
    <row r="283" spans="1:13" x14ac:dyDescent="0.2">
      <c r="A283" s="426"/>
      <c r="B283" s="158" t="str">
        <f>Capacidades!M1174</f>
        <v xml:space="preserve">   </v>
      </c>
      <c r="C283" s="157"/>
      <c r="D283" s="13"/>
      <c r="E283" s="13"/>
      <c r="F283" s="13"/>
      <c r="G283" s="13"/>
      <c r="H283" s="14"/>
      <c r="I283" s="14"/>
      <c r="J283" s="14"/>
      <c r="K283" s="14"/>
      <c r="L283" s="446"/>
      <c r="M283" s="87" t="str">
        <f t="shared" si="5"/>
        <v xml:space="preserve">   </v>
      </c>
    </row>
    <row r="284" spans="1:13" x14ac:dyDescent="0.2">
      <c r="A284" s="426"/>
      <c r="B284" s="158" t="str">
        <f>Capacidades!M1175</f>
        <v xml:space="preserve">   </v>
      </c>
      <c r="C284" s="157"/>
      <c r="D284" s="13"/>
      <c r="E284" s="13"/>
      <c r="F284" s="13"/>
      <c r="G284" s="13"/>
      <c r="H284" s="14"/>
      <c r="I284" s="14"/>
      <c r="J284" s="14"/>
      <c r="K284" s="14"/>
      <c r="L284" s="446"/>
      <c r="M284" s="87" t="str">
        <f t="shared" si="5"/>
        <v xml:space="preserve">   </v>
      </c>
    </row>
    <row r="285" spans="1:13" x14ac:dyDescent="0.2">
      <c r="A285" s="426"/>
      <c r="B285" s="158" t="str">
        <f>Capacidades!M1176</f>
        <v xml:space="preserve">   </v>
      </c>
      <c r="C285" s="157"/>
      <c r="D285" s="13"/>
      <c r="E285" s="13"/>
      <c r="F285" s="13"/>
      <c r="G285" s="13"/>
      <c r="H285" s="14"/>
      <c r="I285" s="14"/>
      <c r="J285" s="14"/>
      <c r="K285" s="14"/>
      <c r="L285" s="446"/>
      <c r="M285" s="87" t="str">
        <f t="shared" si="5"/>
        <v xml:space="preserve">   </v>
      </c>
    </row>
    <row r="286" spans="1:13" x14ac:dyDescent="0.2">
      <c r="A286" s="426"/>
      <c r="B286" s="158" t="str">
        <f>Capacidades!M1177</f>
        <v xml:space="preserve">   </v>
      </c>
      <c r="C286" s="157"/>
      <c r="D286" s="13"/>
      <c r="E286" s="13"/>
      <c r="F286" s="13"/>
      <c r="G286" s="13"/>
      <c r="H286" s="14"/>
      <c r="I286" s="14"/>
      <c r="J286" s="14"/>
      <c r="K286" s="14"/>
      <c r="L286" s="446"/>
      <c r="M286" s="87" t="str">
        <f t="shared" si="5"/>
        <v xml:space="preserve">   </v>
      </c>
    </row>
    <row r="287" spans="1:13" x14ac:dyDescent="0.2">
      <c r="A287" s="426"/>
      <c r="B287" s="158" t="str">
        <f>Capacidades!M1178</f>
        <v xml:space="preserve">   </v>
      </c>
      <c r="C287" s="157"/>
      <c r="D287" s="13"/>
      <c r="E287" s="13"/>
      <c r="F287" s="13"/>
      <c r="G287" s="13"/>
      <c r="H287" s="14"/>
      <c r="I287" s="14"/>
      <c r="J287" s="14"/>
      <c r="K287" s="14"/>
      <c r="L287" s="446"/>
      <c r="M287" s="87" t="str">
        <f t="shared" ref="M287:M321" si="6">B287</f>
        <v xml:space="preserve">   </v>
      </c>
    </row>
    <row r="288" spans="1:13" x14ac:dyDescent="0.2">
      <c r="A288" s="426"/>
      <c r="B288" s="158" t="str">
        <f>Capacidades!M1179</f>
        <v xml:space="preserve">   </v>
      </c>
      <c r="C288" s="157"/>
      <c r="D288" s="13"/>
      <c r="E288" s="13"/>
      <c r="F288" s="13"/>
      <c r="G288" s="13"/>
      <c r="H288" s="14"/>
      <c r="I288" s="14"/>
      <c r="J288" s="14"/>
      <c r="K288" s="14"/>
      <c r="L288" s="446"/>
      <c r="M288" s="87" t="str">
        <f t="shared" si="6"/>
        <v xml:space="preserve">   </v>
      </c>
    </row>
    <row r="289" spans="1:13" x14ac:dyDescent="0.2">
      <c r="A289" s="426"/>
      <c r="B289" s="158" t="str">
        <f>Capacidades!M1180</f>
        <v xml:space="preserve">   </v>
      </c>
      <c r="C289" s="157"/>
      <c r="D289" s="13"/>
      <c r="E289" s="13"/>
      <c r="F289" s="13"/>
      <c r="G289" s="13"/>
      <c r="H289" s="14"/>
      <c r="I289" s="14"/>
      <c r="J289" s="14"/>
      <c r="K289" s="14"/>
      <c r="L289" s="446"/>
      <c r="M289" s="87" t="str">
        <f t="shared" si="6"/>
        <v xml:space="preserve">   </v>
      </c>
    </row>
    <row r="290" spans="1:13" x14ac:dyDescent="0.2">
      <c r="A290" s="426"/>
      <c r="B290" s="158" t="str">
        <f>Capacidades!M1181</f>
        <v xml:space="preserve">   </v>
      </c>
      <c r="C290" s="157"/>
      <c r="D290" s="13"/>
      <c r="E290" s="13"/>
      <c r="F290" s="13"/>
      <c r="G290" s="13"/>
      <c r="H290" s="14"/>
      <c r="I290" s="14"/>
      <c r="J290" s="14"/>
      <c r="K290" s="14"/>
      <c r="L290" s="446"/>
      <c r="M290" s="87" t="str">
        <f t="shared" si="6"/>
        <v xml:space="preserve">   </v>
      </c>
    </row>
    <row r="291" spans="1:13" x14ac:dyDescent="0.2">
      <c r="A291" s="427"/>
      <c r="B291" s="158" t="str">
        <f>Capacidades!M1182</f>
        <v xml:space="preserve">   </v>
      </c>
      <c r="C291" s="160"/>
      <c r="D291" s="13"/>
      <c r="E291" s="13"/>
      <c r="F291" s="13"/>
      <c r="G291" s="13"/>
      <c r="H291" s="14"/>
      <c r="I291" s="14"/>
      <c r="J291" s="14"/>
      <c r="K291" s="14"/>
      <c r="L291" s="446"/>
      <c r="M291" s="87" t="str">
        <f t="shared" si="6"/>
        <v xml:space="preserve">   </v>
      </c>
    </row>
    <row r="292" spans="1:13" x14ac:dyDescent="0.2">
      <c r="A292" s="425" t="str">
        <f>Capacidades!L1183</f>
        <v xml:space="preserve">       </v>
      </c>
      <c r="B292" s="158" t="str">
        <f>Capacidades!M1183</f>
        <v xml:space="preserve">   </v>
      </c>
      <c r="C292" s="157"/>
      <c r="D292" s="11">
        <f>Organización_Modular!F130</f>
        <v>0</v>
      </c>
      <c r="E292" s="11">
        <f>Organización_Modular!G130</f>
        <v>0</v>
      </c>
      <c r="F292" s="11">
        <f>Organización_Modular!H130</f>
        <v>0</v>
      </c>
      <c r="G292" s="11">
        <f>Organización_Modular!I130</f>
        <v>0</v>
      </c>
      <c r="H292" s="12">
        <f>SUM(F292:G292)</f>
        <v>0</v>
      </c>
      <c r="I292" s="12">
        <f>F292*16</f>
        <v>0</v>
      </c>
      <c r="J292" s="12">
        <f>G292*32</f>
        <v>0</v>
      </c>
      <c r="K292" s="12">
        <f>SUM(I292:J292)</f>
        <v>0</v>
      </c>
      <c r="L292" s="445"/>
      <c r="M292" s="87" t="str">
        <f t="shared" si="6"/>
        <v xml:space="preserve">   </v>
      </c>
    </row>
    <row r="293" spans="1:13" x14ac:dyDescent="0.2">
      <c r="A293" s="426"/>
      <c r="B293" s="158" t="str">
        <f>Capacidades!M1184</f>
        <v xml:space="preserve">   </v>
      </c>
      <c r="C293" s="157"/>
      <c r="D293" s="13"/>
      <c r="E293" s="13"/>
      <c r="F293" s="13"/>
      <c r="G293" s="13"/>
      <c r="H293" s="14"/>
      <c r="I293" s="14"/>
      <c r="J293" s="14"/>
      <c r="K293" s="14"/>
      <c r="L293" s="446"/>
      <c r="M293" s="87" t="str">
        <f t="shared" si="6"/>
        <v xml:space="preserve">   </v>
      </c>
    </row>
    <row r="294" spans="1:13" x14ac:dyDescent="0.2">
      <c r="A294" s="426"/>
      <c r="B294" s="158" t="str">
        <f>Capacidades!M1185</f>
        <v xml:space="preserve">   </v>
      </c>
      <c r="C294" s="157"/>
      <c r="D294" s="13"/>
      <c r="E294" s="13"/>
      <c r="F294" s="13"/>
      <c r="G294" s="13"/>
      <c r="H294" s="14"/>
      <c r="I294" s="14"/>
      <c r="J294" s="14"/>
      <c r="K294" s="14"/>
      <c r="L294" s="446"/>
      <c r="M294" s="87" t="str">
        <f t="shared" si="6"/>
        <v xml:space="preserve">   </v>
      </c>
    </row>
    <row r="295" spans="1:13" x14ac:dyDescent="0.2">
      <c r="A295" s="426"/>
      <c r="B295" s="158" t="str">
        <f>Capacidades!M1186</f>
        <v xml:space="preserve">   </v>
      </c>
      <c r="C295" s="157"/>
      <c r="D295" s="13"/>
      <c r="E295" s="13"/>
      <c r="F295" s="13"/>
      <c r="G295" s="13"/>
      <c r="H295" s="14"/>
      <c r="I295" s="14"/>
      <c r="J295" s="14"/>
      <c r="K295" s="14"/>
      <c r="L295" s="446"/>
      <c r="M295" s="87" t="str">
        <f t="shared" si="6"/>
        <v xml:space="preserve">   </v>
      </c>
    </row>
    <row r="296" spans="1:13" x14ac:dyDescent="0.2">
      <c r="A296" s="426"/>
      <c r="B296" s="158" t="str">
        <f>Capacidades!M1187</f>
        <v xml:space="preserve">   </v>
      </c>
      <c r="C296" s="157"/>
      <c r="D296" s="13"/>
      <c r="E296" s="13"/>
      <c r="F296" s="13"/>
      <c r="G296" s="13"/>
      <c r="H296" s="14"/>
      <c r="I296" s="14"/>
      <c r="J296" s="14"/>
      <c r="K296" s="14"/>
      <c r="L296" s="446"/>
      <c r="M296" s="87" t="str">
        <f t="shared" si="6"/>
        <v xml:space="preserve">   </v>
      </c>
    </row>
    <row r="297" spans="1:13" x14ac:dyDescent="0.2">
      <c r="A297" s="426"/>
      <c r="B297" s="158" t="str">
        <f>Capacidades!M1188</f>
        <v xml:space="preserve">   </v>
      </c>
      <c r="C297" s="157"/>
      <c r="D297" s="13"/>
      <c r="E297" s="13"/>
      <c r="F297" s="13"/>
      <c r="G297" s="13"/>
      <c r="H297" s="14"/>
      <c r="I297" s="14"/>
      <c r="J297" s="14"/>
      <c r="K297" s="14"/>
      <c r="L297" s="446"/>
      <c r="M297" s="87" t="str">
        <f t="shared" si="6"/>
        <v xml:space="preserve">   </v>
      </c>
    </row>
    <row r="298" spans="1:13" x14ac:dyDescent="0.2">
      <c r="A298" s="426"/>
      <c r="B298" s="158" t="str">
        <f>Capacidades!M1189</f>
        <v xml:space="preserve">   </v>
      </c>
      <c r="C298" s="157"/>
      <c r="D298" s="13"/>
      <c r="E298" s="13"/>
      <c r="F298" s="13"/>
      <c r="G298" s="13"/>
      <c r="H298" s="14"/>
      <c r="I298" s="14"/>
      <c r="J298" s="14"/>
      <c r="K298" s="14"/>
      <c r="L298" s="446"/>
      <c r="M298" s="87" t="str">
        <f t="shared" si="6"/>
        <v xml:space="preserve">   </v>
      </c>
    </row>
    <row r="299" spans="1:13" x14ac:dyDescent="0.2">
      <c r="A299" s="426"/>
      <c r="B299" s="158" t="str">
        <f>Capacidades!M1190</f>
        <v xml:space="preserve">   </v>
      </c>
      <c r="C299" s="157"/>
      <c r="D299" s="13"/>
      <c r="E299" s="13"/>
      <c r="F299" s="13"/>
      <c r="G299" s="13"/>
      <c r="H299" s="14"/>
      <c r="I299" s="14"/>
      <c r="J299" s="14"/>
      <c r="K299" s="14"/>
      <c r="L299" s="446"/>
      <c r="M299" s="87" t="str">
        <f t="shared" si="6"/>
        <v xml:space="preserve">   </v>
      </c>
    </row>
    <row r="300" spans="1:13" x14ac:dyDescent="0.2">
      <c r="A300" s="426"/>
      <c r="B300" s="158" t="str">
        <f>Capacidades!M1191</f>
        <v xml:space="preserve">   </v>
      </c>
      <c r="C300" s="157"/>
      <c r="D300" s="13"/>
      <c r="E300" s="13"/>
      <c r="F300" s="13"/>
      <c r="G300" s="13"/>
      <c r="H300" s="14"/>
      <c r="I300" s="14"/>
      <c r="J300" s="14"/>
      <c r="K300" s="14"/>
      <c r="L300" s="446"/>
      <c r="M300" s="87" t="str">
        <f t="shared" si="6"/>
        <v xml:space="preserve">   </v>
      </c>
    </row>
    <row r="301" spans="1:13" x14ac:dyDescent="0.2">
      <c r="A301" s="427"/>
      <c r="B301" s="158" t="str">
        <f>Capacidades!M1192</f>
        <v xml:space="preserve">   </v>
      </c>
      <c r="C301" s="160"/>
      <c r="D301" s="13"/>
      <c r="E301" s="13"/>
      <c r="F301" s="13"/>
      <c r="G301" s="13"/>
      <c r="H301" s="14"/>
      <c r="I301" s="14"/>
      <c r="J301" s="14"/>
      <c r="K301" s="14"/>
      <c r="L301" s="446"/>
      <c r="M301" s="87" t="str">
        <f t="shared" si="6"/>
        <v xml:space="preserve">   </v>
      </c>
    </row>
    <row r="302" spans="1:13" x14ac:dyDescent="0.2">
      <c r="A302" s="425" t="str">
        <f>Capacidades!L1193</f>
        <v xml:space="preserve">       </v>
      </c>
      <c r="B302" s="158" t="str">
        <f>Capacidades!M1193</f>
        <v xml:space="preserve">   </v>
      </c>
      <c r="C302" s="157"/>
      <c r="D302" s="11">
        <f>Organización_Modular!F131</f>
        <v>0</v>
      </c>
      <c r="E302" s="11">
        <f>Organización_Modular!G131</f>
        <v>0</v>
      </c>
      <c r="F302" s="11">
        <f>Organización_Modular!H131</f>
        <v>0</v>
      </c>
      <c r="G302" s="11">
        <f>Organización_Modular!I131</f>
        <v>0</v>
      </c>
      <c r="H302" s="12">
        <f>SUM(F302:G302)</f>
        <v>0</v>
      </c>
      <c r="I302" s="12">
        <f>F302*16</f>
        <v>0</v>
      </c>
      <c r="J302" s="12">
        <f>G302*32</f>
        <v>0</v>
      </c>
      <c r="K302" s="12">
        <f>SUM(I302:J302)</f>
        <v>0</v>
      </c>
      <c r="L302" s="445"/>
      <c r="M302" s="87" t="str">
        <f t="shared" si="6"/>
        <v xml:space="preserve">   </v>
      </c>
    </row>
    <row r="303" spans="1:13" x14ac:dyDescent="0.2">
      <c r="A303" s="426"/>
      <c r="B303" s="158" t="str">
        <f>Capacidades!M1194</f>
        <v xml:space="preserve">   </v>
      </c>
      <c r="C303" s="157"/>
      <c r="D303" s="13"/>
      <c r="E303" s="13"/>
      <c r="F303" s="13"/>
      <c r="G303" s="13"/>
      <c r="H303" s="14"/>
      <c r="I303" s="14"/>
      <c r="J303" s="14"/>
      <c r="K303" s="14"/>
      <c r="L303" s="446"/>
      <c r="M303" s="87" t="str">
        <f t="shared" si="6"/>
        <v xml:space="preserve">   </v>
      </c>
    </row>
    <row r="304" spans="1:13" x14ac:dyDescent="0.2">
      <c r="A304" s="426"/>
      <c r="B304" s="158" t="str">
        <f>Capacidades!M1195</f>
        <v xml:space="preserve">   </v>
      </c>
      <c r="C304" s="157"/>
      <c r="D304" s="13"/>
      <c r="E304" s="13"/>
      <c r="F304" s="13"/>
      <c r="G304" s="13"/>
      <c r="H304" s="14"/>
      <c r="I304" s="14"/>
      <c r="J304" s="14"/>
      <c r="K304" s="14"/>
      <c r="L304" s="446"/>
      <c r="M304" s="87" t="str">
        <f t="shared" si="6"/>
        <v xml:space="preserve">   </v>
      </c>
    </row>
    <row r="305" spans="1:13" x14ac:dyDescent="0.2">
      <c r="A305" s="426"/>
      <c r="B305" s="158" t="str">
        <f>Capacidades!M1196</f>
        <v xml:space="preserve">   </v>
      </c>
      <c r="C305" s="157"/>
      <c r="D305" s="13"/>
      <c r="E305" s="13"/>
      <c r="F305" s="13"/>
      <c r="G305" s="13"/>
      <c r="H305" s="14"/>
      <c r="I305" s="14"/>
      <c r="J305" s="14"/>
      <c r="K305" s="14"/>
      <c r="L305" s="446"/>
      <c r="M305" s="87" t="str">
        <f t="shared" si="6"/>
        <v xml:space="preserve">   </v>
      </c>
    </row>
    <row r="306" spans="1:13" x14ac:dyDescent="0.2">
      <c r="A306" s="426"/>
      <c r="B306" s="158" t="str">
        <f>Capacidades!M1197</f>
        <v xml:space="preserve">   </v>
      </c>
      <c r="C306" s="157"/>
      <c r="D306" s="13"/>
      <c r="E306" s="13"/>
      <c r="F306" s="13"/>
      <c r="G306" s="13"/>
      <c r="H306" s="14"/>
      <c r="I306" s="14"/>
      <c r="J306" s="14"/>
      <c r="K306" s="14"/>
      <c r="L306" s="446"/>
      <c r="M306" s="87" t="str">
        <f t="shared" si="6"/>
        <v xml:space="preserve">   </v>
      </c>
    </row>
    <row r="307" spans="1:13" x14ac:dyDescent="0.2">
      <c r="A307" s="426"/>
      <c r="B307" s="158" t="str">
        <f>Capacidades!M1198</f>
        <v xml:space="preserve">   </v>
      </c>
      <c r="C307" s="157"/>
      <c r="D307" s="13"/>
      <c r="E307" s="13"/>
      <c r="F307" s="13"/>
      <c r="G307" s="13"/>
      <c r="H307" s="14"/>
      <c r="I307" s="14"/>
      <c r="J307" s="14"/>
      <c r="K307" s="14"/>
      <c r="L307" s="446"/>
      <c r="M307" s="87" t="str">
        <f t="shared" si="6"/>
        <v xml:space="preserve">   </v>
      </c>
    </row>
    <row r="308" spans="1:13" x14ac:dyDescent="0.2">
      <c r="A308" s="426"/>
      <c r="B308" s="158" t="str">
        <f>Capacidades!M1199</f>
        <v xml:space="preserve">   </v>
      </c>
      <c r="C308" s="157"/>
      <c r="D308" s="13"/>
      <c r="E308" s="13"/>
      <c r="F308" s="13"/>
      <c r="G308" s="13"/>
      <c r="H308" s="14"/>
      <c r="I308" s="14"/>
      <c r="J308" s="14"/>
      <c r="K308" s="14"/>
      <c r="L308" s="446"/>
      <c r="M308" s="87" t="str">
        <f t="shared" si="6"/>
        <v xml:space="preserve">   </v>
      </c>
    </row>
    <row r="309" spans="1:13" x14ac:dyDescent="0.2">
      <c r="A309" s="426"/>
      <c r="B309" s="158" t="str">
        <f>Capacidades!M1200</f>
        <v xml:space="preserve">   </v>
      </c>
      <c r="C309" s="157"/>
      <c r="D309" s="13"/>
      <c r="E309" s="13"/>
      <c r="F309" s="13"/>
      <c r="G309" s="13"/>
      <c r="H309" s="14"/>
      <c r="I309" s="14"/>
      <c r="J309" s="14"/>
      <c r="K309" s="14"/>
      <c r="L309" s="446"/>
      <c r="M309" s="87" t="str">
        <f t="shared" si="6"/>
        <v xml:space="preserve">   </v>
      </c>
    </row>
    <row r="310" spans="1:13" x14ac:dyDescent="0.2">
      <c r="A310" s="426"/>
      <c r="B310" s="158" t="str">
        <f>Capacidades!M1201</f>
        <v xml:space="preserve">   </v>
      </c>
      <c r="C310" s="157"/>
      <c r="D310" s="13"/>
      <c r="E310" s="13"/>
      <c r="F310" s="13"/>
      <c r="G310" s="13"/>
      <c r="H310" s="14"/>
      <c r="I310" s="14"/>
      <c r="J310" s="14"/>
      <c r="K310" s="14"/>
      <c r="L310" s="446"/>
      <c r="M310" s="87" t="str">
        <f t="shared" si="6"/>
        <v xml:space="preserve">   </v>
      </c>
    </row>
    <row r="311" spans="1:13" x14ac:dyDescent="0.2">
      <c r="A311" s="427"/>
      <c r="B311" s="158" t="str">
        <f>Capacidades!M1202</f>
        <v xml:space="preserve">   </v>
      </c>
      <c r="C311" s="160"/>
      <c r="D311" s="13"/>
      <c r="E311" s="13"/>
      <c r="F311" s="13"/>
      <c r="G311" s="13"/>
      <c r="H311" s="14"/>
      <c r="I311" s="14"/>
      <c r="J311" s="14"/>
      <c r="K311" s="14"/>
      <c r="L311" s="446"/>
      <c r="M311" s="87" t="str">
        <f t="shared" si="6"/>
        <v xml:space="preserve">   </v>
      </c>
    </row>
    <row r="312" spans="1:13" x14ac:dyDescent="0.2">
      <c r="A312" s="425" t="str">
        <f>Capacidades!L1203</f>
        <v xml:space="preserve">       </v>
      </c>
      <c r="B312" s="158" t="str">
        <f>Capacidades!M1203</f>
        <v xml:space="preserve">   </v>
      </c>
      <c r="C312" s="157"/>
      <c r="D312" s="11">
        <f>Organización_Modular!F132</f>
        <v>0</v>
      </c>
      <c r="E312" s="11">
        <f>Organización_Modular!G132</f>
        <v>0</v>
      </c>
      <c r="F312" s="11">
        <f>Organización_Modular!H132</f>
        <v>0</v>
      </c>
      <c r="G312" s="11">
        <f>Organización_Modular!I132</f>
        <v>0</v>
      </c>
      <c r="H312" s="12">
        <f>SUM(F312:G312)</f>
        <v>0</v>
      </c>
      <c r="I312" s="12">
        <f>F312*16</f>
        <v>0</v>
      </c>
      <c r="J312" s="12">
        <f>G312*32</f>
        <v>0</v>
      </c>
      <c r="K312" s="12">
        <f>SUM(I312:J312)</f>
        <v>0</v>
      </c>
      <c r="L312" s="445"/>
      <c r="M312" s="87" t="str">
        <f t="shared" si="6"/>
        <v xml:space="preserve">   </v>
      </c>
    </row>
    <row r="313" spans="1:13" x14ac:dyDescent="0.2">
      <c r="A313" s="426"/>
      <c r="B313" s="158" t="str">
        <f>Capacidades!M1204</f>
        <v xml:space="preserve">   </v>
      </c>
      <c r="C313" s="157"/>
      <c r="D313" s="13"/>
      <c r="E313" s="13"/>
      <c r="F313" s="14"/>
      <c r="G313" s="14"/>
      <c r="H313" s="14"/>
      <c r="I313" s="14"/>
      <c r="J313" s="14"/>
      <c r="K313" s="14"/>
      <c r="L313" s="446"/>
      <c r="M313" s="87" t="str">
        <f t="shared" si="6"/>
        <v xml:space="preserve">   </v>
      </c>
    </row>
    <row r="314" spans="1:13" x14ac:dyDescent="0.2">
      <c r="A314" s="426"/>
      <c r="B314" s="158" t="str">
        <f>Capacidades!M1205</f>
        <v xml:space="preserve">   </v>
      </c>
      <c r="C314" s="157"/>
      <c r="D314" s="13"/>
      <c r="E314" s="13"/>
      <c r="F314" s="14"/>
      <c r="G314" s="14"/>
      <c r="H314" s="14"/>
      <c r="I314" s="14"/>
      <c r="J314" s="14"/>
      <c r="K314" s="14"/>
      <c r="L314" s="446"/>
      <c r="M314" s="87" t="str">
        <f t="shared" si="6"/>
        <v xml:space="preserve">   </v>
      </c>
    </row>
    <row r="315" spans="1:13" x14ac:dyDescent="0.2">
      <c r="A315" s="426"/>
      <c r="B315" s="158" t="str">
        <f>Capacidades!M1206</f>
        <v xml:space="preserve">   </v>
      </c>
      <c r="C315" s="157"/>
      <c r="D315" s="13"/>
      <c r="E315" s="13"/>
      <c r="F315" s="14"/>
      <c r="G315" s="14"/>
      <c r="H315" s="14"/>
      <c r="I315" s="14"/>
      <c r="J315" s="14"/>
      <c r="K315" s="14"/>
      <c r="L315" s="446"/>
      <c r="M315" s="87" t="str">
        <f t="shared" si="6"/>
        <v xml:space="preserve">   </v>
      </c>
    </row>
    <row r="316" spans="1:13" x14ac:dyDescent="0.2">
      <c r="A316" s="426"/>
      <c r="B316" s="158" t="str">
        <f>Capacidades!M1207</f>
        <v xml:space="preserve">   </v>
      </c>
      <c r="C316" s="157"/>
      <c r="D316" s="13"/>
      <c r="E316" s="13"/>
      <c r="F316" s="13"/>
      <c r="G316" s="13"/>
      <c r="H316" s="14"/>
      <c r="I316" s="14"/>
      <c r="J316" s="14"/>
      <c r="K316" s="14"/>
      <c r="L316" s="446"/>
      <c r="M316" s="87" t="str">
        <f t="shared" si="6"/>
        <v xml:space="preserve">   </v>
      </c>
    </row>
    <row r="317" spans="1:13" x14ac:dyDescent="0.2">
      <c r="A317" s="426"/>
      <c r="B317" s="158" t="str">
        <f>Capacidades!M1208</f>
        <v xml:space="preserve">   </v>
      </c>
      <c r="C317" s="157"/>
      <c r="D317" s="13"/>
      <c r="E317" s="13"/>
      <c r="F317" s="13"/>
      <c r="G317" s="13"/>
      <c r="H317" s="14"/>
      <c r="I317" s="14"/>
      <c r="J317" s="14"/>
      <c r="K317" s="14"/>
      <c r="L317" s="446"/>
      <c r="M317" s="87" t="str">
        <f t="shared" si="6"/>
        <v xml:space="preserve">   </v>
      </c>
    </row>
    <row r="318" spans="1:13" x14ac:dyDescent="0.2">
      <c r="A318" s="426"/>
      <c r="B318" s="158" t="str">
        <f>Capacidades!M1209</f>
        <v xml:space="preserve">   </v>
      </c>
      <c r="C318" s="157"/>
      <c r="D318" s="13"/>
      <c r="E318" s="13"/>
      <c r="F318" s="13"/>
      <c r="G318" s="13"/>
      <c r="H318" s="14"/>
      <c r="I318" s="14"/>
      <c r="J318" s="14"/>
      <c r="K318" s="14"/>
      <c r="L318" s="446"/>
      <c r="M318" s="87" t="str">
        <f t="shared" si="6"/>
        <v xml:space="preserve">   </v>
      </c>
    </row>
    <row r="319" spans="1:13" x14ac:dyDescent="0.2">
      <c r="A319" s="426"/>
      <c r="B319" s="158" t="str">
        <f>Capacidades!M1210</f>
        <v xml:space="preserve">   </v>
      </c>
      <c r="C319" s="157"/>
      <c r="D319" s="13"/>
      <c r="E319" s="13"/>
      <c r="F319" s="13"/>
      <c r="G319" s="13"/>
      <c r="H319" s="14"/>
      <c r="I319" s="14"/>
      <c r="J319" s="14"/>
      <c r="K319" s="14"/>
      <c r="L319" s="446"/>
      <c r="M319" s="87" t="str">
        <f t="shared" si="6"/>
        <v xml:space="preserve">   </v>
      </c>
    </row>
    <row r="320" spans="1:13" x14ac:dyDescent="0.2">
      <c r="A320" s="426"/>
      <c r="B320" s="158" t="str">
        <f>Capacidades!M1211</f>
        <v xml:space="preserve">   </v>
      </c>
      <c r="C320" s="157"/>
      <c r="D320" s="13"/>
      <c r="E320" s="13"/>
      <c r="F320" s="14"/>
      <c r="G320" s="14"/>
      <c r="H320" s="14"/>
      <c r="I320" s="14"/>
      <c r="J320" s="14"/>
      <c r="K320" s="14"/>
      <c r="L320" s="446"/>
      <c r="M320" s="87" t="str">
        <f t="shared" si="6"/>
        <v xml:space="preserve">   </v>
      </c>
    </row>
    <row r="321" spans="1:13" x14ac:dyDescent="0.2">
      <c r="A321" s="427"/>
      <c r="B321" s="158" t="str">
        <f>Capacidades!M1212</f>
        <v xml:space="preserve">   </v>
      </c>
      <c r="C321" s="160"/>
      <c r="D321" s="13"/>
      <c r="E321" s="13"/>
      <c r="F321" s="14"/>
      <c r="G321" s="14"/>
      <c r="H321" s="14"/>
      <c r="I321" s="14"/>
      <c r="J321" s="14"/>
      <c r="K321" s="14"/>
      <c r="L321" s="446"/>
      <c r="M321" s="87" t="str">
        <f t="shared" si="6"/>
        <v xml:space="preserve">   </v>
      </c>
    </row>
    <row r="322" spans="1:13" ht="15.75" x14ac:dyDescent="0.2">
      <c r="A322" s="489" t="s">
        <v>87</v>
      </c>
      <c r="B322" s="489"/>
      <c r="C322" s="489"/>
      <c r="D322" s="489"/>
      <c r="E322" s="489"/>
      <c r="F322" s="489"/>
      <c r="G322" s="489"/>
      <c r="H322" s="489"/>
      <c r="I322" s="489"/>
      <c r="J322" s="489"/>
      <c r="K322" s="489"/>
      <c r="L322" s="489"/>
      <c r="M322" s="87" t="str">
        <f>A322</f>
        <v xml:space="preserve">COMPETENCIAS PARA LA EMPLEABILIDAD INCORPORADAS COMO CONTENIDO  TRANSVERSAL </v>
      </c>
    </row>
    <row r="323" spans="1:13" ht="79.5" customHeight="1" x14ac:dyDescent="0.2">
      <c r="A323" s="493"/>
      <c r="B323" s="493"/>
      <c r="C323" s="493"/>
      <c r="D323" s="493"/>
      <c r="E323" s="493"/>
      <c r="F323" s="493"/>
      <c r="G323" s="493"/>
      <c r="H323" s="493"/>
      <c r="I323" s="493"/>
      <c r="J323" s="493"/>
      <c r="K323" s="493"/>
      <c r="L323" s="493"/>
      <c r="M323" s="87">
        <f t="shared" ref="M323:M358" si="7">A323</f>
        <v>0</v>
      </c>
    </row>
    <row r="324" spans="1:13" ht="24" hidden="1" customHeight="1" x14ac:dyDescent="0.2">
      <c r="A324" s="493" t="str">
        <f>'M3'!A324:L324</f>
        <v>CE6  Cultura ambiental.- Convivir de manera ética, autónoma, responsable y sostenible, previniendo, reduciendo y controlando permanente y progresivamente los impactos ambientales.</v>
      </c>
      <c r="B324" s="493"/>
      <c r="C324" s="493"/>
      <c r="D324" s="493"/>
      <c r="E324" s="493"/>
      <c r="F324" s="493"/>
      <c r="G324" s="493"/>
      <c r="H324" s="493"/>
      <c r="I324" s="493"/>
      <c r="J324" s="493"/>
      <c r="K324" s="493"/>
      <c r="L324" s="493"/>
      <c r="M324" s="87" t="str">
        <f t="shared" si="7"/>
        <v>CE6  Cultura ambiental.- Convivir de manera ética, autónoma, responsable y sostenible, previniendo, reduciendo y controlando permanente y progresivamente los impactos ambientales.</v>
      </c>
    </row>
    <row r="325" spans="1:13" ht="18.75" hidden="1" customHeight="1" x14ac:dyDescent="0.2">
      <c r="A325" s="493">
        <f>'M3'!A325:L325</f>
        <v>0</v>
      </c>
      <c r="B325" s="493"/>
      <c r="C325" s="493"/>
      <c r="D325" s="493"/>
      <c r="E325" s="493"/>
      <c r="F325" s="493"/>
      <c r="G325" s="493"/>
      <c r="H325" s="493"/>
      <c r="I325" s="493"/>
      <c r="J325" s="493"/>
      <c r="K325" s="493"/>
      <c r="L325" s="493"/>
      <c r="M325" s="87">
        <f t="shared" si="7"/>
        <v>0</v>
      </c>
    </row>
    <row r="326" spans="1:13" ht="25.5" customHeight="1" x14ac:dyDescent="0.2">
      <c r="A326" s="459" t="s">
        <v>73</v>
      </c>
      <c r="B326" s="459"/>
      <c r="C326" s="459" t="s">
        <v>72</v>
      </c>
      <c r="D326" s="459"/>
      <c r="E326" s="459"/>
      <c r="F326" s="459"/>
      <c r="G326" s="459"/>
      <c r="H326" s="459"/>
      <c r="I326" s="459"/>
      <c r="J326" s="459"/>
      <c r="K326" s="459"/>
      <c r="L326" s="459"/>
      <c r="M326" s="87" t="str">
        <f t="shared" si="7"/>
        <v>CAPACIDADES A FORTALECER</v>
      </c>
    </row>
    <row r="327" spans="1:13" x14ac:dyDescent="0.2">
      <c r="A327" s="493" t="str">
        <f ca="1">OFFSET($A$9,(ROW()-326)*10-1,0)</f>
        <v xml:space="preserve">       </v>
      </c>
      <c r="B327" s="493"/>
      <c r="C327" s="494">
        <f>'M3'!C327:L356</f>
        <v>0</v>
      </c>
      <c r="D327" s="495"/>
      <c r="E327" s="495"/>
      <c r="F327" s="495"/>
      <c r="G327" s="495"/>
      <c r="H327" s="495"/>
      <c r="I327" s="495"/>
      <c r="J327" s="495"/>
      <c r="K327" s="495"/>
      <c r="L327" s="496"/>
      <c r="M327" s="87" t="str">
        <f t="shared" ca="1" si="7"/>
        <v xml:space="preserve">       </v>
      </c>
    </row>
    <row r="328" spans="1:13" x14ac:dyDescent="0.2">
      <c r="A328" s="493" t="str">
        <f t="shared" ref="A328:A346" ca="1" si="8">OFFSET($A$9,(ROW()-326)*10-1,0)</f>
        <v xml:space="preserve">       </v>
      </c>
      <c r="B328" s="493"/>
      <c r="C328" s="497"/>
      <c r="D328" s="498"/>
      <c r="E328" s="498"/>
      <c r="F328" s="498"/>
      <c r="G328" s="498"/>
      <c r="H328" s="498"/>
      <c r="I328" s="498"/>
      <c r="J328" s="498"/>
      <c r="K328" s="498"/>
      <c r="L328" s="499"/>
      <c r="M328" s="87" t="str">
        <f t="shared" ca="1" si="7"/>
        <v xml:space="preserve">       </v>
      </c>
    </row>
    <row r="329" spans="1:13" x14ac:dyDescent="0.2">
      <c r="A329" s="493" t="str">
        <f t="shared" ca="1" si="8"/>
        <v xml:space="preserve">       </v>
      </c>
      <c r="B329" s="493"/>
      <c r="C329" s="497"/>
      <c r="D329" s="498"/>
      <c r="E329" s="498"/>
      <c r="F329" s="498"/>
      <c r="G329" s="498"/>
      <c r="H329" s="498"/>
      <c r="I329" s="498"/>
      <c r="J329" s="498"/>
      <c r="K329" s="498"/>
      <c r="L329" s="499"/>
      <c r="M329" s="87" t="str">
        <f t="shared" ca="1" si="7"/>
        <v xml:space="preserve">       </v>
      </c>
    </row>
    <row r="330" spans="1:13" x14ac:dyDescent="0.2">
      <c r="A330" s="493" t="str">
        <f t="shared" ca="1" si="8"/>
        <v xml:space="preserve">       </v>
      </c>
      <c r="B330" s="493"/>
      <c r="C330" s="497"/>
      <c r="D330" s="498"/>
      <c r="E330" s="498"/>
      <c r="F330" s="498"/>
      <c r="G330" s="498"/>
      <c r="H330" s="498"/>
      <c r="I330" s="498"/>
      <c r="J330" s="498"/>
      <c r="K330" s="498"/>
      <c r="L330" s="499"/>
      <c r="M330" s="87" t="str">
        <f t="shared" ca="1" si="7"/>
        <v xml:space="preserve">       </v>
      </c>
    </row>
    <row r="331" spans="1:13" x14ac:dyDescent="0.2">
      <c r="A331" s="493" t="str">
        <f t="shared" ca="1" si="8"/>
        <v xml:space="preserve">       </v>
      </c>
      <c r="B331" s="493"/>
      <c r="C331" s="497"/>
      <c r="D331" s="498"/>
      <c r="E331" s="498"/>
      <c r="F331" s="498"/>
      <c r="G331" s="498"/>
      <c r="H331" s="498"/>
      <c r="I331" s="498"/>
      <c r="J331" s="498"/>
      <c r="K331" s="498"/>
      <c r="L331" s="499"/>
      <c r="M331" s="87" t="str">
        <f t="shared" ca="1" si="7"/>
        <v xml:space="preserve">       </v>
      </c>
    </row>
    <row r="332" spans="1:13" x14ac:dyDescent="0.2">
      <c r="A332" s="493" t="str">
        <f t="shared" ca="1" si="8"/>
        <v xml:space="preserve">       </v>
      </c>
      <c r="B332" s="493"/>
      <c r="C332" s="497"/>
      <c r="D332" s="498"/>
      <c r="E332" s="498"/>
      <c r="F332" s="498"/>
      <c r="G332" s="498"/>
      <c r="H332" s="498"/>
      <c r="I332" s="498"/>
      <c r="J332" s="498"/>
      <c r="K332" s="498"/>
      <c r="L332" s="499"/>
      <c r="M332" s="87" t="str">
        <f t="shared" ca="1" si="7"/>
        <v xml:space="preserve">       </v>
      </c>
    </row>
    <row r="333" spans="1:13" x14ac:dyDescent="0.2">
      <c r="A333" s="493" t="str">
        <f t="shared" ca="1" si="8"/>
        <v xml:space="preserve">       </v>
      </c>
      <c r="B333" s="493"/>
      <c r="C333" s="497"/>
      <c r="D333" s="498"/>
      <c r="E333" s="498"/>
      <c r="F333" s="498"/>
      <c r="G333" s="498"/>
      <c r="H333" s="498"/>
      <c r="I333" s="498"/>
      <c r="J333" s="498"/>
      <c r="K333" s="498"/>
      <c r="L333" s="499"/>
      <c r="M333" s="87" t="str">
        <f t="shared" ca="1" si="7"/>
        <v xml:space="preserve">       </v>
      </c>
    </row>
    <row r="334" spans="1:13" x14ac:dyDescent="0.2">
      <c r="A334" s="493" t="str">
        <f t="shared" ca="1" si="8"/>
        <v xml:space="preserve">       </v>
      </c>
      <c r="B334" s="493"/>
      <c r="C334" s="497"/>
      <c r="D334" s="498"/>
      <c r="E334" s="498"/>
      <c r="F334" s="498"/>
      <c r="G334" s="498"/>
      <c r="H334" s="498"/>
      <c r="I334" s="498"/>
      <c r="J334" s="498"/>
      <c r="K334" s="498"/>
      <c r="L334" s="499"/>
      <c r="M334" s="87" t="str">
        <f t="shared" ca="1" si="7"/>
        <v xml:space="preserve">       </v>
      </c>
    </row>
    <row r="335" spans="1:13" x14ac:dyDescent="0.2">
      <c r="A335" s="493" t="str">
        <f t="shared" ca="1" si="8"/>
        <v xml:space="preserve">       </v>
      </c>
      <c r="B335" s="493"/>
      <c r="C335" s="497"/>
      <c r="D335" s="498"/>
      <c r="E335" s="498"/>
      <c r="F335" s="498"/>
      <c r="G335" s="498"/>
      <c r="H335" s="498"/>
      <c r="I335" s="498"/>
      <c r="J335" s="498"/>
      <c r="K335" s="498"/>
      <c r="L335" s="499"/>
      <c r="M335" s="87" t="str">
        <f t="shared" ca="1" si="7"/>
        <v xml:space="preserve">       </v>
      </c>
    </row>
    <row r="336" spans="1:13" x14ac:dyDescent="0.2">
      <c r="A336" s="493" t="str">
        <f t="shared" ca="1" si="8"/>
        <v xml:space="preserve">       </v>
      </c>
      <c r="B336" s="493"/>
      <c r="C336" s="497"/>
      <c r="D336" s="498"/>
      <c r="E336" s="498"/>
      <c r="F336" s="498"/>
      <c r="G336" s="498"/>
      <c r="H336" s="498"/>
      <c r="I336" s="498"/>
      <c r="J336" s="498"/>
      <c r="K336" s="498"/>
      <c r="L336" s="499"/>
      <c r="M336" s="87" t="str">
        <f t="shared" ca="1" si="7"/>
        <v xml:space="preserve">       </v>
      </c>
    </row>
    <row r="337" spans="1:13" x14ac:dyDescent="0.2">
      <c r="A337" s="493" t="str">
        <f t="shared" ca="1" si="8"/>
        <v xml:space="preserve">       </v>
      </c>
      <c r="B337" s="493"/>
      <c r="C337" s="497"/>
      <c r="D337" s="498"/>
      <c r="E337" s="498"/>
      <c r="F337" s="498"/>
      <c r="G337" s="498"/>
      <c r="H337" s="498"/>
      <c r="I337" s="498"/>
      <c r="J337" s="498"/>
      <c r="K337" s="498"/>
      <c r="L337" s="499"/>
      <c r="M337" s="87" t="str">
        <f t="shared" ca="1" si="7"/>
        <v xml:space="preserve">       </v>
      </c>
    </row>
    <row r="338" spans="1:13" x14ac:dyDescent="0.2">
      <c r="A338" s="493" t="str">
        <f t="shared" ca="1" si="8"/>
        <v xml:space="preserve">       </v>
      </c>
      <c r="B338" s="493"/>
      <c r="C338" s="497"/>
      <c r="D338" s="498"/>
      <c r="E338" s="498"/>
      <c r="F338" s="498"/>
      <c r="G338" s="498"/>
      <c r="H338" s="498"/>
      <c r="I338" s="498"/>
      <c r="J338" s="498"/>
      <c r="K338" s="498"/>
      <c r="L338" s="499"/>
      <c r="M338" s="87" t="str">
        <f t="shared" ca="1" si="7"/>
        <v xml:space="preserve">       </v>
      </c>
    </row>
    <row r="339" spans="1:13" x14ac:dyDescent="0.2">
      <c r="A339" s="493" t="str">
        <f t="shared" ca="1" si="8"/>
        <v xml:space="preserve">       </v>
      </c>
      <c r="B339" s="493"/>
      <c r="C339" s="497"/>
      <c r="D339" s="498"/>
      <c r="E339" s="498"/>
      <c r="F339" s="498"/>
      <c r="G339" s="498"/>
      <c r="H339" s="498"/>
      <c r="I339" s="498"/>
      <c r="J339" s="498"/>
      <c r="K339" s="498"/>
      <c r="L339" s="499"/>
      <c r="M339" s="87" t="str">
        <f t="shared" ca="1" si="7"/>
        <v xml:space="preserve">       </v>
      </c>
    </row>
    <row r="340" spans="1:13" x14ac:dyDescent="0.2">
      <c r="A340" s="493" t="str">
        <f t="shared" ca="1" si="8"/>
        <v xml:space="preserve">       </v>
      </c>
      <c r="B340" s="493"/>
      <c r="C340" s="497"/>
      <c r="D340" s="498"/>
      <c r="E340" s="498"/>
      <c r="F340" s="498"/>
      <c r="G340" s="498"/>
      <c r="H340" s="498"/>
      <c r="I340" s="498"/>
      <c r="J340" s="498"/>
      <c r="K340" s="498"/>
      <c r="L340" s="499"/>
      <c r="M340" s="87" t="str">
        <f t="shared" ca="1" si="7"/>
        <v xml:space="preserve">       </v>
      </c>
    </row>
    <row r="341" spans="1:13" x14ac:dyDescent="0.2">
      <c r="A341" s="493" t="str">
        <f t="shared" ca="1" si="8"/>
        <v xml:space="preserve">       </v>
      </c>
      <c r="B341" s="493"/>
      <c r="C341" s="497"/>
      <c r="D341" s="498"/>
      <c r="E341" s="498"/>
      <c r="F341" s="498"/>
      <c r="G341" s="498"/>
      <c r="H341" s="498"/>
      <c r="I341" s="498"/>
      <c r="J341" s="498"/>
      <c r="K341" s="498"/>
      <c r="L341" s="499"/>
      <c r="M341" s="87" t="str">
        <f t="shared" ca="1" si="7"/>
        <v xml:space="preserve">       </v>
      </c>
    </row>
    <row r="342" spans="1:13" x14ac:dyDescent="0.2">
      <c r="A342" s="493" t="str">
        <f t="shared" ca="1" si="8"/>
        <v xml:space="preserve">       </v>
      </c>
      <c r="B342" s="493"/>
      <c r="C342" s="497"/>
      <c r="D342" s="498"/>
      <c r="E342" s="498"/>
      <c r="F342" s="498"/>
      <c r="G342" s="498"/>
      <c r="H342" s="498"/>
      <c r="I342" s="498"/>
      <c r="J342" s="498"/>
      <c r="K342" s="498"/>
      <c r="L342" s="499"/>
      <c r="M342" s="87" t="str">
        <f t="shared" ca="1" si="7"/>
        <v xml:space="preserve">       </v>
      </c>
    </row>
    <row r="343" spans="1:13" x14ac:dyDescent="0.2">
      <c r="A343" s="493" t="str">
        <f t="shared" ca="1" si="8"/>
        <v xml:space="preserve">       </v>
      </c>
      <c r="B343" s="493"/>
      <c r="C343" s="497"/>
      <c r="D343" s="498"/>
      <c r="E343" s="498"/>
      <c r="F343" s="498"/>
      <c r="G343" s="498"/>
      <c r="H343" s="498"/>
      <c r="I343" s="498"/>
      <c r="J343" s="498"/>
      <c r="K343" s="498"/>
      <c r="L343" s="499"/>
      <c r="M343" s="87" t="str">
        <f t="shared" ca="1" si="7"/>
        <v xml:space="preserve">       </v>
      </c>
    </row>
    <row r="344" spans="1:13" x14ac:dyDescent="0.2">
      <c r="A344" s="493" t="str">
        <f t="shared" ca="1" si="8"/>
        <v xml:space="preserve">       </v>
      </c>
      <c r="B344" s="493"/>
      <c r="C344" s="497"/>
      <c r="D344" s="498"/>
      <c r="E344" s="498"/>
      <c r="F344" s="498"/>
      <c r="G344" s="498"/>
      <c r="H344" s="498"/>
      <c r="I344" s="498"/>
      <c r="J344" s="498"/>
      <c r="K344" s="498"/>
      <c r="L344" s="499"/>
      <c r="M344" s="87" t="str">
        <f t="shared" ca="1" si="7"/>
        <v xml:space="preserve">       </v>
      </c>
    </row>
    <row r="345" spans="1:13" x14ac:dyDescent="0.2">
      <c r="A345" s="493" t="str">
        <f ca="1">OFFSET($A$9,(ROW()-326)*10-1,0)</f>
        <v xml:space="preserve">       </v>
      </c>
      <c r="B345" s="493"/>
      <c r="C345" s="497"/>
      <c r="D345" s="498"/>
      <c r="E345" s="498"/>
      <c r="F345" s="498"/>
      <c r="G345" s="498"/>
      <c r="H345" s="498"/>
      <c r="I345" s="498"/>
      <c r="J345" s="498"/>
      <c r="K345" s="498"/>
      <c r="L345" s="499"/>
      <c r="M345" s="87" t="str">
        <f t="shared" ca="1" si="7"/>
        <v xml:space="preserve">       </v>
      </c>
    </row>
    <row r="346" spans="1:13" x14ac:dyDescent="0.2">
      <c r="A346" s="493" t="str">
        <f t="shared" ca="1" si="8"/>
        <v xml:space="preserve">       </v>
      </c>
      <c r="B346" s="493"/>
      <c r="C346" s="497"/>
      <c r="D346" s="498"/>
      <c r="E346" s="498"/>
      <c r="F346" s="498"/>
      <c r="G346" s="498"/>
      <c r="H346" s="498"/>
      <c r="I346" s="498"/>
      <c r="J346" s="498"/>
      <c r="K346" s="498"/>
      <c r="L346" s="499"/>
      <c r="M346" s="87" t="str">
        <f t="shared" ca="1" si="7"/>
        <v xml:space="preserve">       </v>
      </c>
    </row>
    <row r="347" spans="1:13" x14ac:dyDescent="0.2">
      <c r="A347" s="493" t="str">
        <f ca="1">OFFSET($A$213,(ROW()-346)*10-1,0)</f>
        <v xml:space="preserve">       </v>
      </c>
      <c r="B347" s="493"/>
      <c r="C347" s="497"/>
      <c r="D347" s="498"/>
      <c r="E347" s="498"/>
      <c r="F347" s="498"/>
      <c r="G347" s="498"/>
      <c r="H347" s="498"/>
      <c r="I347" s="498"/>
      <c r="J347" s="498"/>
      <c r="K347" s="498"/>
      <c r="L347" s="499"/>
      <c r="M347" s="87" t="str">
        <f t="shared" ca="1" si="7"/>
        <v xml:space="preserve">       </v>
      </c>
    </row>
    <row r="348" spans="1:13" x14ac:dyDescent="0.2">
      <c r="A348" s="493" t="str">
        <f t="shared" ref="A348:A356" ca="1" si="9">OFFSET($A$213,(ROW()-346)*10-1,0)</f>
        <v xml:space="preserve">       </v>
      </c>
      <c r="B348" s="493"/>
      <c r="C348" s="497"/>
      <c r="D348" s="498"/>
      <c r="E348" s="498"/>
      <c r="F348" s="498"/>
      <c r="G348" s="498"/>
      <c r="H348" s="498"/>
      <c r="I348" s="498"/>
      <c r="J348" s="498"/>
      <c r="K348" s="498"/>
      <c r="L348" s="499"/>
      <c r="M348" s="87" t="str">
        <f t="shared" ca="1" si="7"/>
        <v xml:space="preserve">       </v>
      </c>
    </row>
    <row r="349" spans="1:13" x14ac:dyDescent="0.2">
      <c r="A349" s="493" t="str">
        <f t="shared" ca="1" si="9"/>
        <v xml:space="preserve">       </v>
      </c>
      <c r="B349" s="493"/>
      <c r="C349" s="497"/>
      <c r="D349" s="498"/>
      <c r="E349" s="498"/>
      <c r="F349" s="498"/>
      <c r="G349" s="498"/>
      <c r="H349" s="498"/>
      <c r="I349" s="498"/>
      <c r="J349" s="498"/>
      <c r="K349" s="498"/>
      <c r="L349" s="499"/>
      <c r="M349" s="87" t="str">
        <f t="shared" ca="1" si="7"/>
        <v xml:space="preserve">       </v>
      </c>
    </row>
    <row r="350" spans="1:13" x14ac:dyDescent="0.2">
      <c r="A350" s="493" t="str">
        <f t="shared" ca="1" si="9"/>
        <v xml:space="preserve">       </v>
      </c>
      <c r="B350" s="493"/>
      <c r="C350" s="497"/>
      <c r="D350" s="498"/>
      <c r="E350" s="498"/>
      <c r="F350" s="498"/>
      <c r="G350" s="498"/>
      <c r="H350" s="498"/>
      <c r="I350" s="498"/>
      <c r="J350" s="498"/>
      <c r="K350" s="498"/>
      <c r="L350" s="499"/>
      <c r="M350" s="87" t="str">
        <f t="shared" ca="1" si="7"/>
        <v xml:space="preserve">       </v>
      </c>
    </row>
    <row r="351" spans="1:13" x14ac:dyDescent="0.2">
      <c r="A351" s="493" t="str">
        <f t="shared" ca="1" si="9"/>
        <v xml:space="preserve">       </v>
      </c>
      <c r="B351" s="493"/>
      <c r="C351" s="497"/>
      <c r="D351" s="498"/>
      <c r="E351" s="498"/>
      <c r="F351" s="498"/>
      <c r="G351" s="498"/>
      <c r="H351" s="498"/>
      <c r="I351" s="498"/>
      <c r="J351" s="498"/>
      <c r="K351" s="498"/>
      <c r="L351" s="499"/>
      <c r="M351" s="87" t="str">
        <f t="shared" ca="1" si="7"/>
        <v xml:space="preserve">       </v>
      </c>
    </row>
    <row r="352" spans="1:13" x14ac:dyDescent="0.2">
      <c r="A352" s="493" t="str">
        <f t="shared" ca="1" si="9"/>
        <v xml:space="preserve">       </v>
      </c>
      <c r="B352" s="493"/>
      <c r="C352" s="497"/>
      <c r="D352" s="498"/>
      <c r="E352" s="498"/>
      <c r="F352" s="498"/>
      <c r="G352" s="498"/>
      <c r="H352" s="498"/>
      <c r="I352" s="498"/>
      <c r="J352" s="498"/>
      <c r="K352" s="498"/>
      <c r="L352" s="499"/>
      <c r="M352" s="87" t="str">
        <f t="shared" ca="1" si="7"/>
        <v xml:space="preserve">       </v>
      </c>
    </row>
    <row r="353" spans="1:13" x14ac:dyDescent="0.2">
      <c r="A353" s="493" t="str">
        <f t="shared" ca="1" si="9"/>
        <v xml:space="preserve">       </v>
      </c>
      <c r="B353" s="493"/>
      <c r="C353" s="497"/>
      <c r="D353" s="498"/>
      <c r="E353" s="498"/>
      <c r="F353" s="498"/>
      <c r="G353" s="498"/>
      <c r="H353" s="498"/>
      <c r="I353" s="498"/>
      <c r="J353" s="498"/>
      <c r="K353" s="498"/>
      <c r="L353" s="499"/>
      <c r="M353" s="87" t="str">
        <f t="shared" ca="1" si="7"/>
        <v xml:space="preserve">       </v>
      </c>
    </row>
    <row r="354" spans="1:13" x14ac:dyDescent="0.2">
      <c r="A354" s="493" t="str">
        <f t="shared" ca="1" si="9"/>
        <v xml:space="preserve">       </v>
      </c>
      <c r="B354" s="493"/>
      <c r="C354" s="497"/>
      <c r="D354" s="498"/>
      <c r="E354" s="498"/>
      <c r="F354" s="498"/>
      <c r="G354" s="498"/>
      <c r="H354" s="498"/>
      <c r="I354" s="498"/>
      <c r="J354" s="498"/>
      <c r="K354" s="498"/>
      <c r="L354" s="499"/>
      <c r="M354" s="87" t="str">
        <f t="shared" ca="1" si="7"/>
        <v xml:space="preserve">       </v>
      </c>
    </row>
    <row r="355" spans="1:13" x14ac:dyDescent="0.2">
      <c r="A355" s="493" t="str">
        <f t="shared" ca="1" si="9"/>
        <v xml:space="preserve">       </v>
      </c>
      <c r="B355" s="493"/>
      <c r="C355" s="497"/>
      <c r="D355" s="498"/>
      <c r="E355" s="498"/>
      <c r="F355" s="498"/>
      <c r="G355" s="498"/>
      <c r="H355" s="498"/>
      <c r="I355" s="498"/>
      <c r="J355" s="498"/>
      <c r="K355" s="498"/>
      <c r="L355" s="499"/>
      <c r="M355" s="87" t="str">
        <f t="shared" ca="1" si="7"/>
        <v xml:space="preserve">       </v>
      </c>
    </row>
    <row r="356" spans="1:13" x14ac:dyDescent="0.2">
      <c r="A356" s="493" t="str">
        <f t="shared" ca="1" si="9"/>
        <v xml:space="preserve">       </v>
      </c>
      <c r="B356" s="493"/>
      <c r="C356" s="500"/>
      <c r="D356" s="501"/>
      <c r="E356" s="501"/>
      <c r="F356" s="501"/>
      <c r="G356" s="501"/>
      <c r="H356" s="501"/>
      <c r="I356" s="501"/>
      <c r="J356" s="501"/>
      <c r="K356" s="501"/>
      <c r="L356" s="502"/>
      <c r="M356" s="87" t="str">
        <f t="shared" ca="1" si="7"/>
        <v xml:space="preserve">       </v>
      </c>
    </row>
    <row r="357" spans="1:13" s="55" customFormat="1" ht="18" customHeight="1" x14ac:dyDescent="0.2">
      <c r="A357" s="489" t="str">
        <f>'M1'!A357:L357</f>
        <v>EXPERIENCIAS FORMATIVAS EN SITUACIONES REALES DE TRABAJO (EFSRT)</v>
      </c>
      <c r="B357" s="489"/>
      <c r="C357" s="489"/>
      <c r="D357" s="489"/>
      <c r="E357" s="489"/>
      <c r="F357" s="489"/>
      <c r="G357" s="489"/>
      <c r="H357" s="489"/>
      <c r="I357" s="489"/>
      <c r="J357" s="489"/>
      <c r="K357" s="489"/>
      <c r="L357" s="489"/>
      <c r="M357" s="87" t="str">
        <f t="shared" si="7"/>
        <v>EXPERIENCIAS FORMATIVAS EN SITUACIONES REALES DE TRABAJO (EFSRT)</v>
      </c>
    </row>
    <row r="358" spans="1:13" s="55" customFormat="1" ht="18.75" customHeight="1" x14ac:dyDescent="0.2">
      <c r="A358" s="148" t="str">
        <f>'M1'!A358</f>
        <v>LUGAR PARA EL DESARROLLO DE LA EFSRT</v>
      </c>
      <c r="B358" s="148" t="str">
        <f>'M1'!B358</f>
        <v>AMBIENTES/ÁREAS (1)</v>
      </c>
      <c r="C358" s="490" t="str">
        <f>'M1'!C358:J358</f>
        <v>DESCRIPCIÓN DE LA ESTRATEGIA PARA LA IMPLEMENTACIÓN DE LA EFSRT (2)</v>
      </c>
      <c r="D358" s="490"/>
      <c r="E358" s="490"/>
      <c r="F358" s="490"/>
      <c r="G358" s="490"/>
      <c r="H358" s="490"/>
      <c r="I358" s="490"/>
      <c r="J358" s="490"/>
      <c r="K358" s="148" t="str">
        <f>'M1'!K358</f>
        <v>CRÉDITOS</v>
      </c>
      <c r="L358" s="148" t="str">
        <f>'M1'!L358</f>
        <v>HORAS (P)</v>
      </c>
      <c r="M358" s="87" t="str">
        <f t="shared" si="7"/>
        <v>LUGAR PARA EL DESARROLLO DE LA EFSRT</v>
      </c>
    </row>
    <row r="359" spans="1:13" s="55" customFormat="1" ht="77.25" customHeight="1" x14ac:dyDescent="0.2">
      <c r="A359" s="155" t="s">
        <v>146</v>
      </c>
      <c r="B359" s="155" t="s">
        <v>184</v>
      </c>
      <c r="C359" s="486" t="s">
        <v>183</v>
      </c>
      <c r="D359" s="487"/>
      <c r="E359" s="487"/>
      <c r="F359" s="487"/>
      <c r="G359" s="487"/>
      <c r="H359" s="487"/>
      <c r="I359" s="487"/>
      <c r="J359" s="488"/>
      <c r="K359" s="17">
        <f>Organización_Modular!I133</f>
        <v>0</v>
      </c>
      <c r="L359" s="18">
        <f>K359*32</f>
        <v>0</v>
      </c>
      <c r="M359" s="87"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168" customHeight="1" x14ac:dyDescent="0.2">
      <c r="A360" s="155" t="s">
        <v>112</v>
      </c>
      <c r="B360" s="155" t="s">
        <v>185</v>
      </c>
      <c r="C360" s="486" t="s">
        <v>180</v>
      </c>
      <c r="D360" s="487"/>
      <c r="E360" s="487"/>
      <c r="F360" s="487"/>
      <c r="G360" s="487"/>
      <c r="H360" s="487"/>
      <c r="I360" s="487"/>
      <c r="J360" s="488"/>
      <c r="K360" s="84"/>
      <c r="L360" s="85"/>
      <c r="M360" s="87"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25.5" customHeight="1" x14ac:dyDescent="0.2">
      <c r="A361" s="491">
        <f>'M1'!A361</f>
        <v>0</v>
      </c>
      <c r="B361" s="492"/>
      <c r="M361" s="87">
        <f>A361</f>
        <v>0</v>
      </c>
    </row>
    <row r="362" spans="1:13" x14ac:dyDescent="0.2">
      <c r="A362" s="129" t="s">
        <v>146</v>
      </c>
      <c r="B362" s="130" t="s">
        <v>115</v>
      </c>
      <c r="M362" s="49"/>
    </row>
    <row r="363" spans="1:13" x14ac:dyDescent="0.2">
      <c r="A363" s="129" t="s">
        <v>112</v>
      </c>
      <c r="B363" s="130" t="s">
        <v>116</v>
      </c>
      <c r="M363" s="49"/>
    </row>
    <row r="364" spans="1:13" x14ac:dyDescent="0.2">
      <c r="A364" s="129"/>
      <c r="B364" s="130" t="s">
        <v>119</v>
      </c>
    </row>
    <row r="365" spans="1:13" x14ac:dyDescent="0.2">
      <c r="A365" s="129"/>
      <c r="B365" s="130" t="s">
        <v>117</v>
      </c>
    </row>
    <row r="366" spans="1:13" x14ac:dyDescent="0.2">
      <c r="A366" s="129"/>
      <c r="B366" s="130" t="s">
        <v>118</v>
      </c>
    </row>
    <row r="367" spans="1:13" x14ac:dyDescent="0.2">
      <c r="A367" s="126"/>
      <c r="B367" s="130" t="s">
        <v>120</v>
      </c>
    </row>
  </sheetData>
  <sheetProtection formatRows="0" autoFilter="0"/>
  <autoFilter ref="A16:M361" xr:uid="{00000000-0009-0000-0000-000007000000}">
    <filterColumn colId="5" showButton="0"/>
    <filterColumn colId="8" showButton="0"/>
  </autoFilter>
  <mergeCells count="142">
    <mergeCell ref="A208:A217"/>
    <mergeCell ref="A118:A127"/>
    <mergeCell ref="A128:A137"/>
    <mergeCell ref="A138:A147"/>
    <mergeCell ref="A148:A157"/>
    <mergeCell ref="A158:A167"/>
    <mergeCell ref="A168:A177"/>
    <mergeCell ref="A178:A187"/>
    <mergeCell ref="A188:A197"/>
    <mergeCell ref="A198:A207"/>
    <mergeCell ref="A28:A37"/>
    <mergeCell ref="A38:A47"/>
    <mergeCell ref="A48:A57"/>
    <mergeCell ref="A58:A67"/>
    <mergeCell ref="A68:A77"/>
    <mergeCell ref="A78:A87"/>
    <mergeCell ref="A88:A97"/>
    <mergeCell ref="A98:A107"/>
    <mergeCell ref="A108:A117"/>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C358:J358"/>
    <mergeCell ref="A350:B350"/>
    <mergeCell ref="A351:B351"/>
    <mergeCell ref="A352:B352"/>
    <mergeCell ref="A353:B353"/>
    <mergeCell ref="A354:B354"/>
    <mergeCell ref="A355:B355"/>
    <mergeCell ref="A357:L357"/>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L222:L231"/>
    <mergeCell ref="L232:L241"/>
    <mergeCell ref="L242:L251"/>
    <mergeCell ref="L252:L261"/>
    <mergeCell ref="L262:L271"/>
    <mergeCell ref="L272:L281"/>
    <mergeCell ref="A324:L324"/>
    <mergeCell ref="A325:L325"/>
    <mergeCell ref="A326:B326"/>
    <mergeCell ref="C326:L326"/>
    <mergeCell ref="A302:A311"/>
    <mergeCell ref="A312:A321"/>
    <mergeCell ref="A327:B327"/>
    <mergeCell ref="C327:L356"/>
    <mergeCell ref="A328:B328"/>
    <mergeCell ref="A329:B329"/>
    <mergeCell ref="A330:B330"/>
    <mergeCell ref="A331:B331"/>
    <mergeCell ref="A332:B332"/>
    <mergeCell ref="A333:B333"/>
    <mergeCell ref="A334:B334"/>
    <mergeCell ref="A337:B337"/>
    <mergeCell ref="A338:B338"/>
    <mergeCell ref="A339:B339"/>
    <mergeCell ref="A345:B345"/>
    <mergeCell ref="A346:B346"/>
    <mergeCell ref="A347:B347"/>
    <mergeCell ref="A348:B348"/>
    <mergeCell ref="A349:B349"/>
    <mergeCell ref="K220:K221"/>
    <mergeCell ref="L220:L221"/>
    <mergeCell ref="E220:E221"/>
    <mergeCell ref="L16:L17"/>
    <mergeCell ref="L18:L27"/>
    <mergeCell ref="L28:L37"/>
    <mergeCell ref="L38:L47"/>
    <mergeCell ref="L168:L177"/>
    <mergeCell ref="L178:L187"/>
    <mergeCell ref="L188:L197"/>
    <mergeCell ref="L198:L207"/>
    <mergeCell ref="L208:L217"/>
    <mergeCell ref="A1:L1"/>
    <mergeCell ref="B3:C3"/>
    <mergeCell ref="F3:H3"/>
    <mergeCell ref="I3:L3"/>
    <mergeCell ref="F5:H5"/>
    <mergeCell ref="I5:L5"/>
    <mergeCell ref="A13:L13"/>
    <mergeCell ref="A14:L14"/>
    <mergeCell ref="B15:L15"/>
    <mergeCell ref="B7:C7"/>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s>
  <conditionalFormatting sqref="C18:C217">
    <cfRule type="containsBlanks" dxfId="59" priority="2">
      <formula>LEN(TRIM(C18))=0</formula>
    </cfRule>
  </conditionalFormatting>
  <conditionalFormatting sqref="C222:C321">
    <cfRule type="containsBlanks" dxfId="58" priority="1">
      <formula>LEN(TRIM(C222))=0</formula>
    </cfRule>
  </conditionalFormatting>
  <conditionalFormatting sqref="L18:L217 L222:L321 C327:L356 A359:J360">
    <cfRule type="containsBlanks" dxfId="57" priority="5">
      <formula>LEN(TRIM(A18))=0</formula>
    </cfRule>
  </conditionalFormatting>
  <dataValidations count="1">
    <dataValidation type="list" allowBlank="1" showInputMessage="1" showErrorMessage="1" sqref="A359:A360" xr:uid="{00000000-0002-0000-07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4:C325 M18:M358 D324:L32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M367"/>
  <sheetViews>
    <sheetView showGridLines="0" zoomScale="80" zoomScaleNormal="80" workbookViewId="0">
      <selection activeCell="A362" sqref="A362"/>
    </sheetView>
  </sheetViews>
  <sheetFormatPr baseColWidth="10" defaultColWidth="11.42578125" defaultRowHeight="12.75" x14ac:dyDescent="0.2"/>
  <cols>
    <col min="1" max="1" width="39.7109375" style="56" customWidth="1"/>
    <col min="2" max="2" width="41.7109375" style="97" customWidth="1"/>
    <col min="3" max="3" width="45.7109375" style="97"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7" style="49" customWidth="1"/>
    <col min="14" max="16384" width="11.42578125" style="2"/>
  </cols>
  <sheetData>
    <row r="1" spans="1:13" s="55" customFormat="1" ht="18.75" x14ac:dyDescent="0.2">
      <c r="A1" s="455" t="str">
        <f>'M4'!A1:L1</f>
        <v>ORGANIZACIÓN DE LOS ELEMENTOS DEL MÓDULO</v>
      </c>
      <c r="B1" s="455"/>
      <c r="C1" s="455"/>
      <c r="D1" s="455"/>
      <c r="E1" s="455"/>
      <c r="F1" s="455"/>
      <c r="G1" s="455"/>
      <c r="H1" s="455"/>
      <c r="I1" s="455"/>
      <c r="J1" s="455"/>
      <c r="K1" s="455"/>
      <c r="L1" s="455"/>
      <c r="M1" s="89"/>
    </row>
    <row r="2" spans="1:13" s="55" customFormat="1" ht="15.75" x14ac:dyDescent="0.2">
      <c r="A2" s="83"/>
      <c r="B2" s="83"/>
      <c r="C2" s="83"/>
      <c r="D2" s="83"/>
      <c r="E2" s="83"/>
      <c r="F2" s="83"/>
      <c r="G2" s="83"/>
      <c r="H2" s="83"/>
      <c r="I2" s="83"/>
      <c r="J2" s="83"/>
      <c r="K2" s="83"/>
      <c r="L2" s="83"/>
      <c r="M2" s="89"/>
    </row>
    <row r="3" spans="1:13" ht="25.5" customHeight="1" x14ac:dyDescent="0.2">
      <c r="A3" s="19" t="s">
        <v>36</v>
      </c>
      <c r="B3" s="368" t="str">
        <f>Perfil_Egreso!B3</f>
        <v xml:space="preserve">CETPRO JUANJUI </v>
      </c>
      <c r="C3" s="368"/>
      <c r="D3" s="9"/>
      <c r="E3" s="9"/>
      <c r="F3" s="504" t="s">
        <v>51</v>
      </c>
      <c r="G3" s="504"/>
      <c r="H3" s="505"/>
      <c r="I3" s="506" t="str">
        <f>Perfil_Egreso!E3</f>
        <v>0533836</v>
      </c>
      <c r="J3" s="507"/>
      <c r="K3" s="507"/>
      <c r="L3" s="394"/>
    </row>
    <row r="4" spans="1:13" ht="15" customHeight="1" x14ac:dyDescent="0.2">
      <c r="A4" s="33"/>
      <c r="B4" s="33"/>
      <c r="C4" s="20"/>
      <c r="D4" s="20"/>
      <c r="E4" s="20"/>
      <c r="F4" s="9"/>
      <c r="G4" s="9"/>
      <c r="H4" s="9"/>
      <c r="I4" s="9"/>
      <c r="J4" s="9"/>
      <c r="K4" s="9"/>
      <c r="L4" s="9"/>
    </row>
    <row r="5" spans="1:13" ht="26.25" customHeight="1" x14ac:dyDescent="0.2">
      <c r="A5" s="19" t="s">
        <v>40</v>
      </c>
      <c r="B5" s="73" t="str">
        <f>Perfil_Egreso!B5</f>
        <v>Actividades profesionales, científicas y técnicas</v>
      </c>
      <c r="C5" s="21" t="s">
        <v>41</v>
      </c>
      <c r="D5" s="5" t="str">
        <f>Perfil_Egreso!D5</f>
        <v>Servicios prestados a empresas</v>
      </c>
      <c r="E5" s="22"/>
      <c r="F5" s="508" t="s">
        <v>42</v>
      </c>
      <c r="G5" s="508"/>
      <c r="H5" s="509"/>
      <c r="I5" s="393" t="str">
        <f>Perfil_Egreso!B7</f>
        <v>Actividades administrativas y de apoyo de oficina y otras actividades de
apoyo a las empresas</v>
      </c>
      <c r="J5" s="507"/>
      <c r="K5" s="507"/>
      <c r="L5" s="394"/>
    </row>
    <row r="6" spans="1:13" ht="12.75" customHeight="1" x14ac:dyDescent="0.2">
      <c r="A6" s="69"/>
      <c r="B6" s="69"/>
      <c r="C6" s="23"/>
      <c r="D6" s="23"/>
      <c r="E6" s="23"/>
      <c r="F6" s="9"/>
      <c r="G6" s="9"/>
      <c r="H6" s="9"/>
      <c r="I6" s="9"/>
      <c r="J6" s="9"/>
      <c r="K6" s="9"/>
      <c r="L6" s="9"/>
    </row>
    <row r="7" spans="1:13" ht="24" customHeight="1" x14ac:dyDescent="0.2">
      <c r="A7" s="69" t="str">
        <f>Perfil_Egreso!A10</f>
        <v>DENOMINACIÓN DEL PROGRAMA DE ESTUDIOS SEGÚN CNOF (según corresponda)</v>
      </c>
      <c r="B7" s="393" t="str">
        <f>Perfil_Egreso!B10</f>
        <v>APOYO ADMINISTRATIVO</v>
      </c>
      <c r="C7" s="394"/>
      <c r="D7" s="169"/>
      <c r="E7" s="169"/>
      <c r="F7" s="504" t="s">
        <v>44</v>
      </c>
      <c r="G7" s="504"/>
      <c r="H7" s="505"/>
      <c r="I7" s="506" t="str">
        <f>Perfil_Egreso!E10</f>
        <v>M2982-1-002</v>
      </c>
      <c r="J7" s="507"/>
      <c r="K7" s="507"/>
      <c r="L7" s="394"/>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2" t="str">
        <f>Perfil_Egreso!B12</f>
        <v>AUXILIAR TECNICO</v>
      </c>
      <c r="C9" s="26" t="s">
        <v>5</v>
      </c>
      <c r="D9" s="5">
        <f>Itinerario!W17</f>
        <v>1072</v>
      </c>
      <c r="E9" s="27"/>
      <c r="F9" s="510" t="s">
        <v>34</v>
      </c>
      <c r="G9" s="510"/>
      <c r="H9" s="511"/>
      <c r="I9" s="393">
        <f>Itinerario!T17</f>
        <v>40</v>
      </c>
      <c r="J9" s="507"/>
      <c r="K9" s="507"/>
      <c r="L9" s="394"/>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24" t="str">
        <f>Perfil_Egreso!D12</f>
        <v>PRESENCIAL</v>
      </c>
      <c r="C11" s="326"/>
      <c r="D11" s="9"/>
      <c r="E11" s="9"/>
      <c r="F11" s="512" t="str">
        <f>Perfil_Egreso!A14</f>
        <v>NIVEL FORMATIVO</v>
      </c>
      <c r="G11" s="512"/>
      <c r="H11" s="513"/>
      <c r="I11" s="393" t="str">
        <f>Perfil_Egreso!B14</f>
        <v>AUXILIAR TÉCNICO</v>
      </c>
      <c r="J11" s="507"/>
      <c r="K11" s="507"/>
      <c r="L11" s="394"/>
    </row>
    <row r="12" spans="1:13" s="55" customFormat="1" ht="8.25" customHeight="1" x14ac:dyDescent="0.2">
      <c r="A12" s="30"/>
      <c r="B12" s="30"/>
      <c r="C12" s="30"/>
      <c r="D12" s="30"/>
      <c r="E12" s="30"/>
      <c r="F12" s="30"/>
      <c r="G12" s="30"/>
      <c r="H12" s="30"/>
      <c r="I12" s="30"/>
      <c r="J12" s="30"/>
      <c r="K12" s="30"/>
      <c r="L12" s="30"/>
      <c r="M12" s="89"/>
    </row>
    <row r="13" spans="1:13" ht="18.75" customHeight="1" x14ac:dyDescent="0.2">
      <c r="A13" s="456" t="s">
        <v>85</v>
      </c>
      <c r="B13" s="456"/>
      <c r="C13" s="456"/>
      <c r="D13" s="456"/>
      <c r="E13" s="456"/>
      <c r="F13" s="456"/>
      <c r="G13" s="456"/>
      <c r="H13" s="456"/>
      <c r="I13" s="456"/>
      <c r="J13" s="456"/>
      <c r="K13" s="456"/>
      <c r="L13" s="456"/>
    </row>
    <row r="14" spans="1:13" ht="78.75" customHeight="1" x14ac:dyDescent="0.2">
      <c r="A14" s="457">
        <f>Organización_Modular!C134</f>
        <v>0</v>
      </c>
      <c r="B14" s="457"/>
      <c r="C14" s="457"/>
      <c r="D14" s="457"/>
      <c r="E14" s="457"/>
      <c r="F14" s="457"/>
      <c r="G14" s="457"/>
      <c r="H14" s="457"/>
      <c r="I14" s="457"/>
      <c r="J14" s="457"/>
      <c r="K14" s="457"/>
      <c r="L14" s="457"/>
    </row>
    <row r="15" spans="1:13" ht="21" x14ac:dyDescent="0.2">
      <c r="A15" s="146" t="s">
        <v>84</v>
      </c>
      <c r="B15" s="458">
        <f>Organización_Modular!A134</f>
        <v>0</v>
      </c>
      <c r="C15" s="458"/>
      <c r="D15" s="458"/>
      <c r="E15" s="458"/>
      <c r="F15" s="458"/>
      <c r="G15" s="458"/>
      <c r="H15" s="458"/>
      <c r="I15" s="458"/>
      <c r="J15" s="458"/>
      <c r="K15" s="458"/>
      <c r="L15" s="458"/>
    </row>
    <row r="16" spans="1:13" ht="18" customHeight="1" x14ac:dyDescent="0.2">
      <c r="A16" s="459" t="s">
        <v>83</v>
      </c>
      <c r="B16" s="460" t="s">
        <v>82</v>
      </c>
      <c r="C16" s="459" t="s">
        <v>78</v>
      </c>
      <c r="D16" s="459" t="s">
        <v>0</v>
      </c>
      <c r="E16" s="459" t="s">
        <v>50</v>
      </c>
      <c r="F16" s="459" t="s">
        <v>71</v>
      </c>
      <c r="G16" s="459"/>
      <c r="H16" s="459" t="s">
        <v>71</v>
      </c>
      <c r="I16" s="459" t="s">
        <v>77</v>
      </c>
      <c r="J16" s="459"/>
      <c r="K16" s="459" t="s">
        <v>77</v>
      </c>
      <c r="L16" s="459" t="s">
        <v>81</v>
      </c>
      <c r="M16" s="472" t="s">
        <v>91</v>
      </c>
    </row>
    <row r="17" spans="1:13" ht="15.75" customHeight="1" x14ac:dyDescent="0.2">
      <c r="A17" s="459"/>
      <c r="B17" s="460"/>
      <c r="C17" s="459"/>
      <c r="D17" s="459"/>
      <c r="E17" s="459"/>
      <c r="F17" s="149" t="s">
        <v>75</v>
      </c>
      <c r="G17" s="149" t="s">
        <v>74</v>
      </c>
      <c r="H17" s="459"/>
      <c r="I17" s="149" t="s">
        <v>75</v>
      </c>
      <c r="J17" s="149" t="s">
        <v>74</v>
      </c>
      <c r="K17" s="459"/>
      <c r="L17" s="459"/>
      <c r="M17" s="472"/>
    </row>
    <row r="18" spans="1:13" x14ac:dyDescent="0.2">
      <c r="A18" s="425" t="str">
        <f>Capacidades!L1214</f>
        <v xml:space="preserve">       </v>
      </c>
      <c r="B18" s="156" t="str">
        <f>Capacidades!M1214</f>
        <v xml:space="preserve">   </v>
      </c>
      <c r="C18" s="157"/>
      <c r="D18" s="11">
        <f>Organización_Modular!F134</f>
        <v>0</v>
      </c>
      <c r="E18" s="11">
        <f>Organización_Modular!G134</f>
        <v>0</v>
      </c>
      <c r="F18" s="11">
        <f>Organización_Modular!H134</f>
        <v>0</v>
      </c>
      <c r="G18" s="11">
        <f>Organización_Modular!I134</f>
        <v>0</v>
      </c>
      <c r="H18" s="12">
        <f>SUM(F18:G18)</f>
        <v>0</v>
      </c>
      <c r="I18" s="12">
        <f>F18*16</f>
        <v>0</v>
      </c>
      <c r="J18" s="12">
        <f>G18*32</f>
        <v>0</v>
      </c>
      <c r="K18" s="12">
        <f>SUM(I18:J18)</f>
        <v>0</v>
      </c>
      <c r="L18" s="445"/>
      <c r="M18" s="87" t="str">
        <f>B18</f>
        <v xml:space="preserve">   </v>
      </c>
    </row>
    <row r="19" spans="1:13" x14ac:dyDescent="0.2">
      <c r="A19" s="426"/>
      <c r="B19" s="156" t="str">
        <f>Capacidades!M1215</f>
        <v xml:space="preserve">   </v>
      </c>
      <c r="C19" s="157"/>
      <c r="D19" s="13"/>
      <c r="E19" s="13"/>
      <c r="F19" s="13"/>
      <c r="G19" s="13"/>
      <c r="H19" s="14"/>
      <c r="I19" s="14"/>
      <c r="J19" s="14"/>
      <c r="K19" s="14"/>
      <c r="L19" s="446"/>
      <c r="M19" s="87" t="str">
        <f t="shared" ref="M19:M82" si="0">B19</f>
        <v xml:space="preserve">   </v>
      </c>
    </row>
    <row r="20" spans="1:13" x14ac:dyDescent="0.2">
      <c r="A20" s="426"/>
      <c r="B20" s="156" t="str">
        <f>Capacidades!M1216</f>
        <v xml:space="preserve">   </v>
      </c>
      <c r="C20" s="157"/>
      <c r="D20" s="13"/>
      <c r="E20" s="13"/>
      <c r="F20" s="13"/>
      <c r="G20" s="13"/>
      <c r="H20" s="14"/>
      <c r="I20" s="14"/>
      <c r="J20" s="14"/>
      <c r="K20" s="14"/>
      <c r="L20" s="446"/>
      <c r="M20" s="87" t="str">
        <f t="shared" si="0"/>
        <v xml:space="preserve">   </v>
      </c>
    </row>
    <row r="21" spans="1:13" x14ac:dyDescent="0.2">
      <c r="A21" s="426"/>
      <c r="B21" s="156" t="str">
        <f>Capacidades!M1217</f>
        <v xml:space="preserve">   </v>
      </c>
      <c r="C21" s="157"/>
      <c r="D21" s="13"/>
      <c r="E21" s="13"/>
      <c r="F21" s="13"/>
      <c r="G21" s="13"/>
      <c r="H21" s="14"/>
      <c r="I21" s="14"/>
      <c r="J21" s="14"/>
      <c r="K21" s="14"/>
      <c r="L21" s="446"/>
      <c r="M21" s="87" t="str">
        <f t="shared" si="0"/>
        <v xml:space="preserve">   </v>
      </c>
    </row>
    <row r="22" spans="1:13" x14ac:dyDescent="0.2">
      <c r="A22" s="426"/>
      <c r="B22" s="156" t="str">
        <f>Capacidades!M1218</f>
        <v xml:space="preserve">   </v>
      </c>
      <c r="C22" s="157"/>
      <c r="D22" s="13"/>
      <c r="E22" s="13"/>
      <c r="F22" s="13"/>
      <c r="G22" s="13"/>
      <c r="H22" s="14"/>
      <c r="I22" s="14"/>
      <c r="J22" s="14"/>
      <c r="K22" s="14"/>
      <c r="L22" s="446"/>
      <c r="M22" s="87" t="str">
        <f t="shared" si="0"/>
        <v xml:space="preserve">   </v>
      </c>
    </row>
    <row r="23" spans="1:13" x14ac:dyDescent="0.2">
      <c r="A23" s="426"/>
      <c r="B23" s="156" t="str">
        <f>Capacidades!M1219</f>
        <v xml:space="preserve">   </v>
      </c>
      <c r="C23" s="157"/>
      <c r="D23" s="13"/>
      <c r="E23" s="13"/>
      <c r="F23" s="13"/>
      <c r="G23" s="13"/>
      <c r="H23" s="14"/>
      <c r="I23" s="14"/>
      <c r="J23" s="14"/>
      <c r="K23" s="14"/>
      <c r="L23" s="446"/>
      <c r="M23" s="87" t="str">
        <f t="shared" si="0"/>
        <v xml:space="preserve">   </v>
      </c>
    </row>
    <row r="24" spans="1:13" x14ac:dyDescent="0.2">
      <c r="A24" s="426"/>
      <c r="B24" s="156" t="str">
        <f>Capacidades!M1220</f>
        <v xml:space="preserve">   </v>
      </c>
      <c r="C24" s="157"/>
      <c r="D24" s="13"/>
      <c r="E24" s="13"/>
      <c r="F24" s="13"/>
      <c r="G24" s="13"/>
      <c r="H24" s="14"/>
      <c r="I24" s="14"/>
      <c r="J24" s="14"/>
      <c r="K24" s="14"/>
      <c r="L24" s="446"/>
      <c r="M24" s="87" t="str">
        <f t="shared" si="0"/>
        <v xml:space="preserve">   </v>
      </c>
    </row>
    <row r="25" spans="1:13" x14ac:dyDescent="0.2">
      <c r="A25" s="426"/>
      <c r="B25" s="156" t="str">
        <f>Capacidades!M1221</f>
        <v xml:space="preserve">   </v>
      </c>
      <c r="C25" s="157"/>
      <c r="D25" s="13"/>
      <c r="E25" s="13"/>
      <c r="F25" s="13"/>
      <c r="G25" s="13"/>
      <c r="H25" s="14"/>
      <c r="I25" s="14"/>
      <c r="J25" s="14"/>
      <c r="K25" s="14"/>
      <c r="L25" s="446"/>
      <c r="M25" s="87" t="str">
        <f t="shared" si="0"/>
        <v xml:space="preserve">   </v>
      </c>
    </row>
    <row r="26" spans="1:13" x14ac:dyDescent="0.2">
      <c r="A26" s="426"/>
      <c r="B26" s="156" t="str">
        <f>Capacidades!M1222</f>
        <v xml:space="preserve">   </v>
      </c>
      <c r="C26" s="157"/>
      <c r="D26" s="13"/>
      <c r="E26" s="13"/>
      <c r="F26" s="13"/>
      <c r="G26" s="13"/>
      <c r="H26" s="14"/>
      <c r="I26" s="14"/>
      <c r="J26" s="14"/>
      <c r="K26" s="14"/>
      <c r="L26" s="446"/>
      <c r="M26" s="87" t="str">
        <f t="shared" si="0"/>
        <v xml:space="preserve">   </v>
      </c>
    </row>
    <row r="27" spans="1:13" x14ac:dyDescent="0.2">
      <c r="A27" s="427"/>
      <c r="B27" s="156" t="str">
        <f>Capacidades!M1223</f>
        <v xml:space="preserve">   </v>
      </c>
      <c r="C27" s="157"/>
      <c r="D27" s="15"/>
      <c r="E27" s="15"/>
      <c r="F27" s="15"/>
      <c r="G27" s="15"/>
      <c r="H27" s="16"/>
      <c r="I27" s="16"/>
      <c r="J27" s="16"/>
      <c r="K27" s="16"/>
      <c r="L27" s="447"/>
      <c r="M27" s="87" t="str">
        <f t="shared" si="0"/>
        <v xml:space="preserve">   </v>
      </c>
    </row>
    <row r="28" spans="1:13" x14ac:dyDescent="0.2">
      <c r="A28" s="425" t="str">
        <f>Capacidades!L1224</f>
        <v xml:space="preserve">       </v>
      </c>
      <c r="B28" s="156" t="str">
        <f>Capacidades!M1224</f>
        <v xml:space="preserve">   </v>
      </c>
      <c r="C28" s="157"/>
      <c r="D28" s="11">
        <f>Organización_Modular!F135</f>
        <v>0</v>
      </c>
      <c r="E28" s="11">
        <f>Organización_Modular!G135</f>
        <v>0</v>
      </c>
      <c r="F28" s="11">
        <f>Organización_Modular!H135</f>
        <v>0</v>
      </c>
      <c r="G28" s="11">
        <f>Organización_Modular!I135</f>
        <v>0</v>
      </c>
      <c r="H28" s="12">
        <f>SUM(F28:G28)</f>
        <v>0</v>
      </c>
      <c r="I28" s="12">
        <f>F28*16</f>
        <v>0</v>
      </c>
      <c r="J28" s="12">
        <f>G28*32</f>
        <v>0</v>
      </c>
      <c r="K28" s="12">
        <f>SUM(I28:J28)</f>
        <v>0</v>
      </c>
      <c r="L28" s="445"/>
      <c r="M28" s="87" t="str">
        <f t="shared" si="0"/>
        <v xml:space="preserve">   </v>
      </c>
    </row>
    <row r="29" spans="1:13" x14ac:dyDescent="0.2">
      <c r="A29" s="426"/>
      <c r="B29" s="156" t="str">
        <f>Capacidades!M1225</f>
        <v xml:space="preserve">   </v>
      </c>
      <c r="C29" s="157"/>
      <c r="D29" s="13"/>
      <c r="E29" s="13"/>
      <c r="F29" s="13"/>
      <c r="G29" s="13"/>
      <c r="H29" s="14"/>
      <c r="I29" s="14"/>
      <c r="J29" s="14"/>
      <c r="K29" s="14"/>
      <c r="L29" s="446"/>
      <c r="M29" s="87" t="str">
        <f t="shared" si="0"/>
        <v xml:space="preserve">   </v>
      </c>
    </row>
    <row r="30" spans="1:13" x14ac:dyDescent="0.2">
      <c r="A30" s="426"/>
      <c r="B30" s="156" t="str">
        <f>Capacidades!M1226</f>
        <v xml:space="preserve">   </v>
      </c>
      <c r="C30" s="157"/>
      <c r="D30" s="13"/>
      <c r="E30" s="13"/>
      <c r="F30" s="13"/>
      <c r="G30" s="13"/>
      <c r="H30" s="14"/>
      <c r="I30" s="14"/>
      <c r="J30" s="14"/>
      <c r="K30" s="14"/>
      <c r="L30" s="446"/>
      <c r="M30" s="87" t="str">
        <f t="shared" si="0"/>
        <v xml:space="preserve">   </v>
      </c>
    </row>
    <row r="31" spans="1:13" x14ac:dyDescent="0.2">
      <c r="A31" s="426"/>
      <c r="B31" s="156" t="str">
        <f>Capacidades!M1227</f>
        <v xml:space="preserve">   </v>
      </c>
      <c r="C31" s="157"/>
      <c r="D31" s="13"/>
      <c r="E31" s="13"/>
      <c r="F31" s="13"/>
      <c r="G31" s="13"/>
      <c r="H31" s="14"/>
      <c r="I31" s="14"/>
      <c r="J31" s="14"/>
      <c r="K31" s="14"/>
      <c r="L31" s="446"/>
      <c r="M31" s="87" t="str">
        <f t="shared" si="0"/>
        <v xml:space="preserve">   </v>
      </c>
    </row>
    <row r="32" spans="1:13" x14ac:dyDescent="0.2">
      <c r="A32" s="426"/>
      <c r="B32" s="156" t="str">
        <f>Capacidades!M1228</f>
        <v xml:space="preserve">   </v>
      </c>
      <c r="C32" s="157"/>
      <c r="D32" s="13"/>
      <c r="E32" s="13"/>
      <c r="F32" s="13"/>
      <c r="G32" s="13"/>
      <c r="H32" s="14"/>
      <c r="I32" s="14"/>
      <c r="J32" s="14"/>
      <c r="K32" s="14"/>
      <c r="L32" s="446"/>
      <c r="M32" s="87" t="str">
        <f t="shared" si="0"/>
        <v xml:space="preserve">   </v>
      </c>
    </row>
    <row r="33" spans="1:13" x14ac:dyDescent="0.2">
      <c r="A33" s="426"/>
      <c r="B33" s="156" t="str">
        <f>Capacidades!M1229</f>
        <v xml:space="preserve">   </v>
      </c>
      <c r="C33" s="157"/>
      <c r="D33" s="13"/>
      <c r="E33" s="13"/>
      <c r="F33" s="13"/>
      <c r="G33" s="13"/>
      <c r="H33" s="14"/>
      <c r="I33" s="14"/>
      <c r="J33" s="14"/>
      <c r="K33" s="14"/>
      <c r="L33" s="446"/>
      <c r="M33" s="87" t="str">
        <f t="shared" si="0"/>
        <v xml:space="preserve">   </v>
      </c>
    </row>
    <row r="34" spans="1:13" x14ac:dyDescent="0.2">
      <c r="A34" s="426"/>
      <c r="B34" s="156" t="str">
        <f>Capacidades!M1230</f>
        <v xml:space="preserve">   </v>
      </c>
      <c r="C34" s="157"/>
      <c r="D34" s="13"/>
      <c r="E34" s="13"/>
      <c r="F34" s="13"/>
      <c r="G34" s="13"/>
      <c r="H34" s="14"/>
      <c r="I34" s="14"/>
      <c r="J34" s="14"/>
      <c r="K34" s="14"/>
      <c r="L34" s="446"/>
      <c r="M34" s="87" t="str">
        <f t="shared" si="0"/>
        <v xml:space="preserve">   </v>
      </c>
    </row>
    <row r="35" spans="1:13" x14ac:dyDescent="0.2">
      <c r="A35" s="426"/>
      <c r="B35" s="156" t="str">
        <f>Capacidades!M1231</f>
        <v xml:space="preserve">   </v>
      </c>
      <c r="C35" s="157"/>
      <c r="D35" s="13"/>
      <c r="E35" s="13"/>
      <c r="F35" s="13"/>
      <c r="G35" s="13"/>
      <c r="H35" s="14"/>
      <c r="I35" s="14"/>
      <c r="J35" s="14"/>
      <c r="K35" s="14"/>
      <c r="L35" s="446"/>
      <c r="M35" s="87" t="str">
        <f t="shared" si="0"/>
        <v xml:space="preserve">   </v>
      </c>
    </row>
    <row r="36" spans="1:13" x14ac:dyDescent="0.2">
      <c r="A36" s="426"/>
      <c r="B36" s="156" t="str">
        <f>Capacidades!M1232</f>
        <v xml:space="preserve">   </v>
      </c>
      <c r="C36" s="157"/>
      <c r="D36" s="13"/>
      <c r="E36" s="13"/>
      <c r="F36" s="13"/>
      <c r="G36" s="13"/>
      <c r="H36" s="14"/>
      <c r="I36" s="14"/>
      <c r="J36" s="14"/>
      <c r="K36" s="14"/>
      <c r="L36" s="446"/>
      <c r="M36" s="87" t="str">
        <f t="shared" si="0"/>
        <v xml:space="preserve">   </v>
      </c>
    </row>
    <row r="37" spans="1:13" x14ac:dyDescent="0.2">
      <c r="A37" s="427"/>
      <c r="B37" s="156" t="str">
        <f>Capacidades!M1233</f>
        <v xml:space="preserve">   </v>
      </c>
      <c r="C37" s="157"/>
      <c r="D37" s="15"/>
      <c r="E37" s="15"/>
      <c r="F37" s="15"/>
      <c r="G37" s="15"/>
      <c r="H37" s="16"/>
      <c r="I37" s="16"/>
      <c r="J37" s="16"/>
      <c r="K37" s="16"/>
      <c r="L37" s="447"/>
      <c r="M37" s="87" t="str">
        <f t="shared" si="0"/>
        <v xml:space="preserve">   </v>
      </c>
    </row>
    <row r="38" spans="1:13" x14ac:dyDescent="0.2">
      <c r="A38" s="425" t="str">
        <f>Capacidades!L1234</f>
        <v xml:space="preserve">       </v>
      </c>
      <c r="B38" s="156" t="str">
        <f>Capacidades!M1234</f>
        <v xml:space="preserve">   </v>
      </c>
      <c r="C38" s="157"/>
      <c r="D38" s="11">
        <f>Organización_Modular!F136</f>
        <v>0</v>
      </c>
      <c r="E38" s="11">
        <f>Organización_Modular!G136</f>
        <v>0</v>
      </c>
      <c r="F38" s="11">
        <f>Organización_Modular!H136</f>
        <v>0</v>
      </c>
      <c r="G38" s="11">
        <f>Organización_Modular!I136</f>
        <v>0</v>
      </c>
      <c r="H38" s="12">
        <f>SUM(F38:G38)</f>
        <v>0</v>
      </c>
      <c r="I38" s="12">
        <f>F38*16</f>
        <v>0</v>
      </c>
      <c r="J38" s="12">
        <f>G38*32</f>
        <v>0</v>
      </c>
      <c r="K38" s="12">
        <f>SUM(I38:J38)</f>
        <v>0</v>
      </c>
      <c r="L38" s="445"/>
      <c r="M38" s="87" t="str">
        <f t="shared" si="0"/>
        <v xml:space="preserve">   </v>
      </c>
    </row>
    <row r="39" spans="1:13" x14ac:dyDescent="0.2">
      <c r="A39" s="426"/>
      <c r="B39" s="156" t="str">
        <f>Capacidades!M1235</f>
        <v xml:space="preserve">   </v>
      </c>
      <c r="C39" s="157"/>
      <c r="D39" s="13"/>
      <c r="E39" s="13"/>
      <c r="F39" s="13"/>
      <c r="G39" s="13"/>
      <c r="H39" s="14"/>
      <c r="I39" s="14"/>
      <c r="J39" s="14"/>
      <c r="K39" s="14"/>
      <c r="L39" s="446"/>
      <c r="M39" s="87" t="str">
        <f t="shared" si="0"/>
        <v xml:space="preserve">   </v>
      </c>
    </row>
    <row r="40" spans="1:13" x14ac:dyDescent="0.2">
      <c r="A40" s="426"/>
      <c r="B40" s="156" t="str">
        <f>Capacidades!M1236</f>
        <v xml:space="preserve">   </v>
      </c>
      <c r="C40" s="157"/>
      <c r="D40" s="13"/>
      <c r="E40" s="13"/>
      <c r="F40" s="13"/>
      <c r="G40" s="13"/>
      <c r="H40" s="14"/>
      <c r="I40" s="14"/>
      <c r="J40" s="14"/>
      <c r="K40" s="14"/>
      <c r="L40" s="446"/>
      <c r="M40" s="87" t="str">
        <f t="shared" si="0"/>
        <v xml:space="preserve">   </v>
      </c>
    </row>
    <row r="41" spans="1:13" x14ac:dyDescent="0.2">
      <c r="A41" s="426"/>
      <c r="B41" s="156" t="str">
        <f>Capacidades!M1237</f>
        <v xml:space="preserve">   </v>
      </c>
      <c r="C41" s="157"/>
      <c r="D41" s="13"/>
      <c r="E41" s="13"/>
      <c r="F41" s="13"/>
      <c r="G41" s="13"/>
      <c r="H41" s="14"/>
      <c r="I41" s="14"/>
      <c r="J41" s="14"/>
      <c r="K41" s="14"/>
      <c r="L41" s="446"/>
      <c r="M41" s="87" t="str">
        <f t="shared" si="0"/>
        <v xml:space="preserve">   </v>
      </c>
    </row>
    <row r="42" spans="1:13" x14ac:dyDescent="0.2">
      <c r="A42" s="426"/>
      <c r="B42" s="156" t="str">
        <f>Capacidades!M1238</f>
        <v xml:space="preserve">   </v>
      </c>
      <c r="C42" s="157"/>
      <c r="D42" s="13"/>
      <c r="E42" s="13"/>
      <c r="F42" s="13"/>
      <c r="G42" s="13"/>
      <c r="H42" s="14"/>
      <c r="I42" s="14"/>
      <c r="J42" s="14"/>
      <c r="K42" s="14"/>
      <c r="L42" s="446"/>
      <c r="M42" s="87" t="str">
        <f t="shared" si="0"/>
        <v xml:space="preserve">   </v>
      </c>
    </row>
    <row r="43" spans="1:13" x14ac:dyDescent="0.2">
      <c r="A43" s="426"/>
      <c r="B43" s="156" t="str">
        <f>Capacidades!M1239</f>
        <v xml:space="preserve">   </v>
      </c>
      <c r="C43" s="157"/>
      <c r="D43" s="13"/>
      <c r="E43" s="13"/>
      <c r="F43" s="13"/>
      <c r="G43" s="13"/>
      <c r="H43" s="14"/>
      <c r="I43" s="14"/>
      <c r="J43" s="14"/>
      <c r="K43" s="14"/>
      <c r="L43" s="446"/>
      <c r="M43" s="87" t="str">
        <f t="shared" si="0"/>
        <v xml:space="preserve">   </v>
      </c>
    </row>
    <row r="44" spans="1:13" x14ac:dyDescent="0.2">
      <c r="A44" s="426"/>
      <c r="B44" s="156" t="str">
        <f>Capacidades!M1240</f>
        <v xml:space="preserve">   </v>
      </c>
      <c r="C44" s="157"/>
      <c r="D44" s="13"/>
      <c r="E44" s="13"/>
      <c r="F44" s="13"/>
      <c r="G44" s="13"/>
      <c r="H44" s="14"/>
      <c r="I44" s="14"/>
      <c r="J44" s="14"/>
      <c r="K44" s="14"/>
      <c r="L44" s="446"/>
      <c r="M44" s="87" t="str">
        <f t="shared" si="0"/>
        <v xml:space="preserve">   </v>
      </c>
    </row>
    <row r="45" spans="1:13" x14ac:dyDescent="0.2">
      <c r="A45" s="426"/>
      <c r="B45" s="156" t="str">
        <f>Capacidades!M1241</f>
        <v xml:space="preserve">   </v>
      </c>
      <c r="C45" s="157"/>
      <c r="D45" s="13"/>
      <c r="E45" s="13"/>
      <c r="F45" s="13"/>
      <c r="G45" s="13"/>
      <c r="H45" s="14"/>
      <c r="I45" s="14"/>
      <c r="J45" s="14"/>
      <c r="K45" s="14"/>
      <c r="L45" s="446"/>
      <c r="M45" s="87" t="str">
        <f t="shared" si="0"/>
        <v xml:space="preserve">   </v>
      </c>
    </row>
    <row r="46" spans="1:13" x14ac:dyDescent="0.2">
      <c r="A46" s="426"/>
      <c r="B46" s="156" t="str">
        <f>Capacidades!M1242</f>
        <v xml:space="preserve">   </v>
      </c>
      <c r="C46" s="157"/>
      <c r="D46" s="13"/>
      <c r="E46" s="13"/>
      <c r="F46" s="13"/>
      <c r="G46" s="13"/>
      <c r="H46" s="14"/>
      <c r="I46" s="14"/>
      <c r="J46" s="14"/>
      <c r="K46" s="14"/>
      <c r="L46" s="446"/>
      <c r="M46" s="87" t="str">
        <f t="shared" si="0"/>
        <v xml:space="preserve">   </v>
      </c>
    </row>
    <row r="47" spans="1:13" x14ac:dyDescent="0.2">
      <c r="A47" s="427"/>
      <c r="B47" s="156" t="str">
        <f>Capacidades!M1243</f>
        <v xml:space="preserve">   </v>
      </c>
      <c r="C47" s="157"/>
      <c r="D47" s="15"/>
      <c r="E47" s="15"/>
      <c r="F47" s="15"/>
      <c r="G47" s="15"/>
      <c r="H47" s="16"/>
      <c r="I47" s="16"/>
      <c r="J47" s="16"/>
      <c r="K47" s="16"/>
      <c r="L47" s="447"/>
      <c r="M47" s="87" t="str">
        <f t="shared" si="0"/>
        <v xml:space="preserve">   </v>
      </c>
    </row>
    <row r="48" spans="1:13" x14ac:dyDescent="0.2">
      <c r="A48" s="425" t="str">
        <f>Capacidades!L1244</f>
        <v xml:space="preserve">       </v>
      </c>
      <c r="B48" s="156" t="str">
        <f>Capacidades!M1244</f>
        <v xml:space="preserve">   </v>
      </c>
      <c r="C48" s="157"/>
      <c r="D48" s="11">
        <f>Organización_Modular!F137</f>
        <v>0</v>
      </c>
      <c r="E48" s="11">
        <f>Organización_Modular!G137</f>
        <v>0</v>
      </c>
      <c r="F48" s="11">
        <f>Organización_Modular!H137</f>
        <v>0</v>
      </c>
      <c r="G48" s="11">
        <f>Organización_Modular!I137</f>
        <v>0</v>
      </c>
      <c r="H48" s="12">
        <f>SUM(F48:G48)</f>
        <v>0</v>
      </c>
      <c r="I48" s="12">
        <f>F48*16</f>
        <v>0</v>
      </c>
      <c r="J48" s="12">
        <f>G48*32</f>
        <v>0</v>
      </c>
      <c r="K48" s="12">
        <f>SUM(I48:J48)</f>
        <v>0</v>
      </c>
      <c r="L48" s="445"/>
      <c r="M48" s="87" t="str">
        <f t="shared" si="0"/>
        <v xml:space="preserve">   </v>
      </c>
    </row>
    <row r="49" spans="1:13" x14ac:dyDescent="0.2">
      <c r="A49" s="426"/>
      <c r="B49" s="156" t="str">
        <f>Capacidades!M1245</f>
        <v xml:space="preserve">   </v>
      </c>
      <c r="C49" s="157"/>
      <c r="D49" s="13"/>
      <c r="E49" s="13"/>
      <c r="F49" s="13"/>
      <c r="G49" s="13"/>
      <c r="H49" s="14"/>
      <c r="I49" s="14"/>
      <c r="J49" s="14"/>
      <c r="K49" s="14"/>
      <c r="L49" s="446"/>
      <c r="M49" s="87" t="str">
        <f t="shared" si="0"/>
        <v xml:space="preserve">   </v>
      </c>
    </row>
    <row r="50" spans="1:13" x14ac:dyDescent="0.2">
      <c r="A50" s="426"/>
      <c r="B50" s="156" t="str">
        <f>Capacidades!M1246</f>
        <v xml:space="preserve">   </v>
      </c>
      <c r="C50" s="157"/>
      <c r="D50" s="13"/>
      <c r="E50" s="13"/>
      <c r="F50" s="13"/>
      <c r="G50" s="13"/>
      <c r="H50" s="14"/>
      <c r="I50" s="14"/>
      <c r="J50" s="14"/>
      <c r="K50" s="14"/>
      <c r="L50" s="446"/>
      <c r="M50" s="87" t="str">
        <f t="shared" si="0"/>
        <v xml:space="preserve">   </v>
      </c>
    </row>
    <row r="51" spans="1:13" x14ac:dyDescent="0.2">
      <c r="A51" s="426"/>
      <c r="B51" s="156" t="str">
        <f>Capacidades!M1247</f>
        <v xml:space="preserve">   </v>
      </c>
      <c r="C51" s="157"/>
      <c r="D51" s="13"/>
      <c r="E51" s="13"/>
      <c r="F51" s="13"/>
      <c r="G51" s="13"/>
      <c r="H51" s="14"/>
      <c r="I51" s="14"/>
      <c r="J51" s="14"/>
      <c r="K51" s="14"/>
      <c r="L51" s="446"/>
      <c r="M51" s="87" t="str">
        <f t="shared" si="0"/>
        <v xml:space="preserve">   </v>
      </c>
    </row>
    <row r="52" spans="1:13" x14ac:dyDescent="0.2">
      <c r="A52" s="426"/>
      <c r="B52" s="156" t="str">
        <f>Capacidades!M1248</f>
        <v xml:space="preserve">   </v>
      </c>
      <c r="C52" s="157"/>
      <c r="D52" s="13"/>
      <c r="E52" s="13"/>
      <c r="F52" s="13"/>
      <c r="G52" s="13"/>
      <c r="H52" s="14"/>
      <c r="I52" s="14"/>
      <c r="J52" s="14"/>
      <c r="K52" s="14"/>
      <c r="L52" s="446"/>
      <c r="M52" s="87" t="str">
        <f t="shared" si="0"/>
        <v xml:space="preserve">   </v>
      </c>
    </row>
    <row r="53" spans="1:13" x14ac:dyDescent="0.2">
      <c r="A53" s="426"/>
      <c r="B53" s="156" t="str">
        <f>Capacidades!M1249</f>
        <v xml:space="preserve">   </v>
      </c>
      <c r="C53" s="157"/>
      <c r="D53" s="13"/>
      <c r="E53" s="13"/>
      <c r="F53" s="13"/>
      <c r="G53" s="13"/>
      <c r="H53" s="14"/>
      <c r="I53" s="14"/>
      <c r="J53" s="14"/>
      <c r="K53" s="14"/>
      <c r="L53" s="446"/>
      <c r="M53" s="87" t="str">
        <f t="shared" si="0"/>
        <v xml:space="preserve">   </v>
      </c>
    </row>
    <row r="54" spans="1:13" x14ac:dyDescent="0.2">
      <c r="A54" s="426"/>
      <c r="B54" s="156" t="str">
        <f>Capacidades!M1250</f>
        <v xml:space="preserve">   </v>
      </c>
      <c r="C54" s="157"/>
      <c r="D54" s="13"/>
      <c r="E54" s="13"/>
      <c r="F54" s="13"/>
      <c r="G54" s="13"/>
      <c r="H54" s="14"/>
      <c r="I54" s="14"/>
      <c r="J54" s="14"/>
      <c r="K54" s="14"/>
      <c r="L54" s="446"/>
      <c r="M54" s="87" t="str">
        <f t="shared" si="0"/>
        <v xml:space="preserve">   </v>
      </c>
    </row>
    <row r="55" spans="1:13" x14ac:dyDescent="0.2">
      <c r="A55" s="426"/>
      <c r="B55" s="156" t="str">
        <f>Capacidades!M1251</f>
        <v xml:space="preserve">   </v>
      </c>
      <c r="C55" s="157"/>
      <c r="D55" s="13"/>
      <c r="E55" s="13"/>
      <c r="F55" s="13"/>
      <c r="G55" s="13"/>
      <c r="H55" s="14"/>
      <c r="I55" s="14"/>
      <c r="J55" s="14"/>
      <c r="K55" s="14"/>
      <c r="L55" s="446"/>
      <c r="M55" s="87" t="str">
        <f t="shared" si="0"/>
        <v xml:space="preserve">   </v>
      </c>
    </row>
    <row r="56" spans="1:13" x14ac:dyDescent="0.2">
      <c r="A56" s="426"/>
      <c r="B56" s="156" t="str">
        <f>Capacidades!M1252</f>
        <v xml:space="preserve">   </v>
      </c>
      <c r="C56" s="157"/>
      <c r="D56" s="13"/>
      <c r="E56" s="13"/>
      <c r="F56" s="13"/>
      <c r="G56" s="13"/>
      <c r="H56" s="14"/>
      <c r="I56" s="14"/>
      <c r="J56" s="14"/>
      <c r="K56" s="14"/>
      <c r="L56" s="446"/>
      <c r="M56" s="87" t="str">
        <f t="shared" si="0"/>
        <v xml:space="preserve">   </v>
      </c>
    </row>
    <row r="57" spans="1:13" x14ac:dyDescent="0.2">
      <c r="A57" s="427"/>
      <c r="B57" s="156" t="str">
        <f>Capacidades!M1253</f>
        <v xml:space="preserve">   </v>
      </c>
      <c r="C57" s="157"/>
      <c r="D57" s="15"/>
      <c r="E57" s="15"/>
      <c r="F57" s="15"/>
      <c r="G57" s="15"/>
      <c r="H57" s="16"/>
      <c r="I57" s="16"/>
      <c r="J57" s="16"/>
      <c r="K57" s="16"/>
      <c r="L57" s="447"/>
      <c r="M57" s="87" t="str">
        <f t="shared" si="0"/>
        <v xml:space="preserve">   </v>
      </c>
    </row>
    <row r="58" spans="1:13" x14ac:dyDescent="0.2">
      <c r="A58" s="425" t="str">
        <f>Capacidades!L1254</f>
        <v xml:space="preserve">       </v>
      </c>
      <c r="B58" s="156" t="str">
        <f>Capacidades!M1254</f>
        <v xml:space="preserve">   </v>
      </c>
      <c r="C58" s="157"/>
      <c r="D58" s="11">
        <f>Organización_Modular!F138</f>
        <v>0</v>
      </c>
      <c r="E58" s="11">
        <f>Organización_Modular!G138</f>
        <v>0</v>
      </c>
      <c r="F58" s="11">
        <f>Organización_Modular!H138</f>
        <v>0</v>
      </c>
      <c r="G58" s="11">
        <f>Organización_Modular!I138</f>
        <v>0</v>
      </c>
      <c r="H58" s="12">
        <f>SUM(F58:G58)</f>
        <v>0</v>
      </c>
      <c r="I58" s="12">
        <f>F58*16</f>
        <v>0</v>
      </c>
      <c r="J58" s="12">
        <f>G58*32</f>
        <v>0</v>
      </c>
      <c r="K58" s="12">
        <f>SUM(I58:J58)</f>
        <v>0</v>
      </c>
      <c r="L58" s="445"/>
      <c r="M58" s="87" t="str">
        <f t="shared" si="0"/>
        <v xml:space="preserve">   </v>
      </c>
    </row>
    <row r="59" spans="1:13" x14ac:dyDescent="0.2">
      <c r="A59" s="426"/>
      <c r="B59" s="156" t="str">
        <f>Capacidades!M1255</f>
        <v xml:space="preserve">   </v>
      </c>
      <c r="C59" s="157"/>
      <c r="D59" s="13"/>
      <c r="E59" s="13"/>
      <c r="F59" s="13"/>
      <c r="G59" s="13"/>
      <c r="H59" s="14"/>
      <c r="I59" s="14"/>
      <c r="J59" s="14"/>
      <c r="K59" s="14"/>
      <c r="L59" s="446"/>
      <c r="M59" s="87" t="str">
        <f t="shared" si="0"/>
        <v xml:space="preserve">   </v>
      </c>
    </row>
    <row r="60" spans="1:13" x14ac:dyDescent="0.2">
      <c r="A60" s="426"/>
      <c r="B60" s="156" t="str">
        <f>Capacidades!M1256</f>
        <v xml:space="preserve">   </v>
      </c>
      <c r="C60" s="157"/>
      <c r="D60" s="13"/>
      <c r="E60" s="13"/>
      <c r="F60" s="13"/>
      <c r="G60" s="13"/>
      <c r="H60" s="14"/>
      <c r="I60" s="14"/>
      <c r="J60" s="14"/>
      <c r="K60" s="14"/>
      <c r="L60" s="446"/>
      <c r="M60" s="87" t="str">
        <f t="shared" si="0"/>
        <v xml:space="preserve">   </v>
      </c>
    </row>
    <row r="61" spans="1:13" x14ac:dyDescent="0.2">
      <c r="A61" s="426"/>
      <c r="B61" s="156" t="str">
        <f>Capacidades!M1257</f>
        <v xml:space="preserve">   </v>
      </c>
      <c r="C61" s="157"/>
      <c r="D61" s="13"/>
      <c r="E61" s="13"/>
      <c r="F61" s="13"/>
      <c r="G61" s="13"/>
      <c r="H61" s="14"/>
      <c r="I61" s="14"/>
      <c r="J61" s="14"/>
      <c r="K61" s="14"/>
      <c r="L61" s="446"/>
      <c r="M61" s="87" t="str">
        <f t="shared" si="0"/>
        <v xml:space="preserve">   </v>
      </c>
    </row>
    <row r="62" spans="1:13" x14ac:dyDescent="0.2">
      <c r="A62" s="426"/>
      <c r="B62" s="156" t="str">
        <f>Capacidades!M1258</f>
        <v xml:space="preserve">   </v>
      </c>
      <c r="C62" s="157"/>
      <c r="D62" s="13"/>
      <c r="E62" s="13"/>
      <c r="F62" s="13"/>
      <c r="G62" s="13"/>
      <c r="H62" s="14"/>
      <c r="I62" s="14"/>
      <c r="J62" s="14"/>
      <c r="K62" s="14"/>
      <c r="L62" s="446"/>
      <c r="M62" s="87" t="str">
        <f t="shared" si="0"/>
        <v xml:space="preserve">   </v>
      </c>
    </row>
    <row r="63" spans="1:13" x14ac:dyDescent="0.2">
      <c r="A63" s="426"/>
      <c r="B63" s="156" t="str">
        <f>Capacidades!M1259</f>
        <v xml:space="preserve">   </v>
      </c>
      <c r="C63" s="157"/>
      <c r="D63" s="13"/>
      <c r="E63" s="13"/>
      <c r="F63" s="13"/>
      <c r="G63" s="13"/>
      <c r="H63" s="14"/>
      <c r="I63" s="14"/>
      <c r="J63" s="14"/>
      <c r="K63" s="14"/>
      <c r="L63" s="446"/>
      <c r="M63" s="87" t="str">
        <f t="shared" si="0"/>
        <v xml:space="preserve">   </v>
      </c>
    </row>
    <row r="64" spans="1:13" x14ac:dyDescent="0.2">
      <c r="A64" s="426"/>
      <c r="B64" s="156" t="str">
        <f>Capacidades!M1260</f>
        <v xml:space="preserve">   </v>
      </c>
      <c r="C64" s="157"/>
      <c r="D64" s="13"/>
      <c r="E64" s="13"/>
      <c r="F64" s="13"/>
      <c r="G64" s="13"/>
      <c r="H64" s="14"/>
      <c r="I64" s="14"/>
      <c r="J64" s="14"/>
      <c r="K64" s="14"/>
      <c r="L64" s="446"/>
      <c r="M64" s="87" t="str">
        <f t="shared" si="0"/>
        <v xml:space="preserve">   </v>
      </c>
    </row>
    <row r="65" spans="1:13" x14ac:dyDescent="0.2">
      <c r="A65" s="426"/>
      <c r="B65" s="156" t="str">
        <f>Capacidades!M1261</f>
        <v xml:space="preserve">   </v>
      </c>
      <c r="C65" s="157"/>
      <c r="D65" s="13"/>
      <c r="E65" s="13"/>
      <c r="F65" s="13"/>
      <c r="G65" s="13"/>
      <c r="H65" s="14"/>
      <c r="I65" s="14"/>
      <c r="J65" s="14"/>
      <c r="K65" s="14"/>
      <c r="L65" s="446"/>
      <c r="M65" s="87" t="str">
        <f t="shared" si="0"/>
        <v xml:space="preserve">   </v>
      </c>
    </row>
    <row r="66" spans="1:13" x14ac:dyDescent="0.2">
      <c r="A66" s="426"/>
      <c r="B66" s="156" t="str">
        <f>Capacidades!M1262</f>
        <v xml:space="preserve">   </v>
      </c>
      <c r="C66" s="157"/>
      <c r="D66" s="13"/>
      <c r="E66" s="13"/>
      <c r="F66" s="13"/>
      <c r="G66" s="13"/>
      <c r="H66" s="14"/>
      <c r="I66" s="14"/>
      <c r="J66" s="14"/>
      <c r="K66" s="14"/>
      <c r="L66" s="446"/>
      <c r="M66" s="87" t="str">
        <f t="shared" si="0"/>
        <v xml:space="preserve">   </v>
      </c>
    </row>
    <row r="67" spans="1:13" x14ac:dyDescent="0.2">
      <c r="A67" s="427"/>
      <c r="B67" s="156" t="str">
        <f>Capacidades!M1263</f>
        <v xml:space="preserve">   </v>
      </c>
      <c r="C67" s="157"/>
      <c r="D67" s="15"/>
      <c r="E67" s="15"/>
      <c r="F67" s="15"/>
      <c r="G67" s="15"/>
      <c r="H67" s="16"/>
      <c r="I67" s="16"/>
      <c r="J67" s="16"/>
      <c r="K67" s="16"/>
      <c r="L67" s="447"/>
      <c r="M67" s="87" t="str">
        <f t="shared" si="0"/>
        <v xml:space="preserve">   </v>
      </c>
    </row>
    <row r="68" spans="1:13" x14ac:dyDescent="0.2">
      <c r="A68" s="425" t="str">
        <f>Capacidades!L1264</f>
        <v xml:space="preserve">       </v>
      </c>
      <c r="B68" s="156" t="str">
        <f>Capacidades!M1264</f>
        <v xml:space="preserve">   </v>
      </c>
      <c r="C68" s="157"/>
      <c r="D68" s="11">
        <f>Organización_Modular!F139</f>
        <v>0</v>
      </c>
      <c r="E68" s="11">
        <f>Organización_Modular!G139</f>
        <v>0</v>
      </c>
      <c r="F68" s="11">
        <f>Organización_Modular!H139</f>
        <v>0</v>
      </c>
      <c r="G68" s="11">
        <f>Organización_Modular!I139</f>
        <v>0</v>
      </c>
      <c r="H68" s="12">
        <f>SUM(F68:G68)</f>
        <v>0</v>
      </c>
      <c r="I68" s="12">
        <f>F68*16</f>
        <v>0</v>
      </c>
      <c r="J68" s="12">
        <f>G68*32</f>
        <v>0</v>
      </c>
      <c r="K68" s="12">
        <f>SUM(I68:J68)</f>
        <v>0</v>
      </c>
      <c r="L68" s="445"/>
      <c r="M68" s="87" t="str">
        <f t="shared" si="0"/>
        <v xml:space="preserve">   </v>
      </c>
    </row>
    <row r="69" spans="1:13" x14ac:dyDescent="0.2">
      <c r="A69" s="426"/>
      <c r="B69" s="156" t="str">
        <f>Capacidades!M1265</f>
        <v xml:space="preserve">   </v>
      </c>
      <c r="C69" s="157"/>
      <c r="D69" s="13"/>
      <c r="E69" s="13"/>
      <c r="F69" s="13"/>
      <c r="G69" s="13"/>
      <c r="H69" s="14"/>
      <c r="I69" s="14"/>
      <c r="J69" s="14"/>
      <c r="K69" s="14"/>
      <c r="L69" s="446"/>
      <c r="M69" s="87" t="str">
        <f t="shared" si="0"/>
        <v xml:space="preserve">   </v>
      </c>
    </row>
    <row r="70" spans="1:13" x14ac:dyDescent="0.2">
      <c r="A70" s="426"/>
      <c r="B70" s="156" t="str">
        <f>Capacidades!M1266</f>
        <v xml:space="preserve">   </v>
      </c>
      <c r="C70" s="157"/>
      <c r="D70" s="13"/>
      <c r="E70" s="13"/>
      <c r="F70" s="13"/>
      <c r="G70" s="13"/>
      <c r="H70" s="14"/>
      <c r="I70" s="14"/>
      <c r="J70" s="14"/>
      <c r="K70" s="14"/>
      <c r="L70" s="446"/>
      <c r="M70" s="87" t="str">
        <f t="shared" si="0"/>
        <v xml:space="preserve">   </v>
      </c>
    </row>
    <row r="71" spans="1:13" x14ac:dyDescent="0.2">
      <c r="A71" s="426"/>
      <c r="B71" s="156" t="str">
        <f>Capacidades!M1267</f>
        <v xml:space="preserve">   </v>
      </c>
      <c r="C71" s="157"/>
      <c r="D71" s="13"/>
      <c r="E71" s="13"/>
      <c r="F71" s="13"/>
      <c r="G71" s="13"/>
      <c r="H71" s="14"/>
      <c r="I71" s="14"/>
      <c r="J71" s="14"/>
      <c r="K71" s="14"/>
      <c r="L71" s="446"/>
      <c r="M71" s="87" t="str">
        <f t="shared" si="0"/>
        <v xml:space="preserve">   </v>
      </c>
    </row>
    <row r="72" spans="1:13" x14ac:dyDescent="0.2">
      <c r="A72" s="426"/>
      <c r="B72" s="156" t="str">
        <f>Capacidades!M1268</f>
        <v xml:space="preserve">   </v>
      </c>
      <c r="C72" s="157"/>
      <c r="D72" s="13"/>
      <c r="E72" s="13"/>
      <c r="F72" s="13"/>
      <c r="G72" s="13"/>
      <c r="H72" s="14"/>
      <c r="I72" s="14"/>
      <c r="J72" s="14"/>
      <c r="K72" s="14"/>
      <c r="L72" s="446"/>
      <c r="M72" s="87" t="str">
        <f t="shared" si="0"/>
        <v xml:space="preserve">   </v>
      </c>
    </row>
    <row r="73" spans="1:13" x14ac:dyDescent="0.2">
      <c r="A73" s="426"/>
      <c r="B73" s="156" t="str">
        <f>Capacidades!M1269</f>
        <v xml:space="preserve">   </v>
      </c>
      <c r="C73" s="157"/>
      <c r="D73" s="13"/>
      <c r="E73" s="13"/>
      <c r="F73" s="13"/>
      <c r="G73" s="13"/>
      <c r="H73" s="14"/>
      <c r="I73" s="14"/>
      <c r="J73" s="14"/>
      <c r="K73" s="14"/>
      <c r="L73" s="446"/>
      <c r="M73" s="87" t="str">
        <f t="shared" si="0"/>
        <v xml:space="preserve">   </v>
      </c>
    </row>
    <row r="74" spans="1:13" x14ac:dyDescent="0.2">
      <c r="A74" s="426"/>
      <c r="B74" s="156" t="str">
        <f>Capacidades!M1270</f>
        <v xml:space="preserve">   </v>
      </c>
      <c r="C74" s="157"/>
      <c r="D74" s="13"/>
      <c r="E74" s="13"/>
      <c r="F74" s="13"/>
      <c r="G74" s="13"/>
      <c r="H74" s="14"/>
      <c r="I74" s="14"/>
      <c r="J74" s="14"/>
      <c r="K74" s="14"/>
      <c r="L74" s="446"/>
      <c r="M74" s="87" t="str">
        <f t="shared" si="0"/>
        <v xml:space="preserve">   </v>
      </c>
    </row>
    <row r="75" spans="1:13" x14ac:dyDescent="0.2">
      <c r="A75" s="426"/>
      <c r="B75" s="156" t="str">
        <f>Capacidades!M1271</f>
        <v xml:space="preserve">   </v>
      </c>
      <c r="C75" s="157"/>
      <c r="D75" s="13"/>
      <c r="E75" s="13"/>
      <c r="F75" s="13"/>
      <c r="G75" s="13"/>
      <c r="H75" s="14"/>
      <c r="I75" s="14"/>
      <c r="J75" s="14"/>
      <c r="K75" s="14"/>
      <c r="L75" s="446"/>
      <c r="M75" s="87" t="str">
        <f t="shared" si="0"/>
        <v xml:space="preserve">   </v>
      </c>
    </row>
    <row r="76" spans="1:13" x14ac:dyDescent="0.2">
      <c r="A76" s="426"/>
      <c r="B76" s="156" t="str">
        <f>Capacidades!M1272</f>
        <v xml:space="preserve">   </v>
      </c>
      <c r="C76" s="157"/>
      <c r="D76" s="13"/>
      <c r="E76" s="13"/>
      <c r="F76" s="13"/>
      <c r="G76" s="13"/>
      <c r="H76" s="14"/>
      <c r="I76" s="14"/>
      <c r="J76" s="14"/>
      <c r="K76" s="14"/>
      <c r="L76" s="446"/>
      <c r="M76" s="87" t="str">
        <f t="shared" si="0"/>
        <v xml:space="preserve">   </v>
      </c>
    </row>
    <row r="77" spans="1:13" x14ac:dyDescent="0.2">
      <c r="A77" s="427"/>
      <c r="B77" s="156" t="str">
        <f>Capacidades!M1273</f>
        <v xml:space="preserve">   </v>
      </c>
      <c r="C77" s="157"/>
      <c r="D77" s="15"/>
      <c r="E77" s="15"/>
      <c r="F77" s="15"/>
      <c r="G77" s="15"/>
      <c r="H77" s="16"/>
      <c r="I77" s="16"/>
      <c r="J77" s="16"/>
      <c r="K77" s="16"/>
      <c r="L77" s="447"/>
      <c r="M77" s="87" t="str">
        <f t="shared" si="0"/>
        <v xml:space="preserve">   </v>
      </c>
    </row>
    <row r="78" spans="1:13" x14ac:dyDescent="0.2">
      <c r="A78" s="425" t="str">
        <f>Capacidades!L1274</f>
        <v xml:space="preserve">       </v>
      </c>
      <c r="B78" s="156" t="str">
        <f>Capacidades!M1274</f>
        <v xml:space="preserve">   </v>
      </c>
      <c r="C78" s="157"/>
      <c r="D78" s="11">
        <f>Organización_Modular!F140</f>
        <v>0</v>
      </c>
      <c r="E78" s="11">
        <f>Organización_Modular!G140</f>
        <v>0</v>
      </c>
      <c r="F78" s="11">
        <f>Organización_Modular!H140</f>
        <v>0</v>
      </c>
      <c r="G78" s="11">
        <f>Organización_Modular!I140</f>
        <v>0</v>
      </c>
      <c r="H78" s="12">
        <f>SUM(F78:G78)</f>
        <v>0</v>
      </c>
      <c r="I78" s="12">
        <f>F78*16</f>
        <v>0</v>
      </c>
      <c r="J78" s="12">
        <f>G78*32</f>
        <v>0</v>
      </c>
      <c r="K78" s="12">
        <f>SUM(I78:J78)</f>
        <v>0</v>
      </c>
      <c r="L78" s="445"/>
      <c r="M78" s="87" t="str">
        <f t="shared" si="0"/>
        <v xml:space="preserve">   </v>
      </c>
    </row>
    <row r="79" spans="1:13" x14ac:dyDescent="0.2">
      <c r="A79" s="426"/>
      <c r="B79" s="156" t="str">
        <f>Capacidades!M1275</f>
        <v xml:space="preserve">   </v>
      </c>
      <c r="C79" s="157"/>
      <c r="D79" s="13"/>
      <c r="E79" s="13"/>
      <c r="F79" s="13"/>
      <c r="G79" s="13"/>
      <c r="H79" s="14"/>
      <c r="I79" s="14"/>
      <c r="J79" s="14"/>
      <c r="K79" s="14"/>
      <c r="L79" s="446"/>
      <c r="M79" s="87" t="str">
        <f t="shared" si="0"/>
        <v xml:space="preserve">   </v>
      </c>
    </row>
    <row r="80" spans="1:13" x14ac:dyDescent="0.2">
      <c r="A80" s="426"/>
      <c r="B80" s="156" t="str">
        <f>Capacidades!M1276</f>
        <v xml:space="preserve">   </v>
      </c>
      <c r="C80" s="157"/>
      <c r="D80" s="13"/>
      <c r="E80" s="13"/>
      <c r="F80" s="13"/>
      <c r="G80" s="13"/>
      <c r="H80" s="14"/>
      <c r="I80" s="14"/>
      <c r="J80" s="14"/>
      <c r="K80" s="14"/>
      <c r="L80" s="446"/>
      <c r="M80" s="87" t="str">
        <f t="shared" si="0"/>
        <v xml:space="preserve">   </v>
      </c>
    </row>
    <row r="81" spans="1:13" x14ac:dyDescent="0.2">
      <c r="A81" s="426"/>
      <c r="B81" s="156" t="str">
        <f>Capacidades!M1277</f>
        <v xml:space="preserve">   </v>
      </c>
      <c r="C81" s="157"/>
      <c r="D81" s="13"/>
      <c r="E81" s="13"/>
      <c r="F81" s="13"/>
      <c r="G81" s="13"/>
      <c r="H81" s="14"/>
      <c r="I81" s="14"/>
      <c r="J81" s="14"/>
      <c r="K81" s="14"/>
      <c r="L81" s="446"/>
      <c r="M81" s="87" t="str">
        <f t="shared" si="0"/>
        <v xml:space="preserve">   </v>
      </c>
    </row>
    <row r="82" spans="1:13" x14ac:dyDescent="0.2">
      <c r="A82" s="426"/>
      <c r="B82" s="156" t="str">
        <f>Capacidades!M1278</f>
        <v xml:space="preserve">   </v>
      </c>
      <c r="C82" s="157"/>
      <c r="D82" s="13"/>
      <c r="E82" s="13"/>
      <c r="F82" s="13"/>
      <c r="G82" s="13"/>
      <c r="H82" s="14"/>
      <c r="I82" s="14"/>
      <c r="J82" s="14"/>
      <c r="K82" s="14"/>
      <c r="L82" s="446"/>
      <c r="M82" s="87" t="str">
        <f t="shared" si="0"/>
        <v xml:space="preserve">   </v>
      </c>
    </row>
    <row r="83" spans="1:13" x14ac:dyDescent="0.2">
      <c r="A83" s="426"/>
      <c r="B83" s="156" t="str">
        <f>Capacidades!M1279</f>
        <v xml:space="preserve">   </v>
      </c>
      <c r="C83" s="157"/>
      <c r="D83" s="13"/>
      <c r="E83" s="13"/>
      <c r="F83" s="13"/>
      <c r="G83" s="13"/>
      <c r="H83" s="14"/>
      <c r="I83" s="14"/>
      <c r="J83" s="14"/>
      <c r="K83" s="14"/>
      <c r="L83" s="446"/>
      <c r="M83" s="87" t="str">
        <f t="shared" ref="M83:M146" si="1">B83</f>
        <v xml:space="preserve">   </v>
      </c>
    </row>
    <row r="84" spans="1:13" x14ac:dyDescent="0.2">
      <c r="A84" s="426"/>
      <c r="B84" s="156" t="str">
        <f>Capacidades!M1280</f>
        <v xml:space="preserve">   </v>
      </c>
      <c r="C84" s="157"/>
      <c r="D84" s="13"/>
      <c r="E84" s="13"/>
      <c r="F84" s="13"/>
      <c r="G84" s="13"/>
      <c r="H84" s="14"/>
      <c r="I84" s="14"/>
      <c r="J84" s="14"/>
      <c r="K84" s="14"/>
      <c r="L84" s="446"/>
      <c r="M84" s="87" t="str">
        <f t="shared" si="1"/>
        <v xml:space="preserve">   </v>
      </c>
    </row>
    <row r="85" spans="1:13" x14ac:dyDescent="0.2">
      <c r="A85" s="426"/>
      <c r="B85" s="156" t="str">
        <f>Capacidades!M1281</f>
        <v xml:space="preserve">   </v>
      </c>
      <c r="C85" s="157"/>
      <c r="D85" s="13"/>
      <c r="E85" s="13"/>
      <c r="F85" s="13"/>
      <c r="G85" s="13"/>
      <c r="H85" s="14"/>
      <c r="I85" s="14"/>
      <c r="J85" s="14"/>
      <c r="K85" s="14"/>
      <c r="L85" s="446"/>
      <c r="M85" s="87" t="str">
        <f t="shared" si="1"/>
        <v xml:space="preserve">   </v>
      </c>
    </row>
    <row r="86" spans="1:13" x14ac:dyDescent="0.2">
      <c r="A86" s="426"/>
      <c r="B86" s="156" t="str">
        <f>Capacidades!M1282</f>
        <v xml:space="preserve">   </v>
      </c>
      <c r="C86" s="157"/>
      <c r="D86" s="13"/>
      <c r="E86" s="13"/>
      <c r="F86" s="13"/>
      <c r="G86" s="13"/>
      <c r="H86" s="14"/>
      <c r="I86" s="14"/>
      <c r="J86" s="14"/>
      <c r="K86" s="14"/>
      <c r="L86" s="446"/>
      <c r="M86" s="87" t="str">
        <f t="shared" si="1"/>
        <v xml:space="preserve">   </v>
      </c>
    </row>
    <row r="87" spans="1:13" x14ac:dyDescent="0.2">
      <c r="A87" s="427"/>
      <c r="B87" s="156" t="str">
        <f>Capacidades!M1283</f>
        <v xml:space="preserve">   </v>
      </c>
      <c r="C87" s="157"/>
      <c r="D87" s="15"/>
      <c r="E87" s="15"/>
      <c r="F87" s="15"/>
      <c r="G87" s="15"/>
      <c r="H87" s="16"/>
      <c r="I87" s="16"/>
      <c r="J87" s="16"/>
      <c r="K87" s="16"/>
      <c r="L87" s="447"/>
      <c r="M87" s="87" t="str">
        <f t="shared" si="1"/>
        <v xml:space="preserve">   </v>
      </c>
    </row>
    <row r="88" spans="1:13" x14ac:dyDescent="0.2">
      <c r="A88" s="425" t="str">
        <f>Capacidades!L1284</f>
        <v xml:space="preserve">       </v>
      </c>
      <c r="B88" s="156" t="str">
        <f>Capacidades!M1284</f>
        <v xml:space="preserve">   </v>
      </c>
      <c r="C88" s="157"/>
      <c r="D88" s="11">
        <f>Organización_Modular!F141</f>
        <v>0</v>
      </c>
      <c r="E88" s="11">
        <f>Organización_Modular!G141</f>
        <v>0</v>
      </c>
      <c r="F88" s="11">
        <f>Organización_Modular!H141</f>
        <v>0</v>
      </c>
      <c r="G88" s="11">
        <f>Organización_Modular!I141</f>
        <v>0</v>
      </c>
      <c r="H88" s="12">
        <f>SUM(F88:G88)</f>
        <v>0</v>
      </c>
      <c r="I88" s="12">
        <f>F88*16</f>
        <v>0</v>
      </c>
      <c r="J88" s="12">
        <f>G88*32</f>
        <v>0</v>
      </c>
      <c r="K88" s="12">
        <f>SUM(I88:J88)</f>
        <v>0</v>
      </c>
      <c r="L88" s="445"/>
      <c r="M88" s="87" t="str">
        <f t="shared" si="1"/>
        <v xml:space="preserve">   </v>
      </c>
    </row>
    <row r="89" spans="1:13" x14ac:dyDescent="0.2">
      <c r="A89" s="426"/>
      <c r="B89" s="156" t="str">
        <f>Capacidades!M1285</f>
        <v xml:space="preserve">   </v>
      </c>
      <c r="C89" s="157"/>
      <c r="D89" s="13"/>
      <c r="E89" s="13"/>
      <c r="F89" s="13"/>
      <c r="G89" s="13"/>
      <c r="H89" s="14"/>
      <c r="I89" s="14"/>
      <c r="J89" s="14"/>
      <c r="K89" s="14"/>
      <c r="L89" s="446"/>
      <c r="M89" s="87" t="str">
        <f t="shared" si="1"/>
        <v xml:space="preserve">   </v>
      </c>
    </row>
    <row r="90" spans="1:13" x14ac:dyDescent="0.2">
      <c r="A90" s="426"/>
      <c r="B90" s="156" t="str">
        <f>Capacidades!M1286</f>
        <v xml:space="preserve">   </v>
      </c>
      <c r="C90" s="157"/>
      <c r="D90" s="13"/>
      <c r="E90" s="13"/>
      <c r="F90" s="13"/>
      <c r="G90" s="13"/>
      <c r="H90" s="14"/>
      <c r="I90" s="14"/>
      <c r="J90" s="14"/>
      <c r="K90" s="14"/>
      <c r="L90" s="446"/>
      <c r="M90" s="87" t="str">
        <f t="shared" si="1"/>
        <v xml:space="preserve">   </v>
      </c>
    </row>
    <row r="91" spans="1:13" x14ac:dyDescent="0.2">
      <c r="A91" s="426"/>
      <c r="B91" s="156" t="str">
        <f>Capacidades!M1287</f>
        <v xml:space="preserve">   </v>
      </c>
      <c r="C91" s="157"/>
      <c r="D91" s="13"/>
      <c r="E91" s="13"/>
      <c r="F91" s="13"/>
      <c r="G91" s="13"/>
      <c r="H91" s="14"/>
      <c r="I91" s="14"/>
      <c r="J91" s="14"/>
      <c r="K91" s="14"/>
      <c r="L91" s="446"/>
      <c r="M91" s="87" t="str">
        <f t="shared" si="1"/>
        <v xml:space="preserve">   </v>
      </c>
    </row>
    <row r="92" spans="1:13" x14ac:dyDescent="0.2">
      <c r="A92" s="426"/>
      <c r="B92" s="156" t="str">
        <f>Capacidades!M1288</f>
        <v xml:space="preserve">   </v>
      </c>
      <c r="C92" s="157"/>
      <c r="D92" s="13"/>
      <c r="E92" s="13"/>
      <c r="F92" s="13"/>
      <c r="G92" s="13"/>
      <c r="H92" s="14"/>
      <c r="I92" s="14"/>
      <c r="J92" s="14"/>
      <c r="K92" s="14"/>
      <c r="L92" s="446"/>
      <c r="M92" s="87" t="str">
        <f t="shared" si="1"/>
        <v xml:space="preserve">   </v>
      </c>
    </row>
    <row r="93" spans="1:13" x14ac:dyDescent="0.2">
      <c r="A93" s="426"/>
      <c r="B93" s="156" t="str">
        <f>Capacidades!M1289</f>
        <v xml:space="preserve">   </v>
      </c>
      <c r="C93" s="157"/>
      <c r="D93" s="13"/>
      <c r="E93" s="13"/>
      <c r="F93" s="13"/>
      <c r="G93" s="13"/>
      <c r="H93" s="14"/>
      <c r="I93" s="14"/>
      <c r="J93" s="14"/>
      <c r="K93" s="14"/>
      <c r="L93" s="446"/>
      <c r="M93" s="87" t="str">
        <f t="shared" si="1"/>
        <v xml:space="preserve">   </v>
      </c>
    </row>
    <row r="94" spans="1:13" x14ac:dyDescent="0.2">
      <c r="A94" s="426"/>
      <c r="B94" s="156" t="str">
        <f>Capacidades!M1290</f>
        <v xml:space="preserve">   </v>
      </c>
      <c r="C94" s="157"/>
      <c r="D94" s="13"/>
      <c r="E94" s="13"/>
      <c r="F94" s="13"/>
      <c r="G94" s="13"/>
      <c r="H94" s="14"/>
      <c r="I94" s="14"/>
      <c r="J94" s="14"/>
      <c r="K94" s="14"/>
      <c r="L94" s="446"/>
      <c r="M94" s="87" t="str">
        <f t="shared" si="1"/>
        <v xml:space="preserve">   </v>
      </c>
    </row>
    <row r="95" spans="1:13" x14ac:dyDescent="0.2">
      <c r="A95" s="426"/>
      <c r="B95" s="156" t="str">
        <f>Capacidades!M1291</f>
        <v xml:space="preserve">   </v>
      </c>
      <c r="C95" s="157"/>
      <c r="D95" s="13"/>
      <c r="E95" s="13"/>
      <c r="F95" s="13"/>
      <c r="G95" s="13"/>
      <c r="H95" s="14"/>
      <c r="I95" s="14"/>
      <c r="J95" s="14"/>
      <c r="K95" s="14"/>
      <c r="L95" s="446"/>
      <c r="M95" s="87" t="str">
        <f t="shared" si="1"/>
        <v xml:space="preserve">   </v>
      </c>
    </row>
    <row r="96" spans="1:13" x14ac:dyDescent="0.2">
      <c r="A96" s="426"/>
      <c r="B96" s="156" t="str">
        <f>Capacidades!M1292</f>
        <v xml:space="preserve">   </v>
      </c>
      <c r="C96" s="157"/>
      <c r="D96" s="13"/>
      <c r="E96" s="13"/>
      <c r="F96" s="13"/>
      <c r="G96" s="13"/>
      <c r="H96" s="14"/>
      <c r="I96" s="14"/>
      <c r="J96" s="14"/>
      <c r="K96" s="14"/>
      <c r="L96" s="446"/>
      <c r="M96" s="87" t="str">
        <f t="shared" si="1"/>
        <v xml:space="preserve">   </v>
      </c>
    </row>
    <row r="97" spans="1:13" x14ac:dyDescent="0.2">
      <c r="A97" s="427"/>
      <c r="B97" s="156" t="str">
        <f>Capacidades!M1293</f>
        <v xml:space="preserve">   </v>
      </c>
      <c r="C97" s="157"/>
      <c r="D97" s="15"/>
      <c r="E97" s="15"/>
      <c r="F97" s="15"/>
      <c r="G97" s="15"/>
      <c r="H97" s="16"/>
      <c r="I97" s="16"/>
      <c r="J97" s="16"/>
      <c r="K97" s="16"/>
      <c r="L97" s="447"/>
      <c r="M97" s="87" t="str">
        <f t="shared" si="1"/>
        <v xml:space="preserve">   </v>
      </c>
    </row>
    <row r="98" spans="1:13" x14ac:dyDescent="0.2">
      <c r="A98" s="425" t="str">
        <f>Capacidades!L1294</f>
        <v xml:space="preserve">       </v>
      </c>
      <c r="B98" s="156" t="str">
        <f>Capacidades!M1294</f>
        <v xml:space="preserve">   </v>
      </c>
      <c r="C98" s="157"/>
      <c r="D98" s="11">
        <f>Organización_Modular!F142</f>
        <v>0</v>
      </c>
      <c r="E98" s="11">
        <f>Organización_Modular!G142</f>
        <v>0</v>
      </c>
      <c r="F98" s="11">
        <f>Organización_Modular!H142</f>
        <v>0</v>
      </c>
      <c r="G98" s="11">
        <f>Organización_Modular!I142</f>
        <v>0</v>
      </c>
      <c r="H98" s="12">
        <f>SUM(F98:G98)</f>
        <v>0</v>
      </c>
      <c r="I98" s="12">
        <f>F98*16</f>
        <v>0</v>
      </c>
      <c r="J98" s="12">
        <f>G98*32</f>
        <v>0</v>
      </c>
      <c r="K98" s="12">
        <f>SUM(I98:J98)</f>
        <v>0</v>
      </c>
      <c r="L98" s="445"/>
      <c r="M98" s="87" t="str">
        <f t="shared" si="1"/>
        <v xml:space="preserve">   </v>
      </c>
    </row>
    <row r="99" spans="1:13" x14ac:dyDescent="0.2">
      <c r="A99" s="426"/>
      <c r="B99" s="156" t="str">
        <f>Capacidades!M1295</f>
        <v xml:space="preserve">   </v>
      </c>
      <c r="C99" s="157"/>
      <c r="D99" s="13"/>
      <c r="E99" s="13"/>
      <c r="F99" s="13"/>
      <c r="G99" s="13"/>
      <c r="H99" s="14"/>
      <c r="I99" s="14"/>
      <c r="J99" s="14"/>
      <c r="K99" s="14"/>
      <c r="L99" s="446"/>
      <c r="M99" s="87" t="str">
        <f t="shared" si="1"/>
        <v xml:space="preserve">   </v>
      </c>
    </row>
    <row r="100" spans="1:13" x14ac:dyDescent="0.2">
      <c r="A100" s="426"/>
      <c r="B100" s="156" t="str">
        <f>Capacidades!M1296</f>
        <v xml:space="preserve">   </v>
      </c>
      <c r="C100" s="157"/>
      <c r="D100" s="13"/>
      <c r="E100" s="13"/>
      <c r="F100" s="13"/>
      <c r="G100" s="13"/>
      <c r="H100" s="14"/>
      <c r="I100" s="14"/>
      <c r="J100" s="14"/>
      <c r="K100" s="14"/>
      <c r="L100" s="446"/>
      <c r="M100" s="87" t="str">
        <f t="shared" si="1"/>
        <v xml:space="preserve">   </v>
      </c>
    </row>
    <row r="101" spans="1:13" x14ac:dyDescent="0.2">
      <c r="A101" s="426"/>
      <c r="B101" s="156" t="str">
        <f>Capacidades!M1297</f>
        <v xml:space="preserve">   </v>
      </c>
      <c r="C101" s="157"/>
      <c r="D101" s="13"/>
      <c r="E101" s="13"/>
      <c r="F101" s="13"/>
      <c r="G101" s="13"/>
      <c r="H101" s="14"/>
      <c r="I101" s="14"/>
      <c r="J101" s="14"/>
      <c r="K101" s="14"/>
      <c r="L101" s="446"/>
      <c r="M101" s="87" t="str">
        <f t="shared" si="1"/>
        <v xml:space="preserve">   </v>
      </c>
    </row>
    <row r="102" spans="1:13" x14ac:dyDescent="0.2">
      <c r="A102" s="426"/>
      <c r="B102" s="156" t="str">
        <f>Capacidades!M1298</f>
        <v xml:space="preserve">   </v>
      </c>
      <c r="C102" s="157"/>
      <c r="D102" s="13"/>
      <c r="E102" s="13"/>
      <c r="F102" s="13"/>
      <c r="G102" s="13"/>
      <c r="H102" s="14"/>
      <c r="I102" s="14"/>
      <c r="J102" s="14"/>
      <c r="K102" s="14"/>
      <c r="L102" s="446"/>
      <c r="M102" s="87" t="str">
        <f t="shared" si="1"/>
        <v xml:space="preserve">   </v>
      </c>
    </row>
    <row r="103" spans="1:13" x14ac:dyDescent="0.2">
      <c r="A103" s="426"/>
      <c r="B103" s="156" t="str">
        <f>Capacidades!M1299</f>
        <v xml:space="preserve">   </v>
      </c>
      <c r="C103" s="157"/>
      <c r="D103" s="13"/>
      <c r="E103" s="13"/>
      <c r="F103" s="13"/>
      <c r="G103" s="13"/>
      <c r="H103" s="14"/>
      <c r="I103" s="14"/>
      <c r="J103" s="14"/>
      <c r="K103" s="14"/>
      <c r="L103" s="446"/>
      <c r="M103" s="87" t="str">
        <f t="shared" si="1"/>
        <v xml:space="preserve">   </v>
      </c>
    </row>
    <row r="104" spans="1:13" x14ac:dyDescent="0.2">
      <c r="A104" s="426"/>
      <c r="B104" s="156" t="str">
        <f>Capacidades!M1300</f>
        <v xml:space="preserve">   </v>
      </c>
      <c r="C104" s="157"/>
      <c r="D104" s="13"/>
      <c r="E104" s="13"/>
      <c r="F104" s="13"/>
      <c r="G104" s="13"/>
      <c r="H104" s="14"/>
      <c r="I104" s="14"/>
      <c r="J104" s="14"/>
      <c r="K104" s="14"/>
      <c r="L104" s="446"/>
      <c r="M104" s="87" t="str">
        <f t="shared" si="1"/>
        <v xml:space="preserve">   </v>
      </c>
    </row>
    <row r="105" spans="1:13" x14ac:dyDescent="0.2">
      <c r="A105" s="426"/>
      <c r="B105" s="156" t="str">
        <f>Capacidades!M1301</f>
        <v xml:space="preserve">   </v>
      </c>
      <c r="C105" s="157"/>
      <c r="D105" s="13"/>
      <c r="E105" s="13"/>
      <c r="F105" s="13"/>
      <c r="G105" s="13"/>
      <c r="H105" s="14"/>
      <c r="I105" s="14"/>
      <c r="J105" s="14"/>
      <c r="K105" s="14"/>
      <c r="L105" s="446"/>
      <c r="M105" s="87" t="str">
        <f t="shared" si="1"/>
        <v xml:space="preserve">   </v>
      </c>
    </row>
    <row r="106" spans="1:13" x14ac:dyDescent="0.2">
      <c r="A106" s="426"/>
      <c r="B106" s="156" t="str">
        <f>Capacidades!M1302</f>
        <v xml:space="preserve">   </v>
      </c>
      <c r="C106" s="157"/>
      <c r="D106" s="13"/>
      <c r="E106" s="13"/>
      <c r="F106" s="13"/>
      <c r="G106" s="13"/>
      <c r="H106" s="14"/>
      <c r="I106" s="14"/>
      <c r="J106" s="14"/>
      <c r="K106" s="14"/>
      <c r="L106" s="446"/>
      <c r="M106" s="87" t="str">
        <f t="shared" si="1"/>
        <v xml:space="preserve">   </v>
      </c>
    </row>
    <row r="107" spans="1:13" x14ac:dyDescent="0.2">
      <c r="A107" s="427"/>
      <c r="B107" s="156" t="str">
        <f>Capacidades!M1303</f>
        <v xml:space="preserve">   </v>
      </c>
      <c r="C107" s="157"/>
      <c r="D107" s="15"/>
      <c r="E107" s="15"/>
      <c r="F107" s="15"/>
      <c r="G107" s="15"/>
      <c r="H107" s="16"/>
      <c r="I107" s="16"/>
      <c r="J107" s="16"/>
      <c r="K107" s="16"/>
      <c r="L107" s="447"/>
      <c r="M107" s="87" t="str">
        <f t="shared" si="1"/>
        <v xml:space="preserve">   </v>
      </c>
    </row>
    <row r="108" spans="1:13" x14ac:dyDescent="0.2">
      <c r="A108" s="425" t="str">
        <f>Capacidades!L1304</f>
        <v xml:space="preserve">       </v>
      </c>
      <c r="B108" s="156" t="str">
        <f>Capacidades!M1304</f>
        <v xml:space="preserve">   </v>
      </c>
      <c r="C108" s="157"/>
      <c r="D108" s="11">
        <f>Organización_Modular!F143</f>
        <v>0</v>
      </c>
      <c r="E108" s="11">
        <f>Organización_Modular!G143</f>
        <v>0</v>
      </c>
      <c r="F108" s="11">
        <f>Organización_Modular!H143</f>
        <v>0</v>
      </c>
      <c r="G108" s="11">
        <f>Organización_Modular!I143</f>
        <v>0</v>
      </c>
      <c r="H108" s="12">
        <f>SUM(F108:G108)</f>
        <v>0</v>
      </c>
      <c r="I108" s="12">
        <f>F108*16</f>
        <v>0</v>
      </c>
      <c r="J108" s="12">
        <f>G108*32</f>
        <v>0</v>
      </c>
      <c r="K108" s="12">
        <f>SUM(I108:J108)</f>
        <v>0</v>
      </c>
      <c r="L108" s="445"/>
      <c r="M108" s="87" t="str">
        <f t="shared" si="1"/>
        <v xml:space="preserve">   </v>
      </c>
    </row>
    <row r="109" spans="1:13" x14ac:dyDescent="0.2">
      <c r="A109" s="426"/>
      <c r="B109" s="156" t="str">
        <f>Capacidades!M1305</f>
        <v xml:space="preserve">   </v>
      </c>
      <c r="C109" s="157"/>
      <c r="D109" s="13"/>
      <c r="E109" s="13"/>
      <c r="F109" s="13"/>
      <c r="G109" s="13"/>
      <c r="H109" s="14"/>
      <c r="I109" s="14"/>
      <c r="J109" s="14"/>
      <c r="K109" s="14"/>
      <c r="L109" s="446"/>
      <c r="M109" s="87" t="str">
        <f t="shared" si="1"/>
        <v xml:space="preserve">   </v>
      </c>
    </row>
    <row r="110" spans="1:13" x14ac:dyDescent="0.2">
      <c r="A110" s="426"/>
      <c r="B110" s="156" t="str">
        <f>Capacidades!M1306</f>
        <v xml:space="preserve">   </v>
      </c>
      <c r="C110" s="157"/>
      <c r="D110" s="13"/>
      <c r="E110" s="13"/>
      <c r="F110" s="13"/>
      <c r="G110" s="13"/>
      <c r="H110" s="14"/>
      <c r="I110" s="14"/>
      <c r="J110" s="14"/>
      <c r="K110" s="14"/>
      <c r="L110" s="446"/>
      <c r="M110" s="87" t="str">
        <f t="shared" si="1"/>
        <v xml:space="preserve">   </v>
      </c>
    </row>
    <row r="111" spans="1:13" x14ac:dyDescent="0.2">
      <c r="A111" s="426"/>
      <c r="B111" s="156" t="str">
        <f>Capacidades!M1307</f>
        <v xml:space="preserve">   </v>
      </c>
      <c r="C111" s="157"/>
      <c r="D111" s="13"/>
      <c r="E111" s="13"/>
      <c r="F111" s="13"/>
      <c r="G111" s="13"/>
      <c r="H111" s="14"/>
      <c r="I111" s="14"/>
      <c r="J111" s="14"/>
      <c r="K111" s="14"/>
      <c r="L111" s="446"/>
      <c r="M111" s="87" t="str">
        <f t="shared" si="1"/>
        <v xml:space="preserve">   </v>
      </c>
    </row>
    <row r="112" spans="1:13" x14ac:dyDescent="0.2">
      <c r="A112" s="426"/>
      <c r="B112" s="156" t="str">
        <f>Capacidades!M1308</f>
        <v xml:space="preserve">   </v>
      </c>
      <c r="C112" s="157"/>
      <c r="D112" s="13"/>
      <c r="E112" s="13"/>
      <c r="F112" s="13"/>
      <c r="G112" s="13"/>
      <c r="H112" s="14"/>
      <c r="I112" s="14"/>
      <c r="J112" s="14"/>
      <c r="K112" s="14"/>
      <c r="L112" s="446"/>
      <c r="M112" s="87" t="str">
        <f t="shared" si="1"/>
        <v xml:space="preserve">   </v>
      </c>
    </row>
    <row r="113" spans="1:13" x14ac:dyDescent="0.2">
      <c r="A113" s="426"/>
      <c r="B113" s="156" t="str">
        <f>Capacidades!M1309</f>
        <v xml:space="preserve">   </v>
      </c>
      <c r="C113" s="157"/>
      <c r="D113" s="13"/>
      <c r="E113" s="13"/>
      <c r="F113" s="13"/>
      <c r="G113" s="13"/>
      <c r="H113" s="14"/>
      <c r="I113" s="14"/>
      <c r="J113" s="14"/>
      <c r="K113" s="14"/>
      <c r="L113" s="446"/>
      <c r="M113" s="87" t="str">
        <f t="shared" si="1"/>
        <v xml:space="preserve">   </v>
      </c>
    </row>
    <row r="114" spans="1:13" x14ac:dyDescent="0.2">
      <c r="A114" s="426"/>
      <c r="B114" s="156" t="str">
        <f>Capacidades!M1310</f>
        <v xml:space="preserve">   </v>
      </c>
      <c r="C114" s="157"/>
      <c r="D114" s="13"/>
      <c r="E114" s="13"/>
      <c r="F114" s="13"/>
      <c r="G114" s="13"/>
      <c r="H114" s="14"/>
      <c r="I114" s="14"/>
      <c r="J114" s="14"/>
      <c r="K114" s="14"/>
      <c r="L114" s="446"/>
      <c r="M114" s="87" t="str">
        <f t="shared" si="1"/>
        <v xml:space="preserve">   </v>
      </c>
    </row>
    <row r="115" spans="1:13" x14ac:dyDescent="0.2">
      <c r="A115" s="426"/>
      <c r="B115" s="156" t="str">
        <f>Capacidades!M1311</f>
        <v xml:space="preserve">   </v>
      </c>
      <c r="C115" s="157"/>
      <c r="D115" s="13"/>
      <c r="E115" s="13"/>
      <c r="F115" s="13"/>
      <c r="G115" s="13"/>
      <c r="H115" s="14"/>
      <c r="I115" s="14"/>
      <c r="J115" s="14"/>
      <c r="K115" s="14"/>
      <c r="L115" s="446"/>
      <c r="M115" s="87" t="str">
        <f t="shared" si="1"/>
        <v xml:space="preserve">   </v>
      </c>
    </row>
    <row r="116" spans="1:13" x14ac:dyDescent="0.2">
      <c r="A116" s="426"/>
      <c r="B116" s="156" t="str">
        <f>Capacidades!M1312</f>
        <v xml:space="preserve">   </v>
      </c>
      <c r="C116" s="157"/>
      <c r="D116" s="13"/>
      <c r="E116" s="13"/>
      <c r="F116" s="13"/>
      <c r="G116" s="13"/>
      <c r="H116" s="14"/>
      <c r="I116" s="14"/>
      <c r="J116" s="14"/>
      <c r="K116" s="14"/>
      <c r="L116" s="446"/>
      <c r="M116" s="87" t="str">
        <f t="shared" si="1"/>
        <v xml:space="preserve">   </v>
      </c>
    </row>
    <row r="117" spans="1:13" x14ac:dyDescent="0.2">
      <c r="A117" s="427"/>
      <c r="B117" s="156" t="str">
        <f>Capacidades!M1313</f>
        <v xml:space="preserve">   </v>
      </c>
      <c r="C117" s="157"/>
      <c r="D117" s="15"/>
      <c r="E117" s="15"/>
      <c r="F117" s="15"/>
      <c r="G117" s="15"/>
      <c r="H117" s="16"/>
      <c r="I117" s="16"/>
      <c r="J117" s="16"/>
      <c r="K117" s="16"/>
      <c r="L117" s="447"/>
      <c r="M117" s="87" t="str">
        <f t="shared" si="1"/>
        <v xml:space="preserve">   </v>
      </c>
    </row>
    <row r="118" spans="1:13" x14ac:dyDescent="0.2">
      <c r="A118" s="425" t="str">
        <f>Capacidades!L1314</f>
        <v xml:space="preserve">       </v>
      </c>
      <c r="B118" s="156" t="str">
        <f>Capacidades!M1314</f>
        <v xml:space="preserve">   </v>
      </c>
      <c r="C118" s="157"/>
      <c r="D118" s="11">
        <f>Organización_Modular!F144</f>
        <v>0</v>
      </c>
      <c r="E118" s="11">
        <f>Organización_Modular!G144</f>
        <v>0</v>
      </c>
      <c r="F118" s="11">
        <f>Organización_Modular!H144</f>
        <v>0</v>
      </c>
      <c r="G118" s="11">
        <f>Organización_Modular!I144</f>
        <v>0</v>
      </c>
      <c r="H118" s="12">
        <f>SUM(F118:G118)</f>
        <v>0</v>
      </c>
      <c r="I118" s="12">
        <f>F118*16</f>
        <v>0</v>
      </c>
      <c r="J118" s="12">
        <f>G118*32</f>
        <v>0</v>
      </c>
      <c r="K118" s="12">
        <f>SUM(I118:J118)</f>
        <v>0</v>
      </c>
      <c r="L118" s="445"/>
      <c r="M118" s="87" t="str">
        <f t="shared" si="1"/>
        <v xml:space="preserve">   </v>
      </c>
    </row>
    <row r="119" spans="1:13" x14ac:dyDescent="0.2">
      <c r="A119" s="426"/>
      <c r="B119" s="156" t="str">
        <f>Capacidades!M1315</f>
        <v xml:space="preserve">   </v>
      </c>
      <c r="C119" s="157"/>
      <c r="D119" s="13"/>
      <c r="E119" s="13"/>
      <c r="F119" s="13"/>
      <c r="G119" s="13"/>
      <c r="H119" s="14"/>
      <c r="I119" s="14"/>
      <c r="J119" s="14"/>
      <c r="K119" s="14"/>
      <c r="L119" s="446"/>
      <c r="M119" s="87" t="str">
        <f t="shared" si="1"/>
        <v xml:space="preserve">   </v>
      </c>
    </row>
    <row r="120" spans="1:13" x14ac:dyDescent="0.2">
      <c r="A120" s="426"/>
      <c r="B120" s="156" t="str">
        <f>Capacidades!M1316</f>
        <v xml:space="preserve">   </v>
      </c>
      <c r="C120" s="157"/>
      <c r="D120" s="13"/>
      <c r="E120" s="13"/>
      <c r="F120" s="13"/>
      <c r="G120" s="13"/>
      <c r="H120" s="14"/>
      <c r="I120" s="14"/>
      <c r="J120" s="14"/>
      <c r="K120" s="14"/>
      <c r="L120" s="446"/>
      <c r="M120" s="87" t="str">
        <f t="shared" si="1"/>
        <v xml:space="preserve">   </v>
      </c>
    </row>
    <row r="121" spans="1:13" x14ac:dyDescent="0.2">
      <c r="A121" s="426"/>
      <c r="B121" s="156" t="str">
        <f>Capacidades!M1317</f>
        <v xml:space="preserve">   </v>
      </c>
      <c r="C121" s="157"/>
      <c r="D121" s="13"/>
      <c r="E121" s="13"/>
      <c r="F121" s="13"/>
      <c r="G121" s="13"/>
      <c r="H121" s="14"/>
      <c r="I121" s="14"/>
      <c r="J121" s="14"/>
      <c r="K121" s="14"/>
      <c r="L121" s="446"/>
      <c r="M121" s="87" t="str">
        <f t="shared" si="1"/>
        <v xml:space="preserve">   </v>
      </c>
    </row>
    <row r="122" spans="1:13" x14ac:dyDescent="0.2">
      <c r="A122" s="426"/>
      <c r="B122" s="156" t="str">
        <f>Capacidades!M1318</f>
        <v xml:space="preserve">   </v>
      </c>
      <c r="C122" s="157"/>
      <c r="D122" s="13"/>
      <c r="E122" s="13"/>
      <c r="F122" s="13"/>
      <c r="G122" s="13"/>
      <c r="H122" s="14"/>
      <c r="I122" s="14"/>
      <c r="J122" s="14"/>
      <c r="K122" s="14"/>
      <c r="L122" s="446"/>
      <c r="M122" s="87" t="str">
        <f t="shared" si="1"/>
        <v xml:space="preserve">   </v>
      </c>
    </row>
    <row r="123" spans="1:13" x14ac:dyDescent="0.2">
      <c r="A123" s="426"/>
      <c r="B123" s="156" t="str">
        <f>Capacidades!M1319</f>
        <v xml:space="preserve">   </v>
      </c>
      <c r="C123" s="157"/>
      <c r="D123" s="13"/>
      <c r="E123" s="13"/>
      <c r="F123" s="13"/>
      <c r="G123" s="13"/>
      <c r="H123" s="14"/>
      <c r="I123" s="14"/>
      <c r="J123" s="14"/>
      <c r="K123" s="14"/>
      <c r="L123" s="446"/>
      <c r="M123" s="87" t="str">
        <f t="shared" si="1"/>
        <v xml:space="preserve">   </v>
      </c>
    </row>
    <row r="124" spans="1:13" x14ac:dyDescent="0.2">
      <c r="A124" s="426"/>
      <c r="B124" s="156" t="str">
        <f>Capacidades!M1320</f>
        <v xml:space="preserve">   </v>
      </c>
      <c r="C124" s="157"/>
      <c r="D124" s="13"/>
      <c r="E124" s="13"/>
      <c r="F124" s="13"/>
      <c r="G124" s="13"/>
      <c r="H124" s="14"/>
      <c r="I124" s="14"/>
      <c r="J124" s="14"/>
      <c r="K124" s="14"/>
      <c r="L124" s="446"/>
      <c r="M124" s="87" t="str">
        <f t="shared" si="1"/>
        <v xml:space="preserve">   </v>
      </c>
    </row>
    <row r="125" spans="1:13" x14ac:dyDescent="0.2">
      <c r="A125" s="426"/>
      <c r="B125" s="156" t="str">
        <f>Capacidades!M1321</f>
        <v xml:space="preserve">   </v>
      </c>
      <c r="C125" s="157"/>
      <c r="D125" s="13"/>
      <c r="E125" s="13"/>
      <c r="F125" s="13"/>
      <c r="G125" s="13"/>
      <c r="H125" s="14"/>
      <c r="I125" s="14"/>
      <c r="J125" s="14"/>
      <c r="K125" s="14"/>
      <c r="L125" s="446"/>
      <c r="M125" s="87" t="str">
        <f t="shared" si="1"/>
        <v xml:space="preserve">   </v>
      </c>
    </row>
    <row r="126" spans="1:13" x14ac:dyDescent="0.2">
      <c r="A126" s="426"/>
      <c r="B126" s="156" t="str">
        <f>Capacidades!M1322</f>
        <v xml:space="preserve">   </v>
      </c>
      <c r="C126" s="157"/>
      <c r="D126" s="13"/>
      <c r="E126" s="13"/>
      <c r="F126" s="13"/>
      <c r="G126" s="13"/>
      <c r="H126" s="14"/>
      <c r="I126" s="14"/>
      <c r="J126" s="14"/>
      <c r="K126" s="14"/>
      <c r="L126" s="446"/>
      <c r="M126" s="87" t="str">
        <f t="shared" si="1"/>
        <v xml:space="preserve">   </v>
      </c>
    </row>
    <row r="127" spans="1:13" x14ac:dyDescent="0.2">
      <c r="A127" s="427"/>
      <c r="B127" s="156" t="str">
        <f>Capacidades!M1323</f>
        <v xml:space="preserve">   </v>
      </c>
      <c r="C127" s="157"/>
      <c r="D127" s="15"/>
      <c r="E127" s="15"/>
      <c r="F127" s="15"/>
      <c r="G127" s="15"/>
      <c r="H127" s="16"/>
      <c r="I127" s="16"/>
      <c r="J127" s="16"/>
      <c r="K127" s="16"/>
      <c r="L127" s="447"/>
      <c r="M127" s="87" t="str">
        <f t="shared" si="1"/>
        <v xml:space="preserve">   </v>
      </c>
    </row>
    <row r="128" spans="1:13" x14ac:dyDescent="0.2">
      <c r="A128" s="425" t="str">
        <f>Capacidades!L1324</f>
        <v xml:space="preserve">       </v>
      </c>
      <c r="B128" s="156" t="str">
        <f>Capacidades!M1324</f>
        <v xml:space="preserve">   </v>
      </c>
      <c r="C128" s="157"/>
      <c r="D128" s="11">
        <f>Organización_Modular!F145</f>
        <v>0</v>
      </c>
      <c r="E128" s="11">
        <f>Organización_Modular!G145</f>
        <v>0</v>
      </c>
      <c r="F128" s="11">
        <f>Organización_Modular!H145</f>
        <v>0</v>
      </c>
      <c r="G128" s="11">
        <f>Organización_Modular!I145</f>
        <v>0</v>
      </c>
      <c r="H128" s="12">
        <f>SUM(F128:G128)</f>
        <v>0</v>
      </c>
      <c r="I128" s="12">
        <f>F128*16</f>
        <v>0</v>
      </c>
      <c r="J128" s="12">
        <f>G128*32</f>
        <v>0</v>
      </c>
      <c r="K128" s="12">
        <f>SUM(I128:J128)</f>
        <v>0</v>
      </c>
      <c r="L128" s="445"/>
      <c r="M128" s="87" t="str">
        <f t="shared" si="1"/>
        <v xml:space="preserve">   </v>
      </c>
    </row>
    <row r="129" spans="1:13" x14ac:dyDescent="0.2">
      <c r="A129" s="426"/>
      <c r="B129" s="156" t="str">
        <f>Capacidades!M1325</f>
        <v xml:space="preserve">   </v>
      </c>
      <c r="C129" s="157"/>
      <c r="D129" s="13"/>
      <c r="E129" s="13"/>
      <c r="F129" s="13"/>
      <c r="G129" s="13"/>
      <c r="H129" s="14"/>
      <c r="I129" s="14"/>
      <c r="J129" s="14"/>
      <c r="K129" s="14"/>
      <c r="L129" s="446"/>
      <c r="M129" s="87" t="str">
        <f t="shared" si="1"/>
        <v xml:space="preserve">   </v>
      </c>
    </row>
    <row r="130" spans="1:13" x14ac:dyDescent="0.2">
      <c r="A130" s="426"/>
      <c r="B130" s="156" t="str">
        <f>Capacidades!M1326</f>
        <v xml:space="preserve">   </v>
      </c>
      <c r="C130" s="157"/>
      <c r="D130" s="13"/>
      <c r="E130" s="13"/>
      <c r="F130" s="13"/>
      <c r="G130" s="13"/>
      <c r="H130" s="14"/>
      <c r="I130" s="14"/>
      <c r="J130" s="14"/>
      <c r="K130" s="14"/>
      <c r="L130" s="446"/>
      <c r="M130" s="87" t="str">
        <f t="shared" si="1"/>
        <v xml:space="preserve">   </v>
      </c>
    </row>
    <row r="131" spans="1:13" x14ac:dyDescent="0.2">
      <c r="A131" s="426"/>
      <c r="B131" s="156" t="str">
        <f>Capacidades!M1327</f>
        <v xml:space="preserve">   </v>
      </c>
      <c r="C131" s="157"/>
      <c r="D131" s="13"/>
      <c r="E131" s="13"/>
      <c r="F131" s="13"/>
      <c r="G131" s="13"/>
      <c r="H131" s="14"/>
      <c r="I131" s="14"/>
      <c r="J131" s="14"/>
      <c r="K131" s="14"/>
      <c r="L131" s="446"/>
      <c r="M131" s="87" t="str">
        <f t="shared" si="1"/>
        <v xml:space="preserve">   </v>
      </c>
    </row>
    <row r="132" spans="1:13" x14ac:dyDescent="0.2">
      <c r="A132" s="426"/>
      <c r="B132" s="156" t="str">
        <f>Capacidades!M1328</f>
        <v xml:space="preserve">   </v>
      </c>
      <c r="C132" s="157"/>
      <c r="D132" s="13"/>
      <c r="E132" s="13"/>
      <c r="F132" s="13"/>
      <c r="G132" s="13"/>
      <c r="H132" s="14"/>
      <c r="I132" s="14"/>
      <c r="J132" s="14"/>
      <c r="K132" s="14"/>
      <c r="L132" s="446"/>
      <c r="M132" s="87" t="str">
        <f t="shared" si="1"/>
        <v xml:space="preserve">   </v>
      </c>
    </row>
    <row r="133" spans="1:13" x14ac:dyDescent="0.2">
      <c r="A133" s="426"/>
      <c r="B133" s="156" t="str">
        <f>Capacidades!M1329</f>
        <v xml:space="preserve">   </v>
      </c>
      <c r="C133" s="157"/>
      <c r="D133" s="13"/>
      <c r="E133" s="13"/>
      <c r="F133" s="13"/>
      <c r="G133" s="13"/>
      <c r="H133" s="14"/>
      <c r="I133" s="14"/>
      <c r="J133" s="14"/>
      <c r="K133" s="14"/>
      <c r="L133" s="446"/>
      <c r="M133" s="87" t="str">
        <f t="shared" si="1"/>
        <v xml:space="preserve">   </v>
      </c>
    </row>
    <row r="134" spans="1:13" x14ac:dyDescent="0.2">
      <c r="A134" s="426"/>
      <c r="B134" s="156" t="str">
        <f>Capacidades!M1330</f>
        <v xml:space="preserve">   </v>
      </c>
      <c r="C134" s="157"/>
      <c r="D134" s="13"/>
      <c r="E134" s="13"/>
      <c r="F134" s="13"/>
      <c r="G134" s="13"/>
      <c r="H134" s="14"/>
      <c r="I134" s="14"/>
      <c r="J134" s="14"/>
      <c r="K134" s="14"/>
      <c r="L134" s="446"/>
      <c r="M134" s="87" t="str">
        <f t="shared" si="1"/>
        <v xml:space="preserve">   </v>
      </c>
    </row>
    <row r="135" spans="1:13" x14ac:dyDescent="0.2">
      <c r="A135" s="426"/>
      <c r="B135" s="156" t="str">
        <f>Capacidades!M1331</f>
        <v xml:space="preserve">   </v>
      </c>
      <c r="C135" s="157"/>
      <c r="D135" s="13"/>
      <c r="E135" s="13"/>
      <c r="F135" s="13"/>
      <c r="G135" s="13"/>
      <c r="H135" s="14"/>
      <c r="I135" s="14"/>
      <c r="J135" s="14"/>
      <c r="K135" s="14"/>
      <c r="L135" s="446"/>
      <c r="M135" s="87" t="str">
        <f t="shared" si="1"/>
        <v xml:space="preserve">   </v>
      </c>
    </row>
    <row r="136" spans="1:13" x14ac:dyDescent="0.2">
      <c r="A136" s="426"/>
      <c r="B136" s="156" t="str">
        <f>Capacidades!M1332</f>
        <v xml:space="preserve">   </v>
      </c>
      <c r="C136" s="157"/>
      <c r="D136" s="13"/>
      <c r="E136" s="13"/>
      <c r="F136" s="13"/>
      <c r="G136" s="13"/>
      <c r="H136" s="14"/>
      <c r="I136" s="14"/>
      <c r="J136" s="14"/>
      <c r="K136" s="14"/>
      <c r="L136" s="446"/>
      <c r="M136" s="87" t="str">
        <f t="shared" si="1"/>
        <v xml:space="preserve">   </v>
      </c>
    </row>
    <row r="137" spans="1:13" x14ac:dyDescent="0.2">
      <c r="A137" s="427"/>
      <c r="B137" s="156" t="str">
        <f>Capacidades!M1333</f>
        <v xml:space="preserve">   </v>
      </c>
      <c r="C137" s="157"/>
      <c r="D137" s="15"/>
      <c r="E137" s="15"/>
      <c r="F137" s="15"/>
      <c r="G137" s="15"/>
      <c r="H137" s="16"/>
      <c r="I137" s="16"/>
      <c r="J137" s="16"/>
      <c r="K137" s="16"/>
      <c r="L137" s="447"/>
      <c r="M137" s="87" t="str">
        <f t="shared" si="1"/>
        <v xml:space="preserve">   </v>
      </c>
    </row>
    <row r="138" spans="1:13" x14ac:dyDescent="0.2">
      <c r="A138" s="425" t="str">
        <f>Capacidades!L1334</f>
        <v xml:space="preserve">       </v>
      </c>
      <c r="B138" s="156" t="str">
        <f>Capacidades!M1334</f>
        <v xml:space="preserve">   </v>
      </c>
      <c r="C138" s="157"/>
      <c r="D138" s="11">
        <f>Organización_Modular!F146</f>
        <v>0</v>
      </c>
      <c r="E138" s="11">
        <f>Organización_Modular!G146</f>
        <v>0</v>
      </c>
      <c r="F138" s="11">
        <f>Organización_Modular!H146</f>
        <v>0</v>
      </c>
      <c r="G138" s="11">
        <f>Organización_Modular!I146</f>
        <v>0</v>
      </c>
      <c r="H138" s="12">
        <f>SUM(F138:G138)</f>
        <v>0</v>
      </c>
      <c r="I138" s="12">
        <f>F138*16</f>
        <v>0</v>
      </c>
      <c r="J138" s="12">
        <f>G138*32</f>
        <v>0</v>
      </c>
      <c r="K138" s="12">
        <f>SUM(I138:J138)</f>
        <v>0</v>
      </c>
      <c r="L138" s="445"/>
      <c r="M138" s="87" t="str">
        <f t="shared" si="1"/>
        <v xml:space="preserve">   </v>
      </c>
    </row>
    <row r="139" spans="1:13" x14ac:dyDescent="0.2">
      <c r="A139" s="426"/>
      <c r="B139" s="156" t="str">
        <f>Capacidades!M1335</f>
        <v xml:space="preserve">   </v>
      </c>
      <c r="C139" s="157"/>
      <c r="D139" s="13"/>
      <c r="E139" s="13"/>
      <c r="F139" s="13"/>
      <c r="G139" s="13"/>
      <c r="H139" s="14"/>
      <c r="I139" s="14"/>
      <c r="J139" s="14"/>
      <c r="K139" s="14"/>
      <c r="L139" s="446"/>
      <c r="M139" s="87" t="str">
        <f t="shared" si="1"/>
        <v xml:space="preserve">   </v>
      </c>
    </row>
    <row r="140" spans="1:13" x14ac:dyDescent="0.2">
      <c r="A140" s="426"/>
      <c r="B140" s="156" t="str">
        <f>Capacidades!M1336</f>
        <v xml:space="preserve">   </v>
      </c>
      <c r="C140" s="157"/>
      <c r="D140" s="13"/>
      <c r="E140" s="13"/>
      <c r="F140" s="13"/>
      <c r="G140" s="13"/>
      <c r="H140" s="14"/>
      <c r="I140" s="14"/>
      <c r="J140" s="14"/>
      <c r="K140" s="14"/>
      <c r="L140" s="446"/>
      <c r="M140" s="87" t="str">
        <f t="shared" si="1"/>
        <v xml:space="preserve">   </v>
      </c>
    </row>
    <row r="141" spans="1:13" x14ac:dyDescent="0.2">
      <c r="A141" s="426"/>
      <c r="B141" s="156" t="str">
        <f>Capacidades!M1337</f>
        <v xml:space="preserve">   </v>
      </c>
      <c r="C141" s="157"/>
      <c r="D141" s="13"/>
      <c r="E141" s="13"/>
      <c r="F141" s="13"/>
      <c r="G141" s="13"/>
      <c r="H141" s="14"/>
      <c r="I141" s="14"/>
      <c r="J141" s="14"/>
      <c r="K141" s="14"/>
      <c r="L141" s="446"/>
      <c r="M141" s="87" t="str">
        <f t="shared" si="1"/>
        <v xml:space="preserve">   </v>
      </c>
    </row>
    <row r="142" spans="1:13" x14ac:dyDescent="0.2">
      <c r="A142" s="426"/>
      <c r="B142" s="156" t="str">
        <f>Capacidades!M1338</f>
        <v xml:space="preserve">   </v>
      </c>
      <c r="C142" s="157"/>
      <c r="D142" s="13"/>
      <c r="E142" s="13"/>
      <c r="F142" s="13"/>
      <c r="G142" s="13"/>
      <c r="H142" s="14"/>
      <c r="I142" s="14"/>
      <c r="J142" s="14"/>
      <c r="K142" s="14"/>
      <c r="L142" s="446"/>
      <c r="M142" s="87" t="str">
        <f t="shared" si="1"/>
        <v xml:space="preserve">   </v>
      </c>
    </row>
    <row r="143" spans="1:13" x14ac:dyDescent="0.2">
      <c r="A143" s="426"/>
      <c r="B143" s="156" t="str">
        <f>Capacidades!M1339</f>
        <v xml:space="preserve">   </v>
      </c>
      <c r="C143" s="157"/>
      <c r="D143" s="13"/>
      <c r="E143" s="13"/>
      <c r="F143" s="13"/>
      <c r="G143" s="13"/>
      <c r="H143" s="14"/>
      <c r="I143" s="14"/>
      <c r="J143" s="14"/>
      <c r="K143" s="14"/>
      <c r="L143" s="446"/>
      <c r="M143" s="87" t="str">
        <f t="shared" si="1"/>
        <v xml:space="preserve">   </v>
      </c>
    </row>
    <row r="144" spans="1:13" x14ac:dyDescent="0.2">
      <c r="A144" s="426"/>
      <c r="B144" s="156" t="str">
        <f>Capacidades!M1340</f>
        <v xml:space="preserve">   </v>
      </c>
      <c r="C144" s="157"/>
      <c r="D144" s="13"/>
      <c r="E144" s="13"/>
      <c r="F144" s="13"/>
      <c r="G144" s="13"/>
      <c r="H144" s="14"/>
      <c r="I144" s="14"/>
      <c r="J144" s="14"/>
      <c r="K144" s="14"/>
      <c r="L144" s="446"/>
      <c r="M144" s="87" t="str">
        <f t="shared" si="1"/>
        <v xml:space="preserve">   </v>
      </c>
    </row>
    <row r="145" spans="1:13" x14ac:dyDescent="0.2">
      <c r="A145" s="426"/>
      <c r="B145" s="156" t="str">
        <f>Capacidades!M1341</f>
        <v xml:space="preserve">   </v>
      </c>
      <c r="C145" s="157"/>
      <c r="D145" s="13"/>
      <c r="E145" s="13"/>
      <c r="F145" s="13"/>
      <c r="G145" s="13"/>
      <c r="H145" s="14"/>
      <c r="I145" s="14"/>
      <c r="J145" s="14"/>
      <c r="K145" s="14"/>
      <c r="L145" s="446"/>
      <c r="M145" s="87" t="str">
        <f t="shared" si="1"/>
        <v xml:space="preserve">   </v>
      </c>
    </row>
    <row r="146" spans="1:13" x14ac:dyDescent="0.2">
      <c r="A146" s="426"/>
      <c r="B146" s="156" t="str">
        <f>Capacidades!M1342</f>
        <v xml:space="preserve">   </v>
      </c>
      <c r="C146" s="157"/>
      <c r="D146" s="13"/>
      <c r="E146" s="13"/>
      <c r="F146" s="13"/>
      <c r="G146" s="13"/>
      <c r="H146" s="14"/>
      <c r="I146" s="14"/>
      <c r="J146" s="14"/>
      <c r="K146" s="14"/>
      <c r="L146" s="446"/>
      <c r="M146" s="87" t="str">
        <f t="shared" si="1"/>
        <v xml:space="preserve">   </v>
      </c>
    </row>
    <row r="147" spans="1:13" x14ac:dyDescent="0.2">
      <c r="A147" s="427"/>
      <c r="B147" s="156" t="str">
        <f>Capacidades!M1343</f>
        <v xml:space="preserve">   </v>
      </c>
      <c r="C147" s="157"/>
      <c r="D147" s="15"/>
      <c r="E147" s="15"/>
      <c r="F147" s="15"/>
      <c r="G147" s="15"/>
      <c r="H147" s="16"/>
      <c r="I147" s="16"/>
      <c r="J147" s="16"/>
      <c r="K147" s="16"/>
      <c r="L147" s="447"/>
      <c r="M147" s="87" t="str">
        <f t="shared" ref="M147:M210" si="2">B147</f>
        <v xml:space="preserve">   </v>
      </c>
    </row>
    <row r="148" spans="1:13" x14ac:dyDescent="0.2">
      <c r="A148" s="425" t="str">
        <f>Capacidades!L1344</f>
        <v xml:space="preserve">       </v>
      </c>
      <c r="B148" s="156" t="str">
        <f>Capacidades!M1344</f>
        <v xml:space="preserve">   </v>
      </c>
      <c r="C148" s="157"/>
      <c r="D148" s="11">
        <f>Organización_Modular!F147</f>
        <v>0</v>
      </c>
      <c r="E148" s="11">
        <f>Organización_Modular!G147</f>
        <v>0</v>
      </c>
      <c r="F148" s="11">
        <f>Organización_Modular!H147</f>
        <v>0</v>
      </c>
      <c r="G148" s="11">
        <f>Organización_Modular!I147</f>
        <v>0</v>
      </c>
      <c r="H148" s="12">
        <f>SUM(F148:G148)</f>
        <v>0</v>
      </c>
      <c r="I148" s="12">
        <f>F148*16</f>
        <v>0</v>
      </c>
      <c r="J148" s="12">
        <f>G148*32</f>
        <v>0</v>
      </c>
      <c r="K148" s="12">
        <f>SUM(I148:J148)</f>
        <v>0</v>
      </c>
      <c r="L148" s="445"/>
      <c r="M148" s="87" t="str">
        <f t="shared" si="2"/>
        <v xml:space="preserve">   </v>
      </c>
    </row>
    <row r="149" spans="1:13" x14ac:dyDescent="0.2">
      <c r="A149" s="426"/>
      <c r="B149" s="156" t="str">
        <f>Capacidades!M1345</f>
        <v xml:space="preserve">   </v>
      </c>
      <c r="C149" s="157"/>
      <c r="D149" s="13"/>
      <c r="E149" s="13"/>
      <c r="F149" s="13"/>
      <c r="G149" s="13"/>
      <c r="H149" s="14"/>
      <c r="I149" s="14"/>
      <c r="J149" s="14"/>
      <c r="K149" s="14"/>
      <c r="L149" s="446"/>
      <c r="M149" s="87" t="str">
        <f t="shared" si="2"/>
        <v xml:space="preserve">   </v>
      </c>
    </row>
    <row r="150" spans="1:13" x14ac:dyDescent="0.2">
      <c r="A150" s="426"/>
      <c r="B150" s="156" t="str">
        <f>Capacidades!M1346</f>
        <v xml:space="preserve">   </v>
      </c>
      <c r="C150" s="157"/>
      <c r="D150" s="13"/>
      <c r="E150" s="13"/>
      <c r="F150" s="13"/>
      <c r="G150" s="13"/>
      <c r="H150" s="14"/>
      <c r="I150" s="14"/>
      <c r="J150" s="14"/>
      <c r="K150" s="14"/>
      <c r="L150" s="446"/>
      <c r="M150" s="87" t="str">
        <f t="shared" si="2"/>
        <v xml:space="preserve">   </v>
      </c>
    </row>
    <row r="151" spans="1:13" x14ac:dyDescent="0.2">
      <c r="A151" s="426"/>
      <c r="B151" s="156" t="str">
        <f>Capacidades!M1347</f>
        <v xml:space="preserve">   </v>
      </c>
      <c r="C151" s="157"/>
      <c r="D151" s="13"/>
      <c r="E151" s="13"/>
      <c r="F151" s="13"/>
      <c r="G151" s="13"/>
      <c r="H151" s="14"/>
      <c r="I151" s="14"/>
      <c r="J151" s="14"/>
      <c r="K151" s="14"/>
      <c r="L151" s="446"/>
      <c r="M151" s="87" t="str">
        <f t="shared" si="2"/>
        <v xml:space="preserve">   </v>
      </c>
    </row>
    <row r="152" spans="1:13" x14ac:dyDescent="0.2">
      <c r="A152" s="426"/>
      <c r="B152" s="156" t="str">
        <f>Capacidades!M1348</f>
        <v xml:space="preserve">   </v>
      </c>
      <c r="C152" s="157"/>
      <c r="D152" s="13"/>
      <c r="E152" s="13"/>
      <c r="F152" s="13"/>
      <c r="G152" s="13"/>
      <c r="H152" s="14"/>
      <c r="I152" s="14"/>
      <c r="J152" s="14"/>
      <c r="K152" s="14"/>
      <c r="L152" s="446"/>
      <c r="M152" s="87" t="str">
        <f t="shared" si="2"/>
        <v xml:space="preserve">   </v>
      </c>
    </row>
    <row r="153" spans="1:13" x14ac:dyDescent="0.2">
      <c r="A153" s="426"/>
      <c r="B153" s="156" t="str">
        <f>Capacidades!M1349</f>
        <v xml:space="preserve">   </v>
      </c>
      <c r="C153" s="157"/>
      <c r="D153" s="13"/>
      <c r="E153" s="13"/>
      <c r="F153" s="13"/>
      <c r="G153" s="13"/>
      <c r="H153" s="14"/>
      <c r="I153" s="14"/>
      <c r="J153" s="14"/>
      <c r="K153" s="14"/>
      <c r="L153" s="446"/>
      <c r="M153" s="87" t="str">
        <f t="shared" si="2"/>
        <v xml:space="preserve">   </v>
      </c>
    </row>
    <row r="154" spans="1:13" x14ac:dyDescent="0.2">
      <c r="A154" s="426"/>
      <c r="B154" s="156" t="str">
        <f>Capacidades!M1350</f>
        <v xml:space="preserve">   </v>
      </c>
      <c r="C154" s="157"/>
      <c r="D154" s="13"/>
      <c r="E154" s="13"/>
      <c r="F154" s="13"/>
      <c r="G154" s="13"/>
      <c r="H154" s="14"/>
      <c r="I154" s="14"/>
      <c r="J154" s="14"/>
      <c r="K154" s="14"/>
      <c r="L154" s="446"/>
      <c r="M154" s="87" t="str">
        <f t="shared" si="2"/>
        <v xml:space="preserve">   </v>
      </c>
    </row>
    <row r="155" spans="1:13" x14ac:dyDescent="0.2">
      <c r="A155" s="426"/>
      <c r="B155" s="156" t="str">
        <f>Capacidades!M1351</f>
        <v xml:space="preserve">   </v>
      </c>
      <c r="C155" s="157"/>
      <c r="D155" s="13"/>
      <c r="E155" s="13"/>
      <c r="F155" s="13"/>
      <c r="G155" s="13"/>
      <c r="H155" s="14"/>
      <c r="I155" s="14"/>
      <c r="J155" s="14"/>
      <c r="K155" s="14"/>
      <c r="L155" s="446"/>
      <c r="M155" s="87" t="str">
        <f t="shared" si="2"/>
        <v xml:space="preserve">   </v>
      </c>
    </row>
    <row r="156" spans="1:13" x14ac:dyDescent="0.2">
      <c r="A156" s="426"/>
      <c r="B156" s="156" t="str">
        <f>Capacidades!M1352</f>
        <v xml:space="preserve">   </v>
      </c>
      <c r="C156" s="157"/>
      <c r="D156" s="13"/>
      <c r="E156" s="13"/>
      <c r="F156" s="13"/>
      <c r="G156" s="13"/>
      <c r="H156" s="14"/>
      <c r="I156" s="14"/>
      <c r="J156" s="14"/>
      <c r="K156" s="14"/>
      <c r="L156" s="446"/>
      <c r="M156" s="87" t="str">
        <f t="shared" si="2"/>
        <v xml:space="preserve">   </v>
      </c>
    </row>
    <row r="157" spans="1:13" x14ac:dyDescent="0.2">
      <c r="A157" s="427"/>
      <c r="B157" s="156" t="str">
        <f>Capacidades!M1353</f>
        <v xml:space="preserve">   </v>
      </c>
      <c r="C157" s="157"/>
      <c r="D157" s="15"/>
      <c r="E157" s="15"/>
      <c r="F157" s="15"/>
      <c r="G157" s="15"/>
      <c r="H157" s="16"/>
      <c r="I157" s="16"/>
      <c r="J157" s="16"/>
      <c r="K157" s="16"/>
      <c r="L157" s="447"/>
      <c r="M157" s="87" t="str">
        <f t="shared" si="2"/>
        <v xml:space="preserve">   </v>
      </c>
    </row>
    <row r="158" spans="1:13" x14ac:dyDescent="0.2">
      <c r="A158" s="425" t="str">
        <f>Capacidades!L1354</f>
        <v xml:space="preserve">       </v>
      </c>
      <c r="B158" s="156" t="str">
        <f>Capacidades!M1354</f>
        <v xml:space="preserve">   </v>
      </c>
      <c r="C158" s="157"/>
      <c r="D158" s="11">
        <f>Organización_Modular!F148</f>
        <v>0</v>
      </c>
      <c r="E158" s="11">
        <f>Organización_Modular!G148</f>
        <v>0</v>
      </c>
      <c r="F158" s="11">
        <f>Organización_Modular!H148</f>
        <v>0</v>
      </c>
      <c r="G158" s="11">
        <f>Organización_Modular!I148</f>
        <v>0</v>
      </c>
      <c r="H158" s="12">
        <f>SUM(F158:G158)</f>
        <v>0</v>
      </c>
      <c r="I158" s="12">
        <f>F158*16</f>
        <v>0</v>
      </c>
      <c r="J158" s="12">
        <f>G158*32</f>
        <v>0</v>
      </c>
      <c r="K158" s="12">
        <f>SUM(I158:J158)</f>
        <v>0</v>
      </c>
      <c r="L158" s="445"/>
      <c r="M158" s="87" t="str">
        <f t="shared" si="2"/>
        <v xml:space="preserve">   </v>
      </c>
    </row>
    <row r="159" spans="1:13" x14ac:dyDescent="0.2">
      <c r="A159" s="426"/>
      <c r="B159" s="156" t="str">
        <f>Capacidades!M1355</f>
        <v xml:space="preserve">   </v>
      </c>
      <c r="C159" s="157"/>
      <c r="D159" s="13"/>
      <c r="E159" s="13"/>
      <c r="F159" s="13"/>
      <c r="G159" s="13"/>
      <c r="H159" s="14"/>
      <c r="I159" s="14"/>
      <c r="J159" s="14"/>
      <c r="K159" s="14"/>
      <c r="L159" s="446"/>
      <c r="M159" s="87" t="str">
        <f t="shared" si="2"/>
        <v xml:space="preserve">   </v>
      </c>
    </row>
    <row r="160" spans="1:13" x14ac:dyDescent="0.2">
      <c r="A160" s="426"/>
      <c r="B160" s="156" t="str">
        <f>Capacidades!M1356</f>
        <v xml:space="preserve">   </v>
      </c>
      <c r="C160" s="157"/>
      <c r="D160" s="13"/>
      <c r="E160" s="13"/>
      <c r="F160" s="13"/>
      <c r="G160" s="13"/>
      <c r="H160" s="14"/>
      <c r="I160" s="14"/>
      <c r="J160" s="14"/>
      <c r="K160" s="14"/>
      <c r="L160" s="446"/>
      <c r="M160" s="87" t="str">
        <f t="shared" si="2"/>
        <v xml:space="preserve">   </v>
      </c>
    </row>
    <row r="161" spans="1:13" x14ac:dyDescent="0.2">
      <c r="A161" s="426"/>
      <c r="B161" s="156" t="str">
        <f>Capacidades!M1357</f>
        <v xml:space="preserve">   </v>
      </c>
      <c r="C161" s="157"/>
      <c r="D161" s="13"/>
      <c r="E161" s="13"/>
      <c r="F161" s="13"/>
      <c r="G161" s="13"/>
      <c r="H161" s="14"/>
      <c r="I161" s="14"/>
      <c r="J161" s="14"/>
      <c r="K161" s="14"/>
      <c r="L161" s="446"/>
      <c r="M161" s="87" t="str">
        <f t="shared" si="2"/>
        <v xml:space="preserve">   </v>
      </c>
    </row>
    <row r="162" spans="1:13" x14ac:dyDescent="0.2">
      <c r="A162" s="426"/>
      <c r="B162" s="156" t="str">
        <f>Capacidades!M1358</f>
        <v xml:space="preserve">   </v>
      </c>
      <c r="C162" s="157"/>
      <c r="D162" s="13"/>
      <c r="E162" s="13"/>
      <c r="F162" s="13"/>
      <c r="G162" s="13"/>
      <c r="H162" s="14"/>
      <c r="I162" s="14"/>
      <c r="J162" s="14"/>
      <c r="K162" s="14"/>
      <c r="L162" s="446"/>
      <c r="M162" s="87" t="str">
        <f t="shared" si="2"/>
        <v xml:space="preserve">   </v>
      </c>
    </row>
    <row r="163" spans="1:13" x14ac:dyDescent="0.2">
      <c r="A163" s="426"/>
      <c r="B163" s="156" t="str">
        <f>Capacidades!M1359</f>
        <v xml:space="preserve">   </v>
      </c>
      <c r="C163" s="157"/>
      <c r="D163" s="13"/>
      <c r="E163" s="13"/>
      <c r="F163" s="13"/>
      <c r="G163" s="13"/>
      <c r="H163" s="14"/>
      <c r="I163" s="14"/>
      <c r="J163" s="14"/>
      <c r="K163" s="14"/>
      <c r="L163" s="446"/>
      <c r="M163" s="87" t="str">
        <f t="shared" si="2"/>
        <v xml:space="preserve">   </v>
      </c>
    </row>
    <row r="164" spans="1:13" x14ac:dyDescent="0.2">
      <c r="A164" s="426"/>
      <c r="B164" s="156" t="str">
        <f>Capacidades!M1360</f>
        <v xml:space="preserve">   </v>
      </c>
      <c r="C164" s="157"/>
      <c r="D164" s="13"/>
      <c r="E164" s="13"/>
      <c r="F164" s="13"/>
      <c r="G164" s="13"/>
      <c r="H164" s="14"/>
      <c r="I164" s="14"/>
      <c r="J164" s="14"/>
      <c r="K164" s="14"/>
      <c r="L164" s="446"/>
      <c r="M164" s="87" t="str">
        <f t="shared" si="2"/>
        <v xml:space="preserve">   </v>
      </c>
    </row>
    <row r="165" spans="1:13" x14ac:dyDescent="0.2">
      <c r="A165" s="426"/>
      <c r="B165" s="156" t="str">
        <f>Capacidades!M1361</f>
        <v xml:space="preserve">   </v>
      </c>
      <c r="C165" s="157"/>
      <c r="D165" s="13"/>
      <c r="E165" s="13"/>
      <c r="F165" s="13"/>
      <c r="G165" s="13"/>
      <c r="H165" s="14"/>
      <c r="I165" s="14"/>
      <c r="J165" s="14"/>
      <c r="K165" s="14"/>
      <c r="L165" s="446"/>
      <c r="M165" s="87" t="str">
        <f t="shared" si="2"/>
        <v xml:space="preserve">   </v>
      </c>
    </row>
    <row r="166" spans="1:13" x14ac:dyDescent="0.2">
      <c r="A166" s="426"/>
      <c r="B166" s="156" t="str">
        <f>Capacidades!M1362</f>
        <v xml:space="preserve">   </v>
      </c>
      <c r="C166" s="157"/>
      <c r="D166" s="13"/>
      <c r="E166" s="13"/>
      <c r="F166" s="13"/>
      <c r="G166" s="13"/>
      <c r="H166" s="14"/>
      <c r="I166" s="14"/>
      <c r="J166" s="14"/>
      <c r="K166" s="14"/>
      <c r="L166" s="446"/>
      <c r="M166" s="87" t="str">
        <f t="shared" si="2"/>
        <v xml:space="preserve">   </v>
      </c>
    </row>
    <row r="167" spans="1:13" x14ac:dyDescent="0.2">
      <c r="A167" s="427"/>
      <c r="B167" s="156" t="str">
        <f>Capacidades!M1363</f>
        <v xml:space="preserve">   </v>
      </c>
      <c r="C167" s="157"/>
      <c r="D167" s="15"/>
      <c r="E167" s="15"/>
      <c r="F167" s="15"/>
      <c r="G167" s="15"/>
      <c r="H167" s="16"/>
      <c r="I167" s="16"/>
      <c r="J167" s="16"/>
      <c r="K167" s="16"/>
      <c r="L167" s="447"/>
      <c r="M167" s="87" t="str">
        <f t="shared" si="2"/>
        <v xml:space="preserve">   </v>
      </c>
    </row>
    <row r="168" spans="1:13" x14ac:dyDescent="0.2">
      <c r="A168" s="425" t="str">
        <f>Capacidades!L1364</f>
        <v xml:space="preserve">       </v>
      </c>
      <c r="B168" s="156" t="str">
        <f>Capacidades!M1364</f>
        <v xml:space="preserve">   </v>
      </c>
      <c r="C168" s="157"/>
      <c r="D168" s="11">
        <f>Organización_Modular!F149</f>
        <v>0</v>
      </c>
      <c r="E168" s="11">
        <f>Organización_Modular!G149</f>
        <v>0</v>
      </c>
      <c r="F168" s="11">
        <f>Organización_Modular!H149</f>
        <v>0</v>
      </c>
      <c r="G168" s="11">
        <f>Organización_Modular!I149</f>
        <v>0</v>
      </c>
      <c r="H168" s="12">
        <f>SUM(F168:G168)</f>
        <v>0</v>
      </c>
      <c r="I168" s="12">
        <f>F168*16</f>
        <v>0</v>
      </c>
      <c r="J168" s="12">
        <f>G168*32</f>
        <v>0</v>
      </c>
      <c r="K168" s="12">
        <f>SUM(I168:J168)</f>
        <v>0</v>
      </c>
      <c r="L168" s="445"/>
      <c r="M168" s="87" t="str">
        <f t="shared" si="2"/>
        <v xml:space="preserve">   </v>
      </c>
    </row>
    <row r="169" spans="1:13" x14ac:dyDescent="0.2">
      <c r="A169" s="426"/>
      <c r="B169" s="156" t="str">
        <f>Capacidades!M1365</f>
        <v xml:space="preserve">   </v>
      </c>
      <c r="C169" s="157"/>
      <c r="D169" s="13"/>
      <c r="E169" s="13"/>
      <c r="F169" s="13"/>
      <c r="G169" s="13"/>
      <c r="H169" s="14"/>
      <c r="I169" s="14"/>
      <c r="J169" s="14"/>
      <c r="K169" s="14"/>
      <c r="L169" s="446"/>
      <c r="M169" s="87" t="str">
        <f t="shared" si="2"/>
        <v xml:space="preserve">   </v>
      </c>
    </row>
    <row r="170" spans="1:13" x14ac:dyDescent="0.2">
      <c r="A170" s="426"/>
      <c r="B170" s="156" t="str">
        <f>Capacidades!M1366</f>
        <v xml:space="preserve">   </v>
      </c>
      <c r="C170" s="157"/>
      <c r="D170" s="13"/>
      <c r="E170" s="13"/>
      <c r="F170" s="13"/>
      <c r="G170" s="13"/>
      <c r="H170" s="14"/>
      <c r="I170" s="14"/>
      <c r="J170" s="14"/>
      <c r="K170" s="14"/>
      <c r="L170" s="446"/>
      <c r="M170" s="87" t="str">
        <f t="shared" si="2"/>
        <v xml:space="preserve">   </v>
      </c>
    </row>
    <row r="171" spans="1:13" x14ac:dyDescent="0.2">
      <c r="A171" s="426"/>
      <c r="B171" s="156" t="str">
        <f>Capacidades!M1367</f>
        <v xml:space="preserve">   </v>
      </c>
      <c r="C171" s="157"/>
      <c r="D171" s="13"/>
      <c r="E171" s="13"/>
      <c r="F171" s="13"/>
      <c r="G171" s="13"/>
      <c r="H171" s="14"/>
      <c r="I171" s="14"/>
      <c r="J171" s="14"/>
      <c r="K171" s="14"/>
      <c r="L171" s="446"/>
      <c r="M171" s="87" t="str">
        <f t="shared" si="2"/>
        <v xml:space="preserve">   </v>
      </c>
    </row>
    <row r="172" spans="1:13" x14ac:dyDescent="0.2">
      <c r="A172" s="426"/>
      <c r="B172" s="156" t="str">
        <f>Capacidades!M1368</f>
        <v xml:space="preserve">   </v>
      </c>
      <c r="C172" s="157"/>
      <c r="D172" s="13"/>
      <c r="E172" s="13"/>
      <c r="F172" s="13"/>
      <c r="G172" s="13"/>
      <c r="H172" s="14"/>
      <c r="I172" s="14"/>
      <c r="J172" s="14"/>
      <c r="K172" s="14"/>
      <c r="L172" s="446"/>
      <c r="M172" s="87" t="str">
        <f t="shared" si="2"/>
        <v xml:space="preserve">   </v>
      </c>
    </row>
    <row r="173" spans="1:13" x14ac:dyDescent="0.2">
      <c r="A173" s="426"/>
      <c r="B173" s="156" t="str">
        <f>Capacidades!M1369</f>
        <v xml:space="preserve">   </v>
      </c>
      <c r="C173" s="157"/>
      <c r="D173" s="13"/>
      <c r="E173" s="13"/>
      <c r="F173" s="13"/>
      <c r="G173" s="13"/>
      <c r="H173" s="14"/>
      <c r="I173" s="14"/>
      <c r="J173" s="14"/>
      <c r="K173" s="14"/>
      <c r="L173" s="446"/>
      <c r="M173" s="87" t="str">
        <f t="shared" si="2"/>
        <v xml:space="preserve">   </v>
      </c>
    </row>
    <row r="174" spans="1:13" x14ac:dyDescent="0.2">
      <c r="A174" s="426"/>
      <c r="B174" s="156" t="str">
        <f>Capacidades!M1370</f>
        <v xml:space="preserve">   </v>
      </c>
      <c r="C174" s="157"/>
      <c r="D174" s="13"/>
      <c r="E174" s="13"/>
      <c r="F174" s="13"/>
      <c r="G174" s="13"/>
      <c r="H174" s="14"/>
      <c r="I174" s="14"/>
      <c r="J174" s="14"/>
      <c r="K174" s="14"/>
      <c r="L174" s="446"/>
      <c r="M174" s="87" t="str">
        <f t="shared" si="2"/>
        <v xml:space="preserve">   </v>
      </c>
    </row>
    <row r="175" spans="1:13" x14ac:dyDescent="0.2">
      <c r="A175" s="426"/>
      <c r="B175" s="156" t="str">
        <f>Capacidades!M1371</f>
        <v xml:space="preserve">   </v>
      </c>
      <c r="C175" s="157"/>
      <c r="D175" s="13"/>
      <c r="E175" s="13"/>
      <c r="F175" s="13"/>
      <c r="G175" s="13"/>
      <c r="H175" s="14"/>
      <c r="I175" s="14"/>
      <c r="J175" s="14"/>
      <c r="K175" s="14"/>
      <c r="L175" s="446"/>
      <c r="M175" s="87" t="str">
        <f t="shared" si="2"/>
        <v xml:space="preserve">   </v>
      </c>
    </row>
    <row r="176" spans="1:13" x14ac:dyDescent="0.2">
      <c r="A176" s="426"/>
      <c r="B176" s="156" t="str">
        <f>Capacidades!M1372</f>
        <v xml:space="preserve">   </v>
      </c>
      <c r="C176" s="157"/>
      <c r="D176" s="13"/>
      <c r="E176" s="13"/>
      <c r="F176" s="13"/>
      <c r="G176" s="13"/>
      <c r="H176" s="14"/>
      <c r="I176" s="14"/>
      <c r="J176" s="14"/>
      <c r="K176" s="14"/>
      <c r="L176" s="446"/>
      <c r="M176" s="87" t="str">
        <f t="shared" si="2"/>
        <v xml:space="preserve">   </v>
      </c>
    </row>
    <row r="177" spans="1:13" x14ac:dyDescent="0.2">
      <c r="A177" s="427"/>
      <c r="B177" s="156" t="str">
        <f>Capacidades!M1373</f>
        <v xml:space="preserve">   </v>
      </c>
      <c r="C177" s="157"/>
      <c r="D177" s="15"/>
      <c r="E177" s="15"/>
      <c r="F177" s="15"/>
      <c r="G177" s="15"/>
      <c r="H177" s="16"/>
      <c r="I177" s="16"/>
      <c r="J177" s="16"/>
      <c r="K177" s="16"/>
      <c r="L177" s="447"/>
      <c r="M177" s="87" t="str">
        <f t="shared" si="2"/>
        <v xml:space="preserve">   </v>
      </c>
    </row>
    <row r="178" spans="1:13" x14ac:dyDescent="0.2">
      <c r="A178" s="425" t="str">
        <f>Capacidades!L1374</f>
        <v xml:space="preserve">       </v>
      </c>
      <c r="B178" s="156" t="str">
        <f>Capacidades!M1374</f>
        <v xml:space="preserve">   </v>
      </c>
      <c r="C178" s="157"/>
      <c r="D178" s="11">
        <f>Organización_Modular!F150</f>
        <v>0</v>
      </c>
      <c r="E178" s="11">
        <f>Organización_Modular!G150</f>
        <v>0</v>
      </c>
      <c r="F178" s="11">
        <f>Organización_Modular!H150</f>
        <v>0</v>
      </c>
      <c r="G178" s="11">
        <f>Organización_Modular!I150</f>
        <v>0</v>
      </c>
      <c r="H178" s="12">
        <f>SUM(F178:G178)</f>
        <v>0</v>
      </c>
      <c r="I178" s="12">
        <f>F178*16</f>
        <v>0</v>
      </c>
      <c r="J178" s="12">
        <f>G178*32</f>
        <v>0</v>
      </c>
      <c r="K178" s="12">
        <f>SUM(I178:J178)</f>
        <v>0</v>
      </c>
      <c r="L178" s="445"/>
      <c r="M178" s="87" t="str">
        <f t="shared" si="2"/>
        <v xml:space="preserve">   </v>
      </c>
    </row>
    <row r="179" spans="1:13" x14ac:dyDescent="0.2">
      <c r="A179" s="426"/>
      <c r="B179" s="156" t="str">
        <f>Capacidades!M1375</f>
        <v xml:space="preserve">   </v>
      </c>
      <c r="C179" s="157"/>
      <c r="D179" s="13"/>
      <c r="E179" s="13"/>
      <c r="F179" s="13"/>
      <c r="G179" s="13"/>
      <c r="H179" s="14"/>
      <c r="I179" s="14"/>
      <c r="J179" s="14"/>
      <c r="K179" s="14"/>
      <c r="L179" s="446"/>
      <c r="M179" s="87" t="str">
        <f t="shared" si="2"/>
        <v xml:space="preserve">   </v>
      </c>
    </row>
    <row r="180" spans="1:13" x14ac:dyDescent="0.2">
      <c r="A180" s="426"/>
      <c r="B180" s="156" t="str">
        <f>Capacidades!M1376</f>
        <v xml:space="preserve">   </v>
      </c>
      <c r="C180" s="157"/>
      <c r="D180" s="13"/>
      <c r="E180" s="13"/>
      <c r="F180" s="13"/>
      <c r="G180" s="13"/>
      <c r="H180" s="14"/>
      <c r="I180" s="14"/>
      <c r="J180" s="14"/>
      <c r="K180" s="14"/>
      <c r="L180" s="446"/>
      <c r="M180" s="87" t="str">
        <f t="shared" si="2"/>
        <v xml:space="preserve">   </v>
      </c>
    </row>
    <row r="181" spans="1:13" x14ac:dyDescent="0.2">
      <c r="A181" s="426"/>
      <c r="B181" s="156" t="str">
        <f>Capacidades!M1377</f>
        <v xml:space="preserve">   </v>
      </c>
      <c r="C181" s="157"/>
      <c r="D181" s="13"/>
      <c r="E181" s="13"/>
      <c r="F181" s="13"/>
      <c r="G181" s="13"/>
      <c r="H181" s="14"/>
      <c r="I181" s="14"/>
      <c r="J181" s="14"/>
      <c r="K181" s="14"/>
      <c r="L181" s="446"/>
      <c r="M181" s="87" t="str">
        <f t="shared" si="2"/>
        <v xml:space="preserve">   </v>
      </c>
    </row>
    <row r="182" spans="1:13" x14ac:dyDescent="0.2">
      <c r="A182" s="426"/>
      <c r="B182" s="156" t="str">
        <f>Capacidades!M1378</f>
        <v xml:space="preserve">   </v>
      </c>
      <c r="C182" s="157"/>
      <c r="D182" s="13"/>
      <c r="E182" s="13"/>
      <c r="F182" s="13"/>
      <c r="G182" s="13"/>
      <c r="H182" s="14"/>
      <c r="I182" s="14"/>
      <c r="J182" s="14"/>
      <c r="K182" s="14"/>
      <c r="L182" s="446"/>
      <c r="M182" s="87" t="str">
        <f t="shared" si="2"/>
        <v xml:space="preserve">   </v>
      </c>
    </row>
    <row r="183" spans="1:13" x14ac:dyDescent="0.2">
      <c r="A183" s="426"/>
      <c r="B183" s="156" t="str">
        <f>Capacidades!M1379</f>
        <v xml:space="preserve">   </v>
      </c>
      <c r="C183" s="157"/>
      <c r="D183" s="13"/>
      <c r="E183" s="13"/>
      <c r="F183" s="13"/>
      <c r="G183" s="13"/>
      <c r="H183" s="14"/>
      <c r="I183" s="14"/>
      <c r="J183" s="14"/>
      <c r="K183" s="14"/>
      <c r="L183" s="446"/>
      <c r="M183" s="87" t="str">
        <f t="shared" si="2"/>
        <v xml:space="preserve">   </v>
      </c>
    </row>
    <row r="184" spans="1:13" x14ac:dyDescent="0.2">
      <c r="A184" s="426"/>
      <c r="B184" s="156" t="str">
        <f>Capacidades!M1380</f>
        <v xml:space="preserve">   </v>
      </c>
      <c r="C184" s="157"/>
      <c r="D184" s="13"/>
      <c r="E184" s="13"/>
      <c r="F184" s="13"/>
      <c r="G184" s="13"/>
      <c r="H184" s="14"/>
      <c r="I184" s="14"/>
      <c r="J184" s="14"/>
      <c r="K184" s="14"/>
      <c r="L184" s="446"/>
      <c r="M184" s="87" t="str">
        <f t="shared" si="2"/>
        <v xml:space="preserve">   </v>
      </c>
    </row>
    <row r="185" spans="1:13" x14ac:dyDescent="0.2">
      <c r="A185" s="426"/>
      <c r="B185" s="156" t="str">
        <f>Capacidades!M1381</f>
        <v xml:space="preserve">   </v>
      </c>
      <c r="C185" s="157"/>
      <c r="D185" s="13"/>
      <c r="E185" s="13"/>
      <c r="F185" s="13"/>
      <c r="G185" s="13"/>
      <c r="H185" s="14"/>
      <c r="I185" s="14"/>
      <c r="J185" s="14"/>
      <c r="K185" s="14"/>
      <c r="L185" s="446"/>
      <c r="M185" s="87" t="str">
        <f t="shared" si="2"/>
        <v xml:space="preserve">   </v>
      </c>
    </row>
    <row r="186" spans="1:13" x14ac:dyDescent="0.2">
      <c r="A186" s="426"/>
      <c r="B186" s="156" t="str">
        <f>Capacidades!M1382</f>
        <v xml:space="preserve">   </v>
      </c>
      <c r="C186" s="157"/>
      <c r="D186" s="13"/>
      <c r="E186" s="13"/>
      <c r="F186" s="13"/>
      <c r="G186" s="13"/>
      <c r="H186" s="14"/>
      <c r="I186" s="14"/>
      <c r="J186" s="14"/>
      <c r="K186" s="14"/>
      <c r="L186" s="446"/>
      <c r="M186" s="87" t="str">
        <f t="shared" si="2"/>
        <v xml:space="preserve">   </v>
      </c>
    </row>
    <row r="187" spans="1:13" x14ac:dyDescent="0.2">
      <c r="A187" s="427"/>
      <c r="B187" s="156" t="str">
        <f>Capacidades!M1383</f>
        <v xml:space="preserve">   </v>
      </c>
      <c r="C187" s="157"/>
      <c r="D187" s="15"/>
      <c r="E187" s="15"/>
      <c r="F187" s="15"/>
      <c r="G187" s="15"/>
      <c r="H187" s="16"/>
      <c r="I187" s="16"/>
      <c r="J187" s="16"/>
      <c r="K187" s="16"/>
      <c r="L187" s="447"/>
      <c r="M187" s="87" t="str">
        <f t="shared" si="2"/>
        <v xml:space="preserve">   </v>
      </c>
    </row>
    <row r="188" spans="1:13" x14ac:dyDescent="0.2">
      <c r="A188" s="425" t="str">
        <f>Capacidades!L1384</f>
        <v xml:space="preserve">       </v>
      </c>
      <c r="B188" s="156" t="str">
        <f>Capacidades!M1384</f>
        <v xml:space="preserve">   </v>
      </c>
      <c r="C188" s="157"/>
      <c r="D188" s="11">
        <f>Organización_Modular!F151</f>
        <v>0</v>
      </c>
      <c r="E188" s="11">
        <f>Organización_Modular!G151</f>
        <v>0</v>
      </c>
      <c r="F188" s="11">
        <f>Organización_Modular!H151</f>
        <v>0</v>
      </c>
      <c r="G188" s="11">
        <f>Organización_Modular!I151</f>
        <v>0</v>
      </c>
      <c r="H188" s="12">
        <f>SUM(F188:G188)</f>
        <v>0</v>
      </c>
      <c r="I188" s="12">
        <f>F188*16</f>
        <v>0</v>
      </c>
      <c r="J188" s="12">
        <f>G188*32</f>
        <v>0</v>
      </c>
      <c r="K188" s="12">
        <f>SUM(I188:J188)</f>
        <v>0</v>
      </c>
      <c r="L188" s="445"/>
      <c r="M188" s="87" t="str">
        <f t="shared" si="2"/>
        <v xml:space="preserve">   </v>
      </c>
    </row>
    <row r="189" spans="1:13" x14ac:dyDescent="0.2">
      <c r="A189" s="426"/>
      <c r="B189" s="156" t="str">
        <f>Capacidades!M1385</f>
        <v xml:space="preserve">   </v>
      </c>
      <c r="C189" s="157"/>
      <c r="D189" s="13"/>
      <c r="E189" s="13"/>
      <c r="F189" s="13"/>
      <c r="G189" s="13"/>
      <c r="H189" s="14"/>
      <c r="I189" s="14"/>
      <c r="J189" s="14"/>
      <c r="K189" s="14"/>
      <c r="L189" s="446"/>
      <c r="M189" s="87" t="str">
        <f t="shared" si="2"/>
        <v xml:space="preserve">   </v>
      </c>
    </row>
    <row r="190" spans="1:13" x14ac:dyDescent="0.2">
      <c r="A190" s="426"/>
      <c r="B190" s="156" t="str">
        <f>Capacidades!M1386</f>
        <v xml:space="preserve">   </v>
      </c>
      <c r="C190" s="157"/>
      <c r="D190" s="13"/>
      <c r="E190" s="13"/>
      <c r="F190" s="13"/>
      <c r="G190" s="13"/>
      <c r="H190" s="14"/>
      <c r="I190" s="14"/>
      <c r="J190" s="14"/>
      <c r="K190" s="14"/>
      <c r="L190" s="446"/>
      <c r="M190" s="87" t="str">
        <f t="shared" si="2"/>
        <v xml:space="preserve">   </v>
      </c>
    </row>
    <row r="191" spans="1:13" x14ac:dyDescent="0.2">
      <c r="A191" s="426"/>
      <c r="B191" s="156" t="str">
        <f>Capacidades!M1387</f>
        <v xml:space="preserve">   </v>
      </c>
      <c r="C191" s="157"/>
      <c r="D191" s="13"/>
      <c r="E191" s="13"/>
      <c r="F191" s="13"/>
      <c r="G191" s="13"/>
      <c r="H191" s="14"/>
      <c r="I191" s="14"/>
      <c r="J191" s="14"/>
      <c r="K191" s="14"/>
      <c r="L191" s="446"/>
      <c r="M191" s="87" t="str">
        <f t="shared" si="2"/>
        <v xml:space="preserve">   </v>
      </c>
    </row>
    <row r="192" spans="1:13" x14ac:dyDescent="0.2">
      <c r="A192" s="426"/>
      <c r="B192" s="156" t="str">
        <f>Capacidades!M1388</f>
        <v xml:space="preserve">   </v>
      </c>
      <c r="C192" s="157"/>
      <c r="D192" s="13"/>
      <c r="E192" s="13"/>
      <c r="F192" s="13"/>
      <c r="G192" s="13"/>
      <c r="H192" s="14"/>
      <c r="I192" s="14"/>
      <c r="J192" s="14"/>
      <c r="K192" s="14"/>
      <c r="L192" s="446"/>
      <c r="M192" s="87" t="str">
        <f t="shared" si="2"/>
        <v xml:space="preserve">   </v>
      </c>
    </row>
    <row r="193" spans="1:13" x14ac:dyDescent="0.2">
      <c r="A193" s="426"/>
      <c r="B193" s="156" t="str">
        <f>Capacidades!M1389</f>
        <v xml:space="preserve">   </v>
      </c>
      <c r="C193" s="157"/>
      <c r="D193" s="13"/>
      <c r="E193" s="13"/>
      <c r="F193" s="13"/>
      <c r="G193" s="13"/>
      <c r="H193" s="14"/>
      <c r="I193" s="14"/>
      <c r="J193" s="14"/>
      <c r="K193" s="14"/>
      <c r="L193" s="446"/>
      <c r="M193" s="87" t="str">
        <f t="shared" si="2"/>
        <v xml:space="preserve">   </v>
      </c>
    </row>
    <row r="194" spans="1:13" x14ac:dyDescent="0.2">
      <c r="A194" s="426"/>
      <c r="B194" s="156" t="str">
        <f>Capacidades!M1390</f>
        <v xml:space="preserve">   </v>
      </c>
      <c r="C194" s="157"/>
      <c r="D194" s="13"/>
      <c r="E194" s="13"/>
      <c r="F194" s="13"/>
      <c r="G194" s="13"/>
      <c r="H194" s="14"/>
      <c r="I194" s="14"/>
      <c r="J194" s="14"/>
      <c r="K194" s="14"/>
      <c r="L194" s="446"/>
      <c r="M194" s="87" t="str">
        <f t="shared" si="2"/>
        <v xml:space="preserve">   </v>
      </c>
    </row>
    <row r="195" spans="1:13" x14ac:dyDescent="0.2">
      <c r="A195" s="426"/>
      <c r="B195" s="156" t="str">
        <f>Capacidades!M1391</f>
        <v xml:space="preserve">   </v>
      </c>
      <c r="C195" s="157"/>
      <c r="D195" s="13"/>
      <c r="E195" s="13"/>
      <c r="F195" s="13"/>
      <c r="G195" s="13"/>
      <c r="H195" s="14"/>
      <c r="I195" s="14"/>
      <c r="J195" s="14"/>
      <c r="K195" s="14"/>
      <c r="L195" s="446"/>
      <c r="M195" s="87" t="str">
        <f t="shared" si="2"/>
        <v xml:space="preserve">   </v>
      </c>
    </row>
    <row r="196" spans="1:13" x14ac:dyDescent="0.2">
      <c r="A196" s="426"/>
      <c r="B196" s="156" t="str">
        <f>Capacidades!M1392</f>
        <v xml:space="preserve">   </v>
      </c>
      <c r="C196" s="157"/>
      <c r="D196" s="13"/>
      <c r="E196" s="13"/>
      <c r="F196" s="13"/>
      <c r="G196" s="13"/>
      <c r="H196" s="14"/>
      <c r="I196" s="14"/>
      <c r="J196" s="14"/>
      <c r="K196" s="14"/>
      <c r="L196" s="446"/>
      <c r="M196" s="87" t="str">
        <f t="shared" si="2"/>
        <v xml:space="preserve">   </v>
      </c>
    </row>
    <row r="197" spans="1:13" x14ac:dyDescent="0.2">
      <c r="A197" s="427"/>
      <c r="B197" s="156" t="str">
        <f>Capacidades!M1393</f>
        <v xml:space="preserve">   </v>
      </c>
      <c r="C197" s="157"/>
      <c r="D197" s="15"/>
      <c r="E197" s="15"/>
      <c r="F197" s="15"/>
      <c r="G197" s="15"/>
      <c r="H197" s="16"/>
      <c r="I197" s="16"/>
      <c r="J197" s="16"/>
      <c r="K197" s="16"/>
      <c r="L197" s="447"/>
      <c r="M197" s="87" t="str">
        <f t="shared" si="2"/>
        <v xml:space="preserve">   </v>
      </c>
    </row>
    <row r="198" spans="1:13" x14ac:dyDescent="0.2">
      <c r="A198" s="425" t="str">
        <f>Capacidades!L1394</f>
        <v xml:space="preserve">       </v>
      </c>
      <c r="B198" s="156" t="str">
        <f>Capacidades!M1394</f>
        <v xml:space="preserve">   </v>
      </c>
      <c r="C198" s="157"/>
      <c r="D198" s="11">
        <f>Organización_Modular!F152</f>
        <v>0</v>
      </c>
      <c r="E198" s="11">
        <f>Organización_Modular!G152</f>
        <v>0</v>
      </c>
      <c r="F198" s="11">
        <f>Organización_Modular!H152</f>
        <v>0</v>
      </c>
      <c r="G198" s="11">
        <f>Organización_Modular!I152</f>
        <v>0</v>
      </c>
      <c r="H198" s="12">
        <f>SUM(F198:G198)</f>
        <v>0</v>
      </c>
      <c r="I198" s="12">
        <f>F198*16</f>
        <v>0</v>
      </c>
      <c r="J198" s="12">
        <f>G198*32</f>
        <v>0</v>
      </c>
      <c r="K198" s="12">
        <f>SUM(I198:J198)</f>
        <v>0</v>
      </c>
      <c r="L198" s="445"/>
      <c r="M198" s="87" t="str">
        <f t="shared" si="2"/>
        <v xml:space="preserve">   </v>
      </c>
    </row>
    <row r="199" spans="1:13" x14ac:dyDescent="0.2">
      <c r="A199" s="426"/>
      <c r="B199" s="156" t="str">
        <f>Capacidades!M1395</f>
        <v xml:space="preserve">   </v>
      </c>
      <c r="C199" s="157"/>
      <c r="D199" s="13"/>
      <c r="E199" s="13"/>
      <c r="F199" s="13"/>
      <c r="G199" s="13"/>
      <c r="H199" s="14"/>
      <c r="I199" s="14"/>
      <c r="J199" s="14"/>
      <c r="K199" s="14"/>
      <c r="L199" s="446"/>
      <c r="M199" s="87" t="str">
        <f t="shared" si="2"/>
        <v xml:space="preserve">   </v>
      </c>
    </row>
    <row r="200" spans="1:13" x14ac:dyDescent="0.2">
      <c r="A200" s="426"/>
      <c r="B200" s="156" t="str">
        <f>Capacidades!M1396</f>
        <v xml:space="preserve">   </v>
      </c>
      <c r="C200" s="157"/>
      <c r="D200" s="13"/>
      <c r="E200" s="13"/>
      <c r="F200" s="13"/>
      <c r="G200" s="13"/>
      <c r="H200" s="14"/>
      <c r="I200" s="14"/>
      <c r="J200" s="14"/>
      <c r="K200" s="14"/>
      <c r="L200" s="446"/>
      <c r="M200" s="87" t="str">
        <f t="shared" si="2"/>
        <v xml:space="preserve">   </v>
      </c>
    </row>
    <row r="201" spans="1:13" x14ac:dyDescent="0.2">
      <c r="A201" s="426"/>
      <c r="B201" s="156" t="str">
        <f>Capacidades!M1397</f>
        <v xml:space="preserve">   </v>
      </c>
      <c r="C201" s="157"/>
      <c r="D201" s="13"/>
      <c r="E201" s="13"/>
      <c r="F201" s="13"/>
      <c r="G201" s="13"/>
      <c r="H201" s="14"/>
      <c r="I201" s="14"/>
      <c r="J201" s="14"/>
      <c r="K201" s="14"/>
      <c r="L201" s="446"/>
      <c r="M201" s="87" t="str">
        <f t="shared" si="2"/>
        <v xml:space="preserve">   </v>
      </c>
    </row>
    <row r="202" spans="1:13" x14ac:dyDescent="0.2">
      <c r="A202" s="426"/>
      <c r="B202" s="156" t="str">
        <f>Capacidades!M1398</f>
        <v xml:space="preserve">   </v>
      </c>
      <c r="C202" s="157"/>
      <c r="D202" s="13"/>
      <c r="E202" s="13"/>
      <c r="F202" s="13"/>
      <c r="G202" s="13"/>
      <c r="H202" s="14"/>
      <c r="I202" s="14"/>
      <c r="J202" s="14"/>
      <c r="K202" s="14"/>
      <c r="L202" s="446"/>
      <c r="M202" s="87" t="str">
        <f t="shared" si="2"/>
        <v xml:space="preserve">   </v>
      </c>
    </row>
    <row r="203" spans="1:13" x14ac:dyDescent="0.2">
      <c r="A203" s="426"/>
      <c r="B203" s="156" t="str">
        <f>Capacidades!M1399</f>
        <v xml:space="preserve">   </v>
      </c>
      <c r="C203" s="157"/>
      <c r="D203" s="13"/>
      <c r="E203" s="13"/>
      <c r="F203" s="13"/>
      <c r="G203" s="13"/>
      <c r="H203" s="14"/>
      <c r="I203" s="14"/>
      <c r="J203" s="14"/>
      <c r="K203" s="14"/>
      <c r="L203" s="446"/>
      <c r="M203" s="87" t="str">
        <f t="shared" si="2"/>
        <v xml:space="preserve">   </v>
      </c>
    </row>
    <row r="204" spans="1:13" x14ac:dyDescent="0.2">
      <c r="A204" s="426"/>
      <c r="B204" s="156" t="str">
        <f>Capacidades!M1400</f>
        <v xml:space="preserve">   </v>
      </c>
      <c r="C204" s="157"/>
      <c r="D204" s="13"/>
      <c r="E204" s="13"/>
      <c r="F204" s="13"/>
      <c r="G204" s="13"/>
      <c r="H204" s="14"/>
      <c r="I204" s="14"/>
      <c r="J204" s="14"/>
      <c r="K204" s="14"/>
      <c r="L204" s="446"/>
      <c r="M204" s="87" t="str">
        <f t="shared" si="2"/>
        <v xml:space="preserve">   </v>
      </c>
    </row>
    <row r="205" spans="1:13" x14ac:dyDescent="0.2">
      <c r="A205" s="426"/>
      <c r="B205" s="156" t="str">
        <f>Capacidades!M1401</f>
        <v xml:space="preserve">   </v>
      </c>
      <c r="C205" s="157"/>
      <c r="D205" s="13"/>
      <c r="E205" s="13"/>
      <c r="F205" s="13"/>
      <c r="G205" s="13"/>
      <c r="H205" s="14"/>
      <c r="I205" s="14"/>
      <c r="J205" s="14"/>
      <c r="K205" s="14"/>
      <c r="L205" s="446"/>
      <c r="M205" s="87" t="str">
        <f t="shared" si="2"/>
        <v xml:space="preserve">   </v>
      </c>
    </row>
    <row r="206" spans="1:13" x14ac:dyDescent="0.2">
      <c r="A206" s="426"/>
      <c r="B206" s="156" t="str">
        <f>Capacidades!M1402</f>
        <v xml:space="preserve">   </v>
      </c>
      <c r="C206" s="157"/>
      <c r="D206" s="13"/>
      <c r="E206" s="13"/>
      <c r="F206" s="13"/>
      <c r="G206" s="13"/>
      <c r="H206" s="14"/>
      <c r="I206" s="14"/>
      <c r="J206" s="14"/>
      <c r="K206" s="14"/>
      <c r="L206" s="446"/>
      <c r="M206" s="87" t="str">
        <f t="shared" si="2"/>
        <v xml:space="preserve">   </v>
      </c>
    </row>
    <row r="207" spans="1:13" x14ac:dyDescent="0.2">
      <c r="A207" s="427"/>
      <c r="B207" s="156" t="str">
        <f>Capacidades!M1403</f>
        <v xml:space="preserve">   </v>
      </c>
      <c r="C207" s="157"/>
      <c r="D207" s="15"/>
      <c r="E207" s="15"/>
      <c r="F207" s="15"/>
      <c r="G207" s="15"/>
      <c r="H207" s="16"/>
      <c r="I207" s="16"/>
      <c r="J207" s="16"/>
      <c r="K207" s="16"/>
      <c r="L207" s="447"/>
      <c r="M207" s="87" t="str">
        <f t="shared" si="2"/>
        <v xml:space="preserve">   </v>
      </c>
    </row>
    <row r="208" spans="1:13" x14ac:dyDescent="0.2">
      <c r="A208" s="425" t="str">
        <f>Capacidades!L1404</f>
        <v xml:space="preserve">       </v>
      </c>
      <c r="B208" s="156" t="str">
        <f>Capacidades!M1404</f>
        <v xml:space="preserve">   </v>
      </c>
      <c r="C208" s="157"/>
      <c r="D208" s="11">
        <f>Organización_Modular!F153</f>
        <v>0</v>
      </c>
      <c r="E208" s="11">
        <f>Organización_Modular!G153</f>
        <v>0</v>
      </c>
      <c r="F208" s="11">
        <f>Organización_Modular!H153</f>
        <v>0</v>
      </c>
      <c r="G208" s="11">
        <f>Organización_Modular!I153</f>
        <v>0</v>
      </c>
      <c r="H208" s="12">
        <f>SUM(F208:G208)</f>
        <v>0</v>
      </c>
      <c r="I208" s="12">
        <f>F208*16</f>
        <v>0</v>
      </c>
      <c r="J208" s="12">
        <f>G208*32</f>
        <v>0</v>
      </c>
      <c r="K208" s="12">
        <f>SUM(I208:J208)</f>
        <v>0</v>
      </c>
      <c r="L208" s="445"/>
      <c r="M208" s="87" t="str">
        <f t="shared" si="2"/>
        <v xml:space="preserve">   </v>
      </c>
    </row>
    <row r="209" spans="1:13" x14ac:dyDescent="0.2">
      <c r="A209" s="426"/>
      <c r="B209" s="156" t="str">
        <f>Capacidades!M1405</f>
        <v xml:space="preserve">   </v>
      </c>
      <c r="C209" s="157"/>
      <c r="D209" s="13"/>
      <c r="E209" s="13"/>
      <c r="F209" s="14"/>
      <c r="G209" s="14"/>
      <c r="H209" s="14"/>
      <c r="I209" s="14"/>
      <c r="J209" s="14"/>
      <c r="K209" s="14"/>
      <c r="L209" s="446"/>
      <c r="M209" s="87" t="str">
        <f t="shared" si="2"/>
        <v xml:space="preserve">   </v>
      </c>
    </row>
    <row r="210" spans="1:13" x14ac:dyDescent="0.2">
      <c r="A210" s="426"/>
      <c r="B210" s="156" t="str">
        <f>Capacidades!M1406</f>
        <v xml:space="preserve">   </v>
      </c>
      <c r="C210" s="157"/>
      <c r="D210" s="13"/>
      <c r="E210" s="13"/>
      <c r="F210" s="14"/>
      <c r="G210" s="14"/>
      <c r="H210" s="14"/>
      <c r="I210" s="14"/>
      <c r="J210" s="14"/>
      <c r="K210" s="14"/>
      <c r="L210" s="446"/>
      <c r="M210" s="87" t="str">
        <f t="shared" si="2"/>
        <v xml:space="preserve">   </v>
      </c>
    </row>
    <row r="211" spans="1:13" x14ac:dyDescent="0.2">
      <c r="A211" s="426"/>
      <c r="B211" s="156" t="str">
        <f>Capacidades!M1407</f>
        <v xml:space="preserve">   </v>
      </c>
      <c r="C211" s="157"/>
      <c r="D211" s="13"/>
      <c r="E211" s="13"/>
      <c r="F211" s="13"/>
      <c r="G211" s="13"/>
      <c r="H211" s="14"/>
      <c r="I211" s="14"/>
      <c r="J211" s="14"/>
      <c r="K211" s="14"/>
      <c r="L211" s="446"/>
      <c r="M211" s="87" t="str">
        <f t="shared" ref="M211:M217" si="3">B211</f>
        <v xml:space="preserve">   </v>
      </c>
    </row>
    <row r="212" spans="1:13" x14ac:dyDescent="0.2">
      <c r="A212" s="426"/>
      <c r="B212" s="156" t="str">
        <f>Capacidades!M1408</f>
        <v xml:space="preserve">   </v>
      </c>
      <c r="C212" s="157"/>
      <c r="D212" s="13"/>
      <c r="E212" s="13"/>
      <c r="F212" s="13"/>
      <c r="G212" s="13"/>
      <c r="H212" s="14"/>
      <c r="I212" s="14"/>
      <c r="J212" s="14"/>
      <c r="K212" s="14"/>
      <c r="L212" s="446"/>
      <c r="M212" s="87" t="str">
        <f t="shared" si="3"/>
        <v xml:space="preserve">   </v>
      </c>
    </row>
    <row r="213" spans="1:13" x14ac:dyDescent="0.2">
      <c r="A213" s="426"/>
      <c r="B213" s="156" t="str">
        <f>Capacidades!M1409</f>
        <v xml:space="preserve">   </v>
      </c>
      <c r="C213" s="157"/>
      <c r="D213" s="13"/>
      <c r="E213" s="13"/>
      <c r="F213" s="13"/>
      <c r="G213" s="13"/>
      <c r="H213" s="14"/>
      <c r="I213" s="14"/>
      <c r="J213" s="14"/>
      <c r="K213" s="14"/>
      <c r="L213" s="446"/>
      <c r="M213" s="87" t="str">
        <f t="shared" si="3"/>
        <v xml:space="preserve">   </v>
      </c>
    </row>
    <row r="214" spans="1:13" x14ac:dyDescent="0.2">
      <c r="A214" s="426"/>
      <c r="B214" s="156" t="str">
        <f>Capacidades!M1410</f>
        <v xml:space="preserve">   </v>
      </c>
      <c r="C214" s="157"/>
      <c r="D214" s="13"/>
      <c r="E214" s="13"/>
      <c r="F214" s="13"/>
      <c r="G214" s="13"/>
      <c r="H214" s="14"/>
      <c r="I214" s="14"/>
      <c r="J214" s="14"/>
      <c r="K214" s="14"/>
      <c r="L214" s="446"/>
      <c r="M214" s="87" t="str">
        <f t="shared" si="3"/>
        <v xml:space="preserve">   </v>
      </c>
    </row>
    <row r="215" spans="1:13" x14ac:dyDescent="0.2">
      <c r="A215" s="426"/>
      <c r="B215" s="156" t="str">
        <f>Capacidades!M1411</f>
        <v xml:space="preserve">   </v>
      </c>
      <c r="C215" s="157"/>
      <c r="D215" s="13"/>
      <c r="E215" s="13"/>
      <c r="F215" s="14"/>
      <c r="G215" s="14"/>
      <c r="H215" s="14"/>
      <c r="I215" s="14"/>
      <c r="J215" s="14"/>
      <c r="K215" s="14"/>
      <c r="L215" s="446"/>
      <c r="M215" s="87" t="str">
        <f t="shared" si="3"/>
        <v xml:space="preserve">   </v>
      </c>
    </row>
    <row r="216" spans="1:13" x14ac:dyDescent="0.2">
      <c r="A216" s="426"/>
      <c r="B216" s="156" t="str">
        <f>Capacidades!M1412</f>
        <v xml:space="preserve">   </v>
      </c>
      <c r="C216" s="157"/>
      <c r="D216" s="13"/>
      <c r="E216" s="13"/>
      <c r="F216" s="14"/>
      <c r="G216" s="14"/>
      <c r="H216" s="14"/>
      <c r="I216" s="14"/>
      <c r="J216" s="14"/>
      <c r="K216" s="14"/>
      <c r="L216" s="446"/>
      <c r="M216" s="87" t="str">
        <f t="shared" si="3"/>
        <v xml:space="preserve">   </v>
      </c>
    </row>
    <row r="217" spans="1:13" x14ac:dyDescent="0.2">
      <c r="A217" s="427"/>
      <c r="B217" s="156" t="str">
        <f>Capacidades!M1413</f>
        <v xml:space="preserve">   </v>
      </c>
      <c r="C217" s="157"/>
      <c r="D217" s="15"/>
      <c r="E217" s="15"/>
      <c r="F217" s="16"/>
      <c r="G217" s="16"/>
      <c r="H217" s="16"/>
      <c r="I217" s="16"/>
      <c r="J217" s="16"/>
      <c r="K217" s="16"/>
      <c r="L217" s="447"/>
      <c r="M217" s="87" t="str">
        <f t="shared" si="3"/>
        <v xml:space="preserve">   </v>
      </c>
    </row>
    <row r="218" spans="1:13" ht="23.25" customHeight="1" x14ac:dyDescent="0.2">
      <c r="A218" s="466" t="s">
        <v>86</v>
      </c>
      <c r="B218" s="466"/>
      <c r="C218" s="466"/>
      <c r="D218" s="466"/>
      <c r="E218" s="466"/>
      <c r="F218" s="466"/>
      <c r="G218" s="466"/>
      <c r="H218" s="466"/>
      <c r="I218" s="466"/>
      <c r="J218" s="466"/>
      <c r="K218" s="466"/>
      <c r="L218" s="466"/>
      <c r="M218" s="87" t="str">
        <f>A218</f>
        <v>COMPETENCIAS PARA LA EMPLEABILIDAD INCORPORADAS MEDIANTE UNIDAD DIDÁCTICA</v>
      </c>
    </row>
    <row r="219" spans="1:13" ht="79.5" customHeight="1" x14ac:dyDescent="0.2">
      <c r="A219" s="503">
        <f>Organización_Modular!C154</f>
        <v>0</v>
      </c>
      <c r="B219" s="503"/>
      <c r="C219" s="503"/>
      <c r="D219" s="503"/>
      <c r="E219" s="503"/>
      <c r="F219" s="503"/>
      <c r="G219" s="503"/>
      <c r="H219" s="503"/>
      <c r="I219" s="503"/>
      <c r="J219" s="503"/>
      <c r="K219" s="503"/>
      <c r="L219" s="503"/>
      <c r="M219" s="87">
        <f>A219</f>
        <v>0</v>
      </c>
    </row>
    <row r="220" spans="1:13" ht="12.75" customHeight="1" x14ac:dyDescent="0.2">
      <c r="A220" s="471" t="s">
        <v>80</v>
      </c>
      <c r="B220" s="474" t="s">
        <v>79</v>
      </c>
      <c r="C220" s="471" t="s">
        <v>78</v>
      </c>
      <c r="D220" s="471" t="s">
        <v>0</v>
      </c>
      <c r="E220" s="459" t="s">
        <v>50</v>
      </c>
      <c r="F220" s="471" t="s">
        <v>71</v>
      </c>
      <c r="G220" s="471"/>
      <c r="H220" s="471" t="s">
        <v>71</v>
      </c>
      <c r="I220" s="471" t="s">
        <v>77</v>
      </c>
      <c r="J220" s="471"/>
      <c r="K220" s="471" t="s">
        <v>77</v>
      </c>
      <c r="L220" s="471" t="s">
        <v>76</v>
      </c>
      <c r="M220" s="87" t="str">
        <f t="shared" ref="M220" si="4">A220</f>
        <v>CAPACIDADES DE EMPLEABILIDAD</v>
      </c>
    </row>
    <row r="221" spans="1:13" x14ac:dyDescent="0.2">
      <c r="A221" s="471"/>
      <c r="B221" s="474"/>
      <c r="C221" s="471"/>
      <c r="D221" s="471"/>
      <c r="E221" s="459"/>
      <c r="F221" s="147" t="s">
        <v>75</v>
      </c>
      <c r="G221" s="147" t="s">
        <v>74</v>
      </c>
      <c r="H221" s="471"/>
      <c r="I221" s="147" t="s">
        <v>75</v>
      </c>
      <c r="J221" s="147" t="s">
        <v>74</v>
      </c>
      <c r="K221" s="471"/>
      <c r="L221" s="471"/>
      <c r="M221" s="87" t="str">
        <f>A220</f>
        <v>CAPACIDADES DE EMPLEABILIDAD</v>
      </c>
    </row>
    <row r="222" spans="1:13" x14ac:dyDescent="0.2">
      <c r="A222" s="425" t="str">
        <f>Capacidades!L1414</f>
        <v xml:space="preserve">       </v>
      </c>
      <c r="B222" s="158" t="str">
        <f>Capacidades!M1414</f>
        <v xml:space="preserve">   </v>
      </c>
      <c r="C222" s="159"/>
      <c r="D222" s="13">
        <f>Organización_Modular!F154</f>
        <v>0</v>
      </c>
      <c r="E222" s="13">
        <f>Organización_Modular!G154</f>
        <v>0</v>
      </c>
      <c r="F222" s="13">
        <f>Organización_Modular!H154</f>
        <v>0</v>
      </c>
      <c r="G222" s="13">
        <f>Organización_Modular!I154</f>
        <v>0</v>
      </c>
      <c r="H222" s="14">
        <f>SUM(F222:G222)</f>
        <v>0</v>
      </c>
      <c r="I222" s="14">
        <f>F222*16</f>
        <v>0</v>
      </c>
      <c r="J222" s="14">
        <f>G222*32</f>
        <v>0</v>
      </c>
      <c r="K222" s="14">
        <f>SUM(I222:J222)</f>
        <v>0</v>
      </c>
      <c r="L222" s="446"/>
      <c r="M222" s="87" t="str">
        <f>B222</f>
        <v xml:space="preserve">   </v>
      </c>
    </row>
    <row r="223" spans="1:13" x14ac:dyDescent="0.2">
      <c r="A223" s="426"/>
      <c r="B223" s="158" t="str">
        <f>Capacidades!M1415</f>
        <v xml:space="preserve">   </v>
      </c>
      <c r="C223" s="157"/>
      <c r="D223" s="13"/>
      <c r="E223" s="13"/>
      <c r="F223" s="13"/>
      <c r="G223" s="13"/>
      <c r="H223" s="14"/>
      <c r="I223" s="14"/>
      <c r="J223" s="14"/>
      <c r="K223" s="14"/>
      <c r="L223" s="446"/>
      <c r="M223" s="87" t="str">
        <f t="shared" ref="M223:M286" si="5">B223</f>
        <v xml:space="preserve">   </v>
      </c>
    </row>
    <row r="224" spans="1:13" x14ac:dyDescent="0.2">
      <c r="A224" s="426"/>
      <c r="B224" s="158" t="str">
        <f>Capacidades!M1416</f>
        <v xml:space="preserve">   </v>
      </c>
      <c r="C224" s="157"/>
      <c r="D224" s="13"/>
      <c r="E224" s="13"/>
      <c r="F224" s="13"/>
      <c r="G224" s="13"/>
      <c r="H224" s="14"/>
      <c r="I224" s="14"/>
      <c r="J224" s="14"/>
      <c r="K224" s="14"/>
      <c r="L224" s="446"/>
      <c r="M224" s="87" t="str">
        <f t="shared" si="5"/>
        <v xml:space="preserve">   </v>
      </c>
    </row>
    <row r="225" spans="1:13" x14ac:dyDescent="0.2">
      <c r="A225" s="426"/>
      <c r="B225" s="158" t="str">
        <f>Capacidades!M1417</f>
        <v xml:space="preserve">   </v>
      </c>
      <c r="C225" s="157"/>
      <c r="D225" s="13"/>
      <c r="E225" s="13"/>
      <c r="F225" s="13"/>
      <c r="G225" s="13"/>
      <c r="H225" s="14"/>
      <c r="I225" s="14"/>
      <c r="J225" s="14"/>
      <c r="K225" s="14"/>
      <c r="L225" s="446"/>
      <c r="M225" s="87" t="str">
        <f t="shared" si="5"/>
        <v xml:space="preserve">   </v>
      </c>
    </row>
    <row r="226" spans="1:13" x14ac:dyDescent="0.2">
      <c r="A226" s="426"/>
      <c r="B226" s="158" t="str">
        <f>Capacidades!M1418</f>
        <v xml:space="preserve">   </v>
      </c>
      <c r="C226" s="157"/>
      <c r="D226" s="13"/>
      <c r="E226" s="13"/>
      <c r="F226" s="13"/>
      <c r="G226" s="13"/>
      <c r="H226" s="14"/>
      <c r="I226" s="14"/>
      <c r="J226" s="14"/>
      <c r="K226" s="14"/>
      <c r="L226" s="446"/>
      <c r="M226" s="87" t="str">
        <f t="shared" si="5"/>
        <v xml:space="preserve">   </v>
      </c>
    </row>
    <row r="227" spans="1:13" x14ac:dyDescent="0.2">
      <c r="A227" s="426"/>
      <c r="B227" s="158" t="str">
        <f>Capacidades!M1419</f>
        <v xml:space="preserve">   </v>
      </c>
      <c r="C227" s="157"/>
      <c r="D227" s="13"/>
      <c r="E227" s="13"/>
      <c r="F227" s="13"/>
      <c r="G227" s="13"/>
      <c r="H227" s="14"/>
      <c r="I227" s="14"/>
      <c r="J227" s="14"/>
      <c r="K227" s="14"/>
      <c r="L227" s="446"/>
      <c r="M227" s="87" t="str">
        <f t="shared" si="5"/>
        <v xml:space="preserve">   </v>
      </c>
    </row>
    <row r="228" spans="1:13" x14ac:dyDescent="0.2">
      <c r="A228" s="426"/>
      <c r="B228" s="158" t="str">
        <f>Capacidades!M1420</f>
        <v xml:space="preserve">   </v>
      </c>
      <c r="C228" s="157"/>
      <c r="D228" s="13"/>
      <c r="E228" s="13"/>
      <c r="F228" s="13"/>
      <c r="G228" s="13"/>
      <c r="H228" s="14"/>
      <c r="I228" s="14"/>
      <c r="J228" s="14"/>
      <c r="K228" s="14"/>
      <c r="L228" s="446"/>
      <c r="M228" s="87" t="str">
        <f t="shared" si="5"/>
        <v xml:space="preserve">   </v>
      </c>
    </row>
    <row r="229" spans="1:13" x14ac:dyDescent="0.2">
      <c r="A229" s="426"/>
      <c r="B229" s="158" t="str">
        <f>Capacidades!M1421</f>
        <v xml:space="preserve">   </v>
      </c>
      <c r="C229" s="157"/>
      <c r="D229" s="13"/>
      <c r="E229" s="13"/>
      <c r="F229" s="13"/>
      <c r="G229" s="13"/>
      <c r="H229" s="14"/>
      <c r="I229" s="14"/>
      <c r="J229" s="14"/>
      <c r="K229" s="14"/>
      <c r="L229" s="446"/>
      <c r="M229" s="87" t="str">
        <f t="shared" si="5"/>
        <v xml:space="preserve">   </v>
      </c>
    </row>
    <row r="230" spans="1:13" x14ac:dyDescent="0.2">
      <c r="A230" s="426"/>
      <c r="B230" s="158" t="str">
        <f>Capacidades!M1422</f>
        <v xml:space="preserve">   </v>
      </c>
      <c r="C230" s="157"/>
      <c r="D230" s="13"/>
      <c r="E230" s="13"/>
      <c r="F230" s="13"/>
      <c r="G230" s="13"/>
      <c r="H230" s="14"/>
      <c r="I230" s="14"/>
      <c r="J230" s="14"/>
      <c r="K230" s="14"/>
      <c r="L230" s="446"/>
      <c r="M230" s="87" t="str">
        <f t="shared" si="5"/>
        <v xml:space="preserve">   </v>
      </c>
    </row>
    <row r="231" spans="1:13" x14ac:dyDescent="0.2">
      <c r="A231" s="427"/>
      <c r="B231" s="158" t="str">
        <f>Capacidades!M1423</f>
        <v xml:space="preserve">   </v>
      </c>
      <c r="C231" s="157"/>
      <c r="D231" s="15"/>
      <c r="E231" s="15"/>
      <c r="F231" s="15"/>
      <c r="G231" s="15"/>
      <c r="H231" s="16"/>
      <c r="I231" s="16"/>
      <c r="J231" s="16"/>
      <c r="K231" s="16"/>
      <c r="L231" s="447"/>
      <c r="M231" s="87" t="str">
        <f t="shared" si="5"/>
        <v xml:space="preserve">   </v>
      </c>
    </row>
    <row r="232" spans="1:13" x14ac:dyDescent="0.2">
      <c r="A232" s="425" t="str">
        <f>Capacidades!L1424</f>
        <v xml:space="preserve">       </v>
      </c>
      <c r="B232" s="158" t="str">
        <f>Capacidades!M1424</f>
        <v xml:space="preserve">   </v>
      </c>
      <c r="C232" s="157"/>
      <c r="D232" s="11">
        <f>Organización_Modular!F155</f>
        <v>0</v>
      </c>
      <c r="E232" s="11">
        <f>Organización_Modular!G155</f>
        <v>0</v>
      </c>
      <c r="F232" s="11">
        <f>Organización_Modular!H155</f>
        <v>0</v>
      </c>
      <c r="G232" s="11">
        <f>Organización_Modular!I155</f>
        <v>0</v>
      </c>
      <c r="H232" s="12">
        <f>SUM(F232:G232)</f>
        <v>0</v>
      </c>
      <c r="I232" s="12">
        <f>F232*16</f>
        <v>0</v>
      </c>
      <c r="J232" s="12">
        <f>G232*32</f>
        <v>0</v>
      </c>
      <c r="K232" s="12">
        <f>SUM(I232:J232)</f>
        <v>0</v>
      </c>
      <c r="L232" s="445"/>
      <c r="M232" s="87" t="str">
        <f t="shared" si="5"/>
        <v xml:space="preserve">   </v>
      </c>
    </row>
    <row r="233" spans="1:13" x14ac:dyDescent="0.2">
      <c r="A233" s="426"/>
      <c r="B233" s="158" t="str">
        <f>Capacidades!M1425</f>
        <v xml:space="preserve">   </v>
      </c>
      <c r="C233" s="157"/>
      <c r="D233" s="13"/>
      <c r="E233" s="13"/>
      <c r="F233" s="13"/>
      <c r="G233" s="13"/>
      <c r="H233" s="14"/>
      <c r="I233" s="14"/>
      <c r="J233" s="14"/>
      <c r="K233" s="14"/>
      <c r="L233" s="446"/>
      <c r="M233" s="87" t="str">
        <f t="shared" si="5"/>
        <v xml:space="preserve">   </v>
      </c>
    </row>
    <row r="234" spans="1:13" x14ac:dyDescent="0.2">
      <c r="A234" s="426"/>
      <c r="B234" s="158" t="str">
        <f>Capacidades!M1426</f>
        <v xml:space="preserve">   </v>
      </c>
      <c r="C234" s="157"/>
      <c r="D234" s="13"/>
      <c r="E234" s="13"/>
      <c r="F234" s="13"/>
      <c r="G234" s="13"/>
      <c r="H234" s="14"/>
      <c r="I234" s="14"/>
      <c r="J234" s="14"/>
      <c r="K234" s="14"/>
      <c r="L234" s="446"/>
      <c r="M234" s="87" t="str">
        <f t="shared" si="5"/>
        <v xml:space="preserve">   </v>
      </c>
    </row>
    <row r="235" spans="1:13" x14ac:dyDescent="0.2">
      <c r="A235" s="426"/>
      <c r="B235" s="158" t="str">
        <f>Capacidades!M1427</f>
        <v xml:space="preserve">   </v>
      </c>
      <c r="C235" s="157"/>
      <c r="D235" s="13"/>
      <c r="E235" s="13"/>
      <c r="F235" s="13"/>
      <c r="G235" s="13"/>
      <c r="H235" s="14"/>
      <c r="I235" s="14"/>
      <c r="J235" s="14"/>
      <c r="K235" s="14"/>
      <c r="L235" s="446"/>
      <c r="M235" s="87" t="str">
        <f t="shared" si="5"/>
        <v xml:space="preserve">   </v>
      </c>
    </row>
    <row r="236" spans="1:13" x14ac:dyDescent="0.2">
      <c r="A236" s="426"/>
      <c r="B236" s="158" t="str">
        <f>Capacidades!M1428</f>
        <v xml:space="preserve">   </v>
      </c>
      <c r="C236" s="157"/>
      <c r="D236" s="13"/>
      <c r="E236" s="13"/>
      <c r="F236" s="13"/>
      <c r="G236" s="13"/>
      <c r="H236" s="14"/>
      <c r="I236" s="14"/>
      <c r="J236" s="14"/>
      <c r="K236" s="14"/>
      <c r="L236" s="446"/>
      <c r="M236" s="87" t="str">
        <f t="shared" si="5"/>
        <v xml:space="preserve">   </v>
      </c>
    </row>
    <row r="237" spans="1:13" x14ac:dyDescent="0.2">
      <c r="A237" s="426"/>
      <c r="B237" s="158" t="str">
        <f>Capacidades!M1429</f>
        <v xml:space="preserve">   </v>
      </c>
      <c r="C237" s="157"/>
      <c r="D237" s="13"/>
      <c r="E237" s="13"/>
      <c r="F237" s="13"/>
      <c r="G237" s="13"/>
      <c r="H237" s="14"/>
      <c r="I237" s="14"/>
      <c r="J237" s="14"/>
      <c r="K237" s="14"/>
      <c r="L237" s="446"/>
      <c r="M237" s="87" t="str">
        <f t="shared" si="5"/>
        <v xml:space="preserve">   </v>
      </c>
    </row>
    <row r="238" spans="1:13" x14ac:dyDescent="0.2">
      <c r="A238" s="426"/>
      <c r="B238" s="158" t="str">
        <f>Capacidades!M1430</f>
        <v xml:space="preserve">   </v>
      </c>
      <c r="C238" s="157"/>
      <c r="D238" s="13"/>
      <c r="E238" s="13"/>
      <c r="F238" s="13"/>
      <c r="G238" s="13"/>
      <c r="H238" s="14"/>
      <c r="I238" s="14"/>
      <c r="J238" s="14"/>
      <c r="K238" s="14"/>
      <c r="L238" s="446"/>
      <c r="M238" s="87" t="str">
        <f t="shared" si="5"/>
        <v xml:space="preserve">   </v>
      </c>
    </row>
    <row r="239" spans="1:13" x14ac:dyDescent="0.2">
      <c r="A239" s="426"/>
      <c r="B239" s="158" t="str">
        <f>Capacidades!M1431</f>
        <v xml:space="preserve">   </v>
      </c>
      <c r="C239" s="157"/>
      <c r="D239" s="13"/>
      <c r="E239" s="13"/>
      <c r="F239" s="13"/>
      <c r="G239" s="13"/>
      <c r="H239" s="14"/>
      <c r="I239" s="14"/>
      <c r="J239" s="14"/>
      <c r="K239" s="14"/>
      <c r="L239" s="446"/>
      <c r="M239" s="87" t="str">
        <f t="shared" si="5"/>
        <v xml:space="preserve">   </v>
      </c>
    </row>
    <row r="240" spans="1:13" x14ac:dyDescent="0.2">
      <c r="A240" s="426"/>
      <c r="B240" s="158" t="str">
        <f>Capacidades!M1432</f>
        <v xml:space="preserve">   </v>
      </c>
      <c r="C240" s="157"/>
      <c r="D240" s="13"/>
      <c r="E240" s="13"/>
      <c r="F240" s="13"/>
      <c r="G240" s="13"/>
      <c r="H240" s="14"/>
      <c r="I240" s="14"/>
      <c r="J240" s="14"/>
      <c r="K240" s="14"/>
      <c r="L240" s="446"/>
      <c r="M240" s="87" t="str">
        <f t="shared" si="5"/>
        <v xml:space="preserve">   </v>
      </c>
    </row>
    <row r="241" spans="1:13" x14ac:dyDescent="0.2">
      <c r="A241" s="427"/>
      <c r="B241" s="158" t="str">
        <f>Capacidades!M1433</f>
        <v xml:space="preserve">   </v>
      </c>
      <c r="C241" s="160"/>
      <c r="D241" s="13"/>
      <c r="E241" s="13"/>
      <c r="F241" s="13"/>
      <c r="G241" s="13"/>
      <c r="H241" s="14"/>
      <c r="I241" s="14"/>
      <c r="J241" s="14"/>
      <c r="K241" s="14"/>
      <c r="L241" s="446"/>
      <c r="M241" s="87" t="str">
        <f t="shared" si="5"/>
        <v xml:space="preserve">   </v>
      </c>
    </row>
    <row r="242" spans="1:13" x14ac:dyDescent="0.2">
      <c r="A242" s="425" t="str">
        <f>Capacidades!L1434</f>
        <v xml:space="preserve">       </v>
      </c>
      <c r="B242" s="158" t="str">
        <f>Capacidades!M1434</f>
        <v xml:space="preserve">   </v>
      </c>
      <c r="C242" s="157"/>
      <c r="D242" s="11">
        <f>Organización_Modular!F156</f>
        <v>0</v>
      </c>
      <c r="E242" s="11">
        <f>Organización_Modular!G156</f>
        <v>0</v>
      </c>
      <c r="F242" s="11">
        <f>Organización_Modular!H156</f>
        <v>0</v>
      </c>
      <c r="G242" s="11">
        <f>Organización_Modular!I156</f>
        <v>0</v>
      </c>
      <c r="H242" s="12">
        <f>SUM(F242:G242)</f>
        <v>0</v>
      </c>
      <c r="I242" s="12">
        <f>F242*16</f>
        <v>0</v>
      </c>
      <c r="J242" s="12">
        <f>G242*32</f>
        <v>0</v>
      </c>
      <c r="K242" s="12">
        <f>SUM(I242:J242)</f>
        <v>0</v>
      </c>
      <c r="L242" s="445"/>
      <c r="M242" s="87" t="str">
        <f t="shared" si="5"/>
        <v xml:space="preserve">   </v>
      </c>
    </row>
    <row r="243" spans="1:13" x14ac:dyDescent="0.2">
      <c r="A243" s="426"/>
      <c r="B243" s="158" t="str">
        <f>Capacidades!M1435</f>
        <v xml:space="preserve">   </v>
      </c>
      <c r="C243" s="157"/>
      <c r="D243" s="13"/>
      <c r="E243" s="13"/>
      <c r="F243" s="13"/>
      <c r="G243" s="13"/>
      <c r="H243" s="14"/>
      <c r="I243" s="14"/>
      <c r="J243" s="14"/>
      <c r="K243" s="14"/>
      <c r="L243" s="446"/>
      <c r="M243" s="87" t="str">
        <f t="shared" si="5"/>
        <v xml:space="preserve">   </v>
      </c>
    </row>
    <row r="244" spans="1:13" x14ac:dyDescent="0.2">
      <c r="A244" s="426"/>
      <c r="B244" s="158" t="str">
        <f>Capacidades!M1436</f>
        <v xml:space="preserve">   </v>
      </c>
      <c r="C244" s="157"/>
      <c r="D244" s="13"/>
      <c r="E244" s="13"/>
      <c r="F244" s="13"/>
      <c r="G244" s="13"/>
      <c r="H244" s="14"/>
      <c r="I244" s="14"/>
      <c r="J244" s="14"/>
      <c r="K244" s="14"/>
      <c r="L244" s="446"/>
      <c r="M244" s="87" t="str">
        <f t="shared" si="5"/>
        <v xml:space="preserve">   </v>
      </c>
    </row>
    <row r="245" spans="1:13" x14ac:dyDescent="0.2">
      <c r="A245" s="426"/>
      <c r="B245" s="158" t="str">
        <f>Capacidades!M1437</f>
        <v xml:space="preserve">   </v>
      </c>
      <c r="C245" s="157"/>
      <c r="D245" s="13"/>
      <c r="E245" s="13"/>
      <c r="F245" s="13"/>
      <c r="G245" s="13"/>
      <c r="H245" s="14"/>
      <c r="I245" s="14"/>
      <c r="J245" s="14"/>
      <c r="K245" s="14"/>
      <c r="L245" s="446"/>
      <c r="M245" s="87" t="str">
        <f t="shared" si="5"/>
        <v xml:space="preserve">   </v>
      </c>
    </row>
    <row r="246" spans="1:13" x14ac:dyDescent="0.2">
      <c r="A246" s="426"/>
      <c r="B246" s="158" t="str">
        <f>Capacidades!M1438</f>
        <v xml:space="preserve">   </v>
      </c>
      <c r="C246" s="157"/>
      <c r="D246" s="13"/>
      <c r="E246" s="13"/>
      <c r="F246" s="13"/>
      <c r="G246" s="13"/>
      <c r="H246" s="14"/>
      <c r="I246" s="14"/>
      <c r="J246" s="14"/>
      <c r="K246" s="14"/>
      <c r="L246" s="446"/>
      <c r="M246" s="87" t="str">
        <f t="shared" si="5"/>
        <v xml:space="preserve">   </v>
      </c>
    </row>
    <row r="247" spans="1:13" x14ac:dyDescent="0.2">
      <c r="A247" s="426"/>
      <c r="B247" s="158" t="str">
        <f>Capacidades!M1439</f>
        <v xml:space="preserve">   </v>
      </c>
      <c r="C247" s="157"/>
      <c r="D247" s="13"/>
      <c r="E247" s="13"/>
      <c r="F247" s="13"/>
      <c r="G247" s="13"/>
      <c r="H247" s="14"/>
      <c r="I247" s="14"/>
      <c r="J247" s="14"/>
      <c r="K247" s="14"/>
      <c r="L247" s="446"/>
      <c r="M247" s="87" t="str">
        <f t="shared" si="5"/>
        <v xml:space="preserve">   </v>
      </c>
    </row>
    <row r="248" spans="1:13" x14ac:dyDescent="0.2">
      <c r="A248" s="426"/>
      <c r="B248" s="158" t="str">
        <f>Capacidades!M1440</f>
        <v xml:space="preserve">   </v>
      </c>
      <c r="C248" s="157"/>
      <c r="D248" s="13"/>
      <c r="E248" s="13"/>
      <c r="F248" s="13"/>
      <c r="G248" s="13"/>
      <c r="H248" s="14"/>
      <c r="I248" s="14"/>
      <c r="J248" s="14"/>
      <c r="K248" s="14"/>
      <c r="L248" s="446"/>
      <c r="M248" s="87" t="str">
        <f t="shared" si="5"/>
        <v xml:space="preserve">   </v>
      </c>
    </row>
    <row r="249" spans="1:13" x14ac:dyDescent="0.2">
      <c r="A249" s="426"/>
      <c r="B249" s="158" t="str">
        <f>Capacidades!M1441</f>
        <v xml:space="preserve">   </v>
      </c>
      <c r="C249" s="157"/>
      <c r="D249" s="13"/>
      <c r="E249" s="13"/>
      <c r="F249" s="13"/>
      <c r="G249" s="13"/>
      <c r="H249" s="14"/>
      <c r="I249" s="14"/>
      <c r="J249" s="14"/>
      <c r="K249" s="14"/>
      <c r="L249" s="446"/>
      <c r="M249" s="87" t="str">
        <f t="shared" si="5"/>
        <v xml:space="preserve">   </v>
      </c>
    </row>
    <row r="250" spans="1:13" x14ac:dyDescent="0.2">
      <c r="A250" s="426"/>
      <c r="B250" s="158" t="str">
        <f>Capacidades!M1442</f>
        <v xml:space="preserve">   </v>
      </c>
      <c r="C250" s="157"/>
      <c r="D250" s="13"/>
      <c r="E250" s="13"/>
      <c r="F250" s="13"/>
      <c r="G250" s="13"/>
      <c r="H250" s="14"/>
      <c r="I250" s="14"/>
      <c r="J250" s="14"/>
      <c r="K250" s="14"/>
      <c r="L250" s="446"/>
      <c r="M250" s="87" t="str">
        <f t="shared" si="5"/>
        <v xml:space="preserve">   </v>
      </c>
    </row>
    <row r="251" spans="1:13" x14ac:dyDescent="0.2">
      <c r="A251" s="427"/>
      <c r="B251" s="158" t="str">
        <f>Capacidades!M1443</f>
        <v xml:space="preserve">   </v>
      </c>
      <c r="C251" s="160"/>
      <c r="D251" s="13"/>
      <c r="E251" s="13"/>
      <c r="F251" s="13"/>
      <c r="G251" s="13"/>
      <c r="H251" s="14"/>
      <c r="I251" s="14"/>
      <c r="J251" s="14"/>
      <c r="K251" s="14"/>
      <c r="L251" s="446"/>
      <c r="M251" s="87" t="str">
        <f t="shared" si="5"/>
        <v xml:space="preserve">   </v>
      </c>
    </row>
    <row r="252" spans="1:13" x14ac:dyDescent="0.2">
      <c r="A252" s="425" t="str">
        <f>Capacidades!L1444</f>
        <v xml:space="preserve">       </v>
      </c>
      <c r="B252" s="158" t="str">
        <f>Capacidades!M1444</f>
        <v xml:space="preserve">   </v>
      </c>
      <c r="C252" s="157"/>
      <c r="D252" s="11">
        <f>Organización_Modular!F157</f>
        <v>0</v>
      </c>
      <c r="E252" s="11">
        <f>Organización_Modular!G157</f>
        <v>0</v>
      </c>
      <c r="F252" s="11">
        <f>Organización_Modular!H157</f>
        <v>0</v>
      </c>
      <c r="G252" s="11">
        <f>Organización_Modular!I157</f>
        <v>0</v>
      </c>
      <c r="H252" s="12">
        <f>SUM(F252:G252)</f>
        <v>0</v>
      </c>
      <c r="I252" s="12">
        <f>F252*16</f>
        <v>0</v>
      </c>
      <c r="J252" s="12">
        <f>G252*32</f>
        <v>0</v>
      </c>
      <c r="K252" s="12">
        <f>SUM(I252:J252)</f>
        <v>0</v>
      </c>
      <c r="L252" s="445"/>
      <c r="M252" s="87" t="str">
        <f t="shared" si="5"/>
        <v xml:space="preserve">   </v>
      </c>
    </row>
    <row r="253" spans="1:13" x14ac:dyDescent="0.2">
      <c r="A253" s="426"/>
      <c r="B253" s="158" t="str">
        <f>Capacidades!M1445</f>
        <v xml:space="preserve">   </v>
      </c>
      <c r="C253" s="157"/>
      <c r="D253" s="13"/>
      <c r="E253" s="13"/>
      <c r="F253" s="13"/>
      <c r="G253" s="13"/>
      <c r="H253" s="14"/>
      <c r="I253" s="14"/>
      <c r="J253" s="14"/>
      <c r="K253" s="14"/>
      <c r="L253" s="446"/>
      <c r="M253" s="87" t="str">
        <f t="shared" si="5"/>
        <v xml:space="preserve">   </v>
      </c>
    </row>
    <row r="254" spans="1:13" x14ac:dyDescent="0.2">
      <c r="A254" s="426"/>
      <c r="B254" s="158" t="str">
        <f>Capacidades!M1446</f>
        <v xml:space="preserve">   </v>
      </c>
      <c r="C254" s="157"/>
      <c r="D254" s="13"/>
      <c r="E254" s="13"/>
      <c r="F254" s="13"/>
      <c r="G254" s="13"/>
      <c r="H254" s="14"/>
      <c r="I254" s="14"/>
      <c r="J254" s="14"/>
      <c r="K254" s="14"/>
      <c r="L254" s="446"/>
      <c r="M254" s="87" t="str">
        <f t="shared" si="5"/>
        <v xml:space="preserve">   </v>
      </c>
    </row>
    <row r="255" spans="1:13" x14ac:dyDescent="0.2">
      <c r="A255" s="426"/>
      <c r="B255" s="158" t="str">
        <f>Capacidades!M1447</f>
        <v xml:space="preserve">   </v>
      </c>
      <c r="C255" s="157"/>
      <c r="D255" s="13"/>
      <c r="E255" s="13"/>
      <c r="F255" s="13"/>
      <c r="G255" s="13"/>
      <c r="H255" s="14"/>
      <c r="I255" s="14"/>
      <c r="J255" s="14"/>
      <c r="K255" s="14"/>
      <c r="L255" s="446"/>
      <c r="M255" s="87" t="str">
        <f t="shared" si="5"/>
        <v xml:space="preserve">   </v>
      </c>
    </row>
    <row r="256" spans="1:13" x14ac:dyDescent="0.2">
      <c r="A256" s="426"/>
      <c r="B256" s="158" t="str">
        <f>Capacidades!M1448</f>
        <v xml:space="preserve">   </v>
      </c>
      <c r="C256" s="157"/>
      <c r="D256" s="13"/>
      <c r="E256" s="13"/>
      <c r="F256" s="13"/>
      <c r="G256" s="13"/>
      <c r="H256" s="14"/>
      <c r="I256" s="14"/>
      <c r="J256" s="14"/>
      <c r="K256" s="14"/>
      <c r="L256" s="446"/>
      <c r="M256" s="87" t="str">
        <f t="shared" si="5"/>
        <v xml:space="preserve">   </v>
      </c>
    </row>
    <row r="257" spans="1:13" x14ac:dyDescent="0.2">
      <c r="A257" s="426"/>
      <c r="B257" s="158" t="str">
        <f>Capacidades!M1449</f>
        <v xml:space="preserve">   </v>
      </c>
      <c r="C257" s="157"/>
      <c r="D257" s="13"/>
      <c r="E257" s="13"/>
      <c r="F257" s="13"/>
      <c r="G257" s="13"/>
      <c r="H257" s="14"/>
      <c r="I257" s="14"/>
      <c r="J257" s="14"/>
      <c r="K257" s="14"/>
      <c r="L257" s="446"/>
      <c r="M257" s="87" t="str">
        <f t="shared" si="5"/>
        <v xml:space="preserve">   </v>
      </c>
    </row>
    <row r="258" spans="1:13" x14ac:dyDescent="0.2">
      <c r="A258" s="426"/>
      <c r="B258" s="158" t="str">
        <f>Capacidades!M1450</f>
        <v xml:space="preserve">   </v>
      </c>
      <c r="C258" s="157"/>
      <c r="D258" s="13"/>
      <c r="E258" s="13"/>
      <c r="F258" s="13"/>
      <c r="G258" s="13"/>
      <c r="H258" s="14"/>
      <c r="I258" s="14"/>
      <c r="J258" s="14"/>
      <c r="K258" s="14"/>
      <c r="L258" s="446"/>
      <c r="M258" s="87" t="str">
        <f t="shared" si="5"/>
        <v xml:space="preserve">   </v>
      </c>
    </row>
    <row r="259" spans="1:13" x14ac:dyDescent="0.2">
      <c r="A259" s="426"/>
      <c r="B259" s="158" t="str">
        <f>Capacidades!M1451</f>
        <v xml:space="preserve">   </v>
      </c>
      <c r="C259" s="157"/>
      <c r="D259" s="13"/>
      <c r="E259" s="13"/>
      <c r="F259" s="13"/>
      <c r="G259" s="13"/>
      <c r="H259" s="14"/>
      <c r="I259" s="14"/>
      <c r="J259" s="14"/>
      <c r="K259" s="14"/>
      <c r="L259" s="446"/>
      <c r="M259" s="87" t="str">
        <f t="shared" si="5"/>
        <v xml:space="preserve">   </v>
      </c>
    </row>
    <row r="260" spans="1:13" x14ac:dyDescent="0.2">
      <c r="A260" s="426"/>
      <c r="B260" s="158" t="str">
        <f>Capacidades!M1452</f>
        <v xml:space="preserve">   </v>
      </c>
      <c r="C260" s="157"/>
      <c r="D260" s="13"/>
      <c r="E260" s="13"/>
      <c r="F260" s="13"/>
      <c r="G260" s="13"/>
      <c r="H260" s="14"/>
      <c r="I260" s="14"/>
      <c r="J260" s="14"/>
      <c r="K260" s="14"/>
      <c r="L260" s="446"/>
      <c r="M260" s="87" t="str">
        <f t="shared" si="5"/>
        <v xml:space="preserve">   </v>
      </c>
    </row>
    <row r="261" spans="1:13" x14ac:dyDescent="0.2">
      <c r="A261" s="427"/>
      <c r="B261" s="158" t="str">
        <f>Capacidades!M1453</f>
        <v xml:space="preserve">   </v>
      </c>
      <c r="C261" s="160"/>
      <c r="D261" s="13"/>
      <c r="E261" s="13"/>
      <c r="F261" s="13"/>
      <c r="G261" s="13"/>
      <c r="H261" s="14"/>
      <c r="I261" s="14"/>
      <c r="J261" s="14"/>
      <c r="K261" s="14"/>
      <c r="L261" s="446"/>
      <c r="M261" s="87" t="str">
        <f t="shared" si="5"/>
        <v xml:space="preserve">   </v>
      </c>
    </row>
    <row r="262" spans="1:13" x14ac:dyDescent="0.2">
      <c r="A262" s="425" t="str">
        <f>Capacidades!L1454</f>
        <v xml:space="preserve">       </v>
      </c>
      <c r="B262" s="158" t="str">
        <f>Capacidades!M1454</f>
        <v xml:space="preserve">   </v>
      </c>
      <c r="C262" s="157"/>
      <c r="D262" s="11">
        <f>Organización_Modular!F158</f>
        <v>0</v>
      </c>
      <c r="E262" s="11">
        <f>Organización_Modular!G158</f>
        <v>0</v>
      </c>
      <c r="F262" s="11">
        <f>Organización_Modular!H158</f>
        <v>0</v>
      </c>
      <c r="G262" s="11">
        <f>Organización_Modular!I158</f>
        <v>0</v>
      </c>
      <c r="H262" s="12">
        <f>SUM(F262:G262)</f>
        <v>0</v>
      </c>
      <c r="I262" s="12">
        <f>F262*16</f>
        <v>0</v>
      </c>
      <c r="J262" s="12">
        <f>G262*32</f>
        <v>0</v>
      </c>
      <c r="K262" s="12">
        <f>SUM(I262:J262)</f>
        <v>0</v>
      </c>
      <c r="L262" s="445"/>
      <c r="M262" s="87" t="str">
        <f t="shared" si="5"/>
        <v xml:space="preserve">   </v>
      </c>
    </row>
    <row r="263" spans="1:13" x14ac:dyDescent="0.2">
      <c r="A263" s="426"/>
      <c r="B263" s="158" t="str">
        <f>Capacidades!M1455</f>
        <v xml:space="preserve">   </v>
      </c>
      <c r="C263" s="157"/>
      <c r="D263" s="13"/>
      <c r="E263" s="13"/>
      <c r="F263" s="13"/>
      <c r="G263" s="13"/>
      <c r="H263" s="14"/>
      <c r="I263" s="14"/>
      <c r="J263" s="14"/>
      <c r="K263" s="14"/>
      <c r="L263" s="446"/>
      <c r="M263" s="87" t="str">
        <f t="shared" si="5"/>
        <v xml:space="preserve">   </v>
      </c>
    </row>
    <row r="264" spans="1:13" x14ac:dyDescent="0.2">
      <c r="A264" s="426"/>
      <c r="B264" s="158" t="str">
        <f>Capacidades!M1456</f>
        <v xml:space="preserve">   </v>
      </c>
      <c r="C264" s="157"/>
      <c r="D264" s="13"/>
      <c r="E264" s="13"/>
      <c r="F264" s="13"/>
      <c r="G264" s="13"/>
      <c r="H264" s="14"/>
      <c r="I264" s="14"/>
      <c r="J264" s="14"/>
      <c r="K264" s="14"/>
      <c r="L264" s="446"/>
      <c r="M264" s="87" t="str">
        <f t="shared" si="5"/>
        <v xml:space="preserve">   </v>
      </c>
    </row>
    <row r="265" spans="1:13" x14ac:dyDescent="0.2">
      <c r="A265" s="426"/>
      <c r="B265" s="158" t="str">
        <f>Capacidades!M1457</f>
        <v xml:space="preserve">   </v>
      </c>
      <c r="C265" s="157"/>
      <c r="D265" s="13"/>
      <c r="E265" s="13"/>
      <c r="F265" s="13"/>
      <c r="G265" s="13"/>
      <c r="H265" s="14"/>
      <c r="I265" s="14"/>
      <c r="J265" s="14"/>
      <c r="K265" s="14"/>
      <c r="L265" s="446"/>
      <c r="M265" s="87" t="str">
        <f t="shared" si="5"/>
        <v xml:space="preserve">   </v>
      </c>
    </row>
    <row r="266" spans="1:13" x14ac:dyDescent="0.2">
      <c r="A266" s="426"/>
      <c r="B266" s="158" t="str">
        <f>Capacidades!M1458</f>
        <v xml:space="preserve">   </v>
      </c>
      <c r="C266" s="157"/>
      <c r="D266" s="13"/>
      <c r="E266" s="13"/>
      <c r="F266" s="13"/>
      <c r="G266" s="13"/>
      <c r="H266" s="14"/>
      <c r="I266" s="14"/>
      <c r="J266" s="14"/>
      <c r="K266" s="14"/>
      <c r="L266" s="446"/>
      <c r="M266" s="87" t="str">
        <f t="shared" si="5"/>
        <v xml:space="preserve">   </v>
      </c>
    </row>
    <row r="267" spans="1:13" x14ac:dyDescent="0.2">
      <c r="A267" s="426"/>
      <c r="B267" s="158" t="str">
        <f>Capacidades!M1459</f>
        <v xml:space="preserve">   </v>
      </c>
      <c r="C267" s="157"/>
      <c r="D267" s="13"/>
      <c r="E267" s="13"/>
      <c r="F267" s="13"/>
      <c r="G267" s="13"/>
      <c r="H267" s="14"/>
      <c r="I267" s="14"/>
      <c r="J267" s="14"/>
      <c r="K267" s="14"/>
      <c r="L267" s="446"/>
      <c r="M267" s="87" t="str">
        <f t="shared" si="5"/>
        <v xml:space="preserve">   </v>
      </c>
    </row>
    <row r="268" spans="1:13" x14ac:dyDescent="0.2">
      <c r="A268" s="426"/>
      <c r="B268" s="158" t="str">
        <f>Capacidades!M1460</f>
        <v xml:space="preserve">   </v>
      </c>
      <c r="C268" s="157"/>
      <c r="D268" s="13"/>
      <c r="E268" s="13"/>
      <c r="F268" s="13"/>
      <c r="G268" s="13"/>
      <c r="H268" s="14"/>
      <c r="I268" s="14"/>
      <c r="J268" s="14"/>
      <c r="K268" s="14"/>
      <c r="L268" s="446"/>
      <c r="M268" s="87" t="str">
        <f t="shared" si="5"/>
        <v xml:space="preserve">   </v>
      </c>
    </row>
    <row r="269" spans="1:13" x14ac:dyDescent="0.2">
      <c r="A269" s="426"/>
      <c r="B269" s="158" t="str">
        <f>Capacidades!M1461</f>
        <v xml:space="preserve">   </v>
      </c>
      <c r="C269" s="157"/>
      <c r="D269" s="13"/>
      <c r="E269" s="13"/>
      <c r="F269" s="13"/>
      <c r="G269" s="13"/>
      <c r="H269" s="14"/>
      <c r="I269" s="14"/>
      <c r="J269" s="14"/>
      <c r="K269" s="14"/>
      <c r="L269" s="446"/>
      <c r="M269" s="87" t="str">
        <f t="shared" si="5"/>
        <v xml:space="preserve">   </v>
      </c>
    </row>
    <row r="270" spans="1:13" x14ac:dyDescent="0.2">
      <c r="A270" s="426"/>
      <c r="B270" s="158" t="str">
        <f>Capacidades!M1462</f>
        <v xml:space="preserve">   </v>
      </c>
      <c r="C270" s="157"/>
      <c r="D270" s="13"/>
      <c r="E270" s="13"/>
      <c r="F270" s="13"/>
      <c r="G270" s="13"/>
      <c r="H270" s="14"/>
      <c r="I270" s="14"/>
      <c r="J270" s="14"/>
      <c r="K270" s="14"/>
      <c r="L270" s="446"/>
      <c r="M270" s="87" t="str">
        <f t="shared" si="5"/>
        <v xml:space="preserve">   </v>
      </c>
    </row>
    <row r="271" spans="1:13" x14ac:dyDescent="0.2">
      <c r="A271" s="427"/>
      <c r="B271" s="158" t="str">
        <f>Capacidades!M1463</f>
        <v xml:space="preserve">   </v>
      </c>
      <c r="C271" s="160"/>
      <c r="D271" s="13"/>
      <c r="E271" s="13"/>
      <c r="F271" s="13"/>
      <c r="G271" s="13"/>
      <c r="H271" s="14"/>
      <c r="I271" s="14"/>
      <c r="J271" s="14"/>
      <c r="K271" s="14"/>
      <c r="L271" s="446"/>
      <c r="M271" s="87" t="str">
        <f t="shared" si="5"/>
        <v xml:space="preserve">   </v>
      </c>
    </row>
    <row r="272" spans="1:13" x14ac:dyDescent="0.2">
      <c r="A272" s="425" t="str">
        <f>Capacidades!L1464</f>
        <v xml:space="preserve">       </v>
      </c>
      <c r="B272" s="158" t="str">
        <f>Capacidades!M1464</f>
        <v xml:space="preserve">   </v>
      </c>
      <c r="C272" s="157"/>
      <c r="D272" s="11">
        <f>Organización_Modular!F159</f>
        <v>0</v>
      </c>
      <c r="E272" s="11">
        <f>Organización_Modular!G159</f>
        <v>0</v>
      </c>
      <c r="F272" s="11">
        <f>Organización_Modular!H159</f>
        <v>0</v>
      </c>
      <c r="G272" s="11">
        <f>Organización_Modular!I159</f>
        <v>0</v>
      </c>
      <c r="H272" s="12">
        <f>SUM(F272:G272)</f>
        <v>0</v>
      </c>
      <c r="I272" s="12">
        <f>F272*16</f>
        <v>0</v>
      </c>
      <c r="J272" s="12">
        <f>G272*32</f>
        <v>0</v>
      </c>
      <c r="K272" s="12">
        <f>SUM(I272:J272)</f>
        <v>0</v>
      </c>
      <c r="L272" s="445"/>
      <c r="M272" s="87" t="str">
        <f t="shared" si="5"/>
        <v xml:space="preserve">   </v>
      </c>
    </row>
    <row r="273" spans="1:13" x14ac:dyDescent="0.2">
      <c r="A273" s="426"/>
      <c r="B273" s="158" t="str">
        <f>Capacidades!M1465</f>
        <v xml:space="preserve">   </v>
      </c>
      <c r="C273" s="157"/>
      <c r="D273" s="13"/>
      <c r="E273" s="13"/>
      <c r="F273" s="13"/>
      <c r="G273" s="13"/>
      <c r="H273" s="14"/>
      <c r="I273" s="14"/>
      <c r="J273" s="14"/>
      <c r="K273" s="14"/>
      <c r="L273" s="446"/>
      <c r="M273" s="87" t="str">
        <f t="shared" si="5"/>
        <v xml:space="preserve">   </v>
      </c>
    </row>
    <row r="274" spans="1:13" x14ac:dyDescent="0.2">
      <c r="A274" s="426"/>
      <c r="B274" s="158" t="str">
        <f>Capacidades!M1466</f>
        <v xml:space="preserve">   </v>
      </c>
      <c r="C274" s="157"/>
      <c r="D274" s="13"/>
      <c r="E274" s="13"/>
      <c r="F274" s="13"/>
      <c r="G274" s="13"/>
      <c r="H274" s="14"/>
      <c r="I274" s="14"/>
      <c r="J274" s="14"/>
      <c r="K274" s="14"/>
      <c r="L274" s="446"/>
      <c r="M274" s="87" t="str">
        <f t="shared" si="5"/>
        <v xml:space="preserve">   </v>
      </c>
    </row>
    <row r="275" spans="1:13" x14ac:dyDescent="0.2">
      <c r="A275" s="426"/>
      <c r="B275" s="158" t="str">
        <f>Capacidades!M1467</f>
        <v xml:space="preserve">   </v>
      </c>
      <c r="C275" s="157"/>
      <c r="D275" s="13"/>
      <c r="E275" s="13"/>
      <c r="F275" s="13"/>
      <c r="G275" s="13"/>
      <c r="H275" s="14"/>
      <c r="I275" s="14"/>
      <c r="J275" s="14"/>
      <c r="K275" s="14"/>
      <c r="L275" s="446"/>
      <c r="M275" s="87" t="str">
        <f t="shared" si="5"/>
        <v xml:space="preserve">   </v>
      </c>
    </row>
    <row r="276" spans="1:13" x14ac:dyDescent="0.2">
      <c r="A276" s="426"/>
      <c r="B276" s="158" t="str">
        <f>Capacidades!M1468</f>
        <v xml:space="preserve">   </v>
      </c>
      <c r="C276" s="157"/>
      <c r="D276" s="13"/>
      <c r="E276" s="13"/>
      <c r="F276" s="13"/>
      <c r="G276" s="13"/>
      <c r="H276" s="14"/>
      <c r="I276" s="14"/>
      <c r="J276" s="14"/>
      <c r="K276" s="14"/>
      <c r="L276" s="446"/>
      <c r="M276" s="87" t="str">
        <f t="shared" si="5"/>
        <v xml:space="preserve">   </v>
      </c>
    </row>
    <row r="277" spans="1:13" x14ac:dyDescent="0.2">
      <c r="A277" s="426"/>
      <c r="B277" s="158" t="str">
        <f>Capacidades!M1469</f>
        <v xml:space="preserve">   </v>
      </c>
      <c r="C277" s="157"/>
      <c r="D277" s="13"/>
      <c r="E277" s="13"/>
      <c r="F277" s="13"/>
      <c r="G277" s="13"/>
      <c r="H277" s="14"/>
      <c r="I277" s="14"/>
      <c r="J277" s="14"/>
      <c r="K277" s="14"/>
      <c r="L277" s="446"/>
      <c r="M277" s="87" t="str">
        <f t="shared" si="5"/>
        <v xml:space="preserve">   </v>
      </c>
    </row>
    <row r="278" spans="1:13" x14ac:dyDescent="0.2">
      <c r="A278" s="426"/>
      <c r="B278" s="158" t="str">
        <f>Capacidades!M1470</f>
        <v xml:space="preserve">   </v>
      </c>
      <c r="C278" s="157"/>
      <c r="D278" s="13"/>
      <c r="E278" s="13"/>
      <c r="F278" s="13"/>
      <c r="G278" s="13"/>
      <c r="H278" s="14"/>
      <c r="I278" s="14"/>
      <c r="J278" s="14"/>
      <c r="K278" s="14"/>
      <c r="L278" s="446"/>
      <c r="M278" s="87" t="str">
        <f t="shared" si="5"/>
        <v xml:space="preserve">   </v>
      </c>
    </row>
    <row r="279" spans="1:13" x14ac:dyDescent="0.2">
      <c r="A279" s="426"/>
      <c r="B279" s="158" t="str">
        <f>Capacidades!M1471</f>
        <v xml:space="preserve">   </v>
      </c>
      <c r="C279" s="157"/>
      <c r="D279" s="13"/>
      <c r="E279" s="13"/>
      <c r="F279" s="13"/>
      <c r="G279" s="13"/>
      <c r="H279" s="14"/>
      <c r="I279" s="14"/>
      <c r="J279" s="14"/>
      <c r="K279" s="14"/>
      <c r="L279" s="446"/>
      <c r="M279" s="87" t="str">
        <f t="shared" si="5"/>
        <v xml:space="preserve">   </v>
      </c>
    </row>
    <row r="280" spans="1:13" x14ac:dyDescent="0.2">
      <c r="A280" s="426"/>
      <c r="B280" s="158" t="str">
        <f>Capacidades!M1472</f>
        <v xml:space="preserve">   </v>
      </c>
      <c r="C280" s="157"/>
      <c r="D280" s="13"/>
      <c r="E280" s="13"/>
      <c r="F280" s="13"/>
      <c r="G280" s="13"/>
      <c r="H280" s="14"/>
      <c r="I280" s="14"/>
      <c r="J280" s="14"/>
      <c r="K280" s="14"/>
      <c r="L280" s="446"/>
      <c r="M280" s="87" t="str">
        <f t="shared" si="5"/>
        <v xml:space="preserve">   </v>
      </c>
    </row>
    <row r="281" spans="1:13" x14ac:dyDescent="0.2">
      <c r="A281" s="427"/>
      <c r="B281" s="158" t="str">
        <f>Capacidades!M1473</f>
        <v xml:space="preserve">   </v>
      </c>
      <c r="C281" s="160"/>
      <c r="D281" s="13"/>
      <c r="E281" s="13"/>
      <c r="F281" s="13"/>
      <c r="G281" s="13"/>
      <c r="H281" s="14"/>
      <c r="I281" s="14"/>
      <c r="J281" s="14"/>
      <c r="K281" s="14"/>
      <c r="L281" s="446"/>
      <c r="M281" s="87" t="str">
        <f t="shared" si="5"/>
        <v xml:space="preserve">   </v>
      </c>
    </row>
    <row r="282" spans="1:13" x14ac:dyDescent="0.2">
      <c r="A282" s="425" t="str">
        <f>Capacidades!L1474</f>
        <v xml:space="preserve">       </v>
      </c>
      <c r="B282" s="158" t="str">
        <f>Capacidades!M1474</f>
        <v xml:space="preserve">   </v>
      </c>
      <c r="C282" s="157"/>
      <c r="D282" s="11">
        <f>Organización_Modular!F160</f>
        <v>0</v>
      </c>
      <c r="E282" s="11">
        <f>Organización_Modular!G160</f>
        <v>0</v>
      </c>
      <c r="F282" s="11">
        <f>Organización_Modular!H160</f>
        <v>0</v>
      </c>
      <c r="G282" s="11">
        <f>Organización_Modular!I160</f>
        <v>0</v>
      </c>
      <c r="H282" s="12">
        <f>SUM(F282:G282)</f>
        <v>0</v>
      </c>
      <c r="I282" s="12">
        <f>F282*16</f>
        <v>0</v>
      </c>
      <c r="J282" s="12">
        <f>G282*32</f>
        <v>0</v>
      </c>
      <c r="K282" s="12">
        <f>SUM(I282:J282)</f>
        <v>0</v>
      </c>
      <c r="L282" s="445"/>
      <c r="M282" s="87" t="str">
        <f t="shared" si="5"/>
        <v xml:space="preserve">   </v>
      </c>
    </row>
    <row r="283" spans="1:13" x14ac:dyDescent="0.2">
      <c r="A283" s="426"/>
      <c r="B283" s="158" t="str">
        <f>Capacidades!M1475</f>
        <v xml:space="preserve">   </v>
      </c>
      <c r="C283" s="157"/>
      <c r="D283" s="13"/>
      <c r="E283" s="13"/>
      <c r="F283" s="13"/>
      <c r="G283" s="13"/>
      <c r="H283" s="14"/>
      <c r="I283" s="14"/>
      <c r="J283" s="14"/>
      <c r="K283" s="14"/>
      <c r="L283" s="446"/>
      <c r="M283" s="87" t="str">
        <f t="shared" si="5"/>
        <v xml:space="preserve">   </v>
      </c>
    </row>
    <row r="284" spans="1:13" x14ac:dyDescent="0.2">
      <c r="A284" s="426"/>
      <c r="B284" s="158" t="str">
        <f>Capacidades!M1476</f>
        <v xml:space="preserve">   </v>
      </c>
      <c r="C284" s="157"/>
      <c r="D284" s="13"/>
      <c r="E284" s="13"/>
      <c r="F284" s="13"/>
      <c r="G284" s="13"/>
      <c r="H284" s="14"/>
      <c r="I284" s="14"/>
      <c r="J284" s="14"/>
      <c r="K284" s="14"/>
      <c r="L284" s="446"/>
      <c r="M284" s="87" t="str">
        <f t="shared" si="5"/>
        <v xml:space="preserve">   </v>
      </c>
    </row>
    <row r="285" spans="1:13" x14ac:dyDescent="0.2">
      <c r="A285" s="426"/>
      <c r="B285" s="158" t="str">
        <f>Capacidades!M1477</f>
        <v xml:space="preserve">   </v>
      </c>
      <c r="C285" s="157"/>
      <c r="D285" s="13"/>
      <c r="E285" s="13"/>
      <c r="F285" s="13"/>
      <c r="G285" s="13"/>
      <c r="H285" s="14"/>
      <c r="I285" s="14"/>
      <c r="J285" s="14"/>
      <c r="K285" s="14"/>
      <c r="L285" s="446"/>
      <c r="M285" s="87" t="str">
        <f t="shared" si="5"/>
        <v xml:space="preserve">   </v>
      </c>
    </row>
    <row r="286" spans="1:13" x14ac:dyDescent="0.2">
      <c r="A286" s="426"/>
      <c r="B286" s="158" t="str">
        <f>Capacidades!M1478</f>
        <v xml:space="preserve">   </v>
      </c>
      <c r="C286" s="157"/>
      <c r="D286" s="13"/>
      <c r="E286" s="13"/>
      <c r="F286" s="13"/>
      <c r="G286" s="13"/>
      <c r="H286" s="14"/>
      <c r="I286" s="14"/>
      <c r="J286" s="14"/>
      <c r="K286" s="14"/>
      <c r="L286" s="446"/>
      <c r="M286" s="87" t="str">
        <f t="shared" si="5"/>
        <v xml:space="preserve">   </v>
      </c>
    </row>
    <row r="287" spans="1:13" x14ac:dyDescent="0.2">
      <c r="A287" s="426"/>
      <c r="B287" s="158" t="str">
        <f>Capacidades!M1479</f>
        <v xml:space="preserve">   </v>
      </c>
      <c r="C287" s="157"/>
      <c r="D287" s="13"/>
      <c r="E287" s="13"/>
      <c r="F287" s="13"/>
      <c r="G287" s="13"/>
      <c r="H287" s="14"/>
      <c r="I287" s="14"/>
      <c r="J287" s="14"/>
      <c r="K287" s="14"/>
      <c r="L287" s="446"/>
      <c r="M287" s="87" t="str">
        <f t="shared" ref="M287:M321" si="6">B287</f>
        <v xml:space="preserve">   </v>
      </c>
    </row>
    <row r="288" spans="1:13" x14ac:dyDescent="0.2">
      <c r="A288" s="426"/>
      <c r="B288" s="158" t="str">
        <f>Capacidades!M1480</f>
        <v xml:space="preserve">   </v>
      </c>
      <c r="C288" s="157"/>
      <c r="D288" s="13"/>
      <c r="E288" s="13"/>
      <c r="F288" s="13"/>
      <c r="G288" s="13"/>
      <c r="H288" s="14"/>
      <c r="I288" s="14"/>
      <c r="J288" s="14"/>
      <c r="K288" s="14"/>
      <c r="L288" s="446"/>
      <c r="M288" s="87" t="str">
        <f t="shared" si="6"/>
        <v xml:space="preserve">   </v>
      </c>
    </row>
    <row r="289" spans="1:13" x14ac:dyDescent="0.2">
      <c r="A289" s="426"/>
      <c r="B289" s="158" t="str">
        <f>Capacidades!M1481</f>
        <v xml:space="preserve">   </v>
      </c>
      <c r="C289" s="157"/>
      <c r="D289" s="13"/>
      <c r="E289" s="13"/>
      <c r="F289" s="13"/>
      <c r="G289" s="13"/>
      <c r="H289" s="14"/>
      <c r="I289" s="14"/>
      <c r="J289" s="14"/>
      <c r="K289" s="14"/>
      <c r="L289" s="446"/>
      <c r="M289" s="87" t="str">
        <f t="shared" si="6"/>
        <v xml:space="preserve">   </v>
      </c>
    </row>
    <row r="290" spans="1:13" x14ac:dyDescent="0.2">
      <c r="A290" s="426"/>
      <c r="B290" s="158" t="str">
        <f>Capacidades!M1482</f>
        <v xml:space="preserve">   </v>
      </c>
      <c r="C290" s="157"/>
      <c r="D290" s="13"/>
      <c r="E290" s="13"/>
      <c r="F290" s="13"/>
      <c r="G290" s="13"/>
      <c r="H290" s="14"/>
      <c r="I290" s="14"/>
      <c r="J290" s="14"/>
      <c r="K290" s="14"/>
      <c r="L290" s="446"/>
      <c r="M290" s="87" t="str">
        <f t="shared" si="6"/>
        <v xml:space="preserve">   </v>
      </c>
    </row>
    <row r="291" spans="1:13" x14ac:dyDescent="0.2">
      <c r="A291" s="427"/>
      <c r="B291" s="158" t="str">
        <f>Capacidades!M1483</f>
        <v xml:space="preserve">   </v>
      </c>
      <c r="C291" s="160"/>
      <c r="D291" s="13"/>
      <c r="E291" s="13"/>
      <c r="F291" s="13"/>
      <c r="G291" s="13"/>
      <c r="H291" s="14"/>
      <c r="I291" s="14"/>
      <c r="J291" s="14"/>
      <c r="K291" s="14"/>
      <c r="L291" s="446"/>
      <c r="M291" s="87" t="str">
        <f t="shared" si="6"/>
        <v xml:space="preserve">   </v>
      </c>
    </row>
    <row r="292" spans="1:13" x14ac:dyDescent="0.2">
      <c r="A292" s="425" t="str">
        <f>Capacidades!L1484</f>
        <v xml:space="preserve">       </v>
      </c>
      <c r="B292" s="158" t="str">
        <f>Capacidades!M1484</f>
        <v xml:space="preserve">   </v>
      </c>
      <c r="C292" s="157"/>
      <c r="D292" s="11">
        <f>Organización_Modular!F161</f>
        <v>0</v>
      </c>
      <c r="E292" s="11">
        <f>Organización_Modular!G161</f>
        <v>0</v>
      </c>
      <c r="F292" s="11">
        <f>Organización_Modular!H161</f>
        <v>0</v>
      </c>
      <c r="G292" s="11">
        <f>Organización_Modular!I161</f>
        <v>0</v>
      </c>
      <c r="H292" s="12">
        <f>SUM(F292:G292)</f>
        <v>0</v>
      </c>
      <c r="I292" s="12">
        <f>F292*16</f>
        <v>0</v>
      </c>
      <c r="J292" s="12">
        <f>G292*32</f>
        <v>0</v>
      </c>
      <c r="K292" s="12">
        <f>SUM(I292:J292)</f>
        <v>0</v>
      </c>
      <c r="L292" s="445"/>
      <c r="M292" s="87" t="str">
        <f t="shared" si="6"/>
        <v xml:space="preserve">   </v>
      </c>
    </row>
    <row r="293" spans="1:13" x14ac:dyDescent="0.2">
      <c r="A293" s="426"/>
      <c r="B293" s="158" t="str">
        <f>Capacidades!M1485</f>
        <v xml:space="preserve">   </v>
      </c>
      <c r="C293" s="157"/>
      <c r="D293" s="13"/>
      <c r="E293" s="13"/>
      <c r="F293" s="13"/>
      <c r="G293" s="13"/>
      <c r="H293" s="14"/>
      <c r="I293" s="14"/>
      <c r="J293" s="14"/>
      <c r="K293" s="14"/>
      <c r="L293" s="446"/>
      <c r="M293" s="87" t="str">
        <f t="shared" si="6"/>
        <v xml:space="preserve">   </v>
      </c>
    </row>
    <row r="294" spans="1:13" x14ac:dyDescent="0.2">
      <c r="A294" s="426"/>
      <c r="B294" s="158" t="str">
        <f>Capacidades!M1486</f>
        <v xml:space="preserve">   </v>
      </c>
      <c r="C294" s="157"/>
      <c r="D294" s="13"/>
      <c r="E294" s="13"/>
      <c r="F294" s="13"/>
      <c r="G294" s="13"/>
      <c r="H294" s="14"/>
      <c r="I294" s="14"/>
      <c r="J294" s="14"/>
      <c r="K294" s="14"/>
      <c r="L294" s="446"/>
      <c r="M294" s="87" t="str">
        <f t="shared" si="6"/>
        <v xml:space="preserve">   </v>
      </c>
    </row>
    <row r="295" spans="1:13" x14ac:dyDescent="0.2">
      <c r="A295" s="426"/>
      <c r="B295" s="158" t="str">
        <f>Capacidades!M1487</f>
        <v xml:space="preserve">   </v>
      </c>
      <c r="C295" s="157"/>
      <c r="D295" s="13"/>
      <c r="E295" s="13"/>
      <c r="F295" s="13"/>
      <c r="G295" s="13"/>
      <c r="H295" s="14"/>
      <c r="I295" s="14"/>
      <c r="J295" s="14"/>
      <c r="K295" s="14"/>
      <c r="L295" s="446"/>
      <c r="M295" s="87" t="str">
        <f t="shared" si="6"/>
        <v xml:space="preserve">   </v>
      </c>
    </row>
    <row r="296" spans="1:13" x14ac:dyDescent="0.2">
      <c r="A296" s="426"/>
      <c r="B296" s="158" t="str">
        <f>Capacidades!M1488</f>
        <v xml:space="preserve">   </v>
      </c>
      <c r="C296" s="157"/>
      <c r="D296" s="13"/>
      <c r="E296" s="13"/>
      <c r="F296" s="13"/>
      <c r="G296" s="13"/>
      <c r="H296" s="14"/>
      <c r="I296" s="14"/>
      <c r="J296" s="14"/>
      <c r="K296" s="14"/>
      <c r="L296" s="446"/>
      <c r="M296" s="87" t="str">
        <f t="shared" si="6"/>
        <v xml:space="preserve">   </v>
      </c>
    </row>
    <row r="297" spans="1:13" x14ac:dyDescent="0.2">
      <c r="A297" s="426"/>
      <c r="B297" s="158" t="str">
        <f>Capacidades!M1489</f>
        <v xml:space="preserve">   </v>
      </c>
      <c r="C297" s="157"/>
      <c r="D297" s="13"/>
      <c r="E297" s="13"/>
      <c r="F297" s="13"/>
      <c r="G297" s="13"/>
      <c r="H297" s="14"/>
      <c r="I297" s="14"/>
      <c r="J297" s="14"/>
      <c r="K297" s="14"/>
      <c r="L297" s="446"/>
      <c r="M297" s="87" t="str">
        <f t="shared" si="6"/>
        <v xml:space="preserve">   </v>
      </c>
    </row>
    <row r="298" spans="1:13" x14ac:dyDescent="0.2">
      <c r="A298" s="426"/>
      <c r="B298" s="158" t="str">
        <f>Capacidades!M1490</f>
        <v xml:space="preserve">   </v>
      </c>
      <c r="C298" s="157"/>
      <c r="D298" s="13"/>
      <c r="E298" s="13"/>
      <c r="F298" s="13"/>
      <c r="G298" s="13"/>
      <c r="H298" s="14"/>
      <c r="I298" s="14"/>
      <c r="J298" s="14"/>
      <c r="K298" s="14"/>
      <c r="L298" s="446"/>
      <c r="M298" s="87" t="str">
        <f t="shared" si="6"/>
        <v xml:space="preserve">   </v>
      </c>
    </row>
    <row r="299" spans="1:13" x14ac:dyDescent="0.2">
      <c r="A299" s="426"/>
      <c r="B299" s="158" t="str">
        <f>Capacidades!M1491</f>
        <v xml:space="preserve">   </v>
      </c>
      <c r="C299" s="157"/>
      <c r="D299" s="13"/>
      <c r="E299" s="13"/>
      <c r="F299" s="13"/>
      <c r="G299" s="13"/>
      <c r="H299" s="14"/>
      <c r="I299" s="14"/>
      <c r="J299" s="14"/>
      <c r="K299" s="14"/>
      <c r="L299" s="446"/>
      <c r="M299" s="87" t="str">
        <f t="shared" si="6"/>
        <v xml:space="preserve">   </v>
      </c>
    </row>
    <row r="300" spans="1:13" x14ac:dyDescent="0.2">
      <c r="A300" s="426"/>
      <c r="B300" s="158" t="str">
        <f>Capacidades!M1492</f>
        <v xml:space="preserve">   </v>
      </c>
      <c r="C300" s="157"/>
      <c r="D300" s="13"/>
      <c r="E300" s="13"/>
      <c r="F300" s="13"/>
      <c r="G300" s="13"/>
      <c r="H300" s="14"/>
      <c r="I300" s="14"/>
      <c r="J300" s="14"/>
      <c r="K300" s="14"/>
      <c r="L300" s="446"/>
      <c r="M300" s="87" t="str">
        <f t="shared" si="6"/>
        <v xml:space="preserve">   </v>
      </c>
    </row>
    <row r="301" spans="1:13" x14ac:dyDescent="0.2">
      <c r="A301" s="427"/>
      <c r="B301" s="158" t="str">
        <f>Capacidades!M1493</f>
        <v xml:space="preserve">   </v>
      </c>
      <c r="C301" s="160"/>
      <c r="D301" s="13"/>
      <c r="E301" s="13"/>
      <c r="F301" s="13"/>
      <c r="G301" s="13"/>
      <c r="H301" s="14"/>
      <c r="I301" s="14"/>
      <c r="J301" s="14"/>
      <c r="K301" s="14"/>
      <c r="L301" s="446"/>
      <c r="M301" s="87" t="str">
        <f t="shared" si="6"/>
        <v xml:space="preserve">   </v>
      </c>
    </row>
    <row r="302" spans="1:13" x14ac:dyDescent="0.2">
      <c r="A302" s="425" t="str">
        <f>Capacidades!L1494</f>
        <v xml:space="preserve">       </v>
      </c>
      <c r="B302" s="158" t="str">
        <f>Capacidades!M1494</f>
        <v xml:space="preserve">   </v>
      </c>
      <c r="C302" s="157"/>
      <c r="D302" s="11">
        <f>Organización_Modular!F162</f>
        <v>0</v>
      </c>
      <c r="E302" s="11">
        <f>Organización_Modular!G162</f>
        <v>0</v>
      </c>
      <c r="F302" s="11">
        <f>Organización_Modular!H162</f>
        <v>0</v>
      </c>
      <c r="G302" s="11">
        <f>Organización_Modular!I162</f>
        <v>0</v>
      </c>
      <c r="H302" s="12">
        <f>SUM(F302:G302)</f>
        <v>0</v>
      </c>
      <c r="I302" s="12">
        <f>F302*16</f>
        <v>0</v>
      </c>
      <c r="J302" s="12">
        <f>G302*32</f>
        <v>0</v>
      </c>
      <c r="K302" s="12">
        <f>SUM(I302:J302)</f>
        <v>0</v>
      </c>
      <c r="L302" s="445"/>
      <c r="M302" s="87" t="str">
        <f t="shared" si="6"/>
        <v xml:space="preserve">   </v>
      </c>
    </row>
    <row r="303" spans="1:13" x14ac:dyDescent="0.2">
      <c r="A303" s="426"/>
      <c r="B303" s="158" t="str">
        <f>Capacidades!M1495</f>
        <v xml:space="preserve">   </v>
      </c>
      <c r="C303" s="157"/>
      <c r="D303" s="13"/>
      <c r="E303" s="13"/>
      <c r="F303" s="13"/>
      <c r="G303" s="13"/>
      <c r="H303" s="14"/>
      <c r="I303" s="14"/>
      <c r="J303" s="14"/>
      <c r="K303" s="14"/>
      <c r="L303" s="446"/>
      <c r="M303" s="87" t="str">
        <f t="shared" si="6"/>
        <v xml:space="preserve">   </v>
      </c>
    </row>
    <row r="304" spans="1:13" x14ac:dyDescent="0.2">
      <c r="A304" s="426"/>
      <c r="B304" s="158" t="str">
        <f>Capacidades!M1496</f>
        <v xml:space="preserve">   </v>
      </c>
      <c r="C304" s="157"/>
      <c r="D304" s="13"/>
      <c r="E304" s="13"/>
      <c r="F304" s="13"/>
      <c r="G304" s="13"/>
      <c r="H304" s="14"/>
      <c r="I304" s="14"/>
      <c r="J304" s="14"/>
      <c r="K304" s="14"/>
      <c r="L304" s="446"/>
      <c r="M304" s="87" t="str">
        <f t="shared" si="6"/>
        <v xml:space="preserve">   </v>
      </c>
    </row>
    <row r="305" spans="1:13" x14ac:dyDescent="0.2">
      <c r="A305" s="426"/>
      <c r="B305" s="158" t="str">
        <f>Capacidades!M1497</f>
        <v xml:space="preserve">   </v>
      </c>
      <c r="C305" s="157"/>
      <c r="D305" s="13"/>
      <c r="E305" s="13"/>
      <c r="F305" s="13"/>
      <c r="G305" s="13"/>
      <c r="H305" s="14"/>
      <c r="I305" s="14"/>
      <c r="J305" s="14"/>
      <c r="K305" s="14"/>
      <c r="L305" s="446"/>
      <c r="M305" s="87" t="str">
        <f t="shared" si="6"/>
        <v xml:space="preserve">   </v>
      </c>
    </row>
    <row r="306" spans="1:13" x14ac:dyDescent="0.2">
      <c r="A306" s="426"/>
      <c r="B306" s="158" t="str">
        <f>Capacidades!M1498</f>
        <v xml:space="preserve">   </v>
      </c>
      <c r="C306" s="157"/>
      <c r="D306" s="13"/>
      <c r="E306" s="13"/>
      <c r="F306" s="13"/>
      <c r="G306" s="13"/>
      <c r="H306" s="14"/>
      <c r="I306" s="14"/>
      <c r="J306" s="14"/>
      <c r="K306" s="14"/>
      <c r="L306" s="446"/>
      <c r="M306" s="87" t="str">
        <f t="shared" si="6"/>
        <v xml:space="preserve">   </v>
      </c>
    </row>
    <row r="307" spans="1:13" x14ac:dyDescent="0.2">
      <c r="A307" s="426"/>
      <c r="B307" s="158" t="str">
        <f>Capacidades!M1499</f>
        <v xml:space="preserve">   </v>
      </c>
      <c r="C307" s="157"/>
      <c r="D307" s="13"/>
      <c r="E307" s="13"/>
      <c r="F307" s="13"/>
      <c r="G307" s="13"/>
      <c r="H307" s="14"/>
      <c r="I307" s="14"/>
      <c r="J307" s="14"/>
      <c r="K307" s="14"/>
      <c r="L307" s="446"/>
      <c r="M307" s="87" t="str">
        <f t="shared" si="6"/>
        <v xml:space="preserve">   </v>
      </c>
    </row>
    <row r="308" spans="1:13" x14ac:dyDescent="0.2">
      <c r="A308" s="426"/>
      <c r="B308" s="158" t="str">
        <f>Capacidades!M1500</f>
        <v xml:space="preserve">   </v>
      </c>
      <c r="C308" s="157"/>
      <c r="D308" s="13"/>
      <c r="E308" s="13"/>
      <c r="F308" s="13"/>
      <c r="G308" s="13"/>
      <c r="H308" s="14"/>
      <c r="I308" s="14"/>
      <c r="J308" s="14"/>
      <c r="K308" s="14"/>
      <c r="L308" s="446"/>
      <c r="M308" s="87" t="str">
        <f t="shared" si="6"/>
        <v xml:space="preserve">   </v>
      </c>
    </row>
    <row r="309" spans="1:13" x14ac:dyDescent="0.2">
      <c r="A309" s="426"/>
      <c r="B309" s="158" t="str">
        <f>Capacidades!M1501</f>
        <v xml:space="preserve">   </v>
      </c>
      <c r="C309" s="157"/>
      <c r="D309" s="13"/>
      <c r="E309" s="13"/>
      <c r="F309" s="13"/>
      <c r="G309" s="13"/>
      <c r="H309" s="14"/>
      <c r="I309" s="14"/>
      <c r="J309" s="14"/>
      <c r="K309" s="14"/>
      <c r="L309" s="446"/>
      <c r="M309" s="87" t="str">
        <f t="shared" si="6"/>
        <v xml:space="preserve">   </v>
      </c>
    </row>
    <row r="310" spans="1:13" x14ac:dyDescent="0.2">
      <c r="A310" s="426"/>
      <c r="B310" s="158" t="str">
        <f>Capacidades!M1502</f>
        <v xml:space="preserve">   </v>
      </c>
      <c r="C310" s="157"/>
      <c r="D310" s="13"/>
      <c r="E310" s="13"/>
      <c r="F310" s="13"/>
      <c r="G310" s="13"/>
      <c r="H310" s="14"/>
      <c r="I310" s="14"/>
      <c r="J310" s="14"/>
      <c r="K310" s="14"/>
      <c r="L310" s="446"/>
      <c r="M310" s="87" t="str">
        <f t="shared" si="6"/>
        <v xml:space="preserve">   </v>
      </c>
    </row>
    <row r="311" spans="1:13" x14ac:dyDescent="0.2">
      <c r="A311" s="427"/>
      <c r="B311" s="158" t="str">
        <f>Capacidades!M1503</f>
        <v xml:space="preserve">   </v>
      </c>
      <c r="C311" s="160"/>
      <c r="D311" s="13"/>
      <c r="E311" s="13"/>
      <c r="F311" s="13"/>
      <c r="G311" s="13"/>
      <c r="H311" s="14"/>
      <c r="I311" s="14"/>
      <c r="J311" s="14"/>
      <c r="K311" s="14"/>
      <c r="L311" s="446"/>
      <c r="M311" s="87" t="str">
        <f t="shared" si="6"/>
        <v xml:space="preserve">   </v>
      </c>
    </row>
    <row r="312" spans="1:13" x14ac:dyDescent="0.2">
      <c r="A312" s="425" t="str">
        <f>Capacidades!L1504</f>
        <v xml:space="preserve">       </v>
      </c>
      <c r="B312" s="158" t="str">
        <f>Capacidades!M1504</f>
        <v xml:space="preserve">   </v>
      </c>
      <c r="C312" s="157"/>
      <c r="D312" s="11">
        <f>Organización_Modular!F163</f>
        <v>0</v>
      </c>
      <c r="E312" s="11">
        <f>Organización_Modular!G163</f>
        <v>0</v>
      </c>
      <c r="F312" s="11">
        <f>Organización_Modular!H163</f>
        <v>0</v>
      </c>
      <c r="G312" s="11">
        <f>Organización_Modular!I163</f>
        <v>0</v>
      </c>
      <c r="H312" s="12">
        <f>SUM(F312:G312)</f>
        <v>0</v>
      </c>
      <c r="I312" s="12">
        <f>F312*16</f>
        <v>0</v>
      </c>
      <c r="J312" s="12">
        <f>G312*32</f>
        <v>0</v>
      </c>
      <c r="K312" s="12">
        <f>SUM(I312:J312)</f>
        <v>0</v>
      </c>
      <c r="L312" s="445"/>
      <c r="M312" s="87" t="str">
        <f t="shared" si="6"/>
        <v xml:space="preserve">   </v>
      </c>
    </row>
    <row r="313" spans="1:13" x14ac:dyDescent="0.2">
      <c r="A313" s="426"/>
      <c r="B313" s="158" t="str">
        <f>Capacidades!M1505</f>
        <v xml:space="preserve">   </v>
      </c>
      <c r="C313" s="157"/>
      <c r="D313" s="13"/>
      <c r="E313" s="13"/>
      <c r="F313" s="14"/>
      <c r="G313" s="14"/>
      <c r="H313" s="14"/>
      <c r="I313" s="14"/>
      <c r="J313" s="14"/>
      <c r="K313" s="14"/>
      <c r="L313" s="446"/>
      <c r="M313" s="87" t="str">
        <f t="shared" si="6"/>
        <v xml:space="preserve">   </v>
      </c>
    </row>
    <row r="314" spans="1:13" x14ac:dyDescent="0.2">
      <c r="A314" s="426"/>
      <c r="B314" s="158" t="str">
        <f>Capacidades!M1506</f>
        <v xml:space="preserve">   </v>
      </c>
      <c r="C314" s="157"/>
      <c r="D314" s="13"/>
      <c r="E314" s="13"/>
      <c r="F314" s="14"/>
      <c r="G314" s="14"/>
      <c r="H314" s="14"/>
      <c r="I314" s="14"/>
      <c r="J314" s="14"/>
      <c r="K314" s="14"/>
      <c r="L314" s="446"/>
      <c r="M314" s="87" t="str">
        <f t="shared" si="6"/>
        <v xml:space="preserve">   </v>
      </c>
    </row>
    <row r="315" spans="1:13" x14ac:dyDescent="0.2">
      <c r="A315" s="426"/>
      <c r="B315" s="158" t="str">
        <f>Capacidades!M1507</f>
        <v xml:space="preserve">   </v>
      </c>
      <c r="C315" s="157"/>
      <c r="D315" s="13"/>
      <c r="E315" s="13"/>
      <c r="F315" s="14"/>
      <c r="G315" s="14"/>
      <c r="H315" s="14"/>
      <c r="I315" s="14"/>
      <c r="J315" s="14"/>
      <c r="K315" s="14"/>
      <c r="L315" s="446"/>
      <c r="M315" s="87" t="str">
        <f t="shared" si="6"/>
        <v xml:space="preserve">   </v>
      </c>
    </row>
    <row r="316" spans="1:13" x14ac:dyDescent="0.2">
      <c r="A316" s="426"/>
      <c r="B316" s="158" t="str">
        <f>Capacidades!M1508</f>
        <v xml:space="preserve">   </v>
      </c>
      <c r="C316" s="157"/>
      <c r="D316" s="13"/>
      <c r="E316" s="13"/>
      <c r="F316" s="13"/>
      <c r="G316" s="13"/>
      <c r="H316" s="14"/>
      <c r="I316" s="14"/>
      <c r="J316" s="14"/>
      <c r="K316" s="14"/>
      <c r="L316" s="446"/>
      <c r="M316" s="87" t="str">
        <f t="shared" si="6"/>
        <v xml:space="preserve">   </v>
      </c>
    </row>
    <row r="317" spans="1:13" x14ac:dyDescent="0.2">
      <c r="A317" s="426"/>
      <c r="B317" s="158" t="str">
        <f>Capacidades!M1509</f>
        <v xml:space="preserve">   </v>
      </c>
      <c r="C317" s="157"/>
      <c r="D317" s="13"/>
      <c r="E317" s="13"/>
      <c r="F317" s="13"/>
      <c r="G317" s="13"/>
      <c r="H317" s="14"/>
      <c r="I317" s="14"/>
      <c r="J317" s="14"/>
      <c r="K317" s="14"/>
      <c r="L317" s="446"/>
      <c r="M317" s="87" t="str">
        <f t="shared" si="6"/>
        <v xml:space="preserve">   </v>
      </c>
    </row>
    <row r="318" spans="1:13" x14ac:dyDescent="0.2">
      <c r="A318" s="426"/>
      <c r="B318" s="158" t="str">
        <f>Capacidades!M1510</f>
        <v xml:space="preserve">   </v>
      </c>
      <c r="C318" s="157"/>
      <c r="D318" s="13"/>
      <c r="E318" s="13"/>
      <c r="F318" s="13"/>
      <c r="G318" s="13"/>
      <c r="H318" s="14"/>
      <c r="I318" s="14"/>
      <c r="J318" s="14"/>
      <c r="K318" s="14"/>
      <c r="L318" s="446"/>
      <c r="M318" s="87" t="str">
        <f t="shared" si="6"/>
        <v xml:space="preserve">   </v>
      </c>
    </row>
    <row r="319" spans="1:13" x14ac:dyDescent="0.2">
      <c r="A319" s="426"/>
      <c r="B319" s="158" t="str">
        <f>Capacidades!M1511</f>
        <v xml:space="preserve">   </v>
      </c>
      <c r="C319" s="157"/>
      <c r="D319" s="13"/>
      <c r="E319" s="13"/>
      <c r="F319" s="13"/>
      <c r="G319" s="13"/>
      <c r="H319" s="14"/>
      <c r="I319" s="14"/>
      <c r="J319" s="14"/>
      <c r="K319" s="14"/>
      <c r="L319" s="446"/>
      <c r="M319" s="87" t="str">
        <f t="shared" si="6"/>
        <v xml:space="preserve">   </v>
      </c>
    </row>
    <row r="320" spans="1:13" x14ac:dyDescent="0.2">
      <c r="A320" s="426"/>
      <c r="B320" s="158" t="str">
        <f>Capacidades!M1512</f>
        <v xml:space="preserve">   </v>
      </c>
      <c r="C320" s="157"/>
      <c r="D320" s="13"/>
      <c r="E320" s="13"/>
      <c r="F320" s="14"/>
      <c r="G320" s="14"/>
      <c r="H320" s="14"/>
      <c r="I320" s="14"/>
      <c r="J320" s="14"/>
      <c r="K320" s="14"/>
      <c r="L320" s="446"/>
      <c r="M320" s="87" t="str">
        <f t="shared" si="6"/>
        <v xml:space="preserve">   </v>
      </c>
    </row>
    <row r="321" spans="1:13" x14ac:dyDescent="0.2">
      <c r="A321" s="427"/>
      <c r="B321" s="158" t="str">
        <f>Capacidades!M1513</f>
        <v xml:space="preserve">   </v>
      </c>
      <c r="C321" s="160"/>
      <c r="D321" s="13"/>
      <c r="E321" s="13"/>
      <c r="F321" s="14"/>
      <c r="G321" s="14"/>
      <c r="H321" s="14"/>
      <c r="I321" s="14"/>
      <c r="J321" s="14"/>
      <c r="K321" s="14"/>
      <c r="L321" s="446"/>
      <c r="M321" s="87" t="str">
        <f t="shared" si="6"/>
        <v xml:space="preserve">   </v>
      </c>
    </row>
    <row r="322" spans="1:13" ht="15.75" x14ac:dyDescent="0.2">
      <c r="A322" s="489" t="s">
        <v>87</v>
      </c>
      <c r="B322" s="489"/>
      <c r="C322" s="489"/>
      <c r="D322" s="489"/>
      <c r="E322" s="489"/>
      <c r="F322" s="489"/>
      <c r="G322" s="489"/>
      <c r="H322" s="489"/>
      <c r="I322" s="489"/>
      <c r="J322" s="489"/>
      <c r="K322" s="489"/>
      <c r="L322" s="489"/>
      <c r="M322" s="87" t="str">
        <f>A322</f>
        <v xml:space="preserve">COMPETENCIAS PARA LA EMPLEABILIDAD INCORPORADAS COMO CONTENIDO  TRANSVERSAL </v>
      </c>
    </row>
    <row r="323" spans="1:13" ht="24" customHeight="1" x14ac:dyDescent="0.2">
      <c r="A323" s="493">
        <f>'M4'!A323:L323</f>
        <v>0</v>
      </c>
      <c r="B323" s="493"/>
      <c r="C323" s="493"/>
      <c r="D323" s="493"/>
      <c r="E323" s="493"/>
      <c r="F323" s="493"/>
      <c r="G323" s="493"/>
      <c r="H323" s="493"/>
      <c r="I323" s="493"/>
      <c r="J323" s="493"/>
      <c r="K323" s="493"/>
      <c r="L323" s="493"/>
      <c r="M323" s="87">
        <f t="shared" ref="M323:M358" si="7">A323</f>
        <v>0</v>
      </c>
    </row>
    <row r="324" spans="1:13" ht="24" customHeight="1" x14ac:dyDescent="0.2">
      <c r="A324" s="493" t="str">
        <f>'M4'!A324:L324</f>
        <v>CE6  Cultura ambiental.- Convivir de manera ética, autónoma, responsable y sostenible, previniendo, reduciendo y controlando permanente y progresivamente los impactos ambientales.</v>
      </c>
      <c r="B324" s="493"/>
      <c r="C324" s="493"/>
      <c r="D324" s="493"/>
      <c r="E324" s="493"/>
      <c r="F324" s="493"/>
      <c r="G324" s="493"/>
      <c r="H324" s="493"/>
      <c r="I324" s="493"/>
      <c r="J324" s="493"/>
      <c r="K324" s="493"/>
      <c r="L324" s="493"/>
      <c r="M324" s="87" t="str">
        <f t="shared" si="7"/>
        <v>CE6  Cultura ambiental.- Convivir de manera ética, autónoma, responsable y sostenible, previniendo, reduciendo y controlando permanente y progresivamente los impactos ambientales.</v>
      </c>
    </row>
    <row r="325" spans="1:13" ht="18.75" customHeight="1" x14ac:dyDescent="0.2">
      <c r="A325" s="493">
        <f>'M4'!A325:L325</f>
        <v>0</v>
      </c>
      <c r="B325" s="493"/>
      <c r="C325" s="493"/>
      <c r="D325" s="493"/>
      <c r="E325" s="493"/>
      <c r="F325" s="493"/>
      <c r="G325" s="493"/>
      <c r="H325" s="493"/>
      <c r="I325" s="493"/>
      <c r="J325" s="493"/>
      <c r="K325" s="493"/>
      <c r="L325" s="493"/>
      <c r="M325" s="87">
        <f t="shared" si="7"/>
        <v>0</v>
      </c>
    </row>
    <row r="326" spans="1:13" ht="25.5" customHeight="1" x14ac:dyDescent="0.2">
      <c r="A326" s="459" t="s">
        <v>73</v>
      </c>
      <c r="B326" s="459"/>
      <c r="C326" s="459" t="s">
        <v>72</v>
      </c>
      <c r="D326" s="459"/>
      <c r="E326" s="459"/>
      <c r="F326" s="459"/>
      <c r="G326" s="459"/>
      <c r="H326" s="459"/>
      <c r="I326" s="459"/>
      <c r="J326" s="459"/>
      <c r="K326" s="459"/>
      <c r="L326" s="459"/>
      <c r="M326" s="87" t="str">
        <f t="shared" si="7"/>
        <v>CAPACIDADES A FORTALECER</v>
      </c>
    </row>
    <row r="327" spans="1:13" x14ac:dyDescent="0.2">
      <c r="A327" s="493" t="str">
        <f ca="1">OFFSET($A$9,(ROW()-326)*10-1,0)</f>
        <v xml:space="preserve">       </v>
      </c>
      <c r="B327" s="493"/>
      <c r="C327" s="494">
        <f>'M4'!C327:L356</f>
        <v>0</v>
      </c>
      <c r="D327" s="495"/>
      <c r="E327" s="495"/>
      <c r="F327" s="495"/>
      <c r="G327" s="495"/>
      <c r="H327" s="495"/>
      <c r="I327" s="495"/>
      <c r="J327" s="495"/>
      <c r="K327" s="495"/>
      <c r="L327" s="496"/>
      <c r="M327" s="87" t="str">
        <f t="shared" ca="1" si="7"/>
        <v xml:space="preserve">       </v>
      </c>
    </row>
    <row r="328" spans="1:13" x14ac:dyDescent="0.2">
      <c r="A328" s="493" t="str">
        <f t="shared" ref="A328:A346" ca="1" si="8">OFFSET($A$9,(ROW()-326)*10-1,0)</f>
        <v xml:space="preserve">       </v>
      </c>
      <c r="B328" s="493"/>
      <c r="C328" s="497"/>
      <c r="D328" s="498"/>
      <c r="E328" s="498"/>
      <c r="F328" s="498"/>
      <c r="G328" s="498"/>
      <c r="H328" s="498"/>
      <c r="I328" s="498"/>
      <c r="J328" s="498"/>
      <c r="K328" s="498"/>
      <c r="L328" s="499"/>
      <c r="M328" s="87" t="str">
        <f t="shared" ca="1" si="7"/>
        <v xml:space="preserve">       </v>
      </c>
    </row>
    <row r="329" spans="1:13" x14ac:dyDescent="0.2">
      <c r="A329" s="493" t="str">
        <f t="shared" ca="1" si="8"/>
        <v xml:space="preserve">       </v>
      </c>
      <c r="B329" s="493"/>
      <c r="C329" s="497"/>
      <c r="D329" s="498"/>
      <c r="E329" s="498"/>
      <c r="F329" s="498"/>
      <c r="G329" s="498"/>
      <c r="H329" s="498"/>
      <c r="I329" s="498"/>
      <c r="J329" s="498"/>
      <c r="K329" s="498"/>
      <c r="L329" s="499"/>
      <c r="M329" s="87" t="str">
        <f t="shared" ca="1" si="7"/>
        <v xml:space="preserve">       </v>
      </c>
    </row>
    <row r="330" spans="1:13" x14ac:dyDescent="0.2">
      <c r="A330" s="493" t="str">
        <f t="shared" ca="1" si="8"/>
        <v xml:space="preserve">       </v>
      </c>
      <c r="B330" s="493"/>
      <c r="C330" s="497"/>
      <c r="D330" s="498"/>
      <c r="E330" s="498"/>
      <c r="F330" s="498"/>
      <c r="G330" s="498"/>
      <c r="H330" s="498"/>
      <c r="I330" s="498"/>
      <c r="J330" s="498"/>
      <c r="K330" s="498"/>
      <c r="L330" s="499"/>
      <c r="M330" s="87" t="str">
        <f t="shared" ca="1" si="7"/>
        <v xml:space="preserve">       </v>
      </c>
    </row>
    <row r="331" spans="1:13" x14ac:dyDescent="0.2">
      <c r="A331" s="493" t="str">
        <f t="shared" ca="1" si="8"/>
        <v xml:space="preserve">       </v>
      </c>
      <c r="B331" s="493"/>
      <c r="C331" s="497"/>
      <c r="D331" s="498"/>
      <c r="E331" s="498"/>
      <c r="F331" s="498"/>
      <c r="G331" s="498"/>
      <c r="H331" s="498"/>
      <c r="I331" s="498"/>
      <c r="J331" s="498"/>
      <c r="K331" s="498"/>
      <c r="L331" s="499"/>
      <c r="M331" s="87" t="str">
        <f t="shared" ca="1" si="7"/>
        <v xml:space="preserve">       </v>
      </c>
    </row>
    <row r="332" spans="1:13" x14ac:dyDescent="0.2">
      <c r="A332" s="493" t="str">
        <f t="shared" ca="1" si="8"/>
        <v xml:space="preserve">       </v>
      </c>
      <c r="B332" s="493"/>
      <c r="C332" s="497"/>
      <c r="D332" s="498"/>
      <c r="E332" s="498"/>
      <c r="F332" s="498"/>
      <c r="G332" s="498"/>
      <c r="H332" s="498"/>
      <c r="I332" s="498"/>
      <c r="J332" s="498"/>
      <c r="K332" s="498"/>
      <c r="L332" s="499"/>
      <c r="M332" s="87" t="str">
        <f t="shared" ca="1" si="7"/>
        <v xml:space="preserve">       </v>
      </c>
    </row>
    <row r="333" spans="1:13" x14ac:dyDescent="0.2">
      <c r="A333" s="493" t="str">
        <f t="shared" ca="1" si="8"/>
        <v xml:space="preserve">       </v>
      </c>
      <c r="B333" s="493"/>
      <c r="C333" s="497"/>
      <c r="D333" s="498"/>
      <c r="E333" s="498"/>
      <c r="F333" s="498"/>
      <c r="G333" s="498"/>
      <c r="H333" s="498"/>
      <c r="I333" s="498"/>
      <c r="J333" s="498"/>
      <c r="K333" s="498"/>
      <c r="L333" s="499"/>
      <c r="M333" s="87" t="str">
        <f t="shared" ca="1" si="7"/>
        <v xml:space="preserve">       </v>
      </c>
    </row>
    <row r="334" spans="1:13" x14ac:dyDescent="0.2">
      <c r="A334" s="493" t="str">
        <f t="shared" ca="1" si="8"/>
        <v xml:space="preserve">       </v>
      </c>
      <c r="B334" s="493"/>
      <c r="C334" s="497"/>
      <c r="D334" s="498"/>
      <c r="E334" s="498"/>
      <c r="F334" s="498"/>
      <c r="G334" s="498"/>
      <c r="H334" s="498"/>
      <c r="I334" s="498"/>
      <c r="J334" s="498"/>
      <c r="K334" s="498"/>
      <c r="L334" s="499"/>
      <c r="M334" s="87" t="str">
        <f t="shared" ca="1" si="7"/>
        <v xml:space="preserve">       </v>
      </c>
    </row>
    <row r="335" spans="1:13" x14ac:dyDescent="0.2">
      <c r="A335" s="493" t="str">
        <f t="shared" ca="1" si="8"/>
        <v xml:space="preserve">       </v>
      </c>
      <c r="B335" s="493"/>
      <c r="C335" s="497"/>
      <c r="D335" s="498"/>
      <c r="E335" s="498"/>
      <c r="F335" s="498"/>
      <c r="G335" s="498"/>
      <c r="H335" s="498"/>
      <c r="I335" s="498"/>
      <c r="J335" s="498"/>
      <c r="K335" s="498"/>
      <c r="L335" s="499"/>
      <c r="M335" s="87" t="str">
        <f t="shared" ca="1" si="7"/>
        <v xml:space="preserve">       </v>
      </c>
    </row>
    <row r="336" spans="1:13" x14ac:dyDescent="0.2">
      <c r="A336" s="493" t="str">
        <f t="shared" ca="1" si="8"/>
        <v xml:space="preserve">       </v>
      </c>
      <c r="B336" s="493"/>
      <c r="C336" s="497"/>
      <c r="D336" s="498"/>
      <c r="E336" s="498"/>
      <c r="F336" s="498"/>
      <c r="G336" s="498"/>
      <c r="H336" s="498"/>
      <c r="I336" s="498"/>
      <c r="J336" s="498"/>
      <c r="K336" s="498"/>
      <c r="L336" s="499"/>
      <c r="M336" s="87" t="str">
        <f t="shared" ca="1" si="7"/>
        <v xml:space="preserve">       </v>
      </c>
    </row>
    <row r="337" spans="1:13" x14ac:dyDescent="0.2">
      <c r="A337" s="493" t="str">
        <f t="shared" ca="1" si="8"/>
        <v xml:space="preserve">       </v>
      </c>
      <c r="B337" s="493"/>
      <c r="C337" s="497"/>
      <c r="D337" s="498"/>
      <c r="E337" s="498"/>
      <c r="F337" s="498"/>
      <c r="G337" s="498"/>
      <c r="H337" s="498"/>
      <c r="I337" s="498"/>
      <c r="J337" s="498"/>
      <c r="K337" s="498"/>
      <c r="L337" s="499"/>
      <c r="M337" s="87" t="str">
        <f t="shared" ca="1" si="7"/>
        <v xml:space="preserve">       </v>
      </c>
    </row>
    <row r="338" spans="1:13" x14ac:dyDescent="0.2">
      <c r="A338" s="493" t="str">
        <f t="shared" ca="1" si="8"/>
        <v xml:space="preserve">       </v>
      </c>
      <c r="B338" s="493"/>
      <c r="C338" s="497"/>
      <c r="D338" s="498"/>
      <c r="E338" s="498"/>
      <c r="F338" s="498"/>
      <c r="G338" s="498"/>
      <c r="H338" s="498"/>
      <c r="I338" s="498"/>
      <c r="J338" s="498"/>
      <c r="K338" s="498"/>
      <c r="L338" s="499"/>
      <c r="M338" s="87" t="str">
        <f t="shared" ca="1" si="7"/>
        <v xml:space="preserve">       </v>
      </c>
    </row>
    <row r="339" spans="1:13" x14ac:dyDescent="0.2">
      <c r="A339" s="493" t="str">
        <f t="shared" ca="1" si="8"/>
        <v xml:space="preserve">       </v>
      </c>
      <c r="B339" s="493"/>
      <c r="C339" s="497"/>
      <c r="D339" s="498"/>
      <c r="E339" s="498"/>
      <c r="F339" s="498"/>
      <c r="G339" s="498"/>
      <c r="H339" s="498"/>
      <c r="I339" s="498"/>
      <c r="J339" s="498"/>
      <c r="K339" s="498"/>
      <c r="L339" s="499"/>
      <c r="M339" s="87" t="str">
        <f t="shared" ca="1" si="7"/>
        <v xml:space="preserve">       </v>
      </c>
    </row>
    <row r="340" spans="1:13" x14ac:dyDescent="0.2">
      <c r="A340" s="493" t="str">
        <f t="shared" ca="1" si="8"/>
        <v xml:space="preserve">       </v>
      </c>
      <c r="B340" s="493"/>
      <c r="C340" s="497"/>
      <c r="D340" s="498"/>
      <c r="E340" s="498"/>
      <c r="F340" s="498"/>
      <c r="G340" s="498"/>
      <c r="H340" s="498"/>
      <c r="I340" s="498"/>
      <c r="J340" s="498"/>
      <c r="K340" s="498"/>
      <c r="L340" s="499"/>
      <c r="M340" s="87" t="str">
        <f t="shared" ca="1" si="7"/>
        <v xml:space="preserve">       </v>
      </c>
    </row>
    <row r="341" spans="1:13" x14ac:dyDescent="0.2">
      <c r="A341" s="493" t="str">
        <f t="shared" ca="1" si="8"/>
        <v xml:space="preserve">       </v>
      </c>
      <c r="B341" s="493"/>
      <c r="C341" s="497"/>
      <c r="D341" s="498"/>
      <c r="E341" s="498"/>
      <c r="F341" s="498"/>
      <c r="G341" s="498"/>
      <c r="H341" s="498"/>
      <c r="I341" s="498"/>
      <c r="J341" s="498"/>
      <c r="K341" s="498"/>
      <c r="L341" s="499"/>
      <c r="M341" s="87" t="str">
        <f t="shared" ca="1" si="7"/>
        <v xml:space="preserve">       </v>
      </c>
    </row>
    <row r="342" spans="1:13" x14ac:dyDescent="0.2">
      <c r="A342" s="493" t="str">
        <f t="shared" ca="1" si="8"/>
        <v xml:space="preserve">       </v>
      </c>
      <c r="B342" s="493"/>
      <c r="C342" s="497"/>
      <c r="D342" s="498"/>
      <c r="E342" s="498"/>
      <c r="F342" s="498"/>
      <c r="G342" s="498"/>
      <c r="H342" s="498"/>
      <c r="I342" s="498"/>
      <c r="J342" s="498"/>
      <c r="K342" s="498"/>
      <c r="L342" s="499"/>
      <c r="M342" s="87" t="str">
        <f t="shared" ca="1" si="7"/>
        <v xml:space="preserve">       </v>
      </c>
    </row>
    <row r="343" spans="1:13" x14ac:dyDescent="0.2">
      <c r="A343" s="493" t="str">
        <f t="shared" ca="1" si="8"/>
        <v xml:space="preserve">       </v>
      </c>
      <c r="B343" s="493"/>
      <c r="C343" s="497"/>
      <c r="D343" s="498"/>
      <c r="E343" s="498"/>
      <c r="F343" s="498"/>
      <c r="G343" s="498"/>
      <c r="H343" s="498"/>
      <c r="I343" s="498"/>
      <c r="J343" s="498"/>
      <c r="K343" s="498"/>
      <c r="L343" s="499"/>
      <c r="M343" s="87" t="str">
        <f t="shared" ca="1" si="7"/>
        <v xml:space="preserve">       </v>
      </c>
    </row>
    <row r="344" spans="1:13" x14ac:dyDescent="0.2">
      <c r="A344" s="493" t="str">
        <f t="shared" ca="1" si="8"/>
        <v xml:space="preserve">       </v>
      </c>
      <c r="B344" s="493"/>
      <c r="C344" s="497"/>
      <c r="D344" s="498"/>
      <c r="E344" s="498"/>
      <c r="F344" s="498"/>
      <c r="G344" s="498"/>
      <c r="H344" s="498"/>
      <c r="I344" s="498"/>
      <c r="J344" s="498"/>
      <c r="K344" s="498"/>
      <c r="L344" s="499"/>
      <c r="M344" s="87" t="str">
        <f t="shared" ca="1" si="7"/>
        <v xml:space="preserve">       </v>
      </c>
    </row>
    <row r="345" spans="1:13" x14ac:dyDescent="0.2">
      <c r="A345" s="493" t="str">
        <f ca="1">OFFSET($A$9,(ROW()-326)*10-1,0)</f>
        <v xml:space="preserve">       </v>
      </c>
      <c r="B345" s="493"/>
      <c r="C345" s="497"/>
      <c r="D345" s="498"/>
      <c r="E345" s="498"/>
      <c r="F345" s="498"/>
      <c r="G345" s="498"/>
      <c r="H345" s="498"/>
      <c r="I345" s="498"/>
      <c r="J345" s="498"/>
      <c r="K345" s="498"/>
      <c r="L345" s="499"/>
      <c r="M345" s="87" t="str">
        <f t="shared" ca="1" si="7"/>
        <v xml:space="preserve">       </v>
      </c>
    </row>
    <row r="346" spans="1:13" x14ac:dyDescent="0.2">
      <c r="A346" s="493" t="str">
        <f t="shared" ca="1" si="8"/>
        <v xml:space="preserve">       </v>
      </c>
      <c r="B346" s="493"/>
      <c r="C346" s="497"/>
      <c r="D346" s="498"/>
      <c r="E346" s="498"/>
      <c r="F346" s="498"/>
      <c r="G346" s="498"/>
      <c r="H346" s="498"/>
      <c r="I346" s="498"/>
      <c r="J346" s="498"/>
      <c r="K346" s="498"/>
      <c r="L346" s="499"/>
      <c r="M346" s="87" t="str">
        <f t="shared" ca="1" si="7"/>
        <v xml:space="preserve">       </v>
      </c>
    </row>
    <row r="347" spans="1:13" x14ac:dyDescent="0.2">
      <c r="A347" s="493" t="str">
        <f ca="1">OFFSET($A$213,(ROW()-346)*10-1,0)</f>
        <v xml:space="preserve">       </v>
      </c>
      <c r="B347" s="493"/>
      <c r="C347" s="497"/>
      <c r="D347" s="498"/>
      <c r="E347" s="498"/>
      <c r="F347" s="498"/>
      <c r="G347" s="498"/>
      <c r="H347" s="498"/>
      <c r="I347" s="498"/>
      <c r="J347" s="498"/>
      <c r="K347" s="498"/>
      <c r="L347" s="499"/>
      <c r="M347" s="87" t="str">
        <f t="shared" ca="1" si="7"/>
        <v xml:space="preserve">       </v>
      </c>
    </row>
    <row r="348" spans="1:13" x14ac:dyDescent="0.2">
      <c r="A348" s="493" t="str">
        <f t="shared" ref="A348:A356" ca="1" si="9">OFFSET($A$213,(ROW()-346)*10-1,0)</f>
        <v xml:space="preserve">       </v>
      </c>
      <c r="B348" s="493"/>
      <c r="C348" s="497"/>
      <c r="D348" s="498"/>
      <c r="E348" s="498"/>
      <c r="F348" s="498"/>
      <c r="G348" s="498"/>
      <c r="H348" s="498"/>
      <c r="I348" s="498"/>
      <c r="J348" s="498"/>
      <c r="K348" s="498"/>
      <c r="L348" s="499"/>
      <c r="M348" s="87" t="str">
        <f t="shared" ca="1" si="7"/>
        <v xml:space="preserve">       </v>
      </c>
    </row>
    <row r="349" spans="1:13" x14ac:dyDescent="0.2">
      <c r="A349" s="493" t="str">
        <f t="shared" ca="1" si="9"/>
        <v xml:space="preserve">       </v>
      </c>
      <c r="B349" s="493"/>
      <c r="C349" s="497"/>
      <c r="D349" s="498"/>
      <c r="E349" s="498"/>
      <c r="F349" s="498"/>
      <c r="G349" s="498"/>
      <c r="H349" s="498"/>
      <c r="I349" s="498"/>
      <c r="J349" s="498"/>
      <c r="K349" s="498"/>
      <c r="L349" s="499"/>
      <c r="M349" s="87" t="str">
        <f t="shared" ca="1" si="7"/>
        <v xml:space="preserve">       </v>
      </c>
    </row>
    <row r="350" spans="1:13" x14ac:dyDescent="0.2">
      <c r="A350" s="493" t="str">
        <f t="shared" ca="1" si="9"/>
        <v xml:space="preserve">       </v>
      </c>
      <c r="B350" s="493"/>
      <c r="C350" s="497"/>
      <c r="D350" s="498"/>
      <c r="E350" s="498"/>
      <c r="F350" s="498"/>
      <c r="G350" s="498"/>
      <c r="H350" s="498"/>
      <c r="I350" s="498"/>
      <c r="J350" s="498"/>
      <c r="K350" s="498"/>
      <c r="L350" s="499"/>
      <c r="M350" s="87" t="str">
        <f t="shared" ca="1" si="7"/>
        <v xml:space="preserve">       </v>
      </c>
    </row>
    <row r="351" spans="1:13" x14ac:dyDescent="0.2">
      <c r="A351" s="493" t="str">
        <f t="shared" ca="1" si="9"/>
        <v xml:space="preserve">       </v>
      </c>
      <c r="B351" s="493"/>
      <c r="C351" s="497"/>
      <c r="D351" s="498"/>
      <c r="E351" s="498"/>
      <c r="F351" s="498"/>
      <c r="G351" s="498"/>
      <c r="H351" s="498"/>
      <c r="I351" s="498"/>
      <c r="J351" s="498"/>
      <c r="K351" s="498"/>
      <c r="L351" s="499"/>
      <c r="M351" s="87" t="str">
        <f t="shared" ca="1" si="7"/>
        <v xml:space="preserve">       </v>
      </c>
    </row>
    <row r="352" spans="1:13" x14ac:dyDescent="0.2">
      <c r="A352" s="493" t="str">
        <f t="shared" ca="1" si="9"/>
        <v xml:space="preserve">       </v>
      </c>
      <c r="B352" s="493"/>
      <c r="C352" s="497"/>
      <c r="D352" s="498"/>
      <c r="E352" s="498"/>
      <c r="F352" s="498"/>
      <c r="G352" s="498"/>
      <c r="H352" s="498"/>
      <c r="I352" s="498"/>
      <c r="J352" s="498"/>
      <c r="K352" s="498"/>
      <c r="L352" s="499"/>
      <c r="M352" s="87" t="str">
        <f t="shared" ca="1" si="7"/>
        <v xml:space="preserve">       </v>
      </c>
    </row>
    <row r="353" spans="1:13" x14ac:dyDescent="0.2">
      <c r="A353" s="493" t="str">
        <f t="shared" ca="1" si="9"/>
        <v xml:space="preserve">       </v>
      </c>
      <c r="B353" s="493"/>
      <c r="C353" s="497"/>
      <c r="D353" s="498"/>
      <c r="E353" s="498"/>
      <c r="F353" s="498"/>
      <c r="G353" s="498"/>
      <c r="H353" s="498"/>
      <c r="I353" s="498"/>
      <c r="J353" s="498"/>
      <c r="K353" s="498"/>
      <c r="L353" s="499"/>
      <c r="M353" s="87" t="str">
        <f t="shared" ca="1" si="7"/>
        <v xml:space="preserve">       </v>
      </c>
    </row>
    <row r="354" spans="1:13" x14ac:dyDescent="0.2">
      <c r="A354" s="493" t="str">
        <f t="shared" ca="1" si="9"/>
        <v xml:space="preserve">       </v>
      </c>
      <c r="B354" s="493"/>
      <c r="C354" s="497"/>
      <c r="D354" s="498"/>
      <c r="E354" s="498"/>
      <c r="F354" s="498"/>
      <c r="G354" s="498"/>
      <c r="H354" s="498"/>
      <c r="I354" s="498"/>
      <c r="J354" s="498"/>
      <c r="K354" s="498"/>
      <c r="L354" s="499"/>
      <c r="M354" s="87" t="str">
        <f t="shared" ca="1" si="7"/>
        <v xml:space="preserve">       </v>
      </c>
    </row>
    <row r="355" spans="1:13" x14ac:dyDescent="0.2">
      <c r="A355" s="493" t="str">
        <f t="shared" ca="1" si="9"/>
        <v xml:space="preserve">       </v>
      </c>
      <c r="B355" s="493"/>
      <c r="C355" s="497"/>
      <c r="D355" s="498"/>
      <c r="E355" s="498"/>
      <c r="F355" s="498"/>
      <c r="G355" s="498"/>
      <c r="H355" s="498"/>
      <c r="I355" s="498"/>
      <c r="J355" s="498"/>
      <c r="K355" s="498"/>
      <c r="L355" s="499"/>
      <c r="M355" s="87" t="str">
        <f t="shared" ca="1" si="7"/>
        <v xml:space="preserve">       </v>
      </c>
    </row>
    <row r="356" spans="1:13" x14ac:dyDescent="0.2">
      <c r="A356" s="493" t="str">
        <f t="shared" ca="1" si="9"/>
        <v xml:space="preserve">       </v>
      </c>
      <c r="B356" s="493"/>
      <c r="C356" s="500"/>
      <c r="D356" s="501"/>
      <c r="E356" s="501"/>
      <c r="F356" s="501"/>
      <c r="G356" s="501"/>
      <c r="H356" s="501"/>
      <c r="I356" s="501"/>
      <c r="J356" s="501"/>
      <c r="K356" s="501"/>
      <c r="L356" s="502"/>
      <c r="M356" s="87" t="str">
        <f t="shared" ca="1" si="7"/>
        <v xml:space="preserve">       </v>
      </c>
    </row>
    <row r="357" spans="1:13" s="55" customFormat="1" ht="18" customHeight="1" x14ac:dyDescent="0.2">
      <c r="A357" s="422" t="str">
        <f>'M1'!A357:L357</f>
        <v>EXPERIENCIAS FORMATIVAS EN SITUACIONES REALES DE TRABAJO (EFSRT)</v>
      </c>
      <c r="B357" s="422"/>
      <c r="C357" s="422"/>
      <c r="D357" s="422"/>
      <c r="E357" s="422"/>
      <c r="F357" s="422"/>
      <c r="G357" s="422"/>
      <c r="H357" s="422"/>
      <c r="I357" s="422"/>
      <c r="J357" s="422"/>
      <c r="K357" s="422"/>
      <c r="L357" s="422"/>
      <c r="M357" s="87" t="str">
        <f t="shared" si="7"/>
        <v>EXPERIENCIAS FORMATIVAS EN SITUACIONES REALES DE TRABAJO (EFSRT)</v>
      </c>
    </row>
    <row r="358" spans="1:13" s="55" customFormat="1" ht="18.75" customHeight="1" x14ac:dyDescent="0.2">
      <c r="A358" s="151" t="str">
        <f>'M1'!A358</f>
        <v>LUGAR PARA EL DESARROLLO DE LA EFSRT</v>
      </c>
      <c r="B358" s="151" t="str">
        <f>'M1'!B358</f>
        <v>AMBIENTES/ÁREAS (1)</v>
      </c>
      <c r="C358" s="516" t="str">
        <f>'M1'!C358:J358</f>
        <v>DESCRIPCIÓN DE LA ESTRATEGIA PARA LA IMPLEMENTACIÓN DE LA EFSRT (2)</v>
      </c>
      <c r="D358" s="516"/>
      <c r="E358" s="516"/>
      <c r="F358" s="516"/>
      <c r="G358" s="516"/>
      <c r="H358" s="516"/>
      <c r="I358" s="516"/>
      <c r="J358" s="516"/>
      <c r="K358" s="151" t="str">
        <f>'M1'!K358</f>
        <v>CRÉDITOS</v>
      </c>
      <c r="L358" s="151" t="str">
        <f>'M1'!L358</f>
        <v>HORAS (P)</v>
      </c>
      <c r="M358" s="87" t="str">
        <f t="shared" si="7"/>
        <v>LUGAR PARA EL DESARROLLO DE LA EFSRT</v>
      </c>
    </row>
    <row r="359" spans="1:13" s="55" customFormat="1" ht="12.75" customHeight="1" x14ac:dyDescent="0.2">
      <c r="A359" s="155"/>
      <c r="B359" s="155"/>
      <c r="C359" s="486"/>
      <c r="D359" s="487"/>
      <c r="E359" s="487"/>
      <c r="F359" s="487"/>
      <c r="G359" s="487"/>
      <c r="H359" s="487"/>
      <c r="I359" s="487"/>
      <c r="J359" s="488"/>
      <c r="K359" s="17">
        <f>Organización_Modular!I164</f>
        <v>0</v>
      </c>
      <c r="L359" s="18">
        <f>K359*32</f>
        <v>0</v>
      </c>
      <c r="M359" s="87">
        <f>C359</f>
        <v>0</v>
      </c>
    </row>
    <row r="360" spans="1:13" s="55" customFormat="1" x14ac:dyDescent="0.2">
      <c r="A360" s="155"/>
      <c r="B360" s="155"/>
      <c r="C360" s="486"/>
      <c r="D360" s="487"/>
      <c r="E360" s="487"/>
      <c r="F360" s="487"/>
      <c r="G360" s="487"/>
      <c r="H360" s="487"/>
      <c r="I360" s="487"/>
      <c r="J360" s="488"/>
      <c r="K360" s="84"/>
      <c r="L360" s="85"/>
      <c r="M360" s="87">
        <f>C360</f>
        <v>0</v>
      </c>
    </row>
    <row r="361" spans="1:13" ht="27.75" customHeight="1" x14ac:dyDescent="0.2">
      <c r="A361" s="491">
        <f>'M1'!A361</f>
        <v>0</v>
      </c>
      <c r="B361" s="492"/>
      <c r="M361" s="87">
        <f>A361</f>
        <v>0</v>
      </c>
    </row>
    <row r="362" spans="1:13" x14ac:dyDescent="0.2">
      <c r="A362" s="129" t="s">
        <v>146</v>
      </c>
      <c r="B362" s="130" t="s">
        <v>115</v>
      </c>
    </row>
    <row r="363" spans="1:13" x14ac:dyDescent="0.2">
      <c r="A363" s="129" t="s">
        <v>112</v>
      </c>
      <c r="B363" s="130" t="s">
        <v>116</v>
      </c>
    </row>
    <row r="364" spans="1:13" x14ac:dyDescent="0.2">
      <c r="A364" s="129"/>
      <c r="B364" s="130" t="s">
        <v>119</v>
      </c>
    </row>
    <row r="365" spans="1:13" x14ac:dyDescent="0.2">
      <c r="A365" s="129"/>
      <c r="B365" s="130" t="s">
        <v>117</v>
      </c>
    </row>
    <row r="366" spans="1:13" x14ac:dyDescent="0.2">
      <c r="A366" s="129"/>
      <c r="B366" s="130" t="s">
        <v>118</v>
      </c>
    </row>
    <row r="367" spans="1:13" x14ac:dyDescent="0.2">
      <c r="A367" s="126"/>
      <c r="B367" s="130" t="s">
        <v>120</v>
      </c>
    </row>
  </sheetData>
  <sheetProtection formatRows="0" autoFilter="0"/>
  <autoFilter ref="A16:M361" xr:uid="{00000000-0009-0000-0000-000008000000}">
    <filterColumn colId="5" showButton="0"/>
    <filterColumn colId="8" showButton="0"/>
  </autoFilter>
  <mergeCells count="142">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 ref="A18:A27"/>
    <mergeCell ref="A28:A37"/>
    <mergeCell ref="A38:A47"/>
    <mergeCell ref="A48:A57"/>
    <mergeCell ref="A58:A67"/>
    <mergeCell ref="A68:A77"/>
    <mergeCell ref="A78:A87"/>
    <mergeCell ref="A88:A97"/>
    <mergeCell ref="A98:A107"/>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168:A177"/>
    <mergeCell ref="A178:A187"/>
    <mergeCell ref="A188:A197"/>
    <mergeCell ref="A198:A207"/>
    <mergeCell ref="A208:A217"/>
    <mergeCell ref="L232:L241"/>
    <mergeCell ref="L242:L251"/>
    <mergeCell ref="L252:L261"/>
    <mergeCell ref="L262:L271"/>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L1"/>
    <mergeCell ref="B3:C3"/>
    <mergeCell ref="F3:H3"/>
    <mergeCell ref="I3:L3"/>
    <mergeCell ref="F5:H5"/>
    <mergeCell ref="I5:L5"/>
    <mergeCell ref="A13:L13"/>
    <mergeCell ref="A14:L14"/>
    <mergeCell ref="B15:L15"/>
    <mergeCell ref="B7:C7"/>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s>
  <conditionalFormatting sqref="C18:C217 L18:L217 C222:C321 L222:L321 C327:L356 A359:J360">
    <cfRule type="containsBlanks" dxfId="56"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M367"/>
  <sheetViews>
    <sheetView showGridLines="0" zoomScale="80" zoomScaleNormal="80" workbookViewId="0">
      <selection activeCell="B358" sqref="B358"/>
    </sheetView>
  </sheetViews>
  <sheetFormatPr baseColWidth="10" defaultColWidth="11.42578125" defaultRowHeight="12.75" x14ac:dyDescent="0.2"/>
  <cols>
    <col min="1" max="1" width="39.7109375" style="56" customWidth="1"/>
    <col min="2" max="2" width="41.7109375" style="97" customWidth="1"/>
    <col min="3" max="3" width="45.7109375" style="97"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7" style="49" customWidth="1"/>
    <col min="14" max="16384" width="11.42578125" style="2"/>
  </cols>
  <sheetData>
    <row r="1" spans="1:13" s="55" customFormat="1" ht="18.75" x14ac:dyDescent="0.2">
      <c r="A1" s="455" t="str">
        <f>'M5'!A1:L1</f>
        <v>ORGANIZACIÓN DE LOS ELEMENTOS DEL MÓDULO</v>
      </c>
      <c r="B1" s="455"/>
      <c r="C1" s="455"/>
      <c r="D1" s="455"/>
      <c r="E1" s="455"/>
      <c r="F1" s="455"/>
      <c r="G1" s="455"/>
      <c r="H1" s="455"/>
      <c r="I1" s="455"/>
      <c r="J1" s="455"/>
      <c r="K1" s="455"/>
      <c r="L1" s="455"/>
      <c r="M1" s="89"/>
    </row>
    <row r="2" spans="1:13" s="55" customFormat="1" ht="15.75" x14ac:dyDescent="0.2">
      <c r="A2" s="83"/>
      <c r="B2" s="83"/>
      <c r="C2" s="83"/>
      <c r="D2" s="83"/>
      <c r="E2" s="83"/>
      <c r="F2" s="83"/>
      <c r="G2" s="83"/>
      <c r="H2" s="83"/>
      <c r="I2" s="83"/>
      <c r="J2" s="83"/>
      <c r="K2" s="83"/>
      <c r="L2" s="83"/>
      <c r="M2" s="89"/>
    </row>
    <row r="3" spans="1:13" ht="25.5" customHeight="1" x14ac:dyDescent="0.2">
      <c r="A3" s="19" t="s">
        <v>36</v>
      </c>
      <c r="B3" s="368" t="str">
        <f>Perfil_Egreso!B3</f>
        <v xml:space="preserve">CETPRO JUANJUI </v>
      </c>
      <c r="C3" s="368"/>
      <c r="D3" s="9"/>
      <c r="E3" s="9"/>
      <c r="F3" s="504" t="s">
        <v>51</v>
      </c>
      <c r="G3" s="504"/>
      <c r="H3" s="505"/>
      <c r="I3" s="506" t="str">
        <f>Perfil_Egreso!E3</f>
        <v>0533836</v>
      </c>
      <c r="J3" s="507"/>
      <c r="K3" s="507"/>
      <c r="L3" s="394"/>
    </row>
    <row r="4" spans="1:13" ht="15" customHeight="1" x14ac:dyDescent="0.2">
      <c r="A4" s="33"/>
      <c r="B4" s="33"/>
      <c r="C4" s="20"/>
      <c r="D4" s="20"/>
      <c r="E4" s="20"/>
      <c r="F4" s="9"/>
      <c r="G4" s="9"/>
      <c r="H4" s="9"/>
      <c r="I4" s="9"/>
      <c r="J4" s="9"/>
      <c r="K4" s="9"/>
      <c r="L4" s="9"/>
    </row>
    <row r="5" spans="1:13" ht="26.25" customHeight="1" x14ac:dyDescent="0.2">
      <c r="A5" s="19" t="s">
        <v>40</v>
      </c>
      <c r="B5" s="73" t="str">
        <f>Perfil_Egreso!B5</f>
        <v>Actividades profesionales, científicas y técnicas</v>
      </c>
      <c r="C5" s="21" t="s">
        <v>41</v>
      </c>
      <c r="D5" s="5" t="str">
        <f>Perfil_Egreso!D5</f>
        <v>Servicios prestados a empresas</v>
      </c>
      <c r="E5" s="22"/>
      <c r="F5" s="508" t="s">
        <v>42</v>
      </c>
      <c r="G5" s="508"/>
      <c r="H5" s="509"/>
      <c r="I5" s="393" t="str">
        <f>Perfil_Egreso!B7</f>
        <v>Actividades administrativas y de apoyo de oficina y otras actividades de
apoyo a las empresas</v>
      </c>
      <c r="J5" s="507"/>
      <c r="K5" s="507"/>
      <c r="L5" s="394"/>
    </row>
    <row r="6" spans="1:13" ht="12.75" customHeight="1" x14ac:dyDescent="0.2">
      <c r="A6" s="69"/>
      <c r="B6" s="69"/>
      <c r="C6" s="23"/>
      <c r="D6" s="23"/>
      <c r="E6" s="23"/>
      <c r="F6" s="9"/>
      <c r="G6" s="9"/>
      <c r="H6" s="9"/>
      <c r="I6" s="9"/>
      <c r="J6" s="9"/>
      <c r="K6" s="9"/>
      <c r="L6" s="9"/>
    </row>
    <row r="7" spans="1:13" ht="24" customHeight="1" x14ac:dyDescent="0.2">
      <c r="A7" s="69" t="str">
        <f>Perfil_Egreso!A10</f>
        <v>DENOMINACIÓN DEL PROGRAMA DE ESTUDIOS SEGÚN CNOF (según corresponda)</v>
      </c>
      <c r="B7" s="393" t="str">
        <f>Perfil_Egreso!B10</f>
        <v>APOYO ADMINISTRATIVO</v>
      </c>
      <c r="C7" s="394"/>
      <c r="D7" s="169"/>
      <c r="E7" s="169"/>
      <c r="F7" s="504" t="s">
        <v>44</v>
      </c>
      <c r="G7" s="504"/>
      <c r="H7" s="505"/>
      <c r="I7" s="506" t="str">
        <f>Perfil_Egreso!E10</f>
        <v>M2982-1-002</v>
      </c>
      <c r="J7" s="507"/>
      <c r="K7" s="507"/>
      <c r="L7" s="394"/>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2" t="str">
        <f>Perfil_Egreso!B12</f>
        <v>AUXILIAR TECNICO</v>
      </c>
      <c r="C9" s="26" t="s">
        <v>5</v>
      </c>
      <c r="D9" s="5">
        <f>Itinerario!W17</f>
        <v>1072</v>
      </c>
      <c r="E9" s="27"/>
      <c r="F9" s="510" t="s">
        <v>34</v>
      </c>
      <c r="G9" s="510"/>
      <c r="H9" s="511"/>
      <c r="I9" s="393">
        <f>Itinerario!T17</f>
        <v>40</v>
      </c>
      <c r="J9" s="507"/>
      <c r="K9" s="507"/>
      <c r="L9" s="394"/>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24" t="str">
        <f>Perfil_Egreso!D12</f>
        <v>PRESENCIAL</v>
      </c>
      <c r="C11" s="326"/>
      <c r="D11" s="9"/>
      <c r="E11" s="9"/>
      <c r="F11" s="512" t="str">
        <f>Perfil_Egreso!A14</f>
        <v>NIVEL FORMATIVO</v>
      </c>
      <c r="G11" s="512"/>
      <c r="H11" s="513"/>
      <c r="I11" s="393" t="str">
        <f>Perfil_Egreso!B14</f>
        <v>AUXILIAR TÉCNICO</v>
      </c>
      <c r="J11" s="507"/>
      <c r="K11" s="507"/>
      <c r="L11" s="394"/>
    </row>
    <row r="12" spans="1:13" s="55" customFormat="1" ht="8.25" customHeight="1" x14ac:dyDescent="0.2">
      <c r="A12" s="30"/>
      <c r="B12" s="30"/>
      <c r="C12" s="30"/>
      <c r="D12" s="30"/>
      <c r="E12" s="30"/>
      <c r="F12" s="30"/>
      <c r="G12" s="30"/>
      <c r="H12" s="30"/>
      <c r="I12" s="30"/>
      <c r="J12" s="30"/>
      <c r="K12" s="30"/>
      <c r="L12" s="30"/>
      <c r="M12" s="89"/>
    </row>
    <row r="13" spans="1:13" ht="18.75" customHeight="1" x14ac:dyDescent="0.2">
      <c r="A13" s="456" t="s">
        <v>85</v>
      </c>
      <c r="B13" s="456"/>
      <c r="C13" s="456"/>
      <c r="D13" s="456"/>
      <c r="E13" s="456"/>
      <c r="F13" s="456"/>
      <c r="G13" s="456"/>
      <c r="H13" s="456"/>
      <c r="I13" s="456"/>
      <c r="J13" s="456"/>
      <c r="K13" s="456"/>
      <c r="L13" s="456"/>
    </row>
    <row r="14" spans="1:13" ht="78.75" customHeight="1" x14ac:dyDescent="0.2">
      <c r="A14" s="457">
        <f>Organización_Modular!C134</f>
        <v>0</v>
      </c>
      <c r="B14" s="457"/>
      <c r="C14" s="457"/>
      <c r="D14" s="457"/>
      <c r="E14" s="457"/>
      <c r="F14" s="457"/>
      <c r="G14" s="457"/>
      <c r="H14" s="457"/>
      <c r="I14" s="457"/>
      <c r="J14" s="457"/>
      <c r="K14" s="457"/>
      <c r="L14" s="457"/>
    </row>
    <row r="15" spans="1:13" ht="21" x14ac:dyDescent="0.2">
      <c r="A15" s="146" t="s">
        <v>84</v>
      </c>
      <c r="B15" s="458">
        <f>Organización_Modular!A134</f>
        <v>0</v>
      </c>
      <c r="C15" s="458"/>
      <c r="D15" s="458"/>
      <c r="E15" s="458"/>
      <c r="F15" s="458"/>
      <c r="G15" s="458"/>
      <c r="H15" s="458"/>
      <c r="I15" s="458"/>
      <c r="J15" s="458"/>
      <c r="K15" s="458"/>
      <c r="L15" s="458"/>
    </row>
    <row r="16" spans="1:13" ht="18" customHeight="1" x14ac:dyDescent="0.2">
      <c r="A16" s="459" t="s">
        <v>83</v>
      </c>
      <c r="B16" s="460" t="s">
        <v>82</v>
      </c>
      <c r="C16" s="459" t="s">
        <v>78</v>
      </c>
      <c r="D16" s="459" t="s">
        <v>0</v>
      </c>
      <c r="E16" s="459" t="s">
        <v>50</v>
      </c>
      <c r="F16" s="459" t="s">
        <v>71</v>
      </c>
      <c r="G16" s="459"/>
      <c r="H16" s="459" t="s">
        <v>71</v>
      </c>
      <c r="I16" s="459" t="s">
        <v>77</v>
      </c>
      <c r="J16" s="459"/>
      <c r="K16" s="459" t="s">
        <v>77</v>
      </c>
      <c r="L16" s="459" t="s">
        <v>81</v>
      </c>
      <c r="M16" s="472" t="s">
        <v>91</v>
      </c>
    </row>
    <row r="17" spans="1:13" ht="15.75" customHeight="1" x14ac:dyDescent="0.2">
      <c r="A17" s="459"/>
      <c r="B17" s="460"/>
      <c r="C17" s="459"/>
      <c r="D17" s="459"/>
      <c r="E17" s="459"/>
      <c r="F17" s="149" t="s">
        <v>75</v>
      </c>
      <c r="G17" s="149" t="s">
        <v>74</v>
      </c>
      <c r="H17" s="459"/>
      <c r="I17" s="149" t="s">
        <v>75</v>
      </c>
      <c r="J17" s="149" t="s">
        <v>74</v>
      </c>
      <c r="K17" s="459"/>
      <c r="L17" s="459"/>
      <c r="M17" s="472"/>
    </row>
    <row r="18" spans="1:13" x14ac:dyDescent="0.2">
      <c r="A18" s="425" t="str">
        <f>Capacidades!L1515</f>
        <v xml:space="preserve">       </v>
      </c>
      <c r="B18" s="156" t="str">
        <f>Capacidades!M1515</f>
        <v xml:space="preserve">   </v>
      </c>
      <c r="C18" s="157"/>
      <c r="D18" s="11">
        <f>Organización_Modular!F165</f>
        <v>0</v>
      </c>
      <c r="E18" s="11">
        <f>Organización_Modular!G165</f>
        <v>0</v>
      </c>
      <c r="F18" s="11">
        <f>Organización_Modular!H165</f>
        <v>0</v>
      </c>
      <c r="G18" s="11">
        <f>Organización_Modular!I165</f>
        <v>0</v>
      </c>
      <c r="H18" s="12">
        <f>SUM(F18:G18)</f>
        <v>0</v>
      </c>
      <c r="I18" s="12">
        <f>F18*16</f>
        <v>0</v>
      </c>
      <c r="J18" s="12">
        <f>G18*32</f>
        <v>0</v>
      </c>
      <c r="K18" s="12">
        <f>SUM(I18:J18)</f>
        <v>0</v>
      </c>
      <c r="L18" s="445"/>
      <c r="M18" s="87" t="str">
        <f>B18</f>
        <v xml:space="preserve">   </v>
      </c>
    </row>
    <row r="19" spans="1:13" x14ac:dyDescent="0.2">
      <c r="A19" s="426"/>
      <c r="B19" s="156" t="str">
        <f>Capacidades!M1516</f>
        <v xml:space="preserve">   </v>
      </c>
      <c r="C19" s="157"/>
      <c r="D19" s="13"/>
      <c r="E19" s="13"/>
      <c r="F19" s="13"/>
      <c r="G19" s="13"/>
      <c r="H19" s="14"/>
      <c r="I19" s="14"/>
      <c r="J19" s="14"/>
      <c r="K19" s="14"/>
      <c r="L19" s="446"/>
      <c r="M19" s="87" t="str">
        <f t="shared" ref="M19:M82" si="0">B19</f>
        <v xml:space="preserve">   </v>
      </c>
    </row>
    <row r="20" spans="1:13" x14ac:dyDescent="0.2">
      <c r="A20" s="426"/>
      <c r="B20" s="156" t="str">
        <f>Capacidades!M1517</f>
        <v xml:space="preserve">   </v>
      </c>
      <c r="C20" s="157"/>
      <c r="D20" s="13"/>
      <c r="E20" s="13"/>
      <c r="F20" s="13"/>
      <c r="G20" s="13"/>
      <c r="H20" s="14"/>
      <c r="I20" s="14"/>
      <c r="J20" s="14"/>
      <c r="K20" s="14"/>
      <c r="L20" s="446"/>
      <c r="M20" s="87" t="str">
        <f t="shared" si="0"/>
        <v xml:space="preserve">   </v>
      </c>
    </row>
    <row r="21" spans="1:13" x14ac:dyDescent="0.2">
      <c r="A21" s="426"/>
      <c r="B21" s="156" t="str">
        <f>Capacidades!M1518</f>
        <v xml:space="preserve">   </v>
      </c>
      <c r="C21" s="157"/>
      <c r="D21" s="13"/>
      <c r="E21" s="13"/>
      <c r="F21" s="13"/>
      <c r="G21" s="13"/>
      <c r="H21" s="14"/>
      <c r="I21" s="14"/>
      <c r="J21" s="14"/>
      <c r="K21" s="14"/>
      <c r="L21" s="446"/>
      <c r="M21" s="87" t="str">
        <f t="shared" si="0"/>
        <v xml:space="preserve">   </v>
      </c>
    </row>
    <row r="22" spans="1:13" x14ac:dyDescent="0.2">
      <c r="A22" s="426"/>
      <c r="B22" s="156" t="str">
        <f>Capacidades!M1519</f>
        <v xml:space="preserve">   </v>
      </c>
      <c r="C22" s="157"/>
      <c r="D22" s="13"/>
      <c r="E22" s="13"/>
      <c r="F22" s="13"/>
      <c r="G22" s="13"/>
      <c r="H22" s="14"/>
      <c r="I22" s="14"/>
      <c r="J22" s="14"/>
      <c r="K22" s="14"/>
      <c r="L22" s="446"/>
      <c r="M22" s="87" t="str">
        <f t="shared" si="0"/>
        <v xml:space="preserve">   </v>
      </c>
    </row>
    <row r="23" spans="1:13" x14ac:dyDescent="0.2">
      <c r="A23" s="426"/>
      <c r="B23" s="156" t="str">
        <f>Capacidades!M1520</f>
        <v xml:space="preserve">   </v>
      </c>
      <c r="C23" s="157"/>
      <c r="D23" s="13"/>
      <c r="E23" s="13"/>
      <c r="F23" s="13"/>
      <c r="G23" s="13"/>
      <c r="H23" s="14"/>
      <c r="I23" s="14"/>
      <c r="J23" s="14"/>
      <c r="K23" s="14"/>
      <c r="L23" s="446"/>
      <c r="M23" s="87" t="str">
        <f t="shared" si="0"/>
        <v xml:space="preserve">   </v>
      </c>
    </row>
    <row r="24" spans="1:13" x14ac:dyDescent="0.2">
      <c r="A24" s="426"/>
      <c r="B24" s="156" t="str">
        <f>Capacidades!M1521</f>
        <v xml:space="preserve">   </v>
      </c>
      <c r="C24" s="157"/>
      <c r="D24" s="13"/>
      <c r="E24" s="13"/>
      <c r="F24" s="13"/>
      <c r="G24" s="13"/>
      <c r="H24" s="14"/>
      <c r="I24" s="14"/>
      <c r="J24" s="14"/>
      <c r="K24" s="14"/>
      <c r="L24" s="446"/>
      <c r="M24" s="87" t="str">
        <f t="shared" si="0"/>
        <v xml:space="preserve">   </v>
      </c>
    </row>
    <row r="25" spans="1:13" x14ac:dyDescent="0.2">
      <c r="A25" s="426"/>
      <c r="B25" s="156" t="str">
        <f>Capacidades!M1522</f>
        <v xml:space="preserve">   </v>
      </c>
      <c r="C25" s="157"/>
      <c r="D25" s="13"/>
      <c r="E25" s="13"/>
      <c r="F25" s="13"/>
      <c r="G25" s="13"/>
      <c r="H25" s="14"/>
      <c r="I25" s="14"/>
      <c r="J25" s="14"/>
      <c r="K25" s="14"/>
      <c r="L25" s="446"/>
      <c r="M25" s="87" t="str">
        <f t="shared" si="0"/>
        <v xml:space="preserve">   </v>
      </c>
    </row>
    <row r="26" spans="1:13" x14ac:dyDescent="0.2">
      <c r="A26" s="426"/>
      <c r="B26" s="156" t="str">
        <f>Capacidades!M1523</f>
        <v xml:space="preserve">   </v>
      </c>
      <c r="C26" s="157"/>
      <c r="D26" s="13"/>
      <c r="E26" s="13"/>
      <c r="F26" s="13"/>
      <c r="G26" s="13"/>
      <c r="H26" s="14"/>
      <c r="I26" s="14"/>
      <c r="J26" s="14"/>
      <c r="K26" s="14"/>
      <c r="L26" s="446"/>
      <c r="M26" s="87" t="str">
        <f t="shared" si="0"/>
        <v xml:space="preserve">   </v>
      </c>
    </row>
    <row r="27" spans="1:13" x14ac:dyDescent="0.2">
      <c r="A27" s="427"/>
      <c r="B27" s="156" t="str">
        <f>Capacidades!M1524</f>
        <v xml:space="preserve">   </v>
      </c>
      <c r="C27" s="157"/>
      <c r="D27" s="15"/>
      <c r="E27" s="15"/>
      <c r="F27" s="15"/>
      <c r="G27" s="15"/>
      <c r="H27" s="16"/>
      <c r="I27" s="16"/>
      <c r="J27" s="16"/>
      <c r="K27" s="16"/>
      <c r="L27" s="447"/>
      <c r="M27" s="87" t="str">
        <f t="shared" si="0"/>
        <v xml:space="preserve">   </v>
      </c>
    </row>
    <row r="28" spans="1:13" x14ac:dyDescent="0.2">
      <c r="A28" s="425" t="str">
        <f>Capacidades!L1525</f>
        <v xml:space="preserve">       </v>
      </c>
      <c r="B28" s="156" t="str">
        <f>Capacidades!M1525</f>
        <v xml:space="preserve">   </v>
      </c>
      <c r="C28" s="157"/>
      <c r="D28" s="11">
        <f>Organización_Modular!F166</f>
        <v>0</v>
      </c>
      <c r="E28" s="11">
        <f>Organización_Modular!G166</f>
        <v>0</v>
      </c>
      <c r="F28" s="11">
        <f>Organización_Modular!H166</f>
        <v>0</v>
      </c>
      <c r="G28" s="11">
        <f>Organización_Modular!I166</f>
        <v>0</v>
      </c>
      <c r="H28" s="12">
        <f>SUM(F28:G28)</f>
        <v>0</v>
      </c>
      <c r="I28" s="12">
        <f>F28*16</f>
        <v>0</v>
      </c>
      <c r="J28" s="12">
        <f>G28*32</f>
        <v>0</v>
      </c>
      <c r="K28" s="12">
        <f>SUM(I28:J28)</f>
        <v>0</v>
      </c>
      <c r="L28" s="445"/>
      <c r="M28" s="87" t="str">
        <f t="shared" si="0"/>
        <v xml:space="preserve">   </v>
      </c>
    </row>
    <row r="29" spans="1:13" x14ac:dyDescent="0.2">
      <c r="A29" s="426"/>
      <c r="B29" s="156" t="str">
        <f>Capacidades!M1526</f>
        <v xml:space="preserve">   </v>
      </c>
      <c r="C29" s="157"/>
      <c r="D29" s="13"/>
      <c r="E29" s="13"/>
      <c r="F29" s="13"/>
      <c r="G29" s="13"/>
      <c r="H29" s="14"/>
      <c r="I29" s="14"/>
      <c r="J29" s="14"/>
      <c r="K29" s="14"/>
      <c r="L29" s="446"/>
      <c r="M29" s="87" t="str">
        <f t="shared" si="0"/>
        <v xml:space="preserve">   </v>
      </c>
    </row>
    <row r="30" spans="1:13" x14ac:dyDescent="0.2">
      <c r="A30" s="426"/>
      <c r="B30" s="156" t="str">
        <f>Capacidades!M1527</f>
        <v xml:space="preserve">   </v>
      </c>
      <c r="C30" s="157"/>
      <c r="D30" s="13"/>
      <c r="E30" s="13"/>
      <c r="F30" s="13"/>
      <c r="G30" s="13"/>
      <c r="H30" s="14"/>
      <c r="I30" s="14"/>
      <c r="J30" s="14"/>
      <c r="K30" s="14"/>
      <c r="L30" s="446"/>
      <c r="M30" s="87" t="str">
        <f t="shared" si="0"/>
        <v xml:space="preserve">   </v>
      </c>
    </row>
    <row r="31" spans="1:13" x14ac:dyDescent="0.2">
      <c r="A31" s="426"/>
      <c r="B31" s="156" t="str">
        <f>Capacidades!M1528</f>
        <v xml:space="preserve">   </v>
      </c>
      <c r="C31" s="157"/>
      <c r="D31" s="13"/>
      <c r="E31" s="13"/>
      <c r="F31" s="13"/>
      <c r="G31" s="13"/>
      <c r="H31" s="14"/>
      <c r="I31" s="14"/>
      <c r="J31" s="14"/>
      <c r="K31" s="14"/>
      <c r="L31" s="446"/>
      <c r="M31" s="87" t="str">
        <f t="shared" si="0"/>
        <v xml:space="preserve">   </v>
      </c>
    </row>
    <row r="32" spans="1:13" x14ac:dyDescent="0.2">
      <c r="A32" s="426"/>
      <c r="B32" s="156" t="str">
        <f>Capacidades!M1529</f>
        <v xml:space="preserve">   </v>
      </c>
      <c r="C32" s="157"/>
      <c r="D32" s="13"/>
      <c r="E32" s="13"/>
      <c r="F32" s="13"/>
      <c r="G32" s="13"/>
      <c r="H32" s="14"/>
      <c r="I32" s="14"/>
      <c r="J32" s="14"/>
      <c r="K32" s="14"/>
      <c r="L32" s="446"/>
      <c r="M32" s="87" t="str">
        <f t="shared" si="0"/>
        <v xml:space="preserve">   </v>
      </c>
    </row>
    <row r="33" spans="1:13" x14ac:dyDescent="0.2">
      <c r="A33" s="426"/>
      <c r="B33" s="156" t="str">
        <f>Capacidades!M1530</f>
        <v xml:space="preserve">   </v>
      </c>
      <c r="C33" s="157"/>
      <c r="D33" s="13"/>
      <c r="E33" s="13"/>
      <c r="F33" s="13"/>
      <c r="G33" s="13"/>
      <c r="H33" s="14"/>
      <c r="I33" s="14"/>
      <c r="J33" s="14"/>
      <c r="K33" s="14"/>
      <c r="L33" s="446"/>
      <c r="M33" s="87" t="str">
        <f t="shared" si="0"/>
        <v xml:space="preserve">   </v>
      </c>
    </row>
    <row r="34" spans="1:13" x14ac:dyDescent="0.2">
      <c r="A34" s="426"/>
      <c r="B34" s="156" t="str">
        <f>Capacidades!M1531</f>
        <v xml:space="preserve">   </v>
      </c>
      <c r="C34" s="157"/>
      <c r="D34" s="13"/>
      <c r="E34" s="13"/>
      <c r="F34" s="13"/>
      <c r="G34" s="13"/>
      <c r="H34" s="14"/>
      <c r="I34" s="14"/>
      <c r="J34" s="14"/>
      <c r="K34" s="14"/>
      <c r="L34" s="446"/>
      <c r="M34" s="87" t="str">
        <f t="shared" si="0"/>
        <v xml:space="preserve">   </v>
      </c>
    </row>
    <row r="35" spans="1:13" x14ac:dyDescent="0.2">
      <c r="A35" s="426"/>
      <c r="B35" s="156" t="str">
        <f>Capacidades!M1532</f>
        <v xml:space="preserve">   </v>
      </c>
      <c r="C35" s="157"/>
      <c r="D35" s="13"/>
      <c r="E35" s="13"/>
      <c r="F35" s="13"/>
      <c r="G35" s="13"/>
      <c r="H35" s="14"/>
      <c r="I35" s="14"/>
      <c r="J35" s="14"/>
      <c r="K35" s="14"/>
      <c r="L35" s="446"/>
      <c r="M35" s="87" t="str">
        <f t="shared" si="0"/>
        <v xml:space="preserve">   </v>
      </c>
    </row>
    <row r="36" spans="1:13" x14ac:dyDescent="0.2">
      <c r="A36" s="426"/>
      <c r="B36" s="156" t="str">
        <f>Capacidades!M1533</f>
        <v xml:space="preserve">   </v>
      </c>
      <c r="C36" s="157"/>
      <c r="D36" s="13"/>
      <c r="E36" s="13"/>
      <c r="F36" s="13"/>
      <c r="G36" s="13"/>
      <c r="H36" s="14"/>
      <c r="I36" s="14"/>
      <c r="J36" s="14"/>
      <c r="K36" s="14"/>
      <c r="L36" s="446"/>
      <c r="M36" s="87" t="str">
        <f t="shared" si="0"/>
        <v xml:space="preserve">   </v>
      </c>
    </row>
    <row r="37" spans="1:13" x14ac:dyDescent="0.2">
      <c r="A37" s="427"/>
      <c r="B37" s="156" t="str">
        <f>Capacidades!M1534</f>
        <v xml:space="preserve">   </v>
      </c>
      <c r="C37" s="157"/>
      <c r="D37" s="15"/>
      <c r="E37" s="15"/>
      <c r="F37" s="15"/>
      <c r="G37" s="15"/>
      <c r="H37" s="16"/>
      <c r="I37" s="16"/>
      <c r="J37" s="16"/>
      <c r="K37" s="16"/>
      <c r="L37" s="447"/>
      <c r="M37" s="87" t="str">
        <f t="shared" si="0"/>
        <v xml:space="preserve">   </v>
      </c>
    </row>
    <row r="38" spans="1:13" x14ac:dyDescent="0.2">
      <c r="A38" s="425" t="str">
        <f>Capacidades!L1535</f>
        <v xml:space="preserve">       </v>
      </c>
      <c r="B38" s="156" t="str">
        <f>Capacidades!M1535</f>
        <v xml:space="preserve">   </v>
      </c>
      <c r="C38" s="157"/>
      <c r="D38" s="11">
        <f>Organización_Modular!F167</f>
        <v>0</v>
      </c>
      <c r="E38" s="11">
        <f>Organización_Modular!G167</f>
        <v>0</v>
      </c>
      <c r="F38" s="11">
        <f>Organización_Modular!H167</f>
        <v>0</v>
      </c>
      <c r="G38" s="11">
        <f>Organización_Modular!I167</f>
        <v>0</v>
      </c>
      <c r="H38" s="12">
        <f>SUM(F38:G38)</f>
        <v>0</v>
      </c>
      <c r="I38" s="12">
        <f>F38*16</f>
        <v>0</v>
      </c>
      <c r="J38" s="12">
        <f>G38*32</f>
        <v>0</v>
      </c>
      <c r="K38" s="12">
        <f>SUM(I38:J38)</f>
        <v>0</v>
      </c>
      <c r="L38" s="445"/>
      <c r="M38" s="87" t="str">
        <f t="shared" si="0"/>
        <v xml:space="preserve">   </v>
      </c>
    </row>
    <row r="39" spans="1:13" x14ac:dyDescent="0.2">
      <c r="A39" s="426"/>
      <c r="B39" s="156" t="str">
        <f>Capacidades!M1536</f>
        <v xml:space="preserve">   </v>
      </c>
      <c r="C39" s="157"/>
      <c r="D39" s="13"/>
      <c r="E39" s="13"/>
      <c r="F39" s="13"/>
      <c r="G39" s="13"/>
      <c r="H39" s="14"/>
      <c r="I39" s="14"/>
      <c r="J39" s="14"/>
      <c r="K39" s="14"/>
      <c r="L39" s="446"/>
      <c r="M39" s="87" t="str">
        <f t="shared" si="0"/>
        <v xml:space="preserve">   </v>
      </c>
    </row>
    <row r="40" spans="1:13" x14ac:dyDescent="0.2">
      <c r="A40" s="426"/>
      <c r="B40" s="156" t="str">
        <f>Capacidades!M1537</f>
        <v xml:space="preserve">   </v>
      </c>
      <c r="C40" s="157"/>
      <c r="D40" s="13"/>
      <c r="E40" s="13"/>
      <c r="F40" s="13"/>
      <c r="G40" s="13"/>
      <c r="H40" s="14"/>
      <c r="I40" s="14"/>
      <c r="J40" s="14"/>
      <c r="K40" s="14"/>
      <c r="L40" s="446"/>
      <c r="M40" s="87" t="str">
        <f t="shared" si="0"/>
        <v xml:space="preserve">   </v>
      </c>
    </row>
    <row r="41" spans="1:13" x14ac:dyDescent="0.2">
      <c r="A41" s="426"/>
      <c r="B41" s="156" t="str">
        <f>Capacidades!M1538</f>
        <v xml:space="preserve">   </v>
      </c>
      <c r="C41" s="157"/>
      <c r="D41" s="13"/>
      <c r="E41" s="13"/>
      <c r="F41" s="13"/>
      <c r="G41" s="13"/>
      <c r="H41" s="14"/>
      <c r="I41" s="14"/>
      <c r="J41" s="14"/>
      <c r="K41" s="14"/>
      <c r="L41" s="446"/>
      <c r="M41" s="87" t="str">
        <f t="shared" si="0"/>
        <v xml:space="preserve">   </v>
      </c>
    </row>
    <row r="42" spans="1:13" x14ac:dyDescent="0.2">
      <c r="A42" s="426"/>
      <c r="B42" s="156" t="str">
        <f>Capacidades!M1539</f>
        <v xml:space="preserve">   </v>
      </c>
      <c r="C42" s="157"/>
      <c r="D42" s="13"/>
      <c r="E42" s="13"/>
      <c r="F42" s="13"/>
      <c r="G42" s="13"/>
      <c r="H42" s="14"/>
      <c r="I42" s="14"/>
      <c r="J42" s="14"/>
      <c r="K42" s="14"/>
      <c r="L42" s="446"/>
      <c r="M42" s="87" t="str">
        <f t="shared" si="0"/>
        <v xml:space="preserve">   </v>
      </c>
    </row>
    <row r="43" spans="1:13" x14ac:dyDescent="0.2">
      <c r="A43" s="426"/>
      <c r="B43" s="156" t="str">
        <f>Capacidades!M1540</f>
        <v xml:space="preserve">   </v>
      </c>
      <c r="C43" s="157"/>
      <c r="D43" s="13"/>
      <c r="E43" s="13"/>
      <c r="F43" s="13"/>
      <c r="G43" s="13"/>
      <c r="H43" s="14"/>
      <c r="I43" s="14"/>
      <c r="J43" s="14"/>
      <c r="K43" s="14"/>
      <c r="L43" s="446"/>
      <c r="M43" s="87" t="str">
        <f t="shared" si="0"/>
        <v xml:space="preserve">   </v>
      </c>
    </row>
    <row r="44" spans="1:13" x14ac:dyDescent="0.2">
      <c r="A44" s="426"/>
      <c r="B44" s="156" t="str">
        <f>Capacidades!M1541</f>
        <v xml:space="preserve">   </v>
      </c>
      <c r="C44" s="157"/>
      <c r="D44" s="13"/>
      <c r="E44" s="13"/>
      <c r="F44" s="13"/>
      <c r="G44" s="13"/>
      <c r="H44" s="14"/>
      <c r="I44" s="14"/>
      <c r="J44" s="14"/>
      <c r="K44" s="14"/>
      <c r="L44" s="446"/>
      <c r="M44" s="87" t="str">
        <f t="shared" si="0"/>
        <v xml:space="preserve">   </v>
      </c>
    </row>
    <row r="45" spans="1:13" x14ac:dyDescent="0.2">
      <c r="A45" s="426"/>
      <c r="B45" s="156" t="str">
        <f>Capacidades!M1542</f>
        <v xml:space="preserve">   </v>
      </c>
      <c r="C45" s="157"/>
      <c r="D45" s="13"/>
      <c r="E45" s="13"/>
      <c r="F45" s="13"/>
      <c r="G45" s="13"/>
      <c r="H45" s="14"/>
      <c r="I45" s="14"/>
      <c r="J45" s="14"/>
      <c r="K45" s="14"/>
      <c r="L45" s="446"/>
      <c r="M45" s="87" t="str">
        <f t="shared" si="0"/>
        <v xml:space="preserve">   </v>
      </c>
    </row>
    <row r="46" spans="1:13" x14ac:dyDescent="0.2">
      <c r="A46" s="426"/>
      <c r="B46" s="156" t="str">
        <f>Capacidades!M1543</f>
        <v xml:space="preserve">   </v>
      </c>
      <c r="C46" s="157"/>
      <c r="D46" s="13"/>
      <c r="E46" s="13"/>
      <c r="F46" s="13"/>
      <c r="G46" s="13"/>
      <c r="H46" s="14"/>
      <c r="I46" s="14"/>
      <c r="J46" s="14"/>
      <c r="K46" s="14"/>
      <c r="L46" s="446"/>
      <c r="M46" s="87" t="str">
        <f t="shared" si="0"/>
        <v xml:space="preserve">   </v>
      </c>
    </row>
    <row r="47" spans="1:13" x14ac:dyDescent="0.2">
      <c r="A47" s="427"/>
      <c r="B47" s="156" t="str">
        <f>Capacidades!M1544</f>
        <v xml:space="preserve">   </v>
      </c>
      <c r="C47" s="157"/>
      <c r="D47" s="15"/>
      <c r="E47" s="15"/>
      <c r="F47" s="15"/>
      <c r="G47" s="15"/>
      <c r="H47" s="16"/>
      <c r="I47" s="16"/>
      <c r="J47" s="16"/>
      <c r="K47" s="16"/>
      <c r="L47" s="447"/>
      <c r="M47" s="87" t="str">
        <f t="shared" si="0"/>
        <v xml:space="preserve">   </v>
      </c>
    </row>
    <row r="48" spans="1:13" x14ac:dyDescent="0.2">
      <c r="A48" s="425" t="str">
        <f>Capacidades!L1545</f>
        <v xml:space="preserve">       </v>
      </c>
      <c r="B48" s="156" t="str">
        <f>Capacidades!M1545</f>
        <v xml:space="preserve">   </v>
      </c>
      <c r="C48" s="157"/>
      <c r="D48" s="11">
        <f>Organización_Modular!F168</f>
        <v>0</v>
      </c>
      <c r="E48" s="11">
        <f>Organización_Modular!G168</f>
        <v>0</v>
      </c>
      <c r="F48" s="11">
        <f>Organización_Modular!H168</f>
        <v>0</v>
      </c>
      <c r="G48" s="11">
        <f>Organización_Modular!I168</f>
        <v>0</v>
      </c>
      <c r="H48" s="12">
        <f>SUM(F48:G48)</f>
        <v>0</v>
      </c>
      <c r="I48" s="12">
        <f>F48*16</f>
        <v>0</v>
      </c>
      <c r="J48" s="12">
        <f>G48*32</f>
        <v>0</v>
      </c>
      <c r="K48" s="12">
        <f>SUM(I48:J48)</f>
        <v>0</v>
      </c>
      <c r="L48" s="445"/>
      <c r="M48" s="87" t="str">
        <f t="shared" si="0"/>
        <v xml:space="preserve">   </v>
      </c>
    </row>
    <row r="49" spans="1:13" x14ac:dyDescent="0.2">
      <c r="A49" s="426"/>
      <c r="B49" s="156" t="str">
        <f>Capacidades!M1546</f>
        <v xml:space="preserve">   </v>
      </c>
      <c r="C49" s="157"/>
      <c r="D49" s="13"/>
      <c r="E49" s="13"/>
      <c r="F49" s="13"/>
      <c r="G49" s="13"/>
      <c r="H49" s="14"/>
      <c r="I49" s="14"/>
      <c r="J49" s="14"/>
      <c r="K49" s="14"/>
      <c r="L49" s="446"/>
      <c r="M49" s="87" t="str">
        <f t="shared" si="0"/>
        <v xml:space="preserve">   </v>
      </c>
    </row>
    <row r="50" spans="1:13" x14ac:dyDescent="0.2">
      <c r="A50" s="426"/>
      <c r="B50" s="156" t="str">
        <f>Capacidades!M1547</f>
        <v xml:space="preserve">   </v>
      </c>
      <c r="C50" s="157"/>
      <c r="D50" s="13"/>
      <c r="E50" s="13"/>
      <c r="F50" s="13"/>
      <c r="G50" s="13"/>
      <c r="H50" s="14"/>
      <c r="I50" s="14"/>
      <c r="J50" s="14"/>
      <c r="K50" s="14"/>
      <c r="L50" s="446"/>
      <c r="M50" s="87" t="str">
        <f t="shared" si="0"/>
        <v xml:space="preserve">   </v>
      </c>
    </row>
    <row r="51" spans="1:13" x14ac:dyDescent="0.2">
      <c r="A51" s="426"/>
      <c r="B51" s="156" t="str">
        <f>Capacidades!M1548</f>
        <v xml:space="preserve">   </v>
      </c>
      <c r="C51" s="157"/>
      <c r="D51" s="13"/>
      <c r="E51" s="13"/>
      <c r="F51" s="13"/>
      <c r="G51" s="13"/>
      <c r="H51" s="14"/>
      <c r="I51" s="14"/>
      <c r="J51" s="14"/>
      <c r="K51" s="14"/>
      <c r="L51" s="446"/>
      <c r="M51" s="87" t="str">
        <f t="shared" si="0"/>
        <v xml:space="preserve">   </v>
      </c>
    </row>
    <row r="52" spans="1:13" x14ac:dyDescent="0.2">
      <c r="A52" s="426"/>
      <c r="B52" s="156" t="str">
        <f>Capacidades!M1549</f>
        <v xml:space="preserve">   </v>
      </c>
      <c r="C52" s="157"/>
      <c r="D52" s="13"/>
      <c r="E52" s="13"/>
      <c r="F52" s="13"/>
      <c r="G52" s="13"/>
      <c r="H52" s="14"/>
      <c r="I52" s="14"/>
      <c r="J52" s="14"/>
      <c r="K52" s="14"/>
      <c r="L52" s="446"/>
      <c r="M52" s="87" t="str">
        <f t="shared" si="0"/>
        <v xml:space="preserve">   </v>
      </c>
    </row>
    <row r="53" spans="1:13" x14ac:dyDescent="0.2">
      <c r="A53" s="426"/>
      <c r="B53" s="156" t="str">
        <f>Capacidades!M1550</f>
        <v xml:space="preserve">   </v>
      </c>
      <c r="C53" s="157"/>
      <c r="D53" s="13"/>
      <c r="E53" s="13"/>
      <c r="F53" s="13"/>
      <c r="G53" s="13"/>
      <c r="H53" s="14"/>
      <c r="I53" s="14"/>
      <c r="J53" s="14"/>
      <c r="K53" s="14"/>
      <c r="L53" s="446"/>
      <c r="M53" s="87" t="str">
        <f t="shared" si="0"/>
        <v xml:space="preserve">   </v>
      </c>
    </row>
    <row r="54" spans="1:13" x14ac:dyDescent="0.2">
      <c r="A54" s="426"/>
      <c r="B54" s="156" t="str">
        <f>Capacidades!M1551</f>
        <v xml:space="preserve">   </v>
      </c>
      <c r="C54" s="157"/>
      <c r="D54" s="13"/>
      <c r="E54" s="13"/>
      <c r="F54" s="13"/>
      <c r="G54" s="13"/>
      <c r="H54" s="14"/>
      <c r="I54" s="14"/>
      <c r="J54" s="14"/>
      <c r="K54" s="14"/>
      <c r="L54" s="446"/>
      <c r="M54" s="87" t="str">
        <f t="shared" si="0"/>
        <v xml:space="preserve">   </v>
      </c>
    </row>
    <row r="55" spans="1:13" x14ac:dyDescent="0.2">
      <c r="A55" s="426"/>
      <c r="B55" s="156" t="str">
        <f>Capacidades!M1552</f>
        <v xml:space="preserve">   </v>
      </c>
      <c r="C55" s="157"/>
      <c r="D55" s="13"/>
      <c r="E55" s="13"/>
      <c r="F55" s="13"/>
      <c r="G55" s="13"/>
      <c r="H55" s="14"/>
      <c r="I55" s="14"/>
      <c r="J55" s="14"/>
      <c r="K55" s="14"/>
      <c r="L55" s="446"/>
      <c r="M55" s="87" t="str">
        <f t="shared" si="0"/>
        <v xml:space="preserve">   </v>
      </c>
    </row>
    <row r="56" spans="1:13" x14ac:dyDescent="0.2">
      <c r="A56" s="426"/>
      <c r="B56" s="156" t="str">
        <f>Capacidades!M1553</f>
        <v xml:space="preserve">   </v>
      </c>
      <c r="C56" s="157"/>
      <c r="D56" s="13"/>
      <c r="E56" s="13"/>
      <c r="F56" s="13"/>
      <c r="G56" s="13"/>
      <c r="H56" s="14"/>
      <c r="I56" s="14"/>
      <c r="J56" s="14"/>
      <c r="K56" s="14"/>
      <c r="L56" s="446"/>
      <c r="M56" s="87" t="str">
        <f t="shared" si="0"/>
        <v xml:space="preserve">   </v>
      </c>
    </row>
    <row r="57" spans="1:13" x14ac:dyDescent="0.2">
      <c r="A57" s="427"/>
      <c r="B57" s="156" t="str">
        <f>Capacidades!M1554</f>
        <v xml:space="preserve">   </v>
      </c>
      <c r="C57" s="157"/>
      <c r="D57" s="15"/>
      <c r="E57" s="15"/>
      <c r="F57" s="15"/>
      <c r="G57" s="15"/>
      <c r="H57" s="16"/>
      <c r="I57" s="16"/>
      <c r="J57" s="16"/>
      <c r="K57" s="16"/>
      <c r="L57" s="447"/>
      <c r="M57" s="87" t="str">
        <f t="shared" si="0"/>
        <v xml:space="preserve">   </v>
      </c>
    </row>
    <row r="58" spans="1:13" x14ac:dyDescent="0.2">
      <c r="A58" s="425" t="str">
        <f>Capacidades!L1555</f>
        <v xml:space="preserve">       </v>
      </c>
      <c r="B58" s="156" t="str">
        <f>Capacidades!M1555</f>
        <v xml:space="preserve">   </v>
      </c>
      <c r="C58" s="157"/>
      <c r="D58" s="11">
        <f>Organización_Modular!F169</f>
        <v>0</v>
      </c>
      <c r="E58" s="11">
        <f>Organización_Modular!G169</f>
        <v>0</v>
      </c>
      <c r="F58" s="11">
        <f>Organización_Modular!H169</f>
        <v>0</v>
      </c>
      <c r="G58" s="11">
        <f>Organización_Modular!I169</f>
        <v>0</v>
      </c>
      <c r="H58" s="12">
        <f>SUM(F58:G58)</f>
        <v>0</v>
      </c>
      <c r="I58" s="12">
        <f>F58*16</f>
        <v>0</v>
      </c>
      <c r="J58" s="12">
        <f>G58*32</f>
        <v>0</v>
      </c>
      <c r="K58" s="12">
        <f>SUM(I58:J58)</f>
        <v>0</v>
      </c>
      <c r="L58" s="445"/>
      <c r="M58" s="87" t="str">
        <f t="shared" si="0"/>
        <v xml:space="preserve">   </v>
      </c>
    </row>
    <row r="59" spans="1:13" x14ac:dyDescent="0.2">
      <c r="A59" s="426"/>
      <c r="B59" s="156" t="str">
        <f>Capacidades!M1556</f>
        <v xml:space="preserve">   </v>
      </c>
      <c r="C59" s="157"/>
      <c r="D59" s="13"/>
      <c r="E59" s="13"/>
      <c r="F59" s="13"/>
      <c r="G59" s="13"/>
      <c r="H59" s="14"/>
      <c r="I59" s="14"/>
      <c r="J59" s="14"/>
      <c r="K59" s="14"/>
      <c r="L59" s="446"/>
      <c r="M59" s="87" t="str">
        <f t="shared" si="0"/>
        <v xml:space="preserve">   </v>
      </c>
    </row>
    <row r="60" spans="1:13" x14ac:dyDescent="0.2">
      <c r="A60" s="426"/>
      <c r="B60" s="156" t="str">
        <f>Capacidades!M1557</f>
        <v xml:space="preserve">   </v>
      </c>
      <c r="C60" s="157"/>
      <c r="D60" s="13"/>
      <c r="E60" s="13"/>
      <c r="F60" s="13"/>
      <c r="G60" s="13"/>
      <c r="H60" s="14"/>
      <c r="I60" s="14"/>
      <c r="J60" s="14"/>
      <c r="K60" s="14"/>
      <c r="L60" s="446"/>
      <c r="M60" s="87" t="str">
        <f t="shared" si="0"/>
        <v xml:space="preserve">   </v>
      </c>
    </row>
    <row r="61" spans="1:13" x14ac:dyDescent="0.2">
      <c r="A61" s="426"/>
      <c r="B61" s="156" t="str">
        <f>Capacidades!M1558</f>
        <v xml:space="preserve">   </v>
      </c>
      <c r="C61" s="157"/>
      <c r="D61" s="13"/>
      <c r="E61" s="13"/>
      <c r="F61" s="13"/>
      <c r="G61" s="13"/>
      <c r="H61" s="14"/>
      <c r="I61" s="14"/>
      <c r="J61" s="14"/>
      <c r="K61" s="14"/>
      <c r="L61" s="446"/>
      <c r="M61" s="87" t="str">
        <f t="shared" si="0"/>
        <v xml:space="preserve">   </v>
      </c>
    </row>
    <row r="62" spans="1:13" x14ac:dyDescent="0.2">
      <c r="A62" s="426"/>
      <c r="B62" s="156" t="str">
        <f>Capacidades!M1559</f>
        <v xml:space="preserve">   </v>
      </c>
      <c r="C62" s="157"/>
      <c r="D62" s="13"/>
      <c r="E62" s="13"/>
      <c r="F62" s="13"/>
      <c r="G62" s="13"/>
      <c r="H62" s="14"/>
      <c r="I62" s="14"/>
      <c r="J62" s="14"/>
      <c r="K62" s="14"/>
      <c r="L62" s="446"/>
      <c r="M62" s="87" t="str">
        <f t="shared" si="0"/>
        <v xml:space="preserve">   </v>
      </c>
    </row>
    <row r="63" spans="1:13" x14ac:dyDescent="0.2">
      <c r="A63" s="426"/>
      <c r="B63" s="156" t="str">
        <f>Capacidades!M1560</f>
        <v xml:space="preserve">   </v>
      </c>
      <c r="C63" s="157"/>
      <c r="D63" s="13"/>
      <c r="E63" s="13"/>
      <c r="F63" s="13"/>
      <c r="G63" s="13"/>
      <c r="H63" s="14"/>
      <c r="I63" s="14"/>
      <c r="J63" s="14"/>
      <c r="K63" s="14"/>
      <c r="L63" s="446"/>
      <c r="M63" s="87" t="str">
        <f t="shared" si="0"/>
        <v xml:space="preserve">   </v>
      </c>
    </row>
    <row r="64" spans="1:13" x14ac:dyDescent="0.2">
      <c r="A64" s="426"/>
      <c r="B64" s="156" t="str">
        <f>Capacidades!M1561</f>
        <v xml:space="preserve">   </v>
      </c>
      <c r="C64" s="157"/>
      <c r="D64" s="13"/>
      <c r="E64" s="13"/>
      <c r="F64" s="13"/>
      <c r="G64" s="13"/>
      <c r="H64" s="14"/>
      <c r="I64" s="14"/>
      <c r="J64" s="14"/>
      <c r="K64" s="14"/>
      <c r="L64" s="446"/>
      <c r="M64" s="87" t="str">
        <f t="shared" si="0"/>
        <v xml:space="preserve">   </v>
      </c>
    </row>
    <row r="65" spans="1:13" x14ac:dyDescent="0.2">
      <c r="A65" s="426"/>
      <c r="B65" s="156" t="str">
        <f>Capacidades!M1562</f>
        <v xml:space="preserve">   </v>
      </c>
      <c r="C65" s="157"/>
      <c r="D65" s="13"/>
      <c r="E65" s="13"/>
      <c r="F65" s="13"/>
      <c r="G65" s="13"/>
      <c r="H65" s="14"/>
      <c r="I65" s="14"/>
      <c r="J65" s="14"/>
      <c r="K65" s="14"/>
      <c r="L65" s="446"/>
      <c r="M65" s="87" t="str">
        <f t="shared" si="0"/>
        <v xml:space="preserve">   </v>
      </c>
    </row>
    <row r="66" spans="1:13" x14ac:dyDescent="0.2">
      <c r="A66" s="426"/>
      <c r="B66" s="156" t="str">
        <f>Capacidades!M1563</f>
        <v xml:space="preserve">   </v>
      </c>
      <c r="C66" s="157"/>
      <c r="D66" s="13"/>
      <c r="E66" s="13"/>
      <c r="F66" s="13"/>
      <c r="G66" s="13"/>
      <c r="H66" s="14"/>
      <c r="I66" s="14"/>
      <c r="J66" s="14"/>
      <c r="K66" s="14"/>
      <c r="L66" s="446"/>
      <c r="M66" s="87" t="str">
        <f t="shared" si="0"/>
        <v xml:space="preserve">   </v>
      </c>
    </row>
    <row r="67" spans="1:13" x14ac:dyDescent="0.2">
      <c r="A67" s="427"/>
      <c r="B67" s="156" t="str">
        <f>Capacidades!M1564</f>
        <v xml:space="preserve">   </v>
      </c>
      <c r="C67" s="157"/>
      <c r="D67" s="15"/>
      <c r="E67" s="15"/>
      <c r="F67" s="15"/>
      <c r="G67" s="15"/>
      <c r="H67" s="16"/>
      <c r="I67" s="16"/>
      <c r="J67" s="16"/>
      <c r="K67" s="16"/>
      <c r="L67" s="447"/>
      <c r="M67" s="87" t="str">
        <f t="shared" si="0"/>
        <v xml:space="preserve">   </v>
      </c>
    </row>
    <row r="68" spans="1:13" x14ac:dyDescent="0.2">
      <c r="A68" s="425" t="str">
        <f>Capacidades!L1565</f>
        <v xml:space="preserve">       </v>
      </c>
      <c r="B68" s="156" t="str">
        <f>Capacidades!M1565</f>
        <v xml:space="preserve">   </v>
      </c>
      <c r="C68" s="157"/>
      <c r="D68" s="11">
        <f>Organización_Modular!F170</f>
        <v>0</v>
      </c>
      <c r="E68" s="11">
        <f>Organización_Modular!G170</f>
        <v>0</v>
      </c>
      <c r="F68" s="11">
        <f>Organización_Modular!H170</f>
        <v>0</v>
      </c>
      <c r="G68" s="11">
        <f>Organización_Modular!I170</f>
        <v>0</v>
      </c>
      <c r="H68" s="12">
        <f>SUM(F68:G68)</f>
        <v>0</v>
      </c>
      <c r="I68" s="12">
        <f>F68*16</f>
        <v>0</v>
      </c>
      <c r="J68" s="12">
        <f>G68*32</f>
        <v>0</v>
      </c>
      <c r="K68" s="12">
        <f>SUM(I68:J68)</f>
        <v>0</v>
      </c>
      <c r="L68" s="445"/>
      <c r="M68" s="87" t="str">
        <f t="shared" si="0"/>
        <v xml:space="preserve">   </v>
      </c>
    </row>
    <row r="69" spans="1:13" x14ac:dyDescent="0.2">
      <c r="A69" s="426"/>
      <c r="B69" s="156" t="str">
        <f>Capacidades!M1566</f>
        <v xml:space="preserve">   </v>
      </c>
      <c r="C69" s="157"/>
      <c r="D69" s="13"/>
      <c r="E69" s="13"/>
      <c r="F69" s="13"/>
      <c r="G69" s="13"/>
      <c r="H69" s="14"/>
      <c r="I69" s="14"/>
      <c r="J69" s="14"/>
      <c r="K69" s="14"/>
      <c r="L69" s="446"/>
      <c r="M69" s="87" t="str">
        <f t="shared" si="0"/>
        <v xml:space="preserve">   </v>
      </c>
    </row>
    <row r="70" spans="1:13" x14ac:dyDescent="0.2">
      <c r="A70" s="426"/>
      <c r="B70" s="156" t="str">
        <f>Capacidades!M1567</f>
        <v xml:space="preserve">   </v>
      </c>
      <c r="C70" s="157"/>
      <c r="D70" s="13"/>
      <c r="E70" s="13"/>
      <c r="F70" s="13"/>
      <c r="G70" s="13"/>
      <c r="H70" s="14"/>
      <c r="I70" s="14"/>
      <c r="J70" s="14"/>
      <c r="K70" s="14"/>
      <c r="L70" s="446"/>
      <c r="M70" s="87" t="str">
        <f t="shared" si="0"/>
        <v xml:space="preserve">   </v>
      </c>
    </row>
    <row r="71" spans="1:13" x14ac:dyDescent="0.2">
      <c r="A71" s="426"/>
      <c r="B71" s="156" t="str">
        <f>Capacidades!M1568</f>
        <v xml:space="preserve">   </v>
      </c>
      <c r="C71" s="157"/>
      <c r="D71" s="13"/>
      <c r="E71" s="13"/>
      <c r="F71" s="13"/>
      <c r="G71" s="13"/>
      <c r="H71" s="14"/>
      <c r="I71" s="14"/>
      <c r="J71" s="14"/>
      <c r="K71" s="14"/>
      <c r="L71" s="446"/>
      <c r="M71" s="87" t="str">
        <f t="shared" si="0"/>
        <v xml:space="preserve">   </v>
      </c>
    </row>
    <row r="72" spans="1:13" x14ac:dyDescent="0.2">
      <c r="A72" s="426"/>
      <c r="B72" s="156" t="str">
        <f>Capacidades!M1569</f>
        <v xml:space="preserve">   </v>
      </c>
      <c r="C72" s="157"/>
      <c r="D72" s="13"/>
      <c r="E72" s="13"/>
      <c r="F72" s="13"/>
      <c r="G72" s="13"/>
      <c r="H72" s="14"/>
      <c r="I72" s="14"/>
      <c r="J72" s="14"/>
      <c r="K72" s="14"/>
      <c r="L72" s="446"/>
      <c r="M72" s="87" t="str">
        <f t="shared" si="0"/>
        <v xml:space="preserve">   </v>
      </c>
    </row>
    <row r="73" spans="1:13" x14ac:dyDescent="0.2">
      <c r="A73" s="426"/>
      <c r="B73" s="156" t="str">
        <f>Capacidades!M1570</f>
        <v xml:space="preserve">   </v>
      </c>
      <c r="C73" s="157"/>
      <c r="D73" s="13"/>
      <c r="E73" s="13"/>
      <c r="F73" s="13"/>
      <c r="G73" s="13"/>
      <c r="H73" s="14"/>
      <c r="I73" s="14"/>
      <c r="J73" s="14"/>
      <c r="K73" s="14"/>
      <c r="L73" s="446"/>
      <c r="M73" s="87" t="str">
        <f t="shared" si="0"/>
        <v xml:space="preserve">   </v>
      </c>
    </row>
    <row r="74" spans="1:13" x14ac:dyDescent="0.2">
      <c r="A74" s="426"/>
      <c r="B74" s="156" t="str">
        <f>Capacidades!M1571</f>
        <v xml:space="preserve">   </v>
      </c>
      <c r="C74" s="157"/>
      <c r="D74" s="13"/>
      <c r="E74" s="13"/>
      <c r="F74" s="13"/>
      <c r="G74" s="13"/>
      <c r="H74" s="14"/>
      <c r="I74" s="14"/>
      <c r="J74" s="14"/>
      <c r="K74" s="14"/>
      <c r="L74" s="446"/>
      <c r="M74" s="87" t="str">
        <f t="shared" si="0"/>
        <v xml:space="preserve">   </v>
      </c>
    </row>
    <row r="75" spans="1:13" x14ac:dyDescent="0.2">
      <c r="A75" s="426"/>
      <c r="B75" s="156" t="str">
        <f>Capacidades!M1572</f>
        <v xml:space="preserve">   </v>
      </c>
      <c r="C75" s="157"/>
      <c r="D75" s="13"/>
      <c r="E75" s="13"/>
      <c r="F75" s="13"/>
      <c r="G75" s="13"/>
      <c r="H75" s="14"/>
      <c r="I75" s="14"/>
      <c r="J75" s="14"/>
      <c r="K75" s="14"/>
      <c r="L75" s="446"/>
      <c r="M75" s="87" t="str">
        <f t="shared" si="0"/>
        <v xml:space="preserve">   </v>
      </c>
    </row>
    <row r="76" spans="1:13" x14ac:dyDescent="0.2">
      <c r="A76" s="426"/>
      <c r="B76" s="156" t="str">
        <f>Capacidades!M1573</f>
        <v xml:space="preserve">   </v>
      </c>
      <c r="C76" s="157"/>
      <c r="D76" s="13"/>
      <c r="E76" s="13"/>
      <c r="F76" s="13"/>
      <c r="G76" s="13"/>
      <c r="H76" s="14"/>
      <c r="I76" s="14"/>
      <c r="J76" s="14"/>
      <c r="K76" s="14"/>
      <c r="L76" s="446"/>
      <c r="M76" s="87" t="str">
        <f t="shared" si="0"/>
        <v xml:space="preserve">   </v>
      </c>
    </row>
    <row r="77" spans="1:13" x14ac:dyDescent="0.2">
      <c r="A77" s="427"/>
      <c r="B77" s="156" t="str">
        <f>Capacidades!M1574</f>
        <v xml:space="preserve">   </v>
      </c>
      <c r="C77" s="157"/>
      <c r="D77" s="15"/>
      <c r="E77" s="15"/>
      <c r="F77" s="15"/>
      <c r="G77" s="15"/>
      <c r="H77" s="16"/>
      <c r="I77" s="16"/>
      <c r="J77" s="16"/>
      <c r="K77" s="16"/>
      <c r="L77" s="447"/>
      <c r="M77" s="87" t="str">
        <f t="shared" si="0"/>
        <v xml:space="preserve">   </v>
      </c>
    </row>
    <row r="78" spans="1:13" x14ac:dyDescent="0.2">
      <c r="A78" s="425" t="str">
        <f>Capacidades!L1575</f>
        <v xml:space="preserve">       </v>
      </c>
      <c r="B78" s="156" t="str">
        <f>Capacidades!M1575</f>
        <v xml:space="preserve">   </v>
      </c>
      <c r="C78" s="157"/>
      <c r="D78" s="11">
        <f>Organización_Modular!F171</f>
        <v>0</v>
      </c>
      <c r="E78" s="11">
        <f>Organización_Modular!G171</f>
        <v>0</v>
      </c>
      <c r="F78" s="11">
        <f>Organización_Modular!H171</f>
        <v>0</v>
      </c>
      <c r="G78" s="11">
        <f>Organización_Modular!I171</f>
        <v>0</v>
      </c>
      <c r="H78" s="12">
        <f>SUM(F78:G78)</f>
        <v>0</v>
      </c>
      <c r="I78" s="12">
        <f>F78*16</f>
        <v>0</v>
      </c>
      <c r="J78" s="12">
        <f>G78*32</f>
        <v>0</v>
      </c>
      <c r="K78" s="12">
        <f>SUM(I78:J78)</f>
        <v>0</v>
      </c>
      <c r="L78" s="445"/>
      <c r="M78" s="87" t="str">
        <f t="shared" si="0"/>
        <v xml:space="preserve">   </v>
      </c>
    </row>
    <row r="79" spans="1:13" x14ac:dyDescent="0.2">
      <c r="A79" s="426"/>
      <c r="B79" s="156" t="str">
        <f>Capacidades!M1576</f>
        <v xml:space="preserve">   </v>
      </c>
      <c r="C79" s="157"/>
      <c r="D79" s="13"/>
      <c r="E79" s="13"/>
      <c r="F79" s="13"/>
      <c r="G79" s="13"/>
      <c r="H79" s="14"/>
      <c r="I79" s="14"/>
      <c r="J79" s="14"/>
      <c r="K79" s="14"/>
      <c r="L79" s="446"/>
      <c r="M79" s="87" t="str">
        <f t="shared" si="0"/>
        <v xml:space="preserve">   </v>
      </c>
    </row>
    <row r="80" spans="1:13" x14ac:dyDescent="0.2">
      <c r="A80" s="426"/>
      <c r="B80" s="156" t="str">
        <f>Capacidades!M1577</f>
        <v xml:space="preserve">   </v>
      </c>
      <c r="C80" s="157"/>
      <c r="D80" s="13"/>
      <c r="E80" s="13"/>
      <c r="F80" s="13"/>
      <c r="G80" s="13"/>
      <c r="H80" s="14"/>
      <c r="I80" s="14"/>
      <c r="J80" s="14"/>
      <c r="K80" s="14"/>
      <c r="L80" s="446"/>
      <c r="M80" s="87" t="str">
        <f t="shared" si="0"/>
        <v xml:space="preserve">   </v>
      </c>
    </row>
    <row r="81" spans="1:13" x14ac:dyDescent="0.2">
      <c r="A81" s="426"/>
      <c r="B81" s="156" t="str">
        <f>Capacidades!M1578</f>
        <v xml:space="preserve">   </v>
      </c>
      <c r="C81" s="157"/>
      <c r="D81" s="13"/>
      <c r="E81" s="13"/>
      <c r="F81" s="13"/>
      <c r="G81" s="13"/>
      <c r="H81" s="14"/>
      <c r="I81" s="14"/>
      <c r="J81" s="14"/>
      <c r="K81" s="14"/>
      <c r="L81" s="446"/>
      <c r="M81" s="87" t="str">
        <f t="shared" si="0"/>
        <v xml:space="preserve">   </v>
      </c>
    </row>
    <row r="82" spans="1:13" x14ac:dyDescent="0.2">
      <c r="A82" s="426"/>
      <c r="B82" s="156" t="str">
        <f>Capacidades!M1579</f>
        <v xml:space="preserve">   </v>
      </c>
      <c r="C82" s="157"/>
      <c r="D82" s="13"/>
      <c r="E82" s="13"/>
      <c r="F82" s="13"/>
      <c r="G82" s="13"/>
      <c r="H82" s="14"/>
      <c r="I82" s="14"/>
      <c r="J82" s="14"/>
      <c r="K82" s="14"/>
      <c r="L82" s="446"/>
      <c r="M82" s="87" t="str">
        <f t="shared" si="0"/>
        <v xml:space="preserve">   </v>
      </c>
    </row>
    <row r="83" spans="1:13" x14ac:dyDescent="0.2">
      <c r="A83" s="426"/>
      <c r="B83" s="156" t="str">
        <f>Capacidades!M1580</f>
        <v xml:space="preserve">   </v>
      </c>
      <c r="C83" s="157"/>
      <c r="D83" s="13"/>
      <c r="E83" s="13"/>
      <c r="F83" s="13"/>
      <c r="G83" s="13"/>
      <c r="H83" s="14"/>
      <c r="I83" s="14"/>
      <c r="J83" s="14"/>
      <c r="K83" s="14"/>
      <c r="L83" s="446"/>
      <c r="M83" s="87" t="str">
        <f t="shared" ref="M83:M146" si="1">B83</f>
        <v xml:space="preserve">   </v>
      </c>
    </row>
    <row r="84" spans="1:13" x14ac:dyDescent="0.2">
      <c r="A84" s="426"/>
      <c r="B84" s="156" t="str">
        <f>Capacidades!M1581</f>
        <v xml:space="preserve">   </v>
      </c>
      <c r="C84" s="157"/>
      <c r="D84" s="13"/>
      <c r="E84" s="13"/>
      <c r="F84" s="13"/>
      <c r="G84" s="13"/>
      <c r="H84" s="14"/>
      <c r="I84" s="14"/>
      <c r="J84" s="14"/>
      <c r="K84" s="14"/>
      <c r="L84" s="446"/>
      <c r="M84" s="87" t="str">
        <f t="shared" si="1"/>
        <v xml:space="preserve">   </v>
      </c>
    </row>
    <row r="85" spans="1:13" x14ac:dyDescent="0.2">
      <c r="A85" s="426"/>
      <c r="B85" s="156" t="str">
        <f>Capacidades!M1582</f>
        <v xml:space="preserve">   </v>
      </c>
      <c r="C85" s="157"/>
      <c r="D85" s="13"/>
      <c r="E85" s="13"/>
      <c r="F85" s="13"/>
      <c r="G85" s="13"/>
      <c r="H85" s="14"/>
      <c r="I85" s="14"/>
      <c r="J85" s="14"/>
      <c r="K85" s="14"/>
      <c r="L85" s="446"/>
      <c r="M85" s="87" t="str">
        <f t="shared" si="1"/>
        <v xml:space="preserve">   </v>
      </c>
    </row>
    <row r="86" spans="1:13" x14ac:dyDescent="0.2">
      <c r="A86" s="426"/>
      <c r="B86" s="156" t="str">
        <f>Capacidades!M1583</f>
        <v xml:space="preserve">   </v>
      </c>
      <c r="C86" s="157"/>
      <c r="D86" s="13"/>
      <c r="E86" s="13"/>
      <c r="F86" s="13"/>
      <c r="G86" s="13"/>
      <c r="H86" s="14"/>
      <c r="I86" s="14"/>
      <c r="J86" s="14"/>
      <c r="K86" s="14"/>
      <c r="L86" s="446"/>
      <c r="M86" s="87" t="str">
        <f t="shared" si="1"/>
        <v xml:space="preserve">   </v>
      </c>
    </row>
    <row r="87" spans="1:13" x14ac:dyDescent="0.2">
      <c r="A87" s="427"/>
      <c r="B87" s="156" t="str">
        <f>Capacidades!M1584</f>
        <v xml:space="preserve">   </v>
      </c>
      <c r="C87" s="157"/>
      <c r="D87" s="15"/>
      <c r="E87" s="15"/>
      <c r="F87" s="15"/>
      <c r="G87" s="15"/>
      <c r="H87" s="16"/>
      <c r="I87" s="16"/>
      <c r="J87" s="16"/>
      <c r="K87" s="16"/>
      <c r="L87" s="447"/>
      <c r="M87" s="87" t="str">
        <f t="shared" si="1"/>
        <v xml:space="preserve">   </v>
      </c>
    </row>
    <row r="88" spans="1:13" x14ac:dyDescent="0.2">
      <c r="A88" s="425" t="str">
        <f>Capacidades!L1585</f>
        <v xml:space="preserve">       </v>
      </c>
      <c r="B88" s="156" t="str">
        <f>Capacidades!M1585</f>
        <v xml:space="preserve">   </v>
      </c>
      <c r="C88" s="157"/>
      <c r="D88" s="11">
        <f>Organización_Modular!F172</f>
        <v>0</v>
      </c>
      <c r="E88" s="11">
        <f>Organización_Modular!G172</f>
        <v>0</v>
      </c>
      <c r="F88" s="11">
        <f>Organización_Modular!H172</f>
        <v>0</v>
      </c>
      <c r="G88" s="11">
        <f>Organización_Modular!I172</f>
        <v>0</v>
      </c>
      <c r="H88" s="12">
        <f>SUM(F88:G88)</f>
        <v>0</v>
      </c>
      <c r="I88" s="12">
        <f>F88*16</f>
        <v>0</v>
      </c>
      <c r="J88" s="12">
        <f>G88*32</f>
        <v>0</v>
      </c>
      <c r="K88" s="12">
        <f>SUM(I88:J88)</f>
        <v>0</v>
      </c>
      <c r="L88" s="445"/>
      <c r="M88" s="87" t="str">
        <f t="shared" si="1"/>
        <v xml:space="preserve">   </v>
      </c>
    </row>
    <row r="89" spans="1:13" x14ac:dyDescent="0.2">
      <c r="A89" s="426"/>
      <c r="B89" s="156" t="str">
        <f>Capacidades!M1586</f>
        <v xml:space="preserve">   </v>
      </c>
      <c r="C89" s="157"/>
      <c r="D89" s="13"/>
      <c r="E89" s="13"/>
      <c r="F89" s="13"/>
      <c r="G89" s="13"/>
      <c r="H89" s="14"/>
      <c r="I89" s="14"/>
      <c r="J89" s="14"/>
      <c r="K89" s="14"/>
      <c r="L89" s="446"/>
      <c r="M89" s="87" t="str">
        <f t="shared" si="1"/>
        <v xml:space="preserve">   </v>
      </c>
    </row>
    <row r="90" spans="1:13" x14ac:dyDescent="0.2">
      <c r="A90" s="426"/>
      <c r="B90" s="156" t="str">
        <f>Capacidades!M1587</f>
        <v xml:space="preserve">   </v>
      </c>
      <c r="C90" s="157"/>
      <c r="D90" s="13"/>
      <c r="E90" s="13"/>
      <c r="F90" s="13"/>
      <c r="G90" s="13"/>
      <c r="H90" s="14"/>
      <c r="I90" s="14"/>
      <c r="J90" s="14"/>
      <c r="K90" s="14"/>
      <c r="L90" s="446"/>
      <c r="M90" s="87" t="str">
        <f t="shared" si="1"/>
        <v xml:space="preserve">   </v>
      </c>
    </row>
    <row r="91" spans="1:13" x14ac:dyDescent="0.2">
      <c r="A91" s="426"/>
      <c r="B91" s="156" t="str">
        <f>Capacidades!M1588</f>
        <v xml:space="preserve">   </v>
      </c>
      <c r="C91" s="157"/>
      <c r="D91" s="13"/>
      <c r="E91" s="13"/>
      <c r="F91" s="13"/>
      <c r="G91" s="13"/>
      <c r="H91" s="14"/>
      <c r="I91" s="14"/>
      <c r="J91" s="14"/>
      <c r="K91" s="14"/>
      <c r="L91" s="446"/>
      <c r="M91" s="87" t="str">
        <f t="shared" si="1"/>
        <v xml:space="preserve">   </v>
      </c>
    </row>
    <row r="92" spans="1:13" x14ac:dyDescent="0.2">
      <c r="A92" s="426"/>
      <c r="B92" s="156" t="str">
        <f>Capacidades!M1589</f>
        <v xml:space="preserve">   </v>
      </c>
      <c r="C92" s="157"/>
      <c r="D92" s="13"/>
      <c r="E92" s="13"/>
      <c r="F92" s="13"/>
      <c r="G92" s="13"/>
      <c r="H92" s="14"/>
      <c r="I92" s="14"/>
      <c r="J92" s="14"/>
      <c r="K92" s="14"/>
      <c r="L92" s="446"/>
      <c r="M92" s="87" t="str">
        <f t="shared" si="1"/>
        <v xml:space="preserve">   </v>
      </c>
    </row>
    <row r="93" spans="1:13" x14ac:dyDescent="0.2">
      <c r="A93" s="426"/>
      <c r="B93" s="156" t="str">
        <f>Capacidades!M1590</f>
        <v xml:space="preserve">   </v>
      </c>
      <c r="C93" s="157"/>
      <c r="D93" s="13"/>
      <c r="E93" s="13"/>
      <c r="F93" s="13"/>
      <c r="G93" s="13"/>
      <c r="H93" s="14"/>
      <c r="I93" s="14"/>
      <c r="J93" s="14"/>
      <c r="K93" s="14"/>
      <c r="L93" s="446"/>
      <c r="M93" s="87" t="str">
        <f t="shared" si="1"/>
        <v xml:space="preserve">   </v>
      </c>
    </row>
    <row r="94" spans="1:13" x14ac:dyDescent="0.2">
      <c r="A94" s="426"/>
      <c r="B94" s="156" t="str">
        <f>Capacidades!M1591</f>
        <v xml:space="preserve">   </v>
      </c>
      <c r="C94" s="157"/>
      <c r="D94" s="13"/>
      <c r="E94" s="13"/>
      <c r="F94" s="13"/>
      <c r="G94" s="13"/>
      <c r="H94" s="14"/>
      <c r="I94" s="14"/>
      <c r="J94" s="14"/>
      <c r="K94" s="14"/>
      <c r="L94" s="446"/>
      <c r="M94" s="87" t="str">
        <f t="shared" si="1"/>
        <v xml:space="preserve">   </v>
      </c>
    </row>
    <row r="95" spans="1:13" x14ac:dyDescent="0.2">
      <c r="A95" s="426"/>
      <c r="B95" s="156" t="str">
        <f>Capacidades!M1592</f>
        <v xml:space="preserve">   </v>
      </c>
      <c r="C95" s="157"/>
      <c r="D95" s="13"/>
      <c r="E95" s="13"/>
      <c r="F95" s="13"/>
      <c r="G95" s="13"/>
      <c r="H95" s="14"/>
      <c r="I95" s="14"/>
      <c r="J95" s="14"/>
      <c r="K95" s="14"/>
      <c r="L95" s="446"/>
      <c r="M95" s="87" t="str">
        <f t="shared" si="1"/>
        <v xml:space="preserve">   </v>
      </c>
    </row>
    <row r="96" spans="1:13" x14ac:dyDescent="0.2">
      <c r="A96" s="426"/>
      <c r="B96" s="156" t="str">
        <f>Capacidades!M1593</f>
        <v xml:space="preserve">   </v>
      </c>
      <c r="C96" s="157"/>
      <c r="D96" s="13"/>
      <c r="E96" s="13"/>
      <c r="F96" s="13"/>
      <c r="G96" s="13"/>
      <c r="H96" s="14"/>
      <c r="I96" s="14"/>
      <c r="J96" s="14"/>
      <c r="K96" s="14"/>
      <c r="L96" s="446"/>
      <c r="M96" s="87" t="str">
        <f t="shared" si="1"/>
        <v xml:space="preserve">   </v>
      </c>
    </row>
    <row r="97" spans="1:13" x14ac:dyDescent="0.2">
      <c r="A97" s="427"/>
      <c r="B97" s="156" t="str">
        <f>Capacidades!M1594</f>
        <v xml:space="preserve">   </v>
      </c>
      <c r="C97" s="157"/>
      <c r="D97" s="15"/>
      <c r="E97" s="15"/>
      <c r="F97" s="15"/>
      <c r="G97" s="15"/>
      <c r="H97" s="16"/>
      <c r="I97" s="16"/>
      <c r="J97" s="16"/>
      <c r="K97" s="16"/>
      <c r="L97" s="447"/>
      <c r="M97" s="87" t="str">
        <f t="shared" si="1"/>
        <v xml:space="preserve">   </v>
      </c>
    </row>
    <row r="98" spans="1:13" x14ac:dyDescent="0.2">
      <c r="A98" s="425" t="str">
        <f>Capacidades!L1595</f>
        <v xml:space="preserve">       </v>
      </c>
      <c r="B98" s="156" t="str">
        <f>Capacidades!M1595</f>
        <v xml:space="preserve">   </v>
      </c>
      <c r="C98" s="157"/>
      <c r="D98" s="11">
        <f>Organización_Modular!F173</f>
        <v>0</v>
      </c>
      <c r="E98" s="11">
        <f>Organización_Modular!G173</f>
        <v>0</v>
      </c>
      <c r="F98" s="11">
        <f>Organización_Modular!H173</f>
        <v>0</v>
      </c>
      <c r="G98" s="11">
        <f>Organización_Modular!I173</f>
        <v>0</v>
      </c>
      <c r="H98" s="12">
        <f>SUM(F98:G98)</f>
        <v>0</v>
      </c>
      <c r="I98" s="12">
        <f>F98*16</f>
        <v>0</v>
      </c>
      <c r="J98" s="12">
        <f>G98*32</f>
        <v>0</v>
      </c>
      <c r="K98" s="12">
        <f>SUM(I98:J98)</f>
        <v>0</v>
      </c>
      <c r="L98" s="445"/>
      <c r="M98" s="87" t="str">
        <f t="shared" si="1"/>
        <v xml:space="preserve">   </v>
      </c>
    </row>
    <row r="99" spans="1:13" x14ac:dyDescent="0.2">
      <c r="A99" s="426"/>
      <c r="B99" s="156" t="str">
        <f>Capacidades!M1596</f>
        <v xml:space="preserve">   </v>
      </c>
      <c r="C99" s="157"/>
      <c r="D99" s="13"/>
      <c r="E99" s="13"/>
      <c r="F99" s="13"/>
      <c r="G99" s="13"/>
      <c r="H99" s="14"/>
      <c r="I99" s="14"/>
      <c r="J99" s="14"/>
      <c r="K99" s="14"/>
      <c r="L99" s="446"/>
      <c r="M99" s="87" t="str">
        <f t="shared" si="1"/>
        <v xml:space="preserve">   </v>
      </c>
    </row>
    <row r="100" spans="1:13" x14ac:dyDescent="0.2">
      <c r="A100" s="426"/>
      <c r="B100" s="156" t="str">
        <f>Capacidades!M1597</f>
        <v xml:space="preserve">   </v>
      </c>
      <c r="C100" s="157"/>
      <c r="D100" s="13"/>
      <c r="E100" s="13"/>
      <c r="F100" s="13"/>
      <c r="G100" s="13"/>
      <c r="H100" s="14"/>
      <c r="I100" s="14"/>
      <c r="J100" s="14"/>
      <c r="K100" s="14"/>
      <c r="L100" s="446"/>
      <c r="M100" s="87" t="str">
        <f t="shared" si="1"/>
        <v xml:space="preserve">   </v>
      </c>
    </row>
    <row r="101" spans="1:13" x14ac:dyDescent="0.2">
      <c r="A101" s="426"/>
      <c r="B101" s="156" t="str">
        <f>Capacidades!M1598</f>
        <v xml:space="preserve">   </v>
      </c>
      <c r="C101" s="157"/>
      <c r="D101" s="13"/>
      <c r="E101" s="13"/>
      <c r="F101" s="13"/>
      <c r="G101" s="13"/>
      <c r="H101" s="14"/>
      <c r="I101" s="14"/>
      <c r="J101" s="14"/>
      <c r="K101" s="14"/>
      <c r="L101" s="446"/>
      <c r="M101" s="87" t="str">
        <f t="shared" si="1"/>
        <v xml:space="preserve">   </v>
      </c>
    </row>
    <row r="102" spans="1:13" x14ac:dyDescent="0.2">
      <c r="A102" s="426"/>
      <c r="B102" s="156" t="str">
        <f>Capacidades!M1599</f>
        <v xml:space="preserve">   </v>
      </c>
      <c r="C102" s="157"/>
      <c r="D102" s="13"/>
      <c r="E102" s="13"/>
      <c r="F102" s="13"/>
      <c r="G102" s="13"/>
      <c r="H102" s="14"/>
      <c r="I102" s="14"/>
      <c r="J102" s="14"/>
      <c r="K102" s="14"/>
      <c r="L102" s="446"/>
      <c r="M102" s="87" t="str">
        <f t="shared" si="1"/>
        <v xml:space="preserve">   </v>
      </c>
    </row>
    <row r="103" spans="1:13" x14ac:dyDescent="0.2">
      <c r="A103" s="426"/>
      <c r="B103" s="156" t="str">
        <f>Capacidades!M1600</f>
        <v xml:space="preserve">   </v>
      </c>
      <c r="C103" s="157"/>
      <c r="D103" s="13"/>
      <c r="E103" s="13"/>
      <c r="F103" s="13"/>
      <c r="G103" s="13"/>
      <c r="H103" s="14"/>
      <c r="I103" s="14"/>
      <c r="J103" s="14"/>
      <c r="K103" s="14"/>
      <c r="L103" s="446"/>
      <c r="M103" s="87" t="str">
        <f t="shared" si="1"/>
        <v xml:space="preserve">   </v>
      </c>
    </row>
    <row r="104" spans="1:13" x14ac:dyDescent="0.2">
      <c r="A104" s="426"/>
      <c r="B104" s="156" t="str">
        <f>Capacidades!M1601</f>
        <v xml:space="preserve">   </v>
      </c>
      <c r="C104" s="157"/>
      <c r="D104" s="13"/>
      <c r="E104" s="13"/>
      <c r="F104" s="13"/>
      <c r="G104" s="13"/>
      <c r="H104" s="14"/>
      <c r="I104" s="14"/>
      <c r="J104" s="14"/>
      <c r="K104" s="14"/>
      <c r="L104" s="446"/>
      <c r="M104" s="87" t="str">
        <f t="shared" si="1"/>
        <v xml:space="preserve">   </v>
      </c>
    </row>
    <row r="105" spans="1:13" x14ac:dyDescent="0.2">
      <c r="A105" s="426"/>
      <c r="B105" s="156" t="str">
        <f>Capacidades!M1602</f>
        <v xml:space="preserve">   </v>
      </c>
      <c r="C105" s="157"/>
      <c r="D105" s="13"/>
      <c r="E105" s="13"/>
      <c r="F105" s="13"/>
      <c r="G105" s="13"/>
      <c r="H105" s="14"/>
      <c r="I105" s="14"/>
      <c r="J105" s="14"/>
      <c r="K105" s="14"/>
      <c r="L105" s="446"/>
      <c r="M105" s="87" t="str">
        <f t="shared" si="1"/>
        <v xml:space="preserve">   </v>
      </c>
    </row>
    <row r="106" spans="1:13" x14ac:dyDescent="0.2">
      <c r="A106" s="426"/>
      <c r="B106" s="156" t="str">
        <f>Capacidades!M1603</f>
        <v xml:space="preserve">   </v>
      </c>
      <c r="C106" s="157"/>
      <c r="D106" s="13"/>
      <c r="E106" s="13"/>
      <c r="F106" s="13"/>
      <c r="G106" s="13"/>
      <c r="H106" s="14"/>
      <c r="I106" s="14"/>
      <c r="J106" s="14"/>
      <c r="K106" s="14"/>
      <c r="L106" s="446"/>
      <c r="M106" s="87" t="str">
        <f t="shared" si="1"/>
        <v xml:space="preserve">   </v>
      </c>
    </row>
    <row r="107" spans="1:13" x14ac:dyDescent="0.2">
      <c r="A107" s="427"/>
      <c r="B107" s="156" t="str">
        <f>Capacidades!M1604</f>
        <v xml:space="preserve">   </v>
      </c>
      <c r="C107" s="157"/>
      <c r="D107" s="15"/>
      <c r="E107" s="15"/>
      <c r="F107" s="15"/>
      <c r="G107" s="15"/>
      <c r="H107" s="16"/>
      <c r="I107" s="16"/>
      <c r="J107" s="16"/>
      <c r="K107" s="16"/>
      <c r="L107" s="447"/>
      <c r="M107" s="87" t="str">
        <f t="shared" si="1"/>
        <v xml:space="preserve">   </v>
      </c>
    </row>
    <row r="108" spans="1:13" x14ac:dyDescent="0.2">
      <c r="A108" s="425" t="str">
        <f>Capacidades!L1605</f>
        <v xml:space="preserve">       </v>
      </c>
      <c r="B108" s="156" t="str">
        <f>Capacidades!M1605</f>
        <v xml:space="preserve">   </v>
      </c>
      <c r="C108" s="157"/>
      <c r="D108" s="11">
        <f>Organización_Modular!F174</f>
        <v>0</v>
      </c>
      <c r="E108" s="11">
        <f>Organización_Modular!G174</f>
        <v>0</v>
      </c>
      <c r="F108" s="11">
        <f>Organización_Modular!H174</f>
        <v>0</v>
      </c>
      <c r="G108" s="11">
        <f>Organización_Modular!I174</f>
        <v>0</v>
      </c>
      <c r="H108" s="12">
        <f>SUM(F108:G108)</f>
        <v>0</v>
      </c>
      <c r="I108" s="12">
        <f>F108*16</f>
        <v>0</v>
      </c>
      <c r="J108" s="12">
        <f>G108*32</f>
        <v>0</v>
      </c>
      <c r="K108" s="12">
        <f>SUM(I108:J108)</f>
        <v>0</v>
      </c>
      <c r="L108" s="445"/>
      <c r="M108" s="87" t="str">
        <f t="shared" si="1"/>
        <v xml:space="preserve">   </v>
      </c>
    </row>
    <row r="109" spans="1:13" x14ac:dyDescent="0.2">
      <c r="A109" s="426"/>
      <c r="B109" s="156" t="str">
        <f>Capacidades!M1606</f>
        <v xml:space="preserve">   </v>
      </c>
      <c r="C109" s="157"/>
      <c r="D109" s="13"/>
      <c r="E109" s="13"/>
      <c r="F109" s="13"/>
      <c r="G109" s="13"/>
      <c r="H109" s="14"/>
      <c r="I109" s="14"/>
      <c r="J109" s="14"/>
      <c r="K109" s="14"/>
      <c r="L109" s="446"/>
      <c r="M109" s="87" t="str">
        <f t="shared" si="1"/>
        <v xml:space="preserve">   </v>
      </c>
    </row>
    <row r="110" spans="1:13" x14ac:dyDescent="0.2">
      <c r="A110" s="426"/>
      <c r="B110" s="156" t="str">
        <f>Capacidades!M1607</f>
        <v xml:space="preserve">   </v>
      </c>
      <c r="C110" s="157"/>
      <c r="D110" s="13"/>
      <c r="E110" s="13"/>
      <c r="F110" s="13"/>
      <c r="G110" s="13"/>
      <c r="H110" s="14"/>
      <c r="I110" s="14"/>
      <c r="J110" s="14"/>
      <c r="K110" s="14"/>
      <c r="L110" s="446"/>
      <c r="M110" s="87" t="str">
        <f t="shared" si="1"/>
        <v xml:space="preserve">   </v>
      </c>
    </row>
    <row r="111" spans="1:13" x14ac:dyDescent="0.2">
      <c r="A111" s="426"/>
      <c r="B111" s="156" t="str">
        <f>Capacidades!M1608</f>
        <v xml:space="preserve">   </v>
      </c>
      <c r="C111" s="157"/>
      <c r="D111" s="13"/>
      <c r="E111" s="13"/>
      <c r="F111" s="13"/>
      <c r="G111" s="13"/>
      <c r="H111" s="14"/>
      <c r="I111" s="14"/>
      <c r="J111" s="14"/>
      <c r="K111" s="14"/>
      <c r="L111" s="446"/>
      <c r="M111" s="87" t="str">
        <f t="shared" si="1"/>
        <v xml:space="preserve">   </v>
      </c>
    </row>
    <row r="112" spans="1:13" x14ac:dyDescent="0.2">
      <c r="A112" s="426"/>
      <c r="B112" s="156" t="str">
        <f>Capacidades!M1609</f>
        <v xml:space="preserve">   </v>
      </c>
      <c r="C112" s="157"/>
      <c r="D112" s="13"/>
      <c r="E112" s="13"/>
      <c r="F112" s="13"/>
      <c r="G112" s="13"/>
      <c r="H112" s="14"/>
      <c r="I112" s="14"/>
      <c r="J112" s="14"/>
      <c r="K112" s="14"/>
      <c r="L112" s="446"/>
      <c r="M112" s="87" t="str">
        <f t="shared" si="1"/>
        <v xml:space="preserve">   </v>
      </c>
    </row>
    <row r="113" spans="1:13" x14ac:dyDescent="0.2">
      <c r="A113" s="426"/>
      <c r="B113" s="156" t="str">
        <f>Capacidades!M1610</f>
        <v xml:space="preserve">   </v>
      </c>
      <c r="C113" s="157"/>
      <c r="D113" s="13"/>
      <c r="E113" s="13"/>
      <c r="F113" s="13"/>
      <c r="G113" s="13"/>
      <c r="H113" s="14"/>
      <c r="I113" s="14"/>
      <c r="J113" s="14"/>
      <c r="K113" s="14"/>
      <c r="L113" s="446"/>
      <c r="M113" s="87" t="str">
        <f t="shared" si="1"/>
        <v xml:space="preserve">   </v>
      </c>
    </row>
    <row r="114" spans="1:13" x14ac:dyDescent="0.2">
      <c r="A114" s="426"/>
      <c r="B114" s="156" t="str">
        <f>Capacidades!M1611</f>
        <v xml:space="preserve">   </v>
      </c>
      <c r="C114" s="157"/>
      <c r="D114" s="13"/>
      <c r="E114" s="13"/>
      <c r="F114" s="13"/>
      <c r="G114" s="13"/>
      <c r="H114" s="14"/>
      <c r="I114" s="14"/>
      <c r="J114" s="14"/>
      <c r="K114" s="14"/>
      <c r="L114" s="446"/>
      <c r="M114" s="87" t="str">
        <f t="shared" si="1"/>
        <v xml:space="preserve">   </v>
      </c>
    </row>
    <row r="115" spans="1:13" x14ac:dyDescent="0.2">
      <c r="A115" s="426"/>
      <c r="B115" s="156" t="str">
        <f>Capacidades!M1612</f>
        <v xml:space="preserve">   </v>
      </c>
      <c r="C115" s="157"/>
      <c r="D115" s="13"/>
      <c r="E115" s="13"/>
      <c r="F115" s="13"/>
      <c r="G115" s="13"/>
      <c r="H115" s="14"/>
      <c r="I115" s="14"/>
      <c r="J115" s="14"/>
      <c r="K115" s="14"/>
      <c r="L115" s="446"/>
      <c r="M115" s="87" t="str">
        <f t="shared" si="1"/>
        <v xml:space="preserve">   </v>
      </c>
    </row>
    <row r="116" spans="1:13" x14ac:dyDescent="0.2">
      <c r="A116" s="426"/>
      <c r="B116" s="156" t="str">
        <f>Capacidades!M1613</f>
        <v xml:space="preserve">   </v>
      </c>
      <c r="C116" s="157"/>
      <c r="D116" s="13"/>
      <c r="E116" s="13"/>
      <c r="F116" s="13"/>
      <c r="G116" s="13"/>
      <c r="H116" s="14"/>
      <c r="I116" s="14"/>
      <c r="J116" s="14"/>
      <c r="K116" s="14"/>
      <c r="L116" s="446"/>
      <c r="M116" s="87" t="str">
        <f t="shared" si="1"/>
        <v xml:space="preserve">   </v>
      </c>
    </row>
    <row r="117" spans="1:13" x14ac:dyDescent="0.2">
      <c r="A117" s="427"/>
      <c r="B117" s="156" t="str">
        <f>Capacidades!M1614</f>
        <v xml:space="preserve">   </v>
      </c>
      <c r="C117" s="157"/>
      <c r="D117" s="15"/>
      <c r="E117" s="15"/>
      <c r="F117" s="15"/>
      <c r="G117" s="15"/>
      <c r="H117" s="16"/>
      <c r="I117" s="16"/>
      <c r="J117" s="16"/>
      <c r="K117" s="16"/>
      <c r="L117" s="447"/>
      <c r="M117" s="87" t="str">
        <f t="shared" si="1"/>
        <v xml:space="preserve">   </v>
      </c>
    </row>
    <row r="118" spans="1:13" x14ac:dyDescent="0.2">
      <c r="A118" s="425" t="str">
        <f>Capacidades!L1615</f>
        <v xml:space="preserve">       </v>
      </c>
      <c r="B118" s="156" t="str">
        <f>Capacidades!M1615</f>
        <v xml:space="preserve">   </v>
      </c>
      <c r="C118" s="157"/>
      <c r="D118" s="11">
        <f>Organización_Modular!F175</f>
        <v>0</v>
      </c>
      <c r="E118" s="11">
        <f>Organización_Modular!G175</f>
        <v>0</v>
      </c>
      <c r="F118" s="11">
        <f>Organización_Modular!H175</f>
        <v>0</v>
      </c>
      <c r="G118" s="11">
        <f>Organización_Modular!I175</f>
        <v>0</v>
      </c>
      <c r="H118" s="12">
        <f>SUM(F118:G118)</f>
        <v>0</v>
      </c>
      <c r="I118" s="12">
        <f>F118*16</f>
        <v>0</v>
      </c>
      <c r="J118" s="12">
        <f>G118*32</f>
        <v>0</v>
      </c>
      <c r="K118" s="12">
        <f>SUM(I118:J118)</f>
        <v>0</v>
      </c>
      <c r="L118" s="445"/>
      <c r="M118" s="87" t="str">
        <f t="shared" si="1"/>
        <v xml:space="preserve">   </v>
      </c>
    </row>
    <row r="119" spans="1:13" x14ac:dyDescent="0.2">
      <c r="A119" s="426"/>
      <c r="B119" s="156" t="str">
        <f>Capacidades!M1616</f>
        <v xml:space="preserve">   </v>
      </c>
      <c r="C119" s="157"/>
      <c r="D119" s="13"/>
      <c r="E119" s="13"/>
      <c r="F119" s="13"/>
      <c r="G119" s="13"/>
      <c r="H119" s="14"/>
      <c r="I119" s="14"/>
      <c r="J119" s="14"/>
      <c r="K119" s="14"/>
      <c r="L119" s="446"/>
      <c r="M119" s="87" t="str">
        <f t="shared" si="1"/>
        <v xml:space="preserve">   </v>
      </c>
    </row>
    <row r="120" spans="1:13" x14ac:dyDescent="0.2">
      <c r="A120" s="426"/>
      <c r="B120" s="156" t="str">
        <f>Capacidades!M1617</f>
        <v xml:space="preserve">   </v>
      </c>
      <c r="C120" s="157"/>
      <c r="D120" s="13"/>
      <c r="E120" s="13"/>
      <c r="F120" s="13"/>
      <c r="G120" s="13"/>
      <c r="H120" s="14"/>
      <c r="I120" s="14"/>
      <c r="J120" s="14"/>
      <c r="K120" s="14"/>
      <c r="L120" s="446"/>
      <c r="M120" s="87" t="str">
        <f t="shared" si="1"/>
        <v xml:space="preserve">   </v>
      </c>
    </row>
    <row r="121" spans="1:13" x14ac:dyDescent="0.2">
      <c r="A121" s="426"/>
      <c r="B121" s="156" t="str">
        <f>Capacidades!M1618</f>
        <v xml:space="preserve">   </v>
      </c>
      <c r="C121" s="157"/>
      <c r="D121" s="13"/>
      <c r="E121" s="13"/>
      <c r="F121" s="13"/>
      <c r="G121" s="13"/>
      <c r="H121" s="14"/>
      <c r="I121" s="14"/>
      <c r="J121" s="14"/>
      <c r="K121" s="14"/>
      <c r="L121" s="446"/>
      <c r="M121" s="87" t="str">
        <f t="shared" si="1"/>
        <v xml:space="preserve">   </v>
      </c>
    </row>
    <row r="122" spans="1:13" x14ac:dyDescent="0.2">
      <c r="A122" s="426"/>
      <c r="B122" s="156" t="str">
        <f>Capacidades!M1619</f>
        <v xml:space="preserve">   </v>
      </c>
      <c r="C122" s="157"/>
      <c r="D122" s="13"/>
      <c r="E122" s="13"/>
      <c r="F122" s="13"/>
      <c r="G122" s="13"/>
      <c r="H122" s="14"/>
      <c r="I122" s="14"/>
      <c r="J122" s="14"/>
      <c r="K122" s="14"/>
      <c r="L122" s="446"/>
      <c r="M122" s="87" t="str">
        <f t="shared" si="1"/>
        <v xml:space="preserve">   </v>
      </c>
    </row>
    <row r="123" spans="1:13" x14ac:dyDescent="0.2">
      <c r="A123" s="426"/>
      <c r="B123" s="156" t="str">
        <f>Capacidades!M1620</f>
        <v xml:space="preserve">   </v>
      </c>
      <c r="C123" s="157"/>
      <c r="D123" s="13"/>
      <c r="E123" s="13"/>
      <c r="F123" s="13"/>
      <c r="G123" s="13"/>
      <c r="H123" s="14"/>
      <c r="I123" s="14"/>
      <c r="J123" s="14"/>
      <c r="K123" s="14"/>
      <c r="L123" s="446"/>
      <c r="M123" s="87" t="str">
        <f t="shared" si="1"/>
        <v xml:space="preserve">   </v>
      </c>
    </row>
    <row r="124" spans="1:13" x14ac:dyDescent="0.2">
      <c r="A124" s="426"/>
      <c r="B124" s="156" t="str">
        <f>Capacidades!M1621</f>
        <v xml:space="preserve">   </v>
      </c>
      <c r="C124" s="157"/>
      <c r="D124" s="13"/>
      <c r="E124" s="13"/>
      <c r="F124" s="13"/>
      <c r="G124" s="13"/>
      <c r="H124" s="14"/>
      <c r="I124" s="14"/>
      <c r="J124" s="14"/>
      <c r="K124" s="14"/>
      <c r="L124" s="446"/>
      <c r="M124" s="87" t="str">
        <f t="shared" si="1"/>
        <v xml:space="preserve">   </v>
      </c>
    </row>
    <row r="125" spans="1:13" x14ac:dyDescent="0.2">
      <c r="A125" s="426"/>
      <c r="B125" s="156" t="str">
        <f>Capacidades!M1622</f>
        <v xml:space="preserve">   </v>
      </c>
      <c r="C125" s="157"/>
      <c r="D125" s="13"/>
      <c r="E125" s="13"/>
      <c r="F125" s="13"/>
      <c r="G125" s="13"/>
      <c r="H125" s="14"/>
      <c r="I125" s="14"/>
      <c r="J125" s="14"/>
      <c r="K125" s="14"/>
      <c r="L125" s="446"/>
      <c r="M125" s="87" t="str">
        <f t="shared" si="1"/>
        <v xml:space="preserve">   </v>
      </c>
    </row>
    <row r="126" spans="1:13" x14ac:dyDescent="0.2">
      <c r="A126" s="426"/>
      <c r="B126" s="156" t="str">
        <f>Capacidades!M1623</f>
        <v xml:space="preserve">   </v>
      </c>
      <c r="C126" s="157"/>
      <c r="D126" s="13"/>
      <c r="E126" s="13"/>
      <c r="F126" s="13"/>
      <c r="G126" s="13"/>
      <c r="H126" s="14"/>
      <c r="I126" s="14"/>
      <c r="J126" s="14"/>
      <c r="K126" s="14"/>
      <c r="L126" s="446"/>
      <c r="M126" s="87" t="str">
        <f t="shared" si="1"/>
        <v xml:space="preserve">   </v>
      </c>
    </row>
    <row r="127" spans="1:13" x14ac:dyDescent="0.2">
      <c r="A127" s="427"/>
      <c r="B127" s="156" t="str">
        <f>Capacidades!M1624</f>
        <v xml:space="preserve">   </v>
      </c>
      <c r="C127" s="157"/>
      <c r="D127" s="15"/>
      <c r="E127" s="15"/>
      <c r="F127" s="15"/>
      <c r="G127" s="15"/>
      <c r="H127" s="16"/>
      <c r="I127" s="16"/>
      <c r="J127" s="16"/>
      <c r="K127" s="16"/>
      <c r="L127" s="447"/>
      <c r="M127" s="87" t="str">
        <f t="shared" si="1"/>
        <v xml:space="preserve">   </v>
      </c>
    </row>
    <row r="128" spans="1:13" x14ac:dyDescent="0.2">
      <c r="A128" s="425" t="str">
        <f>Capacidades!L1625</f>
        <v xml:space="preserve">       </v>
      </c>
      <c r="B128" s="156" t="str">
        <f>Capacidades!M1625</f>
        <v xml:space="preserve">   </v>
      </c>
      <c r="C128" s="157"/>
      <c r="D128" s="11">
        <f>Organización_Modular!F176</f>
        <v>0</v>
      </c>
      <c r="E128" s="11">
        <f>Organización_Modular!G176</f>
        <v>0</v>
      </c>
      <c r="F128" s="11">
        <f>Organización_Modular!H176</f>
        <v>0</v>
      </c>
      <c r="G128" s="11">
        <f>Organización_Modular!I176</f>
        <v>0</v>
      </c>
      <c r="H128" s="12">
        <f>SUM(F128:G128)</f>
        <v>0</v>
      </c>
      <c r="I128" s="12">
        <f>F128*16</f>
        <v>0</v>
      </c>
      <c r="J128" s="12">
        <f>G128*32</f>
        <v>0</v>
      </c>
      <c r="K128" s="12">
        <f>SUM(I128:J128)</f>
        <v>0</v>
      </c>
      <c r="L128" s="445"/>
      <c r="M128" s="87" t="str">
        <f t="shared" si="1"/>
        <v xml:space="preserve">   </v>
      </c>
    </row>
    <row r="129" spans="1:13" x14ac:dyDescent="0.2">
      <c r="A129" s="426"/>
      <c r="B129" s="156" t="str">
        <f>Capacidades!M1626</f>
        <v xml:space="preserve">   </v>
      </c>
      <c r="C129" s="157"/>
      <c r="D129" s="13"/>
      <c r="E129" s="13"/>
      <c r="F129" s="13"/>
      <c r="G129" s="13"/>
      <c r="H129" s="14"/>
      <c r="I129" s="14"/>
      <c r="J129" s="14"/>
      <c r="K129" s="14"/>
      <c r="L129" s="446"/>
      <c r="M129" s="87" t="str">
        <f t="shared" si="1"/>
        <v xml:space="preserve">   </v>
      </c>
    </row>
    <row r="130" spans="1:13" x14ac:dyDescent="0.2">
      <c r="A130" s="426"/>
      <c r="B130" s="156" t="str">
        <f>Capacidades!M1627</f>
        <v xml:space="preserve">   </v>
      </c>
      <c r="C130" s="157"/>
      <c r="D130" s="13"/>
      <c r="E130" s="13"/>
      <c r="F130" s="13"/>
      <c r="G130" s="13"/>
      <c r="H130" s="14"/>
      <c r="I130" s="14"/>
      <c r="J130" s="14"/>
      <c r="K130" s="14"/>
      <c r="L130" s="446"/>
      <c r="M130" s="87" t="str">
        <f t="shared" si="1"/>
        <v xml:space="preserve">   </v>
      </c>
    </row>
    <row r="131" spans="1:13" x14ac:dyDescent="0.2">
      <c r="A131" s="426"/>
      <c r="B131" s="156" t="str">
        <f>Capacidades!M1628</f>
        <v xml:space="preserve">   </v>
      </c>
      <c r="C131" s="157"/>
      <c r="D131" s="13"/>
      <c r="E131" s="13"/>
      <c r="F131" s="13"/>
      <c r="G131" s="13"/>
      <c r="H131" s="14"/>
      <c r="I131" s="14"/>
      <c r="J131" s="14"/>
      <c r="K131" s="14"/>
      <c r="L131" s="446"/>
      <c r="M131" s="87" t="str">
        <f t="shared" si="1"/>
        <v xml:space="preserve">   </v>
      </c>
    </row>
    <row r="132" spans="1:13" x14ac:dyDescent="0.2">
      <c r="A132" s="426"/>
      <c r="B132" s="156" t="str">
        <f>Capacidades!M1629</f>
        <v xml:space="preserve">   </v>
      </c>
      <c r="C132" s="157"/>
      <c r="D132" s="13"/>
      <c r="E132" s="13"/>
      <c r="F132" s="13"/>
      <c r="G132" s="13"/>
      <c r="H132" s="14"/>
      <c r="I132" s="14"/>
      <c r="J132" s="14"/>
      <c r="K132" s="14"/>
      <c r="L132" s="446"/>
      <c r="M132" s="87" t="str">
        <f t="shared" si="1"/>
        <v xml:space="preserve">   </v>
      </c>
    </row>
    <row r="133" spans="1:13" x14ac:dyDescent="0.2">
      <c r="A133" s="426"/>
      <c r="B133" s="156" t="str">
        <f>Capacidades!M1630</f>
        <v xml:space="preserve">   </v>
      </c>
      <c r="C133" s="157"/>
      <c r="D133" s="13"/>
      <c r="E133" s="13"/>
      <c r="F133" s="13"/>
      <c r="G133" s="13"/>
      <c r="H133" s="14"/>
      <c r="I133" s="14"/>
      <c r="J133" s="14"/>
      <c r="K133" s="14"/>
      <c r="L133" s="446"/>
      <c r="M133" s="87" t="str">
        <f t="shared" si="1"/>
        <v xml:space="preserve">   </v>
      </c>
    </row>
    <row r="134" spans="1:13" x14ac:dyDescent="0.2">
      <c r="A134" s="426"/>
      <c r="B134" s="156" t="str">
        <f>Capacidades!M1631</f>
        <v xml:space="preserve">   </v>
      </c>
      <c r="C134" s="157"/>
      <c r="D134" s="13"/>
      <c r="E134" s="13"/>
      <c r="F134" s="13"/>
      <c r="G134" s="13"/>
      <c r="H134" s="14"/>
      <c r="I134" s="14"/>
      <c r="J134" s="14"/>
      <c r="K134" s="14"/>
      <c r="L134" s="446"/>
      <c r="M134" s="87" t="str">
        <f t="shared" si="1"/>
        <v xml:space="preserve">   </v>
      </c>
    </row>
    <row r="135" spans="1:13" x14ac:dyDescent="0.2">
      <c r="A135" s="426"/>
      <c r="B135" s="156" t="str">
        <f>Capacidades!M1632</f>
        <v xml:space="preserve">   </v>
      </c>
      <c r="C135" s="157"/>
      <c r="D135" s="13"/>
      <c r="E135" s="13"/>
      <c r="F135" s="13"/>
      <c r="G135" s="13"/>
      <c r="H135" s="14"/>
      <c r="I135" s="14"/>
      <c r="J135" s="14"/>
      <c r="K135" s="14"/>
      <c r="L135" s="446"/>
      <c r="M135" s="87" t="str">
        <f t="shared" si="1"/>
        <v xml:space="preserve">   </v>
      </c>
    </row>
    <row r="136" spans="1:13" x14ac:dyDescent="0.2">
      <c r="A136" s="426"/>
      <c r="B136" s="156" t="str">
        <f>Capacidades!M1633</f>
        <v xml:space="preserve">   </v>
      </c>
      <c r="C136" s="157"/>
      <c r="D136" s="13"/>
      <c r="E136" s="13"/>
      <c r="F136" s="13"/>
      <c r="G136" s="13"/>
      <c r="H136" s="14"/>
      <c r="I136" s="14"/>
      <c r="J136" s="14"/>
      <c r="K136" s="14"/>
      <c r="L136" s="446"/>
      <c r="M136" s="87" t="str">
        <f t="shared" si="1"/>
        <v xml:space="preserve">   </v>
      </c>
    </row>
    <row r="137" spans="1:13" x14ac:dyDescent="0.2">
      <c r="A137" s="427"/>
      <c r="B137" s="156" t="str">
        <f>Capacidades!M1634</f>
        <v xml:space="preserve">   </v>
      </c>
      <c r="C137" s="157"/>
      <c r="D137" s="15"/>
      <c r="E137" s="15"/>
      <c r="F137" s="15"/>
      <c r="G137" s="15"/>
      <c r="H137" s="16"/>
      <c r="I137" s="16"/>
      <c r="J137" s="16"/>
      <c r="K137" s="16"/>
      <c r="L137" s="447"/>
      <c r="M137" s="87" t="str">
        <f t="shared" si="1"/>
        <v xml:space="preserve">   </v>
      </c>
    </row>
    <row r="138" spans="1:13" x14ac:dyDescent="0.2">
      <c r="A138" s="425" t="str">
        <f>Capacidades!L1635</f>
        <v xml:space="preserve">       </v>
      </c>
      <c r="B138" s="156" t="str">
        <f>Capacidades!M1635</f>
        <v xml:space="preserve">   </v>
      </c>
      <c r="C138" s="157"/>
      <c r="D138" s="11">
        <f>Organización_Modular!F177</f>
        <v>0</v>
      </c>
      <c r="E138" s="11">
        <f>Organización_Modular!G177</f>
        <v>0</v>
      </c>
      <c r="F138" s="11">
        <f>Organización_Modular!H177</f>
        <v>0</v>
      </c>
      <c r="G138" s="11">
        <f>Organización_Modular!I177</f>
        <v>0</v>
      </c>
      <c r="H138" s="12">
        <f>SUM(F138:G138)</f>
        <v>0</v>
      </c>
      <c r="I138" s="12">
        <f>F138*16</f>
        <v>0</v>
      </c>
      <c r="J138" s="12">
        <f>G138*32</f>
        <v>0</v>
      </c>
      <c r="K138" s="12">
        <f>SUM(I138:J138)</f>
        <v>0</v>
      </c>
      <c r="L138" s="445"/>
      <c r="M138" s="87" t="str">
        <f t="shared" si="1"/>
        <v xml:space="preserve">   </v>
      </c>
    </row>
    <row r="139" spans="1:13" x14ac:dyDescent="0.2">
      <c r="A139" s="426"/>
      <c r="B139" s="156" t="str">
        <f>Capacidades!M1636</f>
        <v xml:space="preserve">   </v>
      </c>
      <c r="C139" s="157"/>
      <c r="D139" s="13"/>
      <c r="E139" s="13"/>
      <c r="F139" s="13"/>
      <c r="G139" s="13"/>
      <c r="H139" s="14"/>
      <c r="I139" s="14"/>
      <c r="J139" s="14"/>
      <c r="K139" s="14"/>
      <c r="L139" s="446"/>
      <c r="M139" s="87" t="str">
        <f t="shared" si="1"/>
        <v xml:space="preserve">   </v>
      </c>
    </row>
    <row r="140" spans="1:13" x14ac:dyDescent="0.2">
      <c r="A140" s="426"/>
      <c r="B140" s="156" t="str">
        <f>Capacidades!M1637</f>
        <v xml:space="preserve">   </v>
      </c>
      <c r="C140" s="157"/>
      <c r="D140" s="13"/>
      <c r="E140" s="13"/>
      <c r="F140" s="13"/>
      <c r="G140" s="13"/>
      <c r="H140" s="14"/>
      <c r="I140" s="14"/>
      <c r="J140" s="14"/>
      <c r="K140" s="14"/>
      <c r="L140" s="446"/>
      <c r="M140" s="87" t="str">
        <f t="shared" si="1"/>
        <v xml:space="preserve">   </v>
      </c>
    </row>
    <row r="141" spans="1:13" x14ac:dyDescent="0.2">
      <c r="A141" s="426"/>
      <c r="B141" s="156" t="str">
        <f>Capacidades!M1638</f>
        <v xml:space="preserve">   </v>
      </c>
      <c r="C141" s="157"/>
      <c r="D141" s="13"/>
      <c r="E141" s="13"/>
      <c r="F141" s="13"/>
      <c r="G141" s="13"/>
      <c r="H141" s="14"/>
      <c r="I141" s="14"/>
      <c r="J141" s="14"/>
      <c r="K141" s="14"/>
      <c r="L141" s="446"/>
      <c r="M141" s="87" t="str">
        <f t="shared" si="1"/>
        <v xml:space="preserve">   </v>
      </c>
    </row>
    <row r="142" spans="1:13" x14ac:dyDescent="0.2">
      <c r="A142" s="426"/>
      <c r="B142" s="156" t="str">
        <f>Capacidades!M1639</f>
        <v xml:space="preserve">   </v>
      </c>
      <c r="C142" s="157"/>
      <c r="D142" s="13"/>
      <c r="E142" s="13"/>
      <c r="F142" s="13"/>
      <c r="G142" s="13"/>
      <c r="H142" s="14"/>
      <c r="I142" s="14"/>
      <c r="J142" s="14"/>
      <c r="K142" s="14"/>
      <c r="L142" s="446"/>
      <c r="M142" s="87" t="str">
        <f t="shared" si="1"/>
        <v xml:space="preserve">   </v>
      </c>
    </row>
    <row r="143" spans="1:13" x14ac:dyDescent="0.2">
      <c r="A143" s="426"/>
      <c r="B143" s="156" t="str">
        <f>Capacidades!M1640</f>
        <v xml:space="preserve">   </v>
      </c>
      <c r="C143" s="157"/>
      <c r="D143" s="13"/>
      <c r="E143" s="13"/>
      <c r="F143" s="13"/>
      <c r="G143" s="13"/>
      <c r="H143" s="14"/>
      <c r="I143" s="14"/>
      <c r="J143" s="14"/>
      <c r="K143" s="14"/>
      <c r="L143" s="446"/>
      <c r="M143" s="87" t="str">
        <f t="shared" si="1"/>
        <v xml:space="preserve">   </v>
      </c>
    </row>
    <row r="144" spans="1:13" x14ac:dyDescent="0.2">
      <c r="A144" s="426"/>
      <c r="B144" s="156" t="str">
        <f>Capacidades!M1641</f>
        <v xml:space="preserve">   </v>
      </c>
      <c r="C144" s="157"/>
      <c r="D144" s="13"/>
      <c r="E144" s="13"/>
      <c r="F144" s="13"/>
      <c r="G144" s="13"/>
      <c r="H144" s="14"/>
      <c r="I144" s="14"/>
      <c r="J144" s="14"/>
      <c r="K144" s="14"/>
      <c r="L144" s="446"/>
      <c r="M144" s="87" t="str">
        <f t="shared" si="1"/>
        <v xml:space="preserve">   </v>
      </c>
    </row>
    <row r="145" spans="1:13" x14ac:dyDescent="0.2">
      <c r="A145" s="426"/>
      <c r="B145" s="156" t="str">
        <f>Capacidades!M1642</f>
        <v xml:space="preserve">   </v>
      </c>
      <c r="C145" s="157"/>
      <c r="D145" s="13"/>
      <c r="E145" s="13"/>
      <c r="F145" s="13"/>
      <c r="G145" s="13"/>
      <c r="H145" s="14"/>
      <c r="I145" s="14"/>
      <c r="J145" s="14"/>
      <c r="K145" s="14"/>
      <c r="L145" s="446"/>
      <c r="M145" s="87" t="str">
        <f t="shared" si="1"/>
        <v xml:space="preserve">   </v>
      </c>
    </row>
    <row r="146" spans="1:13" x14ac:dyDescent="0.2">
      <c r="A146" s="426"/>
      <c r="B146" s="156" t="str">
        <f>Capacidades!M1643</f>
        <v xml:space="preserve">   </v>
      </c>
      <c r="C146" s="157"/>
      <c r="D146" s="13"/>
      <c r="E146" s="13"/>
      <c r="F146" s="13"/>
      <c r="G146" s="13"/>
      <c r="H146" s="14"/>
      <c r="I146" s="14"/>
      <c r="J146" s="14"/>
      <c r="K146" s="14"/>
      <c r="L146" s="446"/>
      <c r="M146" s="87" t="str">
        <f t="shared" si="1"/>
        <v xml:space="preserve">   </v>
      </c>
    </row>
    <row r="147" spans="1:13" x14ac:dyDescent="0.2">
      <c r="A147" s="427"/>
      <c r="B147" s="156" t="str">
        <f>Capacidades!M1644</f>
        <v xml:space="preserve">   </v>
      </c>
      <c r="C147" s="157"/>
      <c r="D147" s="15"/>
      <c r="E147" s="15"/>
      <c r="F147" s="15"/>
      <c r="G147" s="15"/>
      <c r="H147" s="16"/>
      <c r="I147" s="16"/>
      <c r="J147" s="16"/>
      <c r="K147" s="16"/>
      <c r="L147" s="447"/>
      <c r="M147" s="87" t="str">
        <f t="shared" ref="M147:M210" si="2">B147</f>
        <v xml:space="preserve">   </v>
      </c>
    </row>
    <row r="148" spans="1:13" x14ac:dyDescent="0.2">
      <c r="A148" s="425" t="str">
        <f>Capacidades!L1645</f>
        <v xml:space="preserve">       </v>
      </c>
      <c r="B148" s="156" t="str">
        <f>Capacidades!M1645</f>
        <v xml:space="preserve">   </v>
      </c>
      <c r="C148" s="157"/>
      <c r="D148" s="11">
        <f>Organización_Modular!F178</f>
        <v>0</v>
      </c>
      <c r="E148" s="11">
        <f>Organización_Modular!G178</f>
        <v>0</v>
      </c>
      <c r="F148" s="11">
        <f>Organización_Modular!H178</f>
        <v>0</v>
      </c>
      <c r="G148" s="11">
        <f>Organización_Modular!I178</f>
        <v>0</v>
      </c>
      <c r="H148" s="12">
        <f>SUM(F148:G148)</f>
        <v>0</v>
      </c>
      <c r="I148" s="12">
        <f>F148*16</f>
        <v>0</v>
      </c>
      <c r="J148" s="12">
        <f>G148*32</f>
        <v>0</v>
      </c>
      <c r="K148" s="12">
        <f>SUM(I148:J148)</f>
        <v>0</v>
      </c>
      <c r="L148" s="445"/>
      <c r="M148" s="87" t="str">
        <f t="shared" si="2"/>
        <v xml:space="preserve">   </v>
      </c>
    </row>
    <row r="149" spans="1:13" x14ac:dyDescent="0.2">
      <c r="A149" s="426"/>
      <c r="B149" s="156" t="str">
        <f>Capacidades!M1646</f>
        <v xml:space="preserve">   </v>
      </c>
      <c r="C149" s="157"/>
      <c r="D149" s="13"/>
      <c r="E149" s="13"/>
      <c r="F149" s="13"/>
      <c r="G149" s="13"/>
      <c r="H149" s="14"/>
      <c r="I149" s="14"/>
      <c r="J149" s="14"/>
      <c r="K149" s="14"/>
      <c r="L149" s="446"/>
      <c r="M149" s="87" t="str">
        <f t="shared" si="2"/>
        <v xml:space="preserve">   </v>
      </c>
    </row>
    <row r="150" spans="1:13" x14ac:dyDescent="0.2">
      <c r="A150" s="426"/>
      <c r="B150" s="156" t="str">
        <f>Capacidades!M1647</f>
        <v xml:space="preserve">   </v>
      </c>
      <c r="C150" s="157"/>
      <c r="D150" s="13"/>
      <c r="E150" s="13"/>
      <c r="F150" s="13"/>
      <c r="G150" s="13"/>
      <c r="H150" s="14"/>
      <c r="I150" s="14"/>
      <c r="J150" s="14"/>
      <c r="K150" s="14"/>
      <c r="L150" s="446"/>
      <c r="M150" s="87" t="str">
        <f t="shared" si="2"/>
        <v xml:space="preserve">   </v>
      </c>
    </row>
    <row r="151" spans="1:13" x14ac:dyDescent="0.2">
      <c r="A151" s="426"/>
      <c r="B151" s="156" t="str">
        <f>Capacidades!M1648</f>
        <v xml:space="preserve">   </v>
      </c>
      <c r="C151" s="157"/>
      <c r="D151" s="13"/>
      <c r="E151" s="13"/>
      <c r="F151" s="13"/>
      <c r="G151" s="13"/>
      <c r="H151" s="14"/>
      <c r="I151" s="14"/>
      <c r="J151" s="14"/>
      <c r="K151" s="14"/>
      <c r="L151" s="446"/>
      <c r="M151" s="87" t="str">
        <f t="shared" si="2"/>
        <v xml:space="preserve">   </v>
      </c>
    </row>
    <row r="152" spans="1:13" x14ac:dyDescent="0.2">
      <c r="A152" s="426"/>
      <c r="B152" s="156" t="str">
        <f>Capacidades!M1649</f>
        <v xml:space="preserve">   </v>
      </c>
      <c r="C152" s="157"/>
      <c r="D152" s="13"/>
      <c r="E152" s="13"/>
      <c r="F152" s="13"/>
      <c r="G152" s="13"/>
      <c r="H152" s="14"/>
      <c r="I152" s="14"/>
      <c r="J152" s="14"/>
      <c r="K152" s="14"/>
      <c r="L152" s="446"/>
      <c r="M152" s="87" t="str">
        <f t="shared" si="2"/>
        <v xml:space="preserve">   </v>
      </c>
    </row>
    <row r="153" spans="1:13" x14ac:dyDescent="0.2">
      <c r="A153" s="426"/>
      <c r="B153" s="156" t="str">
        <f>Capacidades!M1650</f>
        <v xml:space="preserve">   </v>
      </c>
      <c r="C153" s="157"/>
      <c r="D153" s="13"/>
      <c r="E153" s="13"/>
      <c r="F153" s="13"/>
      <c r="G153" s="13"/>
      <c r="H153" s="14"/>
      <c r="I153" s="14"/>
      <c r="J153" s="14"/>
      <c r="K153" s="14"/>
      <c r="L153" s="446"/>
      <c r="M153" s="87" t="str">
        <f t="shared" si="2"/>
        <v xml:space="preserve">   </v>
      </c>
    </row>
    <row r="154" spans="1:13" x14ac:dyDescent="0.2">
      <c r="A154" s="426"/>
      <c r="B154" s="156" t="str">
        <f>Capacidades!M1651</f>
        <v xml:space="preserve">   </v>
      </c>
      <c r="C154" s="157"/>
      <c r="D154" s="13"/>
      <c r="E154" s="13"/>
      <c r="F154" s="13"/>
      <c r="G154" s="13"/>
      <c r="H154" s="14"/>
      <c r="I154" s="14"/>
      <c r="J154" s="14"/>
      <c r="K154" s="14"/>
      <c r="L154" s="446"/>
      <c r="M154" s="87" t="str">
        <f t="shared" si="2"/>
        <v xml:space="preserve">   </v>
      </c>
    </row>
    <row r="155" spans="1:13" x14ac:dyDescent="0.2">
      <c r="A155" s="426"/>
      <c r="B155" s="156" t="str">
        <f>Capacidades!M1652</f>
        <v xml:space="preserve">   </v>
      </c>
      <c r="C155" s="157"/>
      <c r="D155" s="13"/>
      <c r="E155" s="13"/>
      <c r="F155" s="13"/>
      <c r="G155" s="13"/>
      <c r="H155" s="14"/>
      <c r="I155" s="14"/>
      <c r="J155" s="14"/>
      <c r="K155" s="14"/>
      <c r="L155" s="446"/>
      <c r="M155" s="87" t="str">
        <f t="shared" si="2"/>
        <v xml:space="preserve">   </v>
      </c>
    </row>
    <row r="156" spans="1:13" x14ac:dyDescent="0.2">
      <c r="A156" s="426"/>
      <c r="B156" s="156" t="str">
        <f>Capacidades!M1653</f>
        <v xml:space="preserve">   </v>
      </c>
      <c r="C156" s="157"/>
      <c r="D156" s="13"/>
      <c r="E156" s="13"/>
      <c r="F156" s="13"/>
      <c r="G156" s="13"/>
      <c r="H156" s="14"/>
      <c r="I156" s="14"/>
      <c r="J156" s="14"/>
      <c r="K156" s="14"/>
      <c r="L156" s="446"/>
      <c r="M156" s="87" t="str">
        <f t="shared" si="2"/>
        <v xml:space="preserve">   </v>
      </c>
    </row>
    <row r="157" spans="1:13" x14ac:dyDescent="0.2">
      <c r="A157" s="427"/>
      <c r="B157" s="156" t="str">
        <f>Capacidades!M1654</f>
        <v xml:space="preserve">   </v>
      </c>
      <c r="C157" s="157"/>
      <c r="D157" s="15"/>
      <c r="E157" s="15"/>
      <c r="F157" s="15"/>
      <c r="G157" s="15"/>
      <c r="H157" s="16"/>
      <c r="I157" s="16"/>
      <c r="J157" s="16"/>
      <c r="K157" s="16"/>
      <c r="L157" s="447"/>
      <c r="M157" s="87" t="str">
        <f t="shared" si="2"/>
        <v xml:space="preserve">   </v>
      </c>
    </row>
    <row r="158" spans="1:13" x14ac:dyDescent="0.2">
      <c r="A158" s="425" t="str">
        <f>Capacidades!L1655</f>
        <v xml:space="preserve">       </v>
      </c>
      <c r="B158" s="156" t="str">
        <f>Capacidades!M1655</f>
        <v xml:space="preserve">   </v>
      </c>
      <c r="C158" s="157"/>
      <c r="D158" s="11">
        <f>Organización_Modular!F179</f>
        <v>0</v>
      </c>
      <c r="E158" s="11">
        <f>Organización_Modular!G179</f>
        <v>0</v>
      </c>
      <c r="F158" s="11">
        <f>Organización_Modular!H179</f>
        <v>0</v>
      </c>
      <c r="G158" s="11">
        <f>Organización_Modular!I179</f>
        <v>0</v>
      </c>
      <c r="H158" s="12">
        <f>SUM(F158:G158)</f>
        <v>0</v>
      </c>
      <c r="I158" s="12">
        <f>F158*16</f>
        <v>0</v>
      </c>
      <c r="J158" s="12">
        <f>G158*32</f>
        <v>0</v>
      </c>
      <c r="K158" s="12">
        <f>SUM(I158:J158)</f>
        <v>0</v>
      </c>
      <c r="L158" s="445"/>
      <c r="M158" s="87" t="str">
        <f t="shared" si="2"/>
        <v xml:space="preserve">   </v>
      </c>
    </row>
    <row r="159" spans="1:13" x14ac:dyDescent="0.2">
      <c r="A159" s="426"/>
      <c r="B159" s="156" t="str">
        <f>Capacidades!M1656</f>
        <v xml:space="preserve">   </v>
      </c>
      <c r="C159" s="157"/>
      <c r="D159" s="13"/>
      <c r="E159" s="13"/>
      <c r="F159" s="13"/>
      <c r="G159" s="13"/>
      <c r="H159" s="14"/>
      <c r="I159" s="14"/>
      <c r="J159" s="14"/>
      <c r="K159" s="14"/>
      <c r="L159" s="446"/>
      <c r="M159" s="87" t="str">
        <f t="shared" si="2"/>
        <v xml:space="preserve">   </v>
      </c>
    </row>
    <row r="160" spans="1:13" x14ac:dyDescent="0.2">
      <c r="A160" s="426"/>
      <c r="B160" s="156" t="str">
        <f>Capacidades!M1657</f>
        <v xml:space="preserve">   </v>
      </c>
      <c r="C160" s="157"/>
      <c r="D160" s="13"/>
      <c r="E160" s="13"/>
      <c r="F160" s="13"/>
      <c r="G160" s="13"/>
      <c r="H160" s="14"/>
      <c r="I160" s="14"/>
      <c r="J160" s="14"/>
      <c r="K160" s="14"/>
      <c r="L160" s="446"/>
      <c r="M160" s="87" t="str">
        <f t="shared" si="2"/>
        <v xml:space="preserve">   </v>
      </c>
    </row>
    <row r="161" spans="1:13" x14ac:dyDescent="0.2">
      <c r="A161" s="426"/>
      <c r="B161" s="156" t="str">
        <f>Capacidades!M1658</f>
        <v xml:space="preserve">   </v>
      </c>
      <c r="C161" s="157"/>
      <c r="D161" s="13"/>
      <c r="E161" s="13"/>
      <c r="F161" s="13"/>
      <c r="G161" s="13"/>
      <c r="H161" s="14"/>
      <c r="I161" s="14"/>
      <c r="J161" s="14"/>
      <c r="K161" s="14"/>
      <c r="L161" s="446"/>
      <c r="M161" s="87" t="str">
        <f t="shared" si="2"/>
        <v xml:space="preserve">   </v>
      </c>
    </row>
    <row r="162" spans="1:13" x14ac:dyDescent="0.2">
      <c r="A162" s="426"/>
      <c r="B162" s="156" t="str">
        <f>Capacidades!M1659</f>
        <v xml:space="preserve">   </v>
      </c>
      <c r="C162" s="157"/>
      <c r="D162" s="13"/>
      <c r="E162" s="13"/>
      <c r="F162" s="13"/>
      <c r="G162" s="13"/>
      <c r="H162" s="14"/>
      <c r="I162" s="14"/>
      <c r="J162" s="14"/>
      <c r="K162" s="14"/>
      <c r="L162" s="446"/>
      <c r="M162" s="87" t="str">
        <f t="shared" si="2"/>
        <v xml:space="preserve">   </v>
      </c>
    </row>
    <row r="163" spans="1:13" x14ac:dyDescent="0.2">
      <c r="A163" s="426"/>
      <c r="B163" s="156" t="str">
        <f>Capacidades!M1660</f>
        <v xml:space="preserve">   </v>
      </c>
      <c r="C163" s="157"/>
      <c r="D163" s="13"/>
      <c r="E163" s="13"/>
      <c r="F163" s="13"/>
      <c r="G163" s="13"/>
      <c r="H163" s="14"/>
      <c r="I163" s="14"/>
      <c r="J163" s="14"/>
      <c r="K163" s="14"/>
      <c r="L163" s="446"/>
      <c r="M163" s="87" t="str">
        <f t="shared" si="2"/>
        <v xml:space="preserve">   </v>
      </c>
    </row>
    <row r="164" spans="1:13" x14ac:dyDescent="0.2">
      <c r="A164" s="426"/>
      <c r="B164" s="156" t="str">
        <f>Capacidades!M1661</f>
        <v xml:space="preserve">   </v>
      </c>
      <c r="C164" s="157"/>
      <c r="D164" s="13"/>
      <c r="E164" s="13"/>
      <c r="F164" s="13"/>
      <c r="G164" s="13"/>
      <c r="H164" s="14"/>
      <c r="I164" s="14"/>
      <c r="J164" s="14"/>
      <c r="K164" s="14"/>
      <c r="L164" s="446"/>
      <c r="M164" s="87" t="str">
        <f t="shared" si="2"/>
        <v xml:space="preserve">   </v>
      </c>
    </row>
    <row r="165" spans="1:13" x14ac:dyDescent="0.2">
      <c r="A165" s="426"/>
      <c r="B165" s="156" t="str">
        <f>Capacidades!M1662</f>
        <v xml:space="preserve">   </v>
      </c>
      <c r="C165" s="157"/>
      <c r="D165" s="13"/>
      <c r="E165" s="13"/>
      <c r="F165" s="13"/>
      <c r="G165" s="13"/>
      <c r="H165" s="14"/>
      <c r="I165" s="14"/>
      <c r="J165" s="14"/>
      <c r="K165" s="14"/>
      <c r="L165" s="446"/>
      <c r="M165" s="87" t="str">
        <f t="shared" si="2"/>
        <v xml:space="preserve">   </v>
      </c>
    </row>
    <row r="166" spans="1:13" x14ac:dyDescent="0.2">
      <c r="A166" s="426"/>
      <c r="B166" s="156" t="str">
        <f>Capacidades!M1663</f>
        <v xml:space="preserve">   </v>
      </c>
      <c r="C166" s="157"/>
      <c r="D166" s="13"/>
      <c r="E166" s="13"/>
      <c r="F166" s="13"/>
      <c r="G166" s="13"/>
      <c r="H166" s="14"/>
      <c r="I166" s="14"/>
      <c r="J166" s="14"/>
      <c r="K166" s="14"/>
      <c r="L166" s="446"/>
      <c r="M166" s="87" t="str">
        <f t="shared" si="2"/>
        <v xml:space="preserve">   </v>
      </c>
    </row>
    <row r="167" spans="1:13" x14ac:dyDescent="0.2">
      <c r="A167" s="427"/>
      <c r="B167" s="156" t="str">
        <f>Capacidades!M1664</f>
        <v xml:space="preserve">   </v>
      </c>
      <c r="C167" s="157"/>
      <c r="D167" s="15"/>
      <c r="E167" s="15"/>
      <c r="F167" s="15"/>
      <c r="G167" s="15"/>
      <c r="H167" s="16"/>
      <c r="I167" s="16"/>
      <c r="J167" s="16"/>
      <c r="K167" s="16"/>
      <c r="L167" s="447"/>
      <c r="M167" s="87" t="str">
        <f t="shared" si="2"/>
        <v xml:space="preserve">   </v>
      </c>
    </row>
    <row r="168" spans="1:13" x14ac:dyDescent="0.2">
      <c r="A168" s="425" t="str">
        <f>Capacidades!L1665</f>
        <v xml:space="preserve">       </v>
      </c>
      <c r="B168" s="156" t="str">
        <f>Capacidades!M1665</f>
        <v xml:space="preserve">   </v>
      </c>
      <c r="C168" s="157"/>
      <c r="D168" s="11">
        <f>Organización_Modular!F180</f>
        <v>0</v>
      </c>
      <c r="E168" s="11">
        <f>Organización_Modular!G180</f>
        <v>0</v>
      </c>
      <c r="F168" s="11">
        <f>Organización_Modular!H180</f>
        <v>0</v>
      </c>
      <c r="G168" s="11">
        <f>Organización_Modular!I180</f>
        <v>0</v>
      </c>
      <c r="H168" s="12">
        <f>SUM(F168:G168)</f>
        <v>0</v>
      </c>
      <c r="I168" s="12">
        <f>F168*16</f>
        <v>0</v>
      </c>
      <c r="J168" s="12">
        <f>G168*32</f>
        <v>0</v>
      </c>
      <c r="K168" s="12">
        <f>SUM(I168:J168)</f>
        <v>0</v>
      </c>
      <c r="L168" s="445"/>
      <c r="M168" s="87" t="str">
        <f t="shared" si="2"/>
        <v xml:space="preserve">   </v>
      </c>
    </row>
    <row r="169" spans="1:13" x14ac:dyDescent="0.2">
      <c r="A169" s="426"/>
      <c r="B169" s="156" t="str">
        <f>Capacidades!M1666</f>
        <v xml:space="preserve">   </v>
      </c>
      <c r="C169" s="157"/>
      <c r="D169" s="13"/>
      <c r="E169" s="13"/>
      <c r="F169" s="13"/>
      <c r="G169" s="13"/>
      <c r="H169" s="14"/>
      <c r="I169" s="14"/>
      <c r="J169" s="14"/>
      <c r="K169" s="14"/>
      <c r="L169" s="446"/>
      <c r="M169" s="87" t="str">
        <f t="shared" si="2"/>
        <v xml:space="preserve">   </v>
      </c>
    </row>
    <row r="170" spans="1:13" x14ac:dyDescent="0.2">
      <c r="A170" s="426"/>
      <c r="B170" s="156" t="str">
        <f>Capacidades!M1667</f>
        <v xml:space="preserve">   </v>
      </c>
      <c r="C170" s="157"/>
      <c r="D170" s="13"/>
      <c r="E170" s="13"/>
      <c r="F170" s="13"/>
      <c r="G170" s="13"/>
      <c r="H170" s="14"/>
      <c r="I170" s="14"/>
      <c r="J170" s="14"/>
      <c r="K170" s="14"/>
      <c r="L170" s="446"/>
      <c r="M170" s="87" t="str">
        <f t="shared" si="2"/>
        <v xml:space="preserve">   </v>
      </c>
    </row>
    <row r="171" spans="1:13" x14ac:dyDescent="0.2">
      <c r="A171" s="426"/>
      <c r="B171" s="156" t="str">
        <f>Capacidades!M1668</f>
        <v xml:space="preserve">   </v>
      </c>
      <c r="C171" s="157"/>
      <c r="D171" s="13"/>
      <c r="E171" s="13"/>
      <c r="F171" s="13"/>
      <c r="G171" s="13"/>
      <c r="H171" s="14"/>
      <c r="I171" s="14"/>
      <c r="J171" s="14"/>
      <c r="K171" s="14"/>
      <c r="L171" s="446"/>
      <c r="M171" s="87" t="str">
        <f t="shared" si="2"/>
        <v xml:space="preserve">   </v>
      </c>
    </row>
    <row r="172" spans="1:13" x14ac:dyDescent="0.2">
      <c r="A172" s="426"/>
      <c r="B172" s="156" t="str">
        <f>Capacidades!M1669</f>
        <v xml:space="preserve">   </v>
      </c>
      <c r="C172" s="157"/>
      <c r="D172" s="13"/>
      <c r="E172" s="13"/>
      <c r="F172" s="13"/>
      <c r="G172" s="13"/>
      <c r="H172" s="14"/>
      <c r="I172" s="14"/>
      <c r="J172" s="14"/>
      <c r="K172" s="14"/>
      <c r="L172" s="446"/>
      <c r="M172" s="87" t="str">
        <f t="shared" si="2"/>
        <v xml:space="preserve">   </v>
      </c>
    </row>
    <row r="173" spans="1:13" x14ac:dyDescent="0.2">
      <c r="A173" s="426"/>
      <c r="B173" s="156" t="str">
        <f>Capacidades!M1670</f>
        <v xml:space="preserve">   </v>
      </c>
      <c r="C173" s="157"/>
      <c r="D173" s="13"/>
      <c r="E173" s="13"/>
      <c r="F173" s="13"/>
      <c r="G173" s="13"/>
      <c r="H173" s="14"/>
      <c r="I173" s="14"/>
      <c r="J173" s="14"/>
      <c r="K173" s="14"/>
      <c r="L173" s="446"/>
      <c r="M173" s="87" t="str">
        <f t="shared" si="2"/>
        <v xml:space="preserve">   </v>
      </c>
    </row>
    <row r="174" spans="1:13" x14ac:dyDescent="0.2">
      <c r="A174" s="426"/>
      <c r="B174" s="156" t="str">
        <f>Capacidades!M1671</f>
        <v xml:space="preserve">   </v>
      </c>
      <c r="C174" s="157"/>
      <c r="D174" s="13"/>
      <c r="E174" s="13"/>
      <c r="F174" s="13"/>
      <c r="G174" s="13"/>
      <c r="H174" s="14"/>
      <c r="I174" s="14"/>
      <c r="J174" s="14"/>
      <c r="K174" s="14"/>
      <c r="L174" s="446"/>
      <c r="M174" s="87" t="str">
        <f t="shared" si="2"/>
        <v xml:space="preserve">   </v>
      </c>
    </row>
    <row r="175" spans="1:13" x14ac:dyDescent="0.2">
      <c r="A175" s="426"/>
      <c r="B175" s="156" t="str">
        <f>Capacidades!M1672</f>
        <v xml:space="preserve">   </v>
      </c>
      <c r="C175" s="157"/>
      <c r="D175" s="13"/>
      <c r="E175" s="13"/>
      <c r="F175" s="13"/>
      <c r="G175" s="13"/>
      <c r="H175" s="14"/>
      <c r="I175" s="14"/>
      <c r="J175" s="14"/>
      <c r="K175" s="14"/>
      <c r="L175" s="446"/>
      <c r="M175" s="87" t="str">
        <f t="shared" si="2"/>
        <v xml:space="preserve">   </v>
      </c>
    </row>
    <row r="176" spans="1:13" x14ac:dyDescent="0.2">
      <c r="A176" s="426"/>
      <c r="B176" s="156" t="str">
        <f>Capacidades!M1673</f>
        <v xml:space="preserve">   </v>
      </c>
      <c r="C176" s="157"/>
      <c r="D176" s="13"/>
      <c r="E176" s="13"/>
      <c r="F176" s="13"/>
      <c r="G176" s="13"/>
      <c r="H176" s="14"/>
      <c r="I176" s="14"/>
      <c r="J176" s="14"/>
      <c r="K176" s="14"/>
      <c r="L176" s="446"/>
      <c r="M176" s="87" t="str">
        <f t="shared" si="2"/>
        <v xml:space="preserve">   </v>
      </c>
    </row>
    <row r="177" spans="1:13" x14ac:dyDescent="0.2">
      <c r="A177" s="427"/>
      <c r="B177" s="156" t="str">
        <f>Capacidades!M1674</f>
        <v xml:space="preserve">   </v>
      </c>
      <c r="C177" s="157"/>
      <c r="D177" s="15"/>
      <c r="E177" s="15"/>
      <c r="F177" s="15"/>
      <c r="G177" s="15"/>
      <c r="H177" s="16"/>
      <c r="I177" s="16"/>
      <c r="J177" s="16"/>
      <c r="K177" s="16"/>
      <c r="L177" s="447"/>
      <c r="M177" s="87" t="str">
        <f t="shared" si="2"/>
        <v xml:space="preserve">   </v>
      </c>
    </row>
    <row r="178" spans="1:13" x14ac:dyDescent="0.2">
      <c r="A178" s="425" t="str">
        <f>Capacidades!L1675</f>
        <v xml:space="preserve">       </v>
      </c>
      <c r="B178" s="156" t="str">
        <f>Capacidades!M1675</f>
        <v xml:space="preserve">   </v>
      </c>
      <c r="C178" s="157"/>
      <c r="D178" s="11">
        <f>Organización_Modular!F181</f>
        <v>0</v>
      </c>
      <c r="E178" s="11">
        <f>Organización_Modular!G181</f>
        <v>0</v>
      </c>
      <c r="F178" s="11">
        <f>Organización_Modular!H181</f>
        <v>0</v>
      </c>
      <c r="G178" s="11">
        <f>Organización_Modular!I181</f>
        <v>0</v>
      </c>
      <c r="H178" s="12">
        <f>SUM(F178:G178)</f>
        <v>0</v>
      </c>
      <c r="I178" s="12">
        <f>F178*16</f>
        <v>0</v>
      </c>
      <c r="J178" s="12">
        <f>G178*32</f>
        <v>0</v>
      </c>
      <c r="K178" s="12">
        <f>SUM(I178:J178)</f>
        <v>0</v>
      </c>
      <c r="L178" s="445"/>
      <c r="M178" s="87" t="str">
        <f t="shared" si="2"/>
        <v xml:space="preserve">   </v>
      </c>
    </row>
    <row r="179" spans="1:13" x14ac:dyDescent="0.2">
      <c r="A179" s="426"/>
      <c r="B179" s="156" t="str">
        <f>Capacidades!M1676</f>
        <v xml:space="preserve">   </v>
      </c>
      <c r="C179" s="157"/>
      <c r="D179" s="13"/>
      <c r="E179" s="13"/>
      <c r="F179" s="13"/>
      <c r="G179" s="13"/>
      <c r="H179" s="14"/>
      <c r="I179" s="14"/>
      <c r="J179" s="14"/>
      <c r="K179" s="14"/>
      <c r="L179" s="446"/>
      <c r="M179" s="87" t="str">
        <f t="shared" si="2"/>
        <v xml:space="preserve">   </v>
      </c>
    </row>
    <row r="180" spans="1:13" x14ac:dyDescent="0.2">
      <c r="A180" s="426"/>
      <c r="B180" s="156" t="str">
        <f>Capacidades!M1677</f>
        <v xml:space="preserve">   </v>
      </c>
      <c r="C180" s="157"/>
      <c r="D180" s="13"/>
      <c r="E180" s="13"/>
      <c r="F180" s="13"/>
      <c r="G180" s="13"/>
      <c r="H180" s="14"/>
      <c r="I180" s="14"/>
      <c r="J180" s="14"/>
      <c r="K180" s="14"/>
      <c r="L180" s="446"/>
      <c r="M180" s="87" t="str">
        <f t="shared" si="2"/>
        <v xml:space="preserve">   </v>
      </c>
    </row>
    <row r="181" spans="1:13" x14ac:dyDescent="0.2">
      <c r="A181" s="426"/>
      <c r="B181" s="156" t="str">
        <f>Capacidades!M1678</f>
        <v xml:space="preserve">   </v>
      </c>
      <c r="C181" s="157"/>
      <c r="D181" s="13"/>
      <c r="E181" s="13"/>
      <c r="F181" s="13"/>
      <c r="G181" s="13"/>
      <c r="H181" s="14"/>
      <c r="I181" s="14"/>
      <c r="J181" s="14"/>
      <c r="K181" s="14"/>
      <c r="L181" s="446"/>
      <c r="M181" s="87" t="str">
        <f t="shared" si="2"/>
        <v xml:space="preserve">   </v>
      </c>
    </row>
    <row r="182" spans="1:13" x14ac:dyDescent="0.2">
      <c r="A182" s="426"/>
      <c r="B182" s="156" t="str">
        <f>Capacidades!M1679</f>
        <v xml:space="preserve">   </v>
      </c>
      <c r="C182" s="157"/>
      <c r="D182" s="13"/>
      <c r="E182" s="13"/>
      <c r="F182" s="13"/>
      <c r="G182" s="13"/>
      <c r="H182" s="14"/>
      <c r="I182" s="14"/>
      <c r="J182" s="14"/>
      <c r="K182" s="14"/>
      <c r="L182" s="446"/>
      <c r="M182" s="87" t="str">
        <f t="shared" si="2"/>
        <v xml:space="preserve">   </v>
      </c>
    </row>
    <row r="183" spans="1:13" x14ac:dyDescent="0.2">
      <c r="A183" s="426"/>
      <c r="B183" s="156" t="str">
        <f>Capacidades!M1680</f>
        <v xml:space="preserve">   </v>
      </c>
      <c r="C183" s="157"/>
      <c r="D183" s="13"/>
      <c r="E183" s="13"/>
      <c r="F183" s="13"/>
      <c r="G183" s="13"/>
      <c r="H183" s="14"/>
      <c r="I183" s="14"/>
      <c r="J183" s="14"/>
      <c r="K183" s="14"/>
      <c r="L183" s="446"/>
      <c r="M183" s="87" t="str">
        <f t="shared" si="2"/>
        <v xml:space="preserve">   </v>
      </c>
    </row>
    <row r="184" spans="1:13" x14ac:dyDescent="0.2">
      <c r="A184" s="426"/>
      <c r="B184" s="156" t="str">
        <f>Capacidades!M1681</f>
        <v xml:space="preserve">   </v>
      </c>
      <c r="C184" s="157"/>
      <c r="D184" s="13"/>
      <c r="E184" s="13"/>
      <c r="F184" s="13"/>
      <c r="G184" s="13"/>
      <c r="H184" s="14"/>
      <c r="I184" s="14"/>
      <c r="J184" s="14"/>
      <c r="K184" s="14"/>
      <c r="L184" s="446"/>
      <c r="M184" s="87" t="str">
        <f t="shared" si="2"/>
        <v xml:space="preserve">   </v>
      </c>
    </row>
    <row r="185" spans="1:13" x14ac:dyDescent="0.2">
      <c r="A185" s="426"/>
      <c r="B185" s="156" t="str">
        <f>Capacidades!M1682</f>
        <v xml:space="preserve">   </v>
      </c>
      <c r="C185" s="157"/>
      <c r="D185" s="13"/>
      <c r="E185" s="13"/>
      <c r="F185" s="13"/>
      <c r="G185" s="13"/>
      <c r="H185" s="14"/>
      <c r="I185" s="14"/>
      <c r="J185" s="14"/>
      <c r="K185" s="14"/>
      <c r="L185" s="446"/>
      <c r="M185" s="87" t="str">
        <f t="shared" si="2"/>
        <v xml:space="preserve">   </v>
      </c>
    </row>
    <row r="186" spans="1:13" x14ac:dyDescent="0.2">
      <c r="A186" s="426"/>
      <c r="B186" s="156" t="str">
        <f>Capacidades!M1683</f>
        <v xml:space="preserve">   </v>
      </c>
      <c r="C186" s="157"/>
      <c r="D186" s="13"/>
      <c r="E186" s="13"/>
      <c r="F186" s="13"/>
      <c r="G186" s="13"/>
      <c r="H186" s="14"/>
      <c r="I186" s="14"/>
      <c r="J186" s="14"/>
      <c r="K186" s="14"/>
      <c r="L186" s="446"/>
      <c r="M186" s="87" t="str">
        <f t="shared" si="2"/>
        <v xml:space="preserve">   </v>
      </c>
    </row>
    <row r="187" spans="1:13" x14ac:dyDescent="0.2">
      <c r="A187" s="427"/>
      <c r="B187" s="156" t="str">
        <f>Capacidades!M1684</f>
        <v xml:space="preserve">   </v>
      </c>
      <c r="C187" s="157"/>
      <c r="D187" s="15"/>
      <c r="E187" s="15"/>
      <c r="F187" s="15"/>
      <c r="G187" s="15"/>
      <c r="H187" s="16"/>
      <c r="I187" s="16"/>
      <c r="J187" s="16"/>
      <c r="K187" s="16"/>
      <c r="L187" s="447"/>
      <c r="M187" s="87" t="str">
        <f t="shared" si="2"/>
        <v xml:space="preserve">   </v>
      </c>
    </row>
    <row r="188" spans="1:13" x14ac:dyDescent="0.2">
      <c r="A188" s="425" t="str">
        <f>Capacidades!L1685</f>
        <v xml:space="preserve">       </v>
      </c>
      <c r="B188" s="156" t="str">
        <f>Capacidades!M1685</f>
        <v xml:space="preserve">   </v>
      </c>
      <c r="C188" s="157"/>
      <c r="D188" s="11">
        <f>Organización_Modular!F182</f>
        <v>0</v>
      </c>
      <c r="E188" s="11">
        <f>Organización_Modular!G182</f>
        <v>0</v>
      </c>
      <c r="F188" s="11">
        <f>Organización_Modular!H182</f>
        <v>0</v>
      </c>
      <c r="G188" s="11">
        <f>Organización_Modular!I182</f>
        <v>0</v>
      </c>
      <c r="H188" s="12">
        <f>SUM(F188:G188)</f>
        <v>0</v>
      </c>
      <c r="I188" s="12">
        <f>F188*16</f>
        <v>0</v>
      </c>
      <c r="J188" s="12">
        <f>G188*32</f>
        <v>0</v>
      </c>
      <c r="K188" s="12">
        <f>SUM(I188:J188)</f>
        <v>0</v>
      </c>
      <c r="L188" s="445"/>
      <c r="M188" s="87" t="str">
        <f t="shared" si="2"/>
        <v xml:space="preserve">   </v>
      </c>
    </row>
    <row r="189" spans="1:13" x14ac:dyDescent="0.2">
      <c r="A189" s="426"/>
      <c r="B189" s="156" t="str">
        <f>Capacidades!M1686</f>
        <v xml:space="preserve">   </v>
      </c>
      <c r="C189" s="157"/>
      <c r="D189" s="13"/>
      <c r="E189" s="13"/>
      <c r="F189" s="13"/>
      <c r="G189" s="13"/>
      <c r="H189" s="14"/>
      <c r="I189" s="14"/>
      <c r="J189" s="14"/>
      <c r="K189" s="14"/>
      <c r="L189" s="446"/>
      <c r="M189" s="87" t="str">
        <f t="shared" si="2"/>
        <v xml:space="preserve">   </v>
      </c>
    </row>
    <row r="190" spans="1:13" x14ac:dyDescent="0.2">
      <c r="A190" s="426"/>
      <c r="B190" s="156" t="str">
        <f>Capacidades!M1687</f>
        <v xml:space="preserve">   </v>
      </c>
      <c r="C190" s="157"/>
      <c r="D190" s="13"/>
      <c r="E190" s="13"/>
      <c r="F190" s="13"/>
      <c r="G190" s="13"/>
      <c r="H190" s="14"/>
      <c r="I190" s="14"/>
      <c r="J190" s="14"/>
      <c r="K190" s="14"/>
      <c r="L190" s="446"/>
      <c r="M190" s="87" t="str">
        <f t="shared" si="2"/>
        <v xml:space="preserve">   </v>
      </c>
    </row>
    <row r="191" spans="1:13" x14ac:dyDescent="0.2">
      <c r="A191" s="426"/>
      <c r="B191" s="156" t="str">
        <f>Capacidades!M1688</f>
        <v xml:space="preserve">   </v>
      </c>
      <c r="C191" s="157"/>
      <c r="D191" s="13"/>
      <c r="E191" s="13"/>
      <c r="F191" s="13"/>
      <c r="G191" s="13"/>
      <c r="H191" s="14"/>
      <c r="I191" s="14"/>
      <c r="J191" s="14"/>
      <c r="K191" s="14"/>
      <c r="L191" s="446"/>
      <c r="M191" s="87" t="str">
        <f t="shared" si="2"/>
        <v xml:space="preserve">   </v>
      </c>
    </row>
    <row r="192" spans="1:13" x14ac:dyDescent="0.2">
      <c r="A192" s="426"/>
      <c r="B192" s="156" t="str">
        <f>Capacidades!M1689</f>
        <v xml:space="preserve">   </v>
      </c>
      <c r="C192" s="157"/>
      <c r="D192" s="13"/>
      <c r="E192" s="13"/>
      <c r="F192" s="13"/>
      <c r="G192" s="13"/>
      <c r="H192" s="14"/>
      <c r="I192" s="14"/>
      <c r="J192" s="14"/>
      <c r="K192" s="14"/>
      <c r="L192" s="446"/>
      <c r="M192" s="87" t="str">
        <f t="shared" si="2"/>
        <v xml:space="preserve">   </v>
      </c>
    </row>
    <row r="193" spans="1:13" x14ac:dyDescent="0.2">
      <c r="A193" s="426"/>
      <c r="B193" s="156" t="str">
        <f>Capacidades!M1690</f>
        <v xml:space="preserve">   </v>
      </c>
      <c r="C193" s="157"/>
      <c r="D193" s="13"/>
      <c r="E193" s="13"/>
      <c r="F193" s="13"/>
      <c r="G193" s="13"/>
      <c r="H193" s="14"/>
      <c r="I193" s="14"/>
      <c r="J193" s="14"/>
      <c r="K193" s="14"/>
      <c r="L193" s="446"/>
      <c r="M193" s="87" t="str">
        <f t="shared" si="2"/>
        <v xml:space="preserve">   </v>
      </c>
    </row>
    <row r="194" spans="1:13" x14ac:dyDescent="0.2">
      <c r="A194" s="426"/>
      <c r="B194" s="156" t="str">
        <f>Capacidades!M1691</f>
        <v xml:space="preserve">   </v>
      </c>
      <c r="C194" s="157"/>
      <c r="D194" s="13"/>
      <c r="E194" s="13"/>
      <c r="F194" s="13"/>
      <c r="G194" s="13"/>
      <c r="H194" s="14"/>
      <c r="I194" s="14"/>
      <c r="J194" s="14"/>
      <c r="K194" s="14"/>
      <c r="L194" s="446"/>
      <c r="M194" s="87" t="str">
        <f t="shared" si="2"/>
        <v xml:space="preserve">   </v>
      </c>
    </row>
    <row r="195" spans="1:13" x14ac:dyDescent="0.2">
      <c r="A195" s="426"/>
      <c r="B195" s="156" t="str">
        <f>Capacidades!M1692</f>
        <v xml:space="preserve">   </v>
      </c>
      <c r="C195" s="157"/>
      <c r="D195" s="13"/>
      <c r="E195" s="13"/>
      <c r="F195" s="13"/>
      <c r="G195" s="13"/>
      <c r="H195" s="14"/>
      <c r="I195" s="14"/>
      <c r="J195" s="14"/>
      <c r="K195" s="14"/>
      <c r="L195" s="446"/>
      <c r="M195" s="87" t="str">
        <f t="shared" si="2"/>
        <v xml:space="preserve">   </v>
      </c>
    </row>
    <row r="196" spans="1:13" x14ac:dyDescent="0.2">
      <c r="A196" s="426"/>
      <c r="B196" s="156" t="str">
        <f>Capacidades!M1693</f>
        <v xml:space="preserve">   </v>
      </c>
      <c r="C196" s="157"/>
      <c r="D196" s="13"/>
      <c r="E196" s="13"/>
      <c r="F196" s="13"/>
      <c r="G196" s="13"/>
      <c r="H196" s="14"/>
      <c r="I196" s="14"/>
      <c r="J196" s="14"/>
      <c r="K196" s="14"/>
      <c r="L196" s="446"/>
      <c r="M196" s="87" t="str">
        <f t="shared" si="2"/>
        <v xml:space="preserve">   </v>
      </c>
    </row>
    <row r="197" spans="1:13" x14ac:dyDescent="0.2">
      <c r="A197" s="427"/>
      <c r="B197" s="156" t="str">
        <f>Capacidades!M1694</f>
        <v xml:space="preserve">   </v>
      </c>
      <c r="C197" s="157"/>
      <c r="D197" s="15"/>
      <c r="E197" s="15"/>
      <c r="F197" s="15"/>
      <c r="G197" s="15"/>
      <c r="H197" s="16"/>
      <c r="I197" s="16"/>
      <c r="J197" s="16"/>
      <c r="K197" s="16"/>
      <c r="L197" s="447"/>
      <c r="M197" s="87" t="str">
        <f t="shared" si="2"/>
        <v xml:space="preserve">   </v>
      </c>
    </row>
    <row r="198" spans="1:13" x14ac:dyDescent="0.2">
      <c r="A198" s="425" t="str">
        <f>Capacidades!L1695</f>
        <v xml:space="preserve">       </v>
      </c>
      <c r="B198" s="156" t="str">
        <f>Capacidades!M1695</f>
        <v xml:space="preserve">   </v>
      </c>
      <c r="C198" s="157"/>
      <c r="D198" s="11">
        <f>Organización_Modular!F183</f>
        <v>0</v>
      </c>
      <c r="E198" s="11">
        <f>Organización_Modular!G183</f>
        <v>0</v>
      </c>
      <c r="F198" s="11">
        <f>Organización_Modular!H183</f>
        <v>0</v>
      </c>
      <c r="G198" s="11">
        <f>Organización_Modular!I183</f>
        <v>0</v>
      </c>
      <c r="H198" s="12">
        <f>SUM(F198:G198)</f>
        <v>0</v>
      </c>
      <c r="I198" s="12">
        <f>F198*16</f>
        <v>0</v>
      </c>
      <c r="J198" s="12">
        <f>G198*32</f>
        <v>0</v>
      </c>
      <c r="K198" s="12">
        <f>SUM(I198:J198)</f>
        <v>0</v>
      </c>
      <c r="L198" s="445"/>
      <c r="M198" s="87" t="str">
        <f t="shared" si="2"/>
        <v xml:space="preserve">   </v>
      </c>
    </row>
    <row r="199" spans="1:13" x14ac:dyDescent="0.2">
      <c r="A199" s="426"/>
      <c r="B199" s="156" t="str">
        <f>Capacidades!M1696</f>
        <v xml:space="preserve">   </v>
      </c>
      <c r="C199" s="157"/>
      <c r="D199" s="13"/>
      <c r="E199" s="13"/>
      <c r="F199" s="13"/>
      <c r="G199" s="13"/>
      <c r="H199" s="14"/>
      <c r="I199" s="14"/>
      <c r="J199" s="14"/>
      <c r="K199" s="14"/>
      <c r="L199" s="446"/>
      <c r="M199" s="87" t="str">
        <f t="shared" si="2"/>
        <v xml:space="preserve">   </v>
      </c>
    </row>
    <row r="200" spans="1:13" x14ac:dyDescent="0.2">
      <c r="A200" s="426"/>
      <c r="B200" s="156" t="str">
        <f>Capacidades!M1697</f>
        <v xml:space="preserve">   </v>
      </c>
      <c r="C200" s="157"/>
      <c r="D200" s="13"/>
      <c r="E200" s="13"/>
      <c r="F200" s="13"/>
      <c r="G200" s="13"/>
      <c r="H200" s="14"/>
      <c r="I200" s="14"/>
      <c r="J200" s="14"/>
      <c r="K200" s="14"/>
      <c r="L200" s="446"/>
      <c r="M200" s="87" t="str">
        <f t="shared" si="2"/>
        <v xml:space="preserve">   </v>
      </c>
    </row>
    <row r="201" spans="1:13" x14ac:dyDescent="0.2">
      <c r="A201" s="426"/>
      <c r="B201" s="156" t="str">
        <f>Capacidades!M1698</f>
        <v xml:space="preserve">   </v>
      </c>
      <c r="C201" s="157"/>
      <c r="D201" s="13"/>
      <c r="E201" s="13"/>
      <c r="F201" s="13"/>
      <c r="G201" s="13"/>
      <c r="H201" s="14"/>
      <c r="I201" s="14"/>
      <c r="J201" s="14"/>
      <c r="K201" s="14"/>
      <c r="L201" s="446"/>
      <c r="M201" s="87" t="str">
        <f t="shared" si="2"/>
        <v xml:space="preserve">   </v>
      </c>
    </row>
    <row r="202" spans="1:13" x14ac:dyDescent="0.2">
      <c r="A202" s="426"/>
      <c r="B202" s="156" t="str">
        <f>Capacidades!M1699</f>
        <v xml:space="preserve">   </v>
      </c>
      <c r="C202" s="157"/>
      <c r="D202" s="13"/>
      <c r="E202" s="13"/>
      <c r="F202" s="13"/>
      <c r="G202" s="13"/>
      <c r="H202" s="14"/>
      <c r="I202" s="14"/>
      <c r="J202" s="14"/>
      <c r="K202" s="14"/>
      <c r="L202" s="446"/>
      <c r="M202" s="87" t="str">
        <f t="shared" si="2"/>
        <v xml:space="preserve">   </v>
      </c>
    </row>
    <row r="203" spans="1:13" x14ac:dyDescent="0.2">
      <c r="A203" s="426"/>
      <c r="B203" s="156" t="str">
        <f>Capacidades!M1700</f>
        <v xml:space="preserve">   </v>
      </c>
      <c r="C203" s="157"/>
      <c r="D203" s="13"/>
      <c r="E203" s="13"/>
      <c r="F203" s="13"/>
      <c r="G203" s="13"/>
      <c r="H203" s="14"/>
      <c r="I203" s="14"/>
      <c r="J203" s="14"/>
      <c r="K203" s="14"/>
      <c r="L203" s="446"/>
      <c r="M203" s="87" t="str">
        <f t="shared" si="2"/>
        <v xml:space="preserve">   </v>
      </c>
    </row>
    <row r="204" spans="1:13" x14ac:dyDescent="0.2">
      <c r="A204" s="426"/>
      <c r="B204" s="156" t="str">
        <f>Capacidades!M1701</f>
        <v xml:space="preserve">   </v>
      </c>
      <c r="C204" s="157"/>
      <c r="D204" s="13"/>
      <c r="E204" s="13"/>
      <c r="F204" s="13"/>
      <c r="G204" s="13"/>
      <c r="H204" s="14"/>
      <c r="I204" s="14"/>
      <c r="J204" s="14"/>
      <c r="K204" s="14"/>
      <c r="L204" s="446"/>
      <c r="M204" s="87" t="str">
        <f t="shared" si="2"/>
        <v xml:space="preserve">   </v>
      </c>
    </row>
    <row r="205" spans="1:13" x14ac:dyDescent="0.2">
      <c r="A205" s="426"/>
      <c r="B205" s="156" t="str">
        <f>Capacidades!M1702</f>
        <v xml:space="preserve">   </v>
      </c>
      <c r="C205" s="157"/>
      <c r="D205" s="13"/>
      <c r="E205" s="13"/>
      <c r="F205" s="13"/>
      <c r="G205" s="13"/>
      <c r="H205" s="14"/>
      <c r="I205" s="14"/>
      <c r="J205" s="14"/>
      <c r="K205" s="14"/>
      <c r="L205" s="446"/>
      <c r="M205" s="87" t="str">
        <f t="shared" si="2"/>
        <v xml:space="preserve">   </v>
      </c>
    </row>
    <row r="206" spans="1:13" x14ac:dyDescent="0.2">
      <c r="A206" s="426"/>
      <c r="B206" s="156" t="str">
        <f>Capacidades!M1703</f>
        <v xml:space="preserve">   </v>
      </c>
      <c r="C206" s="157"/>
      <c r="D206" s="13"/>
      <c r="E206" s="13"/>
      <c r="F206" s="13"/>
      <c r="G206" s="13"/>
      <c r="H206" s="14"/>
      <c r="I206" s="14"/>
      <c r="J206" s="14"/>
      <c r="K206" s="14"/>
      <c r="L206" s="446"/>
      <c r="M206" s="87" t="str">
        <f t="shared" si="2"/>
        <v xml:space="preserve">   </v>
      </c>
    </row>
    <row r="207" spans="1:13" x14ac:dyDescent="0.2">
      <c r="A207" s="427"/>
      <c r="B207" s="156" t="str">
        <f>Capacidades!M1704</f>
        <v xml:space="preserve">   </v>
      </c>
      <c r="C207" s="157"/>
      <c r="D207" s="15"/>
      <c r="E207" s="15"/>
      <c r="F207" s="15"/>
      <c r="G207" s="15"/>
      <c r="H207" s="16"/>
      <c r="I207" s="16"/>
      <c r="J207" s="16"/>
      <c r="K207" s="16"/>
      <c r="L207" s="447"/>
      <c r="M207" s="87" t="str">
        <f t="shared" si="2"/>
        <v xml:space="preserve">   </v>
      </c>
    </row>
    <row r="208" spans="1:13" x14ac:dyDescent="0.2">
      <c r="A208" s="425" t="str">
        <f>Capacidades!L1705</f>
        <v xml:space="preserve">       </v>
      </c>
      <c r="B208" s="156" t="str">
        <f>Capacidades!M1705</f>
        <v xml:space="preserve">   </v>
      </c>
      <c r="C208" s="157"/>
      <c r="D208" s="11">
        <f>Organización_Modular!F184</f>
        <v>0</v>
      </c>
      <c r="E208" s="11">
        <f>Organización_Modular!G184</f>
        <v>0</v>
      </c>
      <c r="F208" s="11">
        <f>Organización_Modular!H184</f>
        <v>0</v>
      </c>
      <c r="G208" s="11">
        <f>Organización_Modular!I184</f>
        <v>0</v>
      </c>
      <c r="H208" s="12">
        <f>SUM(F208:G208)</f>
        <v>0</v>
      </c>
      <c r="I208" s="12">
        <f>F208*16</f>
        <v>0</v>
      </c>
      <c r="J208" s="12">
        <f>G208*32</f>
        <v>0</v>
      </c>
      <c r="K208" s="12">
        <f>SUM(I208:J208)</f>
        <v>0</v>
      </c>
      <c r="L208" s="445"/>
      <c r="M208" s="87" t="str">
        <f t="shared" si="2"/>
        <v xml:space="preserve">   </v>
      </c>
    </row>
    <row r="209" spans="1:13" x14ac:dyDescent="0.2">
      <c r="A209" s="426"/>
      <c r="B209" s="156" t="str">
        <f>Capacidades!M1706</f>
        <v xml:space="preserve">   </v>
      </c>
      <c r="C209" s="157"/>
      <c r="D209" s="13"/>
      <c r="E209" s="13"/>
      <c r="F209" s="14"/>
      <c r="G209" s="14"/>
      <c r="H209" s="14"/>
      <c r="I209" s="14"/>
      <c r="J209" s="14"/>
      <c r="K209" s="14"/>
      <c r="L209" s="446"/>
      <c r="M209" s="87" t="str">
        <f t="shared" si="2"/>
        <v xml:space="preserve">   </v>
      </c>
    </row>
    <row r="210" spans="1:13" x14ac:dyDescent="0.2">
      <c r="A210" s="426"/>
      <c r="B210" s="156" t="str">
        <f>Capacidades!M1707</f>
        <v xml:space="preserve">   </v>
      </c>
      <c r="C210" s="157"/>
      <c r="D210" s="13"/>
      <c r="E210" s="13"/>
      <c r="F210" s="14"/>
      <c r="G210" s="14"/>
      <c r="H210" s="14"/>
      <c r="I210" s="14"/>
      <c r="J210" s="14"/>
      <c r="K210" s="14"/>
      <c r="L210" s="446"/>
      <c r="M210" s="87" t="str">
        <f t="shared" si="2"/>
        <v xml:space="preserve">   </v>
      </c>
    </row>
    <row r="211" spans="1:13" x14ac:dyDescent="0.2">
      <c r="A211" s="426"/>
      <c r="B211" s="156" t="str">
        <f>Capacidades!M1708</f>
        <v xml:space="preserve">   </v>
      </c>
      <c r="C211" s="157"/>
      <c r="D211" s="13"/>
      <c r="E211" s="13"/>
      <c r="F211" s="13"/>
      <c r="G211" s="13"/>
      <c r="H211" s="14"/>
      <c r="I211" s="14"/>
      <c r="J211" s="14"/>
      <c r="K211" s="14"/>
      <c r="L211" s="446"/>
      <c r="M211" s="87" t="str">
        <f t="shared" ref="M211:M217" si="3">B211</f>
        <v xml:space="preserve">   </v>
      </c>
    </row>
    <row r="212" spans="1:13" x14ac:dyDescent="0.2">
      <c r="A212" s="426"/>
      <c r="B212" s="156" t="str">
        <f>Capacidades!M1709</f>
        <v xml:space="preserve">   </v>
      </c>
      <c r="C212" s="157"/>
      <c r="D212" s="13"/>
      <c r="E212" s="13"/>
      <c r="F212" s="13"/>
      <c r="G212" s="13"/>
      <c r="H212" s="14"/>
      <c r="I212" s="14"/>
      <c r="J212" s="14"/>
      <c r="K212" s="14"/>
      <c r="L212" s="446"/>
      <c r="M212" s="87" t="str">
        <f t="shared" si="3"/>
        <v xml:space="preserve">   </v>
      </c>
    </row>
    <row r="213" spans="1:13" x14ac:dyDescent="0.2">
      <c r="A213" s="426"/>
      <c r="B213" s="156" t="str">
        <f>Capacidades!M1710</f>
        <v xml:space="preserve">   </v>
      </c>
      <c r="C213" s="157"/>
      <c r="D213" s="13"/>
      <c r="E213" s="13"/>
      <c r="F213" s="13"/>
      <c r="G213" s="13"/>
      <c r="H213" s="14"/>
      <c r="I213" s="14"/>
      <c r="J213" s="14"/>
      <c r="K213" s="14"/>
      <c r="L213" s="446"/>
      <c r="M213" s="87" t="str">
        <f t="shared" si="3"/>
        <v xml:space="preserve">   </v>
      </c>
    </row>
    <row r="214" spans="1:13" x14ac:dyDescent="0.2">
      <c r="A214" s="426"/>
      <c r="B214" s="156" t="str">
        <f>Capacidades!M1711</f>
        <v xml:space="preserve">   </v>
      </c>
      <c r="C214" s="157"/>
      <c r="D214" s="13"/>
      <c r="E214" s="13"/>
      <c r="F214" s="13"/>
      <c r="G214" s="13"/>
      <c r="H214" s="14"/>
      <c r="I214" s="14"/>
      <c r="J214" s="14"/>
      <c r="K214" s="14"/>
      <c r="L214" s="446"/>
      <c r="M214" s="87" t="str">
        <f t="shared" si="3"/>
        <v xml:space="preserve">   </v>
      </c>
    </row>
    <row r="215" spans="1:13" x14ac:dyDescent="0.2">
      <c r="A215" s="426"/>
      <c r="B215" s="156" t="str">
        <f>Capacidades!M1712</f>
        <v xml:space="preserve">   </v>
      </c>
      <c r="C215" s="157"/>
      <c r="D215" s="13"/>
      <c r="E215" s="13"/>
      <c r="F215" s="14"/>
      <c r="G215" s="14"/>
      <c r="H215" s="14"/>
      <c r="I215" s="14"/>
      <c r="J215" s="14"/>
      <c r="K215" s="14"/>
      <c r="L215" s="446"/>
      <c r="M215" s="87" t="str">
        <f t="shared" si="3"/>
        <v xml:space="preserve">   </v>
      </c>
    </row>
    <row r="216" spans="1:13" x14ac:dyDescent="0.2">
      <c r="A216" s="426"/>
      <c r="B216" s="156" t="str">
        <f>Capacidades!M1713</f>
        <v xml:space="preserve">   </v>
      </c>
      <c r="C216" s="157"/>
      <c r="D216" s="13"/>
      <c r="E216" s="13"/>
      <c r="F216" s="14"/>
      <c r="G216" s="14"/>
      <c r="H216" s="14"/>
      <c r="I216" s="14"/>
      <c r="J216" s="14"/>
      <c r="K216" s="14"/>
      <c r="L216" s="446"/>
      <c r="M216" s="87" t="str">
        <f t="shared" si="3"/>
        <v xml:space="preserve">   </v>
      </c>
    </row>
    <row r="217" spans="1:13" x14ac:dyDescent="0.2">
      <c r="A217" s="427"/>
      <c r="B217" s="156" t="str">
        <f>Capacidades!M1714</f>
        <v xml:space="preserve">   </v>
      </c>
      <c r="C217" s="157"/>
      <c r="D217" s="15"/>
      <c r="E217" s="15"/>
      <c r="F217" s="16"/>
      <c r="G217" s="16"/>
      <c r="H217" s="16"/>
      <c r="I217" s="16"/>
      <c r="J217" s="16"/>
      <c r="K217" s="16"/>
      <c r="L217" s="447"/>
      <c r="M217" s="87" t="str">
        <f t="shared" si="3"/>
        <v xml:space="preserve">   </v>
      </c>
    </row>
    <row r="218" spans="1:13" ht="23.25" customHeight="1" x14ac:dyDescent="0.2">
      <c r="A218" s="466" t="s">
        <v>86</v>
      </c>
      <c r="B218" s="466"/>
      <c r="C218" s="466"/>
      <c r="D218" s="466"/>
      <c r="E218" s="466"/>
      <c r="F218" s="466"/>
      <c r="G218" s="466"/>
      <c r="H218" s="466"/>
      <c r="I218" s="466"/>
      <c r="J218" s="466"/>
      <c r="K218" s="466"/>
      <c r="L218" s="466"/>
      <c r="M218" s="87" t="str">
        <f>A218</f>
        <v>COMPETENCIAS PARA LA EMPLEABILIDAD INCORPORADAS MEDIANTE UNIDAD DIDÁCTICA</v>
      </c>
    </row>
    <row r="219" spans="1:13" ht="79.5" customHeight="1" x14ac:dyDescent="0.2">
      <c r="A219" s="503">
        <f>Organización_Modular!C185</f>
        <v>0</v>
      </c>
      <c r="B219" s="503"/>
      <c r="C219" s="503"/>
      <c r="D219" s="503"/>
      <c r="E219" s="503"/>
      <c r="F219" s="503"/>
      <c r="G219" s="503"/>
      <c r="H219" s="503"/>
      <c r="I219" s="503"/>
      <c r="J219" s="503"/>
      <c r="K219" s="503"/>
      <c r="L219" s="503"/>
      <c r="M219" s="87">
        <f>A219</f>
        <v>0</v>
      </c>
    </row>
    <row r="220" spans="1:13" ht="12.75" customHeight="1" x14ac:dyDescent="0.2">
      <c r="A220" s="471" t="s">
        <v>80</v>
      </c>
      <c r="B220" s="474" t="s">
        <v>79</v>
      </c>
      <c r="C220" s="471" t="s">
        <v>78</v>
      </c>
      <c r="D220" s="471" t="s">
        <v>0</v>
      </c>
      <c r="E220" s="459" t="s">
        <v>50</v>
      </c>
      <c r="F220" s="471" t="s">
        <v>71</v>
      </c>
      <c r="G220" s="471"/>
      <c r="H220" s="471" t="s">
        <v>71</v>
      </c>
      <c r="I220" s="471" t="s">
        <v>77</v>
      </c>
      <c r="J220" s="471"/>
      <c r="K220" s="471" t="s">
        <v>77</v>
      </c>
      <c r="L220" s="471" t="s">
        <v>76</v>
      </c>
      <c r="M220" s="87" t="str">
        <f t="shared" ref="M220" si="4">A220</f>
        <v>CAPACIDADES DE EMPLEABILIDAD</v>
      </c>
    </row>
    <row r="221" spans="1:13" x14ac:dyDescent="0.2">
      <c r="A221" s="471"/>
      <c r="B221" s="474"/>
      <c r="C221" s="471"/>
      <c r="D221" s="471"/>
      <c r="E221" s="459"/>
      <c r="F221" s="147" t="s">
        <v>75</v>
      </c>
      <c r="G221" s="147" t="s">
        <v>74</v>
      </c>
      <c r="H221" s="471"/>
      <c r="I221" s="147" t="s">
        <v>75</v>
      </c>
      <c r="J221" s="147" t="s">
        <v>74</v>
      </c>
      <c r="K221" s="471"/>
      <c r="L221" s="471"/>
      <c r="M221" s="87" t="str">
        <f>A220</f>
        <v>CAPACIDADES DE EMPLEABILIDAD</v>
      </c>
    </row>
    <row r="222" spans="1:13" x14ac:dyDescent="0.2">
      <c r="A222" s="425" t="str">
        <f>Capacidades!L1715</f>
        <v xml:space="preserve">       </v>
      </c>
      <c r="B222" s="158" t="str">
        <f>Capacidades!M1715</f>
        <v xml:space="preserve">   </v>
      </c>
      <c r="C222" s="159"/>
      <c r="D222" s="13">
        <f>Organización_Modular!F185</f>
        <v>0</v>
      </c>
      <c r="E222" s="13">
        <f>Organización_Modular!G185</f>
        <v>0</v>
      </c>
      <c r="F222" s="13">
        <f>Organización_Modular!H185</f>
        <v>0</v>
      </c>
      <c r="G222" s="13">
        <f>Organización_Modular!I185</f>
        <v>0</v>
      </c>
      <c r="H222" s="14">
        <f>SUM(F222:G222)</f>
        <v>0</v>
      </c>
      <c r="I222" s="14">
        <f>F222*16</f>
        <v>0</v>
      </c>
      <c r="J222" s="14">
        <f>G222*32</f>
        <v>0</v>
      </c>
      <c r="K222" s="14">
        <f>SUM(I222:J222)</f>
        <v>0</v>
      </c>
      <c r="L222" s="446"/>
      <c r="M222" s="87" t="str">
        <f>B222</f>
        <v xml:space="preserve">   </v>
      </c>
    </row>
    <row r="223" spans="1:13" x14ac:dyDescent="0.2">
      <c r="A223" s="426"/>
      <c r="B223" s="158" t="str">
        <f>Capacidades!M1716</f>
        <v xml:space="preserve">   </v>
      </c>
      <c r="C223" s="157"/>
      <c r="D223" s="13"/>
      <c r="E223" s="13"/>
      <c r="F223" s="13"/>
      <c r="G223" s="13"/>
      <c r="H223" s="14"/>
      <c r="I223" s="14"/>
      <c r="J223" s="14"/>
      <c r="K223" s="14"/>
      <c r="L223" s="446"/>
      <c r="M223" s="87" t="str">
        <f t="shared" ref="M223:M286" si="5">B223</f>
        <v xml:space="preserve">   </v>
      </c>
    </row>
    <row r="224" spans="1:13" x14ac:dyDescent="0.2">
      <c r="A224" s="426"/>
      <c r="B224" s="158" t="str">
        <f>Capacidades!M1717</f>
        <v xml:space="preserve">   </v>
      </c>
      <c r="C224" s="157"/>
      <c r="D224" s="13"/>
      <c r="E224" s="13"/>
      <c r="F224" s="13"/>
      <c r="G224" s="13"/>
      <c r="H224" s="14"/>
      <c r="I224" s="14"/>
      <c r="J224" s="14"/>
      <c r="K224" s="14"/>
      <c r="L224" s="446"/>
      <c r="M224" s="87" t="str">
        <f t="shared" si="5"/>
        <v xml:space="preserve">   </v>
      </c>
    </row>
    <row r="225" spans="1:13" x14ac:dyDescent="0.2">
      <c r="A225" s="426"/>
      <c r="B225" s="158" t="str">
        <f>Capacidades!M1718</f>
        <v xml:space="preserve">   </v>
      </c>
      <c r="C225" s="157"/>
      <c r="D225" s="13"/>
      <c r="E225" s="13"/>
      <c r="F225" s="13"/>
      <c r="G225" s="13"/>
      <c r="H225" s="14"/>
      <c r="I225" s="14"/>
      <c r="J225" s="14"/>
      <c r="K225" s="14"/>
      <c r="L225" s="446"/>
      <c r="M225" s="87" t="str">
        <f t="shared" si="5"/>
        <v xml:space="preserve">   </v>
      </c>
    </row>
    <row r="226" spans="1:13" x14ac:dyDescent="0.2">
      <c r="A226" s="426"/>
      <c r="B226" s="158" t="str">
        <f>Capacidades!M1719</f>
        <v xml:space="preserve">   </v>
      </c>
      <c r="C226" s="157"/>
      <c r="D226" s="13"/>
      <c r="E226" s="13"/>
      <c r="F226" s="13"/>
      <c r="G226" s="13"/>
      <c r="H226" s="14"/>
      <c r="I226" s="14"/>
      <c r="J226" s="14"/>
      <c r="K226" s="14"/>
      <c r="L226" s="446"/>
      <c r="M226" s="87" t="str">
        <f t="shared" si="5"/>
        <v xml:space="preserve">   </v>
      </c>
    </row>
    <row r="227" spans="1:13" x14ac:dyDescent="0.2">
      <c r="A227" s="426"/>
      <c r="B227" s="158" t="str">
        <f>Capacidades!M1720</f>
        <v xml:space="preserve">   </v>
      </c>
      <c r="C227" s="157"/>
      <c r="D227" s="13"/>
      <c r="E227" s="13"/>
      <c r="F227" s="13"/>
      <c r="G227" s="13"/>
      <c r="H227" s="14"/>
      <c r="I227" s="14"/>
      <c r="J227" s="14"/>
      <c r="K227" s="14"/>
      <c r="L227" s="446"/>
      <c r="M227" s="87" t="str">
        <f t="shared" si="5"/>
        <v xml:space="preserve">   </v>
      </c>
    </row>
    <row r="228" spans="1:13" x14ac:dyDescent="0.2">
      <c r="A228" s="426"/>
      <c r="B228" s="158" t="str">
        <f>Capacidades!M1721</f>
        <v xml:space="preserve">   </v>
      </c>
      <c r="C228" s="157"/>
      <c r="D228" s="13"/>
      <c r="E228" s="13"/>
      <c r="F228" s="13"/>
      <c r="G228" s="13"/>
      <c r="H228" s="14"/>
      <c r="I228" s="14"/>
      <c r="J228" s="14"/>
      <c r="K228" s="14"/>
      <c r="L228" s="446"/>
      <c r="M228" s="87" t="str">
        <f t="shared" si="5"/>
        <v xml:space="preserve">   </v>
      </c>
    </row>
    <row r="229" spans="1:13" x14ac:dyDescent="0.2">
      <c r="A229" s="426"/>
      <c r="B229" s="158" t="str">
        <f>Capacidades!M1722</f>
        <v xml:space="preserve">   </v>
      </c>
      <c r="C229" s="157"/>
      <c r="D229" s="13"/>
      <c r="E229" s="13"/>
      <c r="F229" s="13"/>
      <c r="G229" s="13"/>
      <c r="H229" s="14"/>
      <c r="I229" s="14"/>
      <c r="J229" s="14"/>
      <c r="K229" s="14"/>
      <c r="L229" s="446"/>
      <c r="M229" s="87" t="str">
        <f t="shared" si="5"/>
        <v xml:space="preserve">   </v>
      </c>
    </row>
    <row r="230" spans="1:13" x14ac:dyDescent="0.2">
      <c r="A230" s="426"/>
      <c r="B230" s="158" t="str">
        <f>Capacidades!M1723</f>
        <v xml:space="preserve">   </v>
      </c>
      <c r="C230" s="157"/>
      <c r="D230" s="13"/>
      <c r="E230" s="13"/>
      <c r="F230" s="13"/>
      <c r="G230" s="13"/>
      <c r="H230" s="14"/>
      <c r="I230" s="14"/>
      <c r="J230" s="14"/>
      <c r="K230" s="14"/>
      <c r="L230" s="446"/>
      <c r="M230" s="87" t="str">
        <f t="shared" si="5"/>
        <v xml:space="preserve">   </v>
      </c>
    </row>
    <row r="231" spans="1:13" x14ac:dyDescent="0.2">
      <c r="A231" s="427"/>
      <c r="B231" s="158" t="str">
        <f>Capacidades!M1724</f>
        <v xml:space="preserve">   </v>
      </c>
      <c r="C231" s="157"/>
      <c r="D231" s="15"/>
      <c r="E231" s="15"/>
      <c r="F231" s="15"/>
      <c r="G231" s="15"/>
      <c r="H231" s="16"/>
      <c r="I231" s="16"/>
      <c r="J231" s="16"/>
      <c r="K231" s="16"/>
      <c r="L231" s="447"/>
      <c r="M231" s="87" t="str">
        <f t="shared" si="5"/>
        <v xml:space="preserve">   </v>
      </c>
    </row>
    <row r="232" spans="1:13" x14ac:dyDescent="0.2">
      <c r="A232" s="425" t="str">
        <f>Capacidades!L1725</f>
        <v xml:space="preserve">       </v>
      </c>
      <c r="B232" s="158" t="str">
        <f>Capacidades!M1725</f>
        <v xml:space="preserve">   </v>
      </c>
      <c r="C232" s="157"/>
      <c r="D232" s="11">
        <f>Organización_Modular!F186</f>
        <v>0</v>
      </c>
      <c r="E232" s="11">
        <f>Organización_Modular!G186</f>
        <v>0</v>
      </c>
      <c r="F232" s="11">
        <f>Organización_Modular!H186</f>
        <v>0</v>
      </c>
      <c r="G232" s="11">
        <f>Organización_Modular!I186</f>
        <v>0</v>
      </c>
      <c r="H232" s="12">
        <f>SUM(F232:G232)</f>
        <v>0</v>
      </c>
      <c r="I232" s="12">
        <f>F232*16</f>
        <v>0</v>
      </c>
      <c r="J232" s="12">
        <f>G232*32</f>
        <v>0</v>
      </c>
      <c r="K232" s="12">
        <f>SUM(I232:J232)</f>
        <v>0</v>
      </c>
      <c r="L232" s="445"/>
      <c r="M232" s="87" t="str">
        <f t="shared" si="5"/>
        <v xml:space="preserve">   </v>
      </c>
    </row>
    <row r="233" spans="1:13" x14ac:dyDescent="0.2">
      <c r="A233" s="426"/>
      <c r="B233" s="158" t="str">
        <f>Capacidades!M1726</f>
        <v xml:space="preserve">   </v>
      </c>
      <c r="C233" s="157"/>
      <c r="D233" s="13"/>
      <c r="E233" s="13"/>
      <c r="F233" s="13"/>
      <c r="G233" s="13"/>
      <c r="H233" s="14"/>
      <c r="I233" s="14"/>
      <c r="J233" s="14"/>
      <c r="K233" s="14"/>
      <c r="L233" s="446"/>
      <c r="M233" s="87" t="str">
        <f t="shared" si="5"/>
        <v xml:space="preserve">   </v>
      </c>
    </row>
    <row r="234" spans="1:13" x14ac:dyDescent="0.2">
      <c r="A234" s="426"/>
      <c r="B234" s="158" t="str">
        <f>Capacidades!M1727</f>
        <v xml:space="preserve">   </v>
      </c>
      <c r="C234" s="157"/>
      <c r="D234" s="13"/>
      <c r="E234" s="13"/>
      <c r="F234" s="13"/>
      <c r="G234" s="13"/>
      <c r="H234" s="14"/>
      <c r="I234" s="14"/>
      <c r="J234" s="14"/>
      <c r="K234" s="14"/>
      <c r="L234" s="446"/>
      <c r="M234" s="87" t="str">
        <f t="shared" si="5"/>
        <v xml:space="preserve">   </v>
      </c>
    </row>
    <row r="235" spans="1:13" x14ac:dyDescent="0.2">
      <c r="A235" s="426"/>
      <c r="B235" s="158" t="str">
        <f>Capacidades!M1728</f>
        <v xml:space="preserve">   </v>
      </c>
      <c r="C235" s="157"/>
      <c r="D235" s="13"/>
      <c r="E235" s="13"/>
      <c r="F235" s="13"/>
      <c r="G235" s="13"/>
      <c r="H235" s="14"/>
      <c r="I235" s="14"/>
      <c r="J235" s="14"/>
      <c r="K235" s="14"/>
      <c r="L235" s="446"/>
      <c r="M235" s="87" t="str">
        <f t="shared" si="5"/>
        <v xml:space="preserve">   </v>
      </c>
    </row>
    <row r="236" spans="1:13" x14ac:dyDescent="0.2">
      <c r="A236" s="426"/>
      <c r="B236" s="158" t="str">
        <f>Capacidades!M1729</f>
        <v xml:space="preserve">   </v>
      </c>
      <c r="C236" s="157"/>
      <c r="D236" s="13"/>
      <c r="E236" s="13"/>
      <c r="F236" s="13"/>
      <c r="G236" s="13"/>
      <c r="H236" s="14"/>
      <c r="I236" s="14"/>
      <c r="J236" s="14"/>
      <c r="K236" s="14"/>
      <c r="L236" s="446"/>
      <c r="M236" s="87" t="str">
        <f t="shared" si="5"/>
        <v xml:space="preserve">   </v>
      </c>
    </row>
    <row r="237" spans="1:13" x14ac:dyDescent="0.2">
      <c r="A237" s="426"/>
      <c r="B237" s="158" t="str">
        <f>Capacidades!M1730</f>
        <v xml:space="preserve">   </v>
      </c>
      <c r="C237" s="157"/>
      <c r="D237" s="13"/>
      <c r="E237" s="13"/>
      <c r="F237" s="13"/>
      <c r="G237" s="13"/>
      <c r="H237" s="14"/>
      <c r="I237" s="14"/>
      <c r="J237" s="14"/>
      <c r="K237" s="14"/>
      <c r="L237" s="446"/>
      <c r="M237" s="87" t="str">
        <f t="shared" si="5"/>
        <v xml:space="preserve">   </v>
      </c>
    </row>
    <row r="238" spans="1:13" x14ac:dyDescent="0.2">
      <c r="A238" s="426"/>
      <c r="B238" s="158" t="str">
        <f>Capacidades!M1731</f>
        <v xml:space="preserve">   </v>
      </c>
      <c r="C238" s="157"/>
      <c r="D238" s="13"/>
      <c r="E238" s="13"/>
      <c r="F238" s="13"/>
      <c r="G238" s="13"/>
      <c r="H238" s="14"/>
      <c r="I238" s="14"/>
      <c r="J238" s="14"/>
      <c r="K238" s="14"/>
      <c r="L238" s="446"/>
      <c r="M238" s="87" t="str">
        <f t="shared" si="5"/>
        <v xml:space="preserve">   </v>
      </c>
    </row>
    <row r="239" spans="1:13" x14ac:dyDescent="0.2">
      <c r="A239" s="426"/>
      <c r="B239" s="158" t="str">
        <f>Capacidades!M1732</f>
        <v xml:space="preserve">   </v>
      </c>
      <c r="C239" s="157"/>
      <c r="D239" s="13"/>
      <c r="E239" s="13"/>
      <c r="F239" s="13"/>
      <c r="G239" s="13"/>
      <c r="H239" s="14"/>
      <c r="I239" s="14"/>
      <c r="J239" s="14"/>
      <c r="K239" s="14"/>
      <c r="L239" s="446"/>
      <c r="M239" s="87" t="str">
        <f t="shared" si="5"/>
        <v xml:space="preserve">   </v>
      </c>
    </row>
    <row r="240" spans="1:13" x14ac:dyDescent="0.2">
      <c r="A240" s="426"/>
      <c r="B240" s="158" t="str">
        <f>Capacidades!M1733</f>
        <v xml:space="preserve">   </v>
      </c>
      <c r="C240" s="157"/>
      <c r="D240" s="13"/>
      <c r="E240" s="13"/>
      <c r="F240" s="13"/>
      <c r="G240" s="13"/>
      <c r="H240" s="14"/>
      <c r="I240" s="14"/>
      <c r="J240" s="14"/>
      <c r="K240" s="14"/>
      <c r="L240" s="446"/>
      <c r="M240" s="87" t="str">
        <f t="shared" si="5"/>
        <v xml:space="preserve">   </v>
      </c>
    </row>
    <row r="241" spans="1:13" x14ac:dyDescent="0.2">
      <c r="A241" s="427"/>
      <c r="B241" s="158" t="str">
        <f>Capacidades!M1734</f>
        <v xml:space="preserve">   </v>
      </c>
      <c r="C241" s="160"/>
      <c r="D241" s="13"/>
      <c r="E241" s="13"/>
      <c r="F241" s="13"/>
      <c r="G241" s="13"/>
      <c r="H241" s="14"/>
      <c r="I241" s="14"/>
      <c r="J241" s="14"/>
      <c r="K241" s="14"/>
      <c r="L241" s="446"/>
      <c r="M241" s="87" t="str">
        <f t="shared" si="5"/>
        <v xml:space="preserve">   </v>
      </c>
    </row>
    <row r="242" spans="1:13" x14ac:dyDescent="0.2">
      <c r="A242" s="425" t="str">
        <f>Capacidades!L1735</f>
        <v xml:space="preserve">       </v>
      </c>
      <c r="B242" s="158" t="str">
        <f>Capacidades!M1735</f>
        <v xml:space="preserve">   </v>
      </c>
      <c r="C242" s="157"/>
      <c r="D242" s="11">
        <f>Organización_Modular!F187</f>
        <v>0</v>
      </c>
      <c r="E242" s="11">
        <f>Organización_Modular!G187</f>
        <v>0</v>
      </c>
      <c r="F242" s="11">
        <f>Organización_Modular!H187</f>
        <v>0</v>
      </c>
      <c r="G242" s="11">
        <f>Organización_Modular!I187</f>
        <v>0</v>
      </c>
      <c r="H242" s="12">
        <f>SUM(F242:G242)</f>
        <v>0</v>
      </c>
      <c r="I242" s="12">
        <f>F242*16</f>
        <v>0</v>
      </c>
      <c r="J242" s="12">
        <f>G242*32</f>
        <v>0</v>
      </c>
      <c r="K242" s="12">
        <f>SUM(I242:J242)</f>
        <v>0</v>
      </c>
      <c r="L242" s="445"/>
      <c r="M242" s="87" t="str">
        <f t="shared" si="5"/>
        <v xml:space="preserve">   </v>
      </c>
    </row>
    <row r="243" spans="1:13" x14ac:dyDescent="0.2">
      <c r="A243" s="426"/>
      <c r="B243" s="158" t="str">
        <f>Capacidades!M1736</f>
        <v xml:space="preserve">   </v>
      </c>
      <c r="C243" s="157"/>
      <c r="D243" s="13"/>
      <c r="E243" s="13"/>
      <c r="F243" s="13"/>
      <c r="G243" s="13"/>
      <c r="H243" s="14"/>
      <c r="I243" s="14"/>
      <c r="J243" s="14"/>
      <c r="K243" s="14"/>
      <c r="L243" s="446"/>
      <c r="M243" s="87" t="str">
        <f t="shared" si="5"/>
        <v xml:space="preserve">   </v>
      </c>
    </row>
    <row r="244" spans="1:13" x14ac:dyDescent="0.2">
      <c r="A244" s="426"/>
      <c r="B244" s="158" t="str">
        <f>Capacidades!M1737</f>
        <v xml:space="preserve">   </v>
      </c>
      <c r="C244" s="157"/>
      <c r="D244" s="13"/>
      <c r="E244" s="13"/>
      <c r="F244" s="13"/>
      <c r="G244" s="13"/>
      <c r="H244" s="14"/>
      <c r="I244" s="14"/>
      <c r="J244" s="14"/>
      <c r="K244" s="14"/>
      <c r="L244" s="446"/>
      <c r="M244" s="87" t="str">
        <f t="shared" si="5"/>
        <v xml:space="preserve">   </v>
      </c>
    </row>
    <row r="245" spans="1:13" x14ac:dyDescent="0.2">
      <c r="A245" s="426"/>
      <c r="B245" s="158" t="str">
        <f>Capacidades!M1738</f>
        <v xml:space="preserve">   </v>
      </c>
      <c r="C245" s="157"/>
      <c r="D245" s="13"/>
      <c r="E245" s="13"/>
      <c r="F245" s="13"/>
      <c r="G245" s="13"/>
      <c r="H245" s="14"/>
      <c r="I245" s="14"/>
      <c r="J245" s="14"/>
      <c r="K245" s="14"/>
      <c r="L245" s="446"/>
      <c r="M245" s="87" t="str">
        <f t="shared" si="5"/>
        <v xml:space="preserve">   </v>
      </c>
    </row>
    <row r="246" spans="1:13" x14ac:dyDescent="0.2">
      <c r="A246" s="426"/>
      <c r="B246" s="158" t="str">
        <f>Capacidades!M1739</f>
        <v xml:space="preserve">   </v>
      </c>
      <c r="C246" s="157"/>
      <c r="D246" s="13"/>
      <c r="E246" s="13"/>
      <c r="F246" s="13"/>
      <c r="G246" s="13"/>
      <c r="H246" s="14"/>
      <c r="I246" s="14"/>
      <c r="J246" s="14"/>
      <c r="K246" s="14"/>
      <c r="L246" s="446"/>
      <c r="M246" s="87" t="str">
        <f t="shared" si="5"/>
        <v xml:space="preserve">   </v>
      </c>
    </row>
    <row r="247" spans="1:13" x14ac:dyDescent="0.2">
      <c r="A247" s="426"/>
      <c r="B247" s="158" t="str">
        <f>Capacidades!M1740</f>
        <v xml:space="preserve">   </v>
      </c>
      <c r="C247" s="157"/>
      <c r="D247" s="13"/>
      <c r="E247" s="13"/>
      <c r="F247" s="13"/>
      <c r="G247" s="13"/>
      <c r="H247" s="14"/>
      <c r="I247" s="14"/>
      <c r="J247" s="14"/>
      <c r="K247" s="14"/>
      <c r="L247" s="446"/>
      <c r="M247" s="87" t="str">
        <f t="shared" si="5"/>
        <v xml:space="preserve">   </v>
      </c>
    </row>
    <row r="248" spans="1:13" x14ac:dyDescent="0.2">
      <c r="A248" s="426"/>
      <c r="B248" s="158" t="str">
        <f>Capacidades!M1741</f>
        <v xml:space="preserve">   </v>
      </c>
      <c r="C248" s="157"/>
      <c r="D248" s="13"/>
      <c r="E248" s="13"/>
      <c r="F248" s="13"/>
      <c r="G248" s="13"/>
      <c r="H248" s="14"/>
      <c r="I248" s="14"/>
      <c r="J248" s="14"/>
      <c r="K248" s="14"/>
      <c r="L248" s="446"/>
      <c r="M248" s="87" t="str">
        <f t="shared" si="5"/>
        <v xml:space="preserve">   </v>
      </c>
    </row>
    <row r="249" spans="1:13" x14ac:dyDescent="0.2">
      <c r="A249" s="426"/>
      <c r="B249" s="158" t="str">
        <f>Capacidades!M1742</f>
        <v xml:space="preserve">   </v>
      </c>
      <c r="C249" s="157"/>
      <c r="D249" s="13"/>
      <c r="E249" s="13"/>
      <c r="F249" s="13"/>
      <c r="G249" s="13"/>
      <c r="H249" s="14"/>
      <c r="I249" s="14"/>
      <c r="J249" s="14"/>
      <c r="K249" s="14"/>
      <c r="L249" s="446"/>
      <c r="M249" s="87" t="str">
        <f t="shared" si="5"/>
        <v xml:space="preserve">   </v>
      </c>
    </row>
    <row r="250" spans="1:13" x14ac:dyDescent="0.2">
      <c r="A250" s="426"/>
      <c r="B250" s="158" t="str">
        <f>Capacidades!M1743</f>
        <v xml:space="preserve">   </v>
      </c>
      <c r="C250" s="157"/>
      <c r="D250" s="13"/>
      <c r="E250" s="13"/>
      <c r="F250" s="13"/>
      <c r="G250" s="13"/>
      <c r="H250" s="14"/>
      <c r="I250" s="14"/>
      <c r="J250" s="14"/>
      <c r="K250" s="14"/>
      <c r="L250" s="446"/>
      <c r="M250" s="87" t="str">
        <f t="shared" si="5"/>
        <v xml:space="preserve">   </v>
      </c>
    </row>
    <row r="251" spans="1:13" x14ac:dyDescent="0.2">
      <c r="A251" s="427"/>
      <c r="B251" s="158" t="str">
        <f>Capacidades!M1744</f>
        <v xml:space="preserve">   </v>
      </c>
      <c r="C251" s="160"/>
      <c r="D251" s="13"/>
      <c r="E251" s="13"/>
      <c r="F251" s="13"/>
      <c r="G251" s="13"/>
      <c r="H251" s="14"/>
      <c r="I251" s="14"/>
      <c r="J251" s="14"/>
      <c r="K251" s="14"/>
      <c r="L251" s="446"/>
      <c r="M251" s="87" t="str">
        <f t="shared" si="5"/>
        <v xml:space="preserve">   </v>
      </c>
    </row>
    <row r="252" spans="1:13" x14ac:dyDescent="0.2">
      <c r="A252" s="425" t="str">
        <f>Capacidades!L1745</f>
        <v xml:space="preserve">       </v>
      </c>
      <c r="B252" s="158" t="str">
        <f>Capacidades!M1745</f>
        <v xml:space="preserve">   </v>
      </c>
      <c r="C252" s="157"/>
      <c r="D252" s="11">
        <f>Organización_Modular!F188</f>
        <v>0</v>
      </c>
      <c r="E252" s="11">
        <f>Organización_Modular!G188</f>
        <v>0</v>
      </c>
      <c r="F252" s="11">
        <f>Organización_Modular!H188</f>
        <v>0</v>
      </c>
      <c r="G252" s="11">
        <f>Organización_Modular!I188</f>
        <v>0</v>
      </c>
      <c r="H252" s="12">
        <f>SUM(F252:G252)</f>
        <v>0</v>
      </c>
      <c r="I252" s="12">
        <f>F252*16</f>
        <v>0</v>
      </c>
      <c r="J252" s="12">
        <f>G252*32</f>
        <v>0</v>
      </c>
      <c r="K252" s="12">
        <f>SUM(I252:J252)</f>
        <v>0</v>
      </c>
      <c r="L252" s="445"/>
      <c r="M252" s="87" t="str">
        <f t="shared" si="5"/>
        <v xml:space="preserve">   </v>
      </c>
    </row>
    <row r="253" spans="1:13" x14ac:dyDescent="0.2">
      <c r="A253" s="426"/>
      <c r="B253" s="158" t="str">
        <f>Capacidades!M1746</f>
        <v xml:space="preserve">   </v>
      </c>
      <c r="C253" s="157"/>
      <c r="D253" s="13"/>
      <c r="E253" s="13"/>
      <c r="F253" s="13"/>
      <c r="G253" s="13"/>
      <c r="H253" s="14"/>
      <c r="I253" s="14"/>
      <c r="J253" s="14"/>
      <c r="K253" s="14"/>
      <c r="L253" s="446"/>
      <c r="M253" s="87" t="str">
        <f t="shared" si="5"/>
        <v xml:space="preserve">   </v>
      </c>
    </row>
    <row r="254" spans="1:13" x14ac:dyDescent="0.2">
      <c r="A254" s="426"/>
      <c r="B254" s="158" t="str">
        <f>Capacidades!M1747</f>
        <v xml:space="preserve">   </v>
      </c>
      <c r="C254" s="157"/>
      <c r="D254" s="13"/>
      <c r="E254" s="13"/>
      <c r="F254" s="13"/>
      <c r="G254" s="13"/>
      <c r="H254" s="14"/>
      <c r="I254" s="14"/>
      <c r="J254" s="14"/>
      <c r="K254" s="14"/>
      <c r="L254" s="446"/>
      <c r="M254" s="87" t="str">
        <f t="shared" si="5"/>
        <v xml:space="preserve">   </v>
      </c>
    </row>
    <row r="255" spans="1:13" x14ac:dyDescent="0.2">
      <c r="A255" s="426"/>
      <c r="B255" s="158" t="str">
        <f>Capacidades!M1748</f>
        <v xml:space="preserve">   </v>
      </c>
      <c r="C255" s="157"/>
      <c r="D255" s="13"/>
      <c r="E255" s="13"/>
      <c r="F255" s="13"/>
      <c r="G255" s="13"/>
      <c r="H255" s="14"/>
      <c r="I255" s="14"/>
      <c r="J255" s="14"/>
      <c r="K255" s="14"/>
      <c r="L255" s="446"/>
      <c r="M255" s="87" t="str">
        <f t="shared" si="5"/>
        <v xml:space="preserve">   </v>
      </c>
    </row>
    <row r="256" spans="1:13" x14ac:dyDescent="0.2">
      <c r="A256" s="426"/>
      <c r="B256" s="158" t="str">
        <f>Capacidades!M1749</f>
        <v xml:space="preserve">   </v>
      </c>
      <c r="C256" s="157"/>
      <c r="D256" s="13"/>
      <c r="E256" s="13"/>
      <c r="F256" s="13"/>
      <c r="G256" s="13"/>
      <c r="H256" s="14"/>
      <c r="I256" s="14"/>
      <c r="J256" s="14"/>
      <c r="K256" s="14"/>
      <c r="L256" s="446"/>
      <c r="M256" s="87" t="str">
        <f t="shared" si="5"/>
        <v xml:space="preserve">   </v>
      </c>
    </row>
    <row r="257" spans="1:13" x14ac:dyDescent="0.2">
      <c r="A257" s="426"/>
      <c r="B257" s="158" t="str">
        <f>Capacidades!M1750</f>
        <v xml:space="preserve">   </v>
      </c>
      <c r="C257" s="157"/>
      <c r="D257" s="13"/>
      <c r="E257" s="13"/>
      <c r="F257" s="13"/>
      <c r="G257" s="13"/>
      <c r="H257" s="14"/>
      <c r="I257" s="14"/>
      <c r="J257" s="14"/>
      <c r="K257" s="14"/>
      <c r="L257" s="446"/>
      <c r="M257" s="87" t="str">
        <f t="shared" si="5"/>
        <v xml:space="preserve">   </v>
      </c>
    </row>
    <row r="258" spans="1:13" x14ac:dyDescent="0.2">
      <c r="A258" s="426"/>
      <c r="B258" s="158" t="str">
        <f>Capacidades!M1751</f>
        <v xml:space="preserve">   </v>
      </c>
      <c r="C258" s="157"/>
      <c r="D258" s="13"/>
      <c r="E258" s="13"/>
      <c r="F258" s="13"/>
      <c r="G258" s="13"/>
      <c r="H258" s="14"/>
      <c r="I258" s="14"/>
      <c r="J258" s="14"/>
      <c r="K258" s="14"/>
      <c r="L258" s="446"/>
      <c r="M258" s="87" t="str">
        <f t="shared" si="5"/>
        <v xml:space="preserve">   </v>
      </c>
    </row>
    <row r="259" spans="1:13" x14ac:dyDescent="0.2">
      <c r="A259" s="426"/>
      <c r="B259" s="158" t="str">
        <f>Capacidades!M1752</f>
        <v xml:space="preserve">   </v>
      </c>
      <c r="C259" s="157"/>
      <c r="D259" s="13"/>
      <c r="E259" s="13"/>
      <c r="F259" s="13"/>
      <c r="G259" s="13"/>
      <c r="H259" s="14"/>
      <c r="I259" s="14"/>
      <c r="J259" s="14"/>
      <c r="K259" s="14"/>
      <c r="L259" s="446"/>
      <c r="M259" s="87" t="str">
        <f t="shared" si="5"/>
        <v xml:space="preserve">   </v>
      </c>
    </row>
    <row r="260" spans="1:13" x14ac:dyDescent="0.2">
      <c r="A260" s="426"/>
      <c r="B260" s="158" t="str">
        <f>Capacidades!M1753</f>
        <v xml:space="preserve">   </v>
      </c>
      <c r="C260" s="157"/>
      <c r="D260" s="13"/>
      <c r="E260" s="13"/>
      <c r="F260" s="13"/>
      <c r="G260" s="13"/>
      <c r="H260" s="14"/>
      <c r="I260" s="14"/>
      <c r="J260" s="14"/>
      <c r="K260" s="14"/>
      <c r="L260" s="446"/>
      <c r="M260" s="87" t="str">
        <f t="shared" si="5"/>
        <v xml:space="preserve">   </v>
      </c>
    </row>
    <row r="261" spans="1:13" x14ac:dyDescent="0.2">
      <c r="A261" s="427"/>
      <c r="B261" s="158" t="str">
        <f>Capacidades!M1754</f>
        <v xml:space="preserve">   </v>
      </c>
      <c r="C261" s="160"/>
      <c r="D261" s="13"/>
      <c r="E261" s="13"/>
      <c r="F261" s="13"/>
      <c r="G261" s="13"/>
      <c r="H261" s="14"/>
      <c r="I261" s="14"/>
      <c r="J261" s="14"/>
      <c r="K261" s="14"/>
      <c r="L261" s="446"/>
      <c r="M261" s="87" t="str">
        <f t="shared" si="5"/>
        <v xml:space="preserve">   </v>
      </c>
    </row>
    <row r="262" spans="1:13" x14ac:dyDescent="0.2">
      <c r="A262" s="425" t="str">
        <f>Capacidades!L1755</f>
        <v xml:space="preserve">       </v>
      </c>
      <c r="B262" s="158" t="str">
        <f>Capacidades!M1755</f>
        <v xml:space="preserve">   </v>
      </c>
      <c r="C262" s="157"/>
      <c r="D262" s="11">
        <f>Organización_Modular!F189</f>
        <v>0</v>
      </c>
      <c r="E262" s="11">
        <f>Organización_Modular!G189</f>
        <v>0</v>
      </c>
      <c r="F262" s="11">
        <f>Organización_Modular!H189</f>
        <v>0</v>
      </c>
      <c r="G262" s="11">
        <f>Organización_Modular!I189</f>
        <v>0</v>
      </c>
      <c r="H262" s="12">
        <f>SUM(F262:G262)</f>
        <v>0</v>
      </c>
      <c r="I262" s="12">
        <f>F262*16</f>
        <v>0</v>
      </c>
      <c r="J262" s="12">
        <f>G262*32</f>
        <v>0</v>
      </c>
      <c r="K262" s="12">
        <f>SUM(I262:J262)</f>
        <v>0</v>
      </c>
      <c r="L262" s="445"/>
      <c r="M262" s="87" t="str">
        <f t="shared" si="5"/>
        <v xml:space="preserve">   </v>
      </c>
    </row>
    <row r="263" spans="1:13" x14ac:dyDescent="0.2">
      <c r="A263" s="426"/>
      <c r="B263" s="158" t="str">
        <f>Capacidades!M1756</f>
        <v xml:space="preserve">   </v>
      </c>
      <c r="C263" s="157"/>
      <c r="D263" s="13"/>
      <c r="E263" s="13"/>
      <c r="F263" s="13"/>
      <c r="G263" s="13"/>
      <c r="H263" s="14"/>
      <c r="I263" s="14"/>
      <c r="J263" s="14"/>
      <c r="K263" s="14"/>
      <c r="L263" s="446"/>
      <c r="M263" s="87" t="str">
        <f t="shared" si="5"/>
        <v xml:space="preserve">   </v>
      </c>
    </row>
    <row r="264" spans="1:13" x14ac:dyDescent="0.2">
      <c r="A264" s="426"/>
      <c r="B264" s="158" t="str">
        <f>Capacidades!M1757</f>
        <v xml:space="preserve">   </v>
      </c>
      <c r="C264" s="157"/>
      <c r="D264" s="13"/>
      <c r="E264" s="13"/>
      <c r="F264" s="13"/>
      <c r="G264" s="13"/>
      <c r="H264" s="14"/>
      <c r="I264" s="14"/>
      <c r="J264" s="14"/>
      <c r="K264" s="14"/>
      <c r="L264" s="446"/>
      <c r="M264" s="87" t="str">
        <f t="shared" si="5"/>
        <v xml:space="preserve">   </v>
      </c>
    </row>
    <row r="265" spans="1:13" x14ac:dyDescent="0.2">
      <c r="A265" s="426"/>
      <c r="B265" s="158" t="str">
        <f>Capacidades!M1758</f>
        <v xml:space="preserve">   </v>
      </c>
      <c r="C265" s="157"/>
      <c r="D265" s="13"/>
      <c r="E265" s="13"/>
      <c r="F265" s="13"/>
      <c r="G265" s="13"/>
      <c r="H265" s="14"/>
      <c r="I265" s="14"/>
      <c r="J265" s="14"/>
      <c r="K265" s="14"/>
      <c r="L265" s="446"/>
      <c r="M265" s="87" t="str">
        <f t="shared" si="5"/>
        <v xml:space="preserve">   </v>
      </c>
    </row>
    <row r="266" spans="1:13" x14ac:dyDescent="0.2">
      <c r="A266" s="426"/>
      <c r="B266" s="158" t="str">
        <f>Capacidades!M1759</f>
        <v xml:space="preserve">   </v>
      </c>
      <c r="C266" s="157"/>
      <c r="D266" s="13"/>
      <c r="E266" s="13"/>
      <c r="F266" s="13"/>
      <c r="G266" s="13"/>
      <c r="H266" s="14"/>
      <c r="I266" s="14"/>
      <c r="J266" s="14"/>
      <c r="K266" s="14"/>
      <c r="L266" s="446"/>
      <c r="M266" s="87" t="str">
        <f t="shared" si="5"/>
        <v xml:space="preserve">   </v>
      </c>
    </row>
    <row r="267" spans="1:13" x14ac:dyDescent="0.2">
      <c r="A267" s="426"/>
      <c r="B267" s="158" t="str">
        <f>Capacidades!M1760</f>
        <v xml:space="preserve">   </v>
      </c>
      <c r="C267" s="157"/>
      <c r="D267" s="13"/>
      <c r="E267" s="13"/>
      <c r="F267" s="13"/>
      <c r="G267" s="13"/>
      <c r="H267" s="14"/>
      <c r="I267" s="14"/>
      <c r="J267" s="14"/>
      <c r="K267" s="14"/>
      <c r="L267" s="446"/>
      <c r="M267" s="87" t="str">
        <f t="shared" si="5"/>
        <v xml:space="preserve">   </v>
      </c>
    </row>
    <row r="268" spans="1:13" x14ac:dyDescent="0.2">
      <c r="A268" s="426"/>
      <c r="B268" s="158" t="str">
        <f>Capacidades!M1761</f>
        <v xml:space="preserve">   </v>
      </c>
      <c r="C268" s="157"/>
      <c r="D268" s="13"/>
      <c r="E268" s="13"/>
      <c r="F268" s="13"/>
      <c r="G268" s="13"/>
      <c r="H268" s="14"/>
      <c r="I268" s="14"/>
      <c r="J268" s="14"/>
      <c r="K268" s="14"/>
      <c r="L268" s="446"/>
      <c r="M268" s="87" t="str">
        <f t="shared" si="5"/>
        <v xml:space="preserve">   </v>
      </c>
    </row>
    <row r="269" spans="1:13" x14ac:dyDescent="0.2">
      <c r="A269" s="426"/>
      <c r="B269" s="158" t="str">
        <f>Capacidades!M1762</f>
        <v xml:space="preserve">   </v>
      </c>
      <c r="C269" s="157"/>
      <c r="D269" s="13"/>
      <c r="E269" s="13"/>
      <c r="F269" s="13"/>
      <c r="G269" s="13"/>
      <c r="H269" s="14"/>
      <c r="I269" s="14"/>
      <c r="J269" s="14"/>
      <c r="K269" s="14"/>
      <c r="L269" s="446"/>
      <c r="M269" s="87" t="str">
        <f t="shared" si="5"/>
        <v xml:space="preserve">   </v>
      </c>
    </row>
    <row r="270" spans="1:13" x14ac:dyDescent="0.2">
      <c r="A270" s="426"/>
      <c r="B270" s="158" t="str">
        <f>Capacidades!M1763</f>
        <v xml:space="preserve">   </v>
      </c>
      <c r="C270" s="157"/>
      <c r="D270" s="13"/>
      <c r="E270" s="13"/>
      <c r="F270" s="13"/>
      <c r="G270" s="13"/>
      <c r="H270" s="14"/>
      <c r="I270" s="14"/>
      <c r="J270" s="14"/>
      <c r="K270" s="14"/>
      <c r="L270" s="446"/>
      <c r="M270" s="87" t="str">
        <f t="shared" si="5"/>
        <v xml:space="preserve">   </v>
      </c>
    </row>
    <row r="271" spans="1:13" x14ac:dyDescent="0.2">
      <c r="A271" s="427"/>
      <c r="B271" s="158" t="str">
        <f>Capacidades!M1764</f>
        <v xml:space="preserve">   </v>
      </c>
      <c r="C271" s="160"/>
      <c r="D271" s="13"/>
      <c r="E271" s="13"/>
      <c r="F271" s="13"/>
      <c r="G271" s="13"/>
      <c r="H271" s="14"/>
      <c r="I271" s="14"/>
      <c r="J271" s="14"/>
      <c r="K271" s="14"/>
      <c r="L271" s="446"/>
      <c r="M271" s="87" t="str">
        <f t="shared" si="5"/>
        <v xml:space="preserve">   </v>
      </c>
    </row>
    <row r="272" spans="1:13" x14ac:dyDescent="0.2">
      <c r="A272" s="425" t="str">
        <f>Capacidades!L1765</f>
        <v xml:space="preserve">       </v>
      </c>
      <c r="B272" s="158" t="str">
        <f>Capacidades!M1765</f>
        <v xml:space="preserve">   </v>
      </c>
      <c r="C272" s="157"/>
      <c r="D272" s="11">
        <f>Organización_Modular!F190</f>
        <v>0</v>
      </c>
      <c r="E272" s="11">
        <f>Organización_Modular!G190</f>
        <v>0</v>
      </c>
      <c r="F272" s="11">
        <f>Organización_Modular!H190</f>
        <v>0</v>
      </c>
      <c r="G272" s="11">
        <f>Organización_Modular!I190</f>
        <v>0</v>
      </c>
      <c r="H272" s="12">
        <f>SUM(F272:G272)</f>
        <v>0</v>
      </c>
      <c r="I272" s="12">
        <f>F272*16</f>
        <v>0</v>
      </c>
      <c r="J272" s="12">
        <f>G272*32</f>
        <v>0</v>
      </c>
      <c r="K272" s="12">
        <f>SUM(I272:J272)</f>
        <v>0</v>
      </c>
      <c r="L272" s="445"/>
      <c r="M272" s="87" t="str">
        <f t="shared" si="5"/>
        <v xml:space="preserve">   </v>
      </c>
    </row>
    <row r="273" spans="1:13" x14ac:dyDescent="0.2">
      <c r="A273" s="426"/>
      <c r="B273" s="158" t="str">
        <f>Capacidades!M1766</f>
        <v xml:space="preserve">   </v>
      </c>
      <c r="C273" s="157"/>
      <c r="D273" s="13"/>
      <c r="E273" s="13"/>
      <c r="F273" s="13"/>
      <c r="G273" s="13"/>
      <c r="H273" s="14"/>
      <c r="I273" s="14"/>
      <c r="J273" s="14"/>
      <c r="K273" s="14"/>
      <c r="L273" s="446"/>
      <c r="M273" s="87" t="str">
        <f t="shared" si="5"/>
        <v xml:space="preserve">   </v>
      </c>
    </row>
    <row r="274" spans="1:13" x14ac:dyDescent="0.2">
      <c r="A274" s="426"/>
      <c r="B274" s="158" t="str">
        <f>Capacidades!M1767</f>
        <v xml:space="preserve">   </v>
      </c>
      <c r="C274" s="157"/>
      <c r="D274" s="13"/>
      <c r="E274" s="13"/>
      <c r="F274" s="13"/>
      <c r="G274" s="13"/>
      <c r="H274" s="14"/>
      <c r="I274" s="14"/>
      <c r="J274" s="14"/>
      <c r="K274" s="14"/>
      <c r="L274" s="446"/>
      <c r="M274" s="87" t="str">
        <f t="shared" si="5"/>
        <v xml:space="preserve">   </v>
      </c>
    </row>
    <row r="275" spans="1:13" x14ac:dyDescent="0.2">
      <c r="A275" s="426"/>
      <c r="B275" s="158" t="str">
        <f>Capacidades!M1768</f>
        <v xml:space="preserve">   </v>
      </c>
      <c r="C275" s="157"/>
      <c r="D275" s="13"/>
      <c r="E275" s="13"/>
      <c r="F275" s="13"/>
      <c r="G275" s="13"/>
      <c r="H275" s="14"/>
      <c r="I275" s="14"/>
      <c r="J275" s="14"/>
      <c r="K275" s="14"/>
      <c r="L275" s="446"/>
      <c r="M275" s="87" t="str">
        <f t="shared" si="5"/>
        <v xml:space="preserve">   </v>
      </c>
    </row>
    <row r="276" spans="1:13" x14ac:dyDescent="0.2">
      <c r="A276" s="426"/>
      <c r="B276" s="158" t="str">
        <f>Capacidades!M1769</f>
        <v xml:space="preserve">   </v>
      </c>
      <c r="C276" s="157"/>
      <c r="D276" s="13"/>
      <c r="E276" s="13"/>
      <c r="F276" s="13"/>
      <c r="G276" s="13"/>
      <c r="H276" s="14"/>
      <c r="I276" s="14"/>
      <c r="J276" s="14"/>
      <c r="K276" s="14"/>
      <c r="L276" s="446"/>
      <c r="M276" s="87" t="str">
        <f t="shared" si="5"/>
        <v xml:space="preserve">   </v>
      </c>
    </row>
    <row r="277" spans="1:13" x14ac:dyDescent="0.2">
      <c r="A277" s="426"/>
      <c r="B277" s="158" t="str">
        <f>Capacidades!M1770</f>
        <v xml:space="preserve">   </v>
      </c>
      <c r="C277" s="157"/>
      <c r="D277" s="13"/>
      <c r="E277" s="13"/>
      <c r="F277" s="13"/>
      <c r="G277" s="13"/>
      <c r="H277" s="14"/>
      <c r="I277" s="14"/>
      <c r="J277" s="14"/>
      <c r="K277" s="14"/>
      <c r="L277" s="446"/>
      <c r="M277" s="87" t="str">
        <f t="shared" si="5"/>
        <v xml:space="preserve">   </v>
      </c>
    </row>
    <row r="278" spans="1:13" x14ac:dyDescent="0.2">
      <c r="A278" s="426"/>
      <c r="B278" s="158" t="str">
        <f>Capacidades!M1771</f>
        <v xml:space="preserve">   </v>
      </c>
      <c r="C278" s="157"/>
      <c r="D278" s="13"/>
      <c r="E278" s="13"/>
      <c r="F278" s="13"/>
      <c r="G278" s="13"/>
      <c r="H278" s="14"/>
      <c r="I278" s="14"/>
      <c r="J278" s="14"/>
      <c r="K278" s="14"/>
      <c r="L278" s="446"/>
      <c r="M278" s="87" t="str">
        <f t="shared" si="5"/>
        <v xml:space="preserve">   </v>
      </c>
    </row>
    <row r="279" spans="1:13" x14ac:dyDescent="0.2">
      <c r="A279" s="426"/>
      <c r="B279" s="158" t="str">
        <f>Capacidades!M1772</f>
        <v xml:space="preserve">   </v>
      </c>
      <c r="C279" s="157"/>
      <c r="D279" s="13"/>
      <c r="E279" s="13"/>
      <c r="F279" s="13"/>
      <c r="G279" s="13"/>
      <c r="H279" s="14"/>
      <c r="I279" s="14"/>
      <c r="J279" s="14"/>
      <c r="K279" s="14"/>
      <c r="L279" s="446"/>
      <c r="M279" s="87" t="str">
        <f t="shared" si="5"/>
        <v xml:space="preserve">   </v>
      </c>
    </row>
    <row r="280" spans="1:13" x14ac:dyDescent="0.2">
      <c r="A280" s="426"/>
      <c r="B280" s="158" t="str">
        <f>Capacidades!M1773</f>
        <v xml:space="preserve">   </v>
      </c>
      <c r="C280" s="157"/>
      <c r="D280" s="13"/>
      <c r="E280" s="13"/>
      <c r="F280" s="13"/>
      <c r="G280" s="13"/>
      <c r="H280" s="14"/>
      <c r="I280" s="14"/>
      <c r="J280" s="14"/>
      <c r="K280" s="14"/>
      <c r="L280" s="446"/>
      <c r="M280" s="87" t="str">
        <f t="shared" si="5"/>
        <v xml:space="preserve">   </v>
      </c>
    </row>
    <row r="281" spans="1:13" x14ac:dyDescent="0.2">
      <c r="A281" s="427"/>
      <c r="B281" s="158" t="str">
        <f>Capacidades!M1774</f>
        <v xml:space="preserve">   </v>
      </c>
      <c r="C281" s="160"/>
      <c r="D281" s="13"/>
      <c r="E281" s="13"/>
      <c r="F281" s="13"/>
      <c r="G281" s="13"/>
      <c r="H281" s="14"/>
      <c r="I281" s="14"/>
      <c r="J281" s="14"/>
      <c r="K281" s="14"/>
      <c r="L281" s="446"/>
      <c r="M281" s="87" t="str">
        <f t="shared" si="5"/>
        <v xml:space="preserve">   </v>
      </c>
    </row>
    <row r="282" spans="1:13" x14ac:dyDescent="0.2">
      <c r="A282" s="425" t="str">
        <f>Capacidades!L1775</f>
        <v xml:space="preserve">       </v>
      </c>
      <c r="B282" s="158" t="str">
        <f>Capacidades!M1775</f>
        <v xml:space="preserve">   </v>
      </c>
      <c r="C282" s="157"/>
      <c r="D282" s="11">
        <f>Organización_Modular!F191</f>
        <v>0</v>
      </c>
      <c r="E282" s="11">
        <f>Organización_Modular!G191</f>
        <v>0</v>
      </c>
      <c r="F282" s="11">
        <f>Organización_Modular!H191</f>
        <v>0</v>
      </c>
      <c r="G282" s="11">
        <f>Organización_Modular!I191</f>
        <v>0</v>
      </c>
      <c r="H282" s="12">
        <f>SUM(F282:G282)</f>
        <v>0</v>
      </c>
      <c r="I282" s="12">
        <f>F282*16</f>
        <v>0</v>
      </c>
      <c r="J282" s="12">
        <f>G282*32</f>
        <v>0</v>
      </c>
      <c r="K282" s="12">
        <f>SUM(I282:J282)</f>
        <v>0</v>
      </c>
      <c r="L282" s="445"/>
      <c r="M282" s="87" t="str">
        <f t="shared" si="5"/>
        <v xml:space="preserve">   </v>
      </c>
    </row>
    <row r="283" spans="1:13" x14ac:dyDescent="0.2">
      <c r="A283" s="426"/>
      <c r="B283" s="158" t="str">
        <f>Capacidades!M1776</f>
        <v xml:space="preserve">   </v>
      </c>
      <c r="C283" s="157"/>
      <c r="D283" s="13"/>
      <c r="E283" s="13"/>
      <c r="F283" s="13"/>
      <c r="G283" s="13"/>
      <c r="H283" s="14"/>
      <c r="I283" s="14"/>
      <c r="J283" s="14"/>
      <c r="K283" s="14"/>
      <c r="L283" s="446"/>
      <c r="M283" s="87" t="str">
        <f t="shared" si="5"/>
        <v xml:space="preserve">   </v>
      </c>
    </row>
    <row r="284" spans="1:13" x14ac:dyDescent="0.2">
      <c r="A284" s="426"/>
      <c r="B284" s="158" t="str">
        <f>Capacidades!M1777</f>
        <v xml:space="preserve">   </v>
      </c>
      <c r="C284" s="157"/>
      <c r="D284" s="13"/>
      <c r="E284" s="13"/>
      <c r="F284" s="13"/>
      <c r="G284" s="13"/>
      <c r="H284" s="14"/>
      <c r="I284" s="14"/>
      <c r="J284" s="14"/>
      <c r="K284" s="14"/>
      <c r="L284" s="446"/>
      <c r="M284" s="87" t="str">
        <f t="shared" si="5"/>
        <v xml:space="preserve">   </v>
      </c>
    </row>
    <row r="285" spans="1:13" x14ac:dyDescent="0.2">
      <c r="A285" s="426"/>
      <c r="B285" s="158" t="str">
        <f>Capacidades!M1778</f>
        <v xml:space="preserve">   </v>
      </c>
      <c r="C285" s="157"/>
      <c r="D285" s="13"/>
      <c r="E285" s="13"/>
      <c r="F285" s="13"/>
      <c r="G285" s="13"/>
      <c r="H285" s="14"/>
      <c r="I285" s="14"/>
      <c r="J285" s="14"/>
      <c r="K285" s="14"/>
      <c r="L285" s="446"/>
      <c r="M285" s="87" t="str">
        <f t="shared" si="5"/>
        <v xml:space="preserve">   </v>
      </c>
    </row>
    <row r="286" spans="1:13" x14ac:dyDescent="0.2">
      <c r="A286" s="426"/>
      <c r="B286" s="158" t="str">
        <f>Capacidades!M1779</f>
        <v xml:space="preserve">   </v>
      </c>
      <c r="C286" s="157"/>
      <c r="D286" s="13"/>
      <c r="E286" s="13"/>
      <c r="F286" s="13"/>
      <c r="G286" s="13"/>
      <c r="H286" s="14"/>
      <c r="I286" s="14"/>
      <c r="J286" s="14"/>
      <c r="K286" s="14"/>
      <c r="L286" s="446"/>
      <c r="M286" s="87" t="str">
        <f t="shared" si="5"/>
        <v xml:space="preserve">   </v>
      </c>
    </row>
    <row r="287" spans="1:13" x14ac:dyDescent="0.2">
      <c r="A287" s="426"/>
      <c r="B287" s="158" t="str">
        <f>Capacidades!M1780</f>
        <v xml:space="preserve">   </v>
      </c>
      <c r="C287" s="157"/>
      <c r="D287" s="13"/>
      <c r="E287" s="13"/>
      <c r="F287" s="13"/>
      <c r="G287" s="13"/>
      <c r="H287" s="14"/>
      <c r="I287" s="14"/>
      <c r="J287" s="14"/>
      <c r="K287" s="14"/>
      <c r="L287" s="446"/>
      <c r="M287" s="87" t="str">
        <f t="shared" ref="M287:M321" si="6">B287</f>
        <v xml:space="preserve">   </v>
      </c>
    </row>
    <row r="288" spans="1:13" x14ac:dyDescent="0.2">
      <c r="A288" s="426"/>
      <c r="B288" s="158" t="str">
        <f>Capacidades!M1781</f>
        <v xml:space="preserve">   </v>
      </c>
      <c r="C288" s="157"/>
      <c r="D288" s="13"/>
      <c r="E288" s="13"/>
      <c r="F288" s="13"/>
      <c r="G288" s="13"/>
      <c r="H288" s="14"/>
      <c r="I288" s="14"/>
      <c r="J288" s="14"/>
      <c r="K288" s="14"/>
      <c r="L288" s="446"/>
      <c r="M288" s="87" t="str">
        <f t="shared" si="6"/>
        <v xml:space="preserve">   </v>
      </c>
    </row>
    <row r="289" spans="1:13" x14ac:dyDescent="0.2">
      <c r="A289" s="426"/>
      <c r="B289" s="158" t="str">
        <f>Capacidades!M1782</f>
        <v xml:space="preserve">   </v>
      </c>
      <c r="C289" s="157"/>
      <c r="D289" s="13"/>
      <c r="E289" s="13"/>
      <c r="F289" s="13"/>
      <c r="G289" s="13"/>
      <c r="H289" s="14"/>
      <c r="I289" s="14"/>
      <c r="J289" s="14"/>
      <c r="K289" s="14"/>
      <c r="L289" s="446"/>
      <c r="M289" s="87" t="str">
        <f t="shared" si="6"/>
        <v xml:space="preserve">   </v>
      </c>
    </row>
    <row r="290" spans="1:13" x14ac:dyDescent="0.2">
      <c r="A290" s="426"/>
      <c r="B290" s="158" t="str">
        <f>Capacidades!M1783</f>
        <v xml:space="preserve">   </v>
      </c>
      <c r="C290" s="157"/>
      <c r="D290" s="13"/>
      <c r="E290" s="13"/>
      <c r="F290" s="13"/>
      <c r="G290" s="13"/>
      <c r="H290" s="14"/>
      <c r="I290" s="14"/>
      <c r="J290" s="14"/>
      <c r="K290" s="14"/>
      <c r="L290" s="446"/>
      <c r="M290" s="87" t="str">
        <f t="shared" si="6"/>
        <v xml:space="preserve">   </v>
      </c>
    </row>
    <row r="291" spans="1:13" x14ac:dyDescent="0.2">
      <c r="A291" s="427"/>
      <c r="B291" s="158" t="str">
        <f>Capacidades!M1784</f>
        <v xml:space="preserve">   </v>
      </c>
      <c r="C291" s="160"/>
      <c r="D291" s="13"/>
      <c r="E291" s="13"/>
      <c r="F291" s="13"/>
      <c r="G291" s="13"/>
      <c r="H291" s="14"/>
      <c r="I291" s="14"/>
      <c r="J291" s="14"/>
      <c r="K291" s="14"/>
      <c r="L291" s="446"/>
      <c r="M291" s="87" t="str">
        <f t="shared" si="6"/>
        <v xml:space="preserve">   </v>
      </c>
    </row>
    <row r="292" spans="1:13" x14ac:dyDescent="0.2">
      <c r="A292" s="425" t="str">
        <f>Capacidades!L1785</f>
        <v xml:space="preserve">       </v>
      </c>
      <c r="B292" s="158" t="str">
        <f>Capacidades!M1785</f>
        <v xml:space="preserve">   </v>
      </c>
      <c r="C292" s="157"/>
      <c r="D292" s="11">
        <f>Organización_Modular!F192</f>
        <v>0</v>
      </c>
      <c r="E292" s="11">
        <f>Organización_Modular!G192</f>
        <v>0</v>
      </c>
      <c r="F292" s="11">
        <f>Organización_Modular!H192</f>
        <v>0</v>
      </c>
      <c r="G292" s="11">
        <f>Organización_Modular!I192</f>
        <v>0</v>
      </c>
      <c r="H292" s="12">
        <f>SUM(F292:G292)</f>
        <v>0</v>
      </c>
      <c r="I292" s="12">
        <f>F292*16</f>
        <v>0</v>
      </c>
      <c r="J292" s="12">
        <f>G292*32</f>
        <v>0</v>
      </c>
      <c r="K292" s="12">
        <f>SUM(I292:J292)</f>
        <v>0</v>
      </c>
      <c r="L292" s="445"/>
      <c r="M292" s="87" t="str">
        <f t="shared" si="6"/>
        <v xml:space="preserve">   </v>
      </c>
    </row>
    <row r="293" spans="1:13" x14ac:dyDescent="0.2">
      <c r="A293" s="426"/>
      <c r="B293" s="158" t="str">
        <f>Capacidades!M1786</f>
        <v xml:space="preserve">   </v>
      </c>
      <c r="C293" s="157"/>
      <c r="D293" s="13"/>
      <c r="E293" s="13"/>
      <c r="F293" s="13"/>
      <c r="G293" s="13"/>
      <c r="H293" s="14"/>
      <c r="I293" s="14"/>
      <c r="J293" s="14"/>
      <c r="K293" s="14"/>
      <c r="L293" s="446"/>
      <c r="M293" s="87" t="str">
        <f t="shared" si="6"/>
        <v xml:space="preserve">   </v>
      </c>
    </row>
    <row r="294" spans="1:13" x14ac:dyDescent="0.2">
      <c r="A294" s="426"/>
      <c r="B294" s="158" t="str">
        <f>Capacidades!M1787</f>
        <v xml:space="preserve">   </v>
      </c>
      <c r="C294" s="157"/>
      <c r="D294" s="13"/>
      <c r="E294" s="13"/>
      <c r="F294" s="13"/>
      <c r="G294" s="13"/>
      <c r="H294" s="14"/>
      <c r="I294" s="14"/>
      <c r="J294" s="14"/>
      <c r="K294" s="14"/>
      <c r="L294" s="446"/>
      <c r="M294" s="87" t="str">
        <f t="shared" si="6"/>
        <v xml:space="preserve">   </v>
      </c>
    </row>
    <row r="295" spans="1:13" x14ac:dyDescent="0.2">
      <c r="A295" s="426"/>
      <c r="B295" s="158" t="str">
        <f>Capacidades!M1788</f>
        <v xml:space="preserve">   </v>
      </c>
      <c r="C295" s="157"/>
      <c r="D295" s="13"/>
      <c r="E295" s="13"/>
      <c r="F295" s="13"/>
      <c r="G295" s="13"/>
      <c r="H295" s="14"/>
      <c r="I295" s="14"/>
      <c r="J295" s="14"/>
      <c r="K295" s="14"/>
      <c r="L295" s="446"/>
      <c r="M295" s="87" t="str">
        <f t="shared" si="6"/>
        <v xml:space="preserve">   </v>
      </c>
    </row>
    <row r="296" spans="1:13" x14ac:dyDescent="0.2">
      <c r="A296" s="426"/>
      <c r="B296" s="158" t="str">
        <f>Capacidades!M1789</f>
        <v xml:space="preserve">   </v>
      </c>
      <c r="C296" s="157"/>
      <c r="D296" s="13"/>
      <c r="E296" s="13"/>
      <c r="F296" s="13"/>
      <c r="G296" s="13"/>
      <c r="H296" s="14"/>
      <c r="I296" s="14"/>
      <c r="J296" s="14"/>
      <c r="K296" s="14"/>
      <c r="L296" s="446"/>
      <c r="M296" s="87" t="str">
        <f t="shared" si="6"/>
        <v xml:space="preserve">   </v>
      </c>
    </row>
    <row r="297" spans="1:13" x14ac:dyDescent="0.2">
      <c r="A297" s="426"/>
      <c r="B297" s="158" t="str">
        <f>Capacidades!M1790</f>
        <v xml:space="preserve">   </v>
      </c>
      <c r="C297" s="157"/>
      <c r="D297" s="13"/>
      <c r="E297" s="13"/>
      <c r="F297" s="13"/>
      <c r="G297" s="13"/>
      <c r="H297" s="14"/>
      <c r="I297" s="14"/>
      <c r="J297" s="14"/>
      <c r="K297" s="14"/>
      <c r="L297" s="446"/>
      <c r="M297" s="87" t="str">
        <f t="shared" si="6"/>
        <v xml:space="preserve">   </v>
      </c>
    </row>
    <row r="298" spans="1:13" x14ac:dyDescent="0.2">
      <c r="A298" s="426"/>
      <c r="B298" s="158" t="str">
        <f>Capacidades!M1791</f>
        <v xml:space="preserve">   </v>
      </c>
      <c r="C298" s="157"/>
      <c r="D298" s="13"/>
      <c r="E298" s="13"/>
      <c r="F298" s="13"/>
      <c r="G298" s="13"/>
      <c r="H298" s="14"/>
      <c r="I298" s="14"/>
      <c r="J298" s="14"/>
      <c r="K298" s="14"/>
      <c r="L298" s="446"/>
      <c r="M298" s="87" t="str">
        <f t="shared" si="6"/>
        <v xml:space="preserve">   </v>
      </c>
    </row>
    <row r="299" spans="1:13" x14ac:dyDescent="0.2">
      <c r="A299" s="426"/>
      <c r="B299" s="158" t="str">
        <f>Capacidades!M1792</f>
        <v xml:space="preserve">   </v>
      </c>
      <c r="C299" s="157"/>
      <c r="D299" s="13"/>
      <c r="E299" s="13"/>
      <c r="F299" s="13"/>
      <c r="G299" s="13"/>
      <c r="H299" s="14"/>
      <c r="I299" s="14"/>
      <c r="J299" s="14"/>
      <c r="K299" s="14"/>
      <c r="L299" s="446"/>
      <c r="M299" s="87" t="str">
        <f t="shared" si="6"/>
        <v xml:space="preserve">   </v>
      </c>
    </row>
    <row r="300" spans="1:13" x14ac:dyDescent="0.2">
      <c r="A300" s="426"/>
      <c r="B300" s="158" t="str">
        <f>Capacidades!M1793</f>
        <v xml:space="preserve">   </v>
      </c>
      <c r="C300" s="157"/>
      <c r="D300" s="13"/>
      <c r="E300" s="13"/>
      <c r="F300" s="13"/>
      <c r="G300" s="13"/>
      <c r="H300" s="14"/>
      <c r="I300" s="14"/>
      <c r="J300" s="14"/>
      <c r="K300" s="14"/>
      <c r="L300" s="446"/>
      <c r="M300" s="87" t="str">
        <f t="shared" si="6"/>
        <v xml:space="preserve">   </v>
      </c>
    </row>
    <row r="301" spans="1:13" x14ac:dyDescent="0.2">
      <c r="A301" s="427"/>
      <c r="B301" s="158" t="str">
        <f>Capacidades!M1794</f>
        <v xml:space="preserve">   </v>
      </c>
      <c r="C301" s="160"/>
      <c r="D301" s="13"/>
      <c r="E301" s="13"/>
      <c r="F301" s="13"/>
      <c r="G301" s="13"/>
      <c r="H301" s="14"/>
      <c r="I301" s="14"/>
      <c r="J301" s="14"/>
      <c r="K301" s="14"/>
      <c r="L301" s="446"/>
      <c r="M301" s="87" t="str">
        <f t="shared" si="6"/>
        <v xml:space="preserve">   </v>
      </c>
    </row>
    <row r="302" spans="1:13" x14ac:dyDescent="0.2">
      <c r="A302" s="425" t="str">
        <f>Capacidades!L1795</f>
        <v xml:space="preserve">       </v>
      </c>
      <c r="B302" s="158" t="str">
        <f>Capacidades!M1795</f>
        <v xml:space="preserve">   </v>
      </c>
      <c r="C302" s="157"/>
      <c r="D302" s="11">
        <f>Organización_Modular!F193</f>
        <v>0</v>
      </c>
      <c r="E302" s="11">
        <f>Organización_Modular!G193</f>
        <v>0</v>
      </c>
      <c r="F302" s="11">
        <f>Organización_Modular!H193</f>
        <v>0</v>
      </c>
      <c r="G302" s="11">
        <f>Organización_Modular!I193</f>
        <v>0</v>
      </c>
      <c r="H302" s="12">
        <f>SUM(F302:G302)</f>
        <v>0</v>
      </c>
      <c r="I302" s="12">
        <f>F302*16</f>
        <v>0</v>
      </c>
      <c r="J302" s="12">
        <f>G302*32</f>
        <v>0</v>
      </c>
      <c r="K302" s="12">
        <f>SUM(I302:J302)</f>
        <v>0</v>
      </c>
      <c r="L302" s="445"/>
      <c r="M302" s="87" t="str">
        <f t="shared" si="6"/>
        <v xml:space="preserve">   </v>
      </c>
    </row>
    <row r="303" spans="1:13" x14ac:dyDescent="0.2">
      <c r="A303" s="426"/>
      <c r="B303" s="158" t="str">
        <f>Capacidades!M1796</f>
        <v xml:space="preserve">   </v>
      </c>
      <c r="C303" s="157"/>
      <c r="D303" s="13"/>
      <c r="E303" s="13"/>
      <c r="F303" s="13"/>
      <c r="G303" s="13"/>
      <c r="H303" s="14"/>
      <c r="I303" s="14"/>
      <c r="J303" s="14"/>
      <c r="K303" s="14"/>
      <c r="L303" s="446"/>
      <c r="M303" s="87" t="str">
        <f t="shared" si="6"/>
        <v xml:space="preserve">   </v>
      </c>
    </row>
    <row r="304" spans="1:13" x14ac:dyDescent="0.2">
      <c r="A304" s="426"/>
      <c r="B304" s="158" t="str">
        <f>Capacidades!M1797</f>
        <v xml:space="preserve">   </v>
      </c>
      <c r="C304" s="157"/>
      <c r="D304" s="13"/>
      <c r="E304" s="13"/>
      <c r="F304" s="13"/>
      <c r="G304" s="13"/>
      <c r="H304" s="14"/>
      <c r="I304" s="14"/>
      <c r="J304" s="14"/>
      <c r="K304" s="14"/>
      <c r="L304" s="446"/>
      <c r="M304" s="87" t="str">
        <f t="shared" si="6"/>
        <v xml:space="preserve">   </v>
      </c>
    </row>
    <row r="305" spans="1:13" x14ac:dyDescent="0.2">
      <c r="A305" s="426"/>
      <c r="B305" s="158" t="str">
        <f>Capacidades!M1798</f>
        <v xml:space="preserve">   </v>
      </c>
      <c r="C305" s="157"/>
      <c r="D305" s="13"/>
      <c r="E305" s="13"/>
      <c r="F305" s="13"/>
      <c r="G305" s="13"/>
      <c r="H305" s="14"/>
      <c r="I305" s="14"/>
      <c r="J305" s="14"/>
      <c r="K305" s="14"/>
      <c r="L305" s="446"/>
      <c r="M305" s="87" t="str">
        <f t="shared" si="6"/>
        <v xml:space="preserve">   </v>
      </c>
    </row>
    <row r="306" spans="1:13" x14ac:dyDescent="0.2">
      <c r="A306" s="426"/>
      <c r="B306" s="158" t="str">
        <f>Capacidades!M1799</f>
        <v xml:space="preserve">   </v>
      </c>
      <c r="C306" s="157"/>
      <c r="D306" s="13"/>
      <c r="E306" s="13"/>
      <c r="F306" s="13"/>
      <c r="G306" s="13"/>
      <c r="H306" s="14"/>
      <c r="I306" s="14"/>
      <c r="J306" s="14"/>
      <c r="K306" s="14"/>
      <c r="L306" s="446"/>
      <c r="M306" s="87" t="str">
        <f t="shared" si="6"/>
        <v xml:space="preserve">   </v>
      </c>
    </row>
    <row r="307" spans="1:13" x14ac:dyDescent="0.2">
      <c r="A307" s="426"/>
      <c r="B307" s="158" t="str">
        <f>Capacidades!M1800</f>
        <v xml:space="preserve">   </v>
      </c>
      <c r="C307" s="157"/>
      <c r="D307" s="13"/>
      <c r="E307" s="13"/>
      <c r="F307" s="13"/>
      <c r="G307" s="13"/>
      <c r="H307" s="14"/>
      <c r="I307" s="14"/>
      <c r="J307" s="14"/>
      <c r="K307" s="14"/>
      <c r="L307" s="446"/>
      <c r="M307" s="87" t="str">
        <f t="shared" si="6"/>
        <v xml:space="preserve">   </v>
      </c>
    </row>
    <row r="308" spans="1:13" x14ac:dyDescent="0.2">
      <c r="A308" s="426"/>
      <c r="B308" s="158" t="str">
        <f>Capacidades!M1801</f>
        <v xml:space="preserve">   </v>
      </c>
      <c r="C308" s="157"/>
      <c r="D308" s="13"/>
      <c r="E308" s="13"/>
      <c r="F308" s="13"/>
      <c r="G308" s="13"/>
      <c r="H308" s="14"/>
      <c r="I308" s="14"/>
      <c r="J308" s="14"/>
      <c r="K308" s="14"/>
      <c r="L308" s="446"/>
      <c r="M308" s="87" t="str">
        <f t="shared" si="6"/>
        <v xml:space="preserve">   </v>
      </c>
    </row>
    <row r="309" spans="1:13" x14ac:dyDescent="0.2">
      <c r="A309" s="426"/>
      <c r="B309" s="158" t="str">
        <f>Capacidades!M1802</f>
        <v xml:space="preserve">   </v>
      </c>
      <c r="C309" s="157"/>
      <c r="D309" s="13"/>
      <c r="E309" s="13"/>
      <c r="F309" s="13"/>
      <c r="G309" s="13"/>
      <c r="H309" s="14"/>
      <c r="I309" s="14"/>
      <c r="J309" s="14"/>
      <c r="K309" s="14"/>
      <c r="L309" s="446"/>
      <c r="M309" s="87" t="str">
        <f t="shared" si="6"/>
        <v xml:space="preserve">   </v>
      </c>
    </row>
    <row r="310" spans="1:13" x14ac:dyDescent="0.2">
      <c r="A310" s="426"/>
      <c r="B310" s="158" t="str">
        <f>Capacidades!M1803</f>
        <v xml:space="preserve">   </v>
      </c>
      <c r="C310" s="157"/>
      <c r="D310" s="13"/>
      <c r="E310" s="13"/>
      <c r="F310" s="13"/>
      <c r="G310" s="13"/>
      <c r="H310" s="14"/>
      <c r="I310" s="14"/>
      <c r="J310" s="14"/>
      <c r="K310" s="14"/>
      <c r="L310" s="446"/>
      <c r="M310" s="87" t="str">
        <f t="shared" si="6"/>
        <v xml:space="preserve">   </v>
      </c>
    </row>
    <row r="311" spans="1:13" x14ac:dyDescent="0.2">
      <c r="A311" s="427"/>
      <c r="B311" s="158" t="str">
        <f>Capacidades!M1804</f>
        <v xml:space="preserve">   </v>
      </c>
      <c r="C311" s="160"/>
      <c r="D311" s="13"/>
      <c r="E311" s="13"/>
      <c r="F311" s="13"/>
      <c r="G311" s="13"/>
      <c r="H311" s="14"/>
      <c r="I311" s="14"/>
      <c r="J311" s="14"/>
      <c r="K311" s="14"/>
      <c r="L311" s="446"/>
      <c r="M311" s="87" t="str">
        <f t="shared" si="6"/>
        <v xml:space="preserve">   </v>
      </c>
    </row>
    <row r="312" spans="1:13" x14ac:dyDescent="0.2">
      <c r="A312" s="425" t="str">
        <f>Capacidades!L1805</f>
        <v xml:space="preserve">       </v>
      </c>
      <c r="B312" s="158" t="str">
        <f>Capacidades!M1805</f>
        <v xml:space="preserve">   </v>
      </c>
      <c r="C312" s="157"/>
      <c r="D312" s="11">
        <f>Organización_Modular!F194</f>
        <v>0</v>
      </c>
      <c r="E312" s="11">
        <f>Organización_Modular!G194</f>
        <v>0</v>
      </c>
      <c r="F312" s="11">
        <f>Organización_Modular!H194</f>
        <v>0</v>
      </c>
      <c r="G312" s="11">
        <f>Organización_Modular!I194</f>
        <v>0</v>
      </c>
      <c r="H312" s="12">
        <f>SUM(F312:G312)</f>
        <v>0</v>
      </c>
      <c r="I312" s="12">
        <f>F312*16</f>
        <v>0</v>
      </c>
      <c r="J312" s="12">
        <f>G312*32</f>
        <v>0</v>
      </c>
      <c r="K312" s="12">
        <f>SUM(I312:J312)</f>
        <v>0</v>
      </c>
      <c r="L312" s="445"/>
      <c r="M312" s="87" t="str">
        <f t="shared" si="6"/>
        <v xml:space="preserve">   </v>
      </c>
    </row>
    <row r="313" spans="1:13" x14ac:dyDescent="0.2">
      <c r="A313" s="426"/>
      <c r="B313" s="158" t="str">
        <f>Capacidades!M1806</f>
        <v xml:space="preserve">   </v>
      </c>
      <c r="C313" s="157"/>
      <c r="D313" s="13"/>
      <c r="E313" s="13"/>
      <c r="F313" s="14"/>
      <c r="G313" s="14"/>
      <c r="H313" s="14"/>
      <c r="I313" s="14"/>
      <c r="J313" s="14"/>
      <c r="K313" s="14"/>
      <c r="L313" s="446"/>
      <c r="M313" s="87" t="str">
        <f t="shared" si="6"/>
        <v xml:space="preserve">   </v>
      </c>
    </row>
    <row r="314" spans="1:13" x14ac:dyDescent="0.2">
      <c r="A314" s="426"/>
      <c r="B314" s="158" t="str">
        <f>Capacidades!M1807</f>
        <v xml:space="preserve">   </v>
      </c>
      <c r="C314" s="157"/>
      <c r="D314" s="13"/>
      <c r="E314" s="13"/>
      <c r="F314" s="14"/>
      <c r="G314" s="14"/>
      <c r="H314" s="14"/>
      <c r="I314" s="14"/>
      <c r="J314" s="14"/>
      <c r="K314" s="14"/>
      <c r="L314" s="446"/>
      <c r="M314" s="87" t="str">
        <f t="shared" si="6"/>
        <v xml:space="preserve">   </v>
      </c>
    </row>
    <row r="315" spans="1:13" x14ac:dyDescent="0.2">
      <c r="A315" s="426"/>
      <c r="B315" s="158" t="str">
        <f>Capacidades!M1808</f>
        <v xml:space="preserve">   </v>
      </c>
      <c r="C315" s="157"/>
      <c r="D315" s="13"/>
      <c r="E315" s="13"/>
      <c r="F315" s="14"/>
      <c r="G315" s="14"/>
      <c r="H315" s="14"/>
      <c r="I315" s="14"/>
      <c r="J315" s="14"/>
      <c r="K315" s="14"/>
      <c r="L315" s="446"/>
      <c r="M315" s="87" t="str">
        <f t="shared" si="6"/>
        <v xml:space="preserve">   </v>
      </c>
    </row>
    <row r="316" spans="1:13" x14ac:dyDescent="0.2">
      <c r="A316" s="426"/>
      <c r="B316" s="158" t="str">
        <f>Capacidades!M1809</f>
        <v xml:space="preserve">   </v>
      </c>
      <c r="C316" s="157"/>
      <c r="D316" s="13"/>
      <c r="E316" s="13"/>
      <c r="F316" s="13"/>
      <c r="G316" s="13"/>
      <c r="H316" s="14"/>
      <c r="I316" s="14"/>
      <c r="J316" s="14"/>
      <c r="K316" s="14"/>
      <c r="L316" s="446"/>
      <c r="M316" s="87" t="str">
        <f t="shared" si="6"/>
        <v xml:space="preserve">   </v>
      </c>
    </row>
    <row r="317" spans="1:13" x14ac:dyDescent="0.2">
      <c r="A317" s="426"/>
      <c r="B317" s="158" t="str">
        <f>Capacidades!M1810</f>
        <v xml:space="preserve">   </v>
      </c>
      <c r="C317" s="157"/>
      <c r="D317" s="13"/>
      <c r="E317" s="13"/>
      <c r="F317" s="13"/>
      <c r="G317" s="13"/>
      <c r="H317" s="14"/>
      <c r="I317" s="14"/>
      <c r="J317" s="14"/>
      <c r="K317" s="14"/>
      <c r="L317" s="446"/>
      <c r="M317" s="87" t="str">
        <f t="shared" si="6"/>
        <v xml:space="preserve">   </v>
      </c>
    </row>
    <row r="318" spans="1:13" x14ac:dyDescent="0.2">
      <c r="A318" s="426"/>
      <c r="B318" s="158" t="str">
        <f>Capacidades!M1811</f>
        <v xml:space="preserve">   </v>
      </c>
      <c r="C318" s="157"/>
      <c r="D318" s="13"/>
      <c r="E318" s="13"/>
      <c r="F318" s="13"/>
      <c r="G318" s="13"/>
      <c r="H318" s="14"/>
      <c r="I318" s="14"/>
      <c r="J318" s="14"/>
      <c r="K318" s="14"/>
      <c r="L318" s="446"/>
      <c r="M318" s="87" t="str">
        <f t="shared" si="6"/>
        <v xml:space="preserve">   </v>
      </c>
    </row>
    <row r="319" spans="1:13" x14ac:dyDescent="0.2">
      <c r="A319" s="426"/>
      <c r="B319" s="158" t="str">
        <f>Capacidades!M1812</f>
        <v xml:space="preserve">   </v>
      </c>
      <c r="C319" s="157"/>
      <c r="D319" s="13"/>
      <c r="E319" s="13"/>
      <c r="F319" s="13"/>
      <c r="G319" s="13"/>
      <c r="H319" s="14"/>
      <c r="I319" s="14"/>
      <c r="J319" s="14"/>
      <c r="K319" s="14"/>
      <c r="L319" s="446"/>
      <c r="M319" s="87" t="str">
        <f t="shared" si="6"/>
        <v xml:space="preserve">   </v>
      </c>
    </row>
    <row r="320" spans="1:13" x14ac:dyDescent="0.2">
      <c r="A320" s="426"/>
      <c r="B320" s="158" t="str">
        <f>Capacidades!M1813</f>
        <v xml:space="preserve">   </v>
      </c>
      <c r="C320" s="157"/>
      <c r="D320" s="13"/>
      <c r="E320" s="13"/>
      <c r="F320" s="14"/>
      <c r="G320" s="14"/>
      <c r="H320" s="14"/>
      <c r="I320" s="14"/>
      <c r="J320" s="14"/>
      <c r="K320" s="14"/>
      <c r="L320" s="446"/>
      <c r="M320" s="87" t="str">
        <f t="shared" si="6"/>
        <v xml:space="preserve">   </v>
      </c>
    </row>
    <row r="321" spans="1:13" x14ac:dyDescent="0.2">
      <c r="A321" s="427"/>
      <c r="B321" s="158" t="str">
        <f>Capacidades!M1814</f>
        <v xml:space="preserve">   </v>
      </c>
      <c r="C321" s="160"/>
      <c r="D321" s="13"/>
      <c r="E321" s="13"/>
      <c r="F321" s="14"/>
      <c r="G321" s="14"/>
      <c r="H321" s="14"/>
      <c r="I321" s="14"/>
      <c r="J321" s="14"/>
      <c r="K321" s="14"/>
      <c r="L321" s="446"/>
      <c r="M321" s="87" t="str">
        <f t="shared" si="6"/>
        <v xml:space="preserve">   </v>
      </c>
    </row>
    <row r="322" spans="1:13" ht="15.75" x14ac:dyDescent="0.2">
      <c r="A322" s="489" t="s">
        <v>87</v>
      </c>
      <c r="B322" s="489"/>
      <c r="C322" s="489"/>
      <c r="D322" s="489"/>
      <c r="E322" s="489"/>
      <c r="F322" s="489"/>
      <c r="G322" s="489"/>
      <c r="H322" s="489"/>
      <c r="I322" s="489"/>
      <c r="J322" s="489"/>
      <c r="K322" s="489"/>
      <c r="L322" s="489"/>
      <c r="M322" s="87" t="str">
        <f>A322</f>
        <v xml:space="preserve">COMPETENCIAS PARA LA EMPLEABILIDAD INCORPORADAS COMO CONTENIDO  TRANSVERSAL </v>
      </c>
    </row>
    <row r="323" spans="1:13" ht="24" customHeight="1" x14ac:dyDescent="0.2">
      <c r="A323" s="493">
        <f>'M5'!A323:L323</f>
        <v>0</v>
      </c>
      <c r="B323" s="493"/>
      <c r="C323" s="493"/>
      <c r="D323" s="493"/>
      <c r="E323" s="493"/>
      <c r="F323" s="493"/>
      <c r="G323" s="493"/>
      <c r="H323" s="493"/>
      <c r="I323" s="493"/>
      <c r="J323" s="493"/>
      <c r="K323" s="493"/>
      <c r="L323" s="493"/>
      <c r="M323" s="87">
        <f t="shared" ref="M323:M358" si="7">A323</f>
        <v>0</v>
      </c>
    </row>
    <row r="324" spans="1:13" ht="24" customHeight="1" x14ac:dyDescent="0.2">
      <c r="A324" s="493" t="str">
        <f>'M5'!A324:L324</f>
        <v>CE6  Cultura ambiental.- Convivir de manera ética, autónoma, responsable y sostenible, previniendo, reduciendo y controlando permanente y progresivamente los impactos ambientales.</v>
      </c>
      <c r="B324" s="493"/>
      <c r="C324" s="493"/>
      <c r="D324" s="493"/>
      <c r="E324" s="493"/>
      <c r="F324" s="493"/>
      <c r="G324" s="493"/>
      <c r="H324" s="493"/>
      <c r="I324" s="493"/>
      <c r="J324" s="493"/>
      <c r="K324" s="493"/>
      <c r="L324" s="493"/>
      <c r="M324" s="87" t="str">
        <f t="shared" si="7"/>
        <v>CE6  Cultura ambiental.- Convivir de manera ética, autónoma, responsable y sostenible, previniendo, reduciendo y controlando permanente y progresivamente los impactos ambientales.</v>
      </c>
    </row>
    <row r="325" spans="1:13" ht="18.75" customHeight="1" x14ac:dyDescent="0.2">
      <c r="A325" s="493">
        <f>'M5'!A325:L325</f>
        <v>0</v>
      </c>
      <c r="B325" s="493"/>
      <c r="C325" s="493"/>
      <c r="D325" s="493"/>
      <c r="E325" s="493"/>
      <c r="F325" s="493"/>
      <c r="G325" s="493"/>
      <c r="H325" s="493"/>
      <c r="I325" s="493"/>
      <c r="J325" s="493"/>
      <c r="K325" s="493"/>
      <c r="L325" s="493"/>
      <c r="M325" s="87">
        <f t="shared" si="7"/>
        <v>0</v>
      </c>
    </row>
    <row r="326" spans="1:13" ht="25.5" customHeight="1" x14ac:dyDescent="0.2">
      <c r="A326" s="459" t="s">
        <v>73</v>
      </c>
      <c r="B326" s="459"/>
      <c r="C326" s="459" t="s">
        <v>72</v>
      </c>
      <c r="D326" s="459"/>
      <c r="E326" s="459"/>
      <c r="F326" s="459"/>
      <c r="G326" s="459"/>
      <c r="H326" s="459"/>
      <c r="I326" s="459"/>
      <c r="J326" s="459"/>
      <c r="K326" s="459"/>
      <c r="L326" s="459"/>
      <c r="M326" s="87" t="str">
        <f t="shared" si="7"/>
        <v>CAPACIDADES A FORTALECER</v>
      </c>
    </row>
    <row r="327" spans="1:13" x14ac:dyDescent="0.2">
      <c r="A327" s="493" t="str">
        <f ca="1">OFFSET($A$9,(ROW()-326)*10-1,0)</f>
        <v xml:space="preserve">       </v>
      </c>
      <c r="B327" s="493"/>
      <c r="C327" s="494">
        <f>'M5'!C327:L356</f>
        <v>0</v>
      </c>
      <c r="D327" s="495"/>
      <c r="E327" s="495"/>
      <c r="F327" s="495"/>
      <c r="G327" s="495"/>
      <c r="H327" s="495"/>
      <c r="I327" s="495"/>
      <c r="J327" s="495"/>
      <c r="K327" s="495"/>
      <c r="L327" s="496"/>
      <c r="M327" s="87" t="str">
        <f t="shared" ca="1" si="7"/>
        <v xml:space="preserve">       </v>
      </c>
    </row>
    <row r="328" spans="1:13" x14ac:dyDescent="0.2">
      <c r="A328" s="493" t="str">
        <f t="shared" ref="A328:A346" ca="1" si="8">OFFSET($A$9,(ROW()-326)*10-1,0)</f>
        <v xml:space="preserve">       </v>
      </c>
      <c r="B328" s="493"/>
      <c r="C328" s="497"/>
      <c r="D328" s="498"/>
      <c r="E328" s="498"/>
      <c r="F328" s="498"/>
      <c r="G328" s="498"/>
      <c r="H328" s="498"/>
      <c r="I328" s="498"/>
      <c r="J328" s="498"/>
      <c r="K328" s="498"/>
      <c r="L328" s="499"/>
      <c r="M328" s="87" t="str">
        <f t="shared" ca="1" si="7"/>
        <v xml:space="preserve">       </v>
      </c>
    </row>
    <row r="329" spans="1:13" x14ac:dyDescent="0.2">
      <c r="A329" s="493" t="str">
        <f t="shared" ca="1" si="8"/>
        <v xml:space="preserve">       </v>
      </c>
      <c r="B329" s="493"/>
      <c r="C329" s="497"/>
      <c r="D329" s="498"/>
      <c r="E329" s="498"/>
      <c r="F329" s="498"/>
      <c r="G329" s="498"/>
      <c r="H329" s="498"/>
      <c r="I329" s="498"/>
      <c r="J329" s="498"/>
      <c r="K329" s="498"/>
      <c r="L329" s="499"/>
      <c r="M329" s="87" t="str">
        <f t="shared" ca="1" si="7"/>
        <v xml:space="preserve">       </v>
      </c>
    </row>
    <row r="330" spans="1:13" x14ac:dyDescent="0.2">
      <c r="A330" s="493" t="str">
        <f t="shared" ca="1" si="8"/>
        <v xml:space="preserve">       </v>
      </c>
      <c r="B330" s="493"/>
      <c r="C330" s="497"/>
      <c r="D330" s="498"/>
      <c r="E330" s="498"/>
      <c r="F330" s="498"/>
      <c r="G330" s="498"/>
      <c r="H330" s="498"/>
      <c r="I330" s="498"/>
      <c r="J330" s="498"/>
      <c r="K330" s="498"/>
      <c r="L330" s="499"/>
      <c r="M330" s="87" t="str">
        <f t="shared" ca="1" si="7"/>
        <v xml:space="preserve">       </v>
      </c>
    </row>
    <row r="331" spans="1:13" x14ac:dyDescent="0.2">
      <c r="A331" s="493" t="str">
        <f t="shared" ca="1" si="8"/>
        <v xml:space="preserve">       </v>
      </c>
      <c r="B331" s="493"/>
      <c r="C331" s="497"/>
      <c r="D331" s="498"/>
      <c r="E331" s="498"/>
      <c r="F331" s="498"/>
      <c r="G331" s="498"/>
      <c r="H331" s="498"/>
      <c r="I331" s="498"/>
      <c r="J331" s="498"/>
      <c r="K331" s="498"/>
      <c r="L331" s="499"/>
      <c r="M331" s="87" t="str">
        <f t="shared" ca="1" si="7"/>
        <v xml:space="preserve">       </v>
      </c>
    </row>
    <row r="332" spans="1:13" x14ac:dyDescent="0.2">
      <c r="A332" s="493" t="str">
        <f t="shared" ca="1" si="8"/>
        <v xml:space="preserve">       </v>
      </c>
      <c r="B332" s="493"/>
      <c r="C332" s="497"/>
      <c r="D332" s="498"/>
      <c r="E332" s="498"/>
      <c r="F332" s="498"/>
      <c r="G332" s="498"/>
      <c r="H332" s="498"/>
      <c r="I332" s="498"/>
      <c r="J332" s="498"/>
      <c r="K332" s="498"/>
      <c r="L332" s="499"/>
      <c r="M332" s="87" t="str">
        <f t="shared" ca="1" si="7"/>
        <v xml:space="preserve">       </v>
      </c>
    </row>
    <row r="333" spans="1:13" x14ac:dyDescent="0.2">
      <c r="A333" s="493" t="str">
        <f t="shared" ca="1" si="8"/>
        <v xml:space="preserve">       </v>
      </c>
      <c r="B333" s="493"/>
      <c r="C333" s="497"/>
      <c r="D333" s="498"/>
      <c r="E333" s="498"/>
      <c r="F333" s="498"/>
      <c r="G333" s="498"/>
      <c r="H333" s="498"/>
      <c r="I333" s="498"/>
      <c r="J333" s="498"/>
      <c r="K333" s="498"/>
      <c r="L333" s="499"/>
      <c r="M333" s="87" t="str">
        <f t="shared" ca="1" si="7"/>
        <v xml:space="preserve">       </v>
      </c>
    </row>
    <row r="334" spans="1:13" x14ac:dyDescent="0.2">
      <c r="A334" s="493" t="str">
        <f t="shared" ca="1" si="8"/>
        <v xml:space="preserve">       </v>
      </c>
      <c r="B334" s="493"/>
      <c r="C334" s="497"/>
      <c r="D334" s="498"/>
      <c r="E334" s="498"/>
      <c r="F334" s="498"/>
      <c r="G334" s="498"/>
      <c r="H334" s="498"/>
      <c r="I334" s="498"/>
      <c r="J334" s="498"/>
      <c r="K334" s="498"/>
      <c r="L334" s="499"/>
      <c r="M334" s="87" t="str">
        <f t="shared" ca="1" si="7"/>
        <v xml:space="preserve">       </v>
      </c>
    </row>
    <row r="335" spans="1:13" x14ac:dyDescent="0.2">
      <c r="A335" s="493" t="str">
        <f t="shared" ca="1" si="8"/>
        <v xml:space="preserve">       </v>
      </c>
      <c r="B335" s="493"/>
      <c r="C335" s="497"/>
      <c r="D335" s="498"/>
      <c r="E335" s="498"/>
      <c r="F335" s="498"/>
      <c r="G335" s="498"/>
      <c r="H335" s="498"/>
      <c r="I335" s="498"/>
      <c r="J335" s="498"/>
      <c r="K335" s="498"/>
      <c r="L335" s="499"/>
      <c r="M335" s="87" t="str">
        <f t="shared" ca="1" si="7"/>
        <v xml:space="preserve">       </v>
      </c>
    </row>
    <row r="336" spans="1:13" x14ac:dyDescent="0.2">
      <c r="A336" s="493" t="str">
        <f t="shared" ca="1" si="8"/>
        <v xml:space="preserve">       </v>
      </c>
      <c r="B336" s="493"/>
      <c r="C336" s="497"/>
      <c r="D336" s="498"/>
      <c r="E336" s="498"/>
      <c r="F336" s="498"/>
      <c r="G336" s="498"/>
      <c r="H336" s="498"/>
      <c r="I336" s="498"/>
      <c r="J336" s="498"/>
      <c r="K336" s="498"/>
      <c r="L336" s="499"/>
      <c r="M336" s="87" t="str">
        <f t="shared" ca="1" si="7"/>
        <v xml:space="preserve">       </v>
      </c>
    </row>
    <row r="337" spans="1:13" x14ac:dyDescent="0.2">
      <c r="A337" s="493" t="str">
        <f t="shared" ca="1" si="8"/>
        <v xml:space="preserve">       </v>
      </c>
      <c r="B337" s="493"/>
      <c r="C337" s="497"/>
      <c r="D337" s="498"/>
      <c r="E337" s="498"/>
      <c r="F337" s="498"/>
      <c r="G337" s="498"/>
      <c r="H337" s="498"/>
      <c r="I337" s="498"/>
      <c r="J337" s="498"/>
      <c r="K337" s="498"/>
      <c r="L337" s="499"/>
      <c r="M337" s="87" t="str">
        <f t="shared" ca="1" si="7"/>
        <v xml:space="preserve">       </v>
      </c>
    </row>
    <row r="338" spans="1:13" x14ac:dyDescent="0.2">
      <c r="A338" s="493" t="str">
        <f t="shared" ca="1" si="8"/>
        <v xml:space="preserve">       </v>
      </c>
      <c r="B338" s="493"/>
      <c r="C338" s="497"/>
      <c r="D338" s="498"/>
      <c r="E338" s="498"/>
      <c r="F338" s="498"/>
      <c r="G338" s="498"/>
      <c r="H338" s="498"/>
      <c r="I338" s="498"/>
      <c r="J338" s="498"/>
      <c r="K338" s="498"/>
      <c r="L338" s="499"/>
      <c r="M338" s="87" t="str">
        <f t="shared" ca="1" si="7"/>
        <v xml:space="preserve">       </v>
      </c>
    </row>
    <row r="339" spans="1:13" x14ac:dyDescent="0.2">
      <c r="A339" s="493" t="str">
        <f t="shared" ca="1" si="8"/>
        <v xml:space="preserve">       </v>
      </c>
      <c r="B339" s="493"/>
      <c r="C339" s="497"/>
      <c r="D339" s="498"/>
      <c r="E339" s="498"/>
      <c r="F339" s="498"/>
      <c r="G339" s="498"/>
      <c r="H339" s="498"/>
      <c r="I339" s="498"/>
      <c r="J339" s="498"/>
      <c r="K339" s="498"/>
      <c r="L339" s="499"/>
      <c r="M339" s="87" t="str">
        <f t="shared" ca="1" si="7"/>
        <v xml:space="preserve">       </v>
      </c>
    </row>
    <row r="340" spans="1:13" x14ac:dyDescent="0.2">
      <c r="A340" s="493" t="str">
        <f t="shared" ca="1" si="8"/>
        <v xml:space="preserve">       </v>
      </c>
      <c r="B340" s="493"/>
      <c r="C340" s="497"/>
      <c r="D340" s="498"/>
      <c r="E340" s="498"/>
      <c r="F340" s="498"/>
      <c r="G340" s="498"/>
      <c r="H340" s="498"/>
      <c r="I340" s="498"/>
      <c r="J340" s="498"/>
      <c r="K340" s="498"/>
      <c r="L340" s="499"/>
      <c r="M340" s="87" t="str">
        <f t="shared" ca="1" si="7"/>
        <v xml:space="preserve">       </v>
      </c>
    </row>
    <row r="341" spans="1:13" x14ac:dyDescent="0.2">
      <c r="A341" s="493" t="str">
        <f t="shared" ca="1" si="8"/>
        <v xml:space="preserve">       </v>
      </c>
      <c r="B341" s="493"/>
      <c r="C341" s="497"/>
      <c r="D341" s="498"/>
      <c r="E341" s="498"/>
      <c r="F341" s="498"/>
      <c r="G341" s="498"/>
      <c r="H341" s="498"/>
      <c r="I341" s="498"/>
      <c r="J341" s="498"/>
      <c r="K341" s="498"/>
      <c r="L341" s="499"/>
      <c r="M341" s="87" t="str">
        <f t="shared" ca="1" si="7"/>
        <v xml:space="preserve">       </v>
      </c>
    </row>
    <row r="342" spans="1:13" x14ac:dyDescent="0.2">
      <c r="A342" s="493" t="str">
        <f t="shared" ca="1" si="8"/>
        <v xml:space="preserve">       </v>
      </c>
      <c r="B342" s="493"/>
      <c r="C342" s="497"/>
      <c r="D342" s="498"/>
      <c r="E342" s="498"/>
      <c r="F342" s="498"/>
      <c r="G342" s="498"/>
      <c r="H342" s="498"/>
      <c r="I342" s="498"/>
      <c r="J342" s="498"/>
      <c r="K342" s="498"/>
      <c r="L342" s="499"/>
      <c r="M342" s="87" t="str">
        <f t="shared" ca="1" si="7"/>
        <v xml:space="preserve">       </v>
      </c>
    </row>
    <row r="343" spans="1:13" x14ac:dyDescent="0.2">
      <c r="A343" s="493" t="str">
        <f t="shared" ca="1" si="8"/>
        <v xml:space="preserve">       </v>
      </c>
      <c r="B343" s="493"/>
      <c r="C343" s="497"/>
      <c r="D343" s="498"/>
      <c r="E343" s="498"/>
      <c r="F343" s="498"/>
      <c r="G343" s="498"/>
      <c r="H343" s="498"/>
      <c r="I343" s="498"/>
      <c r="J343" s="498"/>
      <c r="K343" s="498"/>
      <c r="L343" s="499"/>
      <c r="M343" s="87" t="str">
        <f t="shared" ca="1" si="7"/>
        <v xml:space="preserve">       </v>
      </c>
    </row>
    <row r="344" spans="1:13" x14ac:dyDescent="0.2">
      <c r="A344" s="493" t="str">
        <f t="shared" ca="1" si="8"/>
        <v xml:space="preserve">       </v>
      </c>
      <c r="B344" s="493"/>
      <c r="C344" s="497"/>
      <c r="D344" s="498"/>
      <c r="E344" s="498"/>
      <c r="F344" s="498"/>
      <c r="G344" s="498"/>
      <c r="H344" s="498"/>
      <c r="I344" s="498"/>
      <c r="J344" s="498"/>
      <c r="K344" s="498"/>
      <c r="L344" s="499"/>
      <c r="M344" s="87" t="str">
        <f t="shared" ca="1" si="7"/>
        <v xml:space="preserve">       </v>
      </c>
    </row>
    <row r="345" spans="1:13" x14ac:dyDescent="0.2">
      <c r="A345" s="493" t="str">
        <f ca="1">OFFSET($A$9,(ROW()-326)*10-1,0)</f>
        <v xml:space="preserve">       </v>
      </c>
      <c r="B345" s="493"/>
      <c r="C345" s="497"/>
      <c r="D345" s="498"/>
      <c r="E345" s="498"/>
      <c r="F345" s="498"/>
      <c r="G345" s="498"/>
      <c r="H345" s="498"/>
      <c r="I345" s="498"/>
      <c r="J345" s="498"/>
      <c r="K345" s="498"/>
      <c r="L345" s="499"/>
      <c r="M345" s="87" t="str">
        <f t="shared" ca="1" si="7"/>
        <v xml:space="preserve">       </v>
      </c>
    </row>
    <row r="346" spans="1:13" x14ac:dyDescent="0.2">
      <c r="A346" s="493" t="str">
        <f t="shared" ca="1" si="8"/>
        <v xml:space="preserve">       </v>
      </c>
      <c r="B346" s="493"/>
      <c r="C346" s="497"/>
      <c r="D346" s="498"/>
      <c r="E346" s="498"/>
      <c r="F346" s="498"/>
      <c r="G346" s="498"/>
      <c r="H346" s="498"/>
      <c r="I346" s="498"/>
      <c r="J346" s="498"/>
      <c r="K346" s="498"/>
      <c r="L346" s="499"/>
      <c r="M346" s="87" t="str">
        <f t="shared" ca="1" si="7"/>
        <v xml:space="preserve">       </v>
      </c>
    </row>
    <row r="347" spans="1:13" x14ac:dyDescent="0.2">
      <c r="A347" s="493" t="str">
        <f ca="1">OFFSET($A$213,(ROW()-346)*10-1,0)</f>
        <v xml:space="preserve">       </v>
      </c>
      <c r="B347" s="493"/>
      <c r="C347" s="497"/>
      <c r="D347" s="498"/>
      <c r="E347" s="498"/>
      <c r="F347" s="498"/>
      <c r="G347" s="498"/>
      <c r="H347" s="498"/>
      <c r="I347" s="498"/>
      <c r="J347" s="498"/>
      <c r="K347" s="498"/>
      <c r="L347" s="499"/>
      <c r="M347" s="87" t="str">
        <f t="shared" ca="1" si="7"/>
        <v xml:space="preserve">       </v>
      </c>
    </row>
    <row r="348" spans="1:13" x14ac:dyDescent="0.2">
      <c r="A348" s="493" t="str">
        <f t="shared" ref="A348:A356" ca="1" si="9">OFFSET($A$213,(ROW()-346)*10-1,0)</f>
        <v xml:space="preserve">       </v>
      </c>
      <c r="B348" s="493"/>
      <c r="C348" s="497"/>
      <c r="D348" s="498"/>
      <c r="E348" s="498"/>
      <c r="F348" s="498"/>
      <c r="G348" s="498"/>
      <c r="H348" s="498"/>
      <c r="I348" s="498"/>
      <c r="J348" s="498"/>
      <c r="K348" s="498"/>
      <c r="L348" s="499"/>
      <c r="M348" s="87" t="str">
        <f t="shared" ca="1" si="7"/>
        <v xml:space="preserve">       </v>
      </c>
    </row>
    <row r="349" spans="1:13" x14ac:dyDescent="0.2">
      <c r="A349" s="493" t="str">
        <f t="shared" ca="1" si="9"/>
        <v xml:space="preserve">       </v>
      </c>
      <c r="B349" s="493"/>
      <c r="C349" s="497"/>
      <c r="D349" s="498"/>
      <c r="E349" s="498"/>
      <c r="F349" s="498"/>
      <c r="G349" s="498"/>
      <c r="H349" s="498"/>
      <c r="I349" s="498"/>
      <c r="J349" s="498"/>
      <c r="K349" s="498"/>
      <c r="L349" s="499"/>
      <c r="M349" s="87" t="str">
        <f t="shared" ca="1" si="7"/>
        <v xml:space="preserve">       </v>
      </c>
    </row>
    <row r="350" spans="1:13" x14ac:dyDescent="0.2">
      <c r="A350" s="493" t="str">
        <f t="shared" ca="1" si="9"/>
        <v xml:space="preserve">       </v>
      </c>
      <c r="B350" s="493"/>
      <c r="C350" s="497"/>
      <c r="D350" s="498"/>
      <c r="E350" s="498"/>
      <c r="F350" s="498"/>
      <c r="G350" s="498"/>
      <c r="H350" s="498"/>
      <c r="I350" s="498"/>
      <c r="J350" s="498"/>
      <c r="K350" s="498"/>
      <c r="L350" s="499"/>
      <c r="M350" s="87" t="str">
        <f t="shared" ca="1" si="7"/>
        <v xml:space="preserve">       </v>
      </c>
    </row>
    <row r="351" spans="1:13" x14ac:dyDescent="0.2">
      <c r="A351" s="493" t="str">
        <f t="shared" ca="1" si="9"/>
        <v xml:space="preserve">       </v>
      </c>
      <c r="B351" s="493"/>
      <c r="C351" s="497"/>
      <c r="D351" s="498"/>
      <c r="E351" s="498"/>
      <c r="F351" s="498"/>
      <c r="G351" s="498"/>
      <c r="H351" s="498"/>
      <c r="I351" s="498"/>
      <c r="J351" s="498"/>
      <c r="K351" s="498"/>
      <c r="L351" s="499"/>
      <c r="M351" s="87" t="str">
        <f t="shared" ca="1" si="7"/>
        <v xml:space="preserve">       </v>
      </c>
    </row>
    <row r="352" spans="1:13" x14ac:dyDescent="0.2">
      <c r="A352" s="493" t="str">
        <f t="shared" ca="1" si="9"/>
        <v xml:space="preserve">       </v>
      </c>
      <c r="B352" s="493"/>
      <c r="C352" s="497"/>
      <c r="D352" s="498"/>
      <c r="E352" s="498"/>
      <c r="F352" s="498"/>
      <c r="G352" s="498"/>
      <c r="H352" s="498"/>
      <c r="I352" s="498"/>
      <c r="J352" s="498"/>
      <c r="K352" s="498"/>
      <c r="L352" s="499"/>
      <c r="M352" s="87" t="str">
        <f t="shared" ca="1" si="7"/>
        <v xml:space="preserve">       </v>
      </c>
    </row>
    <row r="353" spans="1:13" x14ac:dyDescent="0.2">
      <c r="A353" s="493" t="str">
        <f t="shared" ca="1" si="9"/>
        <v xml:space="preserve">       </v>
      </c>
      <c r="B353" s="493"/>
      <c r="C353" s="497"/>
      <c r="D353" s="498"/>
      <c r="E353" s="498"/>
      <c r="F353" s="498"/>
      <c r="G353" s="498"/>
      <c r="H353" s="498"/>
      <c r="I353" s="498"/>
      <c r="J353" s="498"/>
      <c r="K353" s="498"/>
      <c r="L353" s="499"/>
      <c r="M353" s="87" t="str">
        <f t="shared" ca="1" si="7"/>
        <v xml:space="preserve">       </v>
      </c>
    </row>
    <row r="354" spans="1:13" x14ac:dyDescent="0.2">
      <c r="A354" s="493" t="str">
        <f t="shared" ca="1" si="9"/>
        <v xml:space="preserve">       </v>
      </c>
      <c r="B354" s="493"/>
      <c r="C354" s="497"/>
      <c r="D354" s="498"/>
      <c r="E354" s="498"/>
      <c r="F354" s="498"/>
      <c r="G354" s="498"/>
      <c r="H354" s="498"/>
      <c r="I354" s="498"/>
      <c r="J354" s="498"/>
      <c r="K354" s="498"/>
      <c r="L354" s="499"/>
      <c r="M354" s="87" t="str">
        <f t="shared" ca="1" si="7"/>
        <v xml:space="preserve">       </v>
      </c>
    </row>
    <row r="355" spans="1:13" x14ac:dyDescent="0.2">
      <c r="A355" s="493" t="str">
        <f t="shared" ca="1" si="9"/>
        <v xml:space="preserve">       </v>
      </c>
      <c r="B355" s="493"/>
      <c r="C355" s="497"/>
      <c r="D355" s="498"/>
      <c r="E355" s="498"/>
      <c r="F355" s="498"/>
      <c r="G355" s="498"/>
      <c r="H355" s="498"/>
      <c r="I355" s="498"/>
      <c r="J355" s="498"/>
      <c r="K355" s="498"/>
      <c r="L355" s="499"/>
      <c r="M355" s="87" t="str">
        <f t="shared" ca="1" si="7"/>
        <v xml:space="preserve">       </v>
      </c>
    </row>
    <row r="356" spans="1:13" x14ac:dyDescent="0.2">
      <c r="A356" s="493" t="str">
        <f t="shared" ca="1" si="9"/>
        <v xml:space="preserve">       </v>
      </c>
      <c r="B356" s="493"/>
      <c r="C356" s="500"/>
      <c r="D356" s="501"/>
      <c r="E356" s="501"/>
      <c r="F356" s="501"/>
      <c r="G356" s="501"/>
      <c r="H356" s="501"/>
      <c r="I356" s="501"/>
      <c r="J356" s="501"/>
      <c r="K356" s="501"/>
      <c r="L356" s="502"/>
      <c r="M356" s="87" t="str">
        <f t="shared" ca="1" si="7"/>
        <v xml:space="preserve">       </v>
      </c>
    </row>
    <row r="357" spans="1:13" s="55" customFormat="1" ht="18" customHeight="1" x14ac:dyDescent="0.2">
      <c r="A357" s="489" t="str">
        <f>'M1'!A357:L357</f>
        <v>EXPERIENCIAS FORMATIVAS EN SITUACIONES REALES DE TRABAJO (EFSRT)</v>
      </c>
      <c r="B357" s="489"/>
      <c r="C357" s="489"/>
      <c r="D357" s="489"/>
      <c r="E357" s="489"/>
      <c r="F357" s="489"/>
      <c r="G357" s="489"/>
      <c r="H357" s="489"/>
      <c r="I357" s="489"/>
      <c r="J357" s="489"/>
      <c r="K357" s="489"/>
      <c r="L357" s="489"/>
      <c r="M357" s="87" t="str">
        <f t="shared" si="7"/>
        <v>EXPERIENCIAS FORMATIVAS EN SITUACIONES REALES DE TRABAJO (EFSRT)</v>
      </c>
    </row>
    <row r="358" spans="1:13" s="55" customFormat="1" ht="18.75" customHeight="1" x14ac:dyDescent="0.2">
      <c r="A358" s="148" t="str">
        <f>'M1'!A358</f>
        <v>LUGAR PARA EL DESARROLLO DE LA EFSRT</v>
      </c>
      <c r="B358" s="148" t="str">
        <f>'M1'!B358</f>
        <v>AMBIENTES/ÁREAS (1)</v>
      </c>
      <c r="C358" s="490" t="str">
        <f>'M1'!C358:J358</f>
        <v>DESCRIPCIÓN DE LA ESTRATEGIA PARA LA IMPLEMENTACIÓN DE LA EFSRT (2)</v>
      </c>
      <c r="D358" s="490"/>
      <c r="E358" s="490"/>
      <c r="F358" s="490"/>
      <c r="G358" s="490"/>
      <c r="H358" s="490"/>
      <c r="I358" s="490"/>
      <c r="J358" s="490"/>
      <c r="K358" s="148" t="str">
        <f>'M1'!K358</f>
        <v>CRÉDITOS</v>
      </c>
      <c r="L358" s="148" t="str">
        <f>'M1'!L358</f>
        <v>HORAS (P)</v>
      </c>
      <c r="M358" s="87" t="str">
        <f t="shared" si="7"/>
        <v>LUGAR PARA EL DESARROLLO DE LA EFSRT</v>
      </c>
    </row>
    <row r="359" spans="1:13" s="55" customFormat="1" ht="12.75" customHeight="1" x14ac:dyDescent="0.2">
      <c r="A359" s="155"/>
      <c r="B359" s="155"/>
      <c r="C359" s="486"/>
      <c r="D359" s="487"/>
      <c r="E359" s="487"/>
      <c r="F359" s="487"/>
      <c r="G359" s="487"/>
      <c r="H359" s="487"/>
      <c r="I359" s="487"/>
      <c r="J359" s="488"/>
      <c r="K359" s="17">
        <f>Organización_Modular!I164</f>
        <v>0</v>
      </c>
      <c r="L359" s="18">
        <f>K359*32</f>
        <v>0</v>
      </c>
      <c r="M359" s="87">
        <f>C359</f>
        <v>0</v>
      </c>
    </row>
    <row r="360" spans="1:13" s="55" customFormat="1" x14ac:dyDescent="0.2">
      <c r="A360" s="155"/>
      <c r="B360" s="155"/>
      <c r="C360" s="486"/>
      <c r="D360" s="487"/>
      <c r="E360" s="487"/>
      <c r="F360" s="487"/>
      <c r="G360" s="487"/>
      <c r="H360" s="487"/>
      <c r="I360" s="487"/>
      <c r="J360" s="488"/>
      <c r="K360" s="84"/>
      <c r="L360" s="85"/>
      <c r="M360" s="87">
        <f>C360</f>
        <v>0</v>
      </c>
    </row>
    <row r="361" spans="1:13" ht="30" customHeight="1" x14ac:dyDescent="0.2">
      <c r="A361" s="491">
        <f>'M1'!A361</f>
        <v>0</v>
      </c>
      <c r="B361" s="492"/>
      <c r="M361" s="87">
        <f>A361</f>
        <v>0</v>
      </c>
    </row>
    <row r="362" spans="1:13" x14ac:dyDescent="0.2">
      <c r="A362" s="129" t="s">
        <v>146</v>
      </c>
      <c r="B362" s="130" t="s">
        <v>115</v>
      </c>
    </row>
    <row r="363" spans="1:13" x14ac:dyDescent="0.2">
      <c r="A363" s="129" t="s">
        <v>112</v>
      </c>
      <c r="B363" s="130" t="s">
        <v>116</v>
      </c>
    </row>
    <row r="364" spans="1:13" x14ac:dyDescent="0.2">
      <c r="A364" s="129"/>
      <c r="B364" s="130" t="s">
        <v>119</v>
      </c>
    </row>
    <row r="365" spans="1:13" x14ac:dyDescent="0.2">
      <c r="A365" s="129"/>
      <c r="B365" s="130" t="s">
        <v>117</v>
      </c>
    </row>
    <row r="366" spans="1:13" x14ac:dyDescent="0.2">
      <c r="A366" s="129"/>
      <c r="B366" s="130" t="s">
        <v>118</v>
      </c>
    </row>
    <row r="367" spans="1:13" x14ac:dyDescent="0.2">
      <c r="A367" s="126"/>
      <c r="B367" s="130" t="s">
        <v>120</v>
      </c>
    </row>
  </sheetData>
  <sheetProtection formatRows="0" autoFilter="0"/>
  <autoFilter ref="A16:M367" xr:uid="{00000000-0009-0000-0000-000009000000}">
    <filterColumn colId="5" showButton="0"/>
    <filterColumn colId="8" showButton="0"/>
  </autoFilter>
  <mergeCells count="142">
    <mergeCell ref="A128:A137"/>
    <mergeCell ref="A138:A147"/>
    <mergeCell ref="A148:A157"/>
    <mergeCell ref="A158:A167"/>
    <mergeCell ref="A168:A177"/>
    <mergeCell ref="A178:A187"/>
    <mergeCell ref="A188:A197"/>
    <mergeCell ref="A198:A207"/>
    <mergeCell ref="A208:A217"/>
    <mergeCell ref="A38:A47"/>
    <mergeCell ref="A48:A57"/>
    <mergeCell ref="A58:A67"/>
    <mergeCell ref="A68:A77"/>
    <mergeCell ref="A78:A87"/>
    <mergeCell ref="A88:A97"/>
    <mergeCell ref="A98:A107"/>
    <mergeCell ref="A108:A117"/>
    <mergeCell ref="A118:A127"/>
    <mergeCell ref="F7:H7"/>
    <mergeCell ref="I7:L7"/>
    <mergeCell ref="F9:H9"/>
    <mergeCell ref="I9:L9"/>
    <mergeCell ref="B11:C11"/>
    <mergeCell ref="F11:H11"/>
    <mergeCell ref="I11:L11"/>
    <mergeCell ref="A1:L1"/>
    <mergeCell ref="B3:C3"/>
    <mergeCell ref="F3:H3"/>
    <mergeCell ref="I3:L3"/>
    <mergeCell ref="F5:H5"/>
    <mergeCell ref="I5:L5"/>
    <mergeCell ref="B7:C7"/>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L38:L47"/>
    <mergeCell ref="L48:L57"/>
    <mergeCell ref="L58:L67"/>
    <mergeCell ref="L68:L77"/>
    <mergeCell ref="L78:L87"/>
    <mergeCell ref="L88:L97"/>
    <mergeCell ref="I16:J16"/>
    <mergeCell ref="K16:K17"/>
    <mergeCell ref="L16:L17"/>
    <mergeCell ref="L158:L167"/>
    <mergeCell ref="L168:L177"/>
    <mergeCell ref="L178:L187"/>
    <mergeCell ref="L188:L197"/>
    <mergeCell ref="L198:L207"/>
    <mergeCell ref="L208:L217"/>
    <mergeCell ref="L98:L107"/>
    <mergeCell ref="L108:L117"/>
    <mergeCell ref="L118:L127"/>
    <mergeCell ref="L128:L137"/>
    <mergeCell ref="L138:L147"/>
    <mergeCell ref="L148:L157"/>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44:B344"/>
    <mergeCell ref="A345:B345"/>
    <mergeCell ref="A346:B346"/>
    <mergeCell ref="A347:B347"/>
    <mergeCell ref="A361:B361"/>
    <mergeCell ref="C359:J359"/>
    <mergeCell ref="C360:J360"/>
    <mergeCell ref="A354:B354"/>
    <mergeCell ref="A355:B355"/>
    <mergeCell ref="A356:B356"/>
    <mergeCell ref="A357:L357"/>
    <mergeCell ref="C358:J358"/>
  </mergeCells>
  <conditionalFormatting sqref="C18:C217 L18:L217 C222:C321 L222:L321 C327:L356 A359:J360">
    <cfRule type="containsBlanks" dxfId="55"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AJ214"/>
  <sheetViews>
    <sheetView showGridLines="0" tabSelected="1" zoomScale="80" zoomScaleNormal="80" zoomScaleSheetLayoutView="112" workbookViewId="0">
      <selection activeCell="C75" sqref="C75:C84"/>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5703125" style="2" customWidth="1"/>
    <col min="5" max="5" width="17.140625" style="2" customWidth="1"/>
    <col min="6" max="17" width="4.28515625" style="2" customWidth="1"/>
    <col min="18" max="19" width="10.7109375" style="2" customWidth="1"/>
    <col min="20" max="20" width="12.7109375" style="62" customWidth="1"/>
    <col min="21" max="22" width="10.7109375" style="62" customWidth="1"/>
    <col min="23" max="23" width="12.7109375" style="62" customWidth="1"/>
    <col min="24" max="24" width="4.85546875" style="2" customWidth="1"/>
    <col min="25" max="25" width="4.140625" style="2" customWidth="1"/>
    <col min="26" max="26" width="4.42578125" style="2" customWidth="1"/>
    <col min="27" max="36" width="4.140625" style="2" customWidth="1"/>
    <col min="37" max="16384" width="11.42578125" style="2"/>
  </cols>
  <sheetData>
    <row r="1" spans="1:36" ht="39" customHeight="1" x14ac:dyDescent="0.2">
      <c r="A1" s="559" t="s">
        <v>145</v>
      </c>
      <c r="B1" s="560"/>
      <c r="C1" s="560"/>
      <c r="D1" s="560"/>
      <c r="E1" s="560"/>
      <c r="F1" s="560"/>
      <c r="G1" s="560"/>
      <c r="H1" s="560"/>
      <c r="I1" s="560"/>
      <c r="J1" s="560"/>
      <c r="K1" s="560"/>
      <c r="L1" s="560"/>
      <c r="M1" s="560"/>
      <c r="N1" s="560"/>
      <c r="O1" s="560"/>
      <c r="P1" s="560"/>
      <c r="Q1" s="560"/>
      <c r="R1" s="560"/>
      <c r="S1" s="560"/>
      <c r="T1" s="560"/>
      <c r="U1" s="560"/>
      <c r="V1" s="560"/>
      <c r="W1" s="560"/>
      <c r="X1" s="9"/>
    </row>
    <row r="2" spans="1:36" ht="27" customHeight="1" x14ac:dyDescent="0.2">
      <c r="A2" s="35"/>
      <c r="B2" s="35"/>
      <c r="C2" s="35"/>
      <c r="D2" s="35"/>
      <c r="E2" s="35"/>
      <c r="F2" s="35"/>
      <c r="G2" s="35"/>
      <c r="H2" s="35"/>
      <c r="I2" s="35"/>
      <c r="J2" s="35"/>
      <c r="K2" s="35"/>
      <c r="L2" s="35"/>
      <c r="M2" s="35"/>
      <c r="N2" s="35"/>
      <c r="O2" s="35"/>
      <c r="P2" s="35"/>
      <c r="Q2" s="35"/>
      <c r="R2" s="35"/>
      <c r="S2" s="35"/>
      <c r="T2" s="35"/>
      <c r="U2" s="35"/>
      <c r="V2" s="35"/>
      <c r="W2" s="35"/>
      <c r="X2" s="9"/>
    </row>
    <row r="3" spans="1:36" ht="32.25" customHeight="1" x14ac:dyDescent="0.2">
      <c r="A3" s="544" t="s">
        <v>95</v>
      </c>
      <c r="B3" s="544"/>
      <c r="C3" s="545" t="str">
        <f>Perfil_Egreso!B3</f>
        <v xml:space="preserve">CETPRO JUANJUI </v>
      </c>
      <c r="D3" s="545"/>
      <c r="E3" s="545"/>
      <c r="F3" s="545"/>
      <c r="G3" s="545"/>
      <c r="H3" s="545"/>
      <c r="I3" s="545"/>
      <c r="J3" s="545"/>
      <c r="K3" s="545"/>
      <c r="L3" s="539" t="s">
        <v>142</v>
      </c>
      <c r="M3" s="539"/>
      <c r="N3" s="539"/>
      <c r="O3" s="539"/>
      <c r="P3" s="539"/>
      <c r="Q3" s="539"/>
      <c r="R3" s="539"/>
      <c r="S3" s="545" t="str">
        <f>Perfil_Egreso!E3</f>
        <v>0533836</v>
      </c>
      <c r="T3" s="545"/>
      <c r="U3" s="545"/>
      <c r="V3" s="545"/>
      <c r="W3" s="545"/>
      <c r="X3" s="9"/>
    </row>
    <row r="4" spans="1:36" ht="21" customHeight="1" x14ac:dyDescent="0.2">
      <c r="A4" s="70"/>
      <c r="B4" s="70"/>
      <c r="C4" s="36"/>
      <c r="D4" s="36"/>
      <c r="E4" s="36"/>
      <c r="F4" s="36"/>
      <c r="G4" s="36"/>
      <c r="H4" s="100"/>
      <c r="I4" s="100"/>
      <c r="J4" s="100"/>
      <c r="K4" s="100"/>
      <c r="L4" s="100"/>
      <c r="M4" s="100"/>
      <c r="N4" s="100"/>
      <c r="O4" s="100"/>
      <c r="P4" s="100"/>
      <c r="Q4" s="101"/>
      <c r="R4" s="101"/>
      <c r="S4" s="101"/>
      <c r="T4" s="100"/>
      <c r="U4" s="100"/>
      <c r="V4" s="100"/>
      <c r="W4" s="100"/>
      <c r="X4" s="9"/>
    </row>
    <row r="5" spans="1:36" ht="37.5" customHeight="1" x14ac:dyDescent="0.2">
      <c r="A5" s="544" t="s">
        <v>40</v>
      </c>
      <c r="B5" s="544"/>
      <c r="C5" s="545" t="str">
        <f>Perfil_Egreso!B5</f>
        <v>Actividades profesionales, científicas y técnicas</v>
      </c>
      <c r="D5" s="545"/>
      <c r="E5" s="561" t="s">
        <v>41</v>
      </c>
      <c r="F5" s="562"/>
      <c r="G5" s="545" t="str">
        <f>Perfil_Egreso!D5</f>
        <v>Servicios prestados a empresas</v>
      </c>
      <c r="H5" s="545"/>
      <c r="I5" s="545"/>
      <c r="J5" s="545"/>
      <c r="K5" s="545"/>
      <c r="L5" s="545"/>
      <c r="M5" s="545"/>
      <c r="N5" s="545"/>
      <c r="O5" s="545"/>
      <c r="P5" s="551" t="s">
        <v>42</v>
      </c>
      <c r="Q5" s="551"/>
      <c r="R5" s="551"/>
      <c r="S5" s="551"/>
      <c r="T5" s="545" t="str">
        <f>Perfil_Egreso!B7</f>
        <v>Actividades administrativas y de apoyo de oficina y otras actividades de
apoyo a las empresas</v>
      </c>
      <c r="U5" s="545"/>
      <c r="V5" s="545"/>
      <c r="W5" s="545"/>
      <c r="X5" s="9"/>
    </row>
    <row r="6" spans="1:36" ht="19.5" customHeight="1" x14ac:dyDescent="0.2">
      <c r="A6" s="98"/>
      <c r="B6" s="98"/>
      <c r="C6" s="37"/>
      <c r="D6" s="37"/>
      <c r="E6" s="37"/>
      <c r="F6" s="37"/>
      <c r="G6" s="37"/>
      <c r="H6" s="100"/>
      <c r="I6" s="100"/>
      <c r="J6" s="100"/>
      <c r="K6" s="100"/>
      <c r="L6" s="100"/>
      <c r="M6" s="100"/>
      <c r="N6" s="100"/>
      <c r="O6" s="100"/>
      <c r="P6" s="100"/>
      <c r="Q6" s="101"/>
      <c r="R6" s="101"/>
      <c r="S6" s="101"/>
      <c r="T6" s="100"/>
      <c r="U6" s="100"/>
      <c r="V6" s="100"/>
      <c r="W6" s="100"/>
      <c r="X6" s="9"/>
    </row>
    <row r="7" spans="1:36" ht="51" customHeight="1" x14ac:dyDescent="0.2">
      <c r="A7" s="552" t="s">
        <v>121</v>
      </c>
      <c r="B7" s="552"/>
      <c r="C7" s="526" t="str">
        <f>Perfil_Egreso!B10</f>
        <v>APOYO ADMINISTRATIVO</v>
      </c>
      <c r="D7" s="527"/>
      <c r="E7" s="527"/>
      <c r="F7" s="527"/>
      <c r="G7" s="527"/>
      <c r="H7" s="527"/>
      <c r="I7" s="527"/>
      <c r="J7" s="527"/>
      <c r="K7" s="527"/>
      <c r="L7" s="527"/>
      <c r="M7" s="527"/>
      <c r="N7" s="527"/>
      <c r="O7" s="527"/>
      <c r="P7" s="527"/>
      <c r="Q7" s="527"/>
      <c r="R7" s="527"/>
      <c r="S7" s="527"/>
      <c r="T7" s="527"/>
      <c r="U7" s="527"/>
      <c r="V7" s="527"/>
      <c r="W7" s="528"/>
      <c r="X7" s="9"/>
    </row>
    <row r="8" spans="1:36" ht="19.5" customHeight="1" x14ac:dyDescent="0.2">
      <c r="A8" s="9"/>
      <c r="B8" s="9"/>
      <c r="C8" s="36"/>
      <c r="D8" s="36"/>
      <c r="E8" s="36"/>
      <c r="F8" s="36"/>
      <c r="G8" s="36"/>
      <c r="H8" s="100"/>
      <c r="I8" s="100"/>
      <c r="J8" s="100"/>
      <c r="K8" s="100"/>
      <c r="L8" s="100"/>
      <c r="M8" s="100"/>
      <c r="N8" s="100"/>
      <c r="O8" s="100"/>
      <c r="P8" s="100"/>
      <c r="Q8" s="101"/>
      <c r="R8" s="101"/>
      <c r="S8" s="101"/>
      <c r="T8" s="100"/>
      <c r="U8" s="100"/>
      <c r="V8" s="100"/>
      <c r="W8" s="100"/>
      <c r="X8" s="9"/>
    </row>
    <row r="9" spans="1:36" ht="27" customHeight="1" x14ac:dyDescent="0.2">
      <c r="A9" s="546" t="s">
        <v>96</v>
      </c>
      <c r="B9" s="546"/>
      <c r="C9" s="547" t="str">
        <f>Perfil_Egreso!E10</f>
        <v>M2982-1-002</v>
      </c>
      <c r="D9" s="528"/>
      <c r="E9" s="529" t="s">
        <v>39</v>
      </c>
      <c r="F9" s="534"/>
      <c r="G9" s="526" t="str">
        <f>Perfil_Egreso!B14</f>
        <v>AUXILIAR TÉCNICO</v>
      </c>
      <c r="H9" s="527"/>
      <c r="I9" s="527"/>
      <c r="J9" s="527"/>
      <c r="K9" s="527"/>
      <c r="L9" s="528"/>
      <c r="M9" s="529" t="s">
        <v>127</v>
      </c>
      <c r="N9" s="530"/>
      <c r="O9" s="530"/>
      <c r="P9" s="531">
        <f>W17</f>
        <v>1072</v>
      </c>
      <c r="Q9" s="532"/>
      <c r="R9" s="533"/>
      <c r="S9" s="529" t="s">
        <v>34</v>
      </c>
      <c r="T9" s="534"/>
      <c r="U9" s="526">
        <f>T17</f>
        <v>40</v>
      </c>
      <c r="V9" s="527"/>
      <c r="W9" s="528"/>
      <c r="X9" s="9"/>
    </row>
    <row r="10" spans="1:36" ht="15.75" customHeight="1" x14ac:dyDescent="0.2">
      <c r="A10" s="140"/>
      <c r="B10" s="140"/>
      <c r="C10" s="39"/>
      <c r="D10" s="39"/>
      <c r="E10" s="39"/>
      <c r="F10" s="70"/>
      <c r="G10" s="39"/>
      <c r="H10" s="39"/>
      <c r="I10" s="39"/>
      <c r="J10" s="39"/>
      <c r="K10" s="39"/>
      <c r="L10" s="39"/>
      <c r="M10" s="39"/>
      <c r="N10" s="39"/>
      <c r="O10" s="39"/>
      <c r="P10" s="70"/>
      <c r="Q10" s="70"/>
      <c r="R10" s="70"/>
      <c r="S10" s="70"/>
      <c r="T10" s="35"/>
      <c r="U10" s="35"/>
      <c r="V10" s="35"/>
      <c r="W10" s="35"/>
      <c r="X10" s="9"/>
    </row>
    <row r="11" spans="1:36" ht="36" customHeight="1" x14ac:dyDescent="0.2">
      <c r="A11" s="552" t="s">
        <v>43</v>
      </c>
      <c r="B11" s="552"/>
      <c r="C11" s="553" t="str">
        <f>Perfil_Egreso!D12</f>
        <v>PRESENCIAL</v>
      </c>
      <c r="D11" s="554"/>
      <c r="E11" s="554"/>
      <c r="F11" s="554"/>
      <c r="G11" s="554"/>
      <c r="H11" s="554"/>
      <c r="I11" s="554"/>
      <c r="J11" s="554"/>
      <c r="K11" s="554"/>
      <c r="L11" s="554"/>
      <c r="M11" s="554"/>
      <c r="N11" s="554"/>
      <c r="O11" s="555"/>
      <c r="P11" s="70"/>
      <c r="Q11" s="70"/>
      <c r="R11" s="70"/>
      <c r="S11" s="70"/>
      <c r="T11" s="35"/>
      <c r="U11" s="35"/>
      <c r="V11" s="35"/>
      <c r="W11" s="35"/>
      <c r="X11" s="9"/>
    </row>
    <row r="12" spans="1:36" ht="15.75" customHeight="1" x14ac:dyDescent="0.2">
      <c r="A12" s="140"/>
      <c r="B12" s="140"/>
      <c r="C12" s="39"/>
      <c r="D12" s="39"/>
      <c r="E12" s="39"/>
      <c r="F12" s="70"/>
      <c r="G12" s="39"/>
      <c r="H12" s="39"/>
      <c r="I12" s="39"/>
      <c r="J12" s="39"/>
      <c r="K12" s="39"/>
      <c r="L12" s="39"/>
      <c r="M12" s="39"/>
      <c r="N12" s="39"/>
      <c r="O12" s="39"/>
      <c r="P12" s="70"/>
      <c r="Q12" s="70"/>
      <c r="R12" s="70"/>
      <c r="S12" s="70"/>
      <c r="T12" s="35"/>
      <c r="U12" s="35"/>
      <c r="V12" s="35"/>
      <c r="W12" s="35"/>
      <c r="X12" s="9"/>
    </row>
    <row r="13" spans="1:36" ht="37.5" customHeight="1" x14ac:dyDescent="0.2">
      <c r="A13" s="552" t="s">
        <v>128</v>
      </c>
      <c r="B13" s="552"/>
      <c r="C13" s="526"/>
      <c r="D13" s="527"/>
      <c r="E13" s="528"/>
      <c r="F13" s="40"/>
      <c r="G13" s="540" t="s">
        <v>45</v>
      </c>
      <c r="H13" s="540"/>
      <c r="I13" s="540"/>
      <c r="J13" s="540"/>
      <c r="K13" s="540"/>
      <c r="L13" s="540"/>
      <c r="M13" s="540"/>
      <c r="N13" s="540"/>
      <c r="O13" s="540"/>
      <c r="P13" s="540"/>
      <c r="Q13" s="540"/>
      <c r="R13" s="136" t="s">
        <v>12</v>
      </c>
      <c r="S13" s="136" t="s">
        <v>13</v>
      </c>
      <c r="T13" s="136" t="s">
        <v>14</v>
      </c>
      <c r="U13" s="137" t="s">
        <v>15</v>
      </c>
      <c r="V13" s="136" t="s">
        <v>16</v>
      </c>
      <c r="W13" s="136" t="s">
        <v>17</v>
      </c>
      <c r="X13" s="9"/>
      <c r="Y13" s="517" t="s">
        <v>138</v>
      </c>
      <c r="Z13" s="518"/>
      <c r="AA13" s="518"/>
      <c r="AB13" s="518"/>
      <c r="AC13" s="518"/>
      <c r="AD13" s="518"/>
      <c r="AE13" s="518"/>
      <c r="AF13" s="518"/>
      <c r="AG13" s="518"/>
      <c r="AH13" s="518"/>
      <c r="AI13" s="518"/>
      <c r="AJ13" s="519"/>
    </row>
    <row r="14" spans="1:36" ht="37.5" customHeight="1" x14ac:dyDescent="0.2">
      <c r="A14" s="141"/>
      <c r="B14" s="141"/>
      <c r="C14" s="99"/>
      <c r="D14" s="99"/>
      <c r="E14" s="99"/>
      <c r="F14" s="40"/>
      <c r="G14" s="549" t="s">
        <v>10</v>
      </c>
      <c r="H14" s="549"/>
      <c r="I14" s="549"/>
      <c r="J14" s="549"/>
      <c r="K14" s="549"/>
      <c r="L14" s="549"/>
      <c r="M14" s="549"/>
      <c r="N14" s="549"/>
      <c r="O14" s="549"/>
      <c r="P14" s="549"/>
      <c r="Q14" s="549"/>
      <c r="R14" s="79">
        <f>SUM(R24:R43,R55:R74,R86:R105,R117:R136,R148:R167,R179:R198)</f>
        <v>9</v>
      </c>
      <c r="S14" s="79">
        <f>SUM(S24:S43,S55:S74,S86:S105,S117:S136,S148:S167,S179:S198)</f>
        <v>11</v>
      </c>
      <c r="T14" s="161">
        <f>SUM(R14:S14)</f>
        <v>20</v>
      </c>
      <c r="U14" s="79">
        <f>R14*$S$19</f>
        <v>144</v>
      </c>
      <c r="V14" s="79">
        <f>S14*$U$19</f>
        <v>352</v>
      </c>
      <c r="W14" s="161">
        <f>SUM(U14:V14)</f>
        <v>496</v>
      </c>
      <c r="X14" s="9"/>
      <c r="Y14" s="520" t="s">
        <v>137</v>
      </c>
      <c r="Z14" s="521"/>
      <c r="AA14" s="521"/>
      <c r="AB14" s="521"/>
      <c r="AC14" s="522"/>
      <c r="AD14" s="523">
        <f>SUM(W14:W15)</f>
        <v>688</v>
      </c>
      <c r="AE14" s="524"/>
      <c r="AF14" s="524"/>
      <c r="AG14" s="524"/>
      <c r="AH14" s="524"/>
      <c r="AI14" s="524"/>
      <c r="AJ14" s="525"/>
    </row>
    <row r="15" spans="1:36" ht="37.5" customHeight="1" x14ac:dyDescent="0.2">
      <c r="A15" s="552" t="s">
        <v>129</v>
      </c>
      <c r="B15" s="552"/>
      <c r="C15" s="526"/>
      <c r="D15" s="527"/>
      <c r="E15" s="528"/>
      <c r="F15" s="40"/>
      <c r="G15" s="549" t="s">
        <v>11</v>
      </c>
      <c r="H15" s="549"/>
      <c r="I15" s="549"/>
      <c r="J15" s="549"/>
      <c r="K15" s="549"/>
      <c r="L15" s="549"/>
      <c r="M15" s="549"/>
      <c r="N15" s="549"/>
      <c r="O15" s="549"/>
      <c r="P15" s="549"/>
      <c r="Q15" s="549"/>
      <c r="R15" s="79">
        <f>SUM(R44:R53,R75:R84,R106:R115,R137:R146,R168:R177,R199:R208)</f>
        <v>4</v>
      </c>
      <c r="S15" s="79">
        <f>SUM(S44:S53,S75:S84,S106:S115,S137:S146,S168:S177,S199:S208)</f>
        <v>4</v>
      </c>
      <c r="T15" s="161">
        <f>SUM(R15:S15)</f>
        <v>8</v>
      </c>
      <c r="U15" s="79">
        <f>R15*$S$19</f>
        <v>64</v>
      </c>
      <c r="V15" s="79">
        <f>S15*$U$19</f>
        <v>128</v>
      </c>
      <c r="W15" s="161">
        <f>SUM(U15:V15)</f>
        <v>192</v>
      </c>
      <c r="X15" s="9"/>
      <c r="Y15" s="168" t="s">
        <v>110</v>
      </c>
      <c r="Z15" s="168" t="s">
        <v>111</v>
      </c>
      <c r="AA15" s="168" t="s">
        <v>110</v>
      </c>
      <c r="AB15" s="168" t="s">
        <v>111</v>
      </c>
      <c r="AC15" s="168" t="s">
        <v>110</v>
      </c>
      <c r="AD15" s="168" t="s">
        <v>111</v>
      </c>
      <c r="AE15" s="168" t="s">
        <v>110</v>
      </c>
      <c r="AF15" s="168" t="s">
        <v>111</v>
      </c>
      <c r="AG15" s="168" t="s">
        <v>110</v>
      </c>
      <c r="AH15" s="168" t="s">
        <v>111</v>
      </c>
      <c r="AI15" s="168" t="s">
        <v>110</v>
      </c>
      <c r="AJ15" s="168" t="s">
        <v>111</v>
      </c>
    </row>
    <row r="16" spans="1:36" ht="37.5" customHeight="1" x14ac:dyDescent="0.2">
      <c r="A16" s="142"/>
      <c r="B16" s="9"/>
      <c r="C16" s="41"/>
      <c r="D16" s="35"/>
      <c r="E16" s="35"/>
      <c r="F16" s="40"/>
      <c r="G16" s="549" t="s">
        <v>19</v>
      </c>
      <c r="H16" s="549"/>
      <c r="I16" s="549"/>
      <c r="J16" s="549"/>
      <c r="K16" s="549"/>
      <c r="L16" s="549"/>
      <c r="M16" s="549"/>
      <c r="N16" s="549"/>
      <c r="O16" s="549"/>
      <c r="P16" s="549"/>
      <c r="Q16" s="549"/>
      <c r="R16" s="80"/>
      <c r="S16" s="79">
        <f>SUM(S54,S209)</f>
        <v>12</v>
      </c>
      <c r="T16" s="161">
        <f>SUM(R16:S16)</f>
        <v>12</v>
      </c>
      <c r="U16" s="80"/>
      <c r="V16" s="79">
        <f>S16*$U$19</f>
        <v>384</v>
      </c>
      <c r="W16" s="161">
        <f>SUM(U16:V16)</f>
        <v>384</v>
      </c>
      <c r="X16" s="9"/>
      <c r="Y16" s="168" t="s">
        <v>102</v>
      </c>
      <c r="Z16" s="168" t="s">
        <v>102</v>
      </c>
      <c r="AA16" s="168" t="s">
        <v>103</v>
      </c>
      <c r="AB16" s="168" t="s">
        <v>103</v>
      </c>
      <c r="AC16" s="168" t="s">
        <v>104</v>
      </c>
      <c r="AD16" s="168" t="s">
        <v>104</v>
      </c>
      <c r="AE16" s="168" t="s">
        <v>105</v>
      </c>
      <c r="AF16" s="168" t="s">
        <v>105</v>
      </c>
      <c r="AG16" s="168" t="s">
        <v>106</v>
      </c>
      <c r="AH16" s="168" t="s">
        <v>106</v>
      </c>
      <c r="AI16" s="168" t="s">
        <v>107</v>
      </c>
      <c r="AJ16" s="168" t="s">
        <v>107</v>
      </c>
    </row>
    <row r="17" spans="1:36" ht="37.5" customHeight="1" x14ac:dyDescent="0.2">
      <c r="A17" s="552" t="s">
        <v>20</v>
      </c>
      <c r="B17" s="552"/>
      <c r="C17" s="541">
        <f>$S$17/$T$17</f>
        <v>0.67500000000000004</v>
      </c>
      <c r="D17" s="542"/>
      <c r="E17" s="543"/>
      <c r="F17" s="38"/>
      <c r="G17" s="550" t="s">
        <v>46</v>
      </c>
      <c r="H17" s="550"/>
      <c r="I17" s="550"/>
      <c r="J17" s="550"/>
      <c r="K17" s="550"/>
      <c r="L17" s="550"/>
      <c r="M17" s="550"/>
      <c r="N17" s="550"/>
      <c r="O17" s="550"/>
      <c r="P17" s="550"/>
      <c r="Q17" s="550"/>
      <c r="R17" s="44">
        <f>SUM(R14:R16)</f>
        <v>13</v>
      </c>
      <c r="S17" s="44">
        <f>SUM(S14:S16)</f>
        <v>27</v>
      </c>
      <c r="T17" s="161">
        <f>SUM(T14:T16)</f>
        <v>40</v>
      </c>
      <c r="U17" s="79">
        <f>SUM(U14:U16)</f>
        <v>208</v>
      </c>
      <c r="V17" s="79">
        <f>SUM(V14:V16)</f>
        <v>864</v>
      </c>
      <c r="W17" s="161">
        <f>SUM(U17:V17)</f>
        <v>1072</v>
      </c>
      <c r="X17" s="9"/>
      <c r="Y17" s="96">
        <f>SUM(F24:F54,F55:F84,F86:F115,F117:F146,F148:F177,F179:F208)</f>
        <v>20</v>
      </c>
      <c r="Z17" s="96">
        <f>SUM(G24:G54,G55:G84,G86:G115,G117:G146,G148:G177,G179:G208)</f>
        <v>528</v>
      </c>
      <c r="AA17" s="96">
        <f>SUM(H24:H53,H55:H85,H86:H115,H117:H146,H148:H177,H179:H208)</f>
        <v>20</v>
      </c>
      <c r="AB17" s="96">
        <f>SUM(I24:I53,I55:I85,I86:I115,I117:I146,I148:I177,I179:I208)</f>
        <v>544</v>
      </c>
      <c r="AC17" s="96">
        <f>SUM(J24:J53,J55:J84,J86:J116,J117:J146,J148:J177,J179:J208)</f>
        <v>0</v>
      </c>
      <c r="AD17" s="96">
        <f>SUM(K24:K53,K55:K84,K86:K116,K117:K146,K148:K177,K179:K208)</f>
        <v>0</v>
      </c>
      <c r="AE17" s="96">
        <f>SUM(L24:L53,L55:L84,L86:L115,L117:L147,L148:L177,L179:L208)</f>
        <v>0</v>
      </c>
      <c r="AF17" s="96">
        <f>SUM(M24:M53,M55:M84,M86:M115,M117:M147,M148:M177,M179:M208)</f>
        <v>0</v>
      </c>
      <c r="AG17" s="96">
        <f t="shared" ref="AG17:AJ17" si="0">SUM(N24:N53,N55:N84,N86:N115,N117:N146,N148:N177,N179:N208)</f>
        <v>0</v>
      </c>
      <c r="AH17" s="96">
        <f t="shared" si="0"/>
        <v>0</v>
      </c>
      <c r="AI17" s="96">
        <f t="shared" si="0"/>
        <v>0</v>
      </c>
      <c r="AJ17" s="96">
        <f t="shared" si="0"/>
        <v>0</v>
      </c>
    </row>
    <row r="18" spans="1:36" ht="7.5" customHeight="1" x14ac:dyDescent="0.2">
      <c r="A18" s="98"/>
      <c r="B18" s="98"/>
      <c r="C18" s="70"/>
      <c r="D18" s="70"/>
      <c r="E18" s="70"/>
      <c r="F18" s="38"/>
      <c r="G18" s="70"/>
      <c r="H18" s="70"/>
      <c r="I18" s="70"/>
      <c r="J18" s="70"/>
      <c r="K18" s="70"/>
      <c r="L18" s="70"/>
      <c r="M18" s="70"/>
      <c r="N18" s="70"/>
      <c r="O18" s="70"/>
      <c r="P18" s="70"/>
      <c r="Q18" s="70"/>
      <c r="R18" s="38"/>
      <c r="S18" s="38"/>
      <c r="T18" s="42"/>
      <c r="U18" s="39"/>
      <c r="V18" s="39"/>
      <c r="W18" s="42"/>
      <c r="X18" s="9"/>
    </row>
    <row r="19" spans="1:36" ht="21" customHeight="1" x14ac:dyDescent="0.2">
      <c r="A19" s="544"/>
      <c r="B19" s="544"/>
      <c r="C19" s="135"/>
      <c r="D19" s="134"/>
      <c r="E19" s="9"/>
      <c r="F19" s="9"/>
      <c r="G19" s="548" t="s">
        <v>54</v>
      </c>
      <c r="H19" s="548"/>
      <c r="I19" s="548"/>
      <c r="J19" s="548"/>
      <c r="K19" s="548"/>
      <c r="L19" s="548"/>
      <c r="M19" s="548"/>
      <c r="N19" s="548"/>
      <c r="O19" s="548"/>
      <c r="P19" s="548"/>
      <c r="Q19" s="548"/>
      <c r="R19" s="81" t="s">
        <v>15</v>
      </c>
      <c r="S19" s="82">
        <v>16</v>
      </c>
      <c r="T19" s="81" t="s">
        <v>16</v>
      </c>
      <c r="U19" s="82">
        <v>32</v>
      </c>
      <c r="V19" s="43"/>
      <c r="W19" s="42"/>
      <c r="X19" s="9"/>
    </row>
    <row r="20" spans="1:36" ht="6.75" customHeight="1" x14ac:dyDescent="0.2">
      <c r="A20" s="98"/>
      <c r="B20" s="98"/>
      <c r="C20" s="70"/>
      <c r="D20" s="70"/>
      <c r="E20" s="94"/>
      <c r="F20" s="95"/>
      <c r="G20" s="95"/>
      <c r="H20" s="95"/>
      <c r="I20" s="95"/>
      <c r="J20" s="95"/>
      <c r="K20" s="95"/>
      <c r="L20" s="95"/>
      <c r="M20" s="95"/>
      <c r="N20" s="95"/>
      <c r="O20" s="95"/>
      <c r="P20" s="95"/>
      <c r="Q20" s="95"/>
      <c r="R20" s="9"/>
      <c r="S20" s="38"/>
      <c r="T20" s="39"/>
      <c r="U20" s="39"/>
      <c r="V20" s="39"/>
      <c r="W20" s="39"/>
      <c r="X20" s="9"/>
    </row>
    <row r="21" spans="1:36" ht="18.75" customHeight="1" x14ac:dyDescent="0.2">
      <c r="A21" s="540" t="s">
        <v>2</v>
      </c>
      <c r="B21" s="540" t="s">
        <v>38</v>
      </c>
      <c r="C21" s="540"/>
      <c r="D21" s="540" t="s">
        <v>0</v>
      </c>
      <c r="E21" s="540"/>
      <c r="F21" s="540" t="s">
        <v>21</v>
      </c>
      <c r="G21" s="540"/>
      <c r="H21" s="540"/>
      <c r="I21" s="540"/>
      <c r="J21" s="540"/>
      <c r="K21" s="540"/>
      <c r="L21" s="540"/>
      <c r="M21" s="540"/>
      <c r="N21" s="540"/>
      <c r="O21" s="540"/>
      <c r="P21" s="540"/>
      <c r="Q21" s="540"/>
      <c r="R21" s="540" t="s">
        <v>99</v>
      </c>
      <c r="S21" s="540"/>
      <c r="T21" s="540"/>
      <c r="U21" s="540" t="s">
        <v>1</v>
      </c>
      <c r="V21" s="540"/>
      <c r="W21" s="540"/>
      <c r="X21" s="122" t="s">
        <v>90</v>
      </c>
    </row>
    <row r="22" spans="1:36" ht="21.75" customHeight="1" x14ac:dyDescent="0.2">
      <c r="A22" s="540"/>
      <c r="B22" s="540"/>
      <c r="C22" s="540"/>
      <c r="D22" s="540"/>
      <c r="E22" s="540"/>
      <c r="F22" s="138" t="s">
        <v>108</v>
      </c>
      <c r="G22" s="138" t="s">
        <v>109</v>
      </c>
      <c r="H22" s="138" t="s">
        <v>22</v>
      </c>
      <c r="I22" s="138" t="s">
        <v>23</v>
      </c>
      <c r="J22" s="138" t="s">
        <v>97</v>
      </c>
      <c r="K22" s="138" t="s">
        <v>24</v>
      </c>
      <c r="L22" s="138" t="s">
        <v>25</v>
      </c>
      <c r="M22" s="138" t="s">
        <v>26</v>
      </c>
      <c r="N22" s="138" t="s">
        <v>27</v>
      </c>
      <c r="O22" s="138" t="s">
        <v>28</v>
      </c>
      <c r="P22" s="138" t="s">
        <v>47</v>
      </c>
      <c r="Q22" s="138" t="s">
        <v>48</v>
      </c>
      <c r="R22" s="136" t="s">
        <v>29</v>
      </c>
      <c r="S22" s="136" t="s">
        <v>30</v>
      </c>
      <c r="T22" s="136" t="s">
        <v>31</v>
      </c>
      <c r="U22" s="136" t="s">
        <v>32</v>
      </c>
      <c r="V22" s="136" t="s">
        <v>33</v>
      </c>
      <c r="W22" s="136" t="s">
        <v>31</v>
      </c>
      <c r="X22" s="87" t="str">
        <f t="shared" ref="X22:X23" si="1">W22</f>
        <v>Total</v>
      </c>
    </row>
    <row r="23" spans="1:36" ht="0.75" customHeight="1" x14ac:dyDescent="0.2">
      <c r="A23" s="120"/>
      <c r="B23" s="120"/>
      <c r="C23" s="120"/>
      <c r="D23" s="120"/>
      <c r="E23" s="120"/>
      <c r="F23" s="121" t="s">
        <v>102</v>
      </c>
      <c r="G23" s="121" t="s">
        <v>102</v>
      </c>
      <c r="H23" s="121" t="s">
        <v>103</v>
      </c>
      <c r="I23" s="121" t="s">
        <v>103</v>
      </c>
      <c r="J23" s="121" t="s">
        <v>104</v>
      </c>
      <c r="K23" s="121" t="s">
        <v>104</v>
      </c>
      <c r="L23" s="121" t="s">
        <v>105</v>
      </c>
      <c r="M23" s="121" t="s">
        <v>105</v>
      </c>
      <c r="N23" s="121" t="s">
        <v>106</v>
      </c>
      <c r="O23" s="121" t="s">
        <v>106</v>
      </c>
      <c r="P23" s="121" t="s">
        <v>107</v>
      </c>
      <c r="Q23" s="121" t="s">
        <v>107</v>
      </c>
      <c r="R23" s="120"/>
      <c r="S23" s="120"/>
      <c r="T23" s="120"/>
      <c r="U23" s="120"/>
      <c r="V23" s="120"/>
      <c r="W23" s="120">
        <v>0</v>
      </c>
      <c r="X23" s="87">
        <f t="shared" si="1"/>
        <v>0</v>
      </c>
    </row>
    <row r="24" spans="1:36" ht="30" customHeight="1" x14ac:dyDescent="0.2">
      <c r="A24" s="535" t="str">
        <f>Organización_Modular!A10</f>
        <v>MÓDULO I:    REDACCIÓN Y TRÁMITE DOCUMENTARIO</v>
      </c>
      <c r="B24" s="397" t="str">
        <f>Organización_Modular!B10</f>
        <v>Competencias técnicas (Unidad de competencia)</v>
      </c>
      <c r="C24" s="538" t="str">
        <f>Organización_Modular!C10</f>
        <v>UC1 Proveer información, según políticas y procedimientos de la organización, y normativa correspondiente.</v>
      </c>
      <c r="D24" s="537" t="str">
        <f>Organización_Modular!F10</f>
        <v>Organización del área de trabajo</v>
      </c>
      <c r="E24" s="537"/>
      <c r="F24" s="44">
        <f>_xlfn.IFNA(IF(VLOOKUP($D24,Organización_Modular!$F$10:$G$195,2,FALSE)=F$23,Itinerario!T24," ")," ")</f>
        <v>2</v>
      </c>
      <c r="G24" s="44">
        <f>_xlfn.IFNA(IF(VLOOKUP($D24,Organización_Modular!$F$10:$G$195,2,FALSE)=G$23,Itinerario!W24," ")," ")</f>
        <v>48</v>
      </c>
      <c r="H24" s="44" t="str">
        <f>_xlfn.IFNA(IF(VLOOKUP($D24,Organización_Modular!$F$10:$G$195,2,FALSE)=H$23,Itinerario!T24," ")," ")</f>
        <v xml:space="preserve"> </v>
      </c>
      <c r="I24" s="44" t="str">
        <f>_xlfn.IFNA(IF(VLOOKUP($D24,Organización_Modular!$F$10:$G$195,2,FALSE)=I$23,Itinerario!W24," ")," ")</f>
        <v xml:space="preserve"> </v>
      </c>
      <c r="J24" s="44" t="str">
        <f>_xlfn.IFNA(IF(VLOOKUP($D24,Organización_Modular!$F$10:$G$195,2,FALSE)=J$23,Itinerario!T24," ")," ")</f>
        <v xml:space="preserve"> </v>
      </c>
      <c r="K24" s="44" t="str">
        <f>_xlfn.IFNA(IF(VLOOKUP($D24,Organización_Modular!$F$10:$G$195,2,FALSE)=K$23,Itinerario!W24," ")," ")</f>
        <v xml:space="preserve"> </v>
      </c>
      <c r="L24" s="44" t="str">
        <f>_xlfn.IFNA(IF(VLOOKUP($D24,Organización_Modular!$F$10:$G$195,2,FALSE)=L$23,Itinerario!T24," ")," ")</f>
        <v xml:space="preserve"> </v>
      </c>
      <c r="M24" s="44" t="str">
        <f>_xlfn.IFNA(IF(VLOOKUP($D24,Organización_Modular!$F$10:$G$195,2,FALSE)=M$23,Itinerario!W24," ")," ")</f>
        <v xml:space="preserve"> </v>
      </c>
      <c r="N24" s="44" t="str">
        <f>_xlfn.IFNA(IF(VLOOKUP($D24,Organización_Modular!$F$10:$G$195,2,FALSE)=N$23,Itinerario!T24," ")," ")</f>
        <v xml:space="preserve"> </v>
      </c>
      <c r="O24" s="44" t="str">
        <f>_xlfn.IFNA(IF(VLOOKUP($D24,Organización_Modular!$F$10:$G$195,2,FALSE)=O$23,Itinerario!W24," ")," ")</f>
        <v xml:space="preserve"> </v>
      </c>
      <c r="P24" s="44" t="str">
        <f>_xlfn.IFNA(IF(VLOOKUP($D24,Organización_Modular!$F$10:$G$195,2,FALSE)=P$23,Itinerario!T24," ")," ")</f>
        <v xml:space="preserve"> </v>
      </c>
      <c r="Q24" s="44" t="str">
        <f>_xlfn.IFNA(IF(VLOOKUP($D24,Organización_Modular!$F$10:$G$195,2,FALSE)=Q$23,Itinerario!W24," ")," ")</f>
        <v xml:space="preserve"> </v>
      </c>
      <c r="R24" s="44">
        <f>Organización_Modular!H10</f>
        <v>1</v>
      </c>
      <c r="S24" s="44">
        <f>Organización_Modular!I10</f>
        <v>1</v>
      </c>
      <c r="T24" s="82">
        <f>SUM(R24:S24)</f>
        <v>2</v>
      </c>
      <c r="U24" s="44">
        <f>+R24*$S$19</f>
        <v>16</v>
      </c>
      <c r="V24" s="44">
        <f>+S24*$U$19</f>
        <v>32</v>
      </c>
      <c r="W24" s="82">
        <f>SUM(U24:V24)</f>
        <v>48</v>
      </c>
      <c r="X24" s="87">
        <f>W24</f>
        <v>48</v>
      </c>
    </row>
    <row r="25" spans="1:36" ht="30" customHeight="1" x14ac:dyDescent="0.2">
      <c r="A25" s="535"/>
      <c r="B25" s="397"/>
      <c r="C25" s="538"/>
      <c r="D25" s="537" t="str">
        <f>Organización_Modular!F11</f>
        <v>Redacción de documentos</v>
      </c>
      <c r="E25" s="537"/>
      <c r="F25" s="44">
        <f>_xlfn.IFNA(IF(VLOOKUP($D25,Organización_Modular!$F$10:$G$195,2,FALSE)=F$23,Itinerario!T25," ")," ")</f>
        <v>4</v>
      </c>
      <c r="G25" s="44">
        <f>_xlfn.IFNA(IF(VLOOKUP($D25,Organización_Modular!$F$10:$G$195,2,FALSE)=G$23,Itinerario!W25," ")," ")</f>
        <v>96</v>
      </c>
      <c r="H25" s="44" t="str">
        <f>_xlfn.IFNA(IF(VLOOKUP($D25,Organización_Modular!$F$10:$G$195,2,FALSE)=H$23,Itinerario!T25," ")," ")</f>
        <v xml:space="preserve"> </v>
      </c>
      <c r="I25" s="44" t="str">
        <f>_xlfn.IFNA(IF(VLOOKUP($D25,Organización_Modular!$F$10:$G$195,2,FALSE)=I$23,Itinerario!W25," ")," ")</f>
        <v xml:space="preserve"> </v>
      </c>
      <c r="J25" s="44" t="str">
        <f>_xlfn.IFNA(IF(VLOOKUP($D25,Organización_Modular!$F$10:$G$195,2,FALSE)=J$23,Itinerario!T25," ")," ")</f>
        <v xml:space="preserve"> </v>
      </c>
      <c r="K25" s="44" t="str">
        <f>_xlfn.IFNA(IF(VLOOKUP($D25,Organización_Modular!$F$10:$G$195,2,FALSE)=K$23,Itinerario!W25," ")," ")</f>
        <v xml:space="preserve"> </v>
      </c>
      <c r="L25" s="44" t="str">
        <f>_xlfn.IFNA(IF(VLOOKUP($D25,Organización_Modular!$F$10:$G$195,2,FALSE)=L$23,Itinerario!T25," ")," ")</f>
        <v xml:space="preserve"> </v>
      </c>
      <c r="M25" s="44" t="str">
        <f>_xlfn.IFNA(IF(VLOOKUP($D25,Organización_Modular!$F$10:$G$195,2,FALSE)=M$23,Itinerario!W25," ")," ")</f>
        <v xml:space="preserve"> </v>
      </c>
      <c r="N25" s="44" t="str">
        <f>_xlfn.IFNA(IF(VLOOKUP($D25,Organización_Modular!$F$10:$G$195,2,FALSE)=N$23,Itinerario!T25," ")," ")</f>
        <v xml:space="preserve"> </v>
      </c>
      <c r="O25" s="44" t="str">
        <f>_xlfn.IFNA(IF(VLOOKUP($D25,Organización_Modular!$F$10:$G$195,2,FALSE)=O$23,Itinerario!W25," ")," ")</f>
        <v xml:space="preserve"> </v>
      </c>
      <c r="P25" s="44" t="str">
        <f>_xlfn.IFNA(IF(VLOOKUP($D25,Organización_Modular!$F$10:$G$195,2,FALSE)=P$23,Itinerario!T25," ")," ")</f>
        <v xml:space="preserve"> </v>
      </c>
      <c r="Q25" s="44" t="str">
        <f>_xlfn.IFNA(IF(VLOOKUP($D25,Organización_Modular!$F$10:$G$195,2,FALSE)=Q$23,Itinerario!W25," ")," ")</f>
        <v xml:space="preserve"> </v>
      </c>
      <c r="R25" s="44">
        <f>Organización_Modular!H11</f>
        <v>2</v>
      </c>
      <c r="S25" s="44">
        <f>Organización_Modular!I11</f>
        <v>2</v>
      </c>
      <c r="T25" s="82">
        <f t="shared" ref="T25:T53" si="2">SUM(R25:S25)</f>
        <v>4</v>
      </c>
      <c r="U25" s="44">
        <f t="shared" ref="U25:U88" si="3">+R25*$S$19</f>
        <v>32</v>
      </c>
      <c r="V25" s="44">
        <f t="shared" ref="V25:V88" si="4">+S25*$U$19</f>
        <v>64</v>
      </c>
      <c r="W25" s="82">
        <f t="shared" ref="W25:W88" si="5">SUM(U25:V25)</f>
        <v>96</v>
      </c>
      <c r="X25" s="87">
        <f t="shared" ref="X25:X88" si="6">W25</f>
        <v>96</v>
      </c>
    </row>
    <row r="26" spans="1:36" ht="30" customHeight="1" x14ac:dyDescent="0.2">
      <c r="A26" s="535"/>
      <c r="B26" s="397"/>
      <c r="C26" s="538"/>
      <c r="D26" s="537" t="str">
        <f>Organización_Modular!F12</f>
        <v>Trámite documentario</v>
      </c>
      <c r="E26" s="537"/>
      <c r="F26" s="44">
        <f>_xlfn.IFNA(IF(VLOOKUP($D26,Organización_Modular!$F$10:$G$195,2,FALSE)=F$23,Itinerario!T26," ")," ")</f>
        <v>4</v>
      </c>
      <c r="G26" s="44">
        <f>_xlfn.IFNA(IF(VLOOKUP($D26,Organización_Modular!$F$10:$G$195,2,FALSE)=G$23,Itinerario!W26," ")," ")</f>
        <v>96</v>
      </c>
      <c r="H26" s="44" t="str">
        <f>_xlfn.IFNA(IF(VLOOKUP($D26,Organización_Modular!$F$10:$G$195,2,FALSE)=H$23,Itinerario!T26," ")," ")</f>
        <v xml:space="preserve"> </v>
      </c>
      <c r="I26" s="44" t="str">
        <f>_xlfn.IFNA(IF(VLOOKUP($D26,Organización_Modular!$F$10:$G$195,2,FALSE)=I$23,Itinerario!W26," ")," ")</f>
        <v xml:space="preserve"> </v>
      </c>
      <c r="J26" s="44" t="str">
        <f>_xlfn.IFNA(IF(VLOOKUP($D26,Organización_Modular!$F$10:$G$195,2,FALSE)=J$23,Itinerario!T26," ")," ")</f>
        <v xml:space="preserve"> </v>
      </c>
      <c r="K26" s="44" t="str">
        <f>_xlfn.IFNA(IF(VLOOKUP($D26,Organización_Modular!$F$10:$G$195,2,FALSE)=K$23,Itinerario!W26," ")," ")</f>
        <v xml:space="preserve"> </v>
      </c>
      <c r="L26" s="44" t="str">
        <f>_xlfn.IFNA(IF(VLOOKUP($D26,Organización_Modular!$F$10:$G$195,2,FALSE)=L$23,Itinerario!T26," ")," ")</f>
        <v xml:space="preserve"> </v>
      </c>
      <c r="M26" s="44" t="str">
        <f>_xlfn.IFNA(IF(VLOOKUP($D26,Organización_Modular!$F$10:$G$195,2,FALSE)=M$23,Itinerario!W26," ")," ")</f>
        <v xml:space="preserve"> </v>
      </c>
      <c r="N26" s="44" t="str">
        <f>_xlfn.IFNA(IF(VLOOKUP($D26,Organización_Modular!$F$10:$G$195,2,FALSE)=N$23,Itinerario!T26," ")," ")</f>
        <v xml:space="preserve"> </v>
      </c>
      <c r="O26" s="44" t="str">
        <f>_xlfn.IFNA(IF(VLOOKUP($D26,Organización_Modular!$F$10:$G$195,2,FALSE)=O$23,Itinerario!W26," ")," ")</f>
        <v xml:space="preserve"> </v>
      </c>
      <c r="P26" s="44" t="str">
        <f>_xlfn.IFNA(IF(VLOOKUP($D26,Organización_Modular!$F$10:$G$195,2,FALSE)=P$23,Itinerario!T26," ")," ")</f>
        <v xml:space="preserve"> </v>
      </c>
      <c r="Q26" s="44" t="str">
        <f>_xlfn.IFNA(IF(VLOOKUP($D26,Organización_Modular!$F$10:$G$195,2,FALSE)=Q$23,Itinerario!W26," ")," ")</f>
        <v xml:space="preserve"> </v>
      </c>
      <c r="R26" s="44">
        <f>Organización_Modular!H12</f>
        <v>2</v>
      </c>
      <c r="S26" s="44">
        <f>Organización_Modular!I12</f>
        <v>2</v>
      </c>
      <c r="T26" s="82">
        <f t="shared" si="2"/>
        <v>4</v>
      </c>
      <c r="U26" s="44">
        <f t="shared" si="3"/>
        <v>32</v>
      </c>
      <c r="V26" s="44">
        <f t="shared" si="4"/>
        <v>64</v>
      </c>
      <c r="W26" s="82">
        <f t="shared" si="5"/>
        <v>96</v>
      </c>
      <c r="X26" s="87">
        <f t="shared" si="6"/>
        <v>96</v>
      </c>
    </row>
    <row r="27" spans="1:36" ht="18" hidden="1" customHeight="1" x14ac:dyDescent="0.2">
      <c r="A27" s="535"/>
      <c r="B27" s="397"/>
      <c r="C27" s="538"/>
      <c r="D27" s="537">
        <f>Organización_Modular!F13</f>
        <v>0</v>
      </c>
      <c r="E27" s="537"/>
      <c r="F27" s="44" t="str">
        <f>_xlfn.IFNA(IF(VLOOKUP($D27,Organización_Modular!$F$10:$G$195,2,FALSE)=F$23,Itinerario!T27," ")," ")</f>
        <v xml:space="preserve"> </v>
      </c>
      <c r="G27" s="44" t="str">
        <f>_xlfn.IFNA(IF(VLOOKUP($D27,Organización_Modular!$F$10:$G$195,2,FALSE)=G$23,Itinerario!W27," ")," ")</f>
        <v xml:space="preserve"> </v>
      </c>
      <c r="H27" s="44" t="str">
        <f>_xlfn.IFNA(IF(VLOOKUP($D27,Organización_Modular!$F$10:$G$195,2,FALSE)=H$23,Itinerario!T27," ")," ")</f>
        <v xml:space="preserve"> </v>
      </c>
      <c r="I27" s="44" t="str">
        <f>_xlfn.IFNA(IF(VLOOKUP($D27,Organización_Modular!$F$10:$G$195,2,FALSE)=I$23,Itinerario!W27," ")," ")</f>
        <v xml:space="preserve"> </v>
      </c>
      <c r="J27" s="44" t="str">
        <f>_xlfn.IFNA(IF(VLOOKUP($D27,Organización_Modular!$F$10:$G$195,2,FALSE)=J$23,Itinerario!T27," ")," ")</f>
        <v xml:space="preserve"> </v>
      </c>
      <c r="K27" s="44" t="str">
        <f>_xlfn.IFNA(IF(VLOOKUP($D27,Organización_Modular!$F$10:$G$195,2,FALSE)=K$23,Itinerario!W27," ")," ")</f>
        <v xml:space="preserve"> </v>
      </c>
      <c r="L27" s="44" t="str">
        <f>_xlfn.IFNA(IF(VLOOKUP($D27,Organización_Modular!$F$10:$G$195,2,FALSE)=L$23,Itinerario!T27," ")," ")</f>
        <v xml:space="preserve"> </v>
      </c>
      <c r="M27" s="44" t="str">
        <f>_xlfn.IFNA(IF(VLOOKUP($D27,Organización_Modular!$F$10:$G$195,2,FALSE)=M$23,Itinerario!W27," ")," ")</f>
        <v xml:space="preserve"> </v>
      </c>
      <c r="N27" s="44" t="str">
        <f>_xlfn.IFNA(IF(VLOOKUP($D27,Organización_Modular!$F$10:$G$195,2,FALSE)=N$23,Itinerario!T27," ")," ")</f>
        <v xml:space="preserve"> </v>
      </c>
      <c r="O27" s="44" t="str">
        <f>_xlfn.IFNA(IF(VLOOKUP($D27,Organización_Modular!$F$10:$G$195,2,FALSE)=O$23,Itinerario!W27," ")," ")</f>
        <v xml:space="preserve"> </v>
      </c>
      <c r="P27" s="44" t="str">
        <f>_xlfn.IFNA(IF(VLOOKUP($D27,Organización_Modular!$F$10:$G$195,2,FALSE)=P$23,Itinerario!T27," ")," ")</f>
        <v xml:space="preserve"> </v>
      </c>
      <c r="Q27" s="44" t="str">
        <f>_xlfn.IFNA(IF(VLOOKUP($D27,Organización_Modular!$F$10:$G$195,2,FALSE)=Q$23,Itinerario!W27," ")," ")</f>
        <v xml:space="preserve"> </v>
      </c>
      <c r="R27" s="44">
        <f>Organización_Modular!H13</f>
        <v>0</v>
      </c>
      <c r="S27" s="44">
        <f>Organización_Modular!I13</f>
        <v>0</v>
      </c>
      <c r="T27" s="82">
        <f t="shared" si="2"/>
        <v>0</v>
      </c>
      <c r="U27" s="44">
        <f t="shared" si="3"/>
        <v>0</v>
      </c>
      <c r="V27" s="44">
        <f t="shared" si="4"/>
        <v>0</v>
      </c>
      <c r="W27" s="82">
        <f t="shared" si="5"/>
        <v>0</v>
      </c>
      <c r="X27" s="87">
        <f t="shared" si="6"/>
        <v>0</v>
      </c>
    </row>
    <row r="28" spans="1:36" ht="18" hidden="1" customHeight="1" x14ac:dyDescent="0.2">
      <c r="A28" s="535"/>
      <c r="B28" s="397"/>
      <c r="C28" s="538"/>
      <c r="D28" s="537">
        <f>Organización_Modular!F14</f>
        <v>0</v>
      </c>
      <c r="E28" s="537"/>
      <c r="F28" s="44" t="str">
        <f>_xlfn.IFNA(IF(VLOOKUP($D28,Organización_Modular!$F$10:$G$195,2,FALSE)=F$23,Itinerario!T28," ")," ")</f>
        <v xml:space="preserve"> </v>
      </c>
      <c r="G28" s="44" t="str">
        <f>_xlfn.IFNA(IF(VLOOKUP($D28,Organización_Modular!$F$10:$G$195,2,FALSE)=G$23,Itinerario!W28," ")," ")</f>
        <v xml:space="preserve"> </v>
      </c>
      <c r="H28" s="44" t="str">
        <f>_xlfn.IFNA(IF(VLOOKUP($D28,Organización_Modular!$F$10:$G$195,2,FALSE)=H$23,Itinerario!T28," ")," ")</f>
        <v xml:space="preserve"> </v>
      </c>
      <c r="I28" s="44" t="str">
        <f>_xlfn.IFNA(IF(VLOOKUP($D28,Organización_Modular!$F$10:$G$195,2,FALSE)=I$23,Itinerario!W28," ")," ")</f>
        <v xml:space="preserve"> </v>
      </c>
      <c r="J28" s="44" t="str">
        <f>_xlfn.IFNA(IF(VLOOKUP($D28,Organización_Modular!$F$10:$G$195,2,FALSE)=J$23,Itinerario!T28," ")," ")</f>
        <v xml:space="preserve"> </v>
      </c>
      <c r="K28" s="44" t="str">
        <f>_xlfn.IFNA(IF(VLOOKUP($D28,Organización_Modular!$F$10:$G$195,2,FALSE)=K$23,Itinerario!W28," ")," ")</f>
        <v xml:space="preserve"> </v>
      </c>
      <c r="L28" s="44" t="str">
        <f>_xlfn.IFNA(IF(VLOOKUP($D28,Organización_Modular!$F$10:$G$195,2,FALSE)=L$23,Itinerario!T28," ")," ")</f>
        <v xml:space="preserve"> </v>
      </c>
      <c r="M28" s="44" t="str">
        <f>_xlfn.IFNA(IF(VLOOKUP($D28,Organización_Modular!$F$10:$G$195,2,FALSE)=M$23,Itinerario!W28," ")," ")</f>
        <v xml:space="preserve"> </v>
      </c>
      <c r="N28" s="44" t="str">
        <f>_xlfn.IFNA(IF(VLOOKUP($D28,Organización_Modular!$F$10:$G$195,2,FALSE)=N$23,Itinerario!T28," ")," ")</f>
        <v xml:space="preserve"> </v>
      </c>
      <c r="O28" s="44" t="str">
        <f>_xlfn.IFNA(IF(VLOOKUP($D28,Organización_Modular!$F$10:$G$195,2,FALSE)=O$23,Itinerario!W28," ")," ")</f>
        <v xml:space="preserve"> </v>
      </c>
      <c r="P28" s="44" t="str">
        <f>_xlfn.IFNA(IF(VLOOKUP($D28,Organización_Modular!$F$10:$G$195,2,FALSE)=P$23,Itinerario!T28," ")," ")</f>
        <v xml:space="preserve"> </v>
      </c>
      <c r="Q28" s="44" t="str">
        <f>_xlfn.IFNA(IF(VLOOKUP($D28,Organización_Modular!$F$10:$G$195,2,FALSE)=Q$23,Itinerario!W28," ")," ")</f>
        <v xml:space="preserve"> </v>
      </c>
      <c r="R28" s="44">
        <f>Organización_Modular!H14</f>
        <v>0</v>
      </c>
      <c r="S28" s="44">
        <f>Organización_Modular!I14</f>
        <v>0</v>
      </c>
      <c r="T28" s="82">
        <f t="shared" si="2"/>
        <v>0</v>
      </c>
      <c r="U28" s="44">
        <f t="shared" si="3"/>
        <v>0</v>
      </c>
      <c r="V28" s="44">
        <f t="shared" si="4"/>
        <v>0</v>
      </c>
      <c r="W28" s="82">
        <f t="shared" si="5"/>
        <v>0</v>
      </c>
      <c r="X28" s="87">
        <f t="shared" si="6"/>
        <v>0</v>
      </c>
    </row>
    <row r="29" spans="1:36" ht="18" hidden="1" customHeight="1" x14ac:dyDescent="0.2">
      <c r="A29" s="535"/>
      <c r="B29" s="397"/>
      <c r="C29" s="538"/>
      <c r="D29" s="537">
        <f>Organización_Modular!F15</f>
        <v>0</v>
      </c>
      <c r="E29" s="537"/>
      <c r="F29" s="44" t="str">
        <f>_xlfn.IFNA(IF(VLOOKUP($D29,Organización_Modular!$F$10:$G$195,2,FALSE)=F$23,Itinerario!T29," ")," ")</f>
        <v xml:space="preserve"> </v>
      </c>
      <c r="G29" s="44" t="str">
        <f>_xlfn.IFNA(IF(VLOOKUP($D29,Organización_Modular!$F$10:$G$195,2,FALSE)=G$23,Itinerario!W29," ")," ")</f>
        <v xml:space="preserve"> </v>
      </c>
      <c r="H29" s="44" t="str">
        <f>_xlfn.IFNA(IF(VLOOKUP($D29,Organización_Modular!$F$10:$G$195,2,FALSE)=H$23,Itinerario!T29," ")," ")</f>
        <v xml:space="preserve"> </v>
      </c>
      <c r="I29" s="44" t="str">
        <f>_xlfn.IFNA(IF(VLOOKUP($D29,Organización_Modular!$F$10:$G$195,2,FALSE)=I$23,Itinerario!W29," ")," ")</f>
        <v xml:space="preserve"> </v>
      </c>
      <c r="J29" s="44" t="str">
        <f>_xlfn.IFNA(IF(VLOOKUP($D29,Organización_Modular!$F$10:$G$195,2,FALSE)=J$23,Itinerario!T29," ")," ")</f>
        <v xml:space="preserve"> </v>
      </c>
      <c r="K29" s="44" t="str">
        <f>_xlfn.IFNA(IF(VLOOKUP($D29,Organización_Modular!$F$10:$G$195,2,FALSE)=K$23,Itinerario!W29," ")," ")</f>
        <v xml:space="preserve"> </v>
      </c>
      <c r="L29" s="44" t="str">
        <f>_xlfn.IFNA(IF(VLOOKUP($D29,Organización_Modular!$F$10:$G$195,2,FALSE)=L$23,Itinerario!T29," ")," ")</f>
        <v xml:space="preserve"> </v>
      </c>
      <c r="M29" s="44" t="str">
        <f>_xlfn.IFNA(IF(VLOOKUP($D29,Organización_Modular!$F$10:$G$195,2,FALSE)=M$23,Itinerario!W29," ")," ")</f>
        <v xml:space="preserve"> </v>
      </c>
      <c r="N29" s="44" t="str">
        <f>_xlfn.IFNA(IF(VLOOKUP($D29,Organización_Modular!$F$10:$G$195,2,FALSE)=N$23,Itinerario!T29," ")," ")</f>
        <v xml:space="preserve"> </v>
      </c>
      <c r="O29" s="44" t="str">
        <f>_xlfn.IFNA(IF(VLOOKUP($D29,Organización_Modular!$F$10:$G$195,2,FALSE)=O$23,Itinerario!W29," ")," ")</f>
        <v xml:space="preserve"> </v>
      </c>
      <c r="P29" s="44" t="str">
        <f>_xlfn.IFNA(IF(VLOOKUP($D29,Organización_Modular!$F$10:$G$195,2,FALSE)=P$23,Itinerario!T29," ")," ")</f>
        <v xml:space="preserve"> </v>
      </c>
      <c r="Q29" s="44" t="str">
        <f>_xlfn.IFNA(IF(VLOOKUP($D29,Organización_Modular!$F$10:$G$195,2,FALSE)=Q$23,Itinerario!W29," ")," ")</f>
        <v xml:space="preserve"> </v>
      </c>
      <c r="R29" s="44">
        <f>Organización_Modular!H15</f>
        <v>0</v>
      </c>
      <c r="S29" s="44">
        <f>Organización_Modular!I15</f>
        <v>0</v>
      </c>
      <c r="T29" s="82">
        <f t="shared" si="2"/>
        <v>0</v>
      </c>
      <c r="U29" s="44">
        <f t="shared" si="3"/>
        <v>0</v>
      </c>
      <c r="V29" s="44">
        <f t="shared" si="4"/>
        <v>0</v>
      </c>
      <c r="W29" s="82">
        <f t="shared" si="5"/>
        <v>0</v>
      </c>
      <c r="X29" s="87">
        <f t="shared" si="6"/>
        <v>0</v>
      </c>
    </row>
    <row r="30" spans="1:36" ht="18" hidden="1" customHeight="1" x14ac:dyDescent="0.2">
      <c r="A30" s="535"/>
      <c r="B30" s="397"/>
      <c r="C30" s="538"/>
      <c r="D30" s="537">
        <f>Organización_Modular!F16</f>
        <v>0</v>
      </c>
      <c r="E30" s="537"/>
      <c r="F30" s="44" t="str">
        <f>_xlfn.IFNA(IF(VLOOKUP($D30,Organización_Modular!$F$10:$G$195,2,FALSE)=F$23,Itinerario!T30," ")," ")</f>
        <v xml:space="preserve"> </v>
      </c>
      <c r="G30" s="44" t="str">
        <f>_xlfn.IFNA(IF(VLOOKUP($D30,Organización_Modular!$F$10:$G$195,2,FALSE)=G$23,Itinerario!W30," ")," ")</f>
        <v xml:space="preserve"> </v>
      </c>
      <c r="H30" s="44" t="str">
        <f>_xlfn.IFNA(IF(VLOOKUP($D30,Organización_Modular!$F$10:$G$195,2,FALSE)=H$23,Itinerario!T30," ")," ")</f>
        <v xml:space="preserve"> </v>
      </c>
      <c r="I30" s="44" t="str">
        <f>_xlfn.IFNA(IF(VLOOKUP($D30,Organización_Modular!$F$10:$G$195,2,FALSE)=I$23,Itinerario!W30," ")," ")</f>
        <v xml:space="preserve"> </v>
      </c>
      <c r="J30" s="44" t="str">
        <f>_xlfn.IFNA(IF(VLOOKUP($D30,Organización_Modular!$F$10:$G$195,2,FALSE)=J$23,Itinerario!T30," ")," ")</f>
        <v xml:space="preserve"> </v>
      </c>
      <c r="K30" s="44" t="str">
        <f>_xlfn.IFNA(IF(VLOOKUP($D30,Organización_Modular!$F$10:$G$195,2,FALSE)=K$23,Itinerario!W30," ")," ")</f>
        <v xml:space="preserve"> </v>
      </c>
      <c r="L30" s="44" t="str">
        <f>_xlfn.IFNA(IF(VLOOKUP($D30,Organización_Modular!$F$10:$G$195,2,FALSE)=L$23,Itinerario!T30," ")," ")</f>
        <v xml:space="preserve"> </v>
      </c>
      <c r="M30" s="44" t="str">
        <f>_xlfn.IFNA(IF(VLOOKUP($D30,Organización_Modular!$F$10:$G$195,2,FALSE)=M$23,Itinerario!W30," ")," ")</f>
        <v xml:space="preserve"> </v>
      </c>
      <c r="N30" s="44" t="str">
        <f>_xlfn.IFNA(IF(VLOOKUP($D30,Organización_Modular!$F$10:$G$195,2,FALSE)=N$23,Itinerario!T30," ")," ")</f>
        <v xml:space="preserve"> </v>
      </c>
      <c r="O30" s="44" t="str">
        <f>_xlfn.IFNA(IF(VLOOKUP($D30,Organización_Modular!$F$10:$G$195,2,FALSE)=O$23,Itinerario!W30," ")," ")</f>
        <v xml:space="preserve"> </v>
      </c>
      <c r="P30" s="44" t="str">
        <f>_xlfn.IFNA(IF(VLOOKUP($D30,Organización_Modular!$F$10:$G$195,2,FALSE)=P$23,Itinerario!T30," ")," ")</f>
        <v xml:space="preserve"> </v>
      </c>
      <c r="Q30" s="44" t="str">
        <f>_xlfn.IFNA(IF(VLOOKUP($D30,Organización_Modular!$F$10:$G$195,2,FALSE)=Q$23,Itinerario!W30," ")," ")</f>
        <v xml:space="preserve"> </v>
      </c>
      <c r="R30" s="44">
        <f>Organización_Modular!H16</f>
        <v>0</v>
      </c>
      <c r="S30" s="44">
        <f>Organización_Modular!I16</f>
        <v>0</v>
      </c>
      <c r="T30" s="82">
        <f t="shared" si="2"/>
        <v>0</v>
      </c>
      <c r="U30" s="44">
        <f t="shared" si="3"/>
        <v>0</v>
      </c>
      <c r="V30" s="44">
        <f t="shared" si="4"/>
        <v>0</v>
      </c>
      <c r="W30" s="82">
        <f t="shared" si="5"/>
        <v>0</v>
      </c>
      <c r="X30" s="87">
        <f t="shared" si="6"/>
        <v>0</v>
      </c>
    </row>
    <row r="31" spans="1:36" ht="18" hidden="1" customHeight="1" x14ac:dyDescent="0.2">
      <c r="A31" s="535"/>
      <c r="B31" s="397"/>
      <c r="C31" s="538"/>
      <c r="D31" s="537">
        <f>Organización_Modular!F17</f>
        <v>0</v>
      </c>
      <c r="E31" s="537"/>
      <c r="F31" s="44" t="str">
        <f>_xlfn.IFNA(IF(VLOOKUP($D31,Organización_Modular!$F$10:$G$195,2,FALSE)=F$23,Itinerario!T31," ")," ")</f>
        <v xml:space="preserve"> </v>
      </c>
      <c r="G31" s="44" t="str">
        <f>_xlfn.IFNA(IF(VLOOKUP($D31,Organización_Modular!$F$10:$G$195,2,FALSE)=G$23,Itinerario!W31," ")," ")</f>
        <v xml:space="preserve"> </v>
      </c>
      <c r="H31" s="44" t="str">
        <f>_xlfn.IFNA(IF(VLOOKUP($D31,Organización_Modular!$F$10:$G$195,2,FALSE)=H$23,Itinerario!T31," ")," ")</f>
        <v xml:space="preserve"> </v>
      </c>
      <c r="I31" s="44" t="str">
        <f>_xlfn.IFNA(IF(VLOOKUP($D31,Organización_Modular!$F$10:$G$195,2,FALSE)=I$23,Itinerario!W31," ")," ")</f>
        <v xml:space="preserve"> </v>
      </c>
      <c r="J31" s="44" t="str">
        <f>_xlfn.IFNA(IF(VLOOKUP($D31,Organización_Modular!$F$10:$G$195,2,FALSE)=J$23,Itinerario!T31," ")," ")</f>
        <v xml:space="preserve"> </v>
      </c>
      <c r="K31" s="44" t="str">
        <f>_xlfn.IFNA(IF(VLOOKUP($D31,Organización_Modular!$F$10:$G$195,2,FALSE)=K$23,Itinerario!W31," ")," ")</f>
        <v xml:space="preserve"> </v>
      </c>
      <c r="L31" s="44" t="str">
        <f>_xlfn.IFNA(IF(VLOOKUP($D31,Organización_Modular!$F$10:$G$195,2,FALSE)=L$23,Itinerario!T31," ")," ")</f>
        <v xml:space="preserve"> </v>
      </c>
      <c r="M31" s="44" t="str">
        <f>_xlfn.IFNA(IF(VLOOKUP($D31,Organización_Modular!$F$10:$G$195,2,FALSE)=M$23,Itinerario!W31," ")," ")</f>
        <v xml:space="preserve"> </v>
      </c>
      <c r="N31" s="44" t="str">
        <f>_xlfn.IFNA(IF(VLOOKUP($D31,Organización_Modular!$F$10:$G$195,2,FALSE)=N$23,Itinerario!T31," ")," ")</f>
        <v xml:space="preserve"> </v>
      </c>
      <c r="O31" s="44" t="str">
        <f>_xlfn.IFNA(IF(VLOOKUP($D31,Organización_Modular!$F$10:$G$195,2,FALSE)=O$23,Itinerario!W31," ")," ")</f>
        <v xml:space="preserve"> </v>
      </c>
      <c r="P31" s="44" t="str">
        <f>_xlfn.IFNA(IF(VLOOKUP($D31,Organización_Modular!$F$10:$G$195,2,FALSE)=P$23,Itinerario!T31," ")," ")</f>
        <v xml:space="preserve"> </v>
      </c>
      <c r="Q31" s="44" t="str">
        <f>_xlfn.IFNA(IF(VLOOKUP($D31,Organización_Modular!$F$10:$G$195,2,FALSE)=Q$23,Itinerario!W31," ")," ")</f>
        <v xml:space="preserve"> </v>
      </c>
      <c r="R31" s="44">
        <f>Organización_Modular!H17</f>
        <v>0</v>
      </c>
      <c r="S31" s="44">
        <f>Organización_Modular!I17</f>
        <v>0</v>
      </c>
      <c r="T31" s="82">
        <f t="shared" si="2"/>
        <v>0</v>
      </c>
      <c r="U31" s="44">
        <f t="shared" si="3"/>
        <v>0</v>
      </c>
      <c r="V31" s="44">
        <f t="shared" si="4"/>
        <v>0</v>
      </c>
      <c r="W31" s="82">
        <f t="shared" si="5"/>
        <v>0</v>
      </c>
      <c r="X31" s="87">
        <f t="shared" si="6"/>
        <v>0</v>
      </c>
    </row>
    <row r="32" spans="1:36" ht="18" hidden="1" customHeight="1" x14ac:dyDescent="0.2">
      <c r="A32" s="535"/>
      <c r="B32" s="397"/>
      <c r="C32" s="538"/>
      <c r="D32" s="537">
        <f>Organización_Modular!F18</f>
        <v>0</v>
      </c>
      <c r="E32" s="537"/>
      <c r="F32" s="44" t="str">
        <f>_xlfn.IFNA(IF(VLOOKUP($D32,Organización_Modular!$F$10:$G$195,2,FALSE)=F$23,Itinerario!T32," ")," ")</f>
        <v xml:space="preserve"> </v>
      </c>
      <c r="G32" s="44" t="str">
        <f>_xlfn.IFNA(IF(VLOOKUP($D32,Organización_Modular!$F$10:$G$195,2,FALSE)=G$23,Itinerario!W32," ")," ")</f>
        <v xml:space="preserve"> </v>
      </c>
      <c r="H32" s="44" t="str">
        <f>_xlfn.IFNA(IF(VLOOKUP($D32,Organización_Modular!$F$10:$G$195,2,FALSE)=H$23,Itinerario!T32," ")," ")</f>
        <v xml:space="preserve"> </v>
      </c>
      <c r="I32" s="44" t="str">
        <f>_xlfn.IFNA(IF(VLOOKUP($D32,Organización_Modular!$F$10:$G$195,2,FALSE)=I$23,Itinerario!W32," ")," ")</f>
        <v xml:space="preserve"> </v>
      </c>
      <c r="J32" s="44" t="str">
        <f>_xlfn.IFNA(IF(VLOOKUP($D32,Organización_Modular!$F$10:$G$195,2,FALSE)=J$23,Itinerario!T32," ")," ")</f>
        <v xml:space="preserve"> </v>
      </c>
      <c r="K32" s="44" t="str">
        <f>_xlfn.IFNA(IF(VLOOKUP($D32,Organización_Modular!$F$10:$G$195,2,FALSE)=K$23,Itinerario!W32," ")," ")</f>
        <v xml:space="preserve"> </v>
      </c>
      <c r="L32" s="44" t="str">
        <f>_xlfn.IFNA(IF(VLOOKUP($D32,Organización_Modular!$F$10:$G$195,2,FALSE)=L$23,Itinerario!T32," ")," ")</f>
        <v xml:space="preserve"> </v>
      </c>
      <c r="M32" s="44" t="str">
        <f>_xlfn.IFNA(IF(VLOOKUP($D32,Organización_Modular!$F$10:$G$195,2,FALSE)=M$23,Itinerario!W32," ")," ")</f>
        <v xml:space="preserve"> </v>
      </c>
      <c r="N32" s="44" t="str">
        <f>_xlfn.IFNA(IF(VLOOKUP($D32,Organización_Modular!$F$10:$G$195,2,FALSE)=N$23,Itinerario!T32," ")," ")</f>
        <v xml:space="preserve"> </v>
      </c>
      <c r="O32" s="44" t="str">
        <f>_xlfn.IFNA(IF(VLOOKUP($D32,Organización_Modular!$F$10:$G$195,2,FALSE)=O$23,Itinerario!W32," ")," ")</f>
        <v xml:space="preserve"> </v>
      </c>
      <c r="P32" s="44" t="str">
        <f>_xlfn.IFNA(IF(VLOOKUP($D32,Organización_Modular!$F$10:$G$195,2,FALSE)=P$23,Itinerario!T32," ")," ")</f>
        <v xml:space="preserve"> </v>
      </c>
      <c r="Q32" s="44" t="str">
        <f>_xlfn.IFNA(IF(VLOOKUP($D32,Organización_Modular!$F$10:$G$195,2,FALSE)=Q$23,Itinerario!W32," ")," ")</f>
        <v xml:space="preserve"> </v>
      </c>
      <c r="R32" s="44">
        <f>Organización_Modular!H18</f>
        <v>0</v>
      </c>
      <c r="S32" s="44">
        <f>Organización_Modular!I18</f>
        <v>0</v>
      </c>
      <c r="T32" s="82">
        <f t="shared" si="2"/>
        <v>0</v>
      </c>
      <c r="U32" s="44">
        <f t="shared" si="3"/>
        <v>0</v>
      </c>
      <c r="V32" s="44">
        <f t="shared" si="4"/>
        <v>0</v>
      </c>
      <c r="W32" s="82">
        <f t="shared" si="5"/>
        <v>0</v>
      </c>
      <c r="X32" s="87">
        <f t="shared" si="6"/>
        <v>0</v>
      </c>
    </row>
    <row r="33" spans="1:24" ht="18" hidden="1" customHeight="1" x14ac:dyDescent="0.2">
      <c r="A33" s="535"/>
      <c r="B33" s="397"/>
      <c r="C33" s="538"/>
      <c r="D33" s="537">
        <f>Organización_Modular!F19</f>
        <v>0</v>
      </c>
      <c r="E33" s="537"/>
      <c r="F33" s="44" t="str">
        <f>_xlfn.IFNA(IF(VLOOKUP($D33,Organización_Modular!$F$10:$G$195,2,FALSE)=F$23,Itinerario!T33," ")," ")</f>
        <v xml:space="preserve"> </v>
      </c>
      <c r="G33" s="44" t="str">
        <f>_xlfn.IFNA(IF(VLOOKUP($D33,Organización_Modular!$F$10:$G$195,2,FALSE)=G$23,Itinerario!W33," ")," ")</f>
        <v xml:space="preserve"> </v>
      </c>
      <c r="H33" s="44" t="str">
        <f>_xlfn.IFNA(IF(VLOOKUP($D33,Organización_Modular!$F$10:$G$195,2,FALSE)=H$23,Itinerario!T33," ")," ")</f>
        <v xml:space="preserve"> </v>
      </c>
      <c r="I33" s="44" t="str">
        <f>_xlfn.IFNA(IF(VLOOKUP($D33,Organización_Modular!$F$10:$G$195,2,FALSE)=I$23,Itinerario!W33," ")," ")</f>
        <v xml:space="preserve"> </v>
      </c>
      <c r="J33" s="44" t="str">
        <f>_xlfn.IFNA(IF(VLOOKUP($D33,Organización_Modular!$F$10:$G$195,2,FALSE)=J$23,Itinerario!T33," ")," ")</f>
        <v xml:space="preserve"> </v>
      </c>
      <c r="K33" s="44" t="str">
        <f>_xlfn.IFNA(IF(VLOOKUP($D33,Organización_Modular!$F$10:$G$195,2,FALSE)=K$23,Itinerario!W33," ")," ")</f>
        <v xml:space="preserve"> </v>
      </c>
      <c r="L33" s="44" t="str">
        <f>_xlfn.IFNA(IF(VLOOKUP($D33,Organización_Modular!$F$10:$G$195,2,FALSE)=L$23,Itinerario!T33," ")," ")</f>
        <v xml:space="preserve"> </v>
      </c>
      <c r="M33" s="44" t="str">
        <f>_xlfn.IFNA(IF(VLOOKUP($D33,Organización_Modular!$F$10:$G$195,2,FALSE)=M$23,Itinerario!W33," ")," ")</f>
        <v xml:space="preserve"> </v>
      </c>
      <c r="N33" s="44" t="str">
        <f>_xlfn.IFNA(IF(VLOOKUP($D33,Organización_Modular!$F$10:$G$195,2,FALSE)=N$23,Itinerario!T33," ")," ")</f>
        <v xml:space="preserve"> </v>
      </c>
      <c r="O33" s="44" t="str">
        <f>_xlfn.IFNA(IF(VLOOKUP($D33,Organización_Modular!$F$10:$G$195,2,FALSE)=O$23,Itinerario!W33," ")," ")</f>
        <v xml:space="preserve"> </v>
      </c>
      <c r="P33" s="44" t="str">
        <f>_xlfn.IFNA(IF(VLOOKUP($D33,Organización_Modular!$F$10:$G$195,2,FALSE)=P$23,Itinerario!T33," ")," ")</f>
        <v xml:space="preserve"> </v>
      </c>
      <c r="Q33" s="44" t="str">
        <f>_xlfn.IFNA(IF(VLOOKUP($D33,Organización_Modular!$F$10:$G$195,2,FALSE)=Q$23,Itinerario!W33," ")," ")</f>
        <v xml:space="preserve"> </v>
      </c>
      <c r="R33" s="44">
        <f>Organización_Modular!H19</f>
        <v>0</v>
      </c>
      <c r="S33" s="44">
        <f>Organización_Modular!I19</f>
        <v>0</v>
      </c>
      <c r="T33" s="82">
        <f t="shared" si="2"/>
        <v>0</v>
      </c>
      <c r="U33" s="44">
        <f t="shared" si="3"/>
        <v>0</v>
      </c>
      <c r="V33" s="44">
        <f t="shared" si="4"/>
        <v>0</v>
      </c>
      <c r="W33" s="82">
        <f t="shared" si="5"/>
        <v>0</v>
      </c>
      <c r="X33" s="87">
        <f t="shared" si="6"/>
        <v>0</v>
      </c>
    </row>
    <row r="34" spans="1:24" ht="18" hidden="1" customHeight="1" x14ac:dyDescent="0.2">
      <c r="A34" s="535"/>
      <c r="B34" s="397"/>
      <c r="C34" s="538"/>
      <c r="D34" s="537">
        <f>Organización_Modular!F20</f>
        <v>0</v>
      </c>
      <c r="E34" s="537"/>
      <c r="F34" s="44" t="str">
        <f>_xlfn.IFNA(IF(VLOOKUP($D34,Organización_Modular!$F$10:$G$195,2,FALSE)=F$23,Itinerario!T34," ")," ")</f>
        <v xml:space="preserve"> </v>
      </c>
      <c r="G34" s="44" t="str">
        <f>_xlfn.IFNA(IF(VLOOKUP($D34,Organización_Modular!$F$10:$G$195,2,FALSE)=G$23,Itinerario!W34," ")," ")</f>
        <v xml:space="preserve"> </v>
      </c>
      <c r="H34" s="44" t="str">
        <f>_xlfn.IFNA(IF(VLOOKUP($D34,Organización_Modular!$F$10:$G$195,2,FALSE)=H$23,Itinerario!T34," ")," ")</f>
        <v xml:space="preserve"> </v>
      </c>
      <c r="I34" s="44" t="str">
        <f>_xlfn.IFNA(IF(VLOOKUP($D34,Organización_Modular!$F$10:$G$195,2,FALSE)=I$23,Itinerario!W34," ")," ")</f>
        <v xml:space="preserve"> </v>
      </c>
      <c r="J34" s="44" t="str">
        <f>_xlfn.IFNA(IF(VLOOKUP($D34,Organización_Modular!$F$10:$G$195,2,FALSE)=J$23,Itinerario!T34," ")," ")</f>
        <v xml:space="preserve"> </v>
      </c>
      <c r="K34" s="44" t="str">
        <f>_xlfn.IFNA(IF(VLOOKUP($D34,Organización_Modular!$F$10:$G$195,2,FALSE)=K$23,Itinerario!W34," ")," ")</f>
        <v xml:space="preserve"> </v>
      </c>
      <c r="L34" s="44" t="str">
        <f>_xlfn.IFNA(IF(VLOOKUP($D34,Organización_Modular!$F$10:$G$195,2,FALSE)=L$23,Itinerario!T34," ")," ")</f>
        <v xml:space="preserve"> </v>
      </c>
      <c r="M34" s="44" t="str">
        <f>_xlfn.IFNA(IF(VLOOKUP($D34,Organización_Modular!$F$10:$G$195,2,FALSE)=M$23,Itinerario!W34," ")," ")</f>
        <v xml:space="preserve"> </v>
      </c>
      <c r="N34" s="44" t="str">
        <f>_xlfn.IFNA(IF(VLOOKUP($D34,Organización_Modular!$F$10:$G$195,2,FALSE)=N$23,Itinerario!T34," ")," ")</f>
        <v xml:space="preserve"> </v>
      </c>
      <c r="O34" s="44" t="str">
        <f>_xlfn.IFNA(IF(VLOOKUP($D34,Organización_Modular!$F$10:$G$195,2,FALSE)=O$23,Itinerario!W34," ")," ")</f>
        <v xml:space="preserve"> </v>
      </c>
      <c r="P34" s="44" t="str">
        <f>_xlfn.IFNA(IF(VLOOKUP($D34,Organización_Modular!$F$10:$G$195,2,FALSE)=P$23,Itinerario!T34," ")," ")</f>
        <v xml:space="preserve"> </v>
      </c>
      <c r="Q34" s="44" t="str">
        <f>_xlfn.IFNA(IF(VLOOKUP($D34,Organización_Modular!$F$10:$G$195,2,FALSE)=Q$23,Itinerario!W34," ")," ")</f>
        <v xml:space="preserve"> </v>
      </c>
      <c r="R34" s="44">
        <f>Organización_Modular!H20</f>
        <v>0</v>
      </c>
      <c r="S34" s="44">
        <f>Organización_Modular!I20</f>
        <v>0</v>
      </c>
      <c r="T34" s="82">
        <f t="shared" si="2"/>
        <v>0</v>
      </c>
      <c r="U34" s="44">
        <f t="shared" si="3"/>
        <v>0</v>
      </c>
      <c r="V34" s="44">
        <f t="shared" si="4"/>
        <v>0</v>
      </c>
      <c r="W34" s="82">
        <f t="shared" si="5"/>
        <v>0</v>
      </c>
      <c r="X34" s="87">
        <f t="shared" si="6"/>
        <v>0</v>
      </c>
    </row>
    <row r="35" spans="1:24" ht="18" hidden="1" customHeight="1" x14ac:dyDescent="0.2">
      <c r="A35" s="535"/>
      <c r="B35" s="397"/>
      <c r="C35" s="538"/>
      <c r="D35" s="537">
        <f>Organización_Modular!F21</f>
        <v>0</v>
      </c>
      <c r="E35" s="537"/>
      <c r="F35" s="44" t="str">
        <f>_xlfn.IFNA(IF(VLOOKUP($D35,Organización_Modular!$F$10:$G$195,2,FALSE)=F$23,Itinerario!T35," ")," ")</f>
        <v xml:space="preserve"> </v>
      </c>
      <c r="G35" s="44" t="str">
        <f>_xlfn.IFNA(IF(VLOOKUP($D35,Organización_Modular!$F$10:$G$195,2,FALSE)=G$23,Itinerario!W35," ")," ")</f>
        <v xml:space="preserve"> </v>
      </c>
      <c r="H35" s="44" t="str">
        <f>_xlfn.IFNA(IF(VLOOKUP($D35,Organización_Modular!$F$10:$G$195,2,FALSE)=H$23,Itinerario!T35," ")," ")</f>
        <v xml:space="preserve"> </v>
      </c>
      <c r="I35" s="44" t="str">
        <f>_xlfn.IFNA(IF(VLOOKUP($D35,Organización_Modular!$F$10:$G$195,2,FALSE)=I$23,Itinerario!W35," ")," ")</f>
        <v xml:space="preserve"> </v>
      </c>
      <c r="J35" s="44" t="str">
        <f>_xlfn.IFNA(IF(VLOOKUP($D35,Organización_Modular!$F$10:$G$195,2,FALSE)=J$23,Itinerario!T35," ")," ")</f>
        <v xml:space="preserve"> </v>
      </c>
      <c r="K35" s="44" t="str">
        <f>_xlfn.IFNA(IF(VLOOKUP($D35,Organización_Modular!$F$10:$G$195,2,FALSE)=K$23,Itinerario!W35," ")," ")</f>
        <v xml:space="preserve"> </v>
      </c>
      <c r="L35" s="44" t="str">
        <f>_xlfn.IFNA(IF(VLOOKUP($D35,Organización_Modular!$F$10:$G$195,2,FALSE)=L$23,Itinerario!T35," ")," ")</f>
        <v xml:space="preserve"> </v>
      </c>
      <c r="M35" s="44" t="str">
        <f>_xlfn.IFNA(IF(VLOOKUP($D35,Organización_Modular!$F$10:$G$195,2,FALSE)=M$23,Itinerario!W35," ")," ")</f>
        <v xml:space="preserve"> </v>
      </c>
      <c r="N35" s="44" t="str">
        <f>_xlfn.IFNA(IF(VLOOKUP($D35,Organización_Modular!$F$10:$G$195,2,FALSE)=N$23,Itinerario!T35," ")," ")</f>
        <v xml:space="preserve"> </v>
      </c>
      <c r="O35" s="44" t="str">
        <f>_xlfn.IFNA(IF(VLOOKUP($D35,Organización_Modular!$F$10:$G$195,2,FALSE)=O$23,Itinerario!W35," ")," ")</f>
        <v xml:space="preserve"> </v>
      </c>
      <c r="P35" s="44" t="str">
        <f>_xlfn.IFNA(IF(VLOOKUP($D35,Organización_Modular!$F$10:$G$195,2,FALSE)=P$23,Itinerario!T35," ")," ")</f>
        <v xml:space="preserve"> </v>
      </c>
      <c r="Q35" s="44" t="str">
        <f>_xlfn.IFNA(IF(VLOOKUP($D35,Organización_Modular!$F$10:$G$195,2,FALSE)=Q$23,Itinerario!W35," ")," ")</f>
        <v xml:space="preserve"> </v>
      </c>
      <c r="R35" s="44">
        <f>Organización_Modular!H21</f>
        <v>0</v>
      </c>
      <c r="S35" s="44">
        <f>Organización_Modular!I21</f>
        <v>0</v>
      </c>
      <c r="T35" s="82">
        <f t="shared" si="2"/>
        <v>0</v>
      </c>
      <c r="U35" s="44">
        <f t="shared" si="3"/>
        <v>0</v>
      </c>
      <c r="V35" s="44">
        <f t="shared" si="4"/>
        <v>0</v>
      </c>
      <c r="W35" s="82">
        <f t="shared" si="5"/>
        <v>0</v>
      </c>
      <c r="X35" s="87">
        <f t="shared" si="6"/>
        <v>0</v>
      </c>
    </row>
    <row r="36" spans="1:24" ht="18" hidden="1" customHeight="1" x14ac:dyDescent="0.2">
      <c r="A36" s="535"/>
      <c r="B36" s="397"/>
      <c r="C36" s="538"/>
      <c r="D36" s="537">
        <f>Organización_Modular!F22</f>
        <v>0</v>
      </c>
      <c r="E36" s="537"/>
      <c r="F36" s="44" t="str">
        <f>_xlfn.IFNA(IF(VLOOKUP($D36,Organización_Modular!$F$10:$G$195,2,FALSE)=F$23,Itinerario!T36," ")," ")</f>
        <v xml:space="preserve"> </v>
      </c>
      <c r="G36" s="44" t="str">
        <f>_xlfn.IFNA(IF(VLOOKUP($D36,Organización_Modular!$F$10:$G$195,2,FALSE)=G$23,Itinerario!W36," ")," ")</f>
        <v xml:space="preserve"> </v>
      </c>
      <c r="H36" s="44" t="str">
        <f>_xlfn.IFNA(IF(VLOOKUP($D36,Organización_Modular!$F$10:$G$195,2,FALSE)=H$23,Itinerario!T36," ")," ")</f>
        <v xml:space="preserve"> </v>
      </c>
      <c r="I36" s="44" t="str">
        <f>_xlfn.IFNA(IF(VLOOKUP($D36,Organización_Modular!$F$10:$G$195,2,FALSE)=I$23,Itinerario!W36," ")," ")</f>
        <v xml:space="preserve"> </v>
      </c>
      <c r="J36" s="44" t="str">
        <f>_xlfn.IFNA(IF(VLOOKUP($D36,Organización_Modular!$F$10:$G$195,2,FALSE)=J$23,Itinerario!T36," ")," ")</f>
        <v xml:space="preserve"> </v>
      </c>
      <c r="K36" s="44" t="str">
        <f>_xlfn.IFNA(IF(VLOOKUP($D36,Organización_Modular!$F$10:$G$195,2,FALSE)=K$23,Itinerario!W36," ")," ")</f>
        <v xml:space="preserve"> </v>
      </c>
      <c r="L36" s="44" t="str">
        <f>_xlfn.IFNA(IF(VLOOKUP($D36,Organización_Modular!$F$10:$G$195,2,FALSE)=L$23,Itinerario!T36," ")," ")</f>
        <v xml:space="preserve"> </v>
      </c>
      <c r="M36" s="44" t="str">
        <f>_xlfn.IFNA(IF(VLOOKUP($D36,Organización_Modular!$F$10:$G$195,2,FALSE)=M$23,Itinerario!W36," ")," ")</f>
        <v xml:space="preserve"> </v>
      </c>
      <c r="N36" s="44" t="str">
        <f>_xlfn.IFNA(IF(VLOOKUP($D36,Organización_Modular!$F$10:$G$195,2,FALSE)=N$23,Itinerario!T36," ")," ")</f>
        <v xml:space="preserve"> </v>
      </c>
      <c r="O36" s="44" t="str">
        <f>_xlfn.IFNA(IF(VLOOKUP($D36,Organización_Modular!$F$10:$G$195,2,FALSE)=O$23,Itinerario!W36," ")," ")</f>
        <v xml:space="preserve"> </v>
      </c>
      <c r="P36" s="44" t="str">
        <f>_xlfn.IFNA(IF(VLOOKUP($D36,Organización_Modular!$F$10:$G$195,2,FALSE)=P$23,Itinerario!T36," ")," ")</f>
        <v xml:space="preserve"> </v>
      </c>
      <c r="Q36" s="44" t="str">
        <f>_xlfn.IFNA(IF(VLOOKUP($D36,Organización_Modular!$F$10:$G$195,2,FALSE)=Q$23,Itinerario!W36," ")," ")</f>
        <v xml:space="preserve"> </v>
      </c>
      <c r="R36" s="44">
        <f>Organización_Modular!H22</f>
        <v>0</v>
      </c>
      <c r="S36" s="44">
        <f>Organización_Modular!I22</f>
        <v>0</v>
      </c>
      <c r="T36" s="82">
        <f t="shared" si="2"/>
        <v>0</v>
      </c>
      <c r="U36" s="44">
        <f t="shared" si="3"/>
        <v>0</v>
      </c>
      <c r="V36" s="44">
        <f t="shared" si="4"/>
        <v>0</v>
      </c>
      <c r="W36" s="82">
        <f t="shared" si="5"/>
        <v>0</v>
      </c>
      <c r="X36" s="87">
        <f t="shared" si="6"/>
        <v>0</v>
      </c>
    </row>
    <row r="37" spans="1:24" ht="18" hidden="1" customHeight="1" x14ac:dyDescent="0.2">
      <c r="A37" s="535"/>
      <c r="B37" s="397"/>
      <c r="C37" s="538"/>
      <c r="D37" s="537">
        <f>Organización_Modular!F23</f>
        <v>0</v>
      </c>
      <c r="E37" s="537"/>
      <c r="F37" s="44" t="str">
        <f>_xlfn.IFNA(IF(VLOOKUP($D37,Organización_Modular!$F$10:$G$195,2,FALSE)=F$23,Itinerario!T37," ")," ")</f>
        <v xml:space="preserve"> </v>
      </c>
      <c r="G37" s="44" t="str">
        <f>_xlfn.IFNA(IF(VLOOKUP($D37,Organización_Modular!$F$10:$G$195,2,FALSE)=G$23,Itinerario!W37," ")," ")</f>
        <v xml:space="preserve"> </v>
      </c>
      <c r="H37" s="44" t="str">
        <f>_xlfn.IFNA(IF(VLOOKUP($D37,Organización_Modular!$F$10:$G$195,2,FALSE)=H$23,Itinerario!T37," ")," ")</f>
        <v xml:space="preserve"> </v>
      </c>
      <c r="I37" s="44" t="str">
        <f>_xlfn.IFNA(IF(VLOOKUP($D37,Organización_Modular!$F$10:$G$195,2,FALSE)=I$23,Itinerario!W37," ")," ")</f>
        <v xml:space="preserve"> </v>
      </c>
      <c r="J37" s="44" t="str">
        <f>_xlfn.IFNA(IF(VLOOKUP($D37,Organización_Modular!$F$10:$G$195,2,FALSE)=J$23,Itinerario!T37," ")," ")</f>
        <v xml:space="preserve"> </v>
      </c>
      <c r="K37" s="44" t="str">
        <f>_xlfn.IFNA(IF(VLOOKUP($D37,Organización_Modular!$F$10:$G$195,2,FALSE)=K$23,Itinerario!W37," ")," ")</f>
        <v xml:space="preserve"> </v>
      </c>
      <c r="L37" s="44" t="str">
        <f>_xlfn.IFNA(IF(VLOOKUP($D37,Organización_Modular!$F$10:$G$195,2,FALSE)=L$23,Itinerario!T37," ")," ")</f>
        <v xml:space="preserve"> </v>
      </c>
      <c r="M37" s="44" t="str">
        <f>_xlfn.IFNA(IF(VLOOKUP($D37,Organización_Modular!$F$10:$G$195,2,FALSE)=M$23,Itinerario!W37," ")," ")</f>
        <v xml:space="preserve"> </v>
      </c>
      <c r="N37" s="44" t="str">
        <f>_xlfn.IFNA(IF(VLOOKUP($D37,Organización_Modular!$F$10:$G$195,2,FALSE)=N$23,Itinerario!T37," ")," ")</f>
        <v xml:space="preserve"> </v>
      </c>
      <c r="O37" s="44" t="str">
        <f>_xlfn.IFNA(IF(VLOOKUP($D37,Organización_Modular!$F$10:$G$195,2,FALSE)=O$23,Itinerario!W37," ")," ")</f>
        <v xml:space="preserve"> </v>
      </c>
      <c r="P37" s="44" t="str">
        <f>_xlfn.IFNA(IF(VLOOKUP($D37,Organización_Modular!$F$10:$G$195,2,FALSE)=P$23,Itinerario!T37," ")," ")</f>
        <v xml:space="preserve"> </v>
      </c>
      <c r="Q37" s="44" t="str">
        <f>_xlfn.IFNA(IF(VLOOKUP($D37,Organización_Modular!$F$10:$G$195,2,FALSE)=Q$23,Itinerario!W37," ")," ")</f>
        <v xml:space="preserve"> </v>
      </c>
      <c r="R37" s="44">
        <f>Organización_Modular!H23</f>
        <v>0</v>
      </c>
      <c r="S37" s="44">
        <f>Organización_Modular!I23</f>
        <v>0</v>
      </c>
      <c r="T37" s="82">
        <f t="shared" si="2"/>
        <v>0</v>
      </c>
      <c r="U37" s="44">
        <f t="shared" si="3"/>
        <v>0</v>
      </c>
      <c r="V37" s="44">
        <f t="shared" si="4"/>
        <v>0</v>
      </c>
      <c r="W37" s="82">
        <f t="shared" si="5"/>
        <v>0</v>
      </c>
      <c r="X37" s="87">
        <f t="shared" si="6"/>
        <v>0</v>
      </c>
    </row>
    <row r="38" spans="1:24" ht="18" hidden="1" customHeight="1" x14ac:dyDescent="0.2">
      <c r="A38" s="535"/>
      <c r="B38" s="397"/>
      <c r="C38" s="538"/>
      <c r="D38" s="537">
        <f>Organización_Modular!F24</f>
        <v>0</v>
      </c>
      <c r="E38" s="537"/>
      <c r="F38" s="44" t="str">
        <f>_xlfn.IFNA(IF(VLOOKUP($D38,Organización_Modular!$F$10:$G$195,2,FALSE)=F$23,Itinerario!T38," ")," ")</f>
        <v xml:space="preserve"> </v>
      </c>
      <c r="G38" s="44" t="str">
        <f>_xlfn.IFNA(IF(VLOOKUP($D38,Organización_Modular!$F$10:$G$195,2,FALSE)=G$23,Itinerario!W38," ")," ")</f>
        <v xml:space="preserve"> </v>
      </c>
      <c r="H38" s="44" t="str">
        <f>_xlfn.IFNA(IF(VLOOKUP($D38,Organización_Modular!$F$10:$G$195,2,FALSE)=H$23,Itinerario!T38," ")," ")</f>
        <v xml:space="preserve"> </v>
      </c>
      <c r="I38" s="44" t="str">
        <f>_xlfn.IFNA(IF(VLOOKUP($D38,Organización_Modular!$F$10:$G$195,2,FALSE)=I$23,Itinerario!W38," ")," ")</f>
        <v xml:space="preserve"> </v>
      </c>
      <c r="J38" s="44" t="str">
        <f>_xlfn.IFNA(IF(VLOOKUP($D38,Organización_Modular!$F$10:$G$195,2,FALSE)=J$23,Itinerario!T38," ")," ")</f>
        <v xml:space="preserve"> </v>
      </c>
      <c r="K38" s="44" t="str">
        <f>_xlfn.IFNA(IF(VLOOKUP($D38,Organización_Modular!$F$10:$G$195,2,FALSE)=K$23,Itinerario!W38," ")," ")</f>
        <v xml:space="preserve"> </v>
      </c>
      <c r="L38" s="44" t="str">
        <f>_xlfn.IFNA(IF(VLOOKUP($D38,Organización_Modular!$F$10:$G$195,2,FALSE)=L$23,Itinerario!T38," ")," ")</f>
        <v xml:space="preserve"> </v>
      </c>
      <c r="M38" s="44" t="str">
        <f>_xlfn.IFNA(IF(VLOOKUP($D38,Organización_Modular!$F$10:$G$195,2,FALSE)=M$23,Itinerario!W38," ")," ")</f>
        <v xml:space="preserve"> </v>
      </c>
      <c r="N38" s="44" t="str">
        <f>_xlfn.IFNA(IF(VLOOKUP($D38,Organización_Modular!$F$10:$G$195,2,FALSE)=N$23,Itinerario!T38," ")," ")</f>
        <v xml:space="preserve"> </v>
      </c>
      <c r="O38" s="44" t="str">
        <f>_xlfn.IFNA(IF(VLOOKUP($D38,Organización_Modular!$F$10:$G$195,2,FALSE)=O$23,Itinerario!W38," ")," ")</f>
        <v xml:space="preserve"> </v>
      </c>
      <c r="P38" s="44" t="str">
        <f>_xlfn.IFNA(IF(VLOOKUP($D38,Organización_Modular!$F$10:$G$195,2,FALSE)=P$23,Itinerario!T38," ")," ")</f>
        <v xml:space="preserve"> </v>
      </c>
      <c r="Q38" s="44" t="str">
        <f>_xlfn.IFNA(IF(VLOOKUP($D38,Organización_Modular!$F$10:$G$195,2,FALSE)=Q$23,Itinerario!W38," ")," ")</f>
        <v xml:space="preserve"> </v>
      </c>
      <c r="R38" s="44">
        <f>Organización_Modular!H24</f>
        <v>0</v>
      </c>
      <c r="S38" s="44">
        <f>Organización_Modular!I24</f>
        <v>0</v>
      </c>
      <c r="T38" s="82">
        <f t="shared" si="2"/>
        <v>0</v>
      </c>
      <c r="U38" s="44">
        <f t="shared" si="3"/>
        <v>0</v>
      </c>
      <c r="V38" s="44">
        <f t="shared" si="4"/>
        <v>0</v>
      </c>
      <c r="W38" s="82">
        <f t="shared" si="5"/>
        <v>0</v>
      </c>
      <c r="X38" s="87">
        <f t="shared" si="6"/>
        <v>0</v>
      </c>
    </row>
    <row r="39" spans="1:24" ht="18" hidden="1" customHeight="1" x14ac:dyDescent="0.2">
      <c r="A39" s="535"/>
      <c r="B39" s="397"/>
      <c r="C39" s="538"/>
      <c r="D39" s="537">
        <f>Organización_Modular!F25</f>
        <v>0</v>
      </c>
      <c r="E39" s="537"/>
      <c r="F39" s="44" t="str">
        <f>_xlfn.IFNA(IF(VLOOKUP($D39,Organización_Modular!$F$10:$G$195,2,FALSE)=F$23,Itinerario!T39," ")," ")</f>
        <v xml:space="preserve"> </v>
      </c>
      <c r="G39" s="44" t="str">
        <f>_xlfn.IFNA(IF(VLOOKUP($D39,Organización_Modular!$F$10:$G$195,2,FALSE)=G$23,Itinerario!W39," ")," ")</f>
        <v xml:space="preserve"> </v>
      </c>
      <c r="H39" s="44" t="str">
        <f>_xlfn.IFNA(IF(VLOOKUP($D39,Organización_Modular!$F$10:$G$195,2,FALSE)=H$23,Itinerario!T39," ")," ")</f>
        <v xml:space="preserve"> </v>
      </c>
      <c r="I39" s="44" t="str">
        <f>_xlfn.IFNA(IF(VLOOKUP($D39,Organización_Modular!$F$10:$G$195,2,FALSE)=I$23,Itinerario!W39," ")," ")</f>
        <v xml:space="preserve"> </v>
      </c>
      <c r="J39" s="44" t="str">
        <f>_xlfn.IFNA(IF(VLOOKUP($D39,Organización_Modular!$F$10:$G$195,2,FALSE)=J$23,Itinerario!T39," ")," ")</f>
        <v xml:space="preserve"> </v>
      </c>
      <c r="K39" s="44" t="str">
        <f>_xlfn.IFNA(IF(VLOOKUP($D39,Organización_Modular!$F$10:$G$195,2,FALSE)=K$23,Itinerario!W39," ")," ")</f>
        <v xml:space="preserve"> </v>
      </c>
      <c r="L39" s="44" t="str">
        <f>_xlfn.IFNA(IF(VLOOKUP($D39,Organización_Modular!$F$10:$G$195,2,FALSE)=L$23,Itinerario!T39," ")," ")</f>
        <v xml:space="preserve"> </v>
      </c>
      <c r="M39" s="44" t="str">
        <f>_xlfn.IFNA(IF(VLOOKUP($D39,Organización_Modular!$F$10:$G$195,2,FALSE)=M$23,Itinerario!W39," ")," ")</f>
        <v xml:space="preserve"> </v>
      </c>
      <c r="N39" s="44" t="str">
        <f>_xlfn.IFNA(IF(VLOOKUP($D39,Organización_Modular!$F$10:$G$195,2,FALSE)=N$23,Itinerario!T39," ")," ")</f>
        <v xml:space="preserve"> </v>
      </c>
      <c r="O39" s="44" t="str">
        <f>_xlfn.IFNA(IF(VLOOKUP($D39,Organización_Modular!$F$10:$G$195,2,FALSE)=O$23,Itinerario!W39," ")," ")</f>
        <v xml:space="preserve"> </v>
      </c>
      <c r="P39" s="44" t="str">
        <f>_xlfn.IFNA(IF(VLOOKUP($D39,Organización_Modular!$F$10:$G$195,2,FALSE)=P$23,Itinerario!T39," ")," ")</f>
        <v xml:space="preserve"> </v>
      </c>
      <c r="Q39" s="44" t="str">
        <f>_xlfn.IFNA(IF(VLOOKUP($D39,Organización_Modular!$F$10:$G$195,2,FALSE)=Q$23,Itinerario!W39," ")," ")</f>
        <v xml:space="preserve"> </v>
      </c>
      <c r="R39" s="44">
        <f>Organización_Modular!H25</f>
        <v>0</v>
      </c>
      <c r="S39" s="44">
        <f>Organización_Modular!I25</f>
        <v>0</v>
      </c>
      <c r="T39" s="82">
        <f t="shared" si="2"/>
        <v>0</v>
      </c>
      <c r="U39" s="44">
        <f t="shared" si="3"/>
        <v>0</v>
      </c>
      <c r="V39" s="44">
        <f t="shared" si="4"/>
        <v>0</v>
      </c>
      <c r="W39" s="82">
        <f t="shared" si="5"/>
        <v>0</v>
      </c>
      <c r="X39" s="87">
        <f t="shared" si="6"/>
        <v>0</v>
      </c>
    </row>
    <row r="40" spans="1:24" ht="18" hidden="1" customHeight="1" x14ac:dyDescent="0.2">
      <c r="A40" s="535"/>
      <c r="B40" s="397"/>
      <c r="C40" s="538"/>
      <c r="D40" s="537">
        <f>Organización_Modular!F26</f>
        <v>0</v>
      </c>
      <c r="E40" s="537"/>
      <c r="F40" s="44" t="str">
        <f>_xlfn.IFNA(IF(VLOOKUP($D40,Organización_Modular!$F$10:$G$195,2,FALSE)=F$23,Itinerario!T40," ")," ")</f>
        <v xml:space="preserve"> </v>
      </c>
      <c r="G40" s="44" t="str">
        <f>_xlfn.IFNA(IF(VLOOKUP($D40,Organización_Modular!$F$10:$G$195,2,FALSE)=G$23,Itinerario!W40," ")," ")</f>
        <v xml:space="preserve"> </v>
      </c>
      <c r="H40" s="44" t="str">
        <f>_xlfn.IFNA(IF(VLOOKUP($D40,Organización_Modular!$F$10:$G$195,2,FALSE)=H$23,Itinerario!T40," ")," ")</f>
        <v xml:space="preserve"> </v>
      </c>
      <c r="I40" s="44" t="str">
        <f>_xlfn.IFNA(IF(VLOOKUP($D40,Organización_Modular!$F$10:$G$195,2,FALSE)=I$23,Itinerario!W40," ")," ")</f>
        <v xml:space="preserve"> </v>
      </c>
      <c r="J40" s="44" t="str">
        <f>_xlfn.IFNA(IF(VLOOKUP($D40,Organización_Modular!$F$10:$G$195,2,FALSE)=J$23,Itinerario!T40," ")," ")</f>
        <v xml:space="preserve"> </v>
      </c>
      <c r="K40" s="44" t="str">
        <f>_xlfn.IFNA(IF(VLOOKUP($D40,Organización_Modular!$F$10:$G$195,2,FALSE)=K$23,Itinerario!W40," ")," ")</f>
        <v xml:space="preserve"> </v>
      </c>
      <c r="L40" s="44" t="str">
        <f>_xlfn.IFNA(IF(VLOOKUP($D40,Organización_Modular!$F$10:$G$195,2,FALSE)=L$23,Itinerario!T40," ")," ")</f>
        <v xml:space="preserve"> </v>
      </c>
      <c r="M40" s="44" t="str">
        <f>_xlfn.IFNA(IF(VLOOKUP($D40,Organización_Modular!$F$10:$G$195,2,FALSE)=M$23,Itinerario!W40," ")," ")</f>
        <v xml:space="preserve"> </v>
      </c>
      <c r="N40" s="44" t="str">
        <f>_xlfn.IFNA(IF(VLOOKUP($D40,Organización_Modular!$F$10:$G$195,2,FALSE)=N$23,Itinerario!T40," ")," ")</f>
        <v xml:space="preserve"> </v>
      </c>
      <c r="O40" s="44" t="str">
        <f>_xlfn.IFNA(IF(VLOOKUP($D40,Organización_Modular!$F$10:$G$195,2,FALSE)=O$23,Itinerario!W40," ")," ")</f>
        <v xml:space="preserve"> </v>
      </c>
      <c r="P40" s="44" t="str">
        <f>_xlfn.IFNA(IF(VLOOKUP($D40,Organización_Modular!$F$10:$G$195,2,FALSE)=P$23,Itinerario!T40," ")," ")</f>
        <v xml:space="preserve"> </v>
      </c>
      <c r="Q40" s="44" t="str">
        <f>_xlfn.IFNA(IF(VLOOKUP($D40,Organización_Modular!$F$10:$G$195,2,FALSE)=Q$23,Itinerario!W40," ")," ")</f>
        <v xml:space="preserve"> </v>
      </c>
      <c r="R40" s="44">
        <f>Organización_Modular!H26</f>
        <v>0</v>
      </c>
      <c r="S40" s="44">
        <f>Organización_Modular!I26</f>
        <v>0</v>
      </c>
      <c r="T40" s="82">
        <f t="shared" si="2"/>
        <v>0</v>
      </c>
      <c r="U40" s="44">
        <f t="shared" si="3"/>
        <v>0</v>
      </c>
      <c r="V40" s="44">
        <f t="shared" si="4"/>
        <v>0</v>
      </c>
      <c r="W40" s="82">
        <f t="shared" si="5"/>
        <v>0</v>
      </c>
      <c r="X40" s="87">
        <f t="shared" si="6"/>
        <v>0</v>
      </c>
    </row>
    <row r="41" spans="1:24" ht="18" hidden="1" customHeight="1" x14ac:dyDescent="0.2">
      <c r="A41" s="535"/>
      <c r="B41" s="397"/>
      <c r="C41" s="538"/>
      <c r="D41" s="537">
        <f>Organización_Modular!F27</f>
        <v>0</v>
      </c>
      <c r="E41" s="537"/>
      <c r="F41" s="44" t="str">
        <f>_xlfn.IFNA(IF(VLOOKUP($D41,Organización_Modular!$F$10:$G$195,2,FALSE)=F$23,Itinerario!T41," ")," ")</f>
        <v xml:space="preserve"> </v>
      </c>
      <c r="G41" s="44" t="str">
        <f>_xlfn.IFNA(IF(VLOOKUP($D41,Organización_Modular!$F$10:$G$195,2,FALSE)=G$23,Itinerario!W41," ")," ")</f>
        <v xml:space="preserve"> </v>
      </c>
      <c r="H41" s="44" t="str">
        <f>_xlfn.IFNA(IF(VLOOKUP($D41,Organización_Modular!$F$10:$G$195,2,FALSE)=H$23,Itinerario!T41," ")," ")</f>
        <v xml:space="preserve"> </v>
      </c>
      <c r="I41" s="44" t="str">
        <f>_xlfn.IFNA(IF(VLOOKUP($D41,Organización_Modular!$F$10:$G$195,2,FALSE)=I$23,Itinerario!W41," ")," ")</f>
        <v xml:space="preserve"> </v>
      </c>
      <c r="J41" s="44" t="str">
        <f>_xlfn.IFNA(IF(VLOOKUP($D41,Organización_Modular!$F$10:$G$195,2,FALSE)=J$23,Itinerario!T41," ")," ")</f>
        <v xml:space="preserve"> </v>
      </c>
      <c r="K41" s="44" t="str">
        <f>_xlfn.IFNA(IF(VLOOKUP($D41,Organización_Modular!$F$10:$G$195,2,FALSE)=K$23,Itinerario!W41," ")," ")</f>
        <v xml:space="preserve"> </v>
      </c>
      <c r="L41" s="44" t="str">
        <f>_xlfn.IFNA(IF(VLOOKUP($D41,Organización_Modular!$F$10:$G$195,2,FALSE)=L$23,Itinerario!T41," ")," ")</f>
        <v xml:space="preserve"> </v>
      </c>
      <c r="M41" s="44" t="str">
        <f>_xlfn.IFNA(IF(VLOOKUP($D41,Organización_Modular!$F$10:$G$195,2,FALSE)=M$23,Itinerario!W41," ")," ")</f>
        <v xml:space="preserve"> </v>
      </c>
      <c r="N41" s="44" t="str">
        <f>_xlfn.IFNA(IF(VLOOKUP($D41,Organización_Modular!$F$10:$G$195,2,FALSE)=N$23,Itinerario!T41," ")," ")</f>
        <v xml:space="preserve"> </v>
      </c>
      <c r="O41" s="44" t="str">
        <f>_xlfn.IFNA(IF(VLOOKUP($D41,Organización_Modular!$F$10:$G$195,2,FALSE)=O$23,Itinerario!W41," ")," ")</f>
        <v xml:space="preserve"> </v>
      </c>
      <c r="P41" s="44" t="str">
        <f>_xlfn.IFNA(IF(VLOOKUP($D41,Organización_Modular!$F$10:$G$195,2,FALSE)=P$23,Itinerario!T41," ")," ")</f>
        <v xml:space="preserve"> </v>
      </c>
      <c r="Q41" s="44" t="str">
        <f>_xlfn.IFNA(IF(VLOOKUP($D41,Organización_Modular!$F$10:$G$195,2,FALSE)=Q$23,Itinerario!W41," ")," ")</f>
        <v xml:space="preserve"> </v>
      </c>
      <c r="R41" s="44">
        <f>Organización_Modular!H27</f>
        <v>0</v>
      </c>
      <c r="S41" s="44">
        <f>Organización_Modular!I27</f>
        <v>0</v>
      </c>
      <c r="T41" s="82">
        <f t="shared" si="2"/>
        <v>0</v>
      </c>
      <c r="U41" s="44">
        <f t="shared" si="3"/>
        <v>0</v>
      </c>
      <c r="V41" s="44">
        <f t="shared" si="4"/>
        <v>0</v>
      </c>
      <c r="W41" s="82">
        <f t="shared" si="5"/>
        <v>0</v>
      </c>
      <c r="X41" s="87">
        <f t="shared" si="6"/>
        <v>0</v>
      </c>
    </row>
    <row r="42" spans="1:24" ht="18" hidden="1" customHeight="1" x14ac:dyDescent="0.2">
      <c r="A42" s="535"/>
      <c r="B42" s="397"/>
      <c r="C42" s="538"/>
      <c r="D42" s="537">
        <f>Organización_Modular!F28</f>
        <v>0</v>
      </c>
      <c r="E42" s="537"/>
      <c r="F42" s="44" t="str">
        <f>_xlfn.IFNA(IF(VLOOKUP($D42,Organización_Modular!$F$10:$G$195,2,FALSE)=F$23,Itinerario!T42," ")," ")</f>
        <v xml:space="preserve"> </v>
      </c>
      <c r="G42" s="44" t="str">
        <f>_xlfn.IFNA(IF(VLOOKUP($D42,Organización_Modular!$F$10:$G$195,2,FALSE)=G$23,Itinerario!W42," ")," ")</f>
        <v xml:space="preserve"> </v>
      </c>
      <c r="H42" s="44" t="str">
        <f>_xlfn.IFNA(IF(VLOOKUP($D42,Organización_Modular!$F$10:$G$195,2,FALSE)=H$23,Itinerario!T42," ")," ")</f>
        <v xml:space="preserve"> </v>
      </c>
      <c r="I42" s="44" t="str">
        <f>_xlfn.IFNA(IF(VLOOKUP($D42,Organización_Modular!$F$10:$G$195,2,FALSE)=I$23,Itinerario!W42," ")," ")</f>
        <v xml:space="preserve"> </v>
      </c>
      <c r="J42" s="44" t="str">
        <f>_xlfn.IFNA(IF(VLOOKUP($D42,Organización_Modular!$F$10:$G$195,2,FALSE)=J$23,Itinerario!T42," ")," ")</f>
        <v xml:space="preserve"> </v>
      </c>
      <c r="K42" s="44" t="str">
        <f>_xlfn.IFNA(IF(VLOOKUP($D42,Organización_Modular!$F$10:$G$195,2,FALSE)=K$23,Itinerario!W42," ")," ")</f>
        <v xml:space="preserve"> </v>
      </c>
      <c r="L42" s="44" t="str">
        <f>_xlfn.IFNA(IF(VLOOKUP($D42,Organización_Modular!$F$10:$G$195,2,FALSE)=L$23,Itinerario!T42," ")," ")</f>
        <v xml:space="preserve"> </v>
      </c>
      <c r="M42" s="44" t="str">
        <f>_xlfn.IFNA(IF(VLOOKUP($D42,Organización_Modular!$F$10:$G$195,2,FALSE)=M$23,Itinerario!W42," ")," ")</f>
        <v xml:space="preserve"> </v>
      </c>
      <c r="N42" s="44" t="str">
        <f>_xlfn.IFNA(IF(VLOOKUP($D42,Organización_Modular!$F$10:$G$195,2,FALSE)=N$23,Itinerario!T42," ")," ")</f>
        <v xml:space="preserve"> </v>
      </c>
      <c r="O42" s="44" t="str">
        <f>_xlfn.IFNA(IF(VLOOKUP($D42,Organización_Modular!$F$10:$G$195,2,FALSE)=O$23,Itinerario!W42," ")," ")</f>
        <v xml:space="preserve"> </v>
      </c>
      <c r="P42" s="44" t="str">
        <f>_xlfn.IFNA(IF(VLOOKUP($D42,Organización_Modular!$F$10:$G$195,2,FALSE)=P$23,Itinerario!T42," ")," ")</f>
        <v xml:space="preserve"> </v>
      </c>
      <c r="Q42" s="44" t="str">
        <f>_xlfn.IFNA(IF(VLOOKUP($D42,Organización_Modular!$F$10:$G$195,2,FALSE)=Q$23,Itinerario!W42," ")," ")</f>
        <v xml:space="preserve"> </v>
      </c>
      <c r="R42" s="44">
        <f>Organización_Modular!H28</f>
        <v>0</v>
      </c>
      <c r="S42" s="44">
        <f>Organización_Modular!I28</f>
        <v>0</v>
      </c>
      <c r="T42" s="82">
        <f t="shared" si="2"/>
        <v>0</v>
      </c>
      <c r="U42" s="44">
        <f t="shared" si="3"/>
        <v>0</v>
      </c>
      <c r="V42" s="44">
        <f t="shared" si="4"/>
        <v>0</v>
      </c>
      <c r="W42" s="82">
        <f t="shared" si="5"/>
        <v>0</v>
      </c>
      <c r="X42" s="87">
        <f t="shared" si="6"/>
        <v>0</v>
      </c>
    </row>
    <row r="43" spans="1:24" ht="18" hidden="1" customHeight="1" x14ac:dyDescent="0.2">
      <c r="A43" s="535"/>
      <c r="B43" s="397"/>
      <c r="C43" s="538"/>
      <c r="D43" s="537">
        <f>Organización_Modular!F29</f>
        <v>0</v>
      </c>
      <c r="E43" s="537"/>
      <c r="F43" s="44" t="str">
        <f>_xlfn.IFNA(IF(VLOOKUP($D43,Organización_Modular!$F$10:$G$195,2,FALSE)=F$23,Itinerario!T43," ")," ")</f>
        <v xml:space="preserve"> </v>
      </c>
      <c r="G43" s="44" t="str">
        <f>_xlfn.IFNA(IF(VLOOKUP($D43,Organización_Modular!$F$10:$G$195,2,FALSE)=G$23,Itinerario!W43," ")," ")</f>
        <v xml:space="preserve"> </v>
      </c>
      <c r="H43" s="44" t="str">
        <f>_xlfn.IFNA(IF(VLOOKUP($D43,Organización_Modular!$F$10:$G$195,2,FALSE)=H$23,Itinerario!T43," ")," ")</f>
        <v xml:space="preserve"> </v>
      </c>
      <c r="I43" s="44" t="str">
        <f>_xlfn.IFNA(IF(VLOOKUP($D43,Organización_Modular!$F$10:$G$195,2,FALSE)=I$23,Itinerario!W43," ")," ")</f>
        <v xml:space="preserve"> </v>
      </c>
      <c r="J43" s="44" t="str">
        <f>_xlfn.IFNA(IF(VLOOKUP($D43,Organización_Modular!$F$10:$G$195,2,FALSE)=J$23,Itinerario!T43," ")," ")</f>
        <v xml:space="preserve"> </v>
      </c>
      <c r="K43" s="44" t="str">
        <f>_xlfn.IFNA(IF(VLOOKUP($D43,Organización_Modular!$F$10:$G$195,2,FALSE)=K$23,Itinerario!W43," ")," ")</f>
        <v xml:space="preserve"> </v>
      </c>
      <c r="L43" s="44" t="str">
        <f>_xlfn.IFNA(IF(VLOOKUP($D43,Organización_Modular!$F$10:$G$195,2,FALSE)=L$23,Itinerario!T43," ")," ")</f>
        <v xml:space="preserve"> </v>
      </c>
      <c r="M43" s="44" t="str">
        <f>_xlfn.IFNA(IF(VLOOKUP($D43,Organización_Modular!$F$10:$G$195,2,FALSE)=M$23,Itinerario!W43," ")," ")</f>
        <v xml:space="preserve"> </v>
      </c>
      <c r="N43" s="44" t="str">
        <f>_xlfn.IFNA(IF(VLOOKUP($D43,Organización_Modular!$F$10:$G$195,2,FALSE)=N$23,Itinerario!T43," ")," ")</f>
        <v xml:space="preserve"> </v>
      </c>
      <c r="O43" s="44" t="str">
        <f>_xlfn.IFNA(IF(VLOOKUP($D43,Organización_Modular!$F$10:$G$195,2,FALSE)=O$23,Itinerario!W43," ")," ")</f>
        <v xml:space="preserve"> </v>
      </c>
      <c r="P43" s="44" t="str">
        <f>_xlfn.IFNA(IF(VLOOKUP($D43,Organización_Modular!$F$10:$G$195,2,FALSE)=P$23,Itinerario!T43," ")," ")</f>
        <v xml:space="preserve"> </v>
      </c>
      <c r="Q43" s="44" t="str">
        <f>_xlfn.IFNA(IF(VLOOKUP($D43,Organización_Modular!$F$10:$G$195,2,FALSE)=Q$23,Itinerario!W43," ")," ")</f>
        <v xml:space="preserve"> </v>
      </c>
      <c r="R43" s="44">
        <f>Organización_Modular!H29</f>
        <v>0</v>
      </c>
      <c r="S43" s="44">
        <f>Organización_Modular!I29</f>
        <v>0</v>
      </c>
      <c r="T43" s="82">
        <f t="shared" si="2"/>
        <v>0</v>
      </c>
      <c r="U43" s="44">
        <f t="shared" si="3"/>
        <v>0</v>
      </c>
      <c r="V43" s="44">
        <f t="shared" si="4"/>
        <v>0</v>
      </c>
      <c r="W43" s="82">
        <f t="shared" si="5"/>
        <v>0</v>
      </c>
      <c r="X43" s="87">
        <f t="shared" si="6"/>
        <v>0</v>
      </c>
    </row>
    <row r="44" spans="1:24" ht="120" customHeight="1" x14ac:dyDescent="0.2">
      <c r="A44" s="535"/>
      <c r="B44" s="398" t="str">
        <f>Organización_Modular!B30</f>
        <v>Competencias para la empleabilidad</v>
      </c>
      <c r="C44" s="538" t="str">
        <f>Organización_Modular!C30</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D44" s="556" t="str">
        <f>Organización_Modular!F30</f>
        <v>Comunicación para el desarrollo personal y profesional</v>
      </c>
      <c r="E44" s="556"/>
      <c r="F44" s="44">
        <f>_xlfn.IFNA(IF(VLOOKUP($D44,Organización_Modular!$F$10:$G$195,2,FALSE)=F$23,Itinerario!T44," ")," ")</f>
        <v>2</v>
      </c>
      <c r="G44" s="44">
        <f>_xlfn.IFNA(IF(VLOOKUP($D44,Organización_Modular!$F$10:$G$195,2,FALSE)=G$23,Itinerario!W44," ")," ")</f>
        <v>48</v>
      </c>
      <c r="H44" s="44" t="str">
        <f>_xlfn.IFNA(IF(VLOOKUP($D44,Organización_Modular!$F$10:$G$195,2,FALSE)=H$23,Itinerario!T44," ")," ")</f>
        <v xml:space="preserve"> </v>
      </c>
      <c r="I44" s="44" t="str">
        <f>_xlfn.IFNA(IF(VLOOKUP($D44,Organización_Modular!$F$10:$G$195,2,FALSE)=I$23,Itinerario!W44," ")," ")</f>
        <v xml:space="preserve"> </v>
      </c>
      <c r="J44" s="44" t="str">
        <f>_xlfn.IFNA(IF(VLOOKUP($D44,Organización_Modular!$F$10:$G$195,2,FALSE)=J$23,Itinerario!T44," ")," ")</f>
        <v xml:space="preserve"> </v>
      </c>
      <c r="K44" s="44" t="str">
        <f>_xlfn.IFNA(IF(VLOOKUP($D44,Organización_Modular!$F$10:$G$195,2,FALSE)=K$23,Itinerario!W44," ")," ")</f>
        <v xml:space="preserve"> </v>
      </c>
      <c r="L44" s="44" t="str">
        <f>_xlfn.IFNA(IF(VLOOKUP($D44,Organización_Modular!$F$10:$G$195,2,FALSE)=L$23,Itinerario!T44," ")," ")</f>
        <v xml:space="preserve"> </v>
      </c>
      <c r="M44" s="44" t="str">
        <f>_xlfn.IFNA(IF(VLOOKUP($D44,Organización_Modular!$F$10:$G$195,2,FALSE)=M$23,Itinerario!W44," ")," ")</f>
        <v xml:space="preserve"> </v>
      </c>
      <c r="N44" s="44" t="str">
        <f>_xlfn.IFNA(IF(VLOOKUP($D44,Organización_Modular!$F$10:$G$195,2,FALSE)=N$23,Itinerario!T44," ")," ")</f>
        <v xml:space="preserve"> </v>
      </c>
      <c r="O44" s="44" t="str">
        <f>_xlfn.IFNA(IF(VLOOKUP($D44,Organización_Modular!$F$10:$G$195,2,FALSE)=O$23,Itinerario!W44," ")," ")</f>
        <v xml:space="preserve"> </v>
      </c>
      <c r="P44" s="44" t="str">
        <f>_xlfn.IFNA(IF(VLOOKUP($D44,Organización_Modular!$F$10:$G$195,2,FALSE)=P$23,Itinerario!T44," ")," ")</f>
        <v xml:space="preserve"> </v>
      </c>
      <c r="Q44" s="44" t="str">
        <f>_xlfn.IFNA(IF(VLOOKUP($D44,Organización_Modular!$F$10:$G$195,2,FALSE)=Q$23,Itinerario!W44," ")," ")</f>
        <v xml:space="preserve"> </v>
      </c>
      <c r="R44" s="44">
        <f>Organización_Modular!H30</f>
        <v>1</v>
      </c>
      <c r="S44" s="44">
        <f>Organización_Modular!I30</f>
        <v>1</v>
      </c>
      <c r="T44" s="82">
        <f t="shared" si="2"/>
        <v>2</v>
      </c>
      <c r="U44" s="44">
        <f t="shared" si="3"/>
        <v>16</v>
      </c>
      <c r="V44" s="44">
        <f t="shared" si="4"/>
        <v>32</v>
      </c>
      <c r="W44" s="82">
        <f t="shared" si="5"/>
        <v>48</v>
      </c>
      <c r="X44" s="87">
        <f t="shared" si="6"/>
        <v>48</v>
      </c>
    </row>
    <row r="45" spans="1:24" ht="120" customHeight="1" x14ac:dyDescent="0.2">
      <c r="A45" s="535"/>
      <c r="B45" s="398"/>
      <c r="C45" s="538"/>
      <c r="D45" s="537" t="str">
        <f>Organización_Modular!F31</f>
        <v>Aplicaciones de herramientas informáticas</v>
      </c>
      <c r="E45" s="537"/>
      <c r="F45" s="44">
        <f>_xlfn.IFNA(IF(VLOOKUP($D45,Organización_Modular!$F$10:$G$195,2,FALSE)=F$23,Itinerario!T45," ")," ")</f>
        <v>2</v>
      </c>
      <c r="G45" s="44">
        <f>_xlfn.IFNA(IF(VLOOKUP($D45,Organización_Modular!$F$10:$G$195,2,FALSE)=G$23,Itinerario!W45," ")," ")</f>
        <v>48</v>
      </c>
      <c r="H45" s="44" t="str">
        <f>_xlfn.IFNA(IF(VLOOKUP($D45,Organización_Modular!$F$10:$G$195,2,FALSE)=H$23,Itinerario!T45," ")," ")</f>
        <v xml:space="preserve"> </v>
      </c>
      <c r="I45" s="44" t="str">
        <f>_xlfn.IFNA(IF(VLOOKUP($D45,Organización_Modular!$F$10:$G$195,2,FALSE)=I$23,Itinerario!W45," ")," ")</f>
        <v xml:space="preserve"> </v>
      </c>
      <c r="J45" s="44" t="str">
        <f>_xlfn.IFNA(IF(VLOOKUP($D45,Organización_Modular!$F$10:$G$195,2,FALSE)=J$23,Itinerario!T45," ")," ")</f>
        <v xml:space="preserve"> </v>
      </c>
      <c r="K45" s="44" t="str">
        <f>_xlfn.IFNA(IF(VLOOKUP($D45,Organización_Modular!$F$10:$G$195,2,FALSE)=K$23,Itinerario!W45," ")," ")</f>
        <v xml:space="preserve"> </v>
      </c>
      <c r="L45" s="44" t="str">
        <f>_xlfn.IFNA(IF(VLOOKUP($D45,Organización_Modular!$F$10:$G$195,2,FALSE)=L$23,Itinerario!T45," ")," ")</f>
        <v xml:space="preserve"> </v>
      </c>
      <c r="M45" s="44" t="str">
        <f>_xlfn.IFNA(IF(VLOOKUP($D45,Organización_Modular!$F$10:$G$195,2,FALSE)=M$23,Itinerario!W45," ")," ")</f>
        <v xml:space="preserve"> </v>
      </c>
      <c r="N45" s="44" t="str">
        <f>_xlfn.IFNA(IF(VLOOKUP($D45,Organización_Modular!$F$10:$G$195,2,FALSE)=N$23,Itinerario!T45," ")," ")</f>
        <v xml:space="preserve"> </v>
      </c>
      <c r="O45" s="44" t="str">
        <f>_xlfn.IFNA(IF(VLOOKUP($D45,Organización_Modular!$F$10:$G$195,2,FALSE)=O$23,Itinerario!W45," ")," ")</f>
        <v xml:space="preserve"> </v>
      </c>
      <c r="P45" s="44" t="str">
        <f>_xlfn.IFNA(IF(VLOOKUP($D45,Organización_Modular!$F$10:$G$195,2,FALSE)=P$23,Itinerario!T45," ")," ")</f>
        <v xml:space="preserve"> </v>
      </c>
      <c r="Q45" s="44" t="str">
        <f>_xlfn.IFNA(IF(VLOOKUP($D45,Organización_Modular!$F$10:$G$195,2,FALSE)=Q$23,Itinerario!W45," ")," ")</f>
        <v xml:space="preserve"> </v>
      </c>
      <c r="R45" s="44">
        <f>Organización_Modular!H31</f>
        <v>1</v>
      </c>
      <c r="S45" s="44">
        <f>Organización_Modular!I31</f>
        <v>1</v>
      </c>
      <c r="T45" s="82">
        <f t="shared" si="2"/>
        <v>2</v>
      </c>
      <c r="U45" s="44">
        <f t="shared" si="3"/>
        <v>16</v>
      </c>
      <c r="V45" s="44">
        <f t="shared" si="4"/>
        <v>32</v>
      </c>
      <c r="W45" s="82">
        <f t="shared" si="5"/>
        <v>48</v>
      </c>
      <c r="X45" s="87">
        <f t="shared" si="6"/>
        <v>48</v>
      </c>
    </row>
    <row r="46" spans="1:24" ht="18" hidden="1" customHeight="1" x14ac:dyDescent="0.2">
      <c r="A46" s="535"/>
      <c r="B46" s="398"/>
      <c r="C46" s="538"/>
      <c r="D46" s="537">
        <f>Organización_Modular!F32</f>
        <v>0</v>
      </c>
      <c r="E46" s="537"/>
      <c r="F46" s="44" t="str">
        <f>_xlfn.IFNA(IF(VLOOKUP($D46,Organización_Modular!$F$10:$G$195,2,FALSE)=F$23,Itinerario!T46," ")," ")</f>
        <v xml:space="preserve"> </v>
      </c>
      <c r="G46" s="44" t="str">
        <f>_xlfn.IFNA(IF(VLOOKUP($D46,Organización_Modular!$F$10:$G$195,2,FALSE)=G$23,Itinerario!W46," ")," ")</f>
        <v xml:space="preserve"> </v>
      </c>
      <c r="H46" s="44" t="str">
        <f>_xlfn.IFNA(IF(VLOOKUP($D46,Organización_Modular!$F$10:$G$195,2,FALSE)=H$23,Itinerario!T46," ")," ")</f>
        <v xml:space="preserve"> </v>
      </c>
      <c r="I46" s="44" t="str">
        <f>_xlfn.IFNA(IF(VLOOKUP($D46,Organización_Modular!$F$10:$G$195,2,FALSE)=I$23,Itinerario!W46," ")," ")</f>
        <v xml:space="preserve"> </v>
      </c>
      <c r="J46" s="44" t="str">
        <f>_xlfn.IFNA(IF(VLOOKUP($D46,Organización_Modular!$F$10:$G$195,2,FALSE)=J$23,Itinerario!T46," ")," ")</f>
        <v xml:space="preserve"> </v>
      </c>
      <c r="K46" s="44" t="str">
        <f>_xlfn.IFNA(IF(VLOOKUP($D46,Organización_Modular!$F$10:$G$195,2,FALSE)=K$23,Itinerario!W46," ")," ")</f>
        <v xml:space="preserve"> </v>
      </c>
      <c r="L46" s="44" t="str">
        <f>_xlfn.IFNA(IF(VLOOKUP($D46,Organización_Modular!$F$10:$G$195,2,FALSE)=L$23,Itinerario!T46," ")," ")</f>
        <v xml:space="preserve"> </v>
      </c>
      <c r="M46" s="44" t="str">
        <f>_xlfn.IFNA(IF(VLOOKUP($D46,Organización_Modular!$F$10:$G$195,2,FALSE)=M$23,Itinerario!W46," ")," ")</f>
        <v xml:space="preserve"> </v>
      </c>
      <c r="N46" s="44" t="str">
        <f>_xlfn.IFNA(IF(VLOOKUP($D46,Organización_Modular!$F$10:$G$195,2,FALSE)=N$23,Itinerario!T46," ")," ")</f>
        <v xml:space="preserve"> </v>
      </c>
      <c r="O46" s="44" t="str">
        <f>_xlfn.IFNA(IF(VLOOKUP($D46,Organización_Modular!$F$10:$G$195,2,FALSE)=O$23,Itinerario!W46," ")," ")</f>
        <v xml:space="preserve"> </v>
      </c>
      <c r="P46" s="44" t="str">
        <f>_xlfn.IFNA(IF(VLOOKUP($D46,Organización_Modular!$F$10:$G$195,2,FALSE)=P$23,Itinerario!T46," ")," ")</f>
        <v xml:space="preserve"> </v>
      </c>
      <c r="Q46" s="44" t="str">
        <f>_xlfn.IFNA(IF(VLOOKUP($D46,Organización_Modular!$F$10:$G$195,2,FALSE)=Q$23,Itinerario!W46," ")," ")</f>
        <v xml:space="preserve"> </v>
      </c>
      <c r="R46" s="44">
        <f>Organización_Modular!H32</f>
        <v>0</v>
      </c>
      <c r="S46" s="44">
        <f>Organización_Modular!I32</f>
        <v>0</v>
      </c>
      <c r="T46" s="82">
        <f t="shared" si="2"/>
        <v>0</v>
      </c>
      <c r="U46" s="44">
        <f t="shared" si="3"/>
        <v>0</v>
      </c>
      <c r="V46" s="44">
        <f t="shared" si="4"/>
        <v>0</v>
      </c>
      <c r="W46" s="82">
        <f t="shared" si="5"/>
        <v>0</v>
      </c>
      <c r="X46" s="87">
        <f t="shared" si="6"/>
        <v>0</v>
      </c>
    </row>
    <row r="47" spans="1:24" ht="18" hidden="1" customHeight="1" x14ac:dyDescent="0.2">
      <c r="A47" s="535"/>
      <c r="B47" s="398"/>
      <c r="C47" s="538"/>
      <c r="D47" s="537">
        <f>Organización_Modular!F33</f>
        <v>0</v>
      </c>
      <c r="E47" s="537"/>
      <c r="F47" s="44" t="str">
        <f>_xlfn.IFNA(IF(VLOOKUP($D47,Organización_Modular!$F$10:$G$195,2,FALSE)=F$23,Itinerario!T47," ")," ")</f>
        <v xml:space="preserve"> </v>
      </c>
      <c r="G47" s="44" t="str">
        <f>_xlfn.IFNA(IF(VLOOKUP($D47,Organización_Modular!$F$10:$G$195,2,FALSE)=G$23,Itinerario!W47," ")," ")</f>
        <v xml:space="preserve"> </v>
      </c>
      <c r="H47" s="44" t="str">
        <f>_xlfn.IFNA(IF(VLOOKUP($D47,Organización_Modular!$F$10:$G$195,2,FALSE)=H$23,Itinerario!T47," ")," ")</f>
        <v xml:space="preserve"> </v>
      </c>
      <c r="I47" s="44" t="str">
        <f>_xlfn.IFNA(IF(VLOOKUP($D47,Organización_Modular!$F$10:$G$195,2,FALSE)=I$23,Itinerario!W47," ")," ")</f>
        <v xml:space="preserve"> </v>
      </c>
      <c r="J47" s="44" t="str">
        <f>_xlfn.IFNA(IF(VLOOKUP($D47,Organización_Modular!$F$10:$G$195,2,FALSE)=J$23,Itinerario!T47," ")," ")</f>
        <v xml:space="preserve"> </v>
      </c>
      <c r="K47" s="44" t="str">
        <f>_xlfn.IFNA(IF(VLOOKUP($D47,Organización_Modular!$F$10:$G$195,2,FALSE)=K$23,Itinerario!W47," ")," ")</f>
        <v xml:space="preserve"> </v>
      </c>
      <c r="L47" s="44" t="str">
        <f>_xlfn.IFNA(IF(VLOOKUP($D47,Organización_Modular!$F$10:$G$195,2,FALSE)=L$23,Itinerario!T47," ")," ")</f>
        <v xml:space="preserve"> </v>
      </c>
      <c r="M47" s="44" t="str">
        <f>_xlfn.IFNA(IF(VLOOKUP($D47,Organización_Modular!$F$10:$G$195,2,FALSE)=M$23,Itinerario!W47," ")," ")</f>
        <v xml:space="preserve"> </v>
      </c>
      <c r="N47" s="44" t="str">
        <f>_xlfn.IFNA(IF(VLOOKUP($D47,Organización_Modular!$F$10:$G$195,2,FALSE)=N$23,Itinerario!T47," ")," ")</f>
        <v xml:space="preserve"> </v>
      </c>
      <c r="O47" s="44" t="str">
        <f>_xlfn.IFNA(IF(VLOOKUP($D47,Organización_Modular!$F$10:$G$195,2,FALSE)=O$23,Itinerario!W47," ")," ")</f>
        <v xml:space="preserve"> </v>
      </c>
      <c r="P47" s="44" t="str">
        <f>_xlfn.IFNA(IF(VLOOKUP($D47,Organización_Modular!$F$10:$G$195,2,FALSE)=P$23,Itinerario!T47," ")," ")</f>
        <v xml:space="preserve"> </v>
      </c>
      <c r="Q47" s="44" t="str">
        <f>_xlfn.IFNA(IF(VLOOKUP($D47,Organización_Modular!$F$10:$G$195,2,FALSE)=Q$23,Itinerario!W47," ")," ")</f>
        <v xml:space="preserve"> </v>
      </c>
      <c r="R47" s="44">
        <f>Organización_Modular!H33</f>
        <v>0</v>
      </c>
      <c r="S47" s="44">
        <f>Organización_Modular!I33</f>
        <v>0</v>
      </c>
      <c r="T47" s="82">
        <f t="shared" si="2"/>
        <v>0</v>
      </c>
      <c r="U47" s="44">
        <f t="shared" si="3"/>
        <v>0</v>
      </c>
      <c r="V47" s="44">
        <f t="shared" si="4"/>
        <v>0</v>
      </c>
      <c r="W47" s="82">
        <f t="shared" si="5"/>
        <v>0</v>
      </c>
      <c r="X47" s="87">
        <f t="shared" si="6"/>
        <v>0</v>
      </c>
    </row>
    <row r="48" spans="1:24" ht="18" hidden="1" customHeight="1" x14ac:dyDescent="0.2">
      <c r="A48" s="535"/>
      <c r="B48" s="398"/>
      <c r="C48" s="538"/>
      <c r="D48" s="537">
        <f>Organización_Modular!F34</f>
        <v>0</v>
      </c>
      <c r="E48" s="537"/>
      <c r="F48" s="44" t="str">
        <f>_xlfn.IFNA(IF(VLOOKUP($D48,Organización_Modular!$F$10:$G$195,2,FALSE)=F$23,Itinerario!T48," ")," ")</f>
        <v xml:space="preserve"> </v>
      </c>
      <c r="G48" s="44" t="str">
        <f>_xlfn.IFNA(IF(VLOOKUP($D48,Organización_Modular!$F$10:$G$195,2,FALSE)=G$23,Itinerario!W48," ")," ")</f>
        <v xml:space="preserve"> </v>
      </c>
      <c r="H48" s="44" t="str">
        <f>_xlfn.IFNA(IF(VLOOKUP($D48,Organización_Modular!$F$10:$G$195,2,FALSE)=H$23,Itinerario!T48," ")," ")</f>
        <v xml:space="preserve"> </v>
      </c>
      <c r="I48" s="44" t="str">
        <f>_xlfn.IFNA(IF(VLOOKUP($D48,Organización_Modular!$F$10:$G$195,2,FALSE)=I$23,Itinerario!W48," ")," ")</f>
        <v xml:space="preserve"> </v>
      </c>
      <c r="J48" s="44" t="str">
        <f>_xlfn.IFNA(IF(VLOOKUP($D48,Organización_Modular!$F$10:$G$195,2,FALSE)=J$23,Itinerario!T48," ")," ")</f>
        <v xml:space="preserve"> </v>
      </c>
      <c r="K48" s="44" t="str">
        <f>_xlfn.IFNA(IF(VLOOKUP($D48,Organización_Modular!$F$10:$G$195,2,FALSE)=K$23,Itinerario!W48," ")," ")</f>
        <v xml:space="preserve"> </v>
      </c>
      <c r="L48" s="44" t="str">
        <f>_xlfn.IFNA(IF(VLOOKUP($D48,Organización_Modular!$F$10:$G$195,2,FALSE)=L$23,Itinerario!T48," ")," ")</f>
        <v xml:space="preserve"> </v>
      </c>
      <c r="M48" s="44" t="str">
        <f>_xlfn.IFNA(IF(VLOOKUP($D48,Organización_Modular!$F$10:$G$195,2,FALSE)=M$23,Itinerario!W48," ")," ")</f>
        <v xml:space="preserve"> </v>
      </c>
      <c r="N48" s="44" t="str">
        <f>_xlfn.IFNA(IF(VLOOKUP($D48,Organización_Modular!$F$10:$G$195,2,FALSE)=N$23,Itinerario!T48," ")," ")</f>
        <v xml:space="preserve"> </v>
      </c>
      <c r="O48" s="44" t="str">
        <f>_xlfn.IFNA(IF(VLOOKUP($D48,Organización_Modular!$F$10:$G$195,2,FALSE)=O$23,Itinerario!W48," ")," ")</f>
        <v xml:space="preserve"> </v>
      </c>
      <c r="P48" s="44" t="str">
        <f>_xlfn.IFNA(IF(VLOOKUP($D48,Organización_Modular!$F$10:$G$195,2,FALSE)=P$23,Itinerario!T48," ")," ")</f>
        <v xml:space="preserve"> </v>
      </c>
      <c r="Q48" s="44" t="str">
        <f>_xlfn.IFNA(IF(VLOOKUP($D48,Organización_Modular!$F$10:$G$195,2,FALSE)=Q$23,Itinerario!W48," ")," ")</f>
        <v xml:space="preserve"> </v>
      </c>
      <c r="R48" s="44">
        <f>Organización_Modular!H34</f>
        <v>0</v>
      </c>
      <c r="S48" s="44">
        <f>Organización_Modular!I34</f>
        <v>0</v>
      </c>
      <c r="T48" s="82">
        <f t="shared" si="2"/>
        <v>0</v>
      </c>
      <c r="U48" s="44">
        <f t="shared" si="3"/>
        <v>0</v>
      </c>
      <c r="V48" s="44">
        <f t="shared" si="4"/>
        <v>0</v>
      </c>
      <c r="W48" s="82">
        <f t="shared" si="5"/>
        <v>0</v>
      </c>
      <c r="X48" s="87">
        <f t="shared" si="6"/>
        <v>0</v>
      </c>
    </row>
    <row r="49" spans="1:24" ht="18" hidden="1" customHeight="1" x14ac:dyDescent="0.2">
      <c r="A49" s="535"/>
      <c r="B49" s="398"/>
      <c r="C49" s="538"/>
      <c r="D49" s="537">
        <f>Organización_Modular!F35</f>
        <v>0</v>
      </c>
      <c r="E49" s="537"/>
      <c r="F49" s="44" t="str">
        <f>_xlfn.IFNA(IF(VLOOKUP($D49,Organización_Modular!$F$10:$G$195,2,FALSE)=F$23,Itinerario!T49," ")," ")</f>
        <v xml:space="preserve"> </v>
      </c>
      <c r="G49" s="44" t="str">
        <f>_xlfn.IFNA(IF(VLOOKUP($D49,Organización_Modular!$F$10:$G$195,2,FALSE)=G$23,Itinerario!W49," ")," ")</f>
        <v xml:space="preserve"> </v>
      </c>
      <c r="H49" s="44" t="str">
        <f>_xlfn.IFNA(IF(VLOOKUP($D49,Organización_Modular!$F$10:$G$195,2,FALSE)=H$23,Itinerario!T49," ")," ")</f>
        <v xml:space="preserve"> </v>
      </c>
      <c r="I49" s="44" t="str">
        <f>_xlfn.IFNA(IF(VLOOKUP($D49,Organización_Modular!$F$10:$G$195,2,FALSE)=I$23,Itinerario!W49," ")," ")</f>
        <v xml:space="preserve"> </v>
      </c>
      <c r="J49" s="44" t="str">
        <f>_xlfn.IFNA(IF(VLOOKUP($D49,Organización_Modular!$F$10:$G$195,2,FALSE)=J$23,Itinerario!T49," ")," ")</f>
        <v xml:space="preserve"> </v>
      </c>
      <c r="K49" s="44" t="str">
        <f>_xlfn.IFNA(IF(VLOOKUP($D49,Organización_Modular!$F$10:$G$195,2,FALSE)=K$23,Itinerario!W49," ")," ")</f>
        <v xml:space="preserve"> </v>
      </c>
      <c r="L49" s="44" t="str">
        <f>_xlfn.IFNA(IF(VLOOKUP($D49,Organización_Modular!$F$10:$G$195,2,FALSE)=L$23,Itinerario!T49," ")," ")</f>
        <v xml:space="preserve"> </v>
      </c>
      <c r="M49" s="44" t="str">
        <f>_xlfn.IFNA(IF(VLOOKUP($D49,Organización_Modular!$F$10:$G$195,2,FALSE)=M$23,Itinerario!W49," ")," ")</f>
        <v xml:space="preserve"> </v>
      </c>
      <c r="N49" s="44" t="str">
        <f>_xlfn.IFNA(IF(VLOOKUP($D49,Organización_Modular!$F$10:$G$195,2,FALSE)=N$23,Itinerario!T49," ")," ")</f>
        <v xml:space="preserve"> </v>
      </c>
      <c r="O49" s="44" t="str">
        <f>_xlfn.IFNA(IF(VLOOKUP($D49,Organización_Modular!$F$10:$G$195,2,FALSE)=O$23,Itinerario!W49," ")," ")</f>
        <v xml:space="preserve"> </v>
      </c>
      <c r="P49" s="44" t="str">
        <f>_xlfn.IFNA(IF(VLOOKUP($D49,Organización_Modular!$F$10:$G$195,2,FALSE)=P$23,Itinerario!T49," ")," ")</f>
        <v xml:space="preserve"> </v>
      </c>
      <c r="Q49" s="44" t="str">
        <f>_xlfn.IFNA(IF(VLOOKUP($D49,Organización_Modular!$F$10:$G$195,2,FALSE)=Q$23,Itinerario!W49," ")," ")</f>
        <v xml:space="preserve"> </v>
      </c>
      <c r="R49" s="44">
        <f>Organización_Modular!H35</f>
        <v>0</v>
      </c>
      <c r="S49" s="44">
        <f>Organización_Modular!I35</f>
        <v>0</v>
      </c>
      <c r="T49" s="82">
        <f t="shared" si="2"/>
        <v>0</v>
      </c>
      <c r="U49" s="44">
        <f t="shared" si="3"/>
        <v>0</v>
      </c>
      <c r="V49" s="44">
        <f t="shared" si="4"/>
        <v>0</v>
      </c>
      <c r="W49" s="82">
        <f t="shared" si="5"/>
        <v>0</v>
      </c>
      <c r="X49" s="87">
        <f t="shared" si="6"/>
        <v>0</v>
      </c>
    </row>
    <row r="50" spans="1:24" ht="18" hidden="1" customHeight="1" x14ac:dyDescent="0.2">
      <c r="A50" s="535"/>
      <c r="B50" s="398"/>
      <c r="C50" s="538"/>
      <c r="D50" s="537">
        <f>Organización_Modular!F36</f>
        <v>0</v>
      </c>
      <c r="E50" s="537"/>
      <c r="F50" s="44" t="str">
        <f>_xlfn.IFNA(IF(VLOOKUP($D50,Organización_Modular!$F$10:$G$195,2,FALSE)=F$23,Itinerario!T50," ")," ")</f>
        <v xml:space="preserve"> </v>
      </c>
      <c r="G50" s="44" t="str">
        <f>_xlfn.IFNA(IF(VLOOKUP($D50,Organización_Modular!$F$10:$G$195,2,FALSE)=G$23,Itinerario!W50," ")," ")</f>
        <v xml:space="preserve"> </v>
      </c>
      <c r="H50" s="44" t="str">
        <f>_xlfn.IFNA(IF(VLOOKUP($D50,Organización_Modular!$F$10:$G$195,2,FALSE)=H$23,Itinerario!T50," ")," ")</f>
        <v xml:space="preserve"> </v>
      </c>
      <c r="I50" s="44" t="str">
        <f>_xlfn.IFNA(IF(VLOOKUP($D50,Organización_Modular!$F$10:$G$195,2,FALSE)=I$23,Itinerario!W50," ")," ")</f>
        <v xml:space="preserve"> </v>
      </c>
      <c r="J50" s="44" t="str">
        <f>_xlfn.IFNA(IF(VLOOKUP($D50,Organización_Modular!$F$10:$G$195,2,FALSE)=J$23,Itinerario!T50," ")," ")</f>
        <v xml:space="preserve"> </v>
      </c>
      <c r="K50" s="44" t="str">
        <f>_xlfn.IFNA(IF(VLOOKUP($D50,Organización_Modular!$F$10:$G$195,2,FALSE)=K$23,Itinerario!W50," ")," ")</f>
        <v xml:space="preserve"> </v>
      </c>
      <c r="L50" s="44" t="str">
        <f>_xlfn.IFNA(IF(VLOOKUP($D50,Organización_Modular!$F$10:$G$195,2,FALSE)=L$23,Itinerario!T50," ")," ")</f>
        <v xml:space="preserve"> </v>
      </c>
      <c r="M50" s="44" t="str">
        <f>_xlfn.IFNA(IF(VLOOKUP($D50,Organización_Modular!$F$10:$G$195,2,FALSE)=M$23,Itinerario!W50," ")," ")</f>
        <v xml:space="preserve"> </v>
      </c>
      <c r="N50" s="44" t="str">
        <f>_xlfn.IFNA(IF(VLOOKUP($D50,Organización_Modular!$F$10:$G$195,2,FALSE)=N$23,Itinerario!T50," ")," ")</f>
        <v xml:space="preserve"> </v>
      </c>
      <c r="O50" s="44" t="str">
        <f>_xlfn.IFNA(IF(VLOOKUP($D50,Organización_Modular!$F$10:$G$195,2,FALSE)=O$23,Itinerario!W50," ")," ")</f>
        <v xml:space="preserve"> </v>
      </c>
      <c r="P50" s="44" t="str">
        <f>_xlfn.IFNA(IF(VLOOKUP($D50,Organización_Modular!$F$10:$G$195,2,FALSE)=P$23,Itinerario!T50," ")," ")</f>
        <v xml:space="preserve"> </v>
      </c>
      <c r="Q50" s="44" t="str">
        <f>_xlfn.IFNA(IF(VLOOKUP($D50,Organización_Modular!$F$10:$G$195,2,FALSE)=Q$23,Itinerario!W50," ")," ")</f>
        <v xml:space="preserve"> </v>
      </c>
      <c r="R50" s="44">
        <f>Organización_Modular!H36</f>
        <v>0</v>
      </c>
      <c r="S50" s="44">
        <f>Organización_Modular!I36</f>
        <v>0</v>
      </c>
      <c r="T50" s="82">
        <f t="shared" si="2"/>
        <v>0</v>
      </c>
      <c r="U50" s="44">
        <f t="shared" si="3"/>
        <v>0</v>
      </c>
      <c r="V50" s="44">
        <f t="shared" si="4"/>
        <v>0</v>
      </c>
      <c r="W50" s="82">
        <f t="shared" si="5"/>
        <v>0</v>
      </c>
      <c r="X50" s="87">
        <f t="shared" si="6"/>
        <v>0</v>
      </c>
    </row>
    <row r="51" spans="1:24" ht="18" hidden="1" customHeight="1" x14ac:dyDescent="0.2">
      <c r="A51" s="535"/>
      <c r="B51" s="398"/>
      <c r="C51" s="538"/>
      <c r="D51" s="537">
        <f>Organización_Modular!F37</f>
        <v>0</v>
      </c>
      <c r="E51" s="537"/>
      <c r="F51" s="44" t="str">
        <f>_xlfn.IFNA(IF(VLOOKUP($D51,Organización_Modular!$F$10:$G$195,2,FALSE)=F$23,Itinerario!T51," ")," ")</f>
        <v xml:space="preserve"> </v>
      </c>
      <c r="G51" s="44" t="str">
        <f>_xlfn.IFNA(IF(VLOOKUP($D51,Organización_Modular!$F$10:$G$195,2,FALSE)=G$23,Itinerario!W51," ")," ")</f>
        <v xml:space="preserve"> </v>
      </c>
      <c r="H51" s="44" t="str">
        <f>_xlfn.IFNA(IF(VLOOKUP($D51,Organización_Modular!$F$10:$G$195,2,FALSE)=H$23,Itinerario!T51," ")," ")</f>
        <v xml:space="preserve"> </v>
      </c>
      <c r="I51" s="44" t="str">
        <f>_xlfn.IFNA(IF(VLOOKUP($D51,Organización_Modular!$F$10:$G$195,2,FALSE)=I$23,Itinerario!W51," ")," ")</f>
        <v xml:space="preserve"> </v>
      </c>
      <c r="J51" s="44" t="str">
        <f>_xlfn.IFNA(IF(VLOOKUP($D51,Organización_Modular!$F$10:$G$195,2,FALSE)=J$23,Itinerario!T51," ")," ")</f>
        <v xml:space="preserve"> </v>
      </c>
      <c r="K51" s="44" t="str">
        <f>_xlfn.IFNA(IF(VLOOKUP($D51,Organización_Modular!$F$10:$G$195,2,FALSE)=K$23,Itinerario!W51," ")," ")</f>
        <v xml:space="preserve"> </v>
      </c>
      <c r="L51" s="44" t="str">
        <f>_xlfn.IFNA(IF(VLOOKUP($D51,Organización_Modular!$F$10:$G$195,2,FALSE)=L$23,Itinerario!T51," ")," ")</f>
        <v xml:space="preserve"> </v>
      </c>
      <c r="M51" s="44" t="str">
        <f>_xlfn.IFNA(IF(VLOOKUP($D51,Organización_Modular!$F$10:$G$195,2,FALSE)=M$23,Itinerario!W51," ")," ")</f>
        <v xml:space="preserve"> </v>
      </c>
      <c r="N51" s="44" t="str">
        <f>_xlfn.IFNA(IF(VLOOKUP($D51,Organización_Modular!$F$10:$G$195,2,FALSE)=N$23,Itinerario!T51," ")," ")</f>
        <v xml:space="preserve"> </v>
      </c>
      <c r="O51" s="44" t="str">
        <f>_xlfn.IFNA(IF(VLOOKUP($D51,Organización_Modular!$F$10:$G$195,2,FALSE)=O$23,Itinerario!W51," ")," ")</f>
        <v xml:space="preserve"> </v>
      </c>
      <c r="P51" s="44" t="str">
        <f>_xlfn.IFNA(IF(VLOOKUP($D51,Organización_Modular!$F$10:$G$195,2,FALSE)=P$23,Itinerario!T51," ")," ")</f>
        <v xml:space="preserve"> </v>
      </c>
      <c r="Q51" s="44" t="str">
        <f>_xlfn.IFNA(IF(VLOOKUP($D51,Organización_Modular!$F$10:$G$195,2,FALSE)=Q$23,Itinerario!W51," ")," ")</f>
        <v xml:space="preserve"> </v>
      </c>
      <c r="R51" s="44">
        <f>Organización_Modular!H37</f>
        <v>0</v>
      </c>
      <c r="S51" s="44">
        <f>Organización_Modular!I37</f>
        <v>0</v>
      </c>
      <c r="T51" s="82">
        <f t="shared" si="2"/>
        <v>0</v>
      </c>
      <c r="U51" s="44">
        <f t="shared" si="3"/>
        <v>0</v>
      </c>
      <c r="V51" s="44">
        <f t="shared" si="4"/>
        <v>0</v>
      </c>
      <c r="W51" s="82">
        <f t="shared" si="5"/>
        <v>0</v>
      </c>
      <c r="X51" s="87">
        <f t="shared" si="6"/>
        <v>0</v>
      </c>
    </row>
    <row r="52" spans="1:24" ht="18" hidden="1" customHeight="1" x14ac:dyDescent="0.2">
      <c r="A52" s="535"/>
      <c r="B52" s="398"/>
      <c r="C52" s="538"/>
      <c r="D52" s="537">
        <f>Organización_Modular!F38</f>
        <v>0</v>
      </c>
      <c r="E52" s="537"/>
      <c r="F52" s="44" t="str">
        <f>_xlfn.IFNA(IF(VLOOKUP($D52,Organización_Modular!$F$10:$G$195,2,FALSE)=F$23,Itinerario!T52," ")," ")</f>
        <v xml:space="preserve"> </v>
      </c>
      <c r="G52" s="44" t="str">
        <f>_xlfn.IFNA(IF(VLOOKUP($D52,Organización_Modular!$F$10:$G$195,2,FALSE)=G$23,Itinerario!W52," ")," ")</f>
        <v xml:space="preserve"> </v>
      </c>
      <c r="H52" s="44" t="str">
        <f>_xlfn.IFNA(IF(VLOOKUP($D52,Organización_Modular!$F$10:$G$195,2,FALSE)=H$23,Itinerario!T52," ")," ")</f>
        <v xml:space="preserve"> </v>
      </c>
      <c r="I52" s="44" t="str">
        <f>_xlfn.IFNA(IF(VLOOKUP($D52,Organización_Modular!$F$10:$G$195,2,FALSE)=I$23,Itinerario!W52," ")," ")</f>
        <v xml:space="preserve"> </v>
      </c>
      <c r="J52" s="44" t="str">
        <f>_xlfn.IFNA(IF(VLOOKUP($D52,Organización_Modular!$F$10:$G$195,2,FALSE)=J$23,Itinerario!T52," ")," ")</f>
        <v xml:space="preserve"> </v>
      </c>
      <c r="K52" s="44" t="str">
        <f>_xlfn.IFNA(IF(VLOOKUP($D52,Organización_Modular!$F$10:$G$195,2,FALSE)=K$23,Itinerario!W52," ")," ")</f>
        <v xml:space="preserve"> </v>
      </c>
      <c r="L52" s="44" t="str">
        <f>_xlfn.IFNA(IF(VLOOKUP($D52,Organización_Modular!$F$10:$G$195,2,FALSE)=L$23,Itinerario!T52," ")," ")</f>
        <v xml:space="preserve"> </v>
      </c>
      <c r="M52" s="44" t="str">
        <f>_xlfn.IFNA(IF(VLOOKUP($D52,Organización_Modular!$F$10:$G$195,2,FALSE)=M$23,Itinerario!W52," ")," ")</f>
        <v xml:space="preserve"> </v>
      </c>
      <c r="N52" s="44" t="str">
        <f>_xlfn.IFNA(IF(VLOOKUP($D52,Organización_Modular!$F$10:$G$195,2,FALSE)=N$23,Itinerario!T52," ")," ")</f>
        <v xml:space="preserve"> </v>
      </c>
      <c r="O52" s="44" t="str">
        <f>_xlfn.IFNA(IF(VLOOKUP($D52,Organización_Modular!$F$10:$G$195,2,FALSE)=O$23,Itinerario!W52," ")," ")</f>
        <v xml:space="preserve"> </v>
      </c>
      <c r="P52" s="44" t="str">
        <f>_xlfn.IFNA(IF(VLOOKUP($D52,Organización_Modular!$F$10:$G$195,2,FALSE)=P$23,Itinerario!T52," ")," ")</f>
        <v xml:space="preserve"> </v>
      </c>
      <c r="Q52" s="44" t="str">
        <f>_xlfn.IFNA(IF(VLOOKUP($D52,Organización_Modular!$F$10:$G$195,2,FALSE)=Q$23,Itinerario!W52," ")," ")</f>
        <v xml:space="preserve"> </v>
      </c>
      <c r="R52" s="44">
        <f>Organización_Modular!H38</f>
        <v>0</v>
      </c>
      <c r="S52" s="44">
        <f>Organización_Modular!I38</f>
        <v>0</v>
      </c>
      <c r="T52" s="82">
        <f t="shared" si="2"/>
        <v>0</v>
      </c>
      <c r="U52" s="44">
        <f t="shared" si="3"/>
        <v>0</v>
      </c>
      <c r="V52" s="44">
        <f t="shared" si="4"/>
        <v>0</v>
      </c>
      <c r="W52" s="82">
        <f t="shared" si="5"/>
        <v>0</v>
      </c>
      <c r="X52" s="87">
        <f t="shared" si="6"/>
        <v>0</v>
      </c>
    </row>
    <row r="53" spans="1:24" ht="178.5" hidden="1" customHeight="1" x14ac:dyDescent="0.2">
      <c r="A53" s="535"/>
      <c r="B53" s="398"/>
      <c r="C53" s="538"/>
      <c r="D53" s="537">
        <f>Organización_Modular!F39</f>
        <v>0</v>
      </c>
      <c r="E53" s="537"/>
      <c r="F53" s="44" t="str">
        <f>_xlfn.IFNA(IF(VLOOKUP($D53,Organización_Modular!$F$10:$G$195,2,FALSE)=F$23,Itinerario!T53," ")," ")</f>
        <v xml:space="preserve"> </v>
      </c>
      <c r="G53" s="44" t="str">
        <f>_xlfn.IFNA(IF(VLOOKUP($D53,Organización_Modular!$F$10:$G$195,2,FALSE)=G$23,Itinerario!W53," ")," ")</f>
        <v xml:space="preserve"> </v>
      </c>
      <c r="H53" s="44" t="str">
        <f>_xlfn.IFNA(IF(VLOOKUP($D53,Organización_Modular!$F$10:$G$195,2,FALSE)=H$23,Itinerario!T53," ")," ")</f>
        <v xml:space="preserve"> </v>
      </c>
      <c r="I53" s="44" t="str">
        <f>_xlfn.IFNA(IF(VLOOKUP($D53,Organización_Modular!$F$10:$G$195,2,FALSE)=I$23,Itinerario!W53," ")," ")</f>
        <v xml:space="preserve"> </v>
      </c>
      <c r="J53" s="44" t="str">
        <f>_xlfn.IFNA(IF(VLOOKUP($D53,Organización_Modular!$F$10:$G$195,2,FALSE)=J$23,Itinerario!T53," ")," ")</f>
        <v xml:space="preserve"> </v>
      </c>
      <c r="K53" s="44" t="str">
        <f>_xlfn.IFNA(IF(VLOOKUP($D53,Organización_Modular!$F$10:$G$195,2,FALSE)=K$23,Itinerario!W53," ")," ")</f>
        <v xml:space="preserve"> </v>
      </c>
      <c r="L53" s="44" t="str">
        <f>_xlfn.IFNA(IF(VLOOKUP($D53,Organización_Modular!$F$10:$G$195,2,FALSE)=L$23,Itinerario!T53," ")," ")</f>
        <v xml:space="preserve"> </v>
      </c>
      <c r="M53" s="44" t="str">
        <f>_xlfn.IFNA(IF(VLOOKUP($D53,Organización_Modular!$F$10:$G$195,2,FALSE)=M$23,Itinerario!W53," ")," ")</f>
        <v xml:space="preserve"> </v>
      </c>
      <c r="N53" s="44" t="str">
        <f>_xlfn.IFNA(IF(VLOOKUP($D53,Organización_Modular!$F$10:$G$195,2,FALSE)=N$23,Itinerario!T53," ")," ")</f>
        <v xml:space="preserve"> </v>
      </c>
      <c r="O53" s="44" t="str">
        <f>_xlfn.IFNA(IF(VLOOKUP($D53,Organización_Modular!$F$10:$G$195,2,FALSE)=O$23,Itinerario!W53," ")," ")</f>
        <v xml:space="preserve"> </v>
      </c>
      <c r="P53" s="44" t="str">
        <f>_xlfn.IFNA(IF(VLOOKUP($D53,Organización_Modular!$F$10:$G$195,2,FALSE)=P$23,Itinerario!T53," ")," ")</f>
        <v xml:space="preserve"> </v>
      </c>
      <c r="Q53" s="44" t="str">
        <f>_xlfn.IFNA(IF(VLOOKUP($D53,Organización_Modular!$F$10:$G$195,2,FALSE)=Q$23,Itinerario!W53," ")," ")</f>
        <v xml:space="preserve"> </v>
      </c>
      <c r="R53" s="44">
        <f>Organización_Modular!H39</f>
        <v>0</v>
      </c>
      <c r="S53" s="44">
        <f>Organización_Modular!I39</f>
        <v>0</v>
      </c>
      <c r="T53" s="82">
        <f t="shared" si="2"/>
        <v>0</v>
      </c>
      <c r="U53" s="44">
        <f t="shared" si="3"/>
        <v>0</v>
      </c>
      <c r="V53" s="44">
        <f t="shared" si="4"/>
        <v>0</v>
      </c>
      <c r="W53" s="82">
        <f t="shared" si="5"/>
        <v>0</v>
      </c>
      <c r="X53" s="87">
        <f t="shared" si="6"/>
        <v>0</v>
      </c>
    </row>
    <row r="54" spans="1:24" ht="28.5" customHeight="1" x14ac:dyDescent="0.2">
      <c r="A54" s="535"/>
      <c r="B54" s="557" t="str">
        <f>Organización_Modular!B40</f>
        <v>Experiencias formativas en situaciones reales de trabajo (ESRT)</v>
      </c>
      <c r="C54" s="558"/>
      <c r="D54" s="558"/>
      <c r="E54" s="558"/>
      <c r="F54" s="162">
        <f>Organización_Modular!I40</f>
        <v>6</v>
      </c>
      <c r="G54" s="162">
        <f>F54*32</f>
        <v>192</v>
      </c>
      <c r="H54" s="162"/>
      <c r="I54" s="162"/>
      <c r="J54" s="162"/>
      <c r="K54" s="162"/>
      <c r="L54" s="162"/>
      <c r="M54" s="162"/>
      <c r="N54" s="162"/>
      <c r="O54" s="162"/>
      <c r="P54" s="162"/>
      <c r="Q54" s="162"/>
      <c r="R54" s="165">
        <f>Organización_Modular!H40</f>
        <v>0</v>
      </c>
      <c r="S54" s="163">
        <f>Organización_Modular!I40</f>
        <v>6</v>
      </c>
      <c r="T54" s="164">
        <f>SUM(R54:S54)</f>
        <v>6</v>
      </c>
      <c r="U54" s="163">
        <f t="shared" si="3"/>
        <v>0</v>
      </c>
      <c r="V54" s="163">
        <f t="shared" si="4"/>
        <v>192</v>
      </c>
      <c r="W54" s="164">
        <f t="shared" si="5"/>
        <v>192</v>
      </c>
      <c r="X54" s="87">
        <f t="shared" si="6"/>
        <v>192</v>
      </c>
    </row>
    <row r="55" spans="1:24" ht="39.950000000000003" customHeight="1" x14ac:dyDescent="0.2">
      <c r="A55" s="535" t="str">
        <f>Organización_Modular!A41</f>
        <v>MÓDULO II: PROCESAMIENTO Y ARCHIVO DOCUMENTARIO</v>
      </c>
      <c r="B55" s="397" t="str">
        <f>B24</f>
        <v>Competencias técnicas (Unidad de competencia)</v>
      </c>
      <c r="C55" s="538" t="str">
        <f>Organización_Modular!C41</f>
        <v>UC2 Procesar la documentación de las distintas áreas de la organización, en función a sus políticas y normativa correspondiente.
UC3 Custodiar la documentación, según políticas  y procedimientos de la organización, y normativa correspondiente.</v>
      </c>
      <c r="D55" s="537" t="str">
        <f>Organización_Modular!F41</f>
        <v>Recepción y procesamiento de la información</v>
      </c>
      <c r="E55" s="537"/>
      <c r="F55" s="44" t="str">
        <f>_xlfn.IFNA(IF(VLOOKUP($D55,Organización_Modular!$F$10:$G$195,2,FALSE)=F$23,Itinerario!T55," ")," ")</f>
        <v xml:space="preserve"> </v>
      </c>
      <c r="G55" s="44" t="str">
        <f>_xlfn.IFNA(IF(VLOOKUP($D55,Organización_Modular!$F$10:$G$195,2,FALSE)=G$23,Itinerario!W55," ")," ")</f>
        <v xml:space="preserve"> </v>
      </c>
      <c r="H55" s="44">
        <f>_xlfn.IFNA(IF(VLOOKUP($D55,Organización_Modular!$F$10:$G$195,2,FALSE)=H$23,Itinerario!T55," ")," ")</f>
        <v>2</v>
      </c>
      <c r="I55" s="44">
        <f>_xlfn.IFNA(IF(VLOOKUP($D55,Organización_Modular!$F$10:$G$195,2,FALSE)=I$23,Itinerario!W55," ")," ")</f>
        <v>48</v>
      </c>
      <c r="J55" s="44" t="str">
        <f>_xlfn.IFNA(IF(VLOOKUP($D55,Organización_Modular!$F$10:$G$195,2,FALSE)=J$23,Itinerario!T55," ")," ")</f>
        <v xml:space="preserve"> </v>
      </c>
      <c r="K55" s="44" t="str">
        <f>_xlfn.IFNA(IF(VLOOKUP($D55,Organización_Modular!$F$10:$G$195,2,FALSE)=K$23,Itinerario!W55," ")," ")</f>
        <v xml:space="preserve"> </v>
      </c>
      <c r="L55" s="44" t="str">
        <f>_xlfn.IFNA(IF(VLOOKUP($D55,Organización_Modular!$F$10:$G$195,2,FALSE)=L$23,Itinerario!T55," ")," ")</f>
        <v xml:space="preserve"> </v>
      </c>
      <c r="M55" s="44" t="str">
        <f>_xlfn.IFNA(IF(VLOOKUP($D55,Organización_Modular!$F$10:$G$195,2,FALSE)=M$23,Itinerario!W55," ")," ")</f>
        <v xml:space="preserve"> </v>
      </c>
      <c r="N55" s="44" t="str">
        <f>_xlfn.IFNA(IF(VLOOKUP($D55,Organización_Modular!$F$10:$G$195,2,FALSE)=N$23,Itinerario!T55," ")," ")</f>
        <v xml:space="preserve"> </v>
      </c>
      <c r="O55" s="44" t="str">
        <f>_xlfn.IFNA(IF(VLOOKUP($D55,Organización_Modular!$F$10:$G$195,2,FALSE)=O$23,Itinerario!W55," ")," ")</f>
        <v xml:space="preserve"> </v>
      </c>
      <c r="P55" s="44" t="str">
        <f>_xlfn.IFNA(IF(VLOOKUP($D55,Organización_Modular!$F$10:$G$195,2,FALSE)=P$23,Itinerario!T55," ")," ")</f>
        <v xml:space="preserve"> </v>
      </c>
      <c r="Q55" s="44" t="str">
        <f>_xlfn.IFNA(IF(VLOOKUP($D55,Organización_Modular!$F$10:$G$195,2,FALSE)=Q$23,Itinerario!W55," ")," ")</f>
        <v xml:space="preserve"> </v>
      </c>
      <c r="R55" s="44">
        <f>Organización_Modular!H41</f>
        <v>1</v>
      </c>
      <c r="S55" s="44">
        <f>Organización_Modular!I41</f>
        <v>1</v>
      </c>
      <c r="T55" s="82">
        <f>SUM(R55:S55)</f>
        <v>2</v>
      </c>
      <c r="U55" s="44">
        <f t="shared" si="3"/>
        <v>16</v>
      </c>
      <c r="V55" s="44">
        <f t="shared" si="4"/>
        <v>32</v>
      </c>
      <c r="W55" s="82">
        <f t="shared" si="5"/>
        <v>48</v>
      </c>
      <c r="X55" s="87">
        <f t="shared" si="6"/>
        <v>48</v>
      </c>
    </row>
    <row r="56" spans="1:24" ht="39.950000000000003" customHeight="1" x14ac:dyDescent="0.2">
      <c r="A56" s="535"/>
      <c r="B56" s="397"/>
      <c r="C56" s="538"/>
      <c r="D56" s="537" t="str">
        <f>Organización_Modular!F42</f>
        <v xml:space="preserve">Actividades administrativas </v>
      </c>
      <c r="E56" s="537"/>
      <c r="F56" s="44" t="str">
        <f>_xlfn.IFNA(IF(VLOOKUP($D56,Organización_Modular!$F$10:$G$195,2,FALSE)=F$23,Itinerario!T56," ")," ")</f>
        <v xml:space="preserve"> </v>
      </c>
      <c r="G56" s="44" t="str">
        <f>_xlfn.IFNA(IF(VLOOKUP($D56,Organización_Modular!$F$10:$G$195,2,FALSE)=G$23,Itinerario!W56," ")," ")</f>
        <v xml:space="preserve"> </v>
      </c>
      <c r="H56" s="44">
        <f>_xlfn.IFNA(IF(VLOOKUP($D56,Organización_Modular!$F$10:$G$195,2,FALSE)=H$23,Itinerario!T56," ")," ")</f>
        <v>1</v>
      </c>
      <c r="I56" s="44">
        <f>_xlfn.IFNA(IF(VLOOKUP($D56,Organización_Modular!$F$10:$G$195,2,FALSE)=I$23,Itinerario!W56," ")," ")</f>
        <v>32</v>
      </c>
      <c r="J56" s="44" t="str">
        <f>_xlfn.IFNA(IF(VLOOKUP($D56,Organización_Modular!$F$10:$G$195,2,FALSE)=J$23,Itinerario!T56," ")," ")</f>
        <v xml:space="preserve"> </v>
      </c>
      <c r="K56" s="44" t="str">
        <f>_xlfn.IFNA(IF(VLOOKUP($D56,Organización_Modular!$F$10:$G$195,2,FALSE)=K$23,Itinerario!W56," ")," ")</f>
        <v xml:space="preserve"> </v>
      </c>
      <c r="L56" s="44" t="str">
        <f>_xlfn.IFNA(IF(VLOOKUP($D56,Organización_Modular!$F$10:$G$195,2,FALSE)=L$23,Itinerario!T56," ")," ")</f>
        <v xml:space="preserve"> </v>
      </c>
      <c r="M56" s="44" t="str">
        <f>_xlfn.IFNA(IF(VLOOKUP($D56,Organización_Modular!$F$10:$G$195,2,FALSE)=M$23,Itinerario!W56," ")," ")</f>
        <v xml:space="preserve"> </v>
      </c>
      <c r="N56" s="44" t="str">
        <f>_xlfn.IFNA(IF(VLOOKUP($D56,Organización_Modular!$F$10:$G$195,2,FALSE)=N$23,Itinerario!T56," ")," ")</f>
        <v xml:space="preserve"> </v>
      </c>
      <c r="O56" s="44" t="str">
        <f>_xlfn.IFNA(IF(VLOOKUP($D56,Organización_Modular!$F$10:$G$195,2,FALSE)=O$23,Itinerario!W56," ")," ")</f>
        <v xml:space="preserve"> </v>
      </c>
      <c r="P56" s="44" t="str">
        <f>_xlfn.IFNA(IF(VLOOKUP($D56,Organización_Modular!$F$10:$G$195,2,FALSE)=P$23,Itinerario!T56," ")," ")</f>
        <v xml:space="preserve"> </v>
      </c>
      <c r="Q56" s="44" t="str">
        <f>_xlfn.IFNA(IF(VLOOKUP($D56,Organización_Modular!$F$10:$G$195,2,FALSE)=Q$23,Itinerario!W56," ")," ")</f>
        <v xml:space="preserve"> </v>
      </c>
      <c r="R56" s="44">
        <f>Organización_Modular!H42</f>
        <v>0</v>
      </c>
      <c r="S56" s="44">
        <f>Organización_Modular!I42</f>
        <v>1</v>
      </c>
      <c r="T56" s="82">
        <f t="shared" ref="T56:T85" si="7">SUM(R56:S56)</f>
        <v>1</v>
      </c>
      <c r="U56" s="44">
        <f t="shared" si="3"/>
        <v>0</v>
      </c>
      <c r="V56" s="44">
        <f t="shared" si="4"/>
        <v>32</v>
      </c>
      <c r="W56" s="82">
        <f t="shared" si="5"/>
        <v>32</v>
      </c>
      <c r="X56" s="87">
        <f t="shared" si="6"/>
        <v>32</v>
      </c>
    </row>
    <row r="57" spans="1:24" ht="39.950000000000003" customHeight="1" x14ac:dyDescent="0.2">
      <c r="A57" s="535"/>
      <c r="B57" s="397"/>
      <c r="C57" s="538"/>
      <c r="D57" s="537" t="str">
        <f>Organización_Modular!F43</f>
        <v>Atención al público</v>
      </c>
      <c r="E57" s="537"/>
      <c r="F57" s="44" t="str">
        <f>_xlfn.IFNA(IF(VLOOKUP($D57,Organización_Modular!$F$10:$G$195,2,FALSE)=F$23,Itinerario!T57," ")," ")</f>
        <v xml:space="preserve"> </v>
      </c>
      <c r="G57" s="44" t="str">
        <f>_xlfn.IFNA(IF(VLOOKUP($D57,Organización_Modular!$F$10:$G$195,2,FALSE)=G$23,Itinerario!W57," ")," ")</f>
        <v xml:space="preserve"> </v>
      </c>
      <c r="H57" s="44">
        <f>_xlfn.IFNA(IF(VLOOKUP($D57,Organización_Modular!$F$10:$G$195,2,FALSE)=H$23,Itinerario!T57," ")," ")</f>
        <v>2</v>
      </c>
      <c r="I57" s="44">
        <f>_xlfn.IFNA(IF(VLOOKUP($D57,Organización_Modular!$F$10:$G$195,2,FALSE)=I$23,Itinerario!W57," ")," ")</f>
        <v>48</v>
      </c>
      <c r="J57" s="44" t="str">
        <f>_xlfn.IFNA(IF(VLOOKUP($D57,Organización_Modular!$F$10:$G$195,2,FALSE)=J$23,Itinerario!T57," ")," ")</f>
        <v xml:space="preserve"> </v>
      </c>
      <c r="K57" s="44" t="str">
        <f>_xlfn.IFNA(IF(VLOOKUP($D57,Organización_Modular!$F$10:$G$195,2,FALSE)=K$23,Itinerario!W57," ")," ")</f>
        <v xml:space="preserve"> </v>
      </c>
      <c r="L57" s="44" t="str">
        <f>_xlfn.IFNA(IF(VLOOKUP($D57,Organización_Modular!$F$10:$G$195,2,FALSE)=L$23,Itinerario!T57," ")," ")</f>
        <v xml:space="preserve"> </v>
      </c>
      <c r="M57" s="44" t="str">
        <f>_xlfn.IFNA(IF(VLOOKUP($D57,Organización_Modular!$F$10:$G$195,2,FALSE)=M$23,Itinerario!W57," ")," ")</f>
        <v xml:space="preserve"> </v>
      </c>
      <c r="N57" s="44" t="str">
        <f>_xlfn.IFNA(IF(VLOOKUP($D57,Organización_Modular!$F$10:$G$195,2,FALSE)=N$23,Itinerario!T57," ")," ")</f>
        <v xml:space="preserve"> </v>
      </c>
      <c r="O57" s="44" t="str">
        <f>_xlfn.IFNA(IF(VLOOKUP($D57,Organización_Modular!$F$10:$G$195,2,FALSE)=O$23,Itinerario!W57," ")," ")</f>
        <v xml:space="preserve"> </v>
      </c>
      <c r="P57" s="44" t="str">
        <f>_xlfn.IFNA(IF(VLOOKUP($D57,Organización_Modular!$F$10:$G$195,2,FALSE)=P$23,Itinerario!T57," ")," ")</f>
        <v xml:space="preserve"> </v>
      </c>
      <c r="Q57" s="44" t="str">
        <f>_xlfn.IFNA(IF(VLOOKUP($D57,Organización_Modular!$F$10:$G$195,2,FALSE)=Q$23,Itinerario!W57," ")," ")</f>
        <v xml:space="preserve"> </v>
      </c>
      <c r="R57" s="44">
        <f>Organización_Modular!H43</f>
        <v>1</v>
      </c>
      <c r="S57" s="44">
        <f>Organización_Modular!I43</f>
        <v>1</v>
      </c>
      <c r="T57" s="82">
        <f t="shared" si="7"/>
        <v>2</v>
      </c>
      <c r="U57" s="44">
        <f t="shared" si="3"/>
        <v>16</v>
      </c>
      <c r="V57" s="44">
        <f t="shared" si="4"/>
        <v>32</v>
      </c>
      <c r="W57" s="82">
        <f t="shared" si="5"/>
        <v>48</v>
      </c>
      <c r="X57" s="87">
        <f t="shared" si="6"/>
        <v>48</v>
      </c>
    </row>
    <row r="58" spans="1:24" ht="39.950000000000003" customHeight="1" x14ac:dyDescent="0.2">
      <c r="A58" s="535"/>
      <c r="B58" s="397"/>
      <c r="C58" s="538"/>
      <c r="D58" s="537" t="str">
        <f>Organización_Modular!F44</f>
        <v>Control y registro documentario</v>
      </c>
      <c r="E58" s="537"/>
      <c r="F58" s="44" t="str">
        <f>_xlfn.IFNA(IF(VLOOKUP($D58,Organización_Modular!$F$10:$G$195,2,FALSE)=F$23,Itinerario!T58," ")," ")</f>
        <v xml:space="preserve"> </v>
      </c>
      <c r="G58" s="44" t="str">
        <f>_xlfn.IFNA(IF(VLOOKUP($D58,Organización_Modular!$F$10:$G$195,2,FALSE)=G$23,Itinerario!W58," ")," ")</f>
        <v xml:space="preserve"> </v>
      </c>
      <c r="H58" s="44">
        <f>_xlfn.IFNA(IF(VLOOKUP($D58,Organización_Modular!$F$10:$G$195,2,FALSE)=H$23,Itinerario!T58," ")," ")</f>
        <v>1</v>
      </c>
      <c r="I58" s="44">
        <f>_xlfn.IFNA(IF(VLOOKUP($D58,Organización_Modular!$F$10:$G$195,2,FALSE)=I$23,Itinerario!W58," ")," ")</f>
        <v>32</v>
      </c>
      <c r="J58" s="44" t="str">
        <f>_xlfn.IFNA(IF(VLOOKUP($D58,Organización_Modular!$F$10:$G$195,2,FALSE)=J$23,Itinerario!T58," ")," ")</f>
        <v xml:space="preserve"> </v>
      </c>
      <c r="K58" s="44" t="str">
        <f>_xlfn.IFNA(IF(VLOOKUP($D58,Organización_Modular!$F$10:$G$195,2,FALSE)=K$23,Itinerario!W58," ")," ")</f>
        <v xml:space="preserve"> </v>
      </c>
      <c r="L58" s="44" t="str">
        <f>_xlfn.IFNA(IF(VLOOKUP($D58,Organización_Modular!$F$10:$G$195,2,FALSE)=L$23,Itinerario!T58," ")," ")</f>
        <v xml:space="preserve"> </v>
      </c>
      <c r="M58" s="44" t="str">
        <f>_xlfn.IFNA(IF(VLOOKUP($D58,Organización_Modular!$F$10:$G$195,2,FALSE)=M$23,Itinerario!W58," ")," ")</f>
        <v xml:space="preserve"> </v>
      </c>
      <c r="N58" s="44" t="str">
        <f>_xlfn.IFNA(IF(VLOOKUP($D58,Organización_Modular!$F$10:$G$195,2,FALSE)=N$23,Itinerario!T58," ")," ")</f>
        <v xml:space="preserve"> </v>
      </c>
      <c r="O58" s="44" t="str">
        <f>_xlfn.IFNA(IF(VLOOKUP($D58,Organización_Modular!$F$10:$G$195,2,FALSE)=O$23,Itinerario!W58," ")," ")</f>
        <v xml:space="preserve"> </v>
      </c>
      <c r="P58" s="44" t="str">
        <f>_xlfn.IFNA(IF(VLOOKUP($D58,Organización_Modular!$F$10:$G$195,2,FALSE)=P$23,Itinerario!T58," ")," ")</f>
        <v xml:space="preserve"> </v>
      </c>
      <c r="Q58" s="44" t="str">
        <f>_xlfn.IFNA(IF(VLOOKUP($D58,Organización_Modular!$F$10:$G$195,2,FALSE)=Q$23,Itinerario!W58," ")," ")</f>
        <v xml:space="preserve"> </v>
      </c>
      <c r="R58" s="44">
        <f>Organización_Modular!H44</f>
        <v>0</v>
      </c>
      <c r="S58" s="44">
        <f>Organización_Modular!I44</f>
        <v>1</v>
      </c>
      <c r="T58" s="82">
        <f t="shared" si="7"/>
        <v>1</v>
      </c>
      <c r="U58" s="44">
        <f t="shared" si="3"/>
        <v>0</v>
      </c>
      <c r="V58" s="44">
        <f t="shared" si="4"/>
        <v>32</v>
      </c>
      <c r="W58" s="82">
        <f t="shared" si="5"/>
        <v>32</v>
      </c>
      <c r="X58" s="87">
        <f t="shared" si="6"/>
        <v>32</v>
      </c>
    </row>
    <row r="59" spans="1:24" ht="39.950000000000003" customHeight="1" x14ac:dyDescent="0.2">
      <c r="A59" s="535"/>
      <c r="B59" s="397"/>
      <c r="C59" s="538"/>
      <c r="D59" s="537" t="str">
        <f>Organización_Modular!F45</f>
        <v>Organización del sistema de gestión de archivos</v>
      </c>
      <c r="E59" s="537"/>
      <c r="F59" s="44" t="str">
        <f>_xlfn.IFNA(IF(VLOOKUP($D59,Organización_Modular!$F$10:$G$195,2,FALSE)=F$23,Itinerario!T59," ")," ")</f>
        <v xml:space="preserve"> </v>
      </c>
      <c r="G59" s="44" t="str">
        <f>_xlfn.IFNA(IF(VLOOKUP($D59,Organización_Modular!$F$10:$G$195,2,FALSE)=G$23,Itinerario!W59," ")," ")</f>
        <v xml:space="preserve"> </v>
      </c>
      <c r="H59" s="44">
        <f>_xlfn.IFNA(IF(VLOOKUP($D59,Organización_Modular!$F$10:$G$195,2,FALSE)=H$23,Itinerario!T59," ")," ")</f>
        <v>2</v>
      </c>
      <c r="I59" s="44">
        <f>_xlfn.IFNA(IF(VLOOKUP($D59,Organización_Modular!$F$10:$G$195,2,FALSE)=I$23,Itinerario!W59," ")," ")</f>
        <v>48</v>
      </c>
      <c r="J59" s="44" t="str">
        <f>_xlfn.IFNA(IF(VLOOKUP($D59,Organización_Modular!$F$10:$G$195,2,FALSE)=J$23,Itinerario!T59," ")," ")</f>
        <v xml:space="preserve"> </v>
      </c>
      <c r="K59" s="44" t="str">
        <f>_xlfn.IFNA(IF(VLOOKUP($D59,Organización_Modular!$F$10:$G$195,2,FALSE)=K$23,Itinerario!W59," ")," ")</f>
        <v xml:space="preserve"> </v>
      </c>
      <c r="L59" s="44" t="str">
        <f>_xlfn.IFNA(IF(VLOOKUP($D59,Organización_Modular!$F$10:$G$195,2,FALSE)=L$23,Itinerario!T59," ")," ")</f>
        <v xml:space="preserve"> </v>
      </c>
      <c r="M59" s="44" t="str">
        <f>_xlfn.IFNA(IF(VLOOKUP($D59,Organización_Modular!$F$10:$G$195,2,FALSE)=M$23,Itinerario!W59," ")," ")</f>
        <v xml:space="preserve"> </v>
      </c>
      <c r="N59" s="44" t="str">
        <f>_xlfn.IFNA(IF(VLOOKUP($D59,Organización_Modular!$F$10:$G$195,2,FALSE)=N$23,Itinerario!T59," ")," ")</f>
        <v xml:space="preserve"> </v>
      </c>
      <c r="O59" s="44" t="str">
        <f>_xlfn.IFNA(IF(VLOOKUP($D59,Organización_Modular!$F$10:$G$195,2,FALSE)=O$23,Itinerario!W59," ")," ")</f>
        <v xml:space="preserve"> </v>
      </c>
      <c r="P59" s="44" t="str">
        <f>_xlfn.IFNA(IF(VLOOKUP($D59,Organización_Modular!$F$10:$G$195,2,FALSE)=P$23,Itinerario!T59," ")," ")</f>
        <v xml:space="preserve"> </v>
      </c>
      <c r="Q59" s="44" t="str">
        <f>_xlfn.IFNA(IF(VLOOKUP($D59,Organización_Modular!$F$10:$G$195,2,FALSE)=Q$23,Itinerario!W59," ")," ")</f>
        <v xml:space="preserve"> </v>
      </c>
      <c r="R59" s="44">
        <f>Organización_Modular!H45</f>
        <v>1</v>
      </c>
      <c r="S59" s="44">
        <f>Organización_Modular!I45</f>
        <v>1</v>
      </c>
      <c r="T59" s="82">
        <f t="shared" si="7"/>
        <v>2</v>
      </c>
      <c r="U59" s="44">
        <f t="shared" si="3"/>
        <v>16</v>
      </c>
      <c r="V59" s="44">
        <f t="shared" si="4"/>
        <v>32</v>
      </c>
      <c r="W59" s="82">
        <f t="shared" si="5"/>
        <v>48</v>
      </c>
      <c r="X59" s="87">
        <f t="shared" si="6"/>
        <v>48</v>
      </c>
    </row>
    <row r="60" spans="1:24" ht="39.950000000000003" customHeight="1" x14ac:dyDescent="0.2">
      <c r="A60" s="535"/>
      <c r="B60" s="397"/>
      <c r="C60" s="538"/>
      <c r="D60" s="556" t="str">
        <f>Organización_Modular!F46</f>
        <v>Archivos, mantenimiento y conservación de documentos</v>
      </c>
      <c r="E60" s="556"/>
      <c r="F60" s="44" t="str">
        <f>_xlfn.IFNA(IF(VLOOKUP($D60,Organización_Modular!$F$10:$G$195,2,FALSE)=F$23,Itinerario!T60," ")," ")</f>
        <v xml:space="preserve"> </v>
      </c>
      <c r="G60" s="44" t="str">
        <f>_xlfn.IFNA(IF(VLOOKUP($D60,Organización_Modular!$F$10:$G$195,2,FALSE)=G$23,Itinerario!W60," ")," ")</f>
        <v xml:space="preserve"> </v>
      </c>
      <c r="H60" s="44">
        <f>_xlfn.IFNA(IF(VLOOKUP($D60,Organización_Modular!$F$10:$G$195,2,FALSE)=H$23,Itinerario!T60," ")," ")</f>
        <v>2</v>
      </c>
      <c r="I60" s="44">
        <f>_xlfn.IFNA(IF(VLOOKUP($D60,Organización_Modular!$F$10:$G$195,2,FALSE)=I$23,Itinerario!W60," ")," ")</f>
        <v>48</v>
      </c>
      <c r="J60" s="44" t="str">
        <f>_xlfn.IFNA(IF(VLOOKUP($D60,Organización_Modular!$F$10:$G$195,2,FALSE)=J$23,Itinerario!T60," ")," ")</f>
        <v xml:space="preserve"> </v>
      </c>
      <c r="K60" s="44" t="str">
        <f>_xlfn.IFNA(IF(VLOOKUP($D60,Organización_Modular!$F$10:$G$195,2,FALSE)=K$23,Itinerario!W60," ")," ")</f>
        <v xml:space="preserve"> </v>
      </c>
      <c r="L60" s="44" t="str">
        <f>_xlfn.IFNA(IF(VLOOKUP($D60,Organización_Modular!$F$10:$G$195,2,FALSE)=L$23,Itinerario!T60," ")," ")</f>
        <v xml:space="preserve"> </v>
      </c>
      <c r="M60" s="44" t="str">
        <f>_xlfn.IFNA(IF(VLOOKUP($D60,Organización_Modular!$F$10:$G$195,2,FALSE)=M$23,Itinerario!W60," ")," ")</f>
        <v xml:space="preserve"> </v>
      </c>
      <c r="N60" s="44" t="str">
        <f>_xlfn.IFNA(IF(VLOOKUP($D60,Organización_Modular!$F$10:$G$195,2,FALSE)=N$23,Itinerario!T60," ")," ")</f>
        <v xml:space="preserve"> </v>
      </c>
      <c r="O60" s="44" t="str">
        <f>_xlfn.IFNA(IF(VLOOKUP($D60,Organización_Modular!$F$10:$G$195,2,FALSE)=O$23,Itinerario!W60," ")," ")</f>
        <v xml:space="preserve"> </v>
      </c>
      <c r="P60" s="44" t="str">
        <f>_xlfn.IFNA(IF(VLOOKUP($D60,Organización_Modular!$F$10:$G$195,2,FALSE)=P$23,Itinerario!T60," ")," ")</f>
        <v xml:space="preserve"> </v>
      </c>
      <c r="Q60" s="44" t="str">
        <f>_xlfn.IFNA(IF(VLOOKUP($D60,Organización_Modular!$F$10:$G$195,2,FALSE)=Q$23,Itinerario!W60," ")," ")</f>
        <v xml:space="preserve"> </v>
      </c>
      <c r="R60" s="44">
        <f>Organización_Modular!H46</f>
        <v>1</v>
      </c>
      <c r="S60" s="44">
        <f>Organización_Modular!I46</f>
        <v>1</v>
      </c>
      <c r="T60" s="82">
        <f t="shared" si="7"/>
        <v>2</v>
      </c>
      <c r="U60" s="44">
        <f t="shared" si="3"/>
        <v>16</v>
      </c>
      <c r="V60" s="44">
        <f t="shared" si="4"/>
        <v>32</v>
      </c>
      <c r="W60" s="82">
        <f t="shared" si="5"/>
        <v>48</v>
      </c>
      <c r="X60" s="87">
        <f t="shared" si="6"/>
        <v>48</v>
      </c>
    </row>
    <row r="61" spans="1:24" ht="54" hidden="1" customHeight="1" x14ac:dyDescent="0.2">
      <c r="A61" s="535"/>
      <c r="B61" s="397"/>
      <c r="C61" s="538"/>
      <c r="D61" s="537"/>
      <c r="E61" s="537"/>
      <c r="F61" s="44" t="str">
        <f>_xlfn.IFNA(IF(VLOOKUP($D61,Organización_Modular!$F$10:$G$195,2,FALSE)=F$23,Itinerario!T61," ")," ")</f>
        <v xml:space="preserve"> </v>
      </c>
      <c r="G61" s="44" t="str">
        <f>_xlfn.IFNA(IF(VLOOKUP($D61,Organización_Modular!$F$10:$G$195,2,FALSE)=G$23,Itinerario!W61," ")," ")</f>
        <v xml:space="preserve"> </v>
      </c>
      <c r="H61" s="44" t="str">
        <f>_xlfn.IFNA(IF(VLOOKUP($D61,Organización_Modular!$F$10:$G$195,2,FALSE)=H$23,Itinerario!T61," ")," ")</f>
        <v xml:space="preserve"> </v>
      </c>
      <c r="I61" s="44" t="str">
        <f>_xlfn.IFNA(IF(VLOOKUP($D61,Organización_Modular!$F$10:$G$195,2,FALSE)=I$23,Itinerario!W61," ")," ")</f>
        <v xml:space="preserve"> </v>
      </c>
      <c r="J61" s="44" t="str">
        <f>_xlfn.IFNA(IF(VLOOKUP($D61,Organización_Modular!$F$10:$G$195,2,FALSE)=J$23,Itinerario!T61," ")," ")</f>
        <v xml:space="preserve"> </v>
      </c>
      <c r="K61" s="44" t="str">
        <f>_xlfn.IFNA(IF(VLOOKUP($D61,Organización_Modular!$F$10:$G$195,2,FALSE)=K$23,Itinerario!W61," ")," ")</f>
        <v xml:space="preserve"> </v>
      </c>
      <c r="L61" s="44" t="str">
        <f>_xlfn.IFNA(IF(VLOOKUP($D61,Organización_Modular!$F$10:$G$195,2,FALSE)=L$23,Itinerario!T61," ")," ")</f>
        <v xml:space="preserve"> </v>
      </c>
      <c r="M61" s="44" t="str">
        <f>_xlfn.IFNA(IF(VLOOKUP($D61,Organización_Modular!$F$10:$G$195,2,FALSE)=M$23,Itinerario!W61," ")," ")</f>
        <v xml:space="preserve"> </v>
      </c>
      <c r="N61" s="44" t="str">
        <f>_xlfn.IFNA(IF(VLOOKUP($D61,Organización_Modular!$F$10:$G$195,2,FALSE)=N$23,Itinerario!T61," ")," ")</f>
        <v xml:space="preserve"> </v>
      </c>
      <c r="O61" s="44" t="str">
        <f>_xlfn.IFNA(IF(VLOOKUP($D61,Organización_Modular!$F$10:$G$195,2,FALSE)=O$23,Itinerario!W61," ")," ")</f>
        <v xml:space="preserve"> </v>
      </c>
      <c r="P61" s="44" t="str">
        <f>_xlfn.IFNA(IF(VLOOKUP($D61,Organización_Modular!$F$10:$G$195,2,FALSE)=P$23,Itinerario!T61," ")," ")</f>
        <v xml:space="preserve"> </v>
      </c>
      <c r="Q61" s="44" t="str">
        <f>_xlfn.IFNA(IF(VLOOKUP($D61,Organización_Modular!$F$10:$G$195,2,FALSE)=Q$23,Itinerario!W61," ")," ")</f>
        <v xml:space="preserve"> </v>
      </c>
      <c r="R61" s="44"/>
      <c r="S61" s="44"/>
      <c r="T61" s="82"/>
      <c r="U61" s="44"/>
      <c r="V61" s="44"/>
      <c r="W61" s="82"/>
      <c r="X61" s="87">
        <f t="shared" si="6"/>
        <v>0</v>
      </c>
    </row>
    <row r="62" spans="1:24" ht="18" hidden="1" customHeight="1" x14ac:dyDescent="0.2">
      <c r="A62" s="535"/>
      <c r="B62" s="397"/>
      <c r="C62" s="538"/>
      <c r="D62" s="537">
        <f>Organización_Modular!F48</f>
        <v>0</v>
      </c>
      <c r="E62" s="537"/>
      <c r="F62" s="44" t="str">
        <f>_xlfn.IFNA(IF(VLOOKUP($D62,Organización_Modular!$F$10:$G$195,2,FALSE)=F$23,Itinerario!T62," ")," ")</f>
        <v xml:space="preserve"> </v>
      </c>
      <c r="G62" s="44" t="str">
        <f>_xlfn.IFNA(IF(VLOOKUP($D62,Organización_Modular!$F$10:$G$195,2,FALSE)=G$23,Itinerario!W62," ")," ")</f>
        <v xml:space="preserve"> </v>
      </c>
      <c r="H62" s="44" t="str">
        <f>_xlfn.IFNA(IF(VLOOKUP($D62,Organización_Modular!$F$10:$G$195,2,FALSE)=H$23,Itinerario!T62," ")," ")</f>
        <v xml:space="preserve"> </v>
      </c>
      <c r="I62" s="44" t="str">
        <f>_xlfn.IFNA(IF(VLOOKUP($D62,Organización_Modular!$F$10:$G$195,2,FALSE)=I$23,Itinerario!W62," ")," ")</f>
        <v xml:space="preserve"> </v>
      </c>
      <c r="J62" s="44" t="str">
        <f>_xlfn.IFNA(IF(VLOOKUP($D62,Organización_Modular!$F$10:$G$195,2,FALSE)=J$23,Itinerario!T62," ")," ")</f>
        <v xml:space="preserve"> </v>
      </c>
      <c r="K62" s="44" t="str">
        <f>_xlfn.IFNA(IF(VLOOKUP($D62,Organización_Modular!$F$10:$G$195,2,FALSE)=K$23,Itinerario!W62," ")," ")</f>
        <v xml:space="preserve"> </v>
      </c>
      <c r="L62" s="44" t="str">
        <f>_xlfn.IFNA(IF(VLOOKUP($D62,Organización_Modular!$F$10:$G$195,2,FALSE)=L$23,Itinerario!T62," ")," ")</f>
        <v xml:space="preserve"> </v>
      </c>
      <c r="M62" s="44" t="str">
        <f>_xlfn.IFNA(IF(VLOOKUP($D62,Organización_Modular!$F$10:$G$195,2,FALSE)=M$23,Itinerario!W62," ")," ")</f>
        <v xml:space="preserve"> </v>
      </c>
      <c r="N62" s="44" t="str">
        <f>_xlfn.IFNA(IF(VLOOKUP($D62,Organización_Modular!$F$10:$G$195,2,FALSE)=N$23,Itinerario!T62," ")," ")</f>
        <v xml:space="preserve"> </v>
      </c>
      <c r="O62" s="44" t="str">
        <f>_xlfn.IFNA(IF(VLOOKUP($D62,Organización_Modular!$F$10:$G$195,2,FALSE)=O$23,Itinerario!W62," ")," ")</f>
        <v xml:space="preserve"> </v>
      </c>
      <c r="P62" s="44" t="str">
        <f>_xlfn.IFNA(IF(VLOOKUP($D62,Organización_Modular!$F$10:$G$195,2,FALSE)=P$23,Itinerario!T62," ")," ")</f>
        <v xml:space="preserve"> </v>
      </c>
      <c r="Q62" s="44" t="str">
        <f>_xlfn.IFNA(IF(VLOOKUP($D62,Organización_Modular!$F$10:$G$195,2,FALSE)=Q$23,Itinerario!W62," ")," ")</f>
        <v xml:space="preserve"> </v>
      </c>
      <c r="R62" s="44">
        <f>Organización_Modular!H48</f>
        <v>0</v>
      </c>
      <c r="S62" s="44">
        <f>Organización_Modular!I48</f>
        <v>0</v>
      </c>
      <c r="T62" s="82">
        <f t="shared" si="7"/>
        <v>0</v>
      </c>
      <c r="U62" s="44">
        <f t="shared" si="3"/>
        <v>0</v>
      </c>
      <c r="V62" s="44">
        <f t="shared" si="4"/>
        <v>0</v>
      </c>
      <c r="W62" s="82">
        <f t="shared" si="5"/>
        <v>0</v>
      </c>
      <c r="X62" s="87">
        <f t="shared" si="6"/>
        <v>0</v>
      </c>
    </row>
    <row r="63" spans="1:24" ht="18" hidden="1" customHeight="1" x14ac:dyDescent="0.2">
      <c r="A63" s="535"/>
      <c r="B63" s="397"/>
      <c r="C63" s="538"/>
      <c r="D63" s="537">
        <f>Organización_Modular!F49</f>
        <v>0</v>
      </c>
      <c r="E63" s="537"/>
      <c r="F63" s="44" t="str">
        <f>_xlfn.IFNA(IF(VLOOKUP($D63,Organización_Modular!$F$10:$G$195,2,FALSE)=F$23,Itinerario!T63," ")," ")</f>
        <v xml:space="preserve"> </v>
      </c>
      <c r="G63" s="44" t="str">
        <f>_xlfn.IFNA(IF(VLOOKUP($D63,Organización_Modular!$F$10:$G$195,2,FALSE)=G$23,Itinerario!W63," ")," ")</f>
        <v xml:space="preserve"> </v>
      </c>
      <c r="H63" s="44" t="str">
        <f>_xlfn.IFNA(IF(VLOOKUP($D63,Organización_Modular!$F$10:$G$195,2,FALSE)=H$23,Itinerario!T63," ")," ")</f>
        <v xml:space="preserve"> </v>
      </c>
      <c r="I63" s="44" t="str">
        <f>_xlfn.IFNA(IF(VLOOKUP($D63,Organización_Modular!$F$10:$G$195,2,FALSE)=I$23,Itinerario!W63," ")," ")</f>
        <v xml:space="preserve"> </v>
      </c>
      <c r="J63" s="44" t="str">
        <f>_xlfn.IFNA(IF(VLOOKUP($D63,Organización_Modular!$F$10:$G$195,2,FALSE)=J$23,Itinerario!T63," ")," ")</f>
        <v xml:space="preserve"> </v>
      </c>
      <c r="K63" s="44" t="str">
        <f>_xlfn.IFNA(IF(VLOOKUP($D63,Organización_Modular!$F$10:$G$195,2,FALSE)=K$23,Itinerario!W63," ")," ")</f>
        <v xml:space="preserve"> </v>
      </c>
      <c r="L63" s="44" t="str">
        <f>_xlfn.IFNA(IF(VLOOKUP($D63,Organización_Modular!$F$10:$G$195,2,FALSE)=L$23,Itinerario!T63," ")," ")</f>
        <v xml:space="preserve"> </v>
      </c>
      <c r="M63" s="44" t="str">
        <f>_xlfn.IFNA(IF(VLOOKUP($D63,Organización_Modular!$F$10:$G$195,2,FALSE)=M$23,Itinerario!W63," ")," ")</f>
        <v xml:space="preserve"> </v>
      </c>
      <c r="N63" s="44" t="str">
        <f>_xlfn.IFNA(IF(VLOOKUP($D63,Organización_Modular!$F$10:$G$195,2,FALSE)=N$23,Itinerario!T63," ")," ")</f>
        <v xml:space="preserve"> </v>
      </c>
      <c r="O63" s="44" t="str">
        <f>_xlfn.IFNA(IF(VLOOKUP($D63,Organización_Modular!$F$10:$G$195,2,FALSE)=O$23,Itinerario!W63," ")," ")</f>
        <v xml:space="preserve"> </v>
      </c>
      <c r="P63" s="44" t="str">
        <f>_xlfn.IFNA(IF(VLOOKUP($D63,Organización_Modular!$F$10:$G$195,2,FALSE)=P$23,Itinerario!T63," ")," ")</f>
        <v xml:space="preserve"> </v>
      </c>
      <c r="Q63" s="44" t="str">
        <f>_xlfn.IFNA(IF(VLOOKUP($D63,Organización_Modular!$F$10:$G$195,2,FALSE)=Q$23,Itinerario!W63," ")," ")</f>
        <v xml:space="preserve"> </v>
      </c>
      <c r="R63" s="44">
        <f>Organización_Modular!H49</f>
        <v>0</v>
      </c>
      <c r="S63" s="44">
        <f>Organización_Modular!I49</f>
        <v>0</v>
      </c>
      <c r="T63" s="82">
        <f t="shared" si="7"/>
        <v>0</v>
      </c>
      <c r="U63" s="44">
        <f t="shared" si="3"/>
        <v>0</v>
      </c>
      <c r="V63" s="44">
        <f t="shared" si="4"/>
        <v>0</v>
      </c>
      <c r="W63" s="82">
        <f t="shared" si="5"/>
        <v>0</v>
      </c>
      <c r="X63" s="87">
        <f t="shared" si="6"/>
        <v>0</v>
      </c>
    </row>
    <row r="64" spans="1:24" ht="18" hidden="1" customHeight="1" x14ac:dyDescent="0.2">
      <c r="A64" s="535"/>
      <c r="B64" s="397"/>
      <c r="C64" s="538"/>
      <c r="D64" s="537">
        <f>Organización_Modular!F50</f>
        <v>0</v>
      </c>
      <c r="E64" s="537"/>
      <c r="F64" s="44" t="str">
        <f>_xlfn.IFNA(IF(VLOOKUP($D64,Organización_Modular!$F$10:$G$195,2,FALSE)=F$23,Itinerario!T64," ")," ")</f>
        <v xml:space="preserve"> </v>
      </c>
      <c r="G64" s="44" t="str">
        <f>_xlfn.IFNA(IF(VLOOKUP($D64,Organización_Modular!$F$10:$G$195,2,FALSE)=G$23,Itinerario!W64," ")," ")</f>
        <v xml:space="preserve"> </v>
      </c>
      <c r="H64" s="44" t="str">
        <f>_xlfn.IFNA(IF(VLOOKUP($D64,Organización_Modular!$F$10:$G$195,2,FALSE)=H$23,Itinerario!T64," ")," ")</f>
        <v xml:space="preserve"> </v>
      </c>
      <c r="I64" s="44" t="str">
        <f>_xlfn.IFNA(IF(VLOOKUP($D64,Organización_Modular!$F$10:$G$195,2,FALSE)=I$23,Itinerario!W64," ")," ")</f>
        <v xml:space="preserve"> </v>
      </c>
      <c r="J64" s="44" t="str">
        <f>_xlfn.IFNA(IF(VLOOKUP($D64,Organización_Modular!$F$10:$G$195,2,FALSE)=J$23,Itinerario!T64," ")," ")</f>
        <v xml:space="preserve"> </v>
      </c>
      <c r="K64" s="44" t="str">
        <f>_xlfn.IFNA(IF(VLOOKUP($D64,Organización_Modular!$F$10:$G$195,2,FALSE)=K$23,Itinerario!W64," ")," ")</f>
        <v xml:space="preserve"> </v>
      </c>
      <c r="L64" s="44" t="str">
        <f>_xlfn.IFNA(IF(VLOOKUP($D64,Organización_Modular!$F$10:$G$195,2,FALSE)=L$23,Itinerario!T64," ")," ")</f>
        <v xml:space="preserve"> </v>
      </c>
      <c r="M64" s="44" t="str">
        <f>_xlfn.IFNA(IF(VLOOKUP($D64,Organización_Modular!$F$10:$G$195,2,FALSE)=M$23,Itinerario!W64," ")," ")</f>
        <v xml:space="preserve"> </v>
      </c>
      <c r="N64" s="44" t="str">
        <f>_xlfn.IFNA(IF(VLOOKUP($D64,Organización_Modular!$F$10:$G$195,2,FALSE)=N$23,Itinerario!T64," ")," ")</f>
        <v xml:space="preserve"> </v>
      </c>
      <c r="O64" s="44" t="str">
        <f>_xlfn.IFNA(IF(VLOOKUP($D64,Organización_Modular!$F$10:$G$195,2,FALSE)=O$23,Itinerario!W64," ")," ")</f>
        <v xml:space="preserve"> </v>
      </c>
      <c r="P64" s="44" t="str">
        <f>_xlfn.IFNA(IF(VLOOKUP($D64,Organización_Modular!$F$10:$G$195,2,FALSE)=P$23,Itinerario!T64," ")," ")</f>
        <v xml:space="preserve"> </v>
      </c>
      <c r="Q64" s="44" t="str">
        <f>_xlfn.IFNA(IF(VLOOKUP($D64,Organización_Modular!$F$10:$G$195,2,FALSE)=Q$23,Itinerario!W64," ")," ")</f>
        <v xml:space="preserve"> </v>
      </c>
      <c r="R64" s="44">
        <f>Organización_Modular!H50</f>
        <v>0</v>
      </c>
      <c r="S64" s="44">
        <f>Organización_Modular!I50</f>
        <v>0</v>
      </c>
      <c r="T64" s="82">
        <f t="shared" si="7"/>
        <v>0</v>
      </c>
      <c r="U64" s="44">
        <f t="shared" si="3"/>
        <v>0</v>
      </c>
      <c r="V64" s="44">
        <f t="shared" si="4"/>
        <v>0</v>
      </c>
      <c r="W64" s="82">
        <f t="shared" si="5"/>
        <v>0</v>
      </c>
      <c r="X64" s="87">
        <f t="shared" si="6"/>
        <v>0</v>
      </c>
    </row>
    <row r="65" spans="1:24" ht="18" hidden="1" customHeight="1" x14ac:dyDescent="0.2">
      <c r="A65" s="535"/>
      <c r="B65" s="397"/>
      <c r="C65" s="538"/>
      <c r="D65" s="537">
        <f>Organización_Modular!F51</f>
        <v>0</v>
      </c>
      <c r="E65" s="537"/>
      <c r="F65" s="44" t="str">
        <f>_xlfn.IFNA(IF(VLOOKUP($D65,Organización_Modular!$F$10:$G$195,2,FALSE)=F$23,Itinerario!T65," ")," ")</f>
        <v xml:space="preserve"> </v>
      </c>
      <c r="G65" s="44" t="str">
        <f>_xlfn.IFNA(IF(VLOOKUP($D65,Organización_Modular!$F$10:$G$195,2,FALSE)=G$23,Itinerario!W65," ")," ")</f>
        <v xml:space="preserve"> </v>
      </c>
      <c r="H65" s="44" t="str">
        <f>_xlfn.IFNA(IF(VLOOKUP($D65,Organización_Modular!$F$10:$G$195,2,FALSE)=H$23,Itinerario!T65," ")," ")</f>
        <v xml:space="preserve"> </v>
      </c>
      <c r="I65" s="44" t="str">
        <f>_xlfn.IFNA(IF(VLOOKUP($D65,Organización_Modular!$F$10:$G$195,2,FALSE)=I$23,Itinerario!W65," ")," ")</f>
        <v xml:space="preserve"> </v>
      </c>
      <c r="J65" s="44" t="str">
        <f>_xlfn.IFNA(IF(VLOOKUP($D65,Organización_Modular!$F$10:$G$195,2,FALSE)=J$23,Itinerario!T65," ")," ")</f>
        <v xml:space="preserve"> </v>
      </c>
      <c r="K65" s="44" t="str">
        <f>_xlfn.IFNA(IF(VLOOKUP($D65,Organización_Modular!$F$10:$G$195,2,FALSE)=K$23,Itinerario!W65," ")," ")</f>
        <v xml:space="preserve"> </v>
      </c>
      <c r="L65" s="44" t="str">
        <f>_xlfn.IFNA(IF(VLOOKUP($D65,Organización_Modular!$F$10:$G$195,2,FALSE)=L$23,Itinerario!T65," ")," ")</f>
        <v xml:space="preserve"> </v>
      </c>
      <c r="M65" s="44" t="str">
        <f>_xlfn.IFNA(IF(VLOOKUP($D65,Organización_Modular!$F$10:$G$195,2,FALSE)=M$23,Itinerario!W65," ")," ")</f>
        <v xml:space="preserve"> </v>
      </c>
      <c r="N65" s="44" t="str">
        <f>_xlfn.IFNA(IF(VLOOKUP($D65,Organización_Modular!$F$10:$G$195,2,FALSE)=N$23,Itinerario!T65," ")," ")</f>
        <v xml:space="preserve"> </v>
      </c>
      <c r="O65" s="44" t="str">
        <f>_xlfn.IFNA(IF(VLOOKUP($D65,Organización_Modular!$F$10:$G$195,2,FALSE)=O$23,Itinerario!W65," ")," ")</f>
        <v xml:space="preserve"> </v>
      </c>
      <c r="P65" s="44" t="str">
        <f>_xlfn.IFNA(IF(VLOOKUP($D65,Organización_Modular!$F$10:$G$195,2,FALSE)=P$23,Itinerario!T65," ")," ")</f>
        <v xml:space="preserve"> </v>
      </c>
      <c r="Q65" s="44" t="str">
        <f>_xlfn.IFNA(IF(VLOOKUP($D65,Organización_Modular!$F$10:$G$195,2,FALSE)=Q$23,Itinerario!W65," ")," ")</f>
        <v xml:space="preserve"> </v>
      </c>
      <c r="R65" s="44">
        <f>Organización_Modular!H51</f>
        <v>0</v>
      </c>
      <c r="S65" s="44">
        <f>Organización_Modular!I51</f>
        <v>0</v>
      </c>
      <c r="T65" s="82">
        <f t="shared" si="7"/>
        <v>0</v>
      </c>
      <c r="U65" s="44">
        <f t="shared" si="3"/>
        <v>0</v>
      </c>
      <c r="V65" s="44">
        <f t="shared" si="4"/>
        <v>0</v>
      </c>
      <c r="W65" s="82">
        <f t="shared" si="5"/>
        <v>0</v>
      </c>
      <c r="X65" s="87">
        <f t="shared" si="6"/>
        <v>0</v>
      </c>
    </row>
    <row r="66" spans="1:24" ht="18" hidden="1" customHeight="1" x14ac:dyDescent="0.2">
      <c r="A66" s="535"/>
      <c r="B66" s="397"/>
      <c r="C66" s="538"/>
      <c r="D66" s="537">
        <f>Organización_Modular!F52</f>
        <v>0</v>
      </c>
      <c r="E66" s="537"/>
      <c r="F66" s="44" t="str">
        <f>_xlfn.IFNA(IF(VLOOKUP($D66,Organización_Modular!$F$10:$G$195,2,FALSE)=F$23,Itinerario!T66," ")," ")</f>
        <v xml:space="preserve"> </v>
      </c>
      <c r="G66" s="44" t="str">
        <f>_xlfn.IFNA(IF(VLOOKUP($D66,Organización_Modular!$F$10:$G$195,2,FALSE)=G$23,Itinerario!W66," ")," ")</f>
        <v xml:space="preserve"> </v>
      </c>
      <c r="H66" s="44" t="str">
        <f>_xlfn.IFNA(IF(VLOOKUP($D66,Organización_Modular!$F$10:$G$195,2,FALSE)=H$23,Itinerario!T66," ")," ")</f>
        <v xml:space="preserve"> </v>
      </c>
      <c r="I66" s="44" t="str">
        <f>_xlfn.IFNA(IF(VLOOKUP($D66,Organización_Modular!$F$10:$G$195,2,FALSE)=I$23,Itinerario!W66," ")," ")</f>
        <v xml:space="preserve"> </v>
      </c>
      <c r="J66" s="44" t="str">
        <f>_xlfn.IFNA(IF(VLOOKUP($D66,Organización_Modular!$F$10:$G$195,2,FALSE)=J$23,Itinerario!T66," ")," ")</f>
        <v xml:space="preserve"> </v>
      </c>
      <c r="K66" s="44" t="str">
        <f>_xlfn.IFNA(IF(VLOOKUP($D66,Organización_Modular!$F$10:$G$195,2,FALSE)=K$23,Itinerario!W66," ")," ")</f>
        <v xml:space="preserve"> </v>
      </c>
      <c r="L66" s="44" t="str">
        <f>_xlfn.IFNA(IF(VLOOKUP($D66,Organización_Modular!$F$10:$G$195,2,FALSE)=L$23,Itinerario!T66," ")," ")</f>
        <v xml:space="preserve"> </v>
      </c>
      <c r="M66" s="44" t="str">
        <f>_xlfn.IFNA(IF(VLOOKUP($D66,Organización_Modular!$F$10:$G$195,2,FALSE)=M$23,Itinerario!W66," ")," ")</f>
        <v xml:space="preserve"> </v>
      </c>
      <c r="N66" s="44" t="str">
        <f>_xlfn.IFNA(IF(VLOOKUP($D66,Organización_Modular!$F$10:$G$195,2,FALSE)=N$23,Itinerario!T66," ")," ")</f>
        <v xml:space="preserve"> </v>
      </c>
      <c r="O66" s="44" t="str">
        <f>_xlfn.IFNA(IF(VLOOKUP($D66,Organización_Modular!$F$10:$G$195,2,FALSE)=O$23,Itinerario!W66," ")," ")</f>
        <v xml:space="preserve"> </v>
      </c>
      <c r="P66" s="44" t="str">
        <f>_xlfn.IFNA(IF(VLOOKUP($D66,Organización_Modular!$F$10:$G$195,2,FALSE)=P$23,Itinerario!T66," ")," ")</f>
        <v xml:space="preserve"> </v>
      </c>
      <c r="Q66" s="44" t="str">
        <f>_xlfn.IFNA(IF(VLOOKUP($D66,Organización_Modular!$F$10:$G$195,2,FALSE)=Q$23,Itinerario!W66," ")," ")</f>
        <v xml:space="preserve"> </v>
      </c>
      <c r="R66" s="44">
        <f>Organización_Modular!H52</f>
        <v>0</v>
      </c>
      <c r="S66" s="44">
        <f>Organización_Modular!I52</f>
        <v>0</v>
      </c>
      <c r="T66" s="82">
        <f t="shared" si="7"/>
        <v>0</v>
      </c>
      <c r="U66" s="44">
        <f t="shared" si="3"/>
        <v>0</v>
      </c>
      <c r="V66" s="44">
        <f t="shared" si="4"/>
        <v>0</v>
      </c>
      <c r="W66" s="82">
        <f t="shared" si="5"/>
        <v>0</v>
      </c>
      <c r="X66" s="87">
        <f t="shared" si="6"/>
        <v>0</v>
      </c>
    </row>
    <row r="67" spans="1:24" ht="18" hidden="1" customHeight="1" x14ac:dyDescent="0.2">
      <c r="A67" s="535"/>
      <c r="B67" s="397"/>
      <c r="C67" s="538"/>
      <c r="D67" s="537">
        <f>Organización_Modular!F53</f>
        <v>0</v>
      </c>
      <c r="E67" s="537"/>
      <c r="F67" s="44" t="str">
        <f>_xlfn.IFNA(IF(VLOOKUP($D67,Organización_Modular!$F$10:$G$195,2,FALSE)=F$23,Itinerario!T67," ")," ")</f>
        <v xml:space="preserve"> </v>
      </c>
      <c r="G67" s="44" t="str">
        <f>_xlfn.IFNA(IF(VLOOKUP($D67,Organización_Modular!$F$10:$G$195,2,FALSE)=G$23,Itinerario!W67," ")," ")</f>
        <v xml:space="preserve"> </v>
      </c>
      <c r="H67" s="44" t="str">
        <f>_xlfn.IFNA(IF(VLOOKUP($D67,Organización_Modular!$F$10:$G$195,2,FALSE)=H$23,Itinerario!T67," ")," ")</f>
        <v xml:space="preserve"> </v>
      </c>
      <c r="I67" s="44" t="str">
        <f>_xlfn.IFNA(IF(VLOOKUP($D67,Organización_Modular!$F$10:$G$195,2,FALSE)=I$23,Itinerario!W67," ")," ")</f>
        <v xml:space="preserve"> </v>
      </c>
      <c r="J67" s="44" t="str">
        <f>_xlfn.IFNA(IF(VLOOKUP($D67,Organización_Modular!$F$10:$G$195,2,FALSE)=J$23,Itinerario!T67," ")," ")</f>
        <v xml:space="preserve"> </v>
      </c>
      <c r="K67" s="44" t="str">
        <f>_xlfn.IFNA(IF(VLOOKUP($D67,Organización_Modular!$F$10:$G$195,2,FALSE)=K$23,Itinerario!W67," ")," ")</f>
        <v xml:space="preserve"> </v>
      </c>
      <c r="L67" s="44" t="str">
        <f>_xlfn.IFNA(IF(VLOOKUP($D67,Organización_Modular!$F$10:$G$195,2,FALSE)=L$23,Itinerario!T67," ")," ")</f>
        <v xml:space="preserve"> </v>
      </c>
      <c r="M67" s="44" t="str">
        <f>_xlfn.IFNA(IF(VLOOKUP($D67,Organización_Modular!$F$10:$G$195,2,FALSE)=M$23,Itinerario!W67," ")," ")</f>
        <v xml:space="preserve"> </v>
      </c>
      <c r="N67" s="44" t="str">
        <f>_xlfn.IFNA(IF(VLOOKUP($D67,Organización_Modular!$F$10:$G$195,2,FALSE)=N$23,Itinerario!T67," ")," ")</f>
        <v xml:space="preserve"> </v>
      </c>
      <c r="O67" s="44" t="str">
        <f>_xlfn.IFNA(IF(VLOOKUP($D67,Organización_Modular!$F$10:$G$195,2,FALSE)=O$23,Itinerario!W67," ")," ")</f>
        <v xml:space="preserve"> </v>
      </c>
      <c r="P67" s="44" t="str">
        <f>_xlfn.IFNA(IF(VLOOKUP($D67,Organización_Modular!$F$10:$G$195,2,FALSE)=P$23,Itinerario!T67," ")," ")</f>
        <v xml:space="preserve"> </v>
      </c>
      <c r="Q67" s="44" t="str">
        <f>_xlfn.IFNA(IF(VLOOKUP($D67,Organización_Modular!$F$10:$G$195,2,FALSE)=Q$23,Itinerario!W67," ")," ")</f>
        <v xml:space="preserve"> </v>
      </c>
      <c r="R67" s="44">
        <f>Organización_Modular!H53</f>
        <v>0</v>
      </c>
      <c r="S67" s="44">
        <f>Organización_Modular!I53</f>
        <v>0</v>
      </c>
      <c r="T67" s="82">
        <f t="shared" si="7"/>
        <v>0</v>
      </c>
      <c r="U67" s="44">
        <f t="shared" si="3"/>
        <v>0</v>
      </c>
      <c r="V67" s="44">
        <f t="shared" si="4"/>
        <v>0</v>
      </c>
      <c r="W67" s="82">
        <f t="shared" si="5"/>
        <v>0</v>
      </c>
      <c r="X67" s="87">
        <f t="shared" si="6"/>
        <v>0</v>
      </c>
    </row>
    <row r="68" spans="1:24" ht="18" hidden="1" customHeight="1" x14ac:dyDescent="0.2">
      <c r="A68" s="535"/>
      <c r="B68" s="397"/>
      <c r="C68" s="538"/>
      <c r="D68" s="537">
        <f>Organización_Modular!F54</f>
        <v>0</v>
      </c>
      <c r="E68" s="537"/>
      <c r="F68" s="44" t="str">
        <f>_xlfn.IFNA(IF(VLOOKUP($D68,Organización_Modular!$F$10:$G$195,2,FALSE)=F$23,Itinerario!T68," ")," ")</f>
        <v xml:space="preserve"> </v>
      </c>
      <c r="G68" s="44" t="str">
        <f>_xlfn.IFNA(IF(VLOOKUP($D68,Organización_Modular!$F$10:$G$195,2,FALSE)=G$23,Itinerario!W68," ")," ")</f>
        <v xml:space="preserve"> </v>
      </c>
      <c r="H68" s="44" t="str">
        <f>_xlfn.IFNA(IF(VLOOKUP($D68,Organización_Modular!$F$10:$G$195,2,FALSE)=H$23,Itinerario!T68," ")," ")</f>
        <v xml:space="preserve"> </v>
      </c>
      <c r="I68" s="44" t="str">
        <f>_xlfn.IFNA(IF(VLOOKUP($D68,Organización_Modular!$F$10:$G$195,2,FALSE)=I$23,Itinerario!W68," ")," ")</f>
        <v xml:space="preserve"> </v>
      </c>
      <c r="J68" s="44" t="str">
        <f>_xlfn.IFNA(IF(VLOOKUP($D68,Organización_Modular!$F$10:$G$195,2,FALSE)=J$23,Itinerario!T68," ")," ")</f>
        <v xml:space="preserve"> </v>
      </c>
      <c r="K68" s="44" t="str">
        <f>_xlfn.IFNA(IF(VLOOKUP($D68,Organización_Modular!$F$10:$G$195,2,FALSE)=K$23,Itinerario!W68," ")," ")</f>
        <v xml:space="preserve"> </v>
      </c>
      <c r="L68" s="44" t="str">
        <f>_xlfn.IFNA(IF(VLOOKUP($D68,Organización_Modular!$F$10:$G$195,2,FALSE)=L$23,Itinerario!T68," ")," ")</f>
        <v xml:space="preserve"> </v>
      </c>
      <c r="M68" s="44" t="str">
        <f>_xlfn.IFNA(IF(VLOOKUP($D68,Organización_Modular!$F$10:$G$195,2,FALSE)=M$23,Itinerario!W68," ")," ")</f>
        <v xml:space="preserve"> </v>
      </c>
      <c r="N68" s="44" t="str">
        <f>_xlfn.IFNA(IF(VLOOKUP($D68,Organización_Modular!$F$10:$G$195,2,FALSE)=N$23,Itinerario!T68," ")," ")</f>
        <v xml:space="preserve"> </v>
      </c>
      <c r="O68" s="44" t="str">
        <f>_xlfn.IFNA(IF(VLOOKUP($D68,Organización_Modular!$F$10:$G$195,2,FALSE)=O$23,Itinerario!W68," ")," ")</f>
        <v xml:space="preserve"> </v>
      </c>
      <c r="P68" s="44" t="str">
        <f>_xlfn.IFNA(IF(VLOOKUP($D68,Organización_Modular!$F$10:$G$195,2,FALSE)=P$23,Itinerario!T68," ")," ")</f>
        <v xml:space="preserve"> </v>
      </c>
      <c r="Q68" s="44" t="str">
        <f>_xlfn.IFNA(IF(VLOOKUP($D68,Organización_Modular!$F$10:$G$195,2,FALSE)=Q$23,Itinerario!W68," ")," ")</f>
        <v xml:space="preserve"> </v>
      </c>
      <c r="R68" s="44">
        <f>Organización_Modular!H54</f>
        <v>0</v>
      </c>
      <c r="S68" s="44">
        <f>Organización_Modular!I54</f>
        <v>0</v>
      </c>
      <c r="T68" s="82">
        <f t="shared" si="7"/>
        <v>0</v>
      </c>
      <c r="U68" s="44">
        <f t="shared" si="3"/>
        <v>0</v>
      </c>
      <c r="V68" s="44">
        <f t="shared" si="4"/>
        <v>0</v>
      </c>
      <c r="W68" s="82">
        <f t="shared" si="5"/>
        <v>0</v>
      </c>
      <c r="X68" s="87">
        <f t="shared" si="6"/>
        <v>0</v>
      </c>
    </row>
    <row r="69" spans="1:24" ht="18" hidden="1" customHeight="1" x14ac:dyDescent="0.2">
      <c r="A69" s="535"/>
      <c r="B69" s="397"/>
      <c r="C69" s="538"/>
      <c r="D69" s="537">
        <f>Organización_Modular!F55</f>
        <v>0</v>
      </c>
      <c r="E69" s="537"/>
      <c r="F69" s="44" t="str">
        <f>_xlfn.IFNA(IF(VLOOKUP($D69,Organización_Modular!$F$10:$G$195,2,FALSE)=F$23,Itinerario!T69," ")," ")</f>
        <v xml:space="preserve"> </v>
      </c>
      <c r="G69" s="44" t="str">
        <f>_xlfn.IFNA(IF(VLOOKUP($D69,Organización_Modular!$F$10:$G$195,2,FALSE)=G$23,Itinerario!W69," ")," ")</f>
        <v xml:space="preserve"> </v>
      </c>
      <c r="H69" s="44" t="str">
        <f>_xlfn.IFNA(IF(VLOOKUP($D69,Organización_Modular!$F$10:$G$195,2,FALSE)=H$23,Itinerario!T69," ")," ")</f>
        <v xml:space="preserve"> </v>
      </c>
      <c r="I69" s="44" t="str">
        <f>_xlfn.IFNA(IF(VLOOKUP($D69,Organización_Modular!$F$10:$G$195,2,FALSE)=I$23,Itinerario!W69," ")," ")</f>
        <v xml:space="preserve"> </v>
      </c>
      <c r="J69" s="44" t="str">
        <f>_xlfn.IFNA(IF(VLOOKUP($D69,Organización_Modular!$F$10:$G$195,2,FALSE)=J$23,Itinerario!T69," ")," ")</f>
        <v xml:space="preserve"> </v>
      </c>
      <c r="K69" s="44" t="str">
        <f>_xlfn.IFNA(IF(VLOOKUP($D69,Organización_Modular!$F$10:$G$195,2,FALSE)=K$23,Itinerario!W69," ")," ")</f>
        <v xml:space="preserve"> </v>
      </c>
      <c r="L69" s="44" t="str">
        <f>_xlfn.IFNA(IF(VLOOKUP($D69,Organización_Modular!$F$10:$G$195,2,FALSE)=L$23,Itinerario!T69," ")," ")</f>
        <v xml:space="preserve"> </v>
      </c>
      <c r="M69" s="44" t="str">
        <f>_xlfn.IFNA(IF(VLOOKUP($D69,Organización_Modular!$F$10:$G$195,2,FALSE)=M$23,Itinerario!W69," ")," ")</f>
        <v xml:space="preserve"> </v>
      </c>
      <c r="N69" s="44" t="str">
        <f>_xlfn.IFNA(IF(VLOOKUP($D69,Organización_Modular!$F$10:$G$195,2,FALSE)=N$23,Itinerario!T69," ")," ")</f>
        <v xml:space="preserve"> </v>
      </c>
      <c r="O69" s="44" t="str">
        <f>_xlfn.IFNA(IF(VLOOKUP($D69,Organización_Modular!$F$10:$G$195,2,FALSE)=O$23,Itinerario!W69," ")," ")</f>
        <v xml:space="preserve"> </v>
      </c>
      <c r="P69" s="44" t="str">
        <f>_xlfn.IFNA(IF(VLOOKUP($D69,Organización_Modular!$F$10:$G$195,2,FALSE)=P$23,Itinerario!T69," ")," ")</f>
        <v xml:space="preserve"> </v>
      </c>
      <c r="Q69" s="44" t="str">
        <f>_xlfn.IFNA(IF(VLOOKUP($D69,Organización_Modular!$F$10:$G$195,2,FALSE)=Q$23,Itinerario!W69," ")," ")</f>
        <v xml:space="preserve"> </v>
      </c>
      <c r="R69" s="44">
        <f>Organización_Modular!H55</f>
        <v>0</v>
      </c>
      <c r="S69" s="44">
        <f>Organización_Modular!I55</f>
        <v>0</v>
      </c>
      <c r="T69" s="82">
        <f t="shared" si="7"/>
        <v>0</v>
      </c>
      <c r="U69" s="44">
        <f t="shared" si="3"/>
        <v>0</v>
      </c>
      <c r="V69" s="44">
        <f t="shared" si="4"/>
        <v>0</v>
      </c>
      <c r="W69" s="82">
        <f t="shared" si="5"/>
        <v>0</v>
      </c>
      <c r="X69" s="87">
        <f t="shared" si="6"/>
        <v>0</v>
      </c>
    </row>
    <row r="70" spans="1:24" ht="18" hidden="1" customHeight="1" x14ac:dyDescent="0.2">
      <c r="A70" s="535"/>
      <c r="B70" s="397"/>
      <c r="C70" s="538"/>
      <c r="D70" s="537">
        <f>Organización_Modular!F56</f>
        <v>0</v>
      </c>
      <c r="E70" s="537"/>
      <c r="F70" s="44" t="str">
        <f>_xlfn.IFNA(IF(VLOOKUP($D70,Organización_Modular!$F$10:$G$195,2,FALSE)=F$23,Itinerario!T70," ")," ")</f>
        <v xml:space="preserve"> </v>
      </c>
      <c r="G70" s="44" t="str">
        <f>_xlfn.IFNA(IF(VLOOKUP($D70,Organización_Modular!$F$10:$G$195,2,FALSE)=G$23,Itinerario!W70," ")," ")</f>
        <v xml:space="preserve"> </v>
      </c>
      <c r="H70" s="44" t="str">
        <f>_xlfn.IFNA(IF(VLOOKUP($D70,Organización_Modular!$F$10:$G$195,2,FALSE)=H$23,Itinerario!T70," ")," ")</f>
        <v xml:space="preserve"> </v>
      </c>
      <c r="I70" s="44" t="str">
        <f>_xlfn.IFNA(IF(VLOOKUP($D70,Organización_Modular!$F$10:$G$195,2,FALSE)=I$23,Itinerario!W70," ")," ")</f>
        <v xml:space="preserve"> </v>
      </c>
      <c r="J70" s="44" t="str">
        <f>_xlfn.IFNA(IF(VLOOKUP($D70,Organización_Modular!$F$10:$G$195,2,FALSE)=J$23,Itinerario!T70," ")," ")</f>
        <v xml:space="preserve"> </v>
      </c>
      <c r="K70" s="44" t="str">
        <f>_xlfn.IFNA(IF(VLOOKUP($D70,Organización_Modular!$F$10:$G$195,2,FALSE)=K$23,Itinerario!W70," ")," ")</f>
        <v xml:space="preserve"> </v>
      </c>
      <c r="L70" s="44" t="str">
        <f>_xlfn.IFNA(IF(VLOOKUP($D70,Organización_Modular!$F$10:$G$195,2,FALSE)=L$23,Itinerario!T70," ")," ")</f>
        <v xml:space="preserve"> </v>
      </c>
      <c r="M70" s="44" t="str">
        <f>_xlfn.IFNA(IF(VLOOKUP($D70,Organización_Modular!$F$10:$G$195,2,FALSE)=M$23,Itinerario!W70," ")," ")</f>
        <v xml:space="preserve"> </v>
      </c>
      <c r="N70" s="44" t="str">
        <f>_xlfn.IFNA(IF(VLOOKUP($D70,Organización_Modular!$F$10:$G$195,2,FALSE)=N$23,Itinerario!T70," ")," ")</f>
        <v xml:space="preserve"> </v>
      </c>
      <c r="O70" s="44" t="str">
        <f>_xlfn.IFNA(IF(VLOOKUP($D70,Organización_Modular!$F$10:$G$195,2,FALSE)=O$23,Itinerario!W70," ")," ")</f>
        <v xml:space="preserve"> </v>
      </c>
      <c r="P70" s="44" t="str">
        <f>_xlfn.IFNA(IF(VLOOKUP($D70,Organización_Modular!$F$10:$G$195,2,FALSE)=P$23,Itinerario!T70," ")," ")</f>
        <v xml:space="preserve"> </v>
      </c>
      <c r="Q70" s="44" t="str">
        <f>_xlfn.IFNA(IF(VLOOKUP($D70,Organización_Modular!$F$10:$G$195,2,FALSE)=Q$23,Itinerario!W70," ")," ")</f>
        <v xml:space="preserve"> </v>
      </c>
      <c r="R70" s="44">
        <f>Organización_Modular!H56</f>
        <v>0</v>
      </c>
      <c r="S70" s="44">
        <f>Organización_Modular!I56</f>
        <v>0</v>
      </c>
      <c r="T70" s="82">
        <f t="shared" si="7"/>
        <v>0</v>
      </c>
      <c r="U70" s="44">
        <f t="shared" si="3"/>
        <v>0</v>
      </c>
      <c r="V70" s="44">
        <f t="shared" si="4"/>
        <v>0</v>
      </c>
      <c r="W70" s="82">
        <f t="shared" si="5"/>
        <v>0</v>
      </c>
      <c r="X70" s="87">
        <f t="shared" si="6"/>
        <v>0</v>
      </c>
    </row>
    <row r="71" spans="1:24" ht="18" hidden="1" customHeight="1" x14ac:dyDescent="0.2">
      <c r="A71" s="535"/>
      <c r="B71" s="397"/>
      <c r="C71" s="538"/>
      <c r="D71" s="537">
        <f>Organización_Modular!F57</f>
        <v>0</v>
      </c>
      <c r="E71" s="537"/>
      <c r="F71" s="44" t="str">
        <f>_xlfn.IFNA(IF(VLOOKUP($D71,Organización_Modular!$F$10:$G$195,2,FALSE)=F$23,Itinerario!T71," ")," ")</f>
        <v xml:space="preserve"> </v>
      </c>
      <c r="G71" s="44" t="str">
        <f>_xlfn.IFNA(IF(VLOOKUP($D71,Organización_Modular!$F$10:$G$195,2,FALSE)=G$23,Itinerario!W71," ")," ")</f>
        <v xml:space="preserve"> </v>
      </c>
      <c r="H71" s="44" t="str">
        <f>_xlfn.IFNA(IF(VLOOKUP($D71,Organización_Modular!$F$10:$G$195,2,FALSE)=H$23,Itinerario!T71," ")," ")</f>
        <v xml:space="preserve"> </v>
      </c>
      <c r="I71" s="44" t="str">
        <f>_xlfn.IFNA(IF(VLOOKUP($D71,Organización_Modular!$F$10:$G$195,2,FALSE)=I$23,Itinerario!W71," ")," ")</f>
        <v xml:space="preserve"> </v>
      </c>
      <c r="J71" s="44" t="str">
        <f>_xlfn.IFNA(IF(VLOOKUP($D71,Organización_Modular!$F$10:$G$195,2,FALSE)=J$23,Itinerario!T71," ")," ")</f>
        <v xml:space="preserve"> </v>
      </c>
      <c r="K71" s="44" t="str">
        <f>_xlfn.IFNA(IF(VLOOKUP($D71,Organización_Modular!$F$10:$G$195,2,FALSE)=K$23,Itinerario!W71," ")," ")</f>
        <v xml:space="preserve"> </v>
      </c>
      <c r="L71" s="44" t="str">
        <f>_xlfn.IFNA(IF(VLOOKUP($D71,Organización_Modular!$F$10:$G$195,2,FALSE)=L$23,Itinerario!T71," ")," ")</f>
        <v xml:space="preserve"> </v>
      </c>
      <c r="M71" s="44" t="str">
        <f>_xlfn.IFNA(IF(VLOOKUP($D71,Organización_Modular!$F$10:$G$195,2,FALSE)=M$23,Itinerario!W71," ")," ")</f>
        <v xml:space="preserve"> </v>
      </c>
      <c r="N71" s="44" t="str">
        <f>_xlfn.IFNA(IF(VLOOKUP($D71,Organización_Modular!$F$10:$G$195,2,FALSE)=N$23,Itinerario!T71," ")," ")</f>
        <v xml:space="preserve"> </v>
      </c>
      <c r="O71" s="44" t="str">
        <f>_xlfn.IFNA(IF(VLOOKUP($D71,Organización_Modular!$F$10:$G$195,2,FALSE)=O$23,Itinerario!W71," ")," ")</f>
        <v xml:space="preserve"> </v>
      </c>
      <c r="P71" s="44" t="str">
        <f>_xlfn.IFNA(IF(VLOOKUP($D71,Organización_Modular!$F$10:$G$195,2,FALSE)=P$23,Itinerario!T71," ")," ")</f>
        <v xml:space="preserve"> </v>
      </c>
      <c r="Q71" s="44" t="str">
        <f>_xlfn.IFNA(IF(VLOOKUP($D71,Organización_Modular!$F$10:$G$195,2,FALSE)=Q$23,Itinerario!W71," ")," ")</f>
        <v xml:space="preserve"> </v>
      </c>
      <c r="R71" s="44">
        <f>Organización_Modular!H57</f>
        <v>0</v>
      </c>
      <c r="S71" s="44">
        <f>Organización_Modular!I57</f>
        <v>0</v>
      </c>
      <c r="T71" s="82">
        <f t="shared" si="7"/>
        <v>0</v>
      </c>
      <c r="U71" s="44">
        <f t="shared" si="3"/>
        <v>0</v>
      </c>
      <c r="V71" s="44">
        <f t="shared" si="4"/>
        <v>0</v>
      </c>
      <c r="W71" s="82">
        <f t="shared" si="5"/>
        <v>0</v>
      </c>
      <c r="X71" s="87">
        <f t="shared" si="6"/>
        <v>0</v>
      </c>
    </row>
    <row r="72" spans="1:24" ht="18" hidden="1" customHeight="1" x14ac:dyDescent="0.2">
      <c r="A72" s="535"/>
      <c r="B72" s="397"/>
      <c r="C72" s="538"/>
      <c r="D72" s="537">
        <f>Organización_Modular!F58</f>
        <v>0</v>
      </c>
      <c r="E72" s="537"/>
      <c r="F72" s="44" t="str">
        <f>_xlfn.IFNA(IF(VLOOKUP($D72,Organización_Modular!$F$10:$G$195,2,FALSE)=F$23,Itinerario!T72," ")," ")</f>
        <v xml:space="preserve"> </v>
      </c>
      <c r="G72" s="44" t="str">
        <f>_xlfn.IFNA(IF(VLOOKUP($D72,Organización_Modular!$F$10:$G$195,2,FALSE)=G$23,Itinerario!W72," ")," ")</f>
        <v xml:space="preserve"> </v>
      </c>
      <c r="H72" s="44" t="str">
        <f>_xlfn.IFNA(IF(VLOOKUP($D72,Organización_Modular!$F$10:$G$195,2,FALSE)=H$23,Itinerario!T72," ")," ")</f>
        <v xml:space="preserve"> </v>
      </c>
      <c r="I72" s="44" t="str">
        <f>_xlfn.IFNA(IF(VLOOKUP($D72,Organización_Modular!$F$10:$G$195,2,FALSE)=I$23,Itinerario!W72," ")," ")</f>
        <v xml:space="preserve"> </v>
      </c>
      <c r="J72" s="44" t="str">
        <f>_xlfn.IFNA(IF(VLOOKUP($D72,Organización_Modular!$F$10:$G$195,2,FALSE)=J$23,Itinerario!T72," ")," ")</f>
        <v xml:space="preserve"> </v>
      </c>
      <c r="K72" s="44" t="str">
        <f>_xlfn.IFNA(IF(VLOOKUP($D72,Organización_Modular!$F$10:$G$195,2,FALSE)=K$23,Itinerario!W72," ")," ")</f>
        <v xml:space="preserve"> </v>
      </c>
      <c r="L72" s="44" t="str">
        <f>_xlfn.IFNA(IF(VLOOKUP($D72,Organización_Modular!$F$10:$G$195,2,FALSE)=L$23,Itinerario!T72," ")," ")</f>
        <v xml:space="preserve"> </v>
      </c>
      <c r="M72" s="44" t="str">
        <f>_xlfn.IFNA(IF(VLOOKUP($D72,Organización_Modular!$F$10:$G$195,2,FALSE)=M$23,Itinerario!W72," ")," ")</f>
        <v xml:space="preserve"> </v>
      </c>
      <c r="N72" s="44" t="str">
        <f>_xlfn.IFNA(IF(VLOOKUP($D72,Organización_Modular!$F$10:$G$195,2,FALSE)=N$23,Itinerario!T72," ")," ")</f>
        <v xml:space="preserve"> </v>
      </c>
      <c r="O72" s="44" t="str">
        <f>_xlfn.IFNA(IF(VLOOKUP($D72,Organización_Modular!$F$10:$G$195,2,FALSE)=O$23,Itinerario!W72," ")," ")</f>
        <v xml:space="preserve"> </v>
      </c>
      <c r="P72" s="44" t="str">
        <f>_xlfn.IFNA(IF(VLOOKUP($D72,Organización_Modular!$F$10:$G$195,2,FALSE)=P$23,Itinerario!T72," ")," ")</f>
        <v xml:space="preserve"> </v>
      </c>
      <c r="Q72" s="44" t="str">
        <f>_xlfn.IFNA(IF(VLOOKUP($D72,Organización_Modular!$F$10:$G$195,2,FALSE)=Q$23,Itinerario!W72," ")," ")</f>
        <v xml:space="preserve"> </v>
      </c>
      <c r="R72" s="44">
        <f>Organización_Modular!H58</f>
        <v>0</v>
      </c>
      <c r="S72" s="44">
        <f>Organización_Modular!I58</f>
        <v>0</v>
      </c>
      <c r="T72" s="82">
        <f t="shared" si="7"/>
        <v>0</v>
      </c>
      <c r="U72" s="44">
        <f t="shared" si="3"/>
        <v>0</v>
      </c>
      <c r="V72" s="44">
        <f t="shared" si="4"/>
        <v>0</v>
      </c>
      <c r="W72" s="82">
        <f t="shared" si="5"/>
        <v>0</v>
      </c>
      <c r="X72" s="87">
        <f t="shared" si="6"/>
        <v>0</v>
      </c>
    </row>
    <row r="73" spans="1:24" ht="18" hidden="1" customHeight="1" x14ac:dyDescent="0.2">
      <c r="A73" s="535"/>
      <c r="B73" s="397"/>
      <c r="C73" s="538"/>
      <c r="D73" s="537">
        <f>Organización_Modular!F59</f>
        <v>0</v>
      </c>
      <c r="E73" s="537"/>
      <c r="F73" s="44" t="str">
        <f>_xlfn.IFNA(IF(VLOOKUP($D73,Organización_Modular!$F$10:$G$195,2,FALSE)=F$23,Itinerario!T73," ")," ")</f>
        <v xml:space="preserve"> </v>
      </c>
      <c r="G73" s="44" t="str">
        <f>_xlfn.IFNA(IF(VLOOKUP($D73,Organización_Modular!$F$10:$G$195,2,FALSE)=G$23,Itinerario!W73," ")," ")</f>
        <v xml:space="preserve"> </v>
      </c>
      <c r="H73" s="44" t="str">
        <f>_xlfn.IFNA(IF(VLOOKUP($D73,Organización_Modular!$F$10:$G$195,2,FALSE)=H$23,Itinerario!T73," ")," ")</f>
        <v xml:space="preserve"> </v>
      </c>
      <c r="I73" s="44" t="str">
        <f>_xlfn.IFNA(IF(VLOOKUP($D73,Organización_Modular!$F$10:$G$195,2,FALSE)=I$23,Itinerario!W73," ")," ")</f>
        <v xml:space="preserve"> </v>
      </c>
      <c r="J73" s="44" t="str">
        <f>_xlfn.IFNA(IF(VLOOKUP($D73,Organización_Modular!$F$10:$G$195,2,FALSE)=J$23,Itinerario!T73," ")," ")</f>
        <v xml:space="preserve"> </v>
      </c>
      <c r="K73" s="44" t="str">
        <f>_xlfn.IFNA(IF(VLOOKUP($D73,Organización_Modular!$F$10:$G$195,2,FALSE)=K$23,Itinerario!W73," ")," ")</f>
        <v xml:space="preserve"> </v>
      </c>
      <c r="L73" s="44" t="str">
        <f>_xlfn.IFNA(IF(VLOOKUP($D73,Organización_Modular!$F$10:$G$195,2,FALSE)=L$23,Itinerario!T73," ")," ")</f>
        <v xml:space="preserve"> </v>
      </c>
      <c r="M73" s="44" t="str">
        <f>_xlfn.IFNA(IF(VLOOKUP($D73,Organización_Modular!$F$10:$G$195,2,FALSE)=M$23,Itinerario!W73," ")," ")</f>
        <v xml:space="preserve"> </v>
      </c>
      <c r="N73" s="44" t="str">
        <f>_xlfn.IFNA(IF(VLOOKUP($D73,Organización_Modular!$F$10:$G$195,2,FALSE)=N$23,Itinerario!T73," ")," ")</f>
        <v xml:space="preserve"> </v>
      </c>
      <c r="O73" s="44" t="str">
        <f>_xlfn.IFNA(IF(VLOOKUP($D73,Organización_Modular!$F$10:$G$195,2,FALSE)=O$23,Itinerario!W73," ")," ")</f>
        <v xml:space="preserve"> </v>
      </c>
      <c r="P73" s="44" t="str">
        <f>_xlfn.IFNA(IF(VLOOKUP($D73,Organización_Modular!$F$10:$G$195,2,FALSE)=P$23,Itinerario!T73," ")," ")</f>
        <v xml:space="preserve"> </v>
      </c>
      <c r="Q73" s="44" t="str">
        <f>_xlfn.IFNA(IF(VLOOKUP($D73,Organización_Modular!$F$10:$G$195,2,FALSE)=Q$23,Itinerario!W73," ")," ")</f>
        <v xml:space="preserve"> </v>
      </c>
      <c r="R73" s="44">
        <f>Organización_Modular!H59</f>
        <v>0</v>
      </c>
      <c r="S73" s="44">
        <f>Organización_Modular!I59</f>
        <v>0</v>
      </c>
      <c r="T73" s="82">
        <f t="shared" si="7"/>
        <v>0</v>
      </c>
      <c r="U73" s="44">
        <f t="shared" si="3"/>
        <v>0</v>
      </c>
      <c r="V73" s="44">
        <f t="shared" si="4"/>
        <v>0</v>
      </c>
      <c r="W73" s="82">
        <f t="shared" si="5"/>
        <v>0</v>
      </c>
      <c r="X73" s="87">
        <f t="shared" si="6"/>
        <v>0</v>
      </c>
    </row>
    <row r="74" spans="1:24" ht="18" hidden="1" customHeight="1" x14ac:dyDescent="0.2">
      <c r="A74" s="535"/>
      <c r="B74" s="397"/>
      <c r="C74" s="538"/>
      <c r="D74" s="537">
        <f>Organización_Modular!F60</f>
        <v>0</v>
      </c>
      <c r="E74" s="537"/>
      <c r="F74" s="44" t="str">
        <f>_xlfn.IFNA(IF(VLOOKUP($D74,Organización_Modular!$F$10:$G$195,2,FALSE)=F$23,Itinerario!T74," ")," ")</f>
        <v xml:space="preserve"> </v>
      </c>
      <c r="G74" s="44" t="str">
        <f>_xlfn.IFNA(IF(VLOOKUP($D74,Organización_Modular!$F$10:$G$195,2,FALSE)=G$23,Itinerario!W74," ")," ")</f>
        <v xml:space="preserve"> </v>
      </c>
      <c r="H74" s="44" t="str">
        <f>_xlfn.IFNA(IF(VLOOKUP($D74,Organización_Modular!$F$10:$G$195,2,FALSE)=H$23,Itinerario!T74," ")," ")</f>
        <v xml:space="preserve"> </v>
      </c>
      <c r="I74" s="44" t="str">
        <f>_xlfn.IFNA(IF(VLOOKUP($D74,Organización_Modular!$F$10:$G$195,2,FALSE)=I$23,Itinerario!W74," ")," ")</f>
        <v xml:space="preserve"> </v>
      </c>
      <c r="J74" s="44" t="str">
        <f>_xlfn.IFNA(IF(VLOOKUP($D74,Organización_Modular!$F$10:$G$195,2,FALSE)=J$23,Itinerario!T74," ")," ")</f>
        <v xml:space="preserve"> </v>
      </c>
      <c r="K74" s="44" t="str">
        <f>_xlfn.IFNA(IF(VLOOKUP($D74,Organización_Modular!$F$10:$G$195,2,FALSE)=K$23,Itinerario!W74," ")," ")</f>
        <v xml:space="preserve"> </v>
      </c>
      <c r="L74" s="44" t="str">
        <f>_xlfn.IFNA(IF(VLOOKUP($D74,Organización_Modular!$F$10:$G$195,2,FALSE)=L$23,Itinerario!T74," ")," ")</f>
        <v xml:space="preserve"> </v>
      </c>
      <c r="M74" s="44" t="str">
        <f>_xlfn.IFNA(IF(VLOOKUP($D74,Organización_Modular!$F$10:$G$195,2,FALSE)=M$23,Itinerario!W74," ")," ")</f>
        <v xml:space="preserve"> </v>
      </c>
      <c r="N74" s="44" t="str">
        <f>_xlfn.IFNA(IF(VLOOKUP($D74,Organización_Modular!$F$10:$G$195,2,FALSE)=N$23,Itinerario!T74," ")," ")</f>
        <v xml:space="preserve"> </v>
      </c>
      <c r="O74" s="44" t="str">
        <f>_xlfn.IFNA(IF(VLOOKUP($D74,Organización_Modular!$F$10:$G$195,2,FALSE)=O$23,Itinerario!W74," ")," ")</f>
        <v xml:space="preserve"> </v>
      </c>
      <c r="P74" s="44" t="str">
        <f>_xlfn.IFNA(IF(VLOOKUP($D74,Organización_Modular!$F$10:$G$195,2,FALSE)=P$23,Itinerario!T74," ")," ")</f>
        <v xml:space="preserve"> </v>
      </c>
      <c r="Q74" s="44" t="str">
        <f>_xlfn.IFNA(IF(VLOOKUP($D74,Organización_Modular!$F$10:$G$195,2,FALSE)=Q$23,Itinerario!W74," ")," ")</f>
        <v xml:space="preserve"> </v>
      </c>
      <c r="R74" s="44">
        <f>Organización_Modular!H60</f>
        <v>0</v>
      </c>
      <c r="S74" s="44">
        <f>Organización_Modular!I60</f>
        <v>0</v>
      </c>
      <c r="T74" s="82">
        <f t="shared" si="7"/>
        <v>0</v>
      </c>
      <c r="U74" s="44">
        <f t="shared" si="3"/>
        <v>0</v>
      </c>
      <c r="V74" s="44">
        <f t="shared" si="4"/>
        <v>0</v>
      </c>
      <c r="W74" s="82">
        <f t="shared" si="5"/>
        <v>0</v>
      </c>
      <c r="X74" s="87">
        <f t="shared" si="6"/>
        <v>0</v>
      </c>
    </row>
    <row r="75" spans="1:24" ht="140.25" customHeight="1" x14ac:dyDescent="0.2">
      <c r="A75" s="535"/>
      <c r="B75" s="398" t="str">
        <f>B44</f>
        <v>Competencias para la empleabilidad</v>
      </c>
      <c r="C75" s="538" t="str">
        <f>Organización_Modular!C61</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D75" s="537" t="str">
        <f>Organización_Modular!F61</f>
        <v>Plan de Negocios</v>
      </c>
      <c r="E75" s="537"/>
      <c r="F75" s="44" t="str">
        <f>_xlfn.IFNA(IF(VLOOKUP($D75,Organización_Modular!$F$10:$G$195,2,FALSE)=F$23,Itinerario!T75," ")," ")</f>
        <v xml:space="preserve"> </v>
      </c>
      <c r="G75" s="44" t="str">
        <f>_xlfn.IFNA(IF(VLOOKUP($D75,Organización_Modular!$F$10:$G$195,2,FALSE)=G$23,Itinerario!W75," ")," ")</f>
        <v xml:space="preserve"> </v>
      </c>
      <c r="H75" s="44">
        <f>_xlfn.IFNA(IF(VLOOKUP($D75,Organización_Modular!$F$10:$G$195,2,FALSE)=H$23,Itinerario!T75," ")," ")</f>
        <v>2</v>
      </c>
      <c r="I75" s="44">
        <f>_xlfn.IFNA(IF(VLOOKUP($D75,Organización_Modular!$F$10:$G$195,2,FALSE)=I$23,Itinerario!W75," ")," ")</f>
        <v>48</v>
      </c>
      <c r="J75" s="44" t="str">
        <f>_xlfn.IFNA(IF(VLOOKUP($D75,Organización_Modular!$F$10:$G$195,2,FALSE)=J$23,Itinerario!T75," ")," ")</f>
        <v xml:space="preserve"> </v>
      </c>
      <c r="K75" s="44" t="str">
        <f>_xlfn.IFNA(IF(VLOOKUP($D75,Organización_Modular!$F$10:$G$195,2,FALSE)=K$23,Itinerario!W75," ")," ")</f>
        <v xml:space="preserve"> </v>
      </c>
      <c r="L75" s="44" t="str">
        <f>_xlfn.IFNA(IF(VLOOKUP($D75,Organización_Modular!$F$10:$G$195,2,FALSE)=L$23,Itinerario!T75," ")," ")</f>
        <v xml:space="preserve"> </v>
      </c>
      <c r="M75" s="44" t="str">
        <f>_xlfn.IFNA(IF(VLOOKUP($D75,Organización_Modular!$F$10:$G$195,2,FALSE)=M$23,Itinerario!W75," ")," ")</f>
        <v xml:space="preserve"> </v>
      </c>
      <c r="N75" s="44" t="str">
        <f>_xlfn.IFNA(IF(VLOOKUP($D75,Organización_Modular!$F$10:$G$195,2,FALSE)=N$23,Itinerario!T75," ")," ")</f>
        <v xml:space="preserve"> </v>
      </c>
      <c r="O75" s="44" t="str">
        <f>_xlfn.IFNA(IF(VLOOKUP($D75,Organización_Modular!$F$10:$G$195,2,FALSE)=O$23,Itinerario!W75," ")," ")</f>
        <v xml:space="preserve"> </v>
      </c>
      <c r="P75" s="44" t="str">
        <f>_xlfn.IFNA(IF(VLOOKUP($D75,Organización_Modular!$F$10:$G$195,2,FALSE)=P$23,Itinerario!T75," ")," ")</f>
        <v xml:space="preserve"> </v>
      </c>
      <c r="Q75" s="44" t="str">
        <f>_xlfn.IFNA(IF(VLOOKUP($D75,Organización_Modular!$F$10:$G$195,2,FALSE)=Q$23,Itinerario!W75," ")," ")</f>
        <v xml:space="preserve"> </v>
      </c>
      <c r="R75" s="44">
        <f>Organización_Modular!H61</f>
        <v>1</v>
      </c>
      <c r="S75" s="44">
        <f>Organización_Modular!I61</f>
        <v>1</v>
      </c>
      <c r="T75" s="82">
        <f t="shared" si="7"/>
        <v>2</v>
      </c>
      <c r="U75" s="44">
        <f t="shared" si="3"/>
        <v>16</v>
      </c>
      <c r="V75" s="44">
        <f t="shared" si="4"/>
        <v>32</v>
      </c>
      <c r="W75" s="82">
        <f t="shared" si="5"/>
        <v>48</v>
      </c>
      <c r="X75" s="87">
        <f t="shared" si="6"/>
        <v>48</v>
      </c>
    </row>
    <row r="76" spans="1:24" ht="180" customHeight="1" x14ac:dyDescent="0.2">
      <c r="A76" s="535"/>
      <c r="B76" s="398"/>
      <c r="C76" s="538"/>
      <c r="D76" s="537" t="str">
        <f>Organización_Modular!F62</f>
        <v>Comportamiento ético</v>
      </c>
      <c r="E76" s="537"/>
      <c r="F76" s="44" t="str">
        <f>_xlfn.IFNA(IF(VLOOKUP($D76,Organización_Modular!$F$10:$G$195,2,FALSE)=F$23,Itinerario!T76," ")," ")</f>
        <v xml:space="preserve"> </v>
      </c>
      <c r="G76" s="44" t="str">
        <f>_xlfn.IFNA(IF(VLOOKUP($D76,Organización_Modular!$F$10:$G$195,2,FALSE)=G$23,Itinerario!W76," ")," ")</f>
        <v xml:space="preserve"> </v>
      </c>
      <c r="H76" s="44">
        <f>_xlfn.IFNA(IF(VLOOKUP($D76,Organización_Modular!$F$10:$G$195,2,FALSE)=H$23,Itinerario!T76," ")," ")</f>
        <v>2</v>
      </c>
      <c r="I76" s="44">
        <f>_xlfn.IFNA(IF(VLOOKUP($D76,Organización_Modular!$F$10:$G$195,2,FALSE)=I$23,Itinerario!W76," ")," ")</f>
        <v>48</v>
      </c>
      <c r="J76" s="44" t="str">
        <f>_xlfn.IFNA(IF(VLOOKUP($D76,Organización_Modular!$F$10:$G$195,2,FALSE)=J$23,Itinerario!T76," ")," ")</f>
        <v xml:space="preserve"> </v>
      </c>
      <c r="K76" s="44" t="str">
        <f>_xlfn.IFNA(IF(VLOOKUP($D76,Organización_Modular!$F$10:$G$195,2,FALSE)=K$23,Itinerario!W76," ")," ")</f>
        <v xml:space="preserve"> </v>
      </c>
      <c r="L76" s="44" t="str">
        <f>_xlfn.IFNA(IF(VLOOKUP($D76,Organización_Modular!$F$10:$G$195,2,FALSE)=L$23,Itinerario!T76," ")," ")</f>
        <v xml:space="preserve"> </v>
      </c>
      <c r="M76" s="44" t="str">
        <f>_xlfn.IFNA(IF(VLOOKUP($D76,Organización_Modular!$F$10:$G$195,2,FALSE)=M$23,Itinerario!W76," ")," ")</f>
        <v xml:space="preserve"> </v>
      </c>
      <c r="N76" s="44" t="str">
        <f>_xlfn.IFNA(IF(VLOOKUP($D76,Organización_Modular!$F$10:$G$195,2,FALSE)=N$23,Itinerario!T76," ")," ")</f>
        <v xml:space="preserve"> </v>
      </c>
      <c r="O76" s="44" t="str">
        <f>_xlfn.IFNA(IF(VLOOKUP($D76,Organización_Modular!$F$10:$G$195,2,FALSE)=O$23,Itinerario!W76," ")," ")</f>
        <v xml:space="preserve"> </v>
      </c>
      <c r="P76" s="44" t="str">
        <f>_xlfn.IFNA(IF(VLOOKUP($D76,Organización_Modular!$F$10:$G$195,2,FALSE)=P$23,Itinerario!T76," ")," ")</f>
        <v xml:space="preserve"> </v>
      </c>
      <c r="Q76" s="44" t="str">
        <f>_xlfn.IFNA(IF(VLOOKUP($D76,Organización_Modular!$F$10:$G$195,2,FALSE)=Q$23,Itinerario!W76," ")," ")</f>
        <v xml:space="preserve"> </v>
      </c>
      <c r="R76" s="44">
        <f>Organización_Modular!H62</f>
        <v>1</v>
      </c>
      <c r="S76" s="44">
        <f>Organización_Modular!I62</f>
        <v>1</v>
      </c>
      <c r="T76" s="82">
        <f t="shared" si="7"/>
        <v>2</v>
      </c>
      <c r="U76" s="44">
        <f t="shared" si="3"/>
        <v>16</v>
      </c>
      <c r="V76" s="44">
        <f t="shared" si="4"/>
        <v>32</v>
      </c>
      <c r="W76" s="82">
        <f t="shared" si="5"/>
        <v>48</v>
      </c>
      <c r="X76" s="87">
        <f t="shared" si="6"/>
        <v>48</v>
      </c>
    </row>
    <row r="77" spans="1:24" ht="0.75" customHeight="1" x14ac:dyDescent="0.2">
      <c r="A77" s="535"/>
      <c r="B77" s="398"/>
      <c r="C77" s="538"/>
      <c r="D77" s="537"/>
      <c r="E77" s="537"/>
      <c r="F77" s="44" t="str">
        <f>_xlfn.IFNA(IF(VLOOKUP($D77,Organización_Modular!$F$10:$G$195,2,FALSE)=F$23,Itinerario!T77," ")," ")</f>
        <v xml:space="preserve"> </v>
      </c>
      <c r="G77" s="44" t="str">
        <f>_xlfn.IFNA(IF(VLOOKUP($D77,Organización_Modular!$F$10:$G$195,2,FALSE)=G$23,Itinerario!W77," ")," ")</f>
        <v xml:space="preserve"> </v>
      </c>
      <c r="H77" s="44" t="str">
        <f>_xlfn.IFNA(IF(VLOOKUP($D77,Organización_Modular!$F$10:$G$195,2,FALSE)=H$23,Itinerario!T77," ")," ")</f>
        <v xml:space="preserve"> </v>
      </c>
      <c r="I77" s="44" t="str">
        <f>_xlfn.IFNA(IF(VLOOKUP($D77,Organización_Modular!$F$10:$G$195,2,FALSE)=I$23,Itinerario!W77," ")," ")</f>
        <v xml:space="preserve"> </v>
      </c>
      <c r="J77" s="44" t="str">
        <f>_xlfn.IFNA(IF(VLOOKUP($D77,Organización_Modular!$F$10:$G$195,2,FALSE)=J$23,Itinerario!T77," ")," ")</f>
        <v xml:space="preserve"> </v>
      </c>
      <c r="K77" s="44" t="str">
        <f>_xlfn.IFNA(IF(VLOOKUP($D77,Organización_Modular!$F$10:$G$195,2,FALSE)=K$23,Itinerario!W77," ")," ")</f>
        <v xml:space="preserve"> </v>
      </c>
      <c r="L77" s="44" t="str">
        <f>_xlfn.IFNA(IF(VLOOKUP($D77,Organización_Modular!$F$10:$G$195,2,FALSE)=L$23,Itinerario!T77," ")," ")</f>
        <v xml:space="preserve"> </v>
      </c>
      <c r="M77" s="44" t="str">
        <f>_xlfn.IFNA(IF(VLOOKUP($D77,Organización_Modular!$F$10:$G$195,2,FALSE)=M$23,Itinerario!W77," ")," ")</f>
        <v xml:space="preserve"> </v>
      </c>
      <c r="N77" s="44" t="str">
        <f>_xlfn.IFNA(IF(VLOOKUP($D77,Organización_Modular!$F$10:$G$195,2,FALSE)=N$23,Itinerario!T77," ")," ")</f>
        <v xml:space="preserve"> </v>
      </c>
      <c r="O77" s="44" t="str">
        <f>_xlfn.IFNA(IF(VLOOKUP($D77,Organización_Modular!$F$10:$G$195,2,FALSE)=O$23,Itinerario!W77," ")," ")</f>
        <v xml:space="preserve"> </v>
      </c>
      <c r="P77" s="44" t="str">
        <f>_xlfn.IFNA(IF(VLOOKUP($D77,Organización_Modular!$F$10:$G$195,2,FALSE)=P$23,Itinerario!T77," ")," ")</f>
        <v xml:space="preserve"> </v>
      </c>
      <c r="Q77" s="44" t="str">
        <f>_xlfn.IFNA(IF(VLOOKUP($D77,Organización_Modular!$F$10:$G$195,2,FALSE)=Q$23,Itinerario!W77," ")," ")</f>
        <v xml:space="preserve"> </v>
      </c>
      <c r="R77" s="44"/>
      <c r="S77" s="44"/>
      <c r="T77" s="82"/>
      <c r="U77" s="44"/>
      <c r="V77" s="44"/>
      <c r="W77" s="82"/>
      <c r="X77" s="87">
        <f t="shared" si="6"/>
        <v>0</v>
      </c>
    </row>
    <row r="78" spans="1:24" ht="18" hidden="1" customHeight="1" x14ac:dyDescent="0.2">
      <c r="A78" s="535"/>
      <c r="B78" s="398"/>
      <c r="C78" s="538"/>
      <c r="D78" s="537">
        <f>Organización_Modular!F64</f>
        <v>0</v>
      </c>
      <c r="E78" s="537"/>
      <c r="F78" s="44" t="str">
        <f>_xlfn.IFNA(IF(VLOOKUP($D78,Organización_Modular!$F$10:$G$195,2,FALSE)=F$23,Itinerario!T78," ")," ")</f>
        <v xml:space="preserve"> </v>
      </c>
      <c r="G78" s="44" t="str">
        <f>_xlfn.IFNA(IF(VLOOKUP($D78,Organización_Modular!$F$10:$G$195,2,FALSE)=G$23,Itinerario!W78," ")," ")</f>
        <v xml:space="preserve"> </v>
      </c>
      <c r="H78" s="44" t="str">
        <f>_xlfn.IFNA(IF(VLOOKUP($D78,Organización_Modular!$F$10:$G$195,2,FALSE)=H$23,Itinerario!T78," ")," ")</f>
        <v xml:space="preserve"> </v>
      </c>
      <c r="I78" s="44" t="str">
        <f>_xlfn.IFNA(IF(VLOOKUP($D78,Organización_Modular!$F$10:$G$195,2,FALSE)=I$23,Itinerario!W78," ")," ")</f>
        <v xml:space="preserve"> </v>
      </c>
      <c r="J78" s="44" t="str">
        <f>_xlfn.IFNA(IF(VLOOKUP($D78,Organización_Modular!$F$10:$G$195,2,FALSE)=J$23,Itinerario!T78," ")," ")</f>
        <v xml:space="preserve"> </v>
      </c>
      <c r="K78" s="44" t="str">
        <f>_xlfn.IFNA(IF(VLOOKUP($D78,Organización_Modular!$F$10:$G$195,2,FALSE)=K$23,Itinerario!W78," ")," ")</f>
        <v xml:space="preserve"> </v>
      </c>
      <c r="L78" s="44" t="str">
        <f>_xlfn.IFNA(IF(VLOOKUP($D78,Organización_Modular!$F$10:$G$195,2,FALSE)=L$23,Itinerario!T78," ")," ")</f>
        <v xml:space="preserve"> </v>
      </c>
      <c r="M78" s="44" t="str">
        <f>_xlfn.IFNA(IF(VLOOKUP($D78,Organización_Modular!$F$10:$G$195,2,FALSE)=M$23,Itinerario!W78," ")," ")</f>
        <v xml:space="preserve"> </v>
      </c>
      <c r="N78" s="44" t="str">
        <f>_xlfn.IFNA(IF(VLOOKUP($D78,Organización_Modular!$F$10:$G$195,2,FALSE)=N$23,Itinerario!T78," ")," ")</f>
        <v xml:space="preserve"> </v>
      </c>
      <c r="O78" s="44" t="str">
        <f>_xlfn.IFNA(IF(VLOOKUP($D78,Organización_Modular!$F$10:$G$195,2,FALSE)=O$23,Itinerario!W78," ")," ")</f>
        <v xml:space="preserve"> </v>
      </c>
      <c r="P78" s="44" t="str">
        <f>_xlfn.IFNA(IF(VLOOKUP($D78,Organización_Modular!$F$10:$G$195,2,FALSE)=P$23,Itinerario!T78," ")," ")</f>
        <v xml:space="preserve"> </v>
      </c>
      <c r="Q78" s="44" t="str">
        <f>_xlfn.IFNA(IF(VLOOKUP($D78,Organización_Modular!$F$10:$G$195,2,FALSE)=Q$23,Itinerario!W78," ")," ")</f>
        <v xml:space="preserve"> </v>
      </c>
      <c r="R78" s="44">
        <f>Organización_Modular!H64</f>
        <v>0</v>
      </c>
      <c r="S78" s="44">
        <f>Organización_Modular!I64</f>
        <v>0</v>
      </c>
      <c r="T78" s="82">
        <f t="shared" si="7"/>
        <v>0</v>
      </c>
      <c r="U78" s="44">
        <f t="shared" si="3"/>
        <v>0</v>
      </c>
      <c r="V78" s="44">
        <f t="shared" si="4"/>
        <v>0</v>
      </c>
      <c r="W78" s="82">
        <f t="shared" si="5"/>
        <v>0</v>
      </c>
      <c r="X78" s="87">
        <f t="shared" si="6"/>
        <v>0</v>
      </c>
    </row>
    <row r="79" spans="1:24" ht="18" hidden="1" customHeight="1" x14ac:dyDescent="0.2">
      <c r="A79" s="535"/>
      <c r="B79" s="398"/>
      <c r="C79" s="538"/>
      <c r="D79" s="537">
        <f>Organización_Modular!F65</f>
        <v>0</v>
      </c>
      <c r="E79" s="537"/>
      <c r="F79" s="44" t="str">
        <f>_xlfn.IFNA(IF(VLOOKUP($D79,Organización_Modular!$F$10:$G$195,2,FALSE)=F$23,Itinerario!T79," ")," ")</f>
        <v xml:space="preserve"> </v>
      </c>
      <c r="G79" s="44" t="str">
        <f>_xlfn.IFNA(IF(VLOOKUP($D79,Organización_Modular!$F$10:$G$195,2,FALSE)=G$23,Itinerario!W79," ")," ")</f>
        <v xml:space="preserve"> </v>
      </c>
      <c r="H79" s="44" t="str">
        <f>_xlfn.IFNA(IF(VLOOKUP($D79,Organización_Modular!$F$10:$G$195,2,FALSE)=H$23,Itinerario!T79," ")," ")</f>
        <v xml:space="preserve"> </v>
      </c>
      <c r="I79" s="44" t="str">
        <f>_xlfn.IFNA(IF(VLOOKUP($D79,Organización_Modular!$F$10:$G$195,2,FALSE)=I$23,Itinerario!W79," ")," ")</f>
        <v xml:space="preserve"> </v>
      </c>
      <c r="J79" s="44" t="str">
        <f>_xlfn.IFNA(IF(VLOOKUP($D79,Organización_Modular!$F$10:$G$195,2,FALSE)=J$23,Itinerario!T79," ")," ")</f>
        <v xml:space="preserve"> </v>
      </c>
      <c r="K79" s="44" t="str">
        <f>_xlfn.IFNA(IF(VLOOKUP($D79,Organización_Modular!$F$10:$G$195,2,FALSE)=K$23,Itinerario!W79," ")," ")</f>
        <v xml:space="preserve"> </v>
      </c>
      <c r="L79" s="44" t="str">
        <f>_xlfn.IFNA(IF(VLOOKUP($D79,Organización_Modular!$F$10:$G$195,2,FALSE)=L$23,Itinerario!T79," ")," ")</f>
        <v xml:space="preserve"> </v>
      </c>
      <c r="M79" s="44" t="str">
        <f>_xlfn.IFNA(IF(VLOOKUP($D79,Organización_Modular!$F$10:$G$195,2,FALSE)=M$23,Itinerario!W79," ")," ")</f>
        <v xml:space="preserve"> </v>
      </c>
      <c r="N79" s="44" t="str">
        <f>_xlfn.IFNA(IF(VLOOKUP($D79,Organización_Modular!$F$10:$G$195,2,FALSE)=N$23,Itinerario!T79," ")," ")</f>
        <v xml:space="preserve"> </v>
      </c>
      <c r="O79" s="44" t="str">
        <f>_xlfn.IFNA(IF(VLOOKUP($D79,Organización_Modular!$F$10:$G$195,2,FALSE)=O$23,Itinerario!W79," ")," ")</f>
        <v xml:space="preserve"> </v>
      </c>
      <c r="P79" s="44" t="str">
        <f>_xlfn.IFNA(IF(VLOOKUP($D79,Organización_Modular!$F$10:$G$195,2,FALSE)=P$23,Itinerario!T79," ")," ")</f>
        <v xml:space="preserve"> </v>
      </c>
      <c r="Q79" s="44" t="str">
        <f>_xlfn.IFNA(IF(VLOOKUP($D79,Organización_Modular!$F$10:$G$195,2,FALSE)=Q$23,Itinerario!W79," ")," ")</f>
        <v xml:space="preserve"> </v>
      </c>
      <c r="R79" s="44">
        <f>Organización_Modular!H65</f>
        <v>0</v>
      </c>
      <c r="S79" s="44">
        <f>Organización_Modular!I65</f>
        <v>0</v>
      </c>
      <c r="T79" s="82">
        <f t="shared" si="7"/>
        <v>0</v>
      </c>
      <c r="U79" s="44">
        <f t="shared" si="3"/>
        <v>0</v>
      </c>
      <c r="V79" s="44">
        <f t="shared" si="4"/>
        <v>0</v>
      </c>
      <c r="W79" s="82">
        <f t="shared" si="5"/>
        <v>0</v>
      </c>
      <c r="X79" s="87">
        <f t="shared" si="6"/>
        <v>0</v>
      </c>
    </row>
    <row r="80" spans="1:24" ht="18" hidden="1" customHeight="1" x14ac:dyDescent="0.2">
      <c r="A80" s="535"/>
      <c r="B80" s="398"/>
      <c r="C80" s="538"/>
      <c r="D80" s="537">
        <f>Organización_Modular!F66</f>
        <v>0</v>
      </c>
      <c r="E80" s="537"/>
      <c r="F80" s="44" t="str">
        <f>_xlfn.IFNA(IF(VLOOKUP($D80,Organización_Modular!$F$10:$G$195,2,FALSE)=F$23,Itinerario!T80," ")," ")</f>
        <v xml:space="preserve"> </v>
      </c>
      <c r="G80" s="44" t="str">
        <f>_xlfn.IFNA(IF(VLOOKUP($D80,Organización_Modular!$F$10:$G$195,2,FALSE)=G$23,Itinerario!W80," ")," ")</f>
        <v xml:space="preserve"> </v>
      </c>
      <c r="H80" s="44" t="str">
        <f>_xlfn.IFNA(IF(VLOOKUP($D80,Organización_Modular!$F$10:$G$195,2,FALSE)=H$23,Itinerario!T80," ")," ")</f>
        <v xml:space="preserve"> </v>
      </c>
      <c r="I80" s="44" t="str">
        <f>_xlfn.IFNA(IF(VLOOKUP($D80,Organización_Modular!$F$10:$G$195,2,FALSE)=I$23,Itinerario!W80," ")," ")</f>
        <v xml:space="preserve"> </v>
      </c>
      <c r="J80" s="44" t="str">
        <f>_xlfn.IFNA(IF(VLOOKUP($D80,Organización_Modular!$F$10:$G$195,2,FALSE)=J$23,Itinerario!T80," ")," ")</f>
        <v xml:space="preserve"> </v>
      </c>
      <c r="K80" s="44" t="str">
        <f>_xlfn.IFNA(IF(VLOOKUP($D80,Organización_Modular!$F$10:$G$195,2,FALSE)=K$23,Itinerario!W80," ")," ")</f>
        <v xml:space="preserve"> </v>
      </c>
      <c r="L80" s="44" t="str">
        <f>_xlfn.IFNA(IF(VLOOKUP($D80,Organización_Modular!$F$10:$G$195,2,FALSE)=L$23,Itinerario!T80," ")," ")</f>
        <v xml:space="preserve"> </v>
      </c>
      <c r="M80" s="44" t="str">
        <f>_xlfn.IFNA(IF(VLOOKUP($D80,Organización_Modular!$F$10:$G$195,2,FALSE)=M$23,Itinerario!W80," ")," ")</f>
        <v xml:space="preserve"> </v>
      </c>
      <c r="N80" s="44" t="str">
        <f>_xlfn.IFNA(IF(VLOOKUP($D80,Organización_Modular!$F$10:$G$195,2,FALSE)=N$23,Itinerario!T80," ")," ")</f>
        <v xml:space="preserve"> </v>
      </c>
      <c r="O80" s="44" t="str">
        <f>_xlfn.IFNA(IF(VLOOKUP($D80,Organización_Modular!$F$10:$G$195,2,FALSE)=O$23,Itinerario!W80," ")," ")</f>
        <v xml:space="preserve"> </v>
      </c>
      <c r="P80" s="44" t="str">
        <f>_xlfn.IFNA(IF(VLOOKUP($D80,Organización_Modular!$F$10:$G$195,2,FALSE)=P$23,Itinerario!T80," ")," ")</f>
        <v xml:space="preserve"> </v>
      </c>
      <c r="Q80" s="44" t="str">
        <f>_xlfn.IFNA(IF(VLOOKUP($D80,Organización_Modular!$F$10:$G$195,2,FALSE)=Q$23,Itinerario!W80," ")," ")</f>
        <v xml:space="preserve"> </v>
      </c>
      <c r="R80" s="44">
        <f>Organización_Modular!H66</f>
        <v>0</v>
      </c>
      <c r="S80" s="44">
        <f>Organización_Modular!I66</f>
        <v>0</v>
      </c>
      <c r="T80" s="82">
        <f t="shared" si="7"/>
        <v>0</v>
      </c>
      <c r="U80" s="44">
        <f t="shared" si="3"/>
        <v>0</v>
      </c>
      <c r="V80" s="44">
        <f t="shared" si="4"/>
        <v>0</v>
      </c>
      <c r="W80" s="82">
        <f t="shared" si="5"/>
        <v>0</v>
      </c>
      <c r="X80" s="87">
        <f t="shared" si="6"/>
        <v>0</v>
      </c>
    </row>
    <row r="81" spans="1:24" ht="18" hidden="1" customHeight="1" x14ac:dyDescent="0.2">
      <c r="A81" s="535"/>
      <c r="B81" s="398"/>
      <c r="C81" s="538"/>
      <c r="D81" s="537">
        <f>Organización_Modular!F67</f>
        <v>0</v>
      </c>
      <c r="E81" s="537"/>
      <c r="F81" s="44" t="str">
        <f>_xlfn.IFNA(IF(VLOOKUP($D81,Organización_Modular!$F$10:$G$195,2,FALSE)=F$23,Itinerario!T81," ")," ")</f>
        <v xml:space="preserve"> </v>
      </c>
      <c r="G81" s="44" t="str">
        <f>_xlfn.IFNA(IF(VLOOKUP($D81,Organización_Modular!$F$10:$G$195,2,FALSE)=G$23,Itinerario!W81," ")," ")</f>
        <v xml:space="preserve"> </v>
      </c>
      <c r="H81" s="44" t="str">
        <f>_xlfn.IFNA(IF(VLOOKUP($D81,Organización_Modular!$F$10:$G$195,2,FALSE)=H$23,Itinerario!T81," ")," ")</f>
        <v xml:space="preserve"> </v>
      </c>
      <c r="I81" s="44" t="str">
        <f>_xlfn.IFNA(IF(VLOOKUP($D81,Organización_Modular!$F$10:$G$195,2,FALSE)=I$23,Itinerario!W81," ")," ")</f>
        <v xml:space="preserve"> </v>
      </c>
      <c r="J81" s="44" t="str">
        <f>_xlfn.IFNA(IF(VLOOKUP($D81,Organización_Modular!$F$10:$G$195,2,FALSE)=J$23,Itinerario!T81," ")," ")</f>
        <v xml:space="preserve"> </v>
      </c>
      <c r="K81" s="44" t="str">
        <f>_xlfn.IFNA(IF(VLOOKUP($D81,Organización_Modular!$F$10:$G$195,2,FALSE)=K$23,Itinerario!W81," ")," ")</f>
        <v xml:space="preserve"> </v>
      </c>
      <c r="L81" s="44" t="str">
        <f>_xlfn.IFNA(IF(VLOOKUP($D81,Organización_Modular!$F$10:$G$195,2,FALSE)=L$23,Itinerario!T81," ")," ")</f>
        <v xml:space="preserve"> </v>
      </c>
      <c r="M81" s="44" t="str">
        <f>_xlfn.IFNA(IF(VLOOKUP($D81,Organización_Modular!$F$10:$G$195,2,FALSE)=M$23,Itinerario!W81," ")," ")</f>
        <v xml:space="preserve"> </v>
      </c>
      <c r="N81" s="44" t="str">
        <f>_xlfn.IFNA(IF(VLOOKUP($D81,Organización_Modular!$F$10:$G$195,2,FALSE)=N$23,Itinerario!T81," ")," ")</f>
        <v xml:space="preserve"> </v>
      </c>
      <c r="O81" s="44" t="str">
        <f>_xlfn.IFNA(IF(VLOOKUP($D81,Organización_Modular!$F$10:$G$195,2,FALSE)=O$23,Itinerario!W81," ")," ")</f>
        <v xml:space="preserve"> </v>
      </c>
      <c r="P81" s="44" t="str">
        <f>_xlfn.IFNA(IF(VLOOKUP($D81,Organización_Modular!$F$10:$G$195,2,FALSE)=P$23,Itinerario!T81," ")," ")</f>
        <v xml:space="preserve"> </v>
      </c>
      <c r="Q81" s="44" t="str">
        <f>_xlfn.IFNA(IF(VLOOKUP($D81,Organización_Modular!$F$10:$G$195,2,FALSE)=Q$23,Itinerario!W81," ")," ")</f>
        <v xml:space="preserve"> </v>
      </c>
      <c r="R81" s="44">
        <f>Organización_Modular!H67</f>
        <v>0</v>
      </c>
      <c r="S81" s="44">
        <f>Organización_Modular!I67</f>
        <v>0</v>
      </c>
      <c r="T81" s="82">
        <f t="shared" si="7"/>
        <v>0</v>
      </c>
      <c r="U81" s="44">
        <f t="shared" si="3"/>
        <v>0</v>
      </c>
      <c r="V81" s="44">
        <f t="shared" si="4"/>
        <v>0</v>
      </c>
      <c r="W81" s="82">
        <f t="shared" si="5"/>
        <v>0</v>
      </c>
      <c r="X81" s="87">
        <f t="shared" si="6"/>
        <v>0</v>
      </c>
    </row>
    <row r="82" spans="1:24" ht="32.25" hidden="1" customHeight="1" x14ac:dyDescent="0.2">
      <c r="A82" s="535"/>
      <c r="B82" s="398"/>
      <c r="C82" s="538"/>
      <c r="D82" s="537">
        <f>Organización_Modular!F68</f>
        <v>0</v>
      </c>
      <c r="E82" s="537"/>
      <c r="F82" s="44" t="str">
        <f>_xlfn.IFNA(IF(VLOOKUP($D82,Organización_Modular!$F$10:$G$195,2,FALSE)=F$23,Itinerario!T82," ")," ")</f>
        <v xml:space="preserve"> </v>
      </c>
      <c r="G82" s="44" t="str">
        <f>_xlfn.IFNA(IF(VLOOKUP($D82,Organización_Modular!$F$10:$G$195,2,FALSE)=G$23,Itinerario!W82," ")," ")</f>
        <v xml:space="preserve"> </v>
      </c>
      <c r="H82" s="44" t="str">
        <f>_xlfn.IFNA(IF(VLOOKUP($D82,Organización_Modular!$F$10:$G$195,2,FALSE)=H$23,Itinerario!T82," ")," ")</f>
        <v xml:space="preserve"> </v>
      </c>
      <c r="I82" s="44" t="str">
        <f>_xlfn.IFNA(IF(VLOOKUP($D82,Organización_Modular!$F$10:$G$195,2,FALSE)=I$23,Itinerario!W82," ")," ")</f>
        <v xml:space="preserve"> </v>
      </c>
      <c r="J82" s="44" t="str">
        <f>_xlfn.IFNA(IF(VLOOKUP($D82,Organización_Modular!$F$10:$G$195,2,FALSE)=J$23,Itinerario!T82," ")," ")</f>
        <v xml:space="preserve"> </v>
      </c>
      <c r="K82" s="44" t="str">
        <f>_xlfn.IFNA(IF(VLOOKUP($D82,Organización_Modular!$F$10:$G$195,2,FALSE)=K$23,Itinerario!W82," ")," ")</f>
        <v xml:space="preserve"> </v>
      </c>
      <c r="L82" s="44" t="str">
        <f>_xlfn.IFNA(IF(VLOOKUP($D82,Organización_Modular!$F$10:$G$195,2,FALSE)=L$23,Itinerario!T82," ")," ")</f>
        <v xml:space="preserve"> </v>
      </c>
      <c r="M82" s="44" t="str">
        <f>_xlfn.IFNA(IF(VLOOKUP($D82,Organización_Modular!$F$10:$G$195,2,FALSE)=M$23,Itinerario!W82," ")," ")</f>
        <v xml:space="preserve"> </v>
      </c>
      <c r="N82" s="44" t="str">
        <f>_xlfn.IFNA(IF(VLOOKUP($D82,Organización_Modular!$F$10:$G$195,2,FALSE)=N$23,Itinerario!T82," ")," ")</f>
        <v xml:space="preserve"> </v>
      </c>
      <c r="O82" s="44" t="str">
        <f>_xlfn.IFNA(IF(VLOOKUP($D82,Organización_Modular!$F$10:$G$195,2,FALSE)=O$23,Itinerario!W82," ")," ")</f>
        <v xml:space="preserve"> </v>
      </c>
      <c r="P82" s="44" t="str">
        <f>_xlfn.IFNA(IF(VLOOKUP($D82,Organización_Modular!$F$10:$G$195,2,FALSE)=P$23,Itinerario!T82," ")," ")</f>
        <v xml:space="preserve"> </v>
      </c>
      <c r="Q82" s="44" t="str">
        <f>_xlfn.IFNA(IF(VLOOKUP($D82,Organización_Modular!$F$10:$G$195,2,FALSE)=Q$23,Itinerario!W82," ")," ")</f>
        <v xml:space="preserve"> </v>
      </c>
      <c r="R82" s="44">
        <f>Organización_Modular!H68</f>
        <v>0</v>
      </c>
      <c r="S82" s="44">
        <f>Organización_Modular!I68</f>
        <v>0</v>
      </c>
      <c r="T82" s="82">
        <f t="shared" si="7"/>
        <v>0</v>
      </c>
      <c r="U82" s="44">
        <f t="shared" si="3"/>
        <v>0</v>
      </c>
      <c r="V82" s="44">
        <f t="shared" si="4"/>
        <v>0</v>
      </c>
      <c r="W82" s="82">
        <f t="shared" si="5"/>
        <v>0</v>
      </c>
      <c r="X82" s="87">
        <f t="shared" si="6"/>
        <v>0</v>
      </c>
    </row>
    <row r="83" spans="1:24" ht="37.5" hidden="1" customHeight="1" x14ac:dyDescent="0.2">
      <c r="A83" s="535"/>
      <c r="B83" s="398"/>
      <c r="C83" s="538"/>
      <c r="D83" s="537">
        <f>Organización_Modular!F69</f>
        <v>0</v>
      </c>
      <c r="E83" s="537"/>
      <c r="F83" s="44" t="str">
        <f>_xlfn.IFNA(IF(VLOOKUP($D83,Organización_Modular!$F$10:$G$195,2,FALSE)=F$23,Itinerario!T83," ")," ")</f>
        <v xml:space="preserve"> </v>
      </c>
      <c r="G83" s="44" t="str">
        <f>_xlfn.IFNA(IF(VLOOKUP($D83,Organización_Modular!$F$10:$G$195,2,FALSE)=G$23,Itinerario!W83," ")," ")</f>
        <v xml:space="preserve"> </v>
      </c>
      <c r="H83" s="44" t="str">
        <f>_xlfn.IFNA(IF(VLOOKUP($D83,Organización_Modular!$F$10:$G$195,2,FALSE)=H$23,Itinerario!T83," ")," ")</f>
        <v xml:space="preserve"> </v>
      </c>
      <c r="I83" s="44" t="str">
        <f>_xlfn.IFNA(IF(VLOOKUP($D83,Organización_Modular!$F$10:$G$195,2,FALSE)=I$23,Itinerario!W83," ")," ")</f>
        <v xml:space="preserve"> </v>
      </c>
      <c r="J83" s="44" t="str">
        <f>_xlfn.IFNA(IF(VLOOKUP($D83,Organización_Modular!$F$10:$G$195,2,FALSE)=J$23,Itinerario!T83," ")," ")</f>
        <v xml:space="preserve"> </v>
      </c>
      <c r="K83" s="44" t="str">
        <f>_xlfn.IFNA(IF(VLOOKUP($D83,Organización_Modular!$F$10:$G$195,2,FALSE)=K$23,Itinerario!W83," ")," ")</f>
        <v xml:space="preserve"> </v>
      </c>
      <c r="L83" s="44" t="str">
        <f>_xlfn.IFNA(IF(VLOOKUP($D83,Organización_Modular!$F$10:$G$195,2,FALSE)=L$23,Itinerario!T83," ")," ")</f>
        <v xml:space="preserve"> </v>
      </c>
      <c r="M83" s="44" t="str">
        <f>_xlfn.IFNA(IF(VLOOKUP($D83,Organización_Modular!$F$10:$G$195,2,FALSE)=M$23,Itinerario!W83," ")," ")</f>
        <v xml:space="preserve"> </v>
      </c>
      <c r="N83" s="44" t="str">
        <f>_xlfn.IFNA(IF(VLOOKUP($D83,Organización_Modular!$F$10:$G$195,2,FALSE)=N$23,Itinerario!T83," ")," ")</f>
        <v xml:space="preserve"> </v>
      </c>
      <c r="O83" s="44" t="str">
        <f>_xlfn.IFNA(IF(VLOOKUP($D83,Organización_Modular!$F$10:$G$195,2,FALSE)=O$23,Itinerario!W83," ")," ")</f>
        <v xml:space="preserve"> </v>
      </c>
      <c r="P83" s="44" t="str">
        <f>_xlfn.IFNA(IF(VLOOKUP($D83,Organización_Modular!$F$10:$G$195,2,FALSE)=P$23,Itinerario!T83," ")," ")</f>
        <v xml:space="preserve"> </v>
      </c>
      <c r="Q83" s="44" t="str">
        <f>_xlfn.IFNA(IF(VLOOKUP($D83,Organización_Modular!$F$10:$G$195,2,FALSE)=Q$23,Itinerario!W83," ")," ")</f>
        <v xml:space="preserve"> </v>
      </c>
      <c r="R83" s="44">
        <f>Organización_Modular!H69</f>
        <v>0</v>
      </c>
      <c r="S83" s="44">
        <f>Organización_Modular!I69</f>
        <v>0</v>
      </c>
      <c r="T83" s="82">
        <f t="shared" si="7"/>
        <v>0</v>
      </c>
      <c r="U83" s="44">
        <f t="shared" si="3"/>
        <v>0</v>
      </c>
      <c r="V83" s="44">
        <f t="shared" si="4"/>
        <v>0</v>
      </c>
      <c r="W83" s="82">
        <f t="shared" si="5"/>
        <v>0</v>
      </c>
      <c r="X83" s="87">
        <f t="shared" si="6"/>
        <v>0</v>
      </c>
    </row>
    <row r="84" spans="1:24" ht="0.75" customHeight="1" x14ac:dyDescent="0.2">
      <c r="A84" s="535"/>
      <c r="B84" s="398"/>
      <c r="C84" s="538"/>
      <c r="D84" s="537"/>
      <c r="E84" s="537"/>
      <c r="F84" s="44"/>
      <c r="G84" s="44"/>
      <c r="H84" s="44"/>
      <c r="I84" s="44"/>
      <c r="J84" s="44"/>
      <c r="K84" s="44"/>
      <c r="L84" s="44"/>
      <c r="M84" s="44"/>
      <c r="N84" s="44"/>
      <c r="O84" s="44"/>
      <c r="P84" s="44"/>
      <c r="Q84" s="44"/>
      <c r="R84" s="44"/>
      <c r="S84" s="44"/>
      <c r="T84" s="82"/>
      <c r="U84" s="44"/>
      <c r="V84" s="44"/>
      <c r="W84" s="82"/>
      <c r="X84" s="87">
        <f t="shared" si="6"/>
        <v>0</v>
      </c>
    </row>
    <row r="85" spans="1:24" ht="28.5" hidden="1" customHeight="1" x14ac:dyDescent="0.2">
      <c r="A85" s="535"/>
      <c r="B85" s="557" t="str">
        <f>B54</f>
        <v>Experiencias formativas en situaciones reales de trabajo (ESRT)</v>
      </c>
      <c r="C85" s="558"/>
      <c r="D85" s="558"/>
      <c r="E85" s="558"/>
      <c r="F85" s="162"/>
      <c r="G85" s="162"/>
      <c r="H85" s="162">
        <f>Organización_Modular!I71</f>
        <v>6</v>
      </c>
      <c r="I85" s="162">
        <f>H85*32</f>
        <v>192</v>
      </c>
      <c r="J85" s="162"/>
      <c r="K85" s="162"/>
      <c r="L85" s="162"/>
      <c r="M85" s="162"/>
      <c r="N85" s="162"/>
      <c r="O85" s="162"/>
      <c r="P85" s="162"/>
      <c r="Q85" s="162"/>
      <c r="R85" s="165">
        <f>Organización_Modular!H71</f>
        <v>0</v>
      </c>
      <c r="S85" s="163">
        <f>Organización_Modular!I71</f>
        <v>6</v>
      </c>
      <c r="T85" s="164">
        <f t="shared" si="7"/>
        <v>6</v>
      </c>
      <c r="U85" s="163">
        <f t="shared" si="3"/>
        <v>0</v>
      </c>
      <c r="V85" s="163">
        <f t="shared" si="4"/>
        <v>192</v>
      </c>
      <c r="W85" s="164">
        <f t="shared" si="5"/>
        <v>192</v>
      </c>
      <c r="X85" s="87">
        <f t="shared" si="6"/>
        <v>192</v>
      </c>
    </row>
    <row r="86" spans="1:24" ht="18" hidden="1" customHeight="1" x14ac:dyDescent="0.2">
      <c r="A86" s="535">
        <f>Organización_Modular!A72</f>
        <v>0</v>
      </c>
      <c r="B86" s="397" t="str">
        <f>B24</f>
        <v>Competencias técnicas (Unidad de competencia)</v>
      </c>
      <c r="C86" s="538">
        <f>Organización_Modular!C72</f>
        <v>0</v>
      </c>
      <c r="D86" s="537">
        <f>Organización_Modular!F72</f>
        <v>0</v>
      </c>
      <c r="E86" s="537"/>
      <c r="F86" s="44" t="str">
        <f>_xlfn.IFNA(IF(VLOOKUP($D86,Organización_Modular!$F$10:$G$195,2,FALSE)=F$23,Itinerario!T86," ")," ")</f>
        <v xml:space="preserve"> </v>
      </c>
      <c r="G86" s="44" t="str">
        <f>_xlfn.IFNA(IF(VLOOKUP($D86,Organización_Modular!$F$10:$G$195,2,FALSE)=G$23,Itinerario!W86," ")," ")</f>
        <v xml:space="preserve"> </v>
      </c>
      <c r="H86" s="44" t="str">
        <f>_xlfn.IFNA(IF(VLOOKUP($D86,Organización_Modular!$F$10:$G$195,2,FALSE)=H$23,Itinerario!T86," ")," ")</f>
        <v xml:space="preserve"> </v>
      </c>
      <c r="I86" s="44" t="str">
        <f>_xlfn.IFNA(IF(VLOOKUP($D86,Organización_Modular!$F$10:$G$195,2,FALSE)=I$23,Itinerario!W86," ")," ")</f>
        <v xml:space="preserve"> </v>
      </c>
      <c r="J86" s="44" t="str">
        <f>_xlfn.IFNA(IF(VLOOKUP($D86,Organización_Modular!$F$10:$G$195,2,FALSE)=J$23,Itinerario!T86," ")," ")</f>
        <v xml:space="preserve"> </v>
      </c>
      <c r="K86" s="44" t="str">
        <f>_xlfn.IFNA(IF(VLOOKUP($D86,Organización_Modular!$F$10:$G$195,2,FALSE)=K$23,Itinerario!W86," ")," ")</f>
        <v xml:space="preserve"> </v>
      </c>
      <c r="L86" s="44" t="str">
        <f>_xlfn.IFNA(IF(VLOOKUP($D86,Organización_Modular!$F$10:$G$195,2,FALSE)=L$23,Itinerario!T86," ")," ")</f>
        <v xml:space="preserve"> </v>
      </c>
      <c r="M86" s="44" t="str">
        <f>_xlfn.IFNA(IF(VLOOKUP($D86,Organización_Modular!$F$10:$G$195,2,FALSE)=M$23,Itinerario!W86," ")," ")</f>
        <v xml:space="preserve"> </v>
      </c>
      <c r="N86" s="44" t="str">
        <f>_xlfn.IFNA(IF(VLOOKUP($D86,Organización_Modular!$F$10:$G$195,2,FALSE)=N$23,Itinerario!T86," ")," ")</f>
        <v xml:space="preserve"> </v>
      </c>
      <c r="O86" s="44" t="str">
        <f>_xlfn.IFNA(IF(VLOOKUP($D86,Organización_Modular!$F$10:$G$195,2,FALSE)=O$23,Itinerario!W86," ")," ")</f>
        <v xml:space="preserve"> </v>
      </c>
      <c r="P86" s="44" t="str">
        <f>_xlfn.IFNA(IF(VLOOKUP($D86,Organización_Modular!$F$10:$G$195,2,FALSE)=P$23,Itinerario!T86," ")," ")</f>
        <v xml:space="preserve"> </v>
      </c>
      <c r="Q86" s="44" t="str">
        <f>_xlfn.IFNA(IF(VLOOKUP($D86,Organización_Modular!$F$10:$G$195,2,FALSE)=Q$23,Itinerario!W86," ")," ")</f>
        <v xml:space="preserve"> </v>
      </c>
      <c r="R86" s="44">
        <f>Organización_Modular!H72</f>
        <v>0</v>
      </c>
      <c r="S86" s="44">
        <f>Organización_Modular!I72</f>
        <v>0</v>
      </c>
      <c r="T86" s="82">
        <f>SUM(R86:S86)</f>
        <v>0</v>
      </c>
      <c r="U86" s="44">
        <f t="shared" si="3"/>
        <v>0</v>
      </c>
      <c r="V86" s="44">
        <f t="shared" si="4"/>
        <v>0</v>
      </c>
      <c r="W86" s="82">
        <f t="shared" si="5"/>
        <v>0</v>
      </c>
      <c r="X86" s="87">
        <f t="shared" si="6"/>
        <v>0</v>
      </c>
    </row>
    <row r="87" spans="1:24" ht="18" hidden="1" customHeight="1" x14ac:dyDescent="0.2">
      <c r="A87" s="535"/>
      <c r="B87" s="397"/>
      <c r="C87" s="538"/>
      <c r="D87" s="537">
        <f>Organización_Modular!F73</f>
        <v>0</v>
      </c>
      <c r="E87" s="537"/>
      <c r="F87" s="44" t="str">
        <f>_xlfn.IFNA(IF(VLOOKUP($D87,Organización_Modular!$F$10:$G$195,2,FALSE)=F$23,Itinerario!T87," ")," ")</f>
        <v xml:space="preserve"> </v>
      </c>
      <c r="G87" s="44" t="str">
        <f>_xlfn.IFNA(IF(VLOOKUP($D87,Organización_Modular!$F$10:$G$195,2,FALSE)=G$23,Itinerario!W87," ")," ")</f>
        <v xml:space="preserve"> </v>
      </c>
      <c r="H87" s="44" t="str">
        <f>_xlfn.IFNA(IF(VLOOKUP($D87,Organización_Modular!$F$10:$G$195,2,FALSE)=H$23,Itinerario!T87," ")," ")</f>
        <v xml:space="preserve"> </v>
      </c>
      <c r="I87" s="44" t="str">
        <f>_xlfn.IFNA(IF(VLOOKUP($D87,Organización_Modular!$F$10:$G$195,2,FALSE)=I$23,Itinerario!W87," ")," ")</f>
        <v xml:space="preserve"> </v>
      </c>
      <c r="J87" s="44" t="str">
        <f>_xlfn.IFNA(IF(VLOOKUP($D87,Organización_Modular!$F$10:$G$195,2,FALSE)=J$23,Itinerario!T87," ")," ")</f>
        <v xml:space="preserve"> </v>
      </c>
      <c r="K87" s="44" t="str">
        <f>_xlfn.IFNA(IF(VLOOKUP($D87,Organización_Modular!$F$10:$G$195,2,FALSE)=K$23,Itinerario!W87," ")," ")</f>
        <v xml:space="preserve"> </v>
      </c>
      <c r="L87" s="44" t="str">
        <f>_xlfn.IFNA(IF(VLOOKUP($D87,Organización_Modular!$F$10:$G$195,2,FALSE)=L$23,Itinerario!T87," ")," ")</f>
        <v xml:space="preserve"> </v>
      </c>
      <c r="M87" s="44" t="str">
        <f>_xlfn.IFNA(IF(VLOOKUP($D87,Organización_Modular!$F$10:$G$195,2,FALSE)=M$23,Itinerario!W87," ")," ")</f>
        <v xml:space="preserve"> </v>
      </c>
      <c r="N87" s="44" t="str">
        <f>_xlfn.IFNA(IF(VLOOKUP($D87,Organización_Modular!$F$10:$G$195,2,FALSE)=N$23,Itinerario!T87," ")," ")</f>
        <v xml:space="preserve"> </v>
      </c>
      <c r="O87" s="44" t="str">
        <f>_xlfn.IFNA(IF(VLOOKUP($D87,Organización_Modular!$F$10:$G$195,2,FALSE)=O$23,Itinerario!W87," ")," ")</f>
        <v xml:space="preserve"> </v>
      </c>
      <c r="P87" s="44" t="str">
        <f>_xlfn.IFNA(IF(VLOOKUP($D87,Organización_Modular!$F$10:$G$195,2,FALSE)=P$23,Itinerario!T87," ")," ")</f>
        <v xml:space="preserve"> </v>
      </c>
      <c r="Q87" s="44" t="str">
        <f>_xlfn.IFNA(IF(VLOOKUP($D87,Organización_Modular!$F$10:$G$195,2,FALSE)=Q$23,Itinerario!W87," ")," ")</f>
        <v xml:space="preserve"> </v>
      </c>
      <c r="R87" s="44">
        <f>Organización_Modular!H73</f>
        <v>0</v>
      </c>
      <c r="S87" s="44">
        <f>Organización_Modular!I73</f>
        <v>0</v>
      </c>
      <c r="T87" s="82">
        <f t="shared" ref="T87:T116" si="8">SUM(R87:S87)</f>
        <v>0</v>
      </c>
      <c r="U87" s="44">
        <f t="shared" si="3"/>
        <v>0</v>
      </c>
      <c r="V87" s="44">
        <f t="shared" si="4"/>
        <v>0</v>
      </c>
      <c r="W87" s="82">
        <f t="shared" si="5"/>
        <v>0</v>
      </c>
      <c r="X87" s="87">
        <f t="shared" si="6"/>
        <v>0</v>
      </c>
    </row>
    <row r="88" spans="1:24" ht="18" hidden="1" customHeight="1" x14ac:dyDescent="0.2">
      <c r="A88" s="535"/>
      <c r="B88" s="397"/>
      <c r="C88" s="538"/>
      <c r="D88" s="537">
        <f>Organización_Modular!F74</f>
        <v>0</v>
      </c>
      <c r="E88" s="537"/>
      <c r="F88" s="44" t="str">
        <f>_xlfn.IFNA(IF(VLOOKUP($D88,Organización_Modular!$F$10:$G$195,2,FALSE)=F$23,Itinerario!T88," ")," ")</f>
        <v xml:space="preserve"> </v>
      </c>
      <c r="G88" s="44" t="str">
        <f>_xlfn.IFNA(IF(VLOOKUP($D88,Organización_Modular!$F$10:$G$195,2,FALSE)=G$23,Itinerario!W88," ")," ")</f>
        <v xml:space="preserve"> </v>
      </c>
      <c r="H88" s="44" t="str">
        <f>_xlfn.IFNA(IF(VLOOKUP($D88,Organización_Modular!$F$10:$G$195,2,FALSE)=H$23,Itinerario!T88," ")," ")</f>
        <v xml:space="preserve"> </v>
      </c>
      <c r="I88" s="44" t="str">
        <f>_xlfn.IFNA(IF(VLOOKUP($D88,Organización_Modular!$F$10:$G$195,2,FALSE)=I$23,Itinerario!W88," ")," ")</f>
        <v xml:space="preserve"> </v>
      </c>
      <c r="J88" s="44" t="str">
        <f>_xlfn.IFNA(IF(VLOOKUP($D88,Organización_Modular!$F$10:$G$195,2,FALSE)=J$23,Itinerario!T88," ")," ")</f>
        <v xml:space="preserve"> </v>
      </c>
      <c r="K88" s="44" t="str">
        <f>_xlfn.IFNA(IF(VLOOKUP($D88,Organización_Modular!$F$10:$G$195,2,FALSE)=K$23,Itinerario!W88," ")," ")</f>
        <v xml:space="preserve"> </v>
      </c>
      <c r="L88" s="44" t="str">
        <f>_xlfn.IFNA(IF(VLOOKUP($D88,Organización_Modular!$F$10:$G$195,2,FALSE)=L$23,Itinerario!T88," ")," ")</f>
        <v xml:space="preserve"> </v>
      </c>
      <c r="M88" s="44" t="str">
        <f>_xlfn.IFNA(IF(VLOOKUP($D88,Organización_Modular!$F$10:$G$195,2,FALSE)=M$23,Itinerario!W88," ")," ")</f>
        <v xml:space="preserve"> </v>
      </c>
      <c r="N88" s="44" t="str">
        <f>_xlfn.IFNA(IF(VLOOKUP($D88,Organización_Modular!$F$10:$G$195,2,FALSE)=N$23,Itinerario!T88," ")," ")</f>
        <v xml:space="preserve"> </v>
      </c>
      <c r="O88" s="44" t="str">
        <f>_xlfn.IFNA(IF(VLOOKUP($D88,Organización_Modular!$F$10:$G$195,2,FALSE)=O$23,Itinerario!W88," ")," ")</f>
        <v xml:space="preserve"> </v>
      </c>
      <c r="P88" s="44" t="str">
        <f>_xlfn.IFNA(IF(VLOOKUP($D88,Organización_Modular!$F$10:$G$195,2,FALSE)=P$23,Itinerario!T88," ")," ")</f>
        <v xml:space="preserve"> </v>
      </c>
      <c r="Q88" s="44" t="str">
        <f>_xlfn.IFNA(IF(VLOOKUP($D88,Organización_Modular!$F$10:$G$195,2,FALSE)=Q$23,Itinerario!W88," ")," ")</f>
        <v xml:space="preserve"> </v>
      </c>
      <c r="R88" s="44">
        <f>Organización_Modular!H74</f>
        <v>0</v>
      </c>
      <c r="S88" s="44">
        <f>Organización_Modular!I74</f>
        <v>0</v>
      </c>
      <c r="T88" s="82">
        <f t="shared" si="8"/>
        <v>0</v>
      </c>
      <c r="U88" s="44">
        <f t="shared" si="3"/>
        <v>0</v>
      </c>
      <c r="V88" s="44">
        <f t="shared" si="4"/>
        <v>0</v>
      </c>
      <c r="W88" s="82">
        <f t="shared" si="5"/>
        <v>0</v>
      </c>
      <c r="X88" s="87">
        <f t="shared" si="6"/>
        <v>0</v>
      </c>
    </row>
    <row r="89" spans="1:24" ht="18" hidden="1" customHeight="1" x14ac:dyDescent="0.2">
      <c r="A89" s="535"/>
      <c r="B89" s="397"/>
      <c r="C89" s="538"/>
      <c r="D89" s="537">
        <f>Organización_Modular!F75</f>
        <v>0</v>
      </c>
      <c r="E89" s="537"/>
      <c r="F89" s="44" t="str">
        <f>_xlfn.IFNA(IF(VLOOKUP($D89,Organización_Modular!$F$10:$G$195,2,FALSE)=F$23,Itinerario!T89," ")," ")</f>
        <v xml:space="preserve"> </v>
      </c>
      <c r="G89" s="44" t="str">
        <f>_xlfn.IFNA(IF(VLOOKUP($D89,Organización_Modular!$F$10:$G$195,2,FALSE)=G$23,Itinerario!W89," ")," ")</f>
        <v xml:space="preserve"> </v>
      </c>
      <c r="H89" s="44" t="str">
        <f>_xlfn.IFNA(IF(VLOOKUP($D89,Organización_Modular!$F$10:$G$195,2,FALSE)=H$23,Itinerario!T89," ")," ")</f>
        <v xml:space="preserve"> </v>
      </c>
      <c r="I89" s="44" t="str">
        <f>_xlfn.IFNA(IF(VLOOKUP($D89,Organización_Modular!$F$10:$G$195,2,FALSE)=I$23,Itinerario!W89," ")," ")</f>
        <v xml:space="preserve"> </v>
      </c>
      <c r="J89" s="44" t="str">
        <f>_xlfn.IFNA(IF(VLOOKUP($D89,Organización_Modular!$F$10:$G$195,2,FALSE)=J$23,Itinerario!T89," ")," ")</f>
        <v xml:space="preserve"> </v>
      </c>
      <c r="K89" s="44" t="str">
        <f>_xlfn.IFNA(IF(VLOOKUP($D89,Organización_Modular!$F$10:$G$195,2,FALSE)=K$23,Itinerario!W89," ")," ")</f>
        <v xml:space="preserve"> </v>
      </c>
      <c r="L89" s="44" t="str">
        <f>_xlfn.IFNA(IF(VLOOKUP($D89,Organización_Modular!$F$10:$G$195,2,FALSE)=L$23,Itinerario!T89," ")," ")</f>
        <v xml:space="preserve"> </v>
      </c>
      <c r="M89" s="44" t="str">
        <f>_xlfn.IFNA(IF(VLOOKUP($D89,Organización_Modular!$F$10:$G$195,2,FALSE)=M$23,Itinerario!W89," ")," ")</f>
        <v xml:space="preserve"> </v>
      </c>
      <c r="N89" s="44" t="str">
        <f>_xlfn.IFNA(IF(VLOOKUP($D89,Organización_Modular!$F$10:$G$195,2,FALSE)=N$23,Itinerario!T89," ")," ")</f>
        <v xml:space="preserve"> </v>
      </c>
      <c r="O89" s="44" t="str">
        <f>_xlfn.IFNA(IF(VLOOKUP($D89,Organización_Modular!$F$10:$G$195,2,FALSE)=O$23,Itinerario!W89," ")," ")</f>
        <v xml:space="preserve"> </v>
      </c>
      <c r="P89" s="44" t="str">
        <f>_xlfn.IFNA(IF(VLOOKUP($D89,Organización_Modular!$F$10:$G$195,2,FALSE)=P$23,Itinerario!T89," ")," ")</f>
        <v xml:space="preserve"> </v>
      </c>
      <c r="Q89" s="44" t="str">
        <f>_xlfn.IFNA(IF(VLOOKUP($D89,Organización_Modular!$F$10:$G$195,2,FALSE)=Q$23,Itinerario!W89," ")," ")</f>
        <v xml:space="preserve"> </v>
      </c>
      <c r="R89" s="44">
        <f>Organización_Modular!H75</f>
        <v>0</v>
      </c>
      <c r="S89" s="44">
        <f>Organización_Modular!I75</f>
        <v>0</v>
      </c>
      <c r="T89" s="82">
        <f t="shared" si="8"/>
        <v>0</v>
      </c>
      <c r="U89" s="44">
        <f t="shared" ref="U89:U152" si="9">+R89*$S$19</f>
        <v>0</v>
      </c>
      <c r="V89" s="44">
        <f t="shared" ref="V89:V152" si="10">+S89*$U$19</f>
        <v>0</v>
      </c>
      <c r="W89" s="82">
        <f t="shared" ref="W89:W152" si="11">SUM(U89:V89)</f>
        <v>0</v>
      </c>
      <c r="X89" s="87">
        <f t="shared" ref="X89:X152" si="12">W89</f>
        <v>0</v>
      </c>
    </row>
    <row r="90" spans="1:24" ht="18" hidden="1" customHeight="1" x14ac:dyDescent="0.2">
      <c r="A90" s="535"/>
      <c r="B90" s="397"/>
      <c r="C90" s="538"/>
      <c r="D90" s="537">
        <f>Organización_Modular!F76</f>
        <v>0</v>
      </c>
      <c r="E90" s="537"/>
      <c r="F90" s="44" t="str">
        <f>_xlfn.IFNA(IF(VLOOKUP($D90,Organización_Modular!$F$10:$G$195,2,FALSE)=F$23,Itinerario!T90," ")," ")</f>
        <v xml:space="preserve"> </v>
      </c>
      <c r="G90" s="44" t="str">
        <f>_xlfn.IFNA(IF(VLOOKUP($D90,Organización_Modular!$F$10:$G$195,2,FALSE)=G$23,Itinerario!W90," ")," ")</f>
        <v xml:space="preserve"> </v>
      </c>
      <c r="H90" s="44" t="str">
        <f>_xlfn.IFNA(IF(VLOOKUP($D90,Organización_Modular!$F$10:$G$195,2,FALSE)=H$23,Itinerario!T90," ")," ")</f>
        <v xml:space="preserve"> </v>
      </c>
      <c r="I90" s="44" t="str">
        <f>_xlfn.IFNA(IF(VLOOKUP($D90,Organización_Modular!$F$10:$G$195,2,FALSE)=I$23,Itinerario!W90," ")," ")</f>
        <v xml:space="preserve"> </v>
      </c>
      <c r="J90" s="44" t="str">
        <f>_xlfn.IFNA(IF(VLOOKUP($D90,Organización_Modular!$F$10:$G$195,2,FALSE)=J$23,Itinerario!T90," ")," ")</f>
        <v xml:space="preserve"> </v>
      </c>
      <c r="K90" s="44" t="str">
        <f>_xlfn.IFNA(IF(VLOOKUP($D90,Organización_Modular!$F$10:$G$195,2,FALSE)=K$23,Itinerario!W90," ")," ")</f>
        <v xml:space="preserve"> </v>
      </c>
      <c r="L90" s="44" t="str">
        <f>_xlfn.IFNA(IF(VLOOKUP($D90,Organización_Modular!$F$10:$G$195,2,FALSE)=L$23,Itinerario!T90," ")," ")</f>
        <v xml:space="preserve"> </v>
      </c>
      <c r="M90" s="44" t="str">
        <f>_xlfn.IFNA(IF(VLOOKUP($D90,Organización_Modular!$F$10:$G$195,2,FALSE)=M$23,Itinerario!W90," ")," ")</f>
        <v xml:space="preserve"> </v>
      </c>
      <c r="N90" s="44" t="str">
        <f>_xlfn.IFNA(IF(VLOOKUP($D90,Organización_Modular!$F$10:$G$195,2,FALSE)=N$23,Itinerario!T90," ")," ")</f>
        <v xml:space="preserve"> </v>
      </c>
      <c r="O90" s="44" t="str">
        <f>_xlfn.IFNA(IF(VLOOKUP($D90,Organización_Modular!$F$10:$G$195,2,FALSE)=O$23,Itinerario!W90," ")," ")</f>
        <v xml:space="preserve"> </v>
      </c>
      <c r="P90" s="44" t="str">
        <f>_xlfn.IFNA(IF(VLOOKUP($D90,Organización_Modular!$F$10:$G$195,2,FALSE)=P$23,Itinerario!T90," ")," ")</f>
        <v xml:space="preserve"> </v>
      </c>
      <c r="Q90" s="44" t="str">
        <f>_xlfn.IFNA(IF(VLOOKUP($D90,Organización_Modular!$F$10:$G$195,2,FALSE)=Q$23,Itinerario!W90," ")," ")</f>
        <v xml:space="preserve"> </v>
      </c>
      <c r="R90" s="44">
        <f>Organización_Modular!H76</f>
        <v>0</v>
      </c>
      <c r="S90" s="44">
        <f>Organización_Modular!I76</f>
        <v>0</v>
      </c>
      <c r="T90" s="82">
        <f t="shared" si="8"/>
        <v>0</v>
      </c>
      <c r="U90" s="44">
        <f t="shared" si="9"/>
        <v>0</v>
      </c>
      <c r="V90" s="44">
        <f t="shared" si="10"/>
        <v>0</v>
      </c>
      <c r="W90" s="82">
        <f t="shared" si="11"/>
        <v>0</v>
      </c>
      <c r="X90" s="87">
        <f t="shared" si="12"/>
        <v>0</v>
      </c>
    </row>
    <row r="91" spans="1:24" ht="18" hidden="1" customHeight="1" x14ac:dyDescent="0.2">
      <c r="A91" s="535"/>
      <c r="B91" s="397"/>
      <c r="C91" s="538"/>
      <c r="D91" s="537">
        <f>Organización_Modular!F77</f>
        <v>0</v>
      </c>
      <c r="E91" s="537"/>
      <c r="F91" s="44" t="str">
        <f>_xlfn.IFNA(IF(VLOOKUP($D91,Organización_Modular!$F$10:$G$195,2,FALSE)=F$23,Itinerario!T91," ")," ")</f>
        <v xml:space="preserve"> </v>
      </c>
      <c r="G91" s="44" t="str">
        <f>_xlfn.IFNA(IF(VLOOKUP($D91,Organización_Modular!$F$10:$G$195,2,FALSE)=G$23,Itinerario!W91," ")," ")</f>
        <v xml:space="preserve"> </v>
      </c>
      <c r="H91" s="44" t="str">
        <f>_xlfn.IFNA(IF(VLOOKUP($D91,Organización_Modular!$F$10:$G$195,2,FALSE)=H$23,Itinerario!T91," ")," ")</f>
        <v xml:space="preserve"> </v>
      </c>
      <c r="I91" s="44" t="str">
        <f>_xlfn.IFNA(IF(VLOOKUP($D91,Organización_Modular!$F$10:$G$195,2,FALSE)=I$23,Itinerario!W91," ")," ")</f>
        <v xml:space="preserve"> </v>
      </c>
      <c r="J91" s="44" t="str">
        <f>_xlfn.IFNA(IF(VLOOKUP($D91,Organización_Modular!$F$10:$G$195,2,FALSE)=J$23,Itinerario!T91," ")," ")</f>
        <v xml:space="preserve"> </v>
      </c>
      <c r="K91" s="44" t="str">
        <f>_xlfn.IFNA(IF(VLOOKUP($D91,Organización_Modular!$F$10:$G$195,2,FALSE)=K$23,Itinerario!W91," ")," ")</f>
        <v xml:space="preserve"> </v>
      </c>
      <c r="L91" s="44" t="str">
        <f>_xlfn.IFNA(IF(VLOOKUP($D91,Organización_Modular!$F$10:$G$195,2,FALSE)=L$23,Itinerario!T91," ")," ")</f>
        <v xml:space="preserve"> </v>
      </c>
      <c r="M91" s="44" t="str">
        <f>_xlfn.IFNA(IF(VLOOKUP($D91,Organización_Modular!$F$10:$G$195,2,FALSE)=M$23,Itinerario!W91," ")," ")</f>
        <v xml:space="preserve"> </v>
      </c>
      <c r="N91" s="44" t="str">
        <f>_xlfn.IFNA(IF(VLOOKUP($D91,Organización_Modular!$F$10:$G$195,2,FALSE)=N$23,Itinerario!T91," ")," ")</f>
        <v xml:space="preserve"> </v>
      </c>
      <c r="O91" s="44" t="str">
        <f>_xlfn.IFNA(IF(VLOOKUP($D91,Organización_Modular!$F$10:$G$195,2,FALSE)=O$23,Itinerario!W91," ")," ")</f>
        <v xml:space="preserve"> </v>
      </c>
      <c r="P91" s="44" t="str">
        <f>_xlfn.IFNA(IF(VLOOKUP($D91,Organización_Modular!$F$10:$G$195,2,FALSE)=P$23,Itinerario!T91," ")," ")</f>
        <v xml:space="preserve"> </v>
      </c>
      <c r="Q91" s="44" t="str">
        <f>_xlfn.IFNA(IF(VLOOKUP($D91,Organización_Modular!$F$10:$G$195,2,FALSE)=Q$23,Itinerario!W91," ")," ")</f>
        <v xml:space="preserve"> </v>
      </c>
      <c r="R91" s="44">
        <f>Organización_Modular!H77</f>
        <v>0</v>
      </c>
      <c r="S91" s="44">
        <f>Organización_Modular!I77</f>
        <v>0</v>
      </c>
      <c r="T91" s="82">
        <f t="shared" si="8"/>
        <v>0</v>
      </c>
      <c r="U91" s="44">
        <f t="shared" si="9"/>
        <v>0</v>
      </c>
      <c r="V91" s="44">
        <f t="shared" si="10"/>
        <v>0</v>
      </c>
      <c r="W91" s="82">
        <f t="shared" si="11"/>
        <v>0</v>
      </c>
      <c r="X91" s="87">
        <f t="shared" si="12"/>
        <v>0</v>
      </c>
    </row>
    <row r="92" spans="1:24" ht="18" hidden="1" customHeight="1" x14ac:dyDescent="0.2">
      <c r="A92" s="535"/>
      <c r="B92" s="397"/>
      <c r="C92" s="538"/>
      <c r="D92" s="537">
        <f>Organización_Modular!F78</f>
        <v>0</v>
      </c>
      <c r="E92" s="537"/>
      <c r="F92" s="44" t="str">
        <f>_xlfn.IFNA(IF(VLOOKUP($D92,Organización_Modular!$F$10:$G$195,2,FALSE)=F$23,Itinerario!T92," ")," ")</f>
        <v xml:space="preserve"> </v>
      </c>
      <c r="G92" s="44" t="str">
        <f>_xlfn.IFNA(IF(VLOOKUP($D92,Organización_Modular!$F$10:$G$195,2,FALSE)=G$23,Itinerario!W92," ")," ")</f>
        <v xml:space="preserve"> </v>
      </c>
      <c r="H92" s="44" t="str">
        <f>_xlfn.IFNA(IF(VLOOKUP($D92,Organización_Modular!$F$10:$G$195,2,FALSE)=H$23,Itinerario!T92," ")," ")</f>
        <v xml:space="preserve"> </v>
      </c>
      <c r="I92" s="44" t="str">
        <f>_xlfn.IFNA(IF(VLOOKUP($D92,Organización_Modular!$F$10:$G$195,2,FALSE)=I$23,Itinerario!W92," ")," ")</f>
        <v xml:space="preserve"> </v>
      </c>
      <c r="J92" s="44" t="str">
        <f>_xlfn.IFNA(IF(VLOOKUP($D92,Organización_Modular!$F$10:$G$195,2,FALSE)=J$23,Itinerario!T92," ")," ")</f>
        <v xml:space="preserve"> </v>
      </c>
      <c r="K92" s="44" t="str">
        <f>_xlfn.IFNA(IF(VLOOKUP($D92,Organización_Modular!$F$10:$G$195,2,FALSE)=K$23,Itinerario!W92," ")," ")</f>
        <v xml:space="preserve"> </v>
      </c>
      <c r="L92" s="44" t="str">
        <f>_xlfn.IFNA(IF(VLOOKUP($D92,Organización_Modular!$F$10:$G$195,2,FALSE)=L$23,Itinerario!T92," ")," ")</f>
        <v xml:space="preserve"> </v>
      </c>
      <c r="M92" s="44" t="str">
        <f>_xlfn.IFNA(IF(VLOOKUP($D92,Organización_Modular!$F$10:$G$195,2,FALSE)=M$23,Itinerario!W92," ")," ")</f>
        <v xml:space="preserve"> </v>
      </c>
      <c r="N92" s="44" t="str">
        <f>_xlfn.IFNA(IF(VLOOKUP($D92,Organización_Modular!$F$10:$G$195,2,FALSE)=N$23,Itinerario!T92," ")," ")</f>
        <v xml:space="preserve"> </v>
      </c>
      <c r="O92" s="44" t="str">
        <f>_xlfn.IFNA(IF(VLOOKUP($D92,Organización_Modular!$F$10:$G$195,2,FALSE)=O$23,Itinerario!W92," ")," ")</f>
        <v xml:space="preserve"> </v>
      </c>
      <c r="P92" s="44" t="str">
        <f>_xlfn.IFNA(IF(VLOOKUP($D92,Organización_Modular!$F$10:$G$195,2,FALSE)=P$23,Itinerario!T92," ")," ")</f>
        <v xml:space="preserve"> </v>
      </c>
      <c r="Q92" s="44" t="str">
        <f>_xlfn.IFNA(IF(VLOOKUP($D92,Organización_Modular!$F$10:$G$195,2,FALSE)=Q$23,Itinerario!W92," ")," ")</f>
        <v xml:space="preserve"> </v>
      </c>
      <c r="R92" s="44">
        <f>Organización_Modular!H78</f>
        <v>0</v>
      </c>
      <c r="S92" s="44">
        <f>Organización_Modular!I78</f>
        <v>0</v>
      </c>
      <c r="T92" s="82">
        <f t="shared" si="8"/>
        <v>0</v>
      </c>
      <c r="U92" s="44">
        <f t="shared" si="9"/>
        <v>0</v>
      </c>
      <c r="V92" s="44">
        <f t="shared" si="10"/>
        <v>0</v>
      </c>
      <c r="W92" s="82">
        <f t="shared" si="11"/>
        <v>0</v>
      </c>
      <c r="X92" s="87">
        <f t="shared" si="12"/>
        <v>0</v>
      </c>
    </row>
    <row r="93" spans="1:24" ht="18" hidden="1" customHeight="1" x14ac:dyDescent="0.2">
      <c r="A93" s="535"/>
      <c r="B93" s="397"/>
      <c r="C93" s="538"/>
      <c r="D93" s="537">
        <f>Organización_Modular!F79</f>
        <v>0</v>
      </c>
      <c r="E93" s="537"/>
      <c r="F93" s="44" t="str">
        <f>_xlfn.IFNA(IF(VLOOKUP($D93,Organización_Modular!$F$10:$G$195,2,FALSE)=F$23,Itinerario!T93," ")," ")</f>
        <v xml:space="preserve"> </v>
      </c>
      <c r="G93" s="44" t="str">
        <f>_xlfn.IFNA(IF(VLOOKUP($D93,Organización_Modular!$F$10:$G$195,2,FALSE)=G$23,Itinerario!W93," ")," ")</f>
        <v xml:space="preserve"> </v>
      </c>
      <c r="H93" s="44" t="str">
        <f>_xlfn.IFNA(IF(VLOOKUP($D93,Organización_Modular!$F$10:$G$195,2,FALSE)=H$23,Itinerario!T93," ")," ")</f>
        <v xml:space="preserve"> </v>
      </c>
      <c r="I93" s="44" t="str">
        <f>_xlfn.IFNA(IF(VLOOKUP($D93,Organización_Modular!$F$10:$G$195,2,FALSE)=I$23,Itinerario!W93," ")," ")</f>
        <v xml:space="preserve"> </v>
      </c>
      <c r="J93" s="44" t="str">
        <f>_xlfn.IFNA(IF(VLOOKUP($D93,Organización_Modular!$F$10:$G$195,2,FALSE)=J$23,Itinerario!T93," ")," ")</f>
        <v xml:space="preserve"> </v>
      </c>
      <c r="K93" s="44" t="str">
        <f>_xlfn.IFNA(IF(VLOOKUP($D93,Organización_Modular!$F$10:$G$195,2,FALSE)=K$23,Itinerario!W93," ")," ")</f>
        <v xml:space="preserve"> </v>
      </c>
      <c r="L93" s="44" t="str">
        <f>_xlfn.IFNA(IF(VLOOKUP($D93,Organización_Modular!$F$10:$G$195,2,FALSE)=L$23,Itinerario!T93," ")," ")</f>
        <v xml:space="preserve"> </v>
      </c>
      <c r="M93" s="44" t="str">
        <f>_xlfn.IFNA(IF(VLOOKUP($D93,Organización_Modular!$F$10:$G$195,2,FALSE)=M$23,Itinerario!W93," ")," ")</f>
        <v xml:space="preserve"> </v>
      </c>
      <c r="N93" s="44" t="str">
        <f>_xlfn.IFNA(IF(VLOOKUP($D93,Organización_Modular!$F$10:$G$195,2,FALSE)=N$23,Itinerario!T93," ")," ")</f>
        <v xml:space="preserve"> </v>
      </c>
      <c r="O93" s="44" t="str">
        <f>_xlfn.IFNA(IF(VLOOKUP($D93,Organización_Modular!$F$10:$G$195,2,FALSE)=O$23,Itinerario!W93," ")," ")</f>
        <v xml:space="preserve"> </v>
      </c>
      <c r="P93" s="44" t="str">
        <f>_xlfn.IFNA(IF(VLOOKUP($D93,Organización_Modular!$F$10:$G$195,2,FALSE)=P$23,Itinerario!T93," ")," ")</f>
        <v xml:space="preserve"> </v>
      </c>
      <c r="Q93" s="44" t="str">
        <f>_xlfn.IFNA(IF(VLOOKUP($D93,Organización_Modular!$F$10:$G$195,2,FALSE)=Q$23,Itinerario!W93," ")," ")</f>
        <v xml:space="preserve"> </v>
      </c>
      <c r="R93" s="44">
        <f>Organización_Modular!H79</f>
        <v>0</v>
      </c>
      <c r="S93" s="44">
        <f>Organización_Modular!I79</f>
        <v>0</v>
      </c>
      <c r="T93" s="82">
        <f t="shared" si="8"/>
        <v>0</v>
      </c>
      <c r="U93" s="44">
        <f t="shared" si="9"/>
        <v>0</v>
      </c>
      <c r="V93" s="44">
        <f t="shared" si="10"/>
        <v>0</v>
      </c>
      <c r="W93" s="82">
        <f t="shared" si="11"/>
        <v>0</v>
      </c>
      <c r="X93" s="87">
        <f t="shared" si="12"/>
        <v>0</v>
      </c>
    </row>
    <row r="94" spans="1:24" ht="18" hidden="1" customHeight="1" x14ac:dyDescent="0.2">
      <c r="A94" s="535"/>
      <c r="B94" s="397"/>
      <c r="C94" s="538"/>
      <c r="D94" s="537">
        <f>Organización_Modular!F80</f>
        <v>0</v>
      </c>
      <c r="E94" s="537"/>
      <c r="F94" s="44" t="str">
        <f>_xlfn.IFNA(IF(VLOOKUP($D94,Organización_Modular!$F$10:$G$195,2,FALSE)=F$23,Itinerario!T94," ")," ")</f>
        <v xml:space="preserve"> </v>
      </c>
      <c r="G94" s="44" t="str">
        <f>_xlfn.IFNA(IF(VLOOKUP($D94,Organización_Modular!$F$10:$G$195,2,FALSE)=G$23,Itinerario!W94," ")," ")</f>
        <v xml:space="preserve"> </v>
      </c>
      <c r="H94" s="44" t="str">
        <f>_xlfn.IFNA(IF(VLOOKUP($D94,Organización_Modular!$F$10:$G$195,2,FALSE)=H$23,Itinerario!T94," ")," ")</f>
        <v xml:space="preserve"> </v>
      </c>
      <c r="I94" s="44" t="str">
        <f>_xlfn.IFNA(IF(VLOOKUP($D94,Organización_Modular!$F$10:$G$195,2,FALSE)=I$23,Itinerario!W94," ")," ")</f>
        <v xml:space="preserve"> </v>
      </c>
      <c r="J94" s="44" t="str">
        <f>_xlfn.IFNA(IF(VLOOKUP($D94,Organización_Modular!$F$10:$G$195,2,FALSE)=J$23,Itinerario!T94," ")," ")</f>
        <v xml:space="preserve"> </v>
      </c>
      <c r="K94" s="44" t="str">
        <f>_xlfn.IFNA(IF(VLOOKUP($D94,Organización_Modular!$F$10:$G$195,2,FALSE)=K$23,Itinerario!W94," ")," ")</f>
        <v xml:space="preserve"> </v>
      </c>
      <c r="L94" s="44" t="str">
        <f>_xlfn.IFNA(IF(VLOOKUP($D94,Organización_Modular!$F$10:$G$195,2,FALSE)=L$23,Itinerario!T94," ")," ")</f>
        <v xml:space="preserve"> </v>
      </c>
      <c r="M94" s="44" t="str">
        <f>_xlfn.IFNA(IF(VLOOKUP($D94,Organización_Modular!$F$10:$G$195,2,FALSE)=M$23,Itinerario!W94," ")," ")</f>
        <v xml:space="preserve"> </v>
      </c>
      <c r="N94" s="44" t="str">
        <f>_xlfn.IFNA(IF(VLOOKUP($D94,Organización_Modular!$F$10:$G$195,2,FALSE)=N$23,Itinerario!T94," ")," ")</f>
        <v xml:space="preserve"> </v>
      </c>
      <c r="O94" s="44" t="str">
        <f>_xlfn.IFNA(IF(VLOOKUP($D94,Organización_Modular!$F$10:$G$195,2,FALSE)=O$23,Itinerario!W94," ")," ")</f>
        <v xml:space="preserve"> </v>
      </c>
      <c r="P94" s="44" t="str">
        <f>_xlfn.IFNA(IF(VLOOKUP($D94,Organización_Modular!$F$10:$G$195,2,FALSE)=P$23,Itinerario!T94," ")," ")</f>
        <v xml:space="preserve"> </v>
      </c>
      <c r="Q94" s="44" t="str">
        <f>_xlfn.IFNA(IF(VLOOKUP($D94,Organización_Modular!$F$10:$G$195,2,FALSE)=Q$23,Itinerario!W94," ")," ")</f>
        <v xml:space="preserve"> </v>
      </c>
      <c r="R94" s="44">
        <f>Organización_Modular!H80</f>
        <v>0</v>
      </c>
      <c r="S94" s="44">
        <f>Organización_Modular!I80</f>
        <v>0</v>
      </c>
      <c r="T94" s="82">
        <f t="shared" si="8"/>
        <v>0</v>
      </c>
      <c r="U94" s="44">
        <f t="shared" si="9"/>
        <v>0</v>
      </c>
      <c r="V94" s="44">
        <f t="shared" si="10"/>
        <v>0</v>
      </c>
      <c r="W94" s="82">
        <f t="shared" si="11"/>
        <v>0</v>
      </c>
      <c r="X94" s="87">
        <f t="shared" si="12"/>
        <v>0</v>
      </c>
    </row>
    <row r="95" spans="1:24" ht="18" hidden="1" customHeight="1" x14ac:dyDescent="0.2">
      <c r="A95" s="535"/>
      <c r="B95" s="397"/>
      <c r="C95" s="538"/>
      <c r="D95" s="537">
        <f>Organización_Modular!F81</f>
        <v>0</v>
      </c>
      <c r="E95" s="537"/>
      <c r="F95" s="44" t="str">
        <f>_xlfn.IFNA(IF(VLOOKUP($D95,Organización_Modular!$F$10:$G$195,2,FALSE)=F$23,Itinerario!T95," ")," ")</f>
        <v xml:space="preserve"> </v>
      </c>
      <c r="G95" s="44" t="str">
        <f>_xlfn.IFNA(IF(VLOOKUP($D95,Organización_Modular!$F$10:$G$195,2,FALSE)=G$23,Itinerario!W95," ")," ")</f>
        <v xml:space="preserve"> </v>
      </c>
      <c r="H95" s="44" t="str">
        <f>_xlfn.IFNA(IF(VLOOKUP($D95,Organización_Modular!$F$10:$G$195,2,FALSE)=H$23,Itinerario!T95," ")," ")</f>
        <v xml:space="preserve"> </v>
      </c>
      <c r="I95" s="44" t="str">
        <f>_xlfn.IFNA(IF(VLOOKUP($D95,Organización_Modular!$F$10:$G$195,2,FALSE)=I$23,Itinerario!W95," ")," ")</f>
        <v xml:space="preserve"> </v>
      </c>
      <c r="J95" s="44" t="str">
        <f>_xlfn.IFNA(IF(VLOOKUP($D95,Organización_Modular!$F$10:$G$195,2,FALSE)=J$23,Itinerario!T95," ")," ")</f>
        <v xml:space="preserve"> </v>
      </c>
      <c r="K95" s="44" t="str">
        <f>_xlfn.IFNA(IF(VLOOKUP($D95,Organización_Modular!$F$10:$G$195,2,FALSE)=K$23,Itinerario!W95," ")," ")</f>
        <v xml:space="preserve"> </v>
      </c>
      <c r="L95" s="44" t="str">
        <f>_xlfn.IFNA(IF(VLOOKUP($D95,Organización_Modular!$F$10:$G$195,2,FALSE)=L$23,Itinerario!T95," ")," ")</f>
        <v xml:space="preserve"> </v>
      </c>
      <c r="M95" s="44" t="str">
        <f>_xlfn.IFNA(IF(VLOOKUP($D95,Organización_Modular!$F$10:$G$195,2,FALSE)=M$23,Itinerario!W95," ")," ")</f>
        <v xml:space="preserve"> </v>
      </c>
      <c r="N95" s="44" t="str">
        <f>_xlfn.IFNA(IF(VLOOKUP($D95,Organización_Modular!$F$10:$G$195,2,FALSE)=N$23,Itinerario!T95," ")," ")</f>
        <v xml:space="preserve"> </v>
      </c>
      <c r="O95" s="44" t="str">
        <f>_xlfn.IFNA(IF(VLOOKUP($D95,Organización_Modular!$F$10:$G$195,2,FALSE)=O$23,Itinerario!W95," ")," ")</f>
        <v xml:space="preserve"> </v>
      </c>
      <c r="P95" s="44" t="str">
        <f>_xlfn.IFNA(IF(VLOOKUP($D95,Organización_Modular!$F$10:$G$195,2,FALSE)=P$23,Itinerario!T95," ")," ")</f>
        <v xml:space="preserve"> </v>
      </c>
      <c r="Q95" s="44" t="str">
        <f>_xlfn.IFNA(IF(VLOOKUP($D95,Organización_Modular!$F$10:$G$195,2,FALSE)=Q$23,Itinerario!W95," ")," ")</f>
        <v xml:space="preserve"> </v>
      </c>
      <c r="R95" s="44">
        <f>Organización_Modular!H81</f>
        <v>0</v>
      </c>
      <c r="S95" s="44">
        <f>Organización_Modular!I81</f>
        <v>0</v>
      </c>
      <c r="T95" s="82">
        <f t="shared" si="8"/>
        <v>0</v>
      </c>
      <c r="U95" s="44">
        <f t="shared" si="9"/>
        <v>0</v>
      </c>
      <c r="V95" s="44">
        <f t="shared" si="10"/>
        <v>0</v>
      </c>
      <c r="W95" s="82">
        <f t="shared" si="11"/>
        <v>0</v>
      </c>
      <c r="X95" s="87">
        <f t="shared" si="12"/>
        <v>0</v>
      </c>
    </row>
    <row r="96" spans="1:24" ht="18" hidden="1" customHeight="1" x14ac:dyDescent="0.2">
      <c r="A96" s="535"/>
      <c r="B96" s="397"/>
      <c r="C96" s="538"/>
      <c r="D96" s="537">
        <f>Organización_Modular!F82</f>
        <v>0</v>
      </c>
      <c r="E96" s="537"/>
      <c r="F96" s="44" t="str">
        <f>_xlfn.IFNA(IF(VLOOKUP($D96,Organización_Modular!$F$10:$G$195,2,FALSE)=F$23,Itinerario!T96," ")," ")</f>
        <v xml:space="preserve"> </v>
      </c>
      <c r="G96" s="44" t="str">
        <f>_xlfn.IFNA(IF(VLOOKUP($D96,Organización_Modular!$F$10:$G$195,2,FALSE)=G$23,Itinerario!W96," ")," ")</f>
        <v xml:space="preserve"> </v>
      </c>
      <c r="H96" s="44" t="str">
        <f>_xlfn.IFNA(IF(VLOOKUP($D96,Organización_Modular!$F$10:$G$195,2,FALSE)=H$23,Itinerario!T96," ")," ")</f>
        <v xml:space="preserve"> </v>
      </c>
      <c r="I96" s="44" t="str">
        <f>_xlfn.IFNA(IF(VLOOKUP($D96,Organización_Modular!$F$10:$G$195,2,FALSE)=I$23,Itinerario!W96," ")," ")</f>
        <v xml:space="preserve"> </v>
      </c>
      <c r="J96" s="44" t="str">
        <f>_xlfn.IFNA(IF(VLOOKUP($D96,Organización_Modular!$F$10:$G$195,2,FALSE)=J$23,Itinerario!T96," ")," ")</f>
        <v xml:space="preserve"> </v>
      </c>
      <c r="K96" s="44" t="str">
        <f>_xlfn.IFNA(IF(VLOOKUP($D96,Organización_Modular!$F$10:$G$195,2,FALSE)=K$23,Itinerario!W96," ")," ")</f>
        <v xml:space="preserve"> </v>
      </c>
      <c r="L96" s="44" t="str">
        <f>_xlfn.IFNA(IF(VLOOKUP($D96,Organización_Modular!$F$10:$G$195,2,FALSE)=L$23,Itinerario!T96," ")," ")</f>
        <v xml:space="preserve"> </v>
      </c>
      <c r="M96" s="44" t="str">
        <f>_xlfn.IFNA(IF(VLOOKUP($D96,Organización_Modular!$F$10:$G$195,2,FALSE)=M$23,Itinerario!W96," ")," ")</f>
        <v xml:space="preserve"> </v>
      </c>
      <c r="N96" s="44" t="str">
        <f>_xlfn.IFNA(IF(VLOOKUP($D96,Organización_Modular!$F$10:$G$195,2,FALSE)=N$23,Itinerario!T96," ")," ")</f>
        <v xml:space="preserve"> </v>
      </c>
      <c r="O96" s="44" t="str">
        <f>_xlfn.IFNA(IF(VLOOKUP($D96,Organización_Modular!$F$10:$G$195,2,FALSE)=O$23,Itinerario!W96," ")," ")</f>
        <v xml:space="preserve"> </v>
      </c>
      <c r="P96" s="44" t="str">
        <f>_xlfn.IFNA(IF(VLOOKUP($D96,Organización_Modular!$F$10:$G$195,2,FALSE)=P$23,Itinerario!T96," ")," ")</f>
        <v xml:space="preserve"> </v>
      </c>
      <c r="Q96" s="44" t="str">
        <f>_xlfn.IFNA(IF(VLOOKUP($D96,Organización_Modular!$F$10:$G$195,2,FALSE)=Q$23,Itinerario!W96," ")," ")</f>
        <v xml:space="preserve"> </v>
      </c>
      <c r="R96" s="44">
        <f>Organización_Modular!H82</f>
        <v>0</v>
      </c>
      <c r="S96" s="44">
        <f>Organización_Modular!I82</f>
        <v>0</v>
      </c>
      <c r="T96" s="82">
        <f t="shared" si="8"/>
        <v>0</v>
      </c>
      <c r="U96" s="44">
        <f t="shared" si="9"/>
        <v>0</v>
      </c>
      <c r="V96" s="44">
        <f t="shared" si="10"/>
        <v>0</v>
      </c>
      <c r="W96" s="82">
        <f t="shared" si="11"/>
        <v>0</v>
      </c>
      <c r="X96" s="87">
        <f t="shared" si="12"/>
        <v>0</v>
      </c>
    </row>
    <row r="97" spans="1:24" ht="18" hidden="1" customHeight="1" x14ac:dyDescent="0.2">
      <c r="A97" s="535"/>
      <c r="B97" s="397"/>
      <c r="C97" s="538"/>
      <c r="D97" s="537">
        <f>Organización_Modular!F83</f>
        <v>0</v>
      </c>
      <c r="E97" s="537"/>
      <c r="F97" s="44" t="str">
        <f>_xlfn.IFNA(IF(VLOOKUP($D97,Organización_Modular!$F$10:$G$195,2,FALSE)=F$23,Itinerario!T97," ")," ")</f>
        <v xml:space="preserve"> </v>
      </c>
      <c r="G97" s="44" t="str">
        <f>_xlfn.IFNA(IF(VLOOKUP($D97,Organización_Modular!$F$10:$G$195,2,FALSE)=G$23,Itinerario!W97," ")," ")</f>
        <v xml:space="preserve"> </v>
      </c>
      <c r="H97" s="44" t="str">
        <f>_xlfn.IFNA(IF(VLOOKUP($D97,Organización_Modular!$F$10:$G$195,2,FALSE)=H$23,Itinerario!T97," ")," ")</f>
        <v xml:space="preserve"> </v>
      </c>
      <c r="I97" s="44" t="str">
        <f>_xlfn.IFNA(IF(VLOOKUP($D97,Organización_Modular!$F$10:$G$195,2,FALSE)=I$23,Itinerario!W97," ")," ")</f>
        <v xml:space="preserve"> </v>
      </c>
      <c r="J97" s="44" t="str">
        <f>_xlfn.IFNA(IF(VLOOKUP($D97,Organización_Modular!$F$10:$G$195,2,FALSE)=J$23,Itinerario!T97," ")," ")</f>
        <v xml:space="preserve"> </v>
      </c>
      <c r="K97" s="44" t="str">
        <f>_xlfn.IFNA(IF(VLOOKUP($D97,Organización_Modular!$F$10:$G$195,2,FALSE)=K$23,Itinerario!W97," ")," ")</f>
        <v xml:space="preserve"> </v>
      </c>
      <c r="L97" s="44" t="str">
        <f>_xlfn.IFNA(IF(VLOOKUP($D97,Organización_Modular!$F$10:$G$195,2,FALSE)=L$23,Itinerario!T97," ")," ")</f>
        <v xml:space="preserve"> </v>
      </c>
      <c r="M97" s="44" t="str">
        <f>_xlfn.IFNA(IF(VLOOKUP($D97,Organización_Modular!$F$10:$G$195,2,FALSE)=M$23,Itinerario!W97," ")," ")</f>
        <v xml:space="preserve"> </v>
      </c>
      <c r="N97" s="44" t="str">
        <f>_xlfn.IFNA(IF(VLOOKUP($D97,Organización_Modular!$F$10:$G$195,2,FALSE)=N$23,Itinerario!T97," ")," ")</f>
        <v xml:space="preserve"> </v>
      </c>
      <c r="O97" s="44" t="str">
        <f>_xlfn.IFNA(IF(VLOOKUP($D97,Organización_Modular!$F$10:$G$195,2,FALSE)=O$23,Itinerario!W97," ")," ")</f>
        <v xml:space="preserve"> </v>
      </c>
      <c r="P97" s="44" t="str">
        <f>_xlfn.IFNA(IF(VLOOKUP($D97,Organización_Modular!$F$10:$G$195,2,FALSE)=P$23,Itinerario!T97," ")," ")</f>
        <v xml:space="preserve"> </v>
      </c>
      <c r="Q97" s="44" t="str">
        <f>_xlfn.IFNA(IF(VLOOKUP($D97,Organización_Modular!$F$10:$G$195,2,FALSE)=Q$23,Itinerario!W97," ")," ")</f>
        <v xml:space="preserve"> </v>
      </c>
      <c r="R97" s="44">
        <f>Organización_Modular!H83</f>
        <v>0</v>
      </c>
      <c r="S97" s="44">
        <f>Organización_Modular!I83</f>
        <v>0</v>
      </c>
      <c r="T97" s="82">
        <f t="shared" si="8"/>
        <v>0</v>
      </c>
      <c r="U97" s="44">
        <f t="shared" si="9"/>
        <v>0</v>
      </c>
      <c r="V97" s="44">
        <f t="shared" si="10"/>
        <v>0</v>
      </c>
      <c r="W97" s="82">
        <f t="shared" si="11"/>
        <v>0</v>
      </c>
      <c r="X97" s="87">
        <f t="shared" si="12"/>
        <v>0</v>
      </c>
    </row>
    <row r="98" spans="1:24" ht="18" hidden="1" customHeight="1" x14ac:dyDescent="0.2">
      <c r="A98" s="535"/>
      <c r="B98" s="397"/>
      <c r="C98" s="538"/>
      <c r="D98" s="537">
        <f>Organización_Modular!F84</f>
        <v>0</v>
      </c>
      <c r="E98" s="537"/>
      <c r="F98" s="44" t="str">
        <f>_xlfn.IFNA(IF(VLOOKUP($D98,Organización_Modular!$F$10:$G$195,2,FALSE)=F$23,Itinerario!T98," ")," ")</f>
        <v xml:space="preserve"> </v>
      </c>
      <c r="G98" s="44" t="str">
        <f>_xlfn.IFNA(IF(VLOOKUP($D98,Organización_Modular!$F$10:$G$195,2,FALSE)=G$23,Itinerario!W98," ")," ")</f>
        <v xml:space="preserve"> </v>
      </c>
      <c r="H98" s="44" t="str">
        <f>_xlfn.IFNA(IF(VLOOKUP($D98,Organización_Modular!$F$10:$G$195,2,FALSE)=H$23,Itinerario!T98," ")," ")</f>
        <v xml:space="preserve"> </v>
      </c>
      <c r="I98" s="44" t="str">
        <f>_xlfn.IFNA(IF(VLOOKUP($D98,Organización_Modular!$F$10:$G$195,2,FALSE)=I$23,Itinerario!W98," ")," ")</f>
        <v xml:space="preserve"> </v>
      </c>
      <c r="J98" s="44" t="str">
        <f>_xlfn.IFNA(IF(VLOOKUP($D98,Organización_Modular!$F$10:$G$195,2,FALSE)=J$23,Itinerario!T98," ")," ")</f>
        <v xml:space="preserve"> </v>
      </c>
      <c r="K98" s="44" t="str">
        <f>_xlfn.IFNA(IF(VLOOKUP($D98,Organización_Modular!$F$10:$G$195,2,FALSE)=K$23,Itinerario!W98," ")," ")</f>
        <v xml:space="preserve"> </v>
      </c>
      <c r="L98" s="44" t="str">
        <f>_xlfn.IFNA(IF(VLOOKUP($D98,Organización_Modular!$F$10:$G$195,2,FALSE)=L$23,Itinerario!T98," ")," ")</f>
        <v xml:space="preserve"> </v>
      </c>
      <c r="M98" s="44" t="str">
        <f>_xlfn.IFNA(IF(VLOOKUP($D98,Organización_Modular!$F$10:$G$195,2,FALSE)=M$23,Itinerario!W98," ")," ")</f>
        <v xml:space="preserve"> </v>
      </c>
      <c r="N98" s="44" t="str">
        <f>_xlfn.IFNA(IF(VLOOKUP($D98,Organización_Modular!$F$10:$G$195,2,FALSE)=N$23,Itinerario!T98," ")," ")</f>
        <v xml:space="preserve"> </v>
      </c>
      <c r="O98" s="44" t="str">
        <f>_xlfn.IFNA(IF(VLOOKUP($D98,Organización_Modular!$F$10:$G$195,2,FALSE)=O$23,Itinerario!W98," ")," ")</f>
        <v xml:space="preserve"> </v>
      </c>
      <c r="P98" s="44" t="str">
        <f>_xlfn.IFNA(IF(VLOOKUP($D98,Organización_Modular!$F$10:$G$195,2,FALSE)=P$23,Itinerario!T98," ")," ")</f>
        <v xml:space="preserve"> </v>
      </c>
      <c r="Q98" s="44" t="str">
        <f>_xlfn.IFNA(IF(VLOOKUP($D98,Organización_Modular!$F$10:$G$195,2,FALSE)=Q$23,Itinerario!W98," ")," ")</f>
        <v xml:space="preserve"> </v>
      </c>
      <c r="R98" s="44">
        <f>Organización_Modular!H84</f>
        <v>0</v>
      </c>
      <c r="S98" s="44">
        <f>Organización_Modular!I84</f>
        <v>0</v>
      </c>
      <c r="T98" s="82">
        <f t="shared" si="8"/>
        <v>0</v>
      </c>
      <c r="U98" s="44">
        <f t="shared" si="9"/>
        <v>0</v>
      </c>
      <c r="V98" s="44">
        <f t="shared" si="10"/>
        <v>0</v>
      </c>
      <c r="W98" s="82">
        <f t="shared" si="11"/>
        <v>0</v>
      </c>
      <c r="X98" s="87">
        <f t="shared" si="12"/>
        <v>0</v>
      </c>
    </row>
    <row r="99" spans="1:24" ht="18" hidden="1" customHeight="1" x14ac:dyDescent="0.2">
      <c r="A99" s="535"/>
      <c r="B99" s="397"/>
      <c r="C99" s="538"/>
      <c r="D99" s="537">
        <f>Organización_Modular!F85</f>
        <v>0</v>
      </c>
      <c r="E99" s="537"/>
      <c r="F99" s="44" t="str">
        <f>_xlfn.IFNA(IF(VLOOKUP($D99,Organización_Modular!$F$10:$G$195,2,FALSE)=F$23,Itinerario!T99," ")," ")</f>
        <v xml:space="preserve"> </v>
      </c>
      <c r="G99" s="44" t="str">
        <f>_xlfn.IFNA(IF(VLOOKUP($D99,Organización_Modular!$F$10:$G$195,2,FALSE)=G$23,Itinerario!W99," ")," ")</f>
        <v xml:space="preserve"> </v>
      </c>
      <c r="H99" s="44" t="str">
        <f>_xlfn.IFNA(IF(VLOOKUP($D99,Organización_Modular!$F$10:$G$195,2,FALSE)=H$23,Itinerario!T99," ")," ")</f>
        <v xml:space="preserve"> </v>
      </c>
      <c r="I99" s="44" t="str">
        <f>_xlfn.IFNA(IF(VLOOKUP($D99,Organización_Modular!$F$10:$G$195,2,FALSE)=I$23,Itinerario!W99," ")," ")</f>
        <v xml:space="preserve"> </v>
      </c>
      <c r="J99" s="44" t="str">
        <f>_xlfn.IFNA(IF(VLOOKUP($D99,Organización_Modular!$F$10:$G$195,2,FALSE)=J$23,Itinerario!T99," ")," ")</f>
        <v xml:space="preserve"> </v>
      </c>
      <c r="K99" s="44" t="str">
        <f>_xlfn.IFNA(IF(VLOOKUP($D99,Organización_Modular!$F$10:$G$195,2,FALSE)=K$23,Itinerario!W99," ")," ")</f>
        <v xml:space="preserve"> </v>
      </c>
      <c r="L99" s="44" t="str">
        <f>_xlfn.IFNA(IF(VLOOKUP($D99,Organización_Modular!$F$10:$G$195,2,FALSE)=L$23,Itinerario!T99," ")," ")</f>
        <v xml:space="preserve"> </v>
      </c>
      <c r="M99" s="44" t="str">
        <f>_xlfn.IFNA(IF(VLOOKUP($D99,Organización_Modular!$F$10:$G$195,2,FALSE)=M$23,Itinerario!W99," ")," ")</f>
        <v xml:space="preserve"> </v>
      </c>
      <c r="N99" s="44" t="str">
        <f>_xlfn.IFNA(IF(VLOOKUP($D99,Organización_Modular!$F$10:$G$195,2,FALSE)=N$23,Itinerario!T99," ")," ")</f>
        <v xml:space="preserve"> </v>
      </c>
      <c r="O99" s="44" t="str">
        <f>_xlfn.IFNA(IF(VLOOKUP($D99,Organización_Modular!$F$10:$G$195,2,FALSE)=O$23,Itinerario!W99," ")," ")</f>
        <v xml:space="preserve"> </v>
      </c>
      <c r="P99" s="44" t="str">
        <f>_xlfn.IFNA(IF(VLOOKUP($D99,Organización_Modular!$F$10:$G$195,2,FALSE)=P$23,Itinerario!T99," ")," ")</f>
        <v xml:space="preserve"> </v>
      </c>
      <c r="Q99" s="44" t="str">
        <f>_xlfn.IFNA(IF(VLOOKUP($D99,Organización_Modular!$F$10:$G$195,2,FALSE)=Q$23,Itinerario!W99," ")," ")</f>
        <v xml:space="preserve"> </v>
      </c>
      <c r="R99" s="44">
        <f>Organización_Modular!H85</f>
        <v>0</v>
      </c>
      <c r="S99" s="44">
        <f>Organización_Modular!I85</f>
        <v>0</v>
      </c>
      <c r="T99" s="82">
        <f t="shared" si="8"/>
        <v>0</v>
      </c>
      <c r="U99" s="44">
        <f t="shared" si="9"/>
        <v>0</v>
      </c>
      <c r="V99" s="44">
        <f t="shared" si="10"/>
        <v>0</v>
      </c>
      <c r="W99" s="82">
        <f t="shared" si="11"/>
        <v>0</v>
      </c>
      <c r="X99" s="87">
        <f t="shared" si="12"/>
        <v>0</v>
      </c>
    </row>
    <row r="100" spans="1:24" ht="18" hidden="1" customHeight="1" x14ac:dyDescent="0.2">
      <c r="A100" s="535"/>
      <c r="B100" s="397"/>
      <c r="C100" s="538"/>
      <c r="D100" s="537">
        <f>Organización_Modular!F86</f>
        <v>0</v>
      </c>
      <c r="E100" s="537"/>
      <c r="F100" s="44" t="str">
        <f>_xlfn.IFNA(IF(VLOOKUP($D100,Organización_Modular!$F$10:$G$195,2,FALSE)=F$23,Itinerario!T100," ")," ")</f>
        <v xml:space="preserve"> </v>
      </c>
      <c r="G100" s="44" t="str">
        <f>_xlfn.IFNA(IF(VLOOKUP($D100,Organización_Modular!$F$10:$G$195,2,FALSE)=G$23,Itinerario!W100," ")," ")</f>
        <v xml:space="preserve"> </v>
      </c>
      <c r="H100" s="44" t="str">
        <f>_xlfn.IFNA(IF(VLOOKUP($D100,Organización_Modular!$F$10:$G$195,2,FALSE)=H$23,Itinerario!T100," ")," ")</f>
        <v xml:space="preserve"> </v>
      </c>
      <c r="I100" s="44" t="str">
        <f>_xlfn.IFNA(IF(VLOOKUP($D100,Organización_Modular!$F$10:$G$195,2,FALSE)=I$23,Itinerario!W100," ")," ")</f>
        <v xml:space="preserve"> </v>
      </c>
      <c r="J100" s="44" t="str">
        <f>_xlfn.IFNA(IF(VLOOKUP($D100,Organización_Modular!$F$10:$G$195,2,FALSE)=J$23,Itinerario!T100," ")," ")</f>
        <v xml:space="preserve"> </v>
      </c>
      <c r="K100" s="44" t="str">
        <f>_xlfn.IFNA(IF(VLOOKUP($D100,Organización_Modular!$F$10:$G$195,2,FALSE)=K$23,Itinerario!W100," ")," ")</f>
        <v xml:space="preserve"> </v>
      </c>
      <c r="L100" s="44" t="str">
        <f>_xlfn.IFNA(IF(VLOOKUP($D100,Organización_Modular!$F$10:$G$195,2,FALSE)=L$23,Itinerario!T100," ")," ")</f>
        <v xml:space="preserve"> </v>
      </c>
      <c r="M100" s="44" t="str">
        <f>_xlfn.IFNA(IF(VLOOKUP($D100,Organización_Modular!$F$10:$G$195,2,FALSE)=M$23,Itinerario!W100," ")," ")</f>
        <v xml:space="preserve"> </v>
      </c>
      <c r="N100" s="44" t="str">
        <f>_xlfn.IFNA(IF(VLOOKUP($D100,Organización_Modular!$F$10:$G$195,2,FALSE)=N$23,Itinerario!T100," ")," ")</f>
        <v xml:space="preserve"> </v>
      </c>
      <c r="O100" s="44" t="str">
        <f>_xlfn.IFNA(IF(VLOOKUP($D100,Organización_Modular!$F$10:$G$195,2,FALSE)=O$23,Itinerario!W100," ")," ")</f>
        <v xml:space="preserve"> </v>
      </c>
      <c r="P100" s="44" t="str">
        <f>_xlfn.IFNA(IF(VLOOKUP($D100,Organización_Modular!$F$10:$G$195,2,FALSE)=P$23,Itinerario!T100," ")," ")</f>
        <v xml:space="preserve"> </v>
      </c>
      <c r="Q100" s="44" t="str">
        <f>_xlfn.IFNA(IF(VLOOKUP($D100,Organización_Modular!$F$10:$G$195,2,FALSE)=Q$23,Itinerario!W100," ")," ")</f>
        <v xml:space="preserve"> </v>
      </c>
      <c r="R100" s="44">
        <f>Organización_Modular!H86</f>
        <v>0</v>
      </c>
      <c r="S100" s="44">
        <f>Organización_Modular!I86</f>
        <v>0</v>
      </c>
      <c r="T100" s="82">
        <f t="shared" si="8"/>
        <v>0</v>
      </c>
      <c r="U100" s="44">
        <f t="shared" si="9"/>
        <v>0</v>
      </c>
      <c r="V100" s="44">
        <f t="shared" si="10"/>
        <v>0</v>
      </c>
      <c r="W100" s="82">
        <f t="shared" si="11"/>
        <v>0</v>
      </c>
      <c r="X100" s="87">
        <f t="shared" si="12"/>
        <v>0</v>
      </c>
    </row>
    <row r="101" spans="1:24" ht="18" hidden="1" customHeight="1" x14ac:dyDescent="0.2">
      <c r="A101" s="535"/>
      <c r="B101" s="397"/>
      <c r="C101" s="538"/>
      <c r="D101" s="537">
        <f>Organización_Modular!F87</f>
        <v>0</v>
      </c>
      <c r="E101" s="537"/>
      <c r="F101" s="44" t="str">
        <f>_xlfn.IFNA(IF(VLOOKUP($D101,Organización_Modular!$F$10:$G$195,2,FALSE)=F$23,Itinerario!T101," ")," ")</f>
        <v xml:space="preserve"> </v>
      </c>
      <c r="G101" s="44" t="str">
        <f>_xlfn.IFNA(IF(VLOOKUP($D101,Organización_Modular!$F$10:$G$195,2,FALSE)=G$23,Itinerario!W101," ")," ")</f>
        <v xml:space="preserve"> </v>
      </c>
      <c r="H101" s="44" t="str">
        <f>_xlfn.IFNA(IF(VLOOKUP($D101,Organización_Modular!$F$10:$G$195,2,FALSE)=H$23,Itinerario!T101," ")," ")</f>
        <v xml:space="preserve"> </v>
      </c>
      <c r="I101" s="44" t="str">
        <f>_xlfn.IFNA(IF(VLOOKUP($D101,Organización_Modular!$F$10:$G$195,2,FALSE)=I$23,Itinerario!W101," ")," ")</f>
        <v xml:space="preserve"> </v>
      </c>
      <c r="J101" s="44" t="str">
        <f>_xlfn.IFNA(IF(VLOOKUP($D101,Organización_Modular!$F$10:$G$195,2,FALSE)=J$23,Itinerario!T101," ")," ")</f>
        <v xml:space="preserve"> </v>
      </c>
      <c r="K101" s="44" t="str">
        <f>_xlfn.IFNA(IF(VLOOKUP($D101,Organización_Modular!$F$10:$G$195,2,FALSE)=K$23,Itinerario!W101," ")," ")</f>
        <v xml:space="preserve"> </v>
      </c>
      <c r="L101" s="44" t="str">
        <f>_xlfn.IFNA(IF(VLOOKUP($D101,Organización_Modular!$F$10:$G$195,2,FALSE)=L$23,Itinerario!T101," ")," ")</f>
        <v xml:space="preserve"> </v>
      </c>
      <c r="M101" s="44" t="str">
        <f>_xlfn.IFNA(IF(VLOOKUP($D101,Organización_Modular!$F$10:$G$195,2,FALSE)=M$23,Itinerario!W101," ")," ")</f>
        <v xml:space="preserve"> </v>
      </c>
      <c r="N101" s="44" t="str">
        <f>_xlfn.IFNA(IF(VLOOKUP($D101,Organización_Modular!$F$10:$G$195,2,FALSE)=N$23,Itinerario!T101," ")," ")</f>
        <v xml:space="preserve"> </v>
      </c>
      <c r="O101" s="44" t="str">
        <f>_xlfn.IFNA(IF(VLOOKUP($D101,Organización_Modular!$F$10:$G$195,2,FALSE)=O$23,Itinerario!W101," ")," ")</f>
        <v xml:space="preserve"> </v>
      </c>
      <c r="P101" s="44" t="str">
        <f>_xlfn.IFNA(IF(VLOOKUP($D101,Organización_Modular!$F$10:$G$195,2,FALSE)=P$23,Itinerario!T101," ")," ")</f>
        <v xml:space="preserve"> </v>
      </c>
      <c r="Q101" s="44" t="str">
        <f>_xlfn.IFNA(IF(VLOOKUP($D101,Organización_Modular!$F$10:$G$195,2,FALSE)=Q$23,Itinerario!W101," ")," ")</f>
        <v xml:space="preserve"> </v>
      </c>
      <c r="R101" s="44">
        <f>Organización_Modular!H87</f>
        <v>0</v>
      </c>
      <c r="S101" s="44">
        <f>Organización_Modular!I87</f>
        <v>0</v>
      </c>
      <c r="T101" s="82">
        <f t="shared" si="8"/>
        <v>0</v>
      </c>
      <c r="U101" s="44">
        <f t="shared" si="9"/>
        <v>0</v>
      </c>
      <c r="V101" s="44">
        <f t="shared" si="10"/>
        <v>0</v>
      </c>
      <c r="W101" s="82">
        <f t="shared" si="11"/>
        <v>0</v>
      </c>
      <c r="X101" s="87">
        <f t="shared" si="12"/>
        <v>0</v>
      </c>
    </row>
    <row r="102" spans="1:24" ht="18" hidden="1" customHeight="1" x14ac:dyDescent="0.2">
      <c r="A102" s="535"/>
      <c r="B102" s="397"/>
      <c r="C102" s="538"/>
      <c r="D102" s="537">
        <f>Organización_Modular!F88</f>
        <v>0</v>
      </c>
      <c r="E102" s="537"/>
      <c r="F102" s="44" t="str">
        <f>_xlfn.IFNA(IF(VLOOKUP($D102,Organización_Modular!$F$10:$G$195,2,FALSE)=F$23,Itinerario!T102," ")," ")</f>
        <v xml:space="preserve"> </v>
      </c>
      <c r="G102" s="44" t="str">
        <f>_xlfn.IFNA(IF(VLOOKUP($D102,Organización_Modular!$F$10:$G$195,2,FALSE)=G$23,Itinerario!W102," ")," ")</f>
        <v xml:space="preserve"> </v>
      </c>
      <c r="H102" s="44" t="str">
        <f>_xlfn.IFNA(IF(VLOOKUP($D102,Organización_Modular!$F$10:$G$195,2,FALSE)=H$23,Itinerario!T102," ")," ")</f>
        <v xml:space="preserve"> </v>
      </c>
      <c r="I102" s="44" t="str">
        <f>_xlfn.IFNA(IF(VLOOKUP($D102,Organización_Modular!$F$10:$G$195,2,FALSE)=I$23,Itinerario!W102," ")," ")</f>
        <v xml:space="preserve"> </v>
      </c>
      <c r="J102" s="44" t="str">
        <f>_xlfn.IFNA(IF(VLOOKUP($D102,Organización_Modular!$F$10:$G$195,2,FALSE)=J$23,Itinerario!T102," ")," ")</f>
        <v xml:space="preserve"> </v>
      </c>
      <c r="K102" s="44" t="str">
        <f>_xlfn.IFNA(IF(VLOOKUP($D102,Organización_Modular!$F$10:$G$195,2,FALSE)=K$23,Itinerario!W102," ")," ")</f>
        <v xml:space="preserve"> </v>
      </c>
      <c r="L102" s="44" t="str">
        <f>_xlfn.IFNA(IF(VLOOKUP($D102,Organización_Modular!$F$10:$G$195,2,FALSE)=L$23,Itinerario!T102," ")," ")</f>
        <v xml:space="preserve"> </v>
      </c>
      <c r="M102" s="44" t="str">
        <f>_xlfn.IFNA(IF(VLOOKUP($D102,Organización_Modular!$F$10:$G$195,2,FALSE)=M$23,Itinerario!W102," ")," ")</f>
        <v xml:space="preserve"> </v>
      </c>
      <c r="N102" s="44" t="str">
        <f>_xlfn.IFNA(IF(VLOOKUP($D102,Organización_Modular!$F$10:$G$195,2,FALSE)=N$23,Itinerario!T102," ")," ")</f>
        <v xml:space="preserve"> </v>
      </c>
      <c r="O102" s="44" t="str">
        <f>_xlfn.IFNA(IF(VLOOKUP($D102,Organización_Modular!$F$10:$G$195,2,FALSE)=O$23,Itinerario!W102," ")," ")</f>
        <v xml:space="preserve"> </v>
      </c>
      <c r="P102" s="44" t="str">
        <f>_xlfn.IFNA(IF(VLOOKUP($D102,Organización_Modular!$F$10:$G$195,2,FALSE)=P$23,Itinerario!T102," ")," ")</f>
        <v xml:space="preserve"> </v>
      </c>
      <c r="Q102" s="44" t="str">
        <f>_xlfn.IFNA(IF(VLOOKUP($D102,Organización_Modular!$F$10:$G$195,2,FALSE)=Q$23,Itinerario!W102," ")," ")</f>
        <v xml:space="preserve"> </v>
      </c>
      <c r="R102" s="44">
        <f>Organización_Modular!H88</f>
        <v>0</v>
      </c>
      <c r="S102" s="44">
        <f>Organización_Modular!I88</f>
        <v>0</v>
      </c>
      <c r="T102" s="82">
        <f t="shared" si="8"/>
        <v>0</v>
      </c>
      <c r="U102" s="44">
        <f t="shared" si="9"/>
        <v>0</v>
      </c>
      <c r="V102" s="44">
        <f t="shared" si="10"/>
        <v>0</v>
      </c>
      <c r="W102" s="82">
        <f t="shared" si="11"/>
        <v>0</v>
      </c>
      <c r="X102" s="87">
        <f t="shared" si="12"/>
        <v>0</v>
      </c>
    </row>
    <row r="103" spans="1:24" ht="18" hidden="1" customHeight="1" x14ac:dyDescent="0.2">
      <c r="A103" s="535"/>
      <c r="B103" s="397"/>
      <c r="C103" s="538"/>
      <c r="D103" s="537">
        <f>Organización_Modular!F89</f>
        <v>0</v>
      </c>
      <c r="E103" s="537"/>
      <c r="F103" s="44" t="str">
        <f>_xlfn.IFNA(IF(VLOOKUP($D103,Organización_Modular!$F$10:$G$195,2,FALSE)=F$23,Itinerario!T103," ")," ")</f>
        <v xml:space="preserve"> </v>
      </c>
      <c r="G103" s="44" t="str">
        <f>_xlfn.IFNA(IF(VLOOKUP($D103,Organización_Modular!$F$10:$G$195,2,FALSE)=G$23,Itinerario!W103," ")," ")</f>
        <v xml:space="preserve"> </v>
      </c>
      <c r="H103" s="44" t="str">
        <f>_xlfn.IFNA(IF(VLOOKUP($D103,Organización_Modular!$F$10:$G$195,2,FALSE)=H$23,Itinerario!T103," ")," ")</f>
        <v xml:space="preserve"> </v>
      </c>
      <c r="I103" s="44" t="str">
        <f>_xlfn.IFNA(IF(VLOOKUP($D103,Organización_Modular!$F$10:$G$195,2,FALSE)=I$23,Itinerario!W103," ")," ")</f>
        <v xml:space="preserve"> </v>
      </c>
      <c r="J103" s="44" t="str">
        <f>_xlfn.IFNA(IF(VLOOKUP($D103,Organización_Modular!$F$10:$G$195,2,FALSE)=J$23,Itinerario!T103," ")," ")</f>
        <v xml:space="preserve"> </v>
      </c>
      <c r="K103" s="44" t="str">
        <f>_xlfn.IFNA(IF(VLOOKUP($D103,Organización_Modular!$F$10:$G$195,2,FALSE)=K$23,Itinerario!W103," ")," ")</f>
        <v xml:space="preserve"> </v>
      </c>
      <c r="L103" s="44" t="str">
        <f>_xlfn.IFNA(IF(VLOOKUP($D103,Organización_Modular!$F$10:$G$195,2,FALSE)=L$23,Itinerario!T103," ")," ")</f>
        <v xml:space="preserve"> </v>
      </c>
      <c r="M103" s="44" t="str">
        <f>_xlfn.IFNA(IF(VLOOKUP($D103,Organización_Modular!$F$10:$G$195,2,FALSE)=M$23,Itinerario!W103," ")," ")</f>
        <v xml:space="preserve"> </v>
      </c>
      <c r="N103" s="44" t="str">
        <f>_xlfn.IFNA(IF(VLOOKUP($D103,Organización_Modular!$F$10:$G$195,2,FALSE)=N$23,Itinerario!T103," ")," ")</f>
        <v xml:space="preserve"> </v>
      </c>
      <c r="O103" s="44" t="str">
        <f>_xlfn.IFNA(IF(VLOOKUP($D103,Organización_Modular!$F$10:$G$195,2,FALSE)=O$23,Itinerario!W103," ")," ")</f>
        <v xml:space="preserve"> </v>
      </c>
      <c r="P103" s="44" t="str">
        <f>_xlfn.IFNA(IF(VLOOKUP($D103,Organización_Modular!$F$10:$G$195,2,FALSE)=P$23,Itinerario!T103," ")," ")</f>
        <v xml:space="preserve"> </v>
      </c>
      <c r="Q103" s="44" t="str">
        <f>_xlfn.IFNA(IF(VLOOKUP($D103,Organización_Modular!$F$10:$G$195,2,FALSE)=Q$23,Itinerario!W103," ")," ")</f>
        <v xml:space="preserve"> </v>
      </c>
      <c r="R103" s="44">
        <f>Organización_Modular!H89</f>
        <v>0</v>
      </c>
      <c r="S103" s="44">
        <f>Organización_Modular!I89</f>
        <v>0</v>
      </c>
      <c r="T103" s="82">
        <f t="shared" si="8"/>
        <v>0</v>
      </c>
      <c r="U103" s="44">
        <f t="shared" si="9"/>
        <v>0</v>
      </c>
      <c r="V103" s="44">
        <f t="shared" si="10"/>
        <v>0</v>
      </c>
      <c r="W103" s="82">
        <f t="shared" si="11"/>
        <v>0</v>
      </c>
      <c r="X103" s="87">
        <f t="shared" si="12"/>
        <v>0</v>
      </c>
    </row>
    <row r="104" spans="1:24" ht="18" hidden="1" customHeight="1" x14ac:dyDescent="0.2">
      <c r="A104" s="535"/>
      <c r="B104" s="397"/>
      <c r="C104" s="538"/>
      <c r="D104" s="537">
        <f>Organización_Modular!F90</f>
        <v>0</v>
      </c>
      <c r="E104" s="537"/>
      <c r="F104" s="44" t="str">
        <f>_xlfn.IFNA(IF(VLOOKUP($D104,Organización_Modular!$F$10:$G$195,2,FALSE)=F$23,Itinerario!T104," ")," ")</f>
        <v xml:space="preserve"> </v>
      </c>
      <c r="G104" s="44" t="str">
        <f>_xlfn.IFNA(IF(VLOOKUP($D104,Organización_Modular!$F$10:$G$195,2,FALSE)=G$23,Itinerario!W104," ")," ")</f>
        <v xml:space="preserve"> </v>
      </c>
      <c r="H104" s="44" t="str">
        <f>_xlfn.IFNA(IF(VLOOKUP($D104,Organización_Modular!$F$10:$G$195,2,FALSE)=H$23,Itinerario!T104," ")," ")</f>
        <v xml:space="preserve"> </v>
      </c>
      <c r="I104" s="44" t="str">
        <f>_xlfn.IFNA(IF(VLOOKUP($D104,Organización_Modular!$F$10:$G$195,2,FALSE)=I$23,Itinerario!W104," ")," ")</f>
        <v xml:space="preserve"> </v>
      </c>
      <c r="J104" s="44" t="str">
        <f>_xlfn.IFNA(IF(VLOOKUP($D104,Organización_Modular!$F$10:$G$195,2,FALSE)=J$23,Itinerario!T104," ")," ")</f>
        <v xml:space="preserve"> </v>
      </c>
      <c r="K104" s="44" t="str">
        <f>_xlfn.IFNA(IF(VLOOKUP($D104,Organización_Modular!$F$10:$G$195,2,FALSE)=K$23,Itinerario!W104," ")," ")</f>
        <v xml:space="preserve"> </v>
      </c>
      <c r="L104" s="44" t="str">
        <f>_xlfn.IFNA(IF(VLOOKUP($D104,Organización_Modular!$F$10:$G$195,2,FALSE)=L$23,Itinerario!T104," ")," ")</f>
        <v xml:space="preserve"> </v>
      </c>
      <c r="M104" s="44" t="str">
        <f>_xlfn.IFNA(IF(VLOOKUP($D104,Organización_Modular!$F$10:$G$195,2,FALSE)=M$23,Itinerario!W104," ")," ")</f>
        <v xml:space="preserve"> </v>
      </c>
      <c r="N104" s="44" t="str">
        <f>_xlfn.IFNA(IF(VLOOKUP($D104,Organización_Modular!$F$10:$G$195,2,FALSE)=N$23,Itinerario!T104," ")," ")</f>
        <v xml:space="preserve"> </v>
      </c>
      <c r="O104" s="44" t="str">
        <f>_xlfn.IFNA(IF(VLOOKUP($D104,Organización_Modular!$F$10:$G$195,2,FALSE)=O$23,Itinerario!W104," ")," ")</f>
        <v xml:space="preserve"> </v>
      </c>
      <c r="P104" s="44" t="str">
        <f>_xlfn.IFNA(IF(VLOOKUP($D104,Organización_Modular!$F$10:$G$195,2,FALSE)=P$23,Itinerario!T104," ")," ")</f>
        <v xml:space="preserve"> </v>
      </c>
      <c r="Q104" s="44" t="str">
        <f>_xlfn.IFNA(IF(VLOOKUP($D104,Organización_Modular!$F$10:$G$195,2,FALSE)=Q$23,Itinerario!W104," ")," ")</f>
        <v xml:space="preserve"> </v>
      </c>
      <c r="R104" s="44">
        <f>Organización_Modular!H90</f>
        <v>0</v>
      </c>
      <c r="S104" s="44">
        <f>Organización_Modular!I90</f>
        <v>0</v>
      </c>
      <c r="T104" s="82">
        <f t="shared" si="8"/>
        <v>0</v>
      </c>
      <c r="U104" s="44">
        <f t="shared" si="9"/>
        <v>0</v>
      </c>
      <c r="V104" s="44">
        <f t="shared" si="10"/>
        <v>0</v>
      </c>
      <c r="W104" s="82">
        <f t="shared" si="11"/>
        <v>0</v>
      </c>
      <c r="X104" s="87">
        <f t="shared" si="12"/>
        <v>0</v>
      </c>
    </row>
    <row r="105" spans="1:24" ht="18" hidden="1" customHeight="1" x14ac:dyDescent="0.2">
      <c r="A105" s="535"/>
      <c r="B105" s="397"/>
      <c r="C105" s="538"/>
      <c r="D105" s="537">
        <f>Organización_Modular!F91</f>
        <v>0</v>
      </c>
      <c r="E105" s="537"/>
      <c r="F105" s="44" t="str">
        <f>_xlfn.IFNA(IF(VLOOKUP($D105,Organización_Modular!$F$10:$G$195,2,FALSE)=F$23,Itinerario!T105," ")," ")</f>
        <v xml:space="preserve"> </v>
      </c>
      <c r="G105" s="44" t="str">
        <f>_xlfn.IFNA(IF(VLOOKUP($D105,Organización_Modular!$F$10:$G$195,2,FALSE)=G$23,Itinerario!W105," ")," ")</f>
        <v xml:space="preserve"> </v>
      </c>
      <c r="H105" s="44" t="str">
        <f>_xlfn.IFNA(IF(VLOOKUP($D105,Organización_Modular!$F$10:$G$195,2,FALSE)=H$23,Itinerario!T105," ")," ")</f>
        <v xml:space="preserve"> </v>
      </c>
      <c r="I105" s="44" t="str">
        <f>_xlfn.IFNA(IF(VLOOKUP($D105,Organización_Modular!$F$10:$G$195,2,FALSE)=I$23,Itinerario!W105," ")," ")</f>
        <v xml:space="preserve"> </v>
      </c>
      <c r="J105" s="44" t="str">
        <f>_xlfn.IFNA(IF(VLOOKUP($D105,Organización_Modular!$F$10:$G$195,2,FALSE)=J$23,Itinerario!T105," ")," ")</f>
        <v xml:space="preserve"> </v>
      </c>
      <c r="K105" s="44" t="str">
        <f>_xlfn.IFNA(IF(VLOOKUP($D105,Organización_Modular!$F$10:$G$195,2,FALSE)=K$23,Itinerario!W105," ")," ")</f>
        <v xml:space="preserve"> </v>
      </c>
      <c r="L105" s="44" t="str">
        <f>_xlfn.IFNA(IF(VLOOKUP($D105,Organización_Modular!$F$10:$G$195,2,FALSE)=L$23,Itinerario!T105," ")," ")</f>
        <v xml:space="preserve"> </v>
      </c>
      <c r="M105" s="44" t="str">
        <f>_xlfn.IFNA(IF(VLOOKUP($D105,Organización_Modular!$F$10:$G$195,2,FALSE)=M$23,Itinerario!W105," ")," ")</f>
        <v xml:space="preserve"> </v>
      </c>
      <c r="N105" s="44" t="str">
        <f>_xlfn.IFNA(IF(VLOOKUP($D105,Organización_Modular!$F$10:$G$195,2,FALSE)=N$23,Itinerario!T105," ")," ")</f>
        <v xml:space="preserve"> </v>
      </c>
      <c r="O105" s="44" t="str">
        <f>_xlfn.IFNA(IF(VLOOKUP($D105,Organización_Modular!$F$10:$G$195,2,FALSE)=O$23,Itinerario!W105," ")," ")</f>
        <v xml:space="preserve"> </v>
      </c>
      <c r="P105" s="44" t="str">
        <f>_xlfn.IFNA(IF(VLOOKUP($D105,Organización_Modular!$F$10:$G$195,2,FALSE)=P$23,Itinerario!T105," ")," ")</f>
        <v xml:space="preserve"> </v>
      </c>
      <c r="Q105" s="44" t="str">
        <f>_xlfn.IFNA(IF(VLOOKUP($D105,Organización_Modular!$F$10:$G$195,2,FALSE)=Q$23,Itinerario!W105," ")," ")</f>
        <v xml:space="preserve"> </v>
      </c>
      <c r="R105" s="44">
        <f>Organización_Modular!H91</f>
        <v>0</v>
      </c>
      <c r="S105" s="44">
        <f>Organización_Modular!I91</f>
        <v>0</v>
      </c>
      <c r="T105" s="82">
        <f t="shared" si="8"/>
        <v>0</v>
      </c>
      <c r="U105" s="44">
        <f t="shared" si="9"/>
        <v>0</v>
      </c>
      <c r="V105" s="44">
        <f t="shared" si="10"/>
        <v>0</v>
      </c>
      <c r="W105" s="82">
        <f t="shared" si="11"/>
        <v>0</v>
      </c>
      <c r="X105" s="87">
        <f t="shared" si="12"/>
        <v>0</v>
      </c>
    </row>
    <row r="106" spans="1:24" ht="18" hidden="1" customHeight="1" x14ac:dyDescent="0.2">
      <c r="A106" s="535"/>
      <c r="B106" s="398" t="str">
        <f>B44</f>
        <v>Competencias para la empleabilidad</v>
      </c>
      <c r="C106" s="538">
        <f>Organización_Modular!C92</f>
        <v>0</v>
      </c>
      <c r="D106" s="537">
        <f>Organización_Modular!F92</f>
        <v>0</v>
      </c>
      <c r="E106" s="537"/>
      <c r="F106" s="44" t="str">
        <f>_xlfn.IFNA(IF(VLOOKUP($D106,Organización_Modular!$F$10:$G$195,2,FALSE)=F$23,Itinerario!T106," ")," ")</f>
        <v xml:space="preserve"> </v>
      </c>
      <c r="G106" s="44" t="str">
        <f>_xlfn.IFNA(IF(VLOOKUP($D106,Organización_Modular!$F$10:$G$195,2,FALSE)=G$23,Itinerario!W106," ")," ")</f>
        <v xml:space="preserve"> </v>
      </c>
      <c r="H106" s="44" t="str">
        <f>_xlfn.IFNA(IF(VLOOKUP($D106,Organización_Modular!$F$10:$G$195,2,FALSE)=H$23,Itinerario!T106," ")," ")</f>
        <v xml:space="preserve"> </v>
      </c>
      <c r="I106" s="44" t="str">
        <f>_xlfn.IFNA(IF(VLOOKUP($D106,Organización_Modular!$F$10:$G$195,2,FALSE)=I$23,Itinerario!W106," ")," ")</f>
        <v xml:space="preserve"> </v>
      </c>
      <c r="J106" s="44" t="str">
        <f>_xlfn.IFNA(IF(VLOOKUP($D106,Organización_Modular!$F$10:$G$195,2,FALSE)=J$23,Itinerario!T106," ")," ")</f>
        <v xml:space="preserve"> </v>
      </c>
      <c r="K106" s="44" t="str">
        <f>_xlfn.IFNA(IF(VLOOKUP($D106,Organización_Modular!$F$10:$G$195,2,FALSE)=K$23,Itinerario!W106," ")," ")</f>
        <v xml:space="preserve"> </v>
      </c>
      <c r="L106" s="44" t="str">
        <f>_xlfn.IFNA(IF(VLOOKUP($D106,Organización_Modular!$F$10:$G$195,2,FALSE)=L$23,Itinerario!T106," ")," ")</f>
        <v xml:space="preserve"> </v>
      </c>
      <c r="M106" s="44" t="str">
        <f>_xlfn.IFNA(IF(VLOOKUP($D106,Organización_Modular!$F$10:$G$195,2,FALSE)=M$23,Itinerario!W106," ")," ")</f>
        <v xml:space="preserve"> </v>
      </c>
      <c r="N106" s="44" t="str">
        <f>_xlfn.IFNA(IF(VLOOKUP($D106,Organización_Modular!$F$10:$G$195,2,FALSE)=N$23,Itinerario!T106," ")," ")</f>
        <v xml:space="preserve"> </v>
      </c>
      <c r="O106" s="44" t="str">
        <f>_xlfn.IFNA(IF(VLOOKUP($D106,Organización_Modular!$F$10:$G$195,2,FALSE)=O$23,Itinerario!W106," ")," ")</f>
        <v xml:space="preserve"> </v>
      </c>
      <c r="P106" s="44" t="str">
        <f>_xlfn.IFNA(IF(VLOOKUP($D106,Organización_Modular!$F$10:$G$195,2,FALSE)=P$23,Itinerario!T106," ")," ")</f>
        <v xml:space="preserve"> </v>
      </c>
      <c r="Q106" s="44" t="str">
        <f>_xlfn.IFNA(IF(VLOOKUP($D106,Organización_Modular!$F$10:$G$195,2,FALSE)=Q$23,Itinerario!W106," ")," ")</f>
        <v xml:space="preserve"> </v>
      </c>
      <c r="R106" s="44">
        <f>Organización_Modular!H92</f>
        <v>0</v>
      </c>
      <c r="S106" s="44">
        <f>Organización_Modular!I92</f>
        <v>0</v>
      </c>
      <c r="T106" s="82">
        <f t="shared" si="8"/>
        <v>0</v>
      </c>
      <c r="U106" s="44">
        <f t="shared" si="9"/>
        <v>0</v>
      </c>
      <c r="V106" s="44">
        <f t="shared" si="10"/>
        <v>0</v>
      </c>
      <c r="W106" s="82">
        <f t="shared" si="11"/>
        <v>0</v>
      </c>
      <c r="X106" s="87">
        <f t="shared" si="12"/>
        <v>0</v>
      </c>
    </row>
    <row r="107" spans="1:24" ht="18" hidden="1" customHeight="1" x14ac:dyDescent="0.2">
      <c r="A107" s="535"/>
      <c r="B107" s="398"/>
      <c r="C107" s="538"/>
      <c r="D107" s="537">
        <f>Organización_Modular!F93</f>
        <v>0</v>
      </c>
      <c r="E107" s="537"/>
      <c r="F107" s="44" t="str">
        <f>_xlfn.IFNA(IF(VLOOKUP($D107,Organización_Modular!$F$10:$G$195,2,FALSE)=F$23,Itinerario!T107," ")," ")</f>
        <v xml:space="preserve"> </v>
      </c>
      <c r="G107" s="44" t="str">
        <f>_xlfn.IFNA(IF(VLOOKUP($D107,Organización_Modular!$F$10:$G$195,2,FALSE)=G$23,Itinerario!W107," ")," ")</f>
        <v xml:space="preserve"> </v>
      </c>
      <c r="H107" s="44" t="str">
        <f>_xlfn.IFNA(IF(VLOOKUP($D107,Organización_Modular!$F$10:$G$195,2,FALSE)=H$23,Itinerario!T107," ")," ")</f>
        <v xml:space="preserve"> </v>
      </c>
      <c r="I107" s="44" t="str">
        <f>_xlfn.IFNA(IF(VLOOKUP($D107,Organización_Modular!$F$10:$G$195,2,FALSE)=I$23,Itinerario!W107," ")," ")</f>
        <v xml:space="preserve"> </v>
      </c>
      <c r="J107" s="44" t="str">
        <f>_xlfn.IFNA(IF(VLOOKUP($D107,Organización_Modular!$F$10:$G$195,2,FALSE)=J$23,Itinerario!T107," ")," ")</f>
        <v xml:space="preserve"> </v>
      </c>
      <c r="K107" s="44" t="str">
        <f>_xlfn.IFNA(IF(VLOOKUP($D107,Organización_Modular!$F$10:$G$195,2,FALSE)=K$23,Itinerario!W107," ")," ")</f>
        <v xml:space="preserve"> </v>
      </c>
      <c r="L107" s="44" t="str">
        <f>_xlfn.IFNA(IF(VLOOKUP($D107,Organización_Modular!$F$10:$G$195,2,FALSE)=L$23,Itinerario!T107," ")," ")</f>
        <v xml:space="preserve"> </v>
      </c>
      <c r="M107" s="44" t="str">
        <f>_xlfn.IFNA(IF(VLOOKUP($D107,Organización_Modular!$F$10:$G$195,2,FALSE)=M$23,Itinerario!W107," ")," ")</f>
        <v xml:space="preserve"> </v>
      </c>
      <c r="N107" s="44" t="str">
        <f>_xlfn.IFNA(IF(VLOOKUP($D107,Organización_Modular!$F$10:$G$195,2,FALSE)=N$23,Itinerario!T107," ")," ")</f>
        <v xml:space="preserve"> </v>
      </c>
      <c r="O107" s="44" t="str">
        <f>_xlfn.IFNA(IF(VLOOKUP($D107,Organización_Modular!$F$10:$G$195,2,FALSE)=O$23,Itinerario!W107," ")," ")</f>
        <v xml:space="preserve"> </v>
      </c>
      <c r="P107" s="44" t="str">
        <f>_xlfn.IFNA(IF(VLOOKUP($D107,Organización_Modular!$F$10:$G$195,2,FALSE)=P$23,Itinerario!T107," ")," ")</f>
        <v xml:space="preserve"> </v>
      </c>
      <c r="Q107" s="44" t="str">
        <f>_xlfn.IFNA(IF(VLOOKUP($D107,Organización_Modular!$F$10:$G$195,2,FALSE)=Q$23,Itinerario!W107," ")," ")</f>
        <v xml:space="preserve"> </v>
      </c>
      <c r="R107" s="44">
        <f>Organización_Modular!H93</f>
        <v>0</v>
      </c>
      <c r="S107" s="44">
        <f>Organización_Modular!I93</f>
        <v>0</v>
      </c>
      <c r="T107" s="82">
        <f t="shared" si="8"/>
        <v>0</v>
      </c>
      <c r="U107" s="44">
        <f t="shared" si="9"/>
        <v>0</v>
      </c>
      <c r="V107" s="44">
        <f t="shared" si="10"/>
        <v>0</v>
      </c>
      <c r="W107" s="82">
        <f t="shared" si="11"/>
        <v>0</v>
      </c>
      <c r="X107" s="87">
        <f t="shared" si="12"/>
        <v>0</v>
      </c>
    </row>
    <row r="108" spans="1:24" ht="18" hidden="1" customHeight="1" x14ac:dyDescent="0.2">
      <c r="A108" s="535"/>
      <c r="B108" s="398"/>
      <c r="C108" s="538"/>
      <c r="D108" s="537">
        <f>Organización_Modular!F94</f>
        <v>0</v>
      </c>
      <c r="E108" s="537"/>
      <c r="F108" s="44" t="str">
        <f>_xlfn.IFNA(IF(VLOOKUP($D108,Organización_Modular!$F$10:$G$195,2,FALSE)=F$23,Itinerario!T108," ")," ")</f>
        <v xml:space="preserve"> </v>
      </c>
      <c r="G108" s="44" t="str">
        <f>_xlfn.IFNA(IF(VLOOKUP($D108,Organización_Modular!$F$10:$G$195,2,FALSE)=G$23,Itinerario!W108," ")," ")</f>
        <v xml:space="preserve"> </v>
      </c>
      <c r="H108" s="44" t="str">
        <f>_xlfn.IFNA(IF(VLOOKUP($D108,Organización_Modular!$F$10:$G$195,2,FALSE)=H$23,Itinerario!T108," ")," ")</f>
        <v xml:space="preserve"> </v>
      </c>
      <c r="I108" s="44" t="str">
        <f>_xlfn.IFNA(IF(VLOOKUP($D108,Organización_Modular!$F$10:$G$195,2,FALSE)=I$23,Itinerario!W108," ")," ")</f>
        <v xml:space="preserve"> </v>
      </c>
      <c r="J108" s="44" t="str">
        <f>_xlfn.IFNA(IF(VLOOKUP($D108,Organización_Modular!$F$10:$G$195,2,FALSE)=J$23,Itinerario!T108," ")," ")</f>
        <v xml:space="preserve"> </v>
      </c>
      <c r="K108" s="44" t="str">
        <f>_xlfn.IFNA(IF(VLOOKUP($D108,Organización_Modular!$F$10:$G$195,2,FALSE)=K$23,Itinerario!W108," ")," ")</f>
        <v xml:space="preserve"> </v>
      </c>
      <c r="L108" s="44" t="str">
        <f>_xlfn.IFNA(IF(VLOOKUP($D108,Organización_Modular!$F$10:$G$195,2,FALSE)=L$23,Itinerario!T108," ")," ")</f>
        <v xml:space="preserve"> </v>
      </c>
      <c r="M108" s="44" t="str">
        <f>_xlfn.IFNA(IF(VLOOKUP($D108,Organización_Modular!$F$10:$G$195,2,FALSE)=M$23,Itinerario!W108," ")," ")</f>
        <v xml:space="preserve"> </v>
      </c>
      <c r="N108" s="44" t="str">
        <f>_xlfn.IFNA(IF(VLOOKUP($D108,Organización_Modular!$F$10:$G$195,2,FALSE)=N$23,Itinerario!T108," ")," ")</f>
        <v xml:space="preserve"> </v>
      </c>
      <c r="O108" s="44" t="str">
        <f>_xlfn.IFNA(IF(VLOOKUP($D108,Organización_Modular!$F$10:$G$195,2,FALSE)=O$23,Itinerario!W108," ")," ")</f>
        <v xml:space="preserve"> </v>
      </c>
      <c r="P108" s="44" t="str">
        <f>_xlfn.IFNA(IF(VLOOKUP($D108,Organización_Modular!$F$10:$G$195,2,FALSE)=P$23,Itinerario!T108," ")," ")</f>
        <v xml:space="preserve"> </v>
      </c>
      <c r="Q108" s="44" t="str">
        <f>_xlfn.IFNA(IF(VLOOKUP($D108,Organización_Modular!$F$10:$G$195,2,FALSE)=Q$23,Itinerario!W108," ")," ")</f>
        <v xml:space="preserve"> </v>
      </c>
      <c r="R108" s="44">
        <f>Organización_Modular!H94</f>
        <v>0</v>
      </c>
      <c r="S108" s="44">
        <f>Organización_Modular!I94</f>
        <v>0</v>
      </c>
      <c r="T108" s="82">
        <f t="shared" si="8"/>
        <v>0</v>
      </c>
      <c r="U108" s="44">
        <f t="shared" si="9"/>
        <v>0</v>
      </c>
      <c r="V108" s="44">
        <f t="shared" si="10"/>
        <v>0</v>
      </c>
      <c r="W108" s="82">
        <f t="shared" si="11"/>
        <v>0</v>
      </c>
      <c r="X108" s="87">
        <f t="shared" si="12"/>
        <v>0</v>
      </c>
    </row>
    <row r="109" spans="1:24" ht="18" hidden="1" customHeight="1" x14ac:dyDescent="0.2">
      <c r="A109" s="535"/>
      <c r="B109" s="398"/>
      <c r="C109" s="538"/>
      <c r="D109" s="537">
        <f>Organización_Modular!F95</f>
        <v>0</v>
      </c>
      <c r="E109" s="537"/>
      <c r="F109" s="44" t="str">
        <f>_xlfn.IFNA(IF(VLOOKUP($D109,Organización_Modular!$F$10:$G$195,2,FALSE)=F$23,Itinerario!T109," ")," ")</f>
        <v xml:space="preserve"> </v>
      </c>
      <c r="G109" s="44" t="str">
        <f>_xlfn.IFNA(IF(VLOOKUP($D109,Organización_Modular!$F$10:$G$195,2,FALSE)=G$23,Itinerario!W109," ")," ")</f>
        <v xml:space="preserve"> </v>
      </c>
      <c r="H109" s="44" t="str">
        <f>_xlfn.IFNA(IF(VLOOKUP($D109,Organización_Modular!$F$10:$G$195,2,FALSE)=H$23,Itinerario!T109," ")," ")</f>
        <v xml:space="preserve"> </v>
      </c>
      <c r="I109" s="44" t="str">
        <f>_xlfn.IFNA(IF(VLOOKUP($D109,Organización_Modular!$F$10:$G$195,2,FALSE)=I$23,Itinerario!W109," ")," ")</f>
        <v xml:space="preserve"> </v>
      </c>
      <c r="J109" s="44" t="str">
        <f>_xlfn.IFNA(IF(VLOOKUP($D109,Organización_Modular!$F$10:$G$195,2,FALSE)=J$23,Itinerario!T109," ")," ")</f>
        <v xml:space="preserve"> </v>
      </c>
      <c r="K109" s="44" t="str">
        <f>_xlfn.IFNA(IF(VLOOKUP($D109,Organización_Modular!$F$10:$G$195,2,FALSE)=K$23,Itinerario!W109," ")," ")</f>
        <v xml:space="preserve"> </v>
      </c>
      <c r="L109" s="44" t="str">
        <f>_xlfn.IFNA(IF(VLOOKUP($D109,Organización_Modular!$F$10:$G$195,2,FALSE)=L$23,Itinerario!T109," ")," ")</f>
        <v xml:space="preserve"> </v>
      </c>
      <c r="M109" s="44" t="str">
        <f>_xlfn.IFNA(IF(VLOOKUP($D109,Organización_Modular!$F$10:$G$195,2,FALSE)=M$23,Itinerario!W109," ")," ")</f>
        <v xml:space="preserve"> </v>
      </c>
      <c r="N109" s="44" t="str">
        <f>_xlfn.IFNA(IF(VLOOKUP($D109,Organización_Modular!$F$10:$G$195,2,FALSE)=N$23,Itinerario!T109," ")," ")</f>
        <v xml:space="preserve"> </v>
      </c>
      <c r="O109" s="44" t="str">
        <f>_xlfn.IFNA(IF(VLOOKUP($D109,Organización_Modular!$F$10:$G$195,2,FALSE)=O$23,Itinerario!W109," ")," ")</f>
        <v xml:space="preserve"> </v>
      </c>
      <c r="P109" s="44" t="str">
        <f>_xlfn.IFNA(IF(VLOOKUP($D109,Organización_Modular!$F$10:$G$195,2,FALSE)=P$23,Itinerario!T109," ")," ")</f>
        <v xml:space="preserve"> </v>
      </c>
      <c r="Q109" s="44" t="str">
        <f>_xlfn.IFNA(IF(VLOOKUP($D109,Organización_Modular!$F$10:$G$195,2,FALSE)=Q$23,Itinerario!W109," ")," ")</f>
        <v xml:space="preserve"> </v>
      </c>
      <c r="R109" s="44">
        <f>Organización_Modular!H95</f>
        <v>0</v>
      </c>
      <c r="S109" s="44">
        <f>Organización_Modular!I95</f>
        <v>0</v>
      </c>
      <c r="T109" s="82">
        <f t="shared" si="8"/>
        <v>0</v>
      </c>
      <c r="U109" s="44">
        <f t="shared" si="9"/>
        <v>0</v>
      </c>
      <c r="V109" s="44">
        <f t="shared" si="10"/>
        <v>0</v>
      </c>
      <c r="W109" s="82">
        <f t="shared" si="11"/>
        <v>0</v>
      </c>
      <c r="X109" s="87">
        <f t="shared" si="12"/>
        <v>0</v>
      </c>
    </row>
    <row r="110" spans="1:24" ht="18" hidden="1" customHeight="1" x14ac:dyDescent="0.2">
      <c r="A110" s="535"/>
      <c r="B110" s="398"/>
      <c r="C110" s="538"/>
      <c r="D110" s="537">
        <f>Organización_Modular!F96</f>
        <v>0</v>
      </c>
      <c r="E110" s="537"/>
      <c r="F110" s="44" t="str">
        <f>_xlfn.IFNA(IF(VLOOKUP($D110,Organización_Modular!$F$10:$G$195,2,FALSE)=F$23,Itinerario!T110," ")," ")</f>
        <v xml:space="preserve"> </v>
      </c>
      <c r="G110" s="44" t="str">
        <f>_xlfn.IFNA(IF(VLOOKUP($D110,Organización_Modular!$F$10:$G$195,2,FALSE)=G$23,Itinerario!W110," ")," ")</f>
        <v xml:space="preserve"> </v>
      </c>
      <c r="H110" s="44" t="str">
        <f>_xlfn.IFNA(IF(VLOOKUP($D110,Organización_Modular!$F$10:$G$195,2,FALSE)=H$23,Itinerario!T110," ")," ")</f>
        <v xml:space="preserve"> </v>
      </c>
      <c r="I110" s="44" t="str">
        <f>_xlfn.IFNA(IF(VLOOKUP($D110,Organización_Modular!$F$10:$G$195,2,FALSE)=I$23,Itinerario!W110," ")," ")</f>
        <v xml:space="preserve"> </v>
      </c>
      <c r="J110" s="44" t="str">
        <f>_xlfn.IFNA(IF(VLOOKUP($D110,Organización_Modular!$F$10:$G$195,2,FALSE)=J$23,Itinerario!T110," ")," ")</f>
        <v xml:space="preserve"> </v>
      </c>
      <c r="K110" s="44" t="str">
        <f>_xlfn.IFNA(IF(VLOOKUP($D110,Organización_Modular!$F$10:$G$195,2,FALSE)=K$23,Itinerario!W110," ")," ")</f>
        <v xml:space="preserve"> </v>
      </c>
      <c r="L110" s="44" t="str">
        <f>_xlfn.IFNA(IF(VLOOKUP($D110,Organización_Modular!$F$10:$G$195,2,FALSE)=L$23,Itinerario!T110," ")," ")</f>
        <v xml:space="preserve"> </v>
      </c>
      <c r="M110" s="44" t="str">
        <f>_xlfn.IFNA(IF(VLOOKUP($D110,Organización_Modular!$F$10:$G$195,2,FALSE)=M$23,Itinerario!W110," ")," ")</f>
        <v xml:space="preserve"> </v>
      </c>
      <c r="N110" s="44" t="str">
        <f>_xlfn.IFNA(IF(VLOOKUP($D110,Organización_Modular!$F$10:$G$195,2,FALSE)=N$23,Itinerario!T110," ")," ")</f>
        <v xml:space="preserve"> </v>
      </c>
      <c r="O110" s="44" t="str">
        <f>_xlfn.IFNA(IF(VLOOKUP($D110,Organización_Modular!$F$10:$G$195,2,FALSE)=O$23,Itinerario!W110," ")," ")</f>
        <v xml:space="preserve"> </v>
      </c>
      <c r="P110" s="44" t="str">
        <f>_xlfn.IFNA(IF(VLOOKUP($D110,Organización_Modular!$F$10:$G$195,2,FALSE)=P$23,Itinerario!T110," ")," ")</f>
        <v xml:space="preserve"> </v>
      </c>
      <c r="Q110" s="44" t="str">
        <f>_xlfn.IFNA(IF(VLOOKUP($D110,Organización_Modular!$F$10:$G$195,2,FALSE)=Q$23,Itinerario!W110," ")," ")</f>
        <v xml:space="preserve"> </v>
      </c>
      <c r="R110" s="44">
        <f>Organización_Modular!H96</f>
        <v>0</v>
      </c>
      <c r="S110" s="44">
        <f>Organización_Modular!I96</f>
        <v>0</v>
      </c>
      <c r="T110" s="82">
        <f t="shared" si="8"/>
        <v>0</v>
      </c>
      <c r="U110" s="44">
        <f t="shared" si="9"/>
        <v>0</v>
      </c>
      <c r="V110" s="44">
        <f t="shared" si="10"/>
        <v>0</v>
      </c>
      <c r="W110" s="82">
        <f t="shared" si="11"/>
        <v>0</v>
      </c>
      <c r="X110" s="87">
        <f t="shared" si="12"/>
        <v>0</v>
      </c>
    </row>
    <row r="111" spans="1:24" ht="18" hidden="1" customHeight="1" x14ac:dyDescent="0.2">
      <c r="A111" s="535"/>
      <c r="B111" s="398"/>
      <c r="C111" s="538"/>
      <c r="D111" s="537">
        <f>Organización_Modular!F97</f>
        <v>0</v>
      </c>
      <c r="E111" s="537"/>
      <c r="F111" s="44" t="str">
        <f>_xlfn.IFNA(IF(VLOOKUP($D111,Organización_Modular!$F$10:$G$195,2,FALSE)=F$23,Itinerario!T111," ")," ")</f>
        <v xml:space="preserve"> </v>
      </c>
      <c r="G111" s="44" t="str">
        <f>_xlfn.IFNA(IF(VLOOKUP($D111,Organización_Modular!$F$10:$G$195,2,FALSE)=G$23,Itinerario!W111," ")," ")</f>
        <v xml:space="preserve"> </v>
      </c>
      <c r="H111" s="44" t="str">
        <f>_xlfn.IFNA(IF(VLOOKUP($D111,Organización_Modular!$F$10:$G$195,2,FALSE)=H$23,Itinerario!T111," ")," ")</f>
        <v xml:space="preserve"> </v>
      </c>
      <c r="I111" s="44" t="str">
        <f>_xlfn.IFNA(IF(VLOOKUP($D111,Organización_Modular!$F$10:$G$195,2,FALSE)=I$23,Itinerario!W111," ")," ")</f>
        <v xml:space="preserve"> </v>
      </c>
      <c r="J111" s="44" t="str">
        <f>_xlfn.IFNA(IF(VLOOKUP($D111,Organización_Modular!$F$10:$G$195,2,FALSE)=J$23,Itinerario!T111," ")," ")</f>
        <v xml:space="preserve"> </v>
      </c>
      <c r="K111" s="44" t="str">
        <f>_xlfn.IFNA(IF(VLOOKUP($D111,Organización_Modular!$F$10:$G$195,2,FALSE)=K$23,Itinerario!W111," ")," ")</f>
        <v xml:space="preserve"> </v>
      </c>
      <c r="L111" s="44" t="str">
        <f>_xlfn.IFNA(IF(VLOOKUP($D111,Organización_Modular!$F$10:$G$195,2,FALSE)=L$23,Itinerario!T111," ")," ")</f>
        <v xml:space="preserve"> </v>
      </c>
      <c r="M111" s="44" t="str">
        <f>_xlfn.IFNA(IF(VLOOKUP($D111,Organización_Modular!$F$10:$G$195,2,FALSE)=M$23,Itinerario!W111," ")," ")</f>
        <v xml:space="preserve"> </v>
      </c>
      <c r="N111" s="44" t="str">
        <f>_xlfn.IFNA(IF(VLOOKUP($D111,Organización_Modular!$F$10:$G$195,2,FALSE)=N$23,Itinerario!T111," ")," ")</f>
        <v xml:space="preserve"> </v>
      </c>
      <c r="O111" s="44" t="str">
        <f>_xlfn.IFNA(IF(VLOOKUP($D111,Organización_Modular!$F$10:$G$195,2,FALSE)=O$23,Itinerario!W111," ")," ")</f>
        <v xml:space="preserve"> </v>
      </c>
      <c r="P111" s="44" t="str">
        <f>_xlfn.IFNA(IF(VLOOKUP($D111,Organización_Modular!$F$10:$G$195,2,FALSE)=P$23,Itinerario!T111," ")," ")</f>
        <v xml:space="preserve"> </v>
      </c>
      <c r="Q111" s="44" t="str">
        <f>_xlfn.IFNA(IF(VLOOKUP($D111,Organización_Modular!$F$10:$G$195,2,FALSE)=Q$23,Itinerario!W111," ")," ")</f>
        <v xml:space="preserve"> </v>
      </c>
      <c r="R111" s="44">
        <f>Organización_Modular!H97</f>
        <v>0</v>
      </c>
      <c r="S111" s="44">
        <f>Organización_Modular!I97</f>
        <v>0</v>
      </c>
      <c r="T111" s="82">
        <f t="shared" si="8"/>
        <v>0</v>
      </c>
      <c r="U111" s="44">
        <f t="shared" si="9"/>
        <v>0</v>
      </c>
      <c r="V111" s="44">
        <f t="shared" si="10"/>
        <v>0</v>
      </c>
      <c r="W111" s="82">
        <f t="shared" si="11"/>
        <v>0</v>
      </c>
      <c r="X111" s="87">
        <f t="shared" si="12"/>
        <v>0</v>
      </c>
    </row>
    <row r="112" spans="1:24" ht="18" hidden="1" customHeight="1" x14ac:dyDescent="0.2">
      <c r="A112" s="535"/>
      <c r="B112" s="398"/>
      <c r="C112" s="538"/>
      <c r="D112" s="537">
        <f>Organización_Modular!F98</f>
        <v>0</v>
      </c>
      <c r="E112" s="537"/>
      <c r="F112" s="44" t="str">
        <f>_xlfn.IFNA(IF(VLOOKUP($D112,Organización_Modular!$F$10:$G$195,2,FALSE)=F$23,Itinerario!T112," ")," ")</f>
        <v xml:space="preserve"> </v>
      </c>
      <c r="G112" s="44" t="str">
        <f>_xlfn.IFNA(IF(VLOOKUP($D112,Organización_Modular!$F$10:$G$195,2,FALSE)=G$23,Itinerario!W112," ")," ")</f>
        <v xml:space="preserve"> </v>
      </c>
      <c r="H112" s="44" t="str">
        <f>_xlfn.IFNA(IF(VLOOKUP($D112,Organización_Modular!$F$10:$G$195,2,FALSE)=H$23,Itinerario!T112," ")," ")</f>
        <v xml:space="preserve"> </v>
      </c>
      <c r="I112" s="44" t="str">
        <f>_xlfn.IFNA(IF(VLOOKUP($D112,Organización_Modular!$F$10:$G$195,2,FALSE)=I$23,Itinerario!W112," ")," ")</f>
        <v xml:space="preserve"> </v>
      </c>
      <c r="J112" s="44" t="str">
        <f>_xlfn.IFNA(IF(VLOOKUP($D112,Organización_Modular!$F$10:$G$195,2,FALSE)=J$23,Itinerario!T112," ")," ")</f>
        <v xml:space="preserve"> </v>
      </c>
      <c r="K112" s="44" t="str">
        <f>_xlfn.IFNA(IF(VLOOKUP($D112,Organización_Modular!$F$10:$G$195,2,FALSE)=K$23,Itinerario!W112," ")," ")</f>
        <v xml:space="preserve"> </v>
      </c>
      <c r="L112" s="44" t="str">
        <f>_xlfn.IFNA(IF(VLOOKUP($D112,Organización_Modular!$F$10:$G$195,2,FALSE)=L$23,Itinerario!T112," ")," ")</f>
        <v xml:space="preserve"> </v>
      </c>
      <c r="M112" s="44" t="str">
        <f>_xlfn.IFNA(IF(VLOOKUP($D112,Organización_Modular!$F$10:$G$195,2,FALSE)=M$23,Itinerario!W112," ")," ")</f>
        <v xml:space="preserve"> </v>
      </c>
      <c r="N112" s="44" t="str">
        <f>_xlfn.IFNA(IF(VLOOKUP($D112,Organización_Modular!$F$10:$G$195,2,FALSE)=N$23,Itinerario!T112," ")," ")</f>
        <v xml:space="preserve"> </v>
      </c>
      <c r="O112" s="44" t="str">
        <f>_xlfn.IFNA(IF(VLOOKUP($D112,Organización_Modular!$F$10:$G$195,2,FALSE)=O$23,Itinerario!W112," ")," ")</f>
        <v xml:space="preserve"> </v>
      </c>
      <c r="P112" s="44" t="str">
        <f>_xlfn.IFNA(IF(VLOOKUP($D112,Organización_Modular!$F$10:$G$195,2,FALSE)=P$23,Itinerario!T112," ")," ")</f>
        <v xml:space="preserve"> </v>
      </c>
      <c r="Q112" s="44" t="str">
        <f>_xlfn.IFNA(IF(VLOOKUP($D112,Organización_Modular!$F$10:$G$195,2,FALSE)=Q$23,Itinerario!W112," ")," ")</f>
        <v xml:space="preserve"> </v>
      </c>
      <c r="R112" s="44">
        <f>Organización_Modular!H98</f>
        <v>0</v>
      </c>
      <c r="S112" s="44">
        <f>Organización_Modular!I98</f>
        <v>0</v>
      </c>
      <c r="T112" s="82">
        <f t="shared" si="8"/>
        <v>0</v>
      </c>
      <c r="U112" s="44">
        <f t="shared" si="9"/>
        <v>0</v>
      </c>
      <c r="V112" s="44">
        <f t="shared" si="10"/>
        <v>0</v>
      </c>
      <c r="W112" s="82">
        <f t="shared" si="11"/>
        <v>0</v>
      </c>
      <c r="X112" s="87">
        <f t="shared" si="12"/>
        <v>0</v>
      </c>
    </row>
    <row r="113" spans="1:29" ht="18" hidden="1" customHeight="1" x14ac:dyDescent="0.2">
      <c r="A113" s="535"/>
      <c r="B113" s="398"/>
      <c r="C113" s="538"/>
      <c r="D113" s="537">
        <f>Organización_Modular!F99</f>
        <v>0</v>
      </c>
      <c r="E113" s="537"/>
      <c r="F113" s="44" t="str">
        <f>_xlfn.IFNA(IF(VLOOKUP($D113,Organización_Modular!$F$10:$G$195,2,FALSE)=F$23,Itinerario!T113," ")," ")</f>
        <v xml:space="preserve"> </v>
      </c>
      <c r="G113" s="44" t="str">
        <f>_xlfn.IFNA(IF(VLOOKUP($D113,Organización_Modular!$F$10:$G$195,2,FALSE)=G$23,Itinerario!W113," ")," ")</f>
        <v xml:space="preserve"> </v>
      </c>
      <c r="H113" s="44" t="str">
        <f>_xlfn.IFNA(IF(VLOOKUP($D113,Organización_Modular!$F$10:$G$195,2,FALSE)=H$23,Itinerario!T113," ")," ")</f>
        <v xml:space="preserve"> </v>
      </c>
      <c r="I113" s="44" t="str">
        <f>_xlfn.IFNA(IF(VLOOKUP($D113,Organización_Modular!$F$10:$G$195,2,FALSE)=I$23,Itinerario!W113," ")," ")</f>
        <v xml:space="preserve"> </v>
      </c>
      <c r="J113" s="44" t="str">
        <f>_xlfn.IFNA(IF(VLOOKUP($D113,Organización_Modular!$F$10:$G$195,2,FALSE)=J$23,Itinerario!T113," ")," ")</f>
        <v xml:space="preserve"> </v>
      </c>
      <c r="K113" s="44" t="str">
        <f>_xlfn.IFNA(IF(VLOOKUP($D113,Organización_Modular!$F$10:$G$195,2,FALSE)=K$23,Itinerario!W113," ")," ")</f>
        <v xml:space="preserve"> </v>
      </c>
      <c r="L113" s="44" t="str">
        <f>_xlfn.IFNA(IF(VLOOKUP($D113,Organización_Modular!$F$10:$G$195,2,FALSE)=L$23,Itinerario!T113," ")," ")</f>
        <v xml:space="preserve"> </v>
      </c>
      <c r="M113" s="44" t="str">
        <f>_xlfn.IFNA(IF(VLOOKUP($D113,Organización_Modular!$F$10:$G$195,2,FALSE)=M$23,Itinerario!W113," ")," ")</f>
        <v xml:space="preserve"> </v>
      </c>
      <c r="N113" s="44" t="str">
        <f>_xlfn.IFNA(IF(VLOOKUP($D113,Organización_Modular!$F$10:$G$195,2,FALSE)=N$23,Itinerario!T113," ")," ")</f>
        <v xml:space="preserve"> </v>
      </c>
      <c r="O113" s="44" t="str">
        <f>_xlfn.IFNA(IF(VLOOKUP($D113,Organización_Modular!$F$10:$G$195,2,FALSE)=O$23,Itinerario!W113," ")," ")</f>
        <v xml:space="preserve"> </v>
      </c>
      <c r="P113" s="44" t="str">
        <f>_xlfn.IFNA(IF(VLOOKUP($D113,Organización_Modular!$F$10:$G$195,2,FALSE)=P$23,Itinerario!T113," ")," ")</f>
        <v xml:space="preserve"> </v>
      </c>
      <c r="Q113" s="44" t="str">
        <f>_xlfn.IFNA(IF(VLOOKUP($D113,Organización_Modular!$F$10:$G$195,2,FALSE)=Q$23,Itinerario!W113," ")," ")</f>
        <v xml:space="preserve"> </v>
      </c>
      <c r="R113" s="44">
        <f>Organización_Modular!H99</f>
        <v>0</v>
      </c>
      <c r="S113" s="44">
        <f>Organización_Modular!I99</f>
        <v>0</v>
      </c>
      <c r="T113" s="82">
        <f t="shared" si="8"/>
        <v>0</v>
      </c>
      <c r="U113" s="44">
        <f t="shared" si="9"/>
        <v>0</v>
      </c>
      <c r="V113" s="44">
        <f t="shared" si="10"/>
        <v>0</v>
      </c>
      <c r="W113" s="82">
        <f t="shared" si="11"/>
        <v>0</v>
      </c>
      <c r="X113" s="87">
        <f t="shared" si="12"/>
        <v>0</v>
      </c>
    </row>
    <row r="114" spans="1:29" ht="18" hidden="1" customHeight="1" x14ac:dyDescent="0.2">
      <c r="A114" s="535"/>
      <c r="B114" s="398"/>
      <c r="C114" s="538"/>
      <c r="D114" s="537">
        <f>Organización_Modular!F100</f>
        <v>0</v>
      </c>
      <c r="E114" s="537"/>
      <c r="F114" s="44" t="str">
        <f>_xlfn.IFNA(IF(VLOOKUP($D114,Organización_Modular!$F$10:$G$195,2,FALSE)=F$23,Itinerario!T114," ")," ")</f>
        <v xml:space="preserve"> </v>
      </c>
      <c r="G114" s="44" t="str">
        <f>_xlfn.IFNA(IF(VLOOKUP($D114,Organización_Modular!$F$10:$G$195,2,FALSE)=G$23,Itinerario!W114," ")," ")</f>
        <v xml:space="preserve"> </v>
      </c>
      <c r="H114" s="44" t="str">
        <f>_xlfn.IFNA(IF(VLOOKUP($D114,Organización_Modular!$F$10:$G$195,2,FALSE)=H$23,Itinerario!T114," ")," ")</f>
        <v xml:space="preserve"> </v>
      </c>
      <c r="I114" s="44" t="str">
        <f>_xlfn.IFNA(IF(VLOOKUP($D114,Organización_Modular!$F$10:$G$195,2,FALSE)=I$23,Itinerario!W114," ")," ")</f>
        <v xml:space="preserve"> </v>
      </c>
      <c r="J114" s="44" t="str">
        <f>_xlfn.IFNA(IF(VLOOKUP($D114,Organización_Modular!$F$10:$G$195,2,FALSE)=J$23,Itinerario!T114," ")," ")</f>
        <v xml:space="preserve"> </v>
      </c>
      <c r="K114" s="44" t="str">
        <f>_xlfn.IFNA(IF(VLOOKUP($D114,Organización_Modular!$F$10:$G$195,2,FALSE)=K$23,Itinerario!W114," ")," ")</f>
        <v xml:space="preserve"> </v>
      </c>
      <c r="L114" s="44" t="str">
        <f>_xlfn.IFNA(IF(VLOOKUP($D114,Organización_Modular!$F$10:$G$195,2,FALSE)=L$23,Itinerario!T114," ")," ")</f>
        <v xml:space="preserve"> </v>
      </c>
      <c r="M114" s="44" t="str">
        <f>_xlfn.IFNA(IF(VLOOKUP($D114,Organización_Modular!$F$10:$G$195,2,FALSE)=M$23,Itinerario!W114," ")," ")</f>
        <v xml:space="preserve"> </v>
      </c>
      <c r="N114" s="44" t="str">
        <f>_xlfn.IFNA(IF(VLOOKUP($D114,Organización_Modular!$F$10:$G$195,2,FALSE)=N$23,Itinerario!T114," ")," ")</f>
        <v xml:space="preserve"> </v>
      </c>
      <c r="O114" s="44" t="str">
        <f>_xlfn.IFNA(IF(VLOOKUP($D114,Organización_Modular!$F$10:$G$195,2,FALSE)=O$23,Itinerario!W114," ")," ")</f>
        <v xml:space="preserve"> </v>
      </c>
      <c r="P114" s="44" t="str">
        <f>_xlfn.IFNA(IF(VLOOKUP($D114,Organización_Modular!$F$10:$G$195,2,FALSE)=P$23,Itinerario!T114," ")," ")</f>
        <v xml:space="preserve"> </v>
      </c>
      <c r="Q114" s="44" t="str">
        <f>_xlfn.IFNA(IF(VLOOKUP($D114,Organización_Modular!$F$10:$G$195,2,FALSE)=Q$23,Itinerario!W114," ")," ")</f>
        <v xml:space="preserve"> </v>
      </c>
      <c r="R114" s="44">
        <f>Organización_Modular!H100</f>
        <v>0</v>
      </c>
      <c r="S114" s="44">
        <f>Organización_Modular!I100</f>
        <v>0</v>
      </c>
      <c r="T114" s="82">
        <f t="shared" si="8"/>
        <v>0</v>
      </c>
      <c r="U114" s="44">
        <f t="shared" si="9"/>
        <v>0</v>
      </c>
      <c r="V114" s="44">
        <f t="shared" si="10"/>
        <v>0</v>
      </c>
      <c r="W114" s="82">
        <f t="shared" si="11"/>
        <v>0</v>
      </c>
      <c r="X114" s="87">
        <f t="shared" si="12"/>
        <v>0</v>
      </c>
    </row>
    <row r="115" spans="1:29" ht="18" hidden="1" customHeight="1" x14ac:dyDescent="0.2">
      <c r="A115" s="535"/>
      <c r="B115" s="398"/>
      <c r="C115" s="538"/>
      <c r="D115" s="537">
        <f>Organización_Modular!F101</f>
        <v>0</v>
      </c>
      <c r="E115" s="537"/>
      <c r="F115" s="44" t="str">
        <f>_xlfn.IFNA(IF(VLOOKUP($D115,Organización_Modular!$F$10:$G$195,2,FALSE)=F$23,Itinerario!T115," ")," ")</f>
        <v xml:space="preserve"> </v>
      </c>
      <c r="G115" s="44" t="str">
        <f>_xlfn.IFNA(IF(VLOOKUP($D115,Organización_Modular!$F$10:$G$195,2,FALSE)=G$23,Itinerario!W115," ")," ")</f>
        <v xml:space="preserve"> </v>
      </c>
      <c r="H115" s="44" t="str">
        <f>_xlfn.IFNA(IF(VLOOKUP($D115,Organización_Modular!$F$10:$G$195,2,FALSE)=H$23,Itinerario!T115," ")," ")</f>
        <v xml:space="preserve"> </v>
      </c>
      <c r="I115" s="44" t="str">
        <f>_xlfn.IFNA(IF(VLOOKUP($D115,Organización_Modular!$F$10:$G$195,2,FALSE)=I$23,Itinerario!W115," ")," ")</f>
        <v xml:space="preserve"> </v>
      </c>
      <c r="J115" s="44" t="str">
        <f>_xlfn.IFNA(IF(VLOOKUP($D115,Organización_Modular!$F$10:$G$195,2,FALSE)=J$23,Itinerario!T115," ")," ")</f>
        <v xml:space="preserve"> </v>
      </c>
      <c r="K115" s="44" t="str">
        <f>_xlfn.IFNA(IF(VLOOKUP($D115,Organización_Modular!$F$10:$G$195,2,FALSE)=K$23,Itinerario!W115," ")," ")</f>
        <v xml:space="preserve"> </v>
      </c>
      <c r="L115" s="44" t="str">
        <f>_xlfn.IFNA(IF(VLOOKUP($D115,Organización_Modular!$F$10:$G$195,2,FALSE)=L$23,Itinerario!T115," ")," ")</f>
        <v xml:space="preserve"> </v>
      </c>
      <c r="M115" s="44" t="str">
        <f>_xlfn.IFNA(IF(VLOOKUP($D115,Organización_Modular!$F$10:$G$195,2,FALSE)=M$23,Itinerario!W115," ")," ")</f>
        <v xml:space="preserve"> </v>
      </c>
      <c r="N115" s="44" t="str">
        <f>_xlfn.IFNA(IF(VLOOKUP($D115,Organización_Modular!$F$10:$G$195,2,FALSE)=N$23,Itinerario!T115," ")," ")</f>
        <v xml:space="preserve"> </v>
      </c>
      <c r="O115" s="44" t="str">
        <f>_xlfn.IFNA(IF(VLOOKUP($D115,Organización_Modular!$F$10:$G$195,2,FALSE)=O$23,Itinerario!W115," ")," ")</f>
        <v xml:space="preserve"> </v>
      </c>
      <c r="P115" s="44" t="str">
        <f>_xlfn.IFNA(IF(VLOOKUP($D115,Organización_Modular!$F$10:$G$195,2,FALSE)=P$23,Itinerario!T115," ")," ")</f>
        <v xml:space="preserve"> </v>
      </c>
      <c r="Q115" s="44" t="str">
        <f>_xlfn.IFNA(IF(VLOOKUP($D115,Organización_Modular!$F$10:$G$195,2,FALSE)=Q$23,Itinerario!W115," ")," ")</f>
        <v xml:space="preserve"> </v>
      </c>
      <c r="R115" s="44">
        <f>Organización_Modular!H101</f>
        <v>0</v>
      </c>
      <c r="S115" s="44">
        <f>Organización_Modular!I101</f>
        <v>0</v>
      </c>
      <c r="T115" s="82">
        <f t="shared" si="8"/>
        <v>0</v>
      </c>
      <c r="U115" s="44">
        <f t="shared" si="9"/>
        <v>0</v>
      </c>
      <c r="V115" s="44">
        <f t="shared" si="10"/>
        <v>0</v>
      </c>
      <c r="W115" s="82">
        <f t="shared" si="11"/>
        <v>0</v>
      </c>
      <c r="X115" s="87">
        <f t="shared" si="12"/>
        <v>0</v>
      </c>
    </row>
    <row r="116" spans="1:29" ht="28.5" hidden="1" customHeight="1" x14ac:dyDescent="0.2">
      <c r="A116" s="535"/>
      <c r="B116" s="557" t="str">
        <f>B54</f>
        <v>Experiencias formativas en situaciones reales de trabajo (ESRT)</v>
      </c>
      <c r="C116" s="558"/>
      <c r="D116" s="558"/>
      <c r="E116" s="558"/>
      <c r="F116" s="162"/>
      <c r="G116" s="162"/>
      <c r="H116" s="162"/>
      <c r="I116" s="162"/>
      <c r="J116" s="162">
        <f>Organización_Modular!I102</f>
        <v>0</v>
      </c>
      <c r="K116" s="162">
        <f>J116*32</f>
        <v>0</v>
      </c>
      <c r="L116" s="162"/>
      <c r="M116" s="162"/>
      <c r="N116" s="162"/>
      <c r="O116" s="162"/>
      <c r="P116" s="162"/>
      <c r="Q116" s="162"/>
      <c r="R116" s="165">
        <f>Organización_Modular!H102</f>
        <v>0</v>
      </c>
      <c r="S116" s="163">
        <f>Organización_Modular!I102</f>
        <v>0</v>
      </c>
      <c r="T116" s="164">
        <f t="shared" si="8"/>
        <v>0</v>
      </c>
      <c r="U116" s="163">
        <f t="shared" si="9"/>
        <v>0</v>
      </c>
      <c r="V116" s="163">
        <f t="shared" si="10"/>
        <v>0</v>
      </c>
      <c r="W116" s="164">
        <f t="shared" si="11"/>
        <v>0</v>
      </c>
      <c r="X116" s="87">
        <f t="shared" si="12"/>
        <v>0</v>
      </c>
    </row>
    <row r="117" spans="1:29" ht="18" hidden="1" customHeight="1" x14ac:dyDescent="0.2">
      <c r="A117" s="535"/>
      <c r="B117" s="397" t="str">
        <f>B24</f>
        <v>Competencias técnicas (Unidad de competencia)</v>
      </c>
      <c r="C117" s="538">
        <f>Organización_Modular!C103</f>
        <v>0</v>
      </c>
      <c r="D117" s="537">
        <f>Organización_Modular!F103</f>
        <v>0</v>
      </c>
      <c r="E117" s="537"/>
      <c r="F117" s="44" t="str">
        <f>_xlfn.IFNA(IF(VLOOKUP($D117,Organización_Modular!$F$10:$G$195,2,FALSE)=F$23,Itinerario!T117," ")," ")</f>
        <v xml:space="preserve"> </v>
      </c>
      <c r="G117" s="44" t="str">
        <f>_xlfn.IFNA(IF(VLOOKUP($D117,Organización_Modular!$F$10:$G$195,2,FALSE)=G$23,Itinerario!W117," ")," ")</f>
        <v xml:space="preserve"> </v>
      </c>
      <c r="H117" s="44" t="str">
        <f>_xlfn.IFNA(IF(VLOOKUP($D117,Organización_Modular!$F$10:$G$195,2,FALSE)=H$23,Itinerario!T117," ")," ")</f>
        <v xml:space="preserve"> </v>
      </c>
      <c r="I117" s="44" t="str">
        <f>_xlfn.IFNA(IF(VLOOKUP($D117,Organización_Modular!$F$10:$G$195,2,FALSE)=I$23,Itinerario!W117," ")," ")</f>
        <v xml:space="preserve"> </v>
      </c>
      <c r="J117" s="44" t="str">
        <f>_xlfn.IFNA(IF(VLOOKUP($D117,Organización_Modular!$F$10:$G$195,2,FALSE)=J$23,Itinerario!T117," ")," ")</f>
        <v xml:space="preserve"> </v>
      </c>
      <c r="K117" s="44" t="str">
        <f>_xlfn.IFNA(IF(VLOOKUP($D117,Organización_Modular!$F$10:$G$195,2,FALSE)=K$23,Itinerario!W117," ")," ")</f>
        <v xml:space="preserve"> </v>
      </c>
      <c r="L117" s="44" t="str">
        <f>_xlfn.IFNA(IF(VLOOKUP($D117,Organización_Modular!$F$10:$G$195,2,FALSE)=L$23,Itinerario!T117," ")," ")</f>
        <v xml:space="preserve"> </v>
      </c>
      <c r="M117" s="44" t="str">
        <f>_xlfn.IFNA(IF(VLOOKUP($D117,Organización_Modular!$F$10:$G$195,2,FALSE)=M$23,Itinerario!W117," ")," ")</f>
        <v xml:space="preserve"> </v>
      </c>
      <c r="N117" s="44" t="str">
        <f>_xlfn.IFNA(IF(VLOOKUP($D117,Organización_Modular!$F$10:$G$195,2,FALSE)=N$23,Itinerario!T117," ")," ")</f>
        <v xml:space="preserve"> </v>
      </c>
      <c r="O117" s="44" t="str">
        <f>_xlfn.IFNA(IF(VLOOKUP($D117,Organización_Modular!$F$10:$G$195,2,FALSE)=O$23,Itinerario!W117," ")," ")</f>
        <v xml:space="preserve"> </v>
      </c>
      <c r="P117" s="44" t="str">
        <f>_xlfn.IFNA(IF(VLOOKUP($D117,Organización_Modular!$F$10:$G$195,2,FALSE)=P$23,Itinerario!T117," ")," ")</f>
        <v xml:space="preserve"> </v>
      </c>
      <c r="Q117" s="44" t="str">
        <f>_xlfn.IFNA(IF(VLOOKUP($D117,Organización_Modular!$F$10:$G$195,2,FALSE)=Q$23,Itinerario!W117," ")," ")</f>
        <v xml:space="preserve"> </v>
      </c>
      <c r="R117" s="44">
        <f>Organización_Modular!H103</f>
        <v>0</v>
      </c>
      <c r="S117" s="44">
        <f>Organización_Modular!I103</f>
        <v>0</v>
      </c>
      <c r="T117" s="82">
        <f>SUM(R117:S117)</f>
        <v>0</v>
      </c>
      <c r="U117" s="44">
        <f t="shared" si="9"/>
        <v>0</v>
      </c>
      <c r="V117" s="44">
        <f t="shared" si="10"/>
        <v>0</v>
      </c>
      <c r="W117" s="82">
        <f t="shared" si="11"/>
        <v>0</v>
      </c>
      <c r="X117" s="87">
        <f t="shared" si="12"/>
        <v>0</v>
      </c>
    </row>
    <row r="118" spans="1:29" ht="18" hidden="1" customHeight="1" x14ac:dyDescent="0.2">
      <c r="A118" s="535"/>
      <c r="B118" s="397"/>
      <c r="C118" s="538"/>
      <c r="D118" s="537">
        <f>Organización_Modular!F104</f>
        <v>0</v>
      </c>
      <c r="E118" s="537"/>
      <c r="F118" s="44" t="str">
        <f>_xlfn.IFNA(IF(VLOOKUP($D118,Organización_Modular!$F$10:$G$195,2,FALSE)=F$23,Itinerario!T118," ")," ")</f>
        <v xml:space="preserve"> </v>
      </c>
      <c r="G118" s="44" t="str">
        <f>_xlfn.IFNA(IF(VLOOKUP($D118,Organización_Modular!$F$10:$G$195,2,FALSE)=G$23,Itinerario!W118," ")," ")</f>
        <v xml:space="preserve"> </v>
      </c>
      <c r="H118" s="44" t="str">
        <f>_xlfn.IFNA(IF(VLOOKUP($D118,Organización_Modular!$F$10:$G$195,2,FALSE)=H$23,Itinerario!T118," ")," ")</f>
        <v xml:space="preserve"> </v>
      </c>
      <c r="I118" s="44" t="str">
        <f>_xlfn.IFNA(IF(VLOOKUP($D118,Organización_Modular!$F$10:$G$195,2,FALSE)=I$23,Itinerario!W118," ")," ")</f>
        <v xml:space="preserve"> </v>
      </c>
      <c r="J118" s="44" t="str">
        <f>_xlfn.IFNA(IF(VLOOKUP($D118,Organización_Modular!$F$10:$G$195,2,FALSE)=J$23,Itinerario!T118," ")," ")</f>
        <v xml:space="preserve"> </v>
      </c>
      <c r="K118" s="44" t="str">
        <f>_xlfn.IFNA(IF(VLOOKUP($D118,Organización_Modular!$F$10:$G$195,2,FALSE)=K$23,Itinerario!W118," ")," ")</f>
        <v xml:space="preserve"> </v>
      </c>
      <c r="L118" s="44" t="str">
        <f>_xlfn.IFNA(IF(VLOOKUP($D118,Organización_Modular!$F$10:$G$195,2,FALSE)=L$23,Itinerario!T118," ")," ")</f>
        <v xml:space="preserve"> </v>
      </c>
      <c r="M118" s="44" t="str">
        <f>_xlfn.IFNA(IF(VLOOKUP($D118,Organización_Modular!$F$10:$G$195,2,FALSE)=M$23,Itinerario!W118," ")," ")</f>
        <v xml:space="preserve"> </v>
      </c>
      <c r="N118" s="44" t="str">
        <f>_xlfn.IFNA(IF(VLOOKUP($D118,Organización_Modular!$F$10:$G$195,2,FALSE)=N$23,Itinerario!T118," ")," ")</f>
        <v xml:space="preserve"> </v>
      </c>
      <c r="O118" s="44" t="str">
        <f>_xlfn.IFNA(IF(VLOOKUP($D118,Organización_Modular!$F$10:$G$195,2,FALSE)=O$23,Itinerario!W118," ")," ")</f>
        <v xml:space="preserve"> </v>
      </c>
      <c r="P118" s="44" t="str">
        <f>_xlfn.IFNA(IF(VLOOKUP($D118,Organización_Modular!$F$10:$G$195,2,FALSE)=P$23,Itinerario!T118," ")," ")</f>
        <v xml:space="preserve"> </v>
      </c>
      <c r="Q118" s="44" t="str">
        <f>_xlfn.IFNA(IF(VLOOKUP($D118,Organización_Modular!$F$10:$G$195,2,FALSE)=Q$23,Itinerario!W118," ")," ")</f>
        <v xml:space="preserve"> </v>
      </c>
      <c r="R118" s="44">
        <f>Organización_Modular!H104</f>
        <v>0</v>
      </c>
      <c r="S118" s="44">
        <f>Organización_Modular!I104</f>
        <v>0</v>
      </c>
      <c r="T118" s="82">
        <f t="shared" ref="T118:T146" si="13">SUM(R118:S118)</f>
        <v>0</v>
      </c>
      <c r="U118" s="44">
        <f t="shared" si="9"/>
        <v>0</v>
      </c>
      <c r="V118" s="44">
        <f t="shared" si="10"/>
        <v>0</v>
      </c>
      <c r="W118" s="82">
        <f t="shared" si="11"/>
        <v>0</v>
      </c>
      <c r="X118" s="87">
        <f t="shared" si="12"/>
        <v>0</v>
      </c>
      <c r="AC118" s="2">
        <f>SUM(W117:W147)</f>
        <v>0</v>
      </c>
    </row>
    <row r="119" spans="1:29" ht="18" hidden="1" customHeight="1" x14ac:dyDescent="0.2">
      <c r="A119" s="535"/>
      <c r="B119" s="397"/>
      <c r="C119" s="538"/>
      <c r="D119" s="537">
        <f>Organización_Modular!F105</f>
        <v>0</v>
      </c>
      <c r="E119" s="537"/>
      <c r="F119" s="44" t="str">
        <f>_xlfn.IFNA(IF(VLOOKUP($D119,Organización_Modular!$F$10:$G$195,2,FALSE)=F$23,Itinerario!T119," ")," ")</f>
        <v xml:space="preserve"> </v>
      </c>
      <c r="G119" s="44" t="str">
        <f>_xlfn.IFNA(IF(VLOOKUP($D119,Organización_Modular!$F$10:$G$195,2,FALSE)=G$23,Itinerario!W119," ")," ")</f>
        <v xml:space="preserve"> </v>
      </c>
      <c r="H119" s="44" t="str">
        <f>_xlfn.IFNA(IF(VLOOKUP($D119,Organización_Modular!$F$10:$G$195,2,FALSE)=H$23,Itinerario!T119," ")," ")</f>
        <v xml:space="preserve"> </v>
      </c>
      <c r="I119" s="44" t="str">
        <f>_xlfn.IFNA(IF(VLOOKUP($D119,Organización_Modular!$F$10:$G$195,2,FALSE)=I$23,Itinerario!W119," ")," ")</f>
        <v xml:space="preserve"> </v>
      </c>
      <c r="J119" s="44" t="str">
        <f>_xlfn.IFNA(IF(VLOOKUP($D119,Organización_Modular!$F$10:$G$195,2,FALSE)=J$23,Itinerario!T119," ")," ")</f>
        <v xml:space="preserve"> </v>
      </c>
      <c r="K119" s="44" t="str">
        <f>_xlfn.IFNA(IF(VLOOKUP($D119,Organización_Modular!$F$10:$G$195,2,FALSE)=K$23,Itinerario!W119," ")," ")</f>
        <v xml:space="preserve"> </v>
      </c>
      <c r="L119" s="44" t="str">
        <f>_xlfn.IFNA(IF(VLOOKUP($D119,Organización_Modular!$F$10:$G$195,2,FALSE)=L$23,Itinerario!T119," ")," ")</f>
        <v xml:space="preserve"> </v>
      </c>
      <c r="M119" s="44" t="str">
        <f>_xlfn.IFNA(IF(VLOOKUP($D119,Organización_Modular!$F$10:$G$195,2,FALSE)=M$23,Itinerario!W119," ")," ")</f>
        <v xml:space="preserve"> </v>
      </c>
      <c r="N119" s="44" t="str">
        <f>_xlfn.IFNA(IF(VLOOKUP($D119,Organización_Modular!$F$10:$G$195,2,FALSE)=N$23,Itinerario!T119," ")," ")</f>
        <v xml:space="preserve"> </v>
      </c>
      <c r="O119" s="44" t="str">
        <f>_xlfn.IFNA(IF(VLOOKUP($D119,Organización_Modular!$F$10:$G$195,2,FALSE)=O$23,Itinerario!W119," ")," ")</f>
        <v xml:space="preserve"> </v>
      </c>
      <c r="P119" s="44" t="str">
        <f>_xlfn.IFNA(IF(VLOOKUP($D119,Organización_Modular!$F$10:$G$195,2,FALSE)=P$23,Itinerario!T119," ")," ")</f>
        <v xml:space="preserve"> </v>
      </c>
      <c r="Q119" s="44" t="str">
        <f>_xlfn.IFNA(IF(VLOOKUP($D119,Organización_Modular!$F$10:$G$195,2,FALSE)=Q$23,Itinerario!W119," ")," ")</f>
        <v xml:space="preserve"> </v>
      </c>
      <c r="R119" s="44">
        <f>Organización_Modular!H105</f>
        <v>0</v>
      </c>
      <c r="S119" s="44">
        <f>Organización_Modular!I105</f>
        <v>0</v>
      </c>
      <c r="T119" s="82">
        <f t="shared" si="13"/>
        <v>0</v>
      </c>
      <c r="U119" s="44">
        <f t="shared" si="9"/>
        <v>0</v>
      </c>
      <c r="V119" s="44">
        <f t="shared" si="10"/>
        <v>0</v>
      </c>
      <c r="W119" s="82">
        <f t="shared" si="11"/>
        <v>0</v>
      </c>
      <c r="X119" s="87">
        <f t="shared" si="12"/>
        <v>0</v>
      </c>
    </row>
    <row r="120" spans="1:29" ht="18" hidden="1" customHeight="1" x14ac:dyDescent="0.2">
      <c r="A120" s="535"/>
      <c r="B120" s="397"/>
      <c r="C120" s="538"/>
      <c r="D120" s="537">
        <f>Organización_Modular!F106</f>
        <v>0</v>
      </c>
      <c r="E120" s="537"/>
      <c r="F120" s="44" t="str">
        <f>_xlfn.IFNA(IF(VLOOKUP($D120,Organización_Modular!$F$10:$G$195,2,FALSE)=F$23,Itinerario!T120," ")," ")</f>
        <v xml:space="preserve"> </v>
      </c>
      <c r="G120" s="44" t="str">
        <f>_xlfn.IFNA(IF(VLOOKUP($D120,Organización_Modular!$F$10:$G$195,2,FALSE)=G$23,Itinerario!W120," ")," ")</f>
        <v xml:space="preserve"> </v>
      </c>
      <c r="H120" s="44" t="str">
        <f>_xlfn.IFNA(IF(VLOOKUP($D120,Organización_Modular!$F$10:$G$195,2,FALSE)=H$23,Itinerario!T120," ")," ")</f>
        <v xml:space="preserve"> </v>
      </c>
      <c r="I120" s="44" t="str">
        <f>_xlfn.IFNA(IF(VLOOKUP($D120,Organización_Modular!$F$10:$G$195,2,FALSE)=I$23,Itinerario!W120," ")," ")</f>
        <v xml:space="preserve"> </v>
      </c>
      <c r="J120" s="44" t="str">
        <f>_xlfn.IFNA(IF(VLOOKUP($D120,Organización_Modular!$F$10:$G$195,2,FALSE)=J$23,Itinerario!T120," ")," ")</f>
        <v xml:space="preserve"> </v>
      </c>
      <c r="K120" s="44" t="str">
        <f>_xlfn.IFNA(IF(VLOOKUP($D120,Organización_Modular!$F$10:$G$195,2,FALSE)=K$23,Itinerario!W120," ")," ")</f>
        <v xml:space="preserve"> </v>
      </c>
      <c r="L120" s="44" t="str">
        <f>_xlfn.IFNA(IF(VLOOKUP($D120,Organización_Modular!$F$10:$G$195,2,FALSE)=L$23,Itinerario!T120," ")," ")</f>
        <v xml:space="preserve"> </v>
      </c>
      <c r="M120" s="44" t="str">
        <f>_xlfn.IFNA(IF(VLOOKUP($D120,Organización_Modular!$F$10:$G$195,2,FALSE)=M$23,Itinerario!W120," ")," ")</f>
        <v xml:space="preserve"> </v>
      </c>
      <c r="N120" s="44" t="str">
        <f>_xlfn.IFNA(IF(VLOOKUP($D120,Organización_Modular!$F$10:$G$195,2,FALSE)=N$23,Itinerario!T120," ")," ")</f>
        <v xml:space="preserve"> </v>
      </c>
      <c r="O120" s="44" t="str">
        <f>_xlfn.IFNA(IF(VLOOKUP($D120,Organización_Modular!$F$10:$G$195,2,FALSE)=O$23,Itinerario!W120," ")," ")</f>
        <v xml:space="preserve"> </v>
      </c>
      <c r="P120" s="44" t="str">
        <f>_xlfn.IFNA(IF(VLOOKUP($D120,Organización_Modular!$F$10:$G$195,2,FALSE)=P$23,Itinerario!T120," ")," ")</f>
        <v xml:space="preserve"> </v>
      </c>
      <c r="Q120" s="44" t="str">
        <f>_xlfn.IFNA(IF(VLOOKUP($D120,Organización_Modular!$F$10:$G$195,2,FALSE)=Q$23,Itinerario!W120," ")," ")</f>
        <v xml:space="preserve"> </v>
      </c>
      <c r="R120" s="44">
        <f>Organización_Modular!H106</f>
        <v>0</v>
      </c>
      <c r="S120" s="44">
        <f>Organización_Modular!I106</f>
        <v>0</v>
      </c>
      <c r="T120" s="82">
        <f t="shared" si="13"/>
        <v>0</v>
      </c>
      <c r="U120" s="44">
        <f t="shared" si="9"/>
        <v>0</v>
      </c>
      <c r="V120" s="44">
        <f t="shared" si="10"/>
        <v>0</v>
      </c>
      <c r="W120" s="82">
        <f t="shared" si="11"/>
        <v>0</v>
      </c>
      <c r="X120" s="87">
        <f t="shared" si="12"/>
        <v>0</v>
      </c>
    </row>
    <row r="121" spans="1:29" ht="18" hidden="1" customHeight="1" x14ac:dyDescent="0.2">
      <c r="A121" s="535"/>
      <c r="B121" s="397"/>
      <c r="C121" s="538"/>
      <c r="D121" s="537">
        <f>Organización_Modular!F107</f>
        <v>0</v>
      </c>
      <c r="E121" s="537"/>
      <c r="F121" s="44" t="str">
        <f>_xlfn.IFNA(IF(VLOOKUP($D121,Organización_Modular!$F$10:$G$195,2,FALSE)=F$23,Itinerario!T121," ")," ")</f>
        <v xml:space="preserve"> </v>
      </c>
      <c r="G121" s="44" t="str">
        <f>_xlfn.IFNA(IF(VLOOKUP($D121,Organización_Modular!$F$10:$G$195,2,FALSE)=G$23,Itinerario!W121," ")," ")</f>
        <v xml:space="preserve"> </v>
      </c>
      <c r="H121" s="44" t="str">
        <f>_xlfn.IFNA(IF(VLOOKUP($D121,Organización_Modular!$F$10:$G$195,2,FALSE)=H$23,Itinerario!T121," ")," ")</f>
        <v xml:space="preserve"> </v>
      </c>
      <c r="I121" s="44" t="str">
        <f>_xlfn.IFNA(IF(VLOOKUP($D121,Organización_Modular!$F$10:$G$195,2,FALSE)=I$23,Itinerario!W121," ")," ")</f>
        <v xml:space="preserve"> </v>
      </c>
      <c r="J121" s="44" t="str">
        <f>_xlfn.IFNA(IF(VLOOKUP($D121,Organización_Modular!$F$10:$G$195,2,FALSE)=J$23,Itinerario!T121," ")," ")</f>
        <v xml:space="preserve"> </v>
      </c>
      <c r="K121" s="44" t="str">
        <f>_xlfn.IFNA(IF(VLOOKUP($D121,Organización_Modular!$F$10:$G$195,2,FALSE)=K$23,Itinerario!W121," ")," ")</f>
        <v xml:space="preserve"> </v>
      </c>
      <c r="L121" s="44" t="str">
        <f>_xlfn.IFNA(IF(VLOOKUP($D121,Organización_Modular!$F$10:$G$195,2,FALSE)=L$23,Itinerario!T121," ")," ")</f>
        <v xml:space="preserve"> </v>
      </c>
      <c r="M121" s="44" t="str">
        <f>_xlfn.IFNA(IF(VLOOKUP($D121,Organización_Modular!$F$10:$G$195,2,FALSE)=M$23,Itinerario!W121," ")," ")</f>
        <v xml:space="preserve"> </v>
      </c>
      <c r="N121" s="44" t="str">
        <f>_xlfn.IFNA(IF(VLOOKUP($D121,Organización_Modular!$F$10:$G$195,2,FALSE)=N$23,Itinerario!T121," ")," ")</f>
        <v xml:space="preserve"> </v>
      </c>
      <c r="O121" s="44" t="str">
        <f>_xlfn.IFNA(IF(VLOOKUP($D121,Organización_Modular!$F$10:$G$195,2,FALSE)=O$23,Itinerario!W121," ")," ")</f>
        <v xml:space="preserve"> </v>
      </c>
      <c r="P121" s="44" t="str">
        <f>_xlfn.IFNA(IF(VLOOKUP($D121,Organización_Modular!$F$10:$G$195,2,FALSE)=P$23,Itinerario!T121," ")," ")</f>
        <v xml:space="preserve"> </v>
      </c>
      <c r="Q121" s="44" t="str">
        <f>_xlfn.IFNA(IF(VLOOKUP($D121,Organización_Modular!$F$10:$G$195,2,FALSE)=Q$23,Itinerario!W121," ")," ")</f>
        <v xml:space="preserve"> </v>
      </c>
      <c r="R121" s="44">
        <f>Organización_Modular!H107</f>
        <v>0</v>
      </c>
      <c r="S121" s="44">
        <f>Organización_Modular!I107</f>
        <v>0</v>
      </c>
      <c r="T121" s="82">
        <f t="shared" si="13"/>
        <v>0</v>
      </c>
      <c r="U121" s="44">
        <f t="shared" si="9"/>
        <v>0</v>
      </c>
      <c r="V121" s="44">
        <f t="shared" si="10"/>
        <v>0</v>
      </c>
      <c r="W121" s="82">
        <f t="shared" si="11"/>
        <v>0</v>
      </c>
      <c r="X121" s="87">
        <f t="shared" si="12"/>
        <v>0</v>
      </c>
    </row>
    <row r="122" spans="1:29" ht="18" hidden="1" customHeight="1" x14ac:dyDescent="0.2">
      <c r="A122" s="535"/>
      <c r="B122" s="397"/>
      <c r="C122" s="538"/>
      <c r="D122" s="537">
        <f>Organización_Modular!F108</f>
        <v>0</v>
      </c>
      <c r="E122" s="537"/>
      <c r="F122" s="44" t="str">
        <f>_xlfn.IFNA(IF(VLOOKUP($D122,Organización_Modular!$F$10:$G$195,2,FALSE)=F$23,Itinerario!T122," ")," ")</f>
        <v xml:space="preserve"> </v>
      </c>
      <c r="G122" s="44" t="str">
        <f>_xlfn.IFNA(IF(VLOOKUP($D122,Organización_Modular!$F$10:$G$195,2,FALSE)=G$23,Itinerario!W122," ")," ")</f>
        <v xml:space="preserve"> </v>
      </c>
      <c r="H122" s="44" t="str">
        <f>_xlfn.IFNA(IF(VLOOKUP($D122,Organización_Modular!$F$10:$G$195,2,FALSE)=H$23,Itinerario!T122," ")," ")</f>
        <v xml:space="preserve"> </v>
      </c>
      <c r="I122" s="44" t="str">
        <f>_xlfn.IFNA(IF(VLOOKUP($D122,Organización_Modular!$F$10:$G$195,2,FALSE)=I$23,Itinerario!W122," ")," ")</f>
        <v xml:space="preserve"> </v>
      </c>
      <c r="J122" s="44" t="str">
        <f>_xlfn.IFNA(IF(VLOOKUP($D122,Organización_Modular!$F$10:$G$195,2,FALSE)=J$23,Itinerario!T122," ")," ")</f>
        <v xml:space="preserve"> </v>
      </c>
      <c r="K122" s="44" t="str">
        <f>_xlfn.IFNA(IF(VLOOKUP($D122,Organización_Modular!$F$10:$G$195,2,FALSE)=K$23,Itinerario!W122," ")," ")</f>
        <v xml:space="preserve"> </v>
      </c>
      <c r="L122" s="44" t="str">
        <f>_xlfn.IFNA(IF(VLOOKUP($D122,Organización_Modular!$F$10:$G$195,2,FALSE)=L$23,Itinerario!T122," ")," ")</f>
        <v xml:space="preserve"> </v>
      </c>
      <c r="M122" s="44" t="str">
        <f>_xlfn.IFNA(IF(VLOOKUP($D122,Organización_Modular!$F$10:$G$195,2,FALSE)=M$23,Itinerario!W122," ")," ")</f>
        <v xml:space="preserve"> </v>
      </c>
      <c r="N122" s="44" t="str">
        <f>_xlfn.IFNA(IF(VLOOKUP($D122,Organización_Modular!$F$10:$G$195,2,FALSE)=N$23,Itinerario!T122," ")," ")</f>
        <v xml:space="preserve"> </v>
      </c>
      <c r="O122" s="44" t="str">
        <f>_xlfn.IFNA(IF(VLOOKUP($D122,Organización_Modular!$F$10:$G$195,2,FALSE)=O$23,Itinerario!W122," ")," ")</f>
        <v xml:space="preserve"> </v>
      </c>
      <c r="P122" s="44" t="str">
        <f>_xlfn.IFNA(IF(VLOOKUP($D122,Organización_Modular!$F$10:$G$195,2,FALSE)=P$23,Itinerario!T122," ")," ")</f>
        <v xml:space="preserve"> </v>
      </c>
      <c r="Q122" s="44" t="str">
        <f>_xlfn.IFNA(IF(VLOOKUP($D122,Organización_Modular!$F$10:$G$195,2,FALSE)=Q$23,Itinerario!W122," ")," ")</f>
        <v xml:space="preserve"> </v>
      </c>
      <c r="R122" s="44">
        <f>Organización_Modular!H108</f>
        <v>0</v>
      </c>
      <c r="S122" s="44">
        <f>Organización_Modular!I108</f>
        <v>0</v>
      </c>
      <c r="T122" s="82">
        <f t="shared" si="13"/>
        <v>0</v>
      </c>
      <c r="U122" s="44">
        <f t="shared" si="9"/>
        <v>0</v>
      </c>
      <c r="V122" s="44">
        <f t="shared" si="10"/>
        <v>0</v>
      </c>
      <c r="W122" s="82">
        <f t="shared" si="11"/>
        <v>0</v>
      </c>
      <c r="X122" s="87">
        <f t="shared" si="12"/>
        <v>0</v>
      </c>
    </row>
    <row r="123" spans="1:29" ht="18" hidden="1" customHeight="1" x14ac:dyDescent="0.2">
      <c r="A123" s="535"/>
      <c r="B123" s="397"/>
      <c r="C123" s="538"/>
      <c r="D123" s="537">
        <f>Organización_Modular!F109</f>
        <v>0</v>
      </c>
      <c r="E123" s="537"/>
      <c r="F123" s="44" t="str">
        <f>_xlfn.IFNA(IF(VLOOKUP($D123,Organización_Modular!$F$10:$G$195,2,FALSE)=F$23,Itinerario!T123," ")," ")</f>
        <v xml:space="preserve"> </v>
      </c>
      <c r="G123" s="44" t="str">
        <f>_xlfn.IFNA(IF(VLOOKUP($D123,Organización_Modular!$F$10:$G$195,2,FALSE)=G$23,Itinerario!W123," ")," ")</f>
        <v xml:space="preserve"> </v>
      </c>
      <c r="H123" s="44" t="str">
        <f>_xlfn.IFNA(IF(VLOOKUP($D123,Organización_Modular!$F$10:$G$195,2,FALSE)=H$23,Itinerario!T123," ")," ")</f>
        <v xml:space="preserve"> </v>
      </c>
      <c r="I123" s="44" t="str">
        <f>_xlfn.IFNA(IF(VLOOKUP($D123,Organización_Modular!$F$10:$G$195,2,FALSE)=I$23,Itinerario!W123," ")," ")</f>
        <v xml:space="preserve"> </v>
      </c>
      <c r="J123" s="44" t="str">
        <f>_xlfn.IFNA(IF(VLOOKUP($D123,Organización_Modular!$F$10:$G$195,2,FALSE)=J$23,Itinerario!T123," ")," ")</f>
        <v xml:space="preserve"> </v>
      </c>
      <c r="K123" s="44" t="str">
        <f>_xlfn.IFNA(IF(VLOOKUP($D123,Organización_Modular!$F$10:$G$195,2,FALSE)=K$23,Itinerario!W123," ")," ")</f>
        <v xml:space="preserve"> </v>
      </c>
      <c r="L123" s="44" t="str">
        <f>_xlfn.IFNA(IF(VLOOKUP($D123,Organización_Modular!$F$10:$G$195,2,FALSE)=L$23,Itinerario!T123," ")," ")</f>
        <v xml:space="preserve"> </v>
      </c>
      <c r="M123" s="44" t="str">
        <f>_xlfn.IFNA(IF(VLOOKUP($D123,Organización_Modular!$F$10:$G$195,2,FALSE)=M$23,Itinerario!W123," ")," ")</f>
        <v xml:space="preserve"> </v>
      </c>
      <c r="N123" s="44" t="str">
        <f>_xlfn.IFNA(IF(VLOOKUP($D123,Organización_Modular!$F$10:$G$195,2,FALSE)=N$23,Itinerario!T123," ")," ")</f>
        <v xml:space="preserve"> </v>
      </c>
      <c r="O123" s="44" t="str">
        <f>_xlfn.IFNA(IF(VLOOKUP($D123,Organización_Modular!$F$10:$G$195,2,FALSE)=O$23,Itinerario!W123," ")," ")</f>
        <v xml:space="preserve"> </v>
      </c>
      <c r="P123" s="44" t="str">
        <f>_xlfn.IFNA(IF(VLOOKUP($D123,Organización_Modular!$F$10:$G$195,2,FALSE)=P$23,Itinerario!T123," ")," ")</f>
        <v xml:space="preserve"> </v>
      </c>
      <c r="Q123" s="44" t="str">
        <f>_xlfn.IFNA(IF(VLOOKUP($D123,Organización_Modular!$F$10:$G$195,2,FALSE)=Q$23,Itinerario!W123," ")," ")</f>
        <v xml:space="preserve"> </v>
      </c>
      <c r="R123" s="44">
        <f>Organización_Modular!H109</f>
        <v>0</v>
      </c>
      <c r="S123" s="44">
        <f>Organización_Modular!I109</f>
        <v>0</v>
      </c>
      <c r="T123" s="82">
        <f t="shared" si="13"/>
        <v>0</v>
      </c>
      <c r="U123" s="44">
        <f t="shared" si="9"/>
        <v>0</v>
      </c>
      <c r="V123" s="44">
        <f t="shared" si="10"/>
        <v>0</v>
      </c>
      <c r="W123" s="82">
        <f t="shared" si="11"/>
        <v>0</v>
      </c>
      <c r="X123" s="87">
        <f t="shared" si="12"/>
        <v>0</v>
      </c>
    </row>
    <row r="124" spans="1:29" ht="18" hidden="1" customHeight="1" x14ac:dyDescent="0.2">
      <c r="A124" s="535"/>
      <c r="B124" s="397"/>
      <c r="C124" s="538"/>
      <c r="D124" s="537">
        <f>Organización_Modular!F110</f>
        <v>0</v>
      </c>
      <c r="E124" s="537"/>
      <c r="F124" s="44" t="str">
        <f>_xlfn.IFNA(IF(VLOOKUP($D124,Organización_Modular!$F$10:$G$195,2,FALSE)=F$23,Itinerario!T124," ")," ")</f>
        <v xml:space="preserve"> </v>
      </c>
      <c r="G124" s="44" t="str">
        <f>_xlfn.IFNA(IF(VLOOKUP($D124,Organización_Modular!$F$10:$G$195,2,FALSE)=G$23,Itinerario!W124," ")," ")</f>
        <v xml:space="preserve"> </v>
      </c>
      <c r="H124" s="44" t="str">
        <f>_xlfn.IFNA(IF(VLOOKUP($D124,Organización_Modular!$F$10:$G$195,2,FALSE)=H$23,Itinerario!T124," ")," ")</f>
        <v xml:space="preserve"> </v>
      </c>
      <c r="I124" s="44" t="str">
        <f>_xlfn.IFNA(IF(VLOOKUP($D124,Organización_Modular!$F$10:$G$195,2,FALSE)=I$23,Itinerario!W124," ")," ")</f>
        <v xml:space="preserve"> </v>
      </c>
      <c r="J124" s="44" t="str">
        <f>_xlfn.IFNA(IF(VLOOKUP($D124,Organización_Modular!$F$10:$G$195,2,FALSE)=J$23,Itinerario!T124," ")," ")</f>
        <v xml:space="preserve"> </v>
      </c>
      <c r="K124" s="44" t="str">
        <f>_xlfn.IFNA(IF(VLOOKUP($D124,Organización_Modular!$F$10:$G$195,2,FALSE)=K$23,Itinerario!W124," ")," ")</f>
        <v xml:space="preserve"> </v>
      </c>
      <c r="L124" s="44" t="str">
        <f>_xlfn.IFNA(IF(VLOOKUP($D124,Organización_Modular!$F$10:$G$195,2,FALSE)=L$23,Itinerario!T124," ")," ")</f>
        <v xml:space="preserve"> </v>
      </c>
      <c r="M124" s="44" t="str">
        <f>_xlfn.IFNA(IF(VLOOKUP($D124,Organización_Modular!$F$10:$G$195,2,FALSE)=M$23,Itinerario!W124," ")," ")</f>
        <v xml:space="preserve"> </v>
      </c>
      <c r="N124" s="44" t="str">
        <f>_xlfn.IFNA(IF(VLOOKUP($D124,Organización_Modular!$F$10:$G$195,2,FALSE)=N$23,Itinerario!T124," ")," ")</f>
        <v xml:space="preserve"> </v>
      </c>
      <c r="O124" s="44" t="str">
        <f>_xlfn.IFNA(IF(VLOOKUP($D124,Organización_Modular!$F$10:$G$195,2,FALSE)=O$23,Itinerario!W124," ")," ")</f>
        <v xml:space="preserve"> </v>
      </c>
      <c r="P124" s="44" t="str">
        <f>_xlfn.IFNA(IF(VLOOKUP($D124,Organización_Modular!$F$10:$G$195,2,FALSE)=P$23,Itinerario!T124," ")," ")</f>
        <v xml:space="preserve"> </v>
      </c>
      <c r="Q124" s="44" t="str">
        <f>_xlfn.IFNA(IF(VLOOKUP($D124,Organización_Modular!$F$10:$G$195,2,FALSE)=Q$23,Itinerario!W124," ")," ")</f>
        <v xml:space="preserve"> </v>
      </c>
      <c r="R124" s="44">
        <f>Organización_Modular!H110</f>
        <v>0</v>
      </c>
      <c r="S124" s="44">
        <f>Organización_Modular!I110</f>
        <v>0</v>
      </c>
      <c r="T124" s="82">
        <f t="shared" si="13"/>
        <v>0</v>
      </c>
      <c r="U124" s="44">
        <f t="shared" si="9"/>
        <v>0</v>
      </c>
      <c r="V124" s="44">
        <f t="shared" si="10"/>
        <v>0</v>
      </c>
      <c r="W124" s="82">
        <f t="shared" si="11"/>
        <v>0</v>
      </c>
      <c r="X124" s="87">
        <f t="shared" si="12"/>
        <v>0</v>
      </c>
    </row>
    <row r="125" spans="1:29" ht="18" hidden="1" customHeight="1" x14ac:dyDescent="0.2">
      <c r="A125" s="535"/>
      <c r="B125" s="397"/>
      <c r="C125" s="538"/>
      <c r="D125" s="537">
        <f>Organización_Modular!F111</f>
        <v>0</v>
      </c>
      <c r="E125" s="537"/>
      <c r="F125" s="44" t="str">
        <f>_xlfn.IFNA(IF(VLOOKUP($D125,Organización_Modular!$F$10:$G$195,2,FALSE)=F$23,Itinerario!T125," ")," ")</f>
        <v xml:space="preserve"> </v>
      </c>
      <c r="G125" s="44" t="str">
        <f>_xlfn.IFNA(IF(VLOOKUP($D125,Organización_Modular!$F$10:$G$195,2,FALSE)=G$23,Itinerario!W125," ")," ")</f>
        <v xml:space="preserve"> </v>
      </c>
      <c r="H125" s="44" t="str">
        <f>_xlfn.IFNA(IF(VLOOKUP($D125,Organización_Modular!$F$10:$G$195,2,FALSE)=H$23,Itinerario!T125," ")," ")</f>
        <v xml:space="preserve"> </v>
      </c>
      <c r="I125" s="44" t="str">
        <f>_xlfn.IFNA(IF(VLOOKUP($D125,Organización_Modular!$F$10:$G$195,2,FALSE)=I$23,Itinerario!W125," ")," ")</f>
        <v xml:space="preserve"> </v>
      </c>
      <c r="J125" s="44" t="str">
        <f>_xlfn.IFNA(IF(VLOOKUP($D125,Organización_Modular!$F$10:$G$195,2,FALSE)=J$23,Itinerario!T125," ")," ")</f>
        <v xml:space="preserve"> </v>
      </c>
      <c r="K125" s="44" t="str">
        <f>_xlfn.IFNA(IF(VLOOKUP($D125,Organización_Modular!$F$10:$G$195,2,FALSE)=K$23,Itinerario!W125," ")," ")</f>
        <v xml:space="preserve"> </v>
      </c>
      <c r="L125" s="44" t="str">
        <f>_xlfn.IFNA(IF(VLOOKUP($D125,Organización_Modular!$F$10:$G$195,2,FALSE)=L$23,Itinerario!T125," ")," ")</f>
        <v xml:space="preserve"> </v>
      </c>
      <c r="M125" s="44" t="str">
        <f>_xlfn.IFNA(IF(VLOOKUP($D125,Organización_Modular!$F$10:$G$195,2,FALSE)=M$23,Itinerario!W125," ")," ")</f>
        <v xml:space="preserve"> </v>
      </c>
      <c r="N125" s="44" t="str">
        <f>_xlfn.IFNA(IF(VLOOKUP($D125,Organización_Modular!$F$10:$G$195,2,FALSE)=N$23,Itinerario!T125," ")," ")</f>
        <v xml:space="preserve"> </v>
      </c>
      <c r="O125" s="44" t="str">
        <f>_xlfn.IFNA(IF(VLOOKUP($D125,Organización_Modular!$F$10:$G$195,2,FALSE)=O$23,Itinerario!W125," ")," ")</f>
        <v xml:space="preserve"> </v>
      </c>
      <c r="P125" s="44" t="str">
        <f>_xlfn.IFNA(IF(VLOOKUP($D125,Organización_Modular!$F$10:$G$195,2,FALSE)=P$23,Itinerario!T125," ")," ")</f>
        <v xml:space="preserve"> </v>
      </c>
      <c r="Q125" s="44" t="str">
        <f>_xlfn.IFNA(IF(VLOOKUP($D125,Organización_Modular!$F$10:$G$195,2,FALSE)=Q$23,Itinerario!W125," ")," ")</f>
        <v xml:space="preserve"> </v>
      </c>
      <c r="R125" s="44">
        <f>Organización_Modular!H111</f>
        <v>0</v>
      </c>
      <c r="S125" s="44">
        <f>Organización_Modular!I111</f>
        <v>0</v>
      </c>
      <c r="T125" s="82">
        <f t="shared" si="13"/>
        <v>0</v>
      </c>
      <c r="U125" s="44">
        <f t="shared" si="9"/>
        <v>0</v>
      </c>
      <c r="V125" s="44">
        <f t="shared" si="10"/>
        <v>0</v>
      </c>
      <c r="W125" s="82">
        <f t="shared" si="11"/>
        <v>0</v>
      </c>
      <c r="X125" s="87">
        <f t="shared" si="12"/>
        <v>0</v>
      </c>
    </row>
    <row r="126" spans="1:29" ht="18" hidden="1" customHeight="1" x14ac:dyDescent="0.2">
      <c r="A126" s="535"/>
      <c r="B126" s="397"/>
      <c r="C126" s="538"/>
      <c r="D126" s="537">
        <f>Organización_Modular!F112</f>
        <v>0</v>
      </c>
      <c r="E126" s="537"/>
      <c r="F126" s="44" t="str">
        <f>_xlfn.IFNA(IF(VLOOKUP($D126,Organización_Modular!$F$10:$G$195,2,FALSE)=F$23,Itinerario!T126," ")," ")</f>
        <v xml:space="preserve"> </v>
      </c>
      <c r="G126" s="44" t="str">
        <f>_xlfn.IFNA(IF(VLOOKUP($D126,Organización_Modular!$F$10:$G$195,2,FALSE)=G$23,Itinerario!W126," ")," ")</f>
        <v xml:space="preserve"> </v>
      </c>
      <c r="H126" s="44" t="str">
        <f>_xlfn.IFNA(IF(VLOOKUP($D126,Organización_Modular!$F$10:$G$195,2,FALSE)=H$23,Itinerario!T126," ")," ")</f>
        <v xml:space="preserve"> </v>
      </c>
      <c r="I126" s="44" t="str">
        <f>_xlfn.IFNA(IF(VLOOKUP($D126,Organización_Modular!$F$10:$G$195,2,FALSE)=I$23,Itinerario!W126," ")," ")</f>
        <v xml:space="preserve"> </v>
      </c>
      <c r="J126" s="44" t="str">
        <f>_xlfn.IFNA(IF(VLOOKUP($D126,Organización_Modular!$F$10:$G$195,2,FALSE)=J$23,Itinerario!T126," ")," ")</f>
        <v xml:space="preserve"> </v>
      </c>
      <c r="K126" s="44" t="str">
        <f>_xlfn.IFNA(IF(VLOOKUP($D126,Organización_Modular!$F$10:$G$195,2,FALSE)=K$23,Itinerario!W126," ")," ")</f>
        <v xml:space="preserve"> </v>
      </c>
      <c r="L126" s="44" t="str">
        <f>_xlfn.IFNA(IF(VLOOKUP($D126,Organización_Modular!$F$10:$G$195,2,FALSE)=L$23,Itinerario!T126," ")," ")</f>
        <v xml:space="preserve"> </v>
      </c>
      <c r="M126" s="44" t="str">
        <f>_xlfn.IFNA(IF(VLOOKUP($D126,Organización_Modular!$F$10:$G$195,2,FALSE)=M$23,Itinerario!W126," ")," ")</f>
        <v xml:space="preserve"> </v>
      </c>
      <c r="N126" s="44" t="str">
        <f>_xlfn.IFNA(IF(VLOOKUP($D126,Organización_Modular!$F$10:$G$195,2,FALSE)=N$23,Itinerario!T126," ")," ")</f>
        <v xml:space="preserve"> </v>
      </c>
      <c r="O126" s="44" t="str">
        <f>_xlfn.IFNA(IF(VLOOKUP($D126,Organización_Modular!$F$10:$G$195,2,FALSE)=O$23,Itinerario!W126," ")," ")</f>
        <v xml:space="preserve"> </v>
      </c>
      <c r="P126" s="44" t="str">
        <f>_xlfn.IFNA(IF(VLOOKUP($D126,Organización_Modular!$F$10:$G$195,2,FALSE)=P$23,Itinerario!T126," ")," ")</f>
        <v xml:space="preserve"> </v>
      </c>
      <c r="Q126" s="44" t="str">
        <f>_xlfn.IFNA(IF(VLOOKUP($D126,Organización_Modular!$F$10:$G$195,2,FALSE)=Q$23,Itinerario!W126," ")," ")</f>
        <v xml:space="preserve"> </v>
      </c>
      <c r="R126" s="44">
        <f>Organización_Modular!H112</f>
        <v>0</v>
      </c>
      <c r="S126" s="44">
        <f>Organización_Modular!I112</f>
        <v>0</v>
      </c>
      <c r="T126" s="82">
        <f t="shared" si="13"/>
        <v>0</v>
      </c>
      <c r="U126" s="44">
        <f t="shared" si="9"/>
        <v>0</v>
      </c>
      <c r="V126" s="44">
        <f t="shared" si="10"/>
        <v>0</v>
      </c>
      <c r="W126" s="82">
        <f t="shared" si="11"/>
        <v>0</v>
      </c>
      <c r="X126" s="87">
        <f t="shared" si="12"/>
        <v>0</v>
      </c>
    </row>
    <row r="127" spans="1:29" ht="18" hidden="1" customHeight="1" x14ac:dyDescent="0.2">
      <c r="A127" s="535"/>
      <c r="B127" s="397"/>
      <c r="C127" s="538"/>
      <c r="D127" s="537">
        <f>Organización_Modular!F113</f>
        <v>0</v>
      </c>
      <c r="E127" s="537"/>
      <c r="F127" s="44" t="str">
        <f>_xlfn.IFNA(IF(VLOOKUP($D127,Organización_Modular!$F$10:$G$195,2,FALSE)=F$23,Itinerario!T127," ")," ")</f>
        <v xml:space="preserve"> </v>
      </c>
      <c r="G127" s="44" t="str">
        <f>_xlfn.IFNA(IF(VLOOKUP($D127,Organización_Modular!$F$10:$G$195,2,FALSE)=G$23,Itinerario!W127," ")," ")</f>
        <v xml:space="preserve"> </v>
      </c>
      <c r="H127" s="44" t="str">
        <f>_xlfn.IFNA(IF(VLOOKUP($D127,Organización_Modular!$F$10:$G$195,2,FALSE)=H$23,Itinerario!T127," ")," ")</f>
        <v xml:space="preserve"> </v>
      </c>
      <c r="I127" s="44" t="str">
        <f>_xlfn.IFNA(IF(VLOOKUP($D127,Organización_Modular!$F$10:$G$195,2,FALSE)=I$23,Itinerario!W127," ")," ")</f>
        <v xml:space="preserve"> </v>
      </c>
      <c r="J127" s="44" t="str">
        <f>_xlfn.IFNA(IF(VLOOKUP($D127,Organización_Modular!$F$10:$G$195,2,FALSE)=J$23,Itinerario!T127," ")," ")</f>
        <v xml:space="preserve"> </v>
      </c>
      <c r="K127" s="44" t="str">
        <f>_xlfn.IFNA(IF(VLOOKUP($D127,Organización_Modular!$F$10:$G$195,2,FALSE)=K$23,Itinerario!W127," ")," ")</f>
        <v xml:space="preserve"> </v>
      </c>
      <c r="L127" s="44" t="str">
        <f>_xlfn.IFNA(IF(VLOOKUP($D127,Organización_Modular!$F$10:$G$195,2,FALSE)=L$23,Itinerario!T127," ")," ")</f>
        <v xml:space="preserve"> </v>
      </c>
      <c r="M127" s="44" t="str">
        <f>_xlfn.IFNA(IF(VLOOKUP($D127,Organización_Modular!$F$10:$G$195,2,FALSE)=M$23,Itinerario!W127," ")," ")</f>
        <v xml:space="preserve"> </v>
      </c>
      <c r="N127" s="44" t="str">
        <f>_xlfn.IFNA(IF(VLOOKUP($D127,Organización_Modular!$F$10:$G$195,2,FALSE)=N$23,Itinerario!T127," ")," ")</f>
        <v xml:space="preserve"> </v>
      </c>
      <c r="O127" s="44" t="str">
        <f>_xlfn.IFNA(IF(VLOOKUP($D127,Organización_Modular!$F$10:$G$195,2,FALSE)=O$23,Itinerario!W127," ")," ")</f>
        <v xml:space="preserve"> </v>
      </c>
      <c r="P127" s="44" t="str">
        <f>_xlfn.IFNA(IF(VLOOKUP($D127,Organización_Modular!$F$10:$G$195,2,FALSE)=P$23,Itinerario!T127," ")," ")</f>
        <v xml:space="preserve"> </v>
      </c>
      <c r="Q127" s="44" t="str">
        <f>_xlfn.IFNA(IF(VLOOKUP($D127,Organización_Modular!$F$10:$G$195,2,FALSE)=Q$23,Itinerario!W127," ")," ")</f>
        <v xml:space="preserve"> </v>
      </c>
      <c r="R127" s="44">
        <f>Organización_Modular!H113</f>
        <v>0</v>
      </c>
      <c r="S127" s="44">
        <f>Organización_Modular!I113</f>
        <v>0</v>
      </c>
      <c r="T127" s="82">
        <f t="shared" si="13"/>
        <v>0</v>
      </c>
      <c r="U127" s="44">
        <f t="shared" si="9"/>
        <v>0</v>
      </c>
      <c r="V127" s="44">
        <f t="shared" si="10"/>
        <v>0</v>
      </c>
      <c r="W127" s="82">
        <f t="shared" si="11"/>
        <v>0</v>
      </c>
      <c r="X127" s="87">
        <f t="shared" si="12"/>
        <v>0</v>
      </c>
    </row>
    <row r="128" spans="1:29" ht="18" hidden="1" customHeight="1" x14ac:dyDescent="0.2">
      <c r="A128" s="535"/>
      <c r="B128" s="397"/>
      <c r="C128" s="538"/>
      <c r="D128" s="537">
        <f>Organización_Modular!F114</f>
        <v>0</v>
      </c>
      <c r="E128" s="537"/>
      <c r="F128" s="44" t="str">
        <f>_xlfn.IFNA(IF(VLOOKUP($D128,Organización_Modular!$F$10:$G$195,2,FALSE)=F$23,Itinerario!T128," ")," ")</f>
        <v xml:space="preserve"> </v>
      </c>
      <c r="G128" s="44" t="str">
        <f>_xlfn.IFNA(IF(VLOOKUP($D128,Organización_Modular!$F$10:$G$195,2,FALSE)=G$23,Itinerario!W128," ")," ")</f>
        <v xml:space="preserve"> </v>
      </c>
      <c r="H128" s="44" t="str">
        <f>_xlfn.IFNA(IF(VLOOKUP($D128,Organización_Modular!$F$10:$G$195,2,FALSE)=H$23,Itinerario!T128," ")," ")</f>
        <v xml:space="preserve"> </v>
      </c>
      <c r="I128" s="44" t="str">
        <f>_xlfn.IFNA(IF(VLOOKUP($D128,Organización_Modular!$F$10:$G$195,2,FALSE)=I$23,Itinerario!W128," ")," ")</f>
        <v xml:space="preserve"> </v>
      </c>
      <c r="J128" s="44" t="str">
        <f>_xlfn.IFNA(IF(VLOOKUP($D128,Organización_Modular!$F$10:$G$195,2,FALSE)=J$23,Itinerario!T128," ")," ")</f>
        <v xml:space="preserve"> </v>
      </c>
      <c r="K128" s="44" t="str">
        <f>_xlfn.IFNA(IF(VLOOKUP($D128,Organización_Modular!$F$10:$G$195,2,FALSE)=K$23,Itinerario!W128," ")," ")</f>
        <v xml:space="preserve"> </v>
      </c>
      <c r="L128" s="44" t="str">
        <f>_xlfn.IFNA(IF(VLOOKUP($D128,Organización_Modular!$F$10:$G$195,2,FALSE)=L$23,Itinerario!T128," ")," ")</f>
        <v xml:space="preserve"> </v>
      </c>
      <c r="M128" s="44" t="str">
        <f>_xlfn.IFNA(IF(VLOOKUP($D128,Organización_Modular!$F$10:$G$195,2,FALSE)=M$23,Itinerario!W128," ")," ")</f>
        <v xml:space="preserve"> </v>
      </c>
      <c r="N128" s="44" t="str">
        <f>_xlfn.IFNA(IF(VLOOKUP($D128,Organización_Modular!$F$10:$G$195,2,FALSE)=N$23,Itinerario!T128," ")," ")</f>
        <v xml:space="preserve"> </v>
      </c>
      <c r="O128" s="44" t="str">
        <f>_xlfn.IFNA(IF(VLOOKUP($D128,Organización_Modular!$F$10:$G$195,2,FALSE)=O$23,Itinerario!W128," ")," ")</f>
        <v xml:space="preserve"> </v>
      </c>
      <c r="P128" s="44" t="str">
        <f>_xlfn.IFNA(IF(VLOOKUP($D128,Organización_Modular!$F$10:$G$195,2,FALSE)=P$23,Itinerario!T128," ")," ")</f>
        <v xml:space="preserve"> </v>
      </c>
      <c r="Q128" s="44" t="str">
        <f>_xlfn.IFNA(IF(VLOOKUP($D128,Organización_Modular!$F$10:$G$195,2,FALSE)=Q$23,Itinerario!W128," ")," ")</f>
        <v xml:space="preserve"> </v>
      </c>
      <c r="R128" s="44">
        <f>Organización_Modular!H114</f>
        <v>0</v>
      </c>
      <c r="S128" s="44">
        <f>Organización_Modular!I114</f>
        <v>0</v>
      </c>
      <c r="T128" s="82">
        <f t="shared" si="13"/>
        <v>0</v>
      </c>
      <c r="U128" s="44">
        <f t="shared" si="9"/>
        <v>0</v>
      </c>
      <c r="V128" s="44">
        <f t="shared" si="10"/>
        <v>0</v>
      </c>
      <c r="W128" s="82">
        <f t="shared" si="11"/>
        <v>0</v>
      </c>
      <c r="X128" s="87">
        <f t="shared" si="12"/>
        <v>0</v>
      </c>
    </row>
    <row r="129" spans="1:24" ht="18" hidden="1" customHeight="1" x14ac:dyDescent="0.2">
      <c r="A129" s="535"/>
      <c r="B129" s="397"/>
      <c r="C129" s="538"/>
      <c r="D129" s="537">
        <f>Organización_Modular!F115</f>
        <v>0</v>
      </c>
      <c r="E129" s="537"/>
      <c r="F129" s="44" t="str">
        <f>_xlfn.IFNA(IF(VLOOKUP($D129,Organización_Modular!$F$10:$G$195,2,FALSE)=F$23,Itinerario!T129," ")," ")</f>
        <v xml:space="preserve"> </v>
      </c>
      <c r="G129" s="44" t="str">
        <f>_xlfn.IFNA(IF(VLOOKUP($D129,Organización_Modular!$F$10:$G$195,2,FALSE)=G$23,Itinerario!W129," ")," ")</f>
        <v xml:space="preserve"> </v>
      </c>
      <c r="H129" s="44" t="str">
        <f>_xlfn.IFNA(IF(VLOOKUP($D129,Organización_Modular!$F$10:$G$195,2,FALSE)=H$23,Itinerario!T129," ")," ")</f>
        <v xml:space="preserve"> </v>
      </c>
      <c r="I129" s="44" t="str">
        <f>_xlfn.IFNA(IF(VLOOKUP($D129,Organización_Modular!$F$10:$G$195,2,FALSE)=I$23,Itinerario!W129," ")," ")</f>
        <v xml:space="preserve"> </v>
      </c>
      <c r="J129" s="44" t="str">
        <f>_xlfn.IFNA(IF(VLOOKUP($D129,Organización_Modular!$F$10:$G$195,2,FALSE)=J$23,Itinerario!T129," ")," ")</f>
        <v xml:space="preserve"> </v>
      </c>
      <c r="K129" s="44" t="str">
        <f>_xlfn.IFNA(IF(VLOOKUP($D129,Organización_Modular!$F$10:$G$195,2,FALSE)=K$23,Itinerario!W129," ")," ")</f>
        <v xml:space="preserve"> </v>
      </c>
      <c r="L129" s="44" t="str">
        <f>_xlfn.IFNA(IF(VLOOKUP($D129,Organización_Modular!$F$10:$G$195,2,FALSE)=L$23,Itinerario!T129," ")," ")</f>
        <v xml:space="preserve"> </v>
      </c>
      <c r="M129" s="44" t="str">
        <f>_xlfn.IFNA(IF(VLOOKUP($D129,Organización_Modular!$F$10:$G$195,2,FALSE)=M$23,Itinerario!W129," ")," ")</f>
        <v xml:space="preserve"> </v>
      </c>
      <c r="N129" s="44" t="str">
        <f>_xlfn.IFNA(IF(VLOOKUP($D129,Organización_Modular!$F$10:$G$195,2,FALSE)=N$23,Itinerario!T129," ")," ")</f>
        <v xml:space="preserve"> </v>
      </c>
      <c r="O129" s="44" t="str">
        <f>_xlfn.IFNA(IF(VLOOKUP($D129,Organización_Modular!$F$10:$G$195,2,FALSE)=O$23,Itinerario!W129," ")," ")</f>
        <v xml:space="preserve"> </v>
      </c>
      <c r="P129" s="44" t="str">
        <f>_xlfn.IFNA(IF(VLOOKUP($D129,Organización_Modular!$F$10:$G$195,2,FALSE)=P$23,Itinerario!T129," ")," ")</f>
        <v xml:space="preserve"> </v>
      </c>
      <c r="Q129" s="44" t="str">
        <f>_xlfn.IFNA(IF(VLOOKUP($D129,Organización_Modular!$F$10:$G$195,2,FALSE)=Q$23,Itinerario!W129," ")," ")</f>
        <v xml:space="preserve"> </v>
      </c>
      <c r="R129" s="44">
        <f>Organización_Modular!H115</f>
        <v>0</v>
      </c>
      <c r="S129" s="44">
        <f>Organización_Modular!I115</f>
        <v>0</v>
      </c>
      <c r="T129" s="82">
        <f t="shared" si="13"/>
        <v>0</v>
      </c>
      <c r="U129" s="44">
        <f t="shared" si="9"/>
        <v>0</v>
      </c>
      <c r="V129" s="44">
        <f t="shared" si="10"/>
        <v>0</v>
      </c>
      <c r="W129" s="82">
        <f t="shared" si="11"/>
        <v>0</v>
      </c>
      <c r="X129" s="87">
        <f t="shared" si="12"/>
        <v>0</v>
      </c>
    </row>
    <row r="130" spans="1:24" ht="18" hidden="1" customHeight="1" x14ac:dyDescent="0.2">
      <c r="A130" s="535"/>
      <c r="B130" s="397"/>
      <c r="C130" s="538"/>
      <c r="D130" s="537">
        <f>Organización_Modular!F116</f>
        <v>0</v>
      </c>
      <c r="E130" s="537"/>
      <c r="F130" s="44" t="str">
        <f>_xlfn.IFNA(IF(VLOOKUP($D130,Organización_Modular!$F$10:$G$195,2,FALSE)=F$23,Itinerario!T130," ")," ")</f>
        <v xml:space="preserve"> </v>
      </c>
      <c r="G130" s="44" t="str">
        <f>_xlfn.IFNA(IF(VLOOKUP($D130,Organización_Modular!$F$10:$G$195,2,FALSE)=G$23,Itinerario!W130," ")," ")</f>
        <v xml:space="preserve"> </v>
      </c>
      <c r="H130" s="44" t="str">
        <f>_xlfn.IFNA(IF(VLOOKUP($D130,Organización_Modular!$F$10:$G$195,2,FALSE)=H$23,Itinerario!T130," ")," ")</f>
        <v xml:space="preserve"> </v>
      </c>
      <c r="I130" s="44" t="str">
        <f>_xlfn.IFNA(IF(VLOOKUP($D130,Organización_Modular!$F$10:$G$195,2,FALSE)=I$23,Itinerario!W130," ")," ")</f>
        <v xml:space="preserve"> </v>
      </c>
      <c r="J130" s="44" t="str">
        <f>_xlfn.IFNA(IF(VLOOKUP($D130,Organización_Modular!$F$10:$G$195,2,FALSE)=J$23,Itinerario!T130," ")," ")</f>
        <v xml:space="preserve"> </v>
      </c>
      <c r="K130" s="44" t="str">
        <f>_xlfn.IFNA(IF(VLOOKUP($D130,Organización_Modular!$F$10:$G$195,2,FALSE)=K$23,Itinerario!W130," ")," ")</f>
        <v xml:space="preserve"> </v>
      </c>
      <c r="L130" s="44" t="str">
        <f>_xlfn.IFNA(IF(VLOOKUP($D130,Organización_Modular!$F$10:$G$195,2,FALSE)=L$23,Itinerario!T130," ")," ")</f>
        <v xml:space="preserve"> </v>
      </c>
      <c r="M130" s="44" t="str">
        <f>_xlfn.IFNA(IF(VLOOKUP($D130,Organización_Modular!$F$10:$G$195,2,FALSE)=M$23,Itinerario!W130," ")," ")</f>
        <v xml:space="preserve"> </v>
      </c>
      <c r="N130" s="44" t="str">
        <f>_xlfn.IFNA(IF(VLOOKUP($D130,Organización_Modular!$F$10:$G$195,2,FALSE)=N$23,Itinerario!T130," ")," ")</f>
        <v xml:space="preserve"> </v>
      </c>
      <c r="O130" s="44" t="str">
        <f>_xlfn.IFNA(IF(VLOOKUP($D130,Organización_Modular!$F$10:$G$195,2,FALSE)=O$23,Itinerario!W130," ")," ")</f>
        <v xml:space="preserve"> </v>
      </c>
      <c r="P130" s="44" t="str">
        <f>_xlfn.IFNA(IF(VLOOKUP($D130,Organización_Modular!$F$10:$G$195,2,FALSE)=P$23,Itinerario!T130," ")," ")</f>
        <v xml:space="preserve"> </v>
      </c>
      <c r="Q130" s="44" t="str">
        <f>_xlfn.IFNA(IF(VLOOKUP($D130,Organización_Modular!$F$10:$G$195,2,FALSE)=Q$23,Itinerario!W130," ")," ")</f>
        <v xml:space="preserve"> </v>
      </c>
      <c r="R130" s="44">
        <f>Organización_Modular!H116</f>
        <v>0</v>
      </c>
      <c r="S130" s="44">
        <f>Organización_Modular!I116</f>
        <v>0</v>
      </c>
      <c r="T130" s="82">
        <f t="shared" si="13"/>
        <v>0</v>
      </c>
      <c r="U130" s="44">
        <f t="shared" si="9"/>
        <v>0</v>
      </c>
      <c r="V130" s="44">
        <f t="shared" si="10"/>
        <v>0</v>
      </c>
      <c r="W130" s="82">
        <f t="shared" si="11"/>
        <v>0</v>
      </c>
      <c r="X130" s="87">
        <f t="shared" si="12"/>
        <v>0</v>
      </c>
    </row>
    <row r="131" spans="1:24" ht="18" hidden="1" customHeight="1" x14ac:dyDescent="0.2">
      <c r="A131" s="535"/>
      <c r="B131" s="397"/>
      <c r="C131" s="538"/>
      <c r="D131" s="537">
        <f>Organización_Modular!F117</f>
        <v>0</v>
      </c>
      <c r="E131" s="537"/>
      <c r="F131" s="44" t="str">
        <f>_xlfn.IFNA(IF(VLOOKUP($D131,Organización_Modular!$F$10:$G$195,2,FALSE)=F$23,Itinerario!T131," ")," ")</f>
        <v xml:space="preserve"> </v>
      </c>
      <c r="G131" s="44" t="str">
        <f>_xlfn.IFNA(IF(VLOOKUP($D131,Organización_Modular!$F$10:$G$195,2,FALSE)=G$23,Itinerario!W131," ")," ")</f>
        <v xml:space="preserve"> </v>
      </c>
      <c r="H131" s="44" t="str">
        <f>_xlfn.IFNA(IF(VLOOKUP($D131,Organización_Modular!$F$10:$G$195,2,FALSE)=H$23,Itinerario!T131," ")," ")</f>
        <v xml:space="preserve"> </v>
      </c>
      <c r="I131" s="44" t="str">
        <f>_xlfn.IFNA(IF(VLOOKUP($D131,Organización_Modular!$F$10:$G$195,2,FALSE)=I$23,Itinerario!W131," ")," ")</f>
        <v xml:space="preserve"> </v>
      </c>
      <c r="J131" s="44" t="str">
        <f>_xlfn.IFNA(IF(VLOOKUP($D131,Organización_Modular!$F$10:$G$195,2,FALSE)=J$23,Itinerario!T131," ")," ")</f>
        <v xml:space="preserve"> </v>
      </c>
      <c r="K131" s="44" t="str">
        <f>_xlfn.IFNA(IF(VLOOKUP($D131,Organización_Modular!$F$10:$G$195,2,FALSE)=K$23,Itinerario!W131," ")," ")</f>
        <v xml:space="preserve"> </v>
      </c>
      <c r="L131" s="44" t="str">
        <f>_xlfn.IFNA(IF(VLOOKUP($D131,Organización_Modular!$F$10:$G$195,2,FALSE)=L$23,Itinerario!T131," ")," ")</f>
        <v xml:space="preserve"> </v>
      </c>
      <c r="M131" s="44" t="str">
        <f>_xlfn.IFNA(IF(VLOOKUP($D131,Organización_Modular!$F$10:$G$195,2,FALSE)=M$23,Itinerario!W131," ")," ")</f>
        <v xml:space="preserve"> </v>
      </c>
      <c r="N131" s="44" t="str">
        <f>_xlfn.IFNA(IF(VLOOKUP($D131,Organización_Modular!$F$10:$G$195,2,FALSE)=N$23,Itinerario!T131," ")," ")</f>
        <v xml:space="preserve"> </v>
      </c>
      <c r="O131" s="44" t="str">
        <f>_xlfn.IFNA(IF(VLOOKUP($D131,Organización_Modular!$F$10:$G$195,2,FALSE)=O$23,Itinerario!W131," ")," ")</f>
        <v xml:space="preserve"> </v>
      </c>
      <c r="P131" s="44" t="str">
        <f>_xlfn.IFNA(IF(VLOOKUP($D131,Organización_Modular!$F$10:$G$195,2,FALSE)=P$23,Itinerario!T131," ")," ")</f>
        <v xml:space="preserve"> </v>
      </c>
      <c r="Q131" s="44" t="str">
        <f>_xlfn.IFNA(IF(VLOOKUP($D131,Organización_Modular!$F$10:$G$195,2,FALSE)=Q$23,Itinerario!W131," ")," ")</f>
        <v xml:space="preserve"> </v>
      </c>
      <c r="R131" s="44">
        <f>Organización_Modular!H117</f>
        <v>0</v>
      </c>
      <c r="S131" s="44">
        <f>Organización_Modular!I117</f>
        <v>0</v>
      </c>
      <c r="T131" s="82">
        <f t="shared" si="13"/>
        <v>0</v>
      </c>
      <c r="U131" s="44">
        <f t="shared" si="9"/>
        <v>0</v>
      </c>
      <c r="V131" s="44">
        <f t="shared" si="10"/>
        <v>0</v>
      </c>
      <c r="W131" s="82">
        <f t="shared" si="11"/>
        <v>0</v>
      </c>
      <c r="X131" s="87">
        <f t="shared" si="12"/>
        <v>0</v>
      </c>
    </row>
    <row r="132" spans="1:24" ht="18" hidden="1" customHeight="1" x14ac:dyDescent="0.2">
      <c r="A132" s="535"/>
      <c r="B132" s="397"/>
      <c r="C132" s="538"/>
      <c r="D132" s="537">
        <f>Organización_Modular!F118</f>
        <v>0</v>
      </c>
      <c r="E132" s="537"/>
      <c r="F132" s="44" t="str">
        <f>_xlfn.IFNA(IF(VLOOKUP($D132,Organización_Modular!$F$10:$G$195,2,FALSE)=F$23,Itinerario!T132," ")," ")</f>
        <v xml:space="preserve"> </v>
      </c>
      <c r="G132" s="44" t="str">
        <f>_xlfn.IFNA(IF(VLOOKUP($D132,Organización_Modular!$F$10:$G$195,2,FALSE)=G$23,Itinerario!W132," ")," ")</f>
        <v xml:space="preserve"> </v>
      </c>
      <c r="H132" s="44" t="str">
        <f>_xlfn.IFNA(IF(VLOOKUP($D132,Organización_Modular!$F$10:$G$195,2,FALSE)=H$23,Itinerario!T132," ")," ")</f>
        <v xml:space="preserve"> </v>
      </c>
      <c r="I132" s="44" t="str">
        <f>_xlfn.IFNA(IF(VLOOKUP($D132,Organización_Modular!$F$10:$G$195,2,FALSE)=I$23,Itinerario!W132," ")," ")</f>
        <v xml:space="preserve"> </v>
      </c>
      <c r="J132" s="44" t="str">
        <f>_xlfn.IFNA(IF(VLOOKUP($D132,Organización_Modular!$F$10:$G$195,2,FALSE)=J$23,Itinerario!T132," ")," ")</f>
        <v xml:space="preserve"> </v>
      </c>
      <c r="K132" s="44" t="str">
        <f>_xlfn.IFNA(IF(VLOOKUP($D132,Organización_Modular!$F$10:$G$195,2,FALSE)=K$23,Itinerario!W132," ")," ")</f>
        <v xml:space="preserve"> </v>
      </c>
      <c r="L132" s="44" t="str">
        <f>_xlfn.IFNA(IF(VLOOKUP($D132,Organización_Modular!$F$10:$G$195,2,FALSE)=L$23,Itinerario!T132," ")," ")</f>
        <v xml:space="preserve"> </v>
      </c>
      <c r="M132" s="44" t="str">
        <f>_xlfn.IFNA(IF(VLOOKUP($D132,Organización_Modular!$F$10:$G$195,2,FALSE)=M$23,Itinerario!W132," ")," ")</f>
        <v xml:space="preserve"> </v>
      </c>
      <c r="N132" s="44" t="str">
        <f>_xlfn.IFNA(IF(VLOOKUP($D132,Organización_Modular!$F$10:$G$195,2,FALSE)=N$23,Itinerario!T132," ")," ")</f>
        <v xml:space="preserve"> </v>
      </c>
      <c r="O132" s="44" t="str">
        <f>_xlfn.IFNA(IF(VLOOKUP($D132,Organización_Modular!$F$10:$G$195,2,FALSE)=O$23,Itinerario!W132," ")," ")</f>
        <v xml:space="preserve"> </v>
      </c>
      <c r="P132" s="44" t="str">
        <f>_xlfn.IFNA(IF(VLOOKUP($D132,Organización_Modular!$F$10:$G$195,2,FALSE)=P$23,Itinerario!T132," ")," ")</f>
        <v xml:space="preserve"> </v>
      </c>
      <c r="Q132" s="44" t="str">
        <f>_xlfn.IFNA(IF(VLOOKUP($D132,Organización_Modular!$F$10:$G$195,2,FALSE)=Q$23,Itinerario!W132," ")," ")</f>
        <v xml:space="preserve"> </v>
      </c>
      <c r="R132" s="44">
        <f>Organización_Modular!H118</f>
        <v>0</v>
      </c>
      <c r="S132" s="44">
        <f>Organización_Modular!I118</f>
        <v>0</v>
      </c>
      <c r="T132" s="82">
        <f t="shared" si="13"/>
        <v>0</v>
      </c>
      <c r="U132" s="44">
        <f t="shared" si="9"/>
        <v>0</v>
      </c>
      <c r="V132" s="44">
        <f t="shared" si="10"/>
        <v>0</v>
      </c>
      <c r="W132" s="82">
        <f t="shared" si="11"/>
        <v>0</v>
      </c>
      <c r="X132" s="87">
        <f t="shared" si="12"/>
        <v>0</v>
      </c>
    </row>
    <row r="133" spans="1:24" ht="18" hidden="1" customHeight="1" x14ac:dyDescent="0.2">
      <c r="A133" s="535"/>
      <c r="B133" s="397"/>
      <c r="C133" s="538"/>
      <c r="D133" s="537">
        <f>Organización_Modular!F119</f>
        <v>0</v>
      </c>
      <c r="E133" s="537"/>
      <c r="F133" s="44" t="str">
        <f>_xlfn.IFNA(IF(VLOOKUP($D133,Organización_Modular!$F$10:$G$195,2,FALSE)=F$23,Itinerario!T133," ")," ")</f>
        <v xml:space="preserve"> </v>
      </c>
      <c r="G133" s="44" t="str">
        <f>_xlfn.IFNA(IF(VLOOKUP($D133,Organización_Modular!$F$10:$G$195,2,FALSE)=G$23,Itinerario!W133," ")," ")</f>
        <v xml:space="preserve"> </v>
      </c>
      <c r="H133" s="44" t="str">
        <f>_xlfn.IFNA(IF(VLOOKUP($D133,Organización_Modular!$F$10:$G$195,2,FALSE)=H$23,Itinerario!T133," ")," ")</f>
        <v xml:space="preserve"> </v>
      </c>
      <c r="I133" s="44" t="str">
        <f>_xlfn.IFNA(IF(VLOOKUP($D133,Organización_Modular!$F$10:$G$195,2,FALSE)=I$23,Itinerario!W133," ")," ")</f>
        <v xml:space="preserve"> </v>
      </c>
      <c r="J133" s="44" t="str">
        <f>_xlfn.IFNA(IF(VLOOKUP($D133,Organización_Modular!$F$10:$G$195,2,FALSE)=J$23,Itinerario!T133," ")," ")</f>
        <v xml:space="preserve"> </v>
      </c>
      <c r="K133" s="44" t="str">
        <f>_xlfn.IFNA(IF(VLOOKUP($D133,Organización_Modular!$F$10:$G$195,2,FALSE)=K$23,Itinerario!W133," ")," ")</f>
        <v xml:space="preserve"> </v>
      </c>
      <c r="L133" s="44" t="str">
        <f>_xlfn.IFNA(IF(VLOOKUP($D133,Organización_Modular!$F$10:$G$195,2,FALSE)=L$23,Itinerario!T133," ")," ")</f>
        <v xml:space="preserve"> </v>
      </c>
      <c r="M133" s="44" t="str">
        <f>_xlfn.IFNA(IF(VLOOKUP($D133,Organización_Modular!$F$10:$G$195,2,FALSE)=M$23,Itinerario!W133," ")," ")</f>
        <v xml:space="preserve"> </v>
      </c>
      <c r="N133" s="44" t="str">
        <f>_xlfn.IFNA(IF(VLOOKUP($D133,Organización_Modular!$F$10:$G$195,2,FALSE)=N$23,Itinerario!T133," ")," ")</f>
        <v xml:space="preserve"> </v>
      </c>
      <c r="O133" s="44" t="str">
        <f>_xlfn.IFNA(IF(VLOOKUP($D133,Organización_Modular!$F$10:$G$195,2,FALSE)=O$23,Itinerario!W133," ")," ")</f>
        <v xml:space="preserve"> </v>
      </c>
      <c r="P133" s="44" t="str">
        <f>_xlfn.IFNA(IF(VLOOKUP($D133,Organización_Modular!$F$10:$G$195,2,FALSE)=P$23,Itinerario!T133," ")," ")</f>
        <v xml:space="preserve"> </v>
      </c>
      <c r="Q133" s="44" t="str">
        <f>_xlfn.IFNA(IF(VLOOKUP($D133,Organización_Modular!$F$10:$G$195,2,FALSE)=Q$23,Itinerario!W133," ")," ")</f>
        <v xml:space="preserve"> </v>
      </c>
      <c r="R133" s="44">
        <f>Organización_Modular!H119</f>
        <v>0</v>
      </c>
      <c r="S133" s="44">
        <f>Organización_Modular!I119</f>
        <v>0</v>
      </c>
      <c r="T133" s="82">
        <f t="shared" si="13"/>
        <v>0</v>
      </c>
      <c r="U133" s="44">
        <f t="shared" si="9"/>
        <v>0</v>
      </c>
      <c r="V133" s="44">
        <f t="shared" si="10"/>
        <v>0</v>
      </c>
      <c r="W133" s="82">
        <f t="shared" si="11"/>
        <v>0</v>
      </c>
      <c r="X133" s="87">
        <f t="shared" si="12"/>
        <v>0</v>
      </c>
    </row>
    <row r="134" spans="1:24" ht="18" hidden="1" customHeight="1" x14ac:dyDescent="0.2">
      <c r="A134" s="535"/>
      <c r="B134" s="397"/>
      <c r="C134" s="538"/>
      <c r="D134" s="537">
        <f>Organización_Modular!F120</f>
        <v>0</v>
      </c>
      <c r="E134" s="537"/>
      <c r="F134" s="44" t="str">
        <f>_xlfn.IFNA(IF(VLOOKUP($D134,Organización_Modular!$F$10:$G$195,2,FALSE)=F$23,Itinerario!T134," ")," ")</f>
        <v xml:space="preserve"> </v>
      </c>
      <c r="G134" s="44" t="str">
        <f>_xlfn.IFNA(IF(VLOOKUP($D134,Organización_Modular!$F$10:$G$195,2,FALSE)=G$23,Itinerario!W134," ")," ")</f>
        <v xml:space="preserve"> </v>
      </c>
      <c r="H134" s="44" t="str">
        <f>_xlfn.IFNA(IF(VLOOKUP($D134,Organización_Modular!$F$10:$G$195,2,FALSE)=H$23,Itinerario!T134," ")," ")</f>
        <v xml:space="preserve"> </v>
      </c>
      <c r="I134" s="44" t="str">
        <f>_xlfn.IFNA(IF(VLOOKUP($D134,Organización_Modular!$F$10:$G$195,2,FALSE)=I$23,Itinerario!W134," ")," ")</f>
        <v xml:space="preserve"> </v>
      </c>
      <c r="J134" s="44" t="str">
        <f>_xlfn.IFNA(IF(VLOOKUP($D134,Organización_Modular!$F$10:$G$195,2,FALSE)=J$23,Itinerario!T134," ")," ")</f>
        <v xml:space="preserve"> </v>
      </c>
      <c r="K134" s="44" t="str">
        <f>_xlfn.IFNA(IF(VLOOKUP($D134,Organización_Modular!$F$10:$G$195,2,FALSE)=K$23,Itinerario!W134," ")," ")</f>
        <v xml:space="preserve"> </v>
      </c>
      <c r="L134" s="44" t="str">
        <f>_xlfn.IFNA(IF(VLOOKUP($D134,Organización_Modular!$F$10:$G$195,2,FALSE)=L$23,Itinerario!T134," ")," ")</f>
        <v xml:space="preserve"> </v>
      </c>
      <c r="M134" s="44" t="str">
        <f>_xlfn.IFNA(IF(VLOOKUP($D134,Organización_Modular!$F$10:$G$195,2,FALSE)=M$23,Itinerario!W134," ")," ")</f>
        <v xml:space="preserve"> </v>
      </c>
      <c r="N134" s="44" t="str">
        <f>_xlfn.IFNA(IF(VLOOKUP($D134,Organización_Modular!$F$10:$G$195,2,FALSE)=N$23,Itinerario!T134," ")," ")</f>
        <v xml:space="preserve"> </v>
      </c>
      <c r="O134" s="44" t="str">
        <f>_xlfn.IFNA(IF(VLOOKUP($D134,Organización_Modular!$F$10:$G$195,2,FALSE)=O$23,Itinerario!W134," ")," ")</f>
        <v xml:space="preserve"> </v>
      </c>
      <c r="P134" s="44" t="str">
        <f>_xlfn.IFNA(IF(VLOOKUP($D134,Organización_Modular!$F$10:$G$195,2,FALSE)=P$23,Itinerario!T134," ")," ")</f>
        <v xml:space="preserve"> </v>
      </c>
      <c r="Q134" s="44" t="str">
        <f>_xlfn.IFNA(IF(VLOOKUP($D134,Organización_Modular!$F$10:$G$195,2,FALSE)=Q$23,Itinerario!W134," ")," ")</f>
        <v xml:space="preserve"> </v>
      </c>
      <c r="R134" s="44">
        <f>Organización_Modular!H120</f>
        <v>0</v>
      </c>
      <c r="S134" s="44">
        <f>Organización_Modular!I120</f>
        <v>0</v>
      </c>
      <c r="T134" s="82">
        <f t="shared" si="13"/>
        <v>0</v>
      </c>
      <c r="U134" s="44">
        <f t="shared" si="9"/>
        <v>0</v>
      </c>
      <c r="V134" s="44">
        <f t="shared" si="10"/>
        <v>0</v>
      </c>
      <c r="W134" s="82">
        <f t="shared" si="11"/>
        <v>0</v>
      </c>
      <c r="X134" s="87">
        <f t="shared" si="12"/>
        <v>0</v>
      </c>
    </row>
    <row r="135" spans="1:24" ht="18" hidden="1" customHeight="1" x14ac:dyDescent="0.2">
      <c r="A135" s="535"/>
      <c r="B135" s="397"/>
      <c r="C135" s="538"/>
      <c r="D135" s="537">
        <f>Organización_Modular!F121</f>
        <v>0</v>
      </c>
      <c r="E135" s="537"/>
      <c r="F135" s="44" t="str">
        <f>_xlfn.IFNA(IF(VLOOKUP($D135,Organización_Modular!$F$10:$G$195,2,FALSE)=F$23,Itinerario!T135," ")," ")</f>
        <v xml:space="preserve"> </v>
      </c>
      <c r="G135" s="44" t="str">
        <f>_xlfn.IFNA(IF(VLOOKUP($D135,Organización_Modular!$F$10:$G$195,2,FALSE)=G$23,Itinerario!W135," ")," ")</f>
        <v xml:space="preserve"> </v>
      </c>
      <c r="H135" s="44" t="str">
        <f>_xlfn.IFNA(IF(VLOOKUP($D135,Organización_Modular!$F$10:$G$195,2,FALSE)=H$23,Itinerario!T135," ")," ")</f>
        <v xml:space="preserve"> </v>
      </c>
      <c r="I135" s="44" t="str">
        <f>_xlfn.IFNA(IF(VLOOKUP($D135,Organización_Modular!$F$10:$G$195,2,FALSE)=I$23,Itinerario!W135," ")," ")</f>
        <v xml:space="preserve"> </v>
      </c>
      <c r="J135" s="44" t="str">
        <f>_xlfn.IFNA(IF(VLOOKUP($D135,Organización_Modular!$F$10:$G$195,2,FALSE)=J$23,Itinerario!T135," ")," ")</f>
        <v xml:space="preserve"> </v>
      </c>
      <c r="K135" s="44" t="str">
        <f>_xlfn.IFNA(IF(VLOOKUP($D135,Organización_Modular!$F$10:$G$195,2,FALSE)=K$23,Itinerario!W135," ")," ")</f>
        <v xml:space="preserve"> </v>
      </c>
      <c r="L135" s="44" t="str">
        <f>_xlfn.IFNA(IF(VLOOKUP($D135,Organización_Modular!$F$10:$G$195,2,FALSE)=L$23,Itinerario!T135," ")," ")</f>
        <v xml:space="preserve"> </v>
      </c>
      <c r="M135" s="44" t="str">
        <f>_xlfn.IFNA(IF(VLOOKUP($D135,Organización_Modular!$F$10:$G$195,2,FALSE)=M$23,Itinerario!W135," ")," ")</f>
        <v xml:space="preserve"> </v>
      </c>
      <c r="N135" s="44" t="str">
        <f>_xlfn.IFNA(IF(VLOOKUP($D135,Organización_Modular!$F$10:$G$195,2,FALSE)=N$23,Itinerario!T135," ")," ")</f>
        <v xml:space="preserve"> </v>
      </c>
      <c r="O135" s="44" t="str">
        <f>_xlfn.IFNA(IF(VLOOKUP($D135,Organización_Modular!$F$10:$G$195,2,FALSE)=O$23,Itinerario!W135," ")," ")</f>
        <v xml:space="preserve"> </v>
      </c>
      <c r="P135" s="44" t="str">
        <f>_xlfn.IFNA(IF(VLOOKUP($D135,Organización_Modular!$F$10:$G$195,2,FALSE)=P$23,Itinerario!T135," ")," ")</f>
        <v xml:space="preserve"> </v>
      </c>
      <c r="Q135" s="44" t="str">
        <f>_xlfn.IFNA(IF(VLOOKUP($D135,Organización_Modular!$F$10:$G$195,2,FALSE)=Q$23,Itinerario!W135," ")," ")</f>
        <v xml:space="preserve"> </v>
      </c>
      <c r="R135" s="44">
        <f>Organización_Modular!H121</f>
        <v>0</v>
      </c>
      <c r="S135" s="44">
        <f>Organización_Modular!I121</f>
        <v>0</v>
      </c>
      <c r="T135" s="82">
        <f t="shared" si="13"/>
        <v>0</v>
      </c>
      <c r="U135" s="44">
        <f t="shared" si="9"/>
        <v>0</v>
      </c>
      <c r="V135" s="44">
        <f t="shared" si="10"/>
        <v>0</v>
      </c>
      <c r="W135" s="82">
        <f t="shared" si="11"/>
        <v>0</v>
      </c>
      <c r="X135" s="87">
        <f t="shared" si="12"/>
        <v>0</v>
      </c>
    </row>
    <row r="136" spans="1:24" ht="18" hidden="1" customHeight="1" x14ac:dyDescent="0.2">
      <c r="A136" s="535"/>
      <c r="B136" s="397"/>
      <c r="C136" s="538"/>
      <c r="D136" s="537">
        <f>Organización_Modular!F122</f>
        <v>0</v>
      </c>
      <c r="E136" s="537"/>
      <c r="F136" s="44" t="str">
        <f>_xlfn.IFNA(IF(VLOOKUP($D136,Organización_Modular!$F$10:$G$195,2,FALSE)=F$23,Itinerario!T136," ")," ")</f>
        <v xml:space="preserve"> </v>
      </c>
      <c r="G136" s="44" t="str">
        <f>_xlfn.IFNA(IF(VLOOKUP($D136,Organización_Modular!$F$10:$G$195,2,FALSE)=G$23,Itinerario!W136," ")," ")</f>
        <v xml:space="preserve"> </v>
      </c>
      <c r="H136" s="44" t="str">
        <f>_xlfn.IFNA(IF(VLOOKUP($D136,Organización_Modular!$F$10:$G$195,2,FALSE)=H$23,Itinerario!T136," ")," ")</f>
        <v xml:space="preserve"> </v>
      </c>
      <c r="I136" s="44" t="str">
        <f>_xlfn.IFNA(IF(VLOOKUP($D136,Organización_Modular!$F$10:$G$195,2,FALSE)=I$23,Itinerario!W136," ")," ")</f>
        <v xml:space="preserve"> </v>
      </c>
      <c r="J136" s="44" t="str">
        <f>_xlfn.IFNA(IF(VLOOKUP($D136,Organización_Modular!$F$10:$G$195,2,FALSE)=J$23,Itinerario!T136," ")," ")</f>
        <v xml:space="preserve"> </v>
      </c>
      <c r="K136" s="44" t="str">
        <f>_xlfn.IFNA(IF(VLOOKUP($D136,Organización_Modular!$F$10:$G$195,2,FALSE)=K$23,Itinerario!W136," ")," ")</f>
        <v xml:space="preserve"> </v>
      </c>
      <c r="L136" s="44" t="str">
        <f>_xlfn.IFNA(IF(VLOOKUP($D136,Organización_Modular!$F$10:$G$195,2,FALSE)=L$23,Itinerario!T136," ")," ")</f>
        <v xml:space="preserve"> </v>
      </c>
      <c r="M136" s="44" t="str">
        <f>_xlfn.IFNA(IF(VLOOKUP($D136,Organización_Modular!$F$10:$G$195,2,FALSE)=M$23,Itinerario!W136," ")," ")</f>
        <v xml:space="preserve"> </v>
      </c>
      <c r="N136" s="44" t="str">
        <f>_xlfn.IFNA(IF(VLOOKUP($D136,Organización_Modular!$F$10:$G$195,2,FALSE)=N$23,Itinerario!T136," ")," ")</f>
        <v xml:space="preserve"> </v>
      </c>
      <c r="O136" s="44" t="str">
        <f>_xlfn.IFNA(IF(VLOOKUP($D136,Organización_Modular!$F$10:$G$195,2,FALSE)=O$23,Itinerario!W136," ")," ")</f>
        <v xml:space="preserve"> </v>
      </c>
      <c r="P136" s="44" t="str">
        <f>_xlfn.IFNA(IF(VLOOKUP($D136,Organización_Modular!$F$10:$G$195,2,FALSE)=P$23,Itinerario!T136," ")," ")</f>
        <v xml:space="preserve"> </v>
      </c>
      <c r="Q136" s="44" t="str">
        <f>_xlfn.IFNA(IF(VLOOKUP($D136,Organización_Modular!$F$10:$G$195,2,FALSE)=Q$23,Itinerario!W136," ")," ")</f>
        <v xml:space="preserve"> </v>
      </c>
      <c r="R136" s="44">
        <f>Organización_Modular!H122</f>
        <v>0</v>
      </c>
      <c r="S136" s="44">
        <f>Organización_Modular!I122</f>
        <v>0</v>
      </c>
      <c r="T136" s="82">
        <f t="shared" si="13"/>
        <v>0</v>
      </c>
      <c r="U136" s="44">
        <f t="shared" si="9"/>
        <v>0</v>
      </c>
      <c r="V136" s="44">
        <f t="shared" si="10"/>
        <v>0</v>
      </c>
      <c r="W136" s="82">
        <f t="shared" si="11"/>
        <v>0</v>
      </c>
      <c r="X136" s="87">
        <f t="shared" si="12"/>
        <v>0</v>
      </c>
    </row>
    <row r="137" spans="1:24" ht="18" hidden="1" customHeight="1" x14ac:dyDescent="0.2">
      <c r="A137" s="535"/>
      <c r="B137" s="398" t="str">
        <f>B44</f>
        <v>Competencias para la empleabilidad</v>
      </c>
      <c r="C137" s="538">
        <f>Organización_Modular!C123</f>
        <v>0</v>
      </c>
      <c r="D137" s="537">
        <f>Organización_Modular!F123</f>
        <v>0</v>
      </c>
      <c r="E137" s="537"/>
      <c r="F137" s="44" t="str">
        <f>_xlfn.IFNA(IF(VLOOKUP($D137,Organización_Modular!$F$10:$G$195,2,FALSE)=F$23,Itinerario!T137," ")," ")</f>
        <v xml:space="preserve"> </v>
      </c>
      <c r="G137" s="44" t="str">
        <f>_xlfn.IFNA(IF(VLOOKUP($D137,Organización_Modular!$F$10:$G$195,2,FALSE)=G$23,Itinerario!W137," ")," ")</f>
        <v xml:space="preserve"> </v>
      </c>
      <c r="H137" s="44" t="str">
        <f>_xlfn.IFNA(IF(VLOOKUP($D137,Organización_Modular!$F$10:$G$195,2,FALSE)=H$23,Itinerario!T137," ")," ")</f>
        <v xml:space="preserve"> </v>
      </c>
      <c r="I137" s="44" t="str">
        <f>_xlfn.IFNA(IF(VLOOKUP($D137,Organización_Modular!$F$10:$G$195,2,FALSE)=I$23,Itinerario!W137," ")," ")</f>
        <v xml:space="preserve"> </v>
      </c>
      <c r="J137" s="44" t="str">
        <f>_xlfn.IFNA(IF(VLOOKUP($D137,Organización_Modular!$F$10:$G$195,2,FALSE)=J$23,Itinerario!T137," ")," ")</f>
        <v xml:space="preserve"> </v>
      </c>
      <c r="K137" s="44" t="str">
        <f>_xlfn.IFNA(IF(VLOOKUP($D137,Organización_Modular!$F$10:$G$195,2,FALSE)=K$23,Itinerario!W137," ")," ")</f>
        <v xml:space="preserve"> </v>
      </c>
      <c r="L137" s="44" t="str">
        <f>_xlfn.IFNA(IF(VLOOKUP($D137,Organización_Modular!$F$10:$G$195,2,FALSE)=L$23,Itinerario!T137," ")," ")</f>
        <v xml:space="preserve"> </v>
      </c>
      <c r="M137" s="44" t="str">
        <f>_xlfn.IFNA(IF(VLOOKUP($D137,Organización_Modular!$F$10:$G$195,2,FALSE)=M$23,Itinerario!W137," ")," ")</f>
        <v xml:space="preserve"> </v>
      </c>
      <c r="N137" s="44" t="str">
        <f>_xlfn.IFNA(IF(VLOOKUP($D137,Organización_Modular!$F$10:$G$195,2,FALSE)=N$23,Itinerario!T137," ")," ")</f>
        <v xml:space="preserve"> </v>
      </c>
      <c r="O137" s="44" t="str">
        <f>_xlfn.IFNA(IF(VLOOKUP($D137,Organización_Modular!$F$10:$G$195,2,FALSE)=O$23,Itinerario!W137," ")," ")</f>
        <v xml:space="preserve"> </v>
      </c>
      <c r="P137" s="44" t="str">
        <f>_xlfn.IFNA(IF(VLOOKUP($D137,Organización_Modular!$F$10:$G$195,2,FALSE)=P$23,Itinerario!T137," ")," ")</f>
        <v xml:space="preserve"> </v>
      </c>
      <c r="Q137" s="44" t="str">
        <f>_xlfn.IFNA(IF(VLOOKUP($D137,Organización_Modular!$F$10:$G$195,2,FALSE)=Q$23,Itinerario!W137," ")," ")</f>
        <v xml:space="preserve"> </v>
      </c>
      <c r="R137" s="44">
        <f>Organización_Modular!H123</f>
        <v>0</v>
      </c>
      <c r="S137" s="44">
        <f>Organización_Modular!I123</f>
        <v>0</v>
      </c>
      <c r="T137" s="82">
        <f t="shared" si="13"/>
        <v>0</v>
      </c>
      <c r="U137" s="44">
        <f t="shared" si="9"/>
        <v>0</v>
      </c>
      <c r="V137" s="44">
        <f t="shared" si="10"/>
        <v>0</v>
      </c>
      <c r="W137" s="82">
        <f t="shared" si="11"/>
        <v>0</v>
      </c>
      <c r="X137" s="87">
        <f t="shared" si="12"/>
        <v>0</v>
      </c>
    </row>
    <row r="138" spans="1:24" ht="18" hidden="1" customHeight="1" x14ac:dyDescent="0.2">
      <c r="A138" s="535"/>
      <c r="B138" s="398"/>
      <c r="C138" s="538"/>
      <c r="D138" s="537">
        <f>Organización_Modular!F124</f>
        <v>0</v>
      </c>
      <c r="E138" s="537"/>
      <c r="F138" s="44" t="str">
        <f>_xlfn.IFNA(IF(VLOOKUP($D138,Organización_Modular!$F$10:$G$195,2,FALSE)=F$23,Itinerario!T138," ")," ")</f>
        <v xml:space="preserve"> </v>
      </c>
      <c r="G138" s="44" t="str">
        <f>_xlfn.IFNA(IF(VLOOKUP($D138,Organización_Modular!$F$10:$G$195,2,FALSE)=G$23,Itinerario!W138," ")," ")</f>
        <v xml:space="preserve"> </v>
      </c>
      <c r="H138" s="44" t="str">
        <f>_xlfn.IFNA(IF(VLOOKUP($D138,Organización_Modular!$F$10:$G$195,2,FALSE)=H$23,Itinerario!T138," ")," ")</f>
        <v xml:space="preserve"> </v>
      </c>
      <c r="I138" s="44" t="str">
        <f>_xlfn.IFNA(IF(VLOOKUP($D138,Organización_Modular!$F$10:$G$195,2,FALSE)=I$23,Itinerario!W138," ")," ")</f>
        <v xml:space="preserve"> </v>
      </c>
      <c r="J138" s="44" t="str">
        <f>_xlfn.IFNA(IF(VLOOKUP($D138,Organización_Modular!$F$10:$G$195,2,FALSE)=J$23,Itinerario!T138," ")," ")</f>
        <v xml:space="preserve"> </v>
      </c>
      <c r="K138" s="44" t="str">
        <f>_xlfn.IFNA(IF(VLOOKUP($D138,Organización_Modular!$F$10:$G$195,2,FALSE)=K$23,Itinerario!W138," ")," ")</f>
        <v xml:space="preserve"> </v>
      </c>
      <c r="L138" s="44" t="str">
        <f>_xlfn.IFNA(IF(VLOOKUP($D138,Organización_Modular!$F$10:$G$195,2,FALSE)=L$23,Itinerario!T138," ")," ")</f>
        <v xml:space="preserve"> </v>
      </c>
      <c r="M138" s="44" t="str">
        <f>_xlfn.IFNA(IF(VLOOKUP($D138,Organización_Modular!$F$10:$G$195,2,FALSE)=M$23,Itinerario!W138," ")," ")</f>
        <v xml:space="preserve"> </v>
      </c>
      <c r="N138" s="44" t="str">
        <f>_xlfn.IFNA(IF(VLOOKUP($D138,Organización_Modular!$F$10:$G$195,2,FALSE)=N$23,Itinerario!T138," ")," ")</f>
        <v xml:space="preserve"> </v>
      </c>
      <c r="O138" s="44" t="str">
        <f>_xlfn.IFNA(IF(VLOOKUP($D138,Organización_Modular!$F$10:$G$195,2,FALSE)=O$23,Itinerario!W138," ")," ")</f>
        <v xml:space="preserve"> </v>
      </c>
      <c r="P138" s="44" t="str">
        <f>_xlfn.IFNA(IF(VLOOKUP($D138,Organización_Modular!$F$10:$G$195,2,FALSE)=P$23,Itinerario!T138," ")," ")</f>
        <v xml:space="preserve"> </v>
      </c>
      <c r="Q138" s="44" t="str">
        <f>_xlfn.IFNA(IF(VLOOKUP($D138,Organización_Modular!$F$10:$G$195,2,FALSE)=Q$23,Itinerario!W138," ")," ")</f>
        <v xml:space="preserve"> </v>
      </c>
      <c r="R138" s="44">
        <f>Organización_Modular!H124</f>
        <v>0</v>
      </c>
      <c r="S138" s="44">
        <f>Organización_Modular!I124</f>
        <v>0</v>
      </c>
      <c r="T138" s="82">
        <f t="shared" si="13"/>
        <v>0</v>
      </c>
      <c r="U138" s="44">
        <f t="shared" si="9"/>
        <v>0</v>
      </c>
      <c r="V138" s="44">
        <f t="shared" si="10"/>
        <v>0</v>
      </c>
      <c r="W138" s="82">
        <f t="shared" si="11"/>
        <v>0</v>
      </c>
      <c r="X138" s="87">
        <f t="shared" si="12"/>
        <v>0</v>
      </c>
    </row>
    <row r="139" spans="1:24" ht="18" hidden="1" customHeight="1" x14ac:dyDescent="0.2">
      <c r="A139" s="535"/>
      <c r="B139" s="398"/>
      <c r="C139" s="538"/>
      <c r="D139" s="537">
        <f>Organización_Modular!F125</f>
        <v>0</v>
      </c>
      <c r="E139" s="537"/>
      <c r="F139" s="44" t="str">
        <f>_xlfn.IFNA(IF(VLOOKUP($D139,Organización_Modular!$F$10:$G$195,2,FALSE)=F$23,Itinerario!T139," ")," ")</f>
        <v xml:space="preserve"> </v>
      </c>
      <c r="G139" s="44" t="str">
        <f>_xlfn.IFNA(IF(VLOOKUP($D139,Organización_Modular!$F$10:$G$195,2,FALSE)=G$23,Itinerario!W139," ")," ")</f>
        <v xml:space="preserve"> </v>
      </c>
      <c r="H139" s="44" t="str">
        <f>_xlfn.IFNA(IF(VLOOKUP($D139,Organización_Modular!$F$10:$G$195,2,FALSE)=H$23,Itinerario!T139," ")," ")</f>
        <v xml:space="preserve"> </v>
      </c>
      <c r="I139" s="44" t="str">
        <f>_xlfn.IFNA(IF(VLOOKUP($D139,Organización_Modular!$F$10:$G$195,2,FALSE)=I$23,Itinerario!W139," ")," ")</f>
        <v xml:space="preserve"> </v>
      </c>
      <c r="J139" s="44" t="str">
        <f>_xlfn.IFNA(IF(VLOOKUP($D139,Organización_Modular!$F$10:$G$195,2,FALSE)=J$23,Itinerario!T139," ")," ")</f>
        <v xml:space="preserve"> </v>
      </c>
      <c r="K139" s="44" t="str">
        <f>_xlfn.IFNA(IF(VLOOKUP($D139,Organización_Modular!$F$10:$G$195,2,FALSE)=K$23,Itinerario!W139," ")," ")</f>
        <v xml:space="preserve"> </v>
      </c>
      <c r="L139" s="44" t="str">
        <f>_xlfn.IFNA(IF(VLOOKUP($D139,Organización_Modular!$F$10:$G$195,2,FALSE)=L$23,Itinerario!T139," ")," ")</f>
        <v xml:space="preserve"> </v>
      </c>
      <c r="M139" s="44" t="str">
        <f>_xlfn.IFNA(IF(VLOOKUP($D139,Organización_Modular!$F$10:$G$195,2,FALSE)=M$23,Itinerario!W139," ")," ")</f>
        <v xml:space="preserve"> </v>
      </c>
      <c r="N139" s="44" t="str">
        <f>_xlfn.IFNA(IF(VLOOKUP($D139,Organización_Modular!$F$10:$G$195,2,FALSE)=N$23,Itinerario!T139," ")," ")</f>
        <v xml:space="preserve"> </v>
      </c>
      <c r="O139" s="44" t="str">
        <f>_xlfn.IFNA(IF(VLOOKUP($D139,Organización_Modular!$F$10:$G$195,2,FALSE)=O$23,Itinerario!W139," ")," ")</f>
        <v xml:space="preserve"> </v>
      </c>
      <c r="P139" s="44" t="str">
        <f>_xlfn.IFNA(IF(VLOOKUP($D139,Organización_Modular!$F$10:$G$195,2,FALSE)=P$23,Itinerario!T139," ")," ")</f>
        <v xml:space="preserve"> </v>
      </c>
      <c r="Q139" s="44" t="str">
        <f>_xlfn.IFNA(IF(VLOOKUP($D139,Organización_Modular!$F$10:$G$195,2,FALSE)=Q$23,Itinerario!W139," ")," ")</f>
        <v xml:space="preserve"> </v>
      </c>
      <c r="R139" s="44">
        <f>Organización_Modular!H125</f>
        <v>0</v>
      </c>
      <c r="S139" s="44">
        <f>Organización_Modular!I125</f>
        <v>0</v>
      </c>
      <c r="T139" s="82">
        <f t="shared" si="13"/>
        <v>0</v>
      </c>
      <c r="U139" s="44">
        <f t="shared" si="9"/>
        <v>0</v>
      </c>
      <c r="V139" s="44">
        <f t="shared" si="10"/>
        <v>0</v>
      </c>
      <c r="W139" s="82">
        <f t="shared" si="11"/>
        <v>0</v>
      </c>
      <c r="X139" s="87">
        <f t="shared" si="12"/>
        <v>0</v>
      </c>
    </row>
    <row r="140" spans="1:24" ht="18" hidden="1" customHeight="1" x14ac:dyDescent="0.2">
      <c r="A140" s="535"/>
      <c r="B140" s="398"/>
      <c r="C140" s="538"/>
      <c r="D140" s="537">
        <f>Organización_Modular!F126</f>
        <v>0</v>
      </c>
      <c r="E140" s="537"/>
      <c r="F140" s="44" t="str">
        <f>_xlfn.IFNA(IF(VLOOKUP($D140,Organización_Modular!$F$10:$G$195,2,FALSE)=F$23,Itinerario!T140," ")," ")</f>
        <v xml:space="preserve"> </v>
      </c>
      <c r="G140" s="44" t="str">
        <f>_xlfn.IFNA(IF(VLOOKUP($D140,Organización_Modular!$F$10:$G$195,2,FALSE)=G$23,Itinerario!W140," ")," ")</f>
        <v xml:space="preserve"> </v>
      </c>
      <c r="H140" s="44" t="str">
        <f>_xlfn.IFNA(IF(VLOOKUP($D140,Organización_Modular!$F$10:$G$195,2,FALSE)=H$23,Itinerario!T140," ")," ")</f>
        <v xml:space="preserve"> </v>
      </c>
      <c r="I140" s="44" t="str">
        <f>_xlfn.IFNA(IF(VLOOKUP($D140,Organización_Modular!$F$10:$G$195,2,FALSE)=I$23,Itinerario!W140," ")," ")</f>
        <v xml:space="preserve"> </v>
      </c>
      <c r="J140" s="44" t="str">
        <f>_xlfn.IFNA(IF(VLOOKUP($D140,Organización_Modular!$F$10:$G$195,2,FALSE)=J$23,Itinerario!T140," ")," ")</f>
        <v xml:space="preserve"> </v>
      </c>
      <c r="K140" s="44" t="str">
        <f>_xlfn.IFNA(IF(VLOOKUP($D140,Organización_Modular!$F$10:$G$195,2,FALSE)=K$23,Itinerario!W140," ")," ")</f>
        <v xml:space="preserve"> </v>
      </c>
      <c r="L140" s="44" t="str">
        <f>_xlfn.IFNA(IF(VLOOKUP($D140,Organización_Modular!$F$10:$G$195,2,FALSE)=L$23,Itinerario!T140," ")," ")</f>
        <v xml:space="preserve"> </v>
      </c>
      <c r="M140" s="44" t="str">
        <f>_xlfn.IFNA(IF(VLOOKUP($D140,Organización_Modular!$F$10:$G$195,2,FALSE)=M$23,Itinerario!W140," ")," ")</f>
        <v xml:space="preserve"> </v>
      </c>
      <c r="N140" s="44" t="str">
        <f>_xlfn.IFNA(IF(VLOOKUP($D140,Organización_Modular!$F$10:$G$195,2,FALSE)=N$23,Itinerario!T140," ")," ")</f>
        <v xml:space="preserve"> </v>
      </c>
      <c r="O140" s="44" t="str">
        <f>_xlfn.IFNA(IF(VLOOKUP($D140,Organización_Modular!$F$10:$G$195,2,FALSE)=O$23,Itinerario!W140," ")," ")</f>
        <v xml:space="preserve"> </v>
      </c>
      <c r="P140" s="44" t="str">
        <f>_xlfn.IFNA(IF(VLOOKUP($D140,Organización_Modular!$F$10:$G$195,2,FALSE)=P$23,Itinerario!T140," ")," ")</f>
        <v xml:space="preserve"> </v>
      </c>
      <c r="Q140" s="44" t="str">
        <f>_xlfn.IFNA(IF(VLOOKUP($D140,Organización_Modular!$F$10:$G$195,2,FALSE)=Q$23,Itinerario!W140," ")," ")</f>
        <v xml:space="preserve"> </v>
      </c>
      <c r="R140" s="44">
        <f>Organización_Modular!H126</f>
        <v>0</v>
      </c>
      <c r="S140" s="44">
        <f>Organización_Modular!I126</f>
        <v>0</v>
      </c>
      <c r="T140" s="82">
        <f t="shared" si="13"/>
        <v>0</v>
      </c>
      <c r="U140" s="44">
        <f t="shared" si="9"/>
        <v>0</v>
      </c>
      <c r="V140" s="44">
        <f t="shared" si="10"/>
        <v>0</v>
      </c>
      <c r="W140" s="82">
        <f t="shared" si="11"/>
        <v>0</v>
      </c>
      <c r="X140" s="87">
        <f t="shared" si="12"/>
        <v>0</v>
      </c>
    </row>
    <row r="141" spans="1:24" ht="18" hidden="1" customHeight="1" x14ac:dyDescent="0.2">
      <c r="A141" s="535"/>
      <c r="B141" s="398"/>
      <c r="C141" s="538"/>
      <c r="D141" s="537">
        <f>Organización_Modular!F127</f>
        <v>0</v>
      </c>
      <c r="E141" s="537"/>
      <c r="F141" s="44" t="str">
        <f>_xlfn.IFNA(IF(VLOOKUP($D141,Organización_Modular!$F$10:$G$195,2,FALSE)=F$23,Itinerario!T141," ")," ")</f>
        <v xml:space="preserve"> </v>
      </c>
      <c r="G141" s="44" t="str">
        <f>_xlfn.IFNA(IF(VLOOKUP($D141,Organización_Modular!$F$10:$G$195,2,FALSE)=G$23,Itinerario!W141," ")," ")</f>
        <v xml:space="preserve"> </v>
      </c>
      <c r="H141" s="44" t="str">
        <f>_xlfn.IFNA(IF(VLOOKUP($D141,Organización_Modular!$F$10:$G$195,2,FALSE)=H$23,Itinerario!T141," ")," ")</f>
        <v xml:space="preserve"> </v>
      </c>
      <c r="I141" s="44" t="str">
        <f>_xlfn.IFNA(IF(VLOOKUP($D141,Organización_Modular!$F$10:$G$195,2,FALSE)=I$23,Itinerario!W141," ")," ")</f>
        <v xml:space="preserve"> </v>
      </c>
      <c r="J141" s="44" t="str">
        <f>_xlfn.IFNA(IF(VLOOKUP($D141,Organización_Modular!$F$10:$G$195,2,FALSE)=J$23,Itinerario!T141," ")," ")</f>
        <v xml:space="preserve"> </v>
      </c>
      <c r="K141" s="44" t="str">
        <f>_xlfn.IFNA(IF(VLOOKUP($D141,Organización_Modular!$F$10:$G$195,2,FALSE)=K$23,Itinerario!W141," ")," ")</f>
        <v xml:space="preserve"> </v>
      </c>
      <c r="L141" s="44" t="str">
        <f>_xlfn.IFNA(IF(VLOOKUP($D141,Organización_Modular!$F$10:$G$195,2,FALSE)=L$23,Itinerario!T141," ")," ")</f>
        <v xml:space="preserve"> </v>
      </c>
      <c r="M141" s="44" t="str">
        <f>_xlfn.IFNA(IF(VLOOKUP($D141,Organización_Modular!$F$10:$G$195,2,FALSE)=M$23,Itinerario!W141," ")," ")</f>
        <v xml:space="preserve"> </v>
      </c>
      <c r="N141" s="44" t="str">
        <f>_xlfn.IFNA(IF(VLOOKUP($D141,Organización_Modular!$F$10:$G$195,2,FALSE)=N$23,Itinerario!T141," ")," ")</f>
        <v xml:space="preserve"> </v>
      </c>
      <c r="O141" s="44" t="str">
        <f>_xlfn.IFNA(IF(VLOOKUP($D141,Organización_Modular!$F$10:$G$195,2,FALSE)=O$23,Itinerario!W141," ")," ")</f>
        <v xml:space="preserve"> </v>
      </c>
      <c r="P141" s="44" t="str">
        <f>_xlfn.IFNA(IF(VLOOKUP($D141,Organización_Modular!$F$10:$G$195,2,FALSE)=P$23,Itinerario!T141," ")," ")</f>
        <v xml:space="preserve"> </v>
      </c>
      <c r="Q141" s="44" t="str">
        <f>_xlfn.IFNA(IF(VLOOKUP($D141,Organización_Modular!$F$10:$G$195,2,FALSE)=Q$23,Itinerario!W141," ")," ")</f>
        <v xml:space="preserve"> </v>
      </c>
      <c r="R141" s="44">
        <f>Organización_Modular!H127</f>
        <v>0</v>
      </c>
      <c r="S141" s="44">
        <f>Organización_Modular!I127</f>
        <v>0</v>
      </c>
      <c r="T141" s="82">
        <f t="shared" si="13"/>
        <v>0</v>
      </c>
      <c r="U141" s="44">
        <f t="shared" si="9"/>
        <v>0</v>
      </c>
      <c r="V141" s="44">
        <f t="shared" si="10"/>
        <v>0</v>
      </c>
      <c r="W141" s="82">
        <f t="shared" si="11"/>
        <v>0</v>
      </c>
      <c r="X141" s="87">
        <f t="shared" si="12"/>
        <v>0</v>
      </c>
    </row>
    <row r="142" spans="1:24" ht="18" hidden="1" customHeight="1" x14ac:dyDescent="0.2">
      <c r="A142" s="535"/>
      <c r="B142" s="398"/>
      <c r="C142" s="538"/>
      <c r="D142" s="537">
        <f>Organización_Modular!F128</f>
        <v>0</v>
      </c>
      <c r="E142" s="537"/>
      <c r="F142" s="44" t="str">
        <f>_xlfn.IFNA(IF(VLOOKUP($D142,Organización_Modular!$F$10:$G$195,2,FALSE)=F$23,Itinerario!T142," ")," ")</f>
        <v xml:space="preserve"> </v>
      </c>
      <c r="G142" s="44" t="str">
        <f>_xlfn.IFNA(IF(VLOOKUP($D142,Organización_Modular!$F$10:$G$195,2,FALSE)=G$23,Itinerario!W142," ")," ")</f>
        <v xml:space="preserve"> </v>
      </c>
      <c r="H142" s="44" t="str">
        <f>_xlfn.IFNA(IF(VLOOKUP($D142,Organización_Modular!$F$10:$G$195,2,FALSE)=H$23,Itinerario!T142," ")," ")</f>
        <v xml:space="preserve"> </v>
      </c>
      <c r="I142" s="44" t="str">
        <f>_xlfn.IFNA(IF(VLOOKUP($D142,Organización_Modular!$F$10:$G$195,2,FALSE)=I$23,Itinerario!W142," ")," ")</f>
        <v xml:space="preserve"> </v>
      </c>
      <c r="J142" s="44" t="str">
        <f>_xlfn.IFNA(IF(VLOOKUP($D142,Organización_Modular!$F$10:$G$195,2,FALSE)=J$23,Itinerario!T142," ")," ")</f>
        <v xml:space="preserve"> </v>
      </c>
      <c r="K142" s="44" t="str">
        <f>_xlfn.IFNA(IF(VLOOKUP($D142,Organización_Modular!$F$10:$G$195,2,FALSE)=K$23,Itinerario!W142," ")," ")</f>
        <v xml:space="preserve"> </v>
      </c>
      <c r="L142" s="44" t="str">
        <f>_xlfn.IFNA(IF(VLOOKUP($D142,Organización_Modular!$F$10:$G$195,2,FALSE)=L$23,Itinerario!T142," ")," ")</f>
        <v xml:space="preserve"> </v>
      </c>
      <c r="M142" s="44" t="str">
        <f>_xlfn.IFNA(IF(VLOOKUP($D142,Organización_Modular!$F$10:$G$195,2,FALSE)=M$23,Itinerario!W142," ")," ")</f>
        <v xml:space="preserve"> </v>
      </c>
      <c r="N142" s="44" t="str">
        <f>_xlfn.IFNA(IF(VLOOKUP($D142,Organización_Modular!$F$10:$G$195,2,FALSE)=N$23,Itinerario!T142," ")," ")</f>
        <v xml:space="preserve"> </v>
      </c>
      <c r="O142" s="44" t="str">
        <f>_xlfn.IFNA(IF(VLOOKUP($D142,Organización_Modular!$F$10:$G$195,2,FALSE)=O$23,Itinerario!W142," ")," ")</f>
        <v xml:space="preserve"> </v>
      </c>
      <c r="P142" s="44" t="str">
        <f>_xlfn.IFNA(IF(VLOOKUP($D142,Organización_Modular!$F$10:$G$195,2,FALSE)=P$23,Itinerario!T142," ")," ")</f>
        <v xml:space="preserve"> </v>
      </c>
      <c r="Q142" s="44" t="str">
        <f>_xlfn.IFNA(IF(VLOOKUP($D142,Organización_Modular!$F$10:$G$195,2,FALSE)=Q$23,Itinerario!W142," ")," ")</f>
        <v xml:space="preserve"> </v>
      </c>
      <c r="R142" s="44">
        <f>Organización_Modular!H128</f>
        <v>0</v>
      </c>
      <c r="S142" s="44">
        <f>Organización_Modular!I128</f>
        <v>0</v>
      </c>
      <c r="T142" s="82">
        <f t="shared" si="13"/>
        <v>0</v>
      </c>
      <c r="U142" s="44">
        <f t="shared" si="9"/>
        <v>0</v>
      </c>
      <c r="V142" s="44">
        <f t="shared" si="10"/>
        <v>0</v>
      </c>
      <c r="W142" s="82">
        <f t="shared" si="11"/>
        <v>0</v>
      </c>
      <c r="X142" s="87">
        <f t="shared" si="12"/>
        <v>0</v>
      </c>
    </row>
    <row r="143" spans="1:24" ht="18" hidden="1" customHeight="1" x14ac:dyDescent="0.2">
      <c r="A143" s="535"/>
      <c r="B143" s="398"/>
      <c r="C143" s="538"/>
      <c r="D143" s="537">
        <f>Organización_Modular!F129</f>
        <v>0</v>
      </c>
      <c r="E143" s="537"/>
      <c r="F143" s="44" t="str">
        <f>_xlfn.IFNA(IF(VLOOKUP($D143,Organización_Modular!$F$10:$G$195,2,FALSE)=F$23,Itinerario!T143," ")," ")</f>
        <v xml:space="preserve"> </v>
      </c>
      <c r="G143" s="44" t="str">
        <f>_xlfn.IFNA(IF(VLOOKUP($D143,Organización_Modular!$F$10:$G$195,2,FALSE)=G$23,Itinerario!W143," ")," ")</f>
        <v xml:space="preserve"> </v>
      </c>
      <c r="H143" s="44" t="str">
        <f>_xlfn.IFNA(IF(VLOOKUP($D143,Organización_Modular!$F$10:$G$195,2,FALSE)=H$23,Itinerario!T143," ")," ")</f>
        <v xml:space="preserve"> </v>
      </c>
      <c r="I143" s="44" t="str">
        <f>_xlfn.IFNA(IF(VLOOKUP($D143,Organización_Modular!$F$10:$G$195,2,FALSE)=I$23,Itinerario!W143," ")," ")</f>
        <v xml:space="preserve"> </v>
      </c>
      <c r="J143" s="44" t="str">
        <f>_xlfn.IFNA(IF(VLOOKUP($D143,Organización_Modular!$F$10:$G$195,2,FALSE)=J$23,Itinerario!T143," ")," ")</f>
        <v xml:space="preserve"> </v>
      </c>
      <c r="K143" s="44" t="str">
        <f>_xlfn.IFNA(IF(VLOOKUP($D143,Organización_Modular!$F$10:$G$195,2,FALSE)=K$23,Itinerario!W143," ")," ")</f>
        <v xml:space="preserve"> </v>
      </c>
      <c r="L143" s="44" t="str">
        <f>_xlfn.IFNA(IF(VLOOKUP($D143,Organización_Modular!$F$10:$G$195,2,FALSE)=L$23,Itinerario!T143," ")," ")</f>
        <v xml:space="preserve"> </v>
      </c>
      <c r="M143" s="44" t="str">
        <f>_xlfn.IFNA(IF(VLOOKUP($D143,Organización_Modular!$F$10:$G$195,2,FALSE)=M$23,Itinerario!W143," ")," ")</f>
        <v xml:space="preserve"> </v>
      </c>
      <c r="N143" s="44" t="str">
        <f>_xlfn.IFNA(IF(VLOOKUP($D143,Organización_Modular!$F$10:$G$195,2,FALSE)=N$23,Itinerario!T143," ")," ")</f>
        <v xml:space="preserve"> </v>
      </c>
      <c r="O143" s="44" t="str">
        <f>_xlfn.IFNA(IF(VLOOKUP($D143,Organización_Modular!$F$10:$G$195,2,FALSE)=O$23,Itinerario!W143," ")," ")</f>
        <v xml:space="preserve"> </v>
      </c>
      <c r="P143" s="44" t="str">
        <f>_xlfn.IFNA(IF(VLOOKUP($D143,Organización_Modular!$F$10:$G$195,2,FALSE)=P$23,Itinerario!T143," ")," ")</f>
        <v xml:space="preserve"> </v>
      </c>
      <c r="Q143" s="44" t="str">
        <f>_xlfn.IFNA(IF(VLOOKUP($D143,Organización_Modular!$F$10:$G$195,2,FALSE)=Q$23,Itinerario!W143," ")," ")</f>
        <v xml:space="preserve"> </v>
      </c>
      <c r="R143" s="44">
        <f>Organización_Modular!H129</f>
        <v>0</v>
      </c>
      <c r="S143" s="44">
        <f>Organización_Modular!I129</f>
        <v>0</v>
      </c>
      <c r="T143" s="82">
        <f t="shared" si="13"/>
        <v>0</v>
      </c>
      <c r="U143" s="44">
        <f t="shared" si="9"/>
        <v>0</v>
      </c>
      <c r="V143" s="44">
        <f t="shared" si="10"/>
        <v>0</v>
      </c>
      <c r="W143" s="82">
        <f t="shared" si="11"/>
        <v>0</v>
      </c>
      <c r="X143" s="87">
        <f t="shared" si="12"/>
        <v>0</v>
      </c>
    </row>
    <row r="144" spans="1:24" ht="18" hidden="1" customHeight="1" x14ac:dyDescent="0.2">
      <c r="A144" s="535"/>
      <c r="B144" s="398"/>
      <c r="C144" s="538"/>
      <c r="D144" s="537">
        <f>Organización_Modular!F130</f>
        <v>0</v>
      </c>
      <c r="E144" s="537"/>
      <c r="F144" s="44" t="str">
        <f>_xlfn.IFNA(IF(VLOOKUP($D144,Organización_Modular!$F$10:$G$195,2,FALSE)=F$23,Itinerario!T144," ")," ")</f>
        <v xml:space="preserve"> </v>
      </c>
      <c r="G144" s="44" t="str">
        <f>_xlfn.IFNA(IF(VLOOKUP($D144,Organización_Modular!$F$10:$G$195,2,FALSE)=G$23,Itinerario!W144," ")," ")</f>
        <v xml:space="preserve"> </v>
      </c>
      <c r="H144" s="44" t="str">
        <f>_xlfn.IFNA(IF(VLOOKUP($D144,Organización_Modular!$F$10:$G$195,2,FALSE)=H$23,Itinerario!T144," ")," ")</f>
        <v xml:space="preserve"> </v>
      </c>
      <c r="I144" s="44" t="str">
        <f>_xlfn.IFNA(IF(VLOOKUP($D144,Organización_Modular!$F$10:$G$195,2,FALSE)=I$23,Itinerario!W144," ")," ")</f>
        <v xml:space="preserve"> </v>
      </c>
      <c r="J144" s="44" t="str">
        <f>_xlfn.IFNA(IF(VLOOKUP($D144,Organización_Modular!$F$10:$G$195,2,FALSE)=J$23,Itinerario!T144," ")," ")</f>
        <v xml:space="preserve"> </v>
      </c>
      <c r="K144" s="44" t="str">
        <f>_xlfn.IFNA(IF(VLOOKUP($D144,Organización_Modular!$F$10:$G$195,2,FALSE)=K$23,Itinerario!W144," ")," ")</f>
        <v xml:space="preserve"> </v>
      </c>
      <c r="L144" s="44" t="str">
        <f>_xlfn.IFNA(IF(VLOOKUP($D144,Organización_Modular!$F$10:$G$195,2,FALSE)=L$23,Itinerario!T144," ")," ")</f>
        <v xml:space="preserve"> </v>
      </c>
      <c r="M144" s="44" t="str">
        <f>_xlfn.IFNA(IF(VLOOKUP($D144,Organización_Modular!$F$10:$G$195,2,FALSE)=M$23,Itinerario!W144," ")," ")</f>
        <v xml:space="preserve"> </v>
      </c>
      <c r="N144" s="44" t="str">
        <f>_xlfn.IFNA(IF(VLOOKUP($D144,Organización_Modular!$F$10:$G$195,2,FALSE)=N$23,Itinerario!T144," ")," ")</f>
        <v xml:space="preserve"> </v>
      </c>
      <c r="O144" s="44" t="str">
        <f>_xlfn.IFNA(IF(VLOOKUP($D144,Organización_Modular!$F$10:$G$195,2,FALSE)=O$23,Itinerario!W144," ")," ")</f>
        <v xml:space="preserve"> </v>
      </c>
      <c r="P144" s="44" t="str">
        <f>_xlfn.IFNA(IF(VLOOKUP($D144,Organización_Modular!$F$10:$G$195,2,FALSE)=P$23,Itinerario!T144," ")," ")</f>
        <v xml:space="preserve"> </v>
      </c>
      <c r="Q144" s="44" t="str">
        <f>_xlfn.IFNA(IF(VLOOKUP($D144,Organización_Modular!$F$10:$G$195,2,FALSE)=Q$23,Itinerario!W144," ")," ")</f>
        <v xml:space="preserve"> </v>
      </c>
      <c r="R144" s="44">
        <f>Organización_Modular!H130</f>
        <v>0</v>
      </c>
      <c r="S144" s="44">
        <f>Organización_Modular!I130</f>
        <v>0</v>
      </c>
      <c r="T144" s="82">
        <f t="shared" si="13"/>
        <v>0</v>
      </c>
      <c r="U144" s="44">
        <f t="shared" si="9"/>
        <v>0</v>
      </c>
      <c r="V144" s="44">
        <f t="shared" si="10"/>
        <v>0</v>
      </c>
      <c r="W144" s="82">
        <f t="shared" si="11"/>
        <v>0</v>
      </c>
      <c r="X144" s="87">
        <f t="shared" si="12"/>
        <v>0</v>
      </c>
    </row>
    <row r="145" spans="1:24" ht="18" hidden="1" customHeight="1" x14ac:dyDescent="0.2">
      <c r="A145" s="535"/>
      <c r="B145" s="398"/>
      <c r="C145" s="538"/>
      <c r="D145" s="537">
        <f>Organización_Modular!F131</f>
        <v>0</v>
      </c>
      <c r="E145" s="537"/>
      <c r="F145" s="44" t="str">
        <f>_xlfn.IFNA(IF(VLOOKUP($D145,Organización_Modular!$F$10:$G$195,2,FALSE)=F$23,Itinerario!T145," ")," ")</f>
        <v xml:space="preserve"> </v>
      </c>
      <c r="G145" s="44" t="str">
        <f>_xlfn.IFNA(IF(VLOOKUP($D145,Organización_Modular!$F$10:$G$195,2,FALSE)=G$23,Itinerario!W145," ")," ")</f>
        <v xml:space="preserve"> </v>
      </c>
      <c r="H145" s="44" t="str">
        <f>_xlfn.IFNA(IF(VLOOKUP($D145,Organización_Modular!$F$10:$G$195,2,FALSE)=H$23,Itinerario!T145," ")," ")</f>
        <v xml:space="preserve"> </v>
      </c>
      <c r="I145" s="44" t="str">
        <f>_xlfn.IFNA(IF(VLOOKUP($D145,Organización_Modular!$F$10:$G$195,2,FALSE)=I$23,Itinerario!W145," ")," ")</f>
        <v xml:space="preserve"> </v>
      </c>
      <c r="J145" s="44" t="str">
        <f>_xlfn.IFNA(IF(VLOOKUP($D145,Organización_Modular!$F$10:$G$195,2,FALSE)=J$23,Itinerario!T145," ")," ")</f>
        <v xml:space="preserve"> </v>
      </c>
      <c r="K145" s="44" t="str">
        <f>_xlfn.IFNA(IF(VLOOKUP($D145,Organización_Modular!$F$10:$G$195,2,FALSE)=K$23,Itinerario!W145," ")," ")</f>
        <v xml:space="preserve"> </v>
      </c>
      <c r="L145" s="44" t="str">
        <f>_xlfn.IFNA(IF(VLOOKUP($D145,Organización_Modular!$F$10:$G$195,2,FALSE)=L$23,Itinerario!T145," ")," ")</f>
        <v xml:space="preserve"> </v>
      </c>
      <c r="M145" s="44" t="str">
        <f>_xlfn.IFNA(IF(VLOOKUP($D145,Organización_Modular!$F$10:$G$195,2,FALSE)=M$23,Itinerario!W145," ")," ")</f>
        <v xml:space="preserve"> </v>
      </c>
      <c r="N145" s="44" t="str">
        <f>_xlfn.IFNA(IF(VLOOKUP($D145,Organización_Modular!$F$10:$G$195,2,FALSE)=N$23,Itinerario!T145," ")," ")</f>
        <v xml:space="preserve"> </v>
      </c>
      <c r="O145" s="44" t="str">
        <f>_xlfn.IFNA(IF(VLOOKUP($D145,Organización_Modular!$F$10:$G$195,2,FALSE)=O$23,Itinerario!W145," ")," ")</f>
        <v xml:space="preserve"> </v>
      </c>
      <c r="P145" s="44" t="str">
        <f>_xlfn.IFNA(IF(VLOOKUP($D145,Organización_Modular!$F$10:$G$195,2,FALSE)=P$23,Itinerario!T145," ")," ")</f>
        <v xml:space="preserve"> </v>
      </c>
      <c r="Q145" s="44" t="str">
        <f>_xlfn.IFNA(IF(VLOOKUP($D145,Organización_Modular!$F$10:$G$195,2,FALSE)=Q$23,Itinerario!W145," ")," ")</f>
        <v xml:space="preserve"> </v>
      </c>
      <c r="R145" s="44">
        <f>Organización_Modular!H131</f>
        <v>0</v>
      </c>
      <c r="S145" s="44">
        <f>Organización_Modular!I131</f>
        <v>0</v>
      </c>
      <c r="T145" s="82">
        <f t="shared" si="13"/>
        <v>0</v>
      </c>
      <c r="U145" s="44">
        <f t="shared" si="9"/>
        <v>0</v>
      </c>
      <c r="V145" s="44">
        <f t="shared" si="10"/>
        <v>0</v>
      </c>
      <c r="W145" s="82">
        <f t="shared" si="11"/>
        <v>0</v>
      </c>
      <c r="X145" s="87">
        <f t="shared" si="12"/>
        <v>0</v>
      </c>
    </row>
    <row r="146" spans="1:24" ht="18" hidden="1" customHeight="1" x14ac:dyDescent="0.2">
      <c r="A146" s="535"/>
      <c r="B146" s="398"/>
      <c r="C146" s="538"/>
      <c r="D146" s="537">
        <f>Organización_Modular!F132</f>
        <v>0</v>
      </c>
      <c r="E146" s="537"/>
      <c r="F146" s="44" t="str">
        <f>_xlfn.IFNA(IF(VLOOKUP($D146,Organización_Modular!$F$10:$G$195,2,FALSE)=F$23,Itinerario!T146," ")," ")</f>
        <v xml:space="preserve"> </v>
      </c>
      <c r="G146" s="44" t="str">
        <f>_xlfn.IFNA(IF(VLOOKUP($D146,Organización_Modular!$F$10:$G$195,2,FALSE)=G$23,Itinerario!W146," ")," ")</f>
        <v xml:space="preserve"> </v>
      </c>
      <c r="H146" s="44" t="str">
        <f>_xlfn.IFNA(IF(VLOOKUP($D146,Organización_Modular!$F$10:$G$195,2,FALSE)=H$23,Itinerario!T146," ")," ")</f>
        <v xml:space="preserve"> </v>
      </c>
      <c r="I146" s="44" t="str">
        <f>_xlfn.IFNA(IF(VLOOKUP($D146,Organización_Modular!$F$10:$G$195,2,FALSE)=I$23,Itinerario!W146," ")," ")</f>
        <v xml:space="preserve"> </v>
      </c>
      <c r="J146" s="44" t="str">
        <f>_xlfn.IFNA(IF(VLOOKUP($D146,Organización_Modular!$F$10:$G$195,2,FALSE)=J$23,Itinerario!T146," ")," ")</f>
        <v xml:space="preserve"> </v>
      </c>
      <c r="K146" s="44" t="str">
        <f>_xlfn.IFNA(IF(VLOOKUP($D146,Organización_Modular!$F$10:$G$195,2,FALSE)=K$23,Itinerario!W146," ")," ")</f>
        <v xml:space="preserve"> </v>
      </c>
      <c r="L146" s="44" t="str">
        <f>_xlfn.IFNA(IF(VLOOKUP($D146,Organización_Modular!$F$10:$G$195,2,FALSE)=L$23,Itinerario!T146," ")," ")</f>
        <v xml:space="preserve"> </v>
      </c>
      <c r="M146" s="44" t="str">
        <f>_xlfn.IFNA(IF(VLOOKUP($D146,Organización_Modular!$F$10:$G$195,2,FALSE)=M$23,Itinerario!W146," ")," ")</f>
        <v xml:space="preserve"> </v>
      </c>
      <c r="N146" s="44" t="str">
        <f>_xlfn.IFNA(IF(VLOOKUP($D146,Organización_Modular!$F$10:$G$195,2,FALSE)=N$23,Itinerario!T146," ")," ")</f>
        <v xml:space="preserve"> </v>
      </c>
      <c r="O146" s="44" t="str">
        <f>_xlfn.IFNA(IF(VLOOKUP($D146,Organización_Modular!$F$10:$G$195,2,FALSE)=O$23,Itinerario!W146," ")," ")</f>
        <v xml:space="preserve"> </v>
      </c>
      <c r="P146" s="44" t="str">
        <f>_xlfn.IFNA(IF(VLOOKUP($D146,Organización_Modular!$F$10:$G$195,2,FALSE)=P$23,Itinerario!T146," ")," ")</f>
        <v xml:space="preserve"> </v>
      </c>
      <c r="Q146" s="44" t="str">
        <f>_xlfn.IFNA(IF(VLOOKUP($D146,Organización_Modular!$F$10:$G$195,2,FALSE)=Q$23,Itinerario!W146," ")," ")</f>
        <v xml:space="preserve"> </v>
      </c>
      <c r="R146" s="44">
        <f>Organización_Modular!H132</f>
        <v>0</v>
      </c>
      <c r="S146" s="44">
        <f>Organización_Modular!I132</f>
        <v>0</v>
      </c>
      <c r="T146" s="82">
        <f t="shared" si="13"/>
        <v>0</v>
      </c>
      <c r="U146" s="44">
        <f t="shared" si="9"/>
        <v>0</v>
      </c>
      <c r="V146" s="44">
        <f t="shared" si="10"/>
        <v>0</v>
      </c>
      <c r="W146" s="82">
        <f t="shared" si="11"/>
        <v>0</v>
      </c>
      <c r="X146" s="87">
        <f t="shared" si="12"/>
        <v>0</v>
      </c>
    </row>
    <row r="147" spans="1:24" ht="28.5" hidden="1" customHeight="1" x14ac:dyDescent="0.2">
      <c r="A147" s="535"/>
      <c r="B147" s="557" t="str">
        <f>B54</f>
        <v>Experiencias formativas en situaciones reales de trabajo (ESRT)</v>
      </c>
      <c r="C147" s="558"/>
      <c r="D147" s="558"/>
      <c r="E147" s="558"/>
      <c r="F147" s="162"/>
      <c r="G147" s="162"/>
      <c r="H147" s="162"/>
      <c r="I147" s="162"/>
      <c r="J147" s="162"/>
      <c r="K147" s="162"/>
      <c r="L147" s="162">
        <f>Organización_Modular!I133</f>
        <v>0</v>
      </c>
      <c r="M147" s="162">
        <f>L147*32</f>
        <v>0</v>
      </c>
      <c r="N147" s="162"/>
      <c r="O147" s="162"/>
      <c r="P147" s="162"/>
      <c r="Q147" s="162"/>
      <c r="R147" s="165">
        <f>Organización_Modular!H133</f>
        <v>0</v>
      </c>
      <c r="S147" s="163">
        <v>0</v>
      </c>
      <c r="T147" s="164">
        <v>0</v>
      </c>
      <c r="U147" s="163">
        <f t="shared" si="9"/>
        <v>0</v>
      </c>
      <c r="V147" s="163">
        <f t="shared" si="10"/>
        <v>0</v>
      </c>
      <c r="W147" s="164">
        <f t="shared" si="11"/>
        <v>0</v>
      </c>
      <c r="X147" s="87">
        <f t="shared" si="12"/>
        <v>0</v>
      </c>
    </row>
    <row r="148" spans="1:24" ht="18" hidden="1" customHeight="1" x14ac:dyDescent="0.2">
      <c r="A148" s="535">
        <f>Organización_Modular!A134</f>
        <v>0</v>
      </c>
      <c r="B148" s="397" t="str">
        <f>B24</f>
        <v>Competencias técnicas (Unidad de competencia)</v>
      </c>
      <c r="C148" s="538">
        <f>Organización_Modular!C134</f>
        <v>0</v>
      </c>
      <c r="D148" s="537">
        <f>Organización_Modular!F134</f>
        <v>0</v>
      </c>
      <c r="E148" s="537"/>
      <c r="F148" s="44" t="str">
        <f>_xlfn.IFNA(IF(VLOOKUP($D148,Organización_Modular!$F$10:$G$195,2,FALSE)=F$23,Itinerario!T148," ")," ")</f>
        <v xml:space="preserve"> </v>
      </c>
      <c r="G148" s="44" t="str">
        <f>_xlfn.IFNA(IF(VLOOKUP($D148,Organización_Modular!$F$10:$G$195,2,FALSE)=G$23,Itinerario!W148," ")," ")</f>
        <v xml:space="preserve"> </v>
      </c>
      <c r="H148" s="44" t="str">
        <f>_xlfn.IFNA(IF(VLOOKUP($D148,Organización_Modular!$F$10:$G$195,2,FALSE)=H$23,Itinerario!T148," ")," ")</f>
        <v xml:space="preserve"> </v>
      </c>
      <c r="I148" s="44" t="str">
        <f>_xlfn.IFNA(IF(VLOOKUP($D148,Organización_Modular!$F$10:$G$195,2,FALSE)=I$23,Itinerario!W148," ")," ")</f>
        <v xml:space="preserve"> </v>
      </c>
      <c r="J148" s="44" t="str">
        <f>_xlfn.IFNA(IF(VLOOKUP($D148,Organización_Modular!$F$10:$G$195,2,FALSE)=J$23,Itinerario!T148," ")," ")</f>
        <v xml:space="preserve"> </v>
      </c>
      <c r="K148" s="44" t="str">
        <f>_xlfn.IFNA(IF(VLOOKUP($D148,Organización_Modular!$F$10:$G$195,2,FALSE)=K$23,Itinerario!W148," ")," ")</f>
        <v xml:space="preserve"> </v>
      </c>
      <c r="L148" s="44" t="str">
        <f>_xlfn.IFNA(IF(VLOOKUP($D148,Organización_Modular!$F$10:$G$195,2,FALSE)=L$23,Itinerario!T148," ")," ")</f>
        <v xml:space="preserve"> </v>
      </c>
      <c r="M148" s="44" t="str">
        <f>_xlfn.IFNA(IF(VLOOKUP($D148,Organización_Modular!$F$10:$G$195,2,FALSE)=M$23,Itinerario!W148," ")," ")</f>
        <v xml:space="preserve"> </v>
      </c>
      <c r="N148" s="44" t="str">
        <f>_xlfn.IFNA(IF(VLOOKUP($D148,Organización_Modular!$F$10:$G$195,2,FALSE)=N$23,Itinerario!T148," ")," ")</f>
        <v xml:space="preserve"> </v>
      </c>
      <c r="O148" s="44" t="str">
        <f>_xlfn.IFNA(IF(VLOOKUP($D148,Organización_Modular!$F$10:$G$195,2,FALSE)=O$23,Itinerario!W148," ")," ")</f>
        <v xml:space="preserve"> </v>
      </c>
      <c r="P148" s="44" t="str">
        <f>_xlfn.IFNA(IF(VLOOKUP($D148,Organización_Modular!$F$10:$G$195,2,FALSE)=P$23,Itinerario!T148," ")," ")</f>
        <v xml:space="preserve"> </v>
      </c>
      <c r="Q148" s="44" t="str">
        <f>_xlfn.IFNA(IF(VLOOKUP($D148,Organización_Modular!$F$10:$G$195,2,FALSE)=Q$23,Itinerario!W148," ")," ")</f>
        <v xml:space="preserve"> </v>
      </c>
      <c r="R148" s="44">
        <f>Organización_Modular!H134</f>
        <v>0</v>
      </c>
      <c r="S148" s="44">
        <f>Organización_Modular!I134</f>
        <v>0</v>
      </c>
      <c r="T148" s="82">
        <f>SUM(R148:S148)</f>
        <v>0</v>
      </c>
      <c r="U148" s="44">
        <f t="shared" si="9"/>
        <v>0</v>
      </c>
      <c r="V148" s="44">
        <f t="shared" si="10"/>
        <v>0</v>
      </c>
      <c r="W148" s="82">
        <f t="shared" si="11"/>
        <v>0</v>
      </c>
      <c r="X148" s="87">
        <f t="shared" si="12"/>
        <v>0</v>
      </c>
    </row>
    <row r="149" spans="1:24" ht="18" hidden="1" customHeight="1" x14ac:dyDescent="0.2">
      <c r="A149" s="535"/>
      <c r="B149" s="397"/>
      <c r="C149" s="538"/>
      <c r="D149" s="537">
        <f>Organización_Modular!F135</f>
        <v>0</v>
      </c>
      <c r="E149" s="537"/>
      <c r="F149" s="44" t="str">
        <f>_xlfn.IFNA(IF(VLOOKUP($D149,Organización_Modular!$F$10:$G$195,2,FALSE)=F$23,Itinerario!T149," ")," ")</f>
        <v xml:space="preserve"> </v>
      </c>
      <c r="G149" s="44" t="str">
        <f>_xlfn.IFNA(IF(VLOOKUP($D149,Organización_Modular!$F$10:$G$195,2,FALSE)=G$23,Itinerario!W149," ")," ")</f>
        <v xml:space="preserve"> </v>
      </c>
      <c r="H149" s="44" t="str">
        <f>_xlfn.IFNA(IF(VLOOKUP($D149,Organización_Modular!$F$10:$G$195,2,FALSE)=H$23,Itinerario!T149," ")," ")</f>
        <v xml:space="preserve"> </v>
      </c>
      <c r="I149" s="44" t="str">
        <f>_xlfn.IFNA(IF(VLOOKUP($D149,Organización_Modular!$F$10:$G$195,2,FALSE)=I$23,Itinerario!W149," ")," ")</f>
        <v xml:space="preserve"> </v>
      </c>
      <c r="J149" s="44" t="str">
        <f>_xlfn.IFNA(IF(VLOOKUP($D149,Organización_Modular!$F$10:$G$195,2,FALSE)=J$23,Itinerario!T149," ")," ")</f>
        <v xml:space="preserve"> </v>
      </c>
      <c r="K149" s="44" t="str">
        <f>_xlfn.IFNA(IF(VLOOKUP($D149,Organización_Modular!$F$10:$G$195,2,FALSE)=K$23,Itinerario!W149," ")," ")</f>
        <v xml:space="preserve"> </v>
      </c>
      <c r="L149" s="44" t="str">
        <f>_xlfn.IFNA(IF(VLOOKUP($D149,Organización_Modular!$F$10:$G$195,2,FALSE)=L$23,Itinerario!T149," ")," ")</f>
        <v xml:space="preserve"> </v>
      </c>
      <c r="M149" s="44" t="str">
        <f>_xlfn.IFNA(IF(VLOOKUP($D149,Organización_Modular!$F$10:$G$195,2,FALSE)=M$23,Itinerario!W149," ")," ")</f>
        <v xml:space="preserve"> </v>
      </c>
      <c r="N149" s="44" t="str">
        <f>_xlfn.IFNA(IF(VLOOKUP($D149,Organización_Modular!$F$10:$G$195,2,FALSE)=N$23,Itinerario!T149," ")," ")</f>
        <v xml:space="preserve"> </v>
      </c>
      <c r="O149" s="44" t="str">
        <f>_xlfn.IFNA(IF(VLOOKUP($D149,Organización_Modular!$F$10:$G$195,2,FALSE)=O$23,Itinerario!W149," ")," ")</f>
        <v xml:space="preserve"> </v>
      </c>
      <c r="P149" s="44" t="str">
        <f>_xlfn.IFNA(IF(VLOOKUP($D149,Organización_Modular!$F$10:$G$195,2,FALSE)=P$23,Itinerario!T149," ")," ")</f>
        <v xml:space="preserve"> </v>
      </c>
      <c r="Q149" s="44" t="str">
        <f>_xlfn.IFNA(IF(VLOOKUP($D149,Organización_Modular!$F$10:$G$195,2,FALSE)=Q$23,Itinerario!W149," ")," ")</f>
        <v xml:space="preserve"> </v>
      </c>
      <c r="R149" s="44">
        <f>Organización_Modular!H135</f>
        <v>0</v>
      </c>
      <c r="S149" s="44">
        <f>Organización_Modular!I135</f>
        <v>0</v>
      </c>
      <c r="T149" s="82">
        <f t="shared" ref="T149:T178" si="14">SUM(R149:S149)</f>
        <v>0</v>
      </c>
      <c r="U149" s="44">
        <f t="shared" si="9"/>
        <v>0</v>
      </c>
      <c r="V149" s="44">
        <f t="shared" si="10"/>
        <v>0</v>
      </c>
      <c r="W149" s="82">
        <f t="shared" si="11"/>
        <v>0</v>
      </c>
      <c r="X149" s="87">
        <f t="shared" si="12"/>
        <v>0</v>
      </c>
    </row>
    <row r="150" spans="1:24" ht="18" hidden="1" customHeight="1" x14ac:dyDescent="0.2">
      <c r="A150" s="535"/>
      <c r="B150" s="397"/>
      <c r="C150" s="538"/>
      <c r="D150" s="537">
        <f>Organización_Modular!F136</f>
        <v>0</v>
      </c>
      <c r="E150" s="537"/>
      <c r="F150" s="44" t="str">
        <f>_xlfn.IFNA(IF(VLOOKUP($D150,Organización_Modular!$F$10:$G$195,2,FALSE)=F$23,Itinerario!T150," ")," ")</f>
        <v xml:space="preserve"> </v>
      </c>
      <c r="G150" s="44" t="str">
        <f>_xlfn.IFNA(IF(VLOOKUP($D150,Organización_Modular!$F$10:$G$195,2,FALSE)=G$23,Itinerario!W150," ")," ")</f>
        <v xml:space="preserve"> </v>
      </c>
      <c r="H150" s="44" t="str">
        <f>_xlfn.IFNA(IF(VLOOKUP($D150,Organización_Modular!$F$10:$G$195,2,FALSE)=H$23,Itinerario!T150," ")," ")</f>
        <v xml:space="preserve"> </v>
      </c>
      <c r="I150" s="44" t="str">
        <f>_xlfn.IFNA(IF(VLOOKUP($D150,Organización_Modular!$F$10:$G$195,2,FALSE)=I$23,Itinerario!W150," ")," ")</f>
        <v xml:space="preserve"> </v>
      </c>
      <c r="J150" s="44" t="str">
        <f>_xlfn.IFNA(IF(VLOOKUP($D150,Organización_Modular!$F$10:$G$195,2,FALSE)=J$23,Itinerario!T150," ")," ")</f>
        <v xml:space="preserve"> </v>
      </c>
      <c r="K150" s="44" t="str">
        <f>_xlfn.IFNA(IF(VLOOKUP($D150,Organización_Modular!$F$10:$G$195,2,FALSE)=K$23,Itinerario!W150," ")," ")</f>
        <v xml:space="preserve"> </v>
      </c>
      <c r="L150" s="44" t="str">
        <f>_xlfn.IFNA(IF(VLOOKUP($D150,Organización_Modular!$F$10:$G$195,2,FALSE)=L$23,Itinerario!T150," ")," ")</f>
        <v xml:space="preserve"> </v>
      </c>
      <c r="M150" s="44" t="str">
        <f>_xlfn.IFNA(IF(VLOOKUP($D150,Organización_Modular!$F$10:$G$195,2,FALSE)=M$23,Itinerario!W150," ")," ")</f>
        <v xml:space="preserve"> </v>
      </c>
      <c r="N150" s="44" t="str">
        <f>_xlfn.IFNA(IF(VLOOKUP($D150,Organización_Modular!$F$10:$G$195,2,FALSE)=N$23,Itinerario!T150," ")," ")</f>
        <v xml:space="preserve"> </v>
      </c>
      <c r="O150" s="44" t="str">
        <f>_xlfn.IFNA(IF(VLOOKUP($D150,Organización_Modular!$F$10:$G$195,2,FALSE)=O$23,Itinerario!W150," ")," ")</f>
        <v xml:space="preserve"> </v>
      </c>
      <c r="P150" s="44" t="str">
        <f>_xlfn.IFNA(IF(VLOOKUP($D150,Organización_Modular!$F$10:$G$195,2,FALSE)=P$23,Itinerario!T150," ")," ")</f>
        <v xml:space="preserve"> </v>
      </c>
      <c r="Q150" s="44" t="str">
        <f>_xlfn.IFNA(IF(VLOOKUP($D150,Organización_Modular!$F$10:$G$195,2,FALSE)=Q$23,Itinerario!W150," ")," ")</f>
        <v xml:space="preserve"> </v>
      </c>
      <c r="R150" s="44">
        <f>Organización_Modular!H136</f>
        <v>0</v>
      </c>
      <c r="S150" s="44">
        <f>Organización_Modular!I136</f>
        <v>0</v>
      </c>
      <c r="T150" s="82">
        <f t="shared" si="14"/>
        <v>0</v>
      </c>
      <c r="U150" s="44">
        <f t="shared" si="9"/>
        <v>0</v>
      </c>
      <c r="V150" s="44">
        <f t="shared" si="10"/>
        <v>0</v>
      </c>
      <c r="W150" s="82">
        <f t="shared" si="11"/>
        <v>0</v>
      </c>
      <c r="X150" s="87">
        <f t="shared" si="12"/>
        <v>0</v>
      </c>
    </row>
    <row r="151" spans="1:24" ht="18" hidden="1" customHeight="1" x14ac:dyDescent="0.2">
      <c r="A151" s="535"/>
      <c r="B151" s="397"/>
      <c r="C151" s="538"/>
      <c r="D151" s="537">
        <f>Organización_Modular!F137</f>
        <v>0</v>
      </c>
      <c r="E151" s="537"/>
      <c r="F151" s="44" t="str">
        <f>_xlfn.IFNA(IF(VLOOKUP($D151,Organización_Modular!$F$10:$G$195,2,FALSE)=F$23,Itinerario!T151," ")," ")</f>
        <v xml:space="preserve"> </v>
      </c>
      <c r="G151" s="44" t="str">
        <f>_xlfn.IFNA(IF(VLOOKUP($D151,Organización_Modular!$F$10:$G$195,2,FALSE)=G$23,Itinerario!W151," ")," ")</f>
        <v xml:space="preserve"> </v>
      </c>
      <c r="H151" s="44" t="str">
        <f>_xlfn.IFNA(IF(VLOOKUP($D151,Organización_Modular!$F$10:$G$195,2,FALSE)=H$23,Itinerario!T151," ")," ")</f>
        <v xml:space="preserve"> </v>
      </c>
      <c r="I151" s="44" t="str">
        <f>_xlfn.IFNA(IF(VLOOKUP($D151,Organización_Modular!$F$10:$G$195,2,FALSE)=I$23,Itinerario!W151," ")," ")</f>
        <v xml:space="preserve"> </v>
      </c>
      <c r="J151" s="44" t="str">
        <f>_xlfn.IFNA(IF(VLOOKUP($D151,Organización_Modular!$F$10:$G$195,2,FALSE)=J$23,Itinerario!T151," ")," ")</f>
        <v xml:space="preserve"> </v>
      </c>
      <c r="K151" s="44" t="str">
        <f>_xlfn.IFNA(IF(VLOOKUP($D151,Organización_Modular!$F$10:$G$195,2,FALSE)=K$23,Itinerario!W151," ")," ")</f>
        <v xml:space="preserve"> </v>
      </c>
      <c r="L151" s="44" t="str">
        <f>_xlfn.IFNA(IF(VLOOKUP($D151,Organización_Modular!$F$10:$G$195,2,FALSE)=L$23,Itinerario!T151," ")," ")</f>
        <v xml:space="preserve"> </v>
      </c>
      <c r="M151" s="44" t="str">
        <f>_xlfn.IFNA(IF(VLOOKUP($D151,Organización_Modular!$F$10:$G$195,2,FALSE)=M$23,Itinerario!W151," ")," ")</f>
        <v xml:space="preserve"> </v>
      </c>
      <c r="N151" s="44" t="str">
        <f>_xlfn.IFNA(IF(VLOOKUP($D151,Organización_Modular!$F$10:$G$195,2,FALSE)=N$23,Itinerario!T151," ")," ")</f>
        <v xml:space="preserve"> </v>
      </c>
      <c r="O151" s="44" t="str">
        <f>_xlfn.IFNA(IF(VLOOKUP($D151,Organización_Modular!$F$10:$G$195,2,FALSE)=O$23,Itinerario!W151," ")," ")</f>
        <v xml:space="preserve"> </v>
      </c>
      <c r="P151" s="44" t="str">
        <f>_xlfn.IFNA(IF(VLOOKUP($D151,Organización_Modular!$F$10:$G$195,2,FALSE)=P$23,Itinerario!T151," ")," ")</f>
        <v xml:space="preserve"> </v>
      </c>
      <c r="Q151" s="44" t="str">
        <f>_xlfn.IFNA(IF(VLOOKUP($D151,Organización_Modular!$F$10:$G$195,2,FALSE)=Q$23,Itinerario!W151," ")," ")</f>
        <v xml:space="preserve"> </v>
      </c>
      <c r="R151" s="44">
        <f>Organización_Modular!H137</f>
        <v>0</v>
      </c>
      <c r="S151" s="44">
        <f>Organización_Modular!I137</f>
        <v>0</v>
      </c>
      <c r="T151" s="82">
        <f t="shared" si="14"/>
        <v>0</v>
      </c>
      <c r="U151" s="44">
        <f t="shared" si="9"/>
        <v>0</v>
      </c>
      <c r="V151" s="44">
        <f t="shared" si="10"/>
        <v>0</v>
      </c>
      <c r="W151" s="82">
        <f t="shared" si="11"/>
        <v>0</v>
      </c>
      <c r="X151" s="87">
        <f t="shared" si="12"/>
        <v>0</v>
      </c>
    </row>
    <row r="152" spans="1:24" ht="18" hidden="1" customHeight="1" x14ac:dyDescent="0.2">
      <c r="A152" s="535"/>
      <c r="B152" s="397"/>
      <c r="C152" s="538"/>
      <c r="D152" s="537">
        <f>Organización_Modular!F138</f>
        <v>0</v>
      </c>
      <c r="E152" s="537"/>
      <c r="F152" s="44" t="str">
        <f>_xlfn.IFNA(IF(VLOOKUP($D152,Organización_Modular!$F$10:$G$195,2,FALSE)=F$23,Itinerario!T152," ")," ")</f>
        <v xml:space="preserve"> </v>
      </c>
      <c r="G152" s="44" t="str">
        <f>_xlfn.IFNA(IF(VLOOKUP($D152,Organización_Modular!$F$10:$G$195,2,FALSE)=G$23,Itinerario!W152," ")," ")</f>
        <v xml:space="preserve"> </v>
      </c>
      <c r="H152" s="44" t="str">
        <f>_xlfn.IFNA(IF(VLOOKUP($D152,Organización_Modular!$F$10:$G$195,2,FALSE)=H$23,Itinerario!T152," ")," ")</f>
        <v xml:space="preserve"> </v>
      </c>
      <c r="I152" s="44" t="str">
        <f>_xlfn.IFNA(IF(VLOOKUP($D152,Organización_Modular!$F$10:$G$195,2,FALSE)=I$23,Itinerario!W152," ")," ")</f>
        <v xml:space="preserve"> </v>
      </c>
      <c r="J152" s="44" t="str">
        <f>_xlfn.IFNA(IF(VLOOKUP($D152,Organización_Modular!$F$10:$G$195,2,FALSE)=J$23,Itinerario!T152," ")," ")</f>
        <v xml:space="preserve"> </v>
      </c>
      <c r="K152" s="44" t="str">
        <f>_xlfn.IFNA(IF(VLOOKUP($D152,Organización_Modular!$F$10:$G$195,2,FALSE)=K$23,Itinerario!W152," ")," ")</f>
        <v xml:space="preserve"> </v>
      </c>
      <c r="L152" s="44" t="str">
        <f>_xlfn.IFNA(IF(VLOOKUP($D152,Organización_Modular!$F$10:$G$195,2,FALSE)=L$23,Itinerario!T152," ")," ")</f>
        <v xml:space="preserve"> </v>
      </c>
      <c r="M152" s="44" t="str">
        <f>_xlfn.IFNA(IF(VLOOKUP($D152,Organización_Modular!$F$10:$G$195,2,FALSE)=M$23,Itinerario!W152," ")," ")</f>
        <v xml:space="preserve"> </v>
      </c>
      <c r="N152" s="44" t="str">
        <f>_xlfn.IFNA(IF(VLOOKUP($D152,Organización_Modular!$F$10:$G$195,2,FALSE)=N$23,Itinerario!T152," ")," ")</f>
        <v xml:space="preserve"> </v>
      </c>
      <c r="O152" s="44" t="str">
        <f>_xlfn.IFNA(IF(VLOOKUP($D152,Organización_Modular!$F$10:$G$195,2,FALSE)=O$23,Itinerario!W152," ")," ")</f>
        <v xml:space="preserve"> </v>
      </c>
      <c r="P152" s="44" t="str">
        <f>_xlfn.IFNA(IF(VLOOKUP($D152,Organización_Modular!$F$10:$G$195,2,FALSE)=P$23,Itinerario!T152," ")," ")</f>
        <v xml:space="preserve"> </v>
      </c>
      <c r="Q152" s="44" t="str">
        <f>_xlfn.IFNA(IF(VLOOKUP($D152,Organización_Modular!$F$10:$G$195,2,FALSE)=Q$23,Itinerario!W152," ")," ")</f>
        <v xml:space="preserve"> </v>
      </c>
      <c r="R152" s="44">
        <f>Organización_Modular!H138</f>
        <v>0</v>
      </c>
      <c r="S152" s="44">
        <f>Organización_Modular!I138</f>
        <v>0</v>
      </c>
      <c r="T152" s="82">
        <f t="shared" si="14"/>
        <v>0</v>
      </c>
      <c r="U152" s="44">
        <f t="shared" si="9"/>
        <v>0</v>
      </c>
      <c r="V152" s="44">
        <f t="shared" si="10"/>
        <v>0</v>
      </c>
      <c r="W152" s="82">
        <f t="shared" si="11"/>
        <v>0</v>
      </c>
      <c r="X152" s="87">
        <f t="shared" si="12"/>
        <v>0</v>
      </c>
    </row>
    <row r="153" spans="1:24" ht="18" hidden="1" customHeight="1" x14ac:dyDescent="0.2">
      <c r="A153" s="535"/>
      <c r="B153" s="397"/>
      <c r="C153" s="538"/>
      <c r="D153" s="537">
        <f>Organización_Modular!F139</f>
        <v>0</v>
      </c>
      <c r="E153" s="537"/>
      <c r="F153" s="44" t="str">
        <f>_xlfn.IFNA(IF(VLOOKUP($D153,Organización_Modular!$F$10:$G$195,2,FALSE)=F$23,Itinerario!T153," ")," ")</f>
        <v xml:space="preserve"> </v>
      </c>
      <c r="G153" s="44" t="str">
        <f>_xlfn.IFNA(IF(VLOOKUP($D153,Organización_Modular!$F$10:$G$195,2,FALSE)=G$23,Itinerario!W153," ")," ")</f>
        <v xml:space="preserve"> </v>
      </c>
      <c r="H153" s="44" t="str">
        <f>_xlfn.IFNA(IF(VLOOKUP($D153,Organización_Modular!$F$10:$G$195,2,FALSE)=H$23,Itinerario!T153," ")," ")</f>
        <v xml:space="preserve"> </v>
      </c>
      <c r="I153" s="44" t="str">
        <f>_xlfn.IFNA(IF(VLOOKUP($D153,Organización_Modular!$F$10:$G$195,2,FALSE)=I$23,Itinerario!W153," ")," ")</f>
        <v xml:space="preserve"> </v>
      </c>
      <c r="J153" s="44" t="str">
        <f>_xlfn.IFNA(IF(VLOOKUP($D153,Organización_Modular!$F$10:$G$195,2,FALSE)=J$23,Itinerario!T153," ")," ")</f>
        <v xml:space="preserve"> </v>
      </c>
      <c r="K153" s="44" t="str">
        <f>_xlfn.IFNA(IF(VLOOKUP($D153,Organización_Modular!$F$10:$G$195,2,FALSE)=K$23,Itinerario!W153," ")," ")</f>
        <v xml:space="preserve"> </v>
      </c>
      <c r="L153" s="44" t="str">
        <f>_xlfn.IFNA(IF(VLOOKUP($D153,Organización_Modular!$F$10:$G$195,2,FALSE)=L$23,Itinerario!T153," ")," ")</f>
        <v xml:space="preserve"> </v>
      </c>
      <c r="M153" s="44" t="str">
        <f>_xlfn.IFNA(IF(VLOOKUP($D153,Organización_Modular!$F$10:$G$195,2,FALSE)=M$23,Itinerario!W153," ")," ")</f>
        <v xml:space="preserve"> </v>
      </c>
      <c r="N153" s="44" t="str">
        <f>_xlfn.IFNA(IF(VLOOKUP($D153,Organización_Modular!$F$10:$G$195,2,FALSE)=N$23,Itinerario!T153," ")," ")</f>
        <v xml:space="preserve"> </v>
      </c>
      <c r="O153" s="44" t="str">
        <f>_xlfn.IFNA(IF(VLOOKUP($D153,Organización_Modular!$F$10:$G$195,2,FALSE)=O$23,Itinerario!W153," ")," ")</f>
        <v xml:space="preserve"> </v>
      </c>
      <c r="P153" s="44" t="str">
        <f>_xlfn.IFNA(IF(VLOOKUP($D153,Organización_Modular!$F$10:$G$195,2,FALSE)=P$23,Itinerario!T153," ")," ")</f>
        <v xml:space="preserve"> </v>
      </c>
      <c r="Q153" s="44" t="str">
        <f>_xlfn.IFNA(IF(VLOOKUP($D153,Organización_Modular!$F$10:$G$195,2,FALSE)=Q$23,Itinerario!W153," ")," ")</f>
        <v xml:space="preserve"> </v>
      </c>
      <c r="R153" s="44">
        <f>Organización_Modular!H139</f>
        <v>0</v>
      </c>
      <c r="S153" s="44">
        <f>Organización_Modular!I139</f>
        <v>0</v>
      </c>
      <c r="T153" s="82">
        <f t="shared" si="14"/>
        <v>0</v>
      </c>
      <c r="U153" s="44">
        <f t="shared" ref="U153:U183" si="15">+R153*$S$19</f>
        <v>0</v>
      </c>
      <c r="V153" s="44">
        <f t="shared" ref="V153:V183" si="16">+S153*$U$19</f>
        <v>0</v>
      </c>
      <c r="W153" s="82">
        <f t="shared" ref="W153:W178" si="17">SUM(U153:V153)</f>
        <v>0</v>
      </c>
      <c r="X153" s="87">
        <f t="shared" ref="X153:X209" si="18">W153</f>
        <v>0</v>
      </c>
    </row>
    <row r="154" spans="1:24" ht="18" hidden="1" customHeight="1" x14ac:dyDescent="0.2">
      <c r="A154" s="535"/>
      <c r="B154" s="397"/>
      <c r="C154" s="538"/>
      <c r="D154" s="537">
        <f>Organización_Modular!F140</f>
        <v>0</v>
      </c>
      <c r="E154" s="537"/>
      <c r="F154" s="44" t="str">
        <f>_xlfn.IFNA(IF(VLOOKUP($D154,Organización_Modular!$F$10:$G$195,2,FALSE)=F$23,Itinerario!T154," ")," ")</f>
        <v xml:space="preserve"> </v>
      </c>
      <c r="G154" s="44" t="str">
        <f>_xlfn.IFNA(IF(VLOOKUP($D154,Organización_Modular!$F$10:$G$195,2,FALSE)=G$23,Itinerario!W154," ")," ")</f>
        <v xml:space="preserve"> </v>
      </c>
      <c r="H154" s="44" t="str">
        <f>_xlfn.IFNA(IF(VLOOKUP($D154,Organización_Modular!$F$10:$G$195,2,FALSE)=H$23,Itinerario!T154," ")," ")</f>
        <v xml:space="preserve"> </v>
      </c>
      <c r="I154" s="44" t="str">
        <f>_xlfn.IFNA(IF(VLOOKUP($D154,Organización_Modular!$F$10:$G$195,2,FALSE)=I$23,Itinerario!W154," ")," ")</f>
        <v xml:space="preserve"> </v>
      </c>
      <c r="J154" s="44" t="str">
        <f>_xlfn.IFNA(IF(VLOOKUP($D154,Organización_Modular!$F$10:$G$195,2,FALSE)=J$23,Itinerario!T154," ")," ")</f>
        <v xml:space="preserve"> </v>
      </c>
      <c r="K154" s="44" t="str">
        <f>_xlfn.IFNA(IF(VLOOKUP($D154,Organización_Modular!$F$10:$G$195,2,FALSE)=K$23,Itinerario!W154," ")," ")</f>
        <v xml:space="preserve"> </v>
      </c>
      <c r="L154" s="44" t="str">
        <f>_xlfn.IFNA(IF(VLOOKUP($D154,Organización_Modular!$F$10:$G$195,2,FALSE)=L$23,Itinerario!T154," ")," ")</f>
        <v xml:space="preserve"> </v>
      </c>
      <c r="M154" s="44" t="str">
        <f>_xlfn.IFNA(IF(VLOOKUP($D154,Organización_Modular!$F$10:$G$195,2,FALSE)=M$23,Itinerario!W154," ")," ")</f>
        <v xml:space="preserve"> </v>
      </c>
      <c r="N154" s="44" t="str">
        <f>_xlfn.IFNA(IF(VLOOKUP($D154,Organización_Modular!$F$10:$G$195,2,FALSE)=N$23,Itinerario!T154," ")," ")</f>
        <v xml:space="preserve"> </v>
      </c>
      <c r="O154" s="44" t="str">
        <f>_xlfn.IFNA(IF(VLOOKUP($D154,Organización_Modular!$F$10:$G$195,2,FALSE)=O$23,Itinerario!W154," ")," ")</f>
        <v xml:space="preserve"> </v>
      </c>
      <c r="P154" s="44" t="str">
        <f>_xlfn.IFNA(IF(VLOOKUP($D154,Organización_Modular!$F$10:$G$195,2,FALSE)=P$23,Itinerario!T154," ")," ")</f>
        <v xml:space="preserve"> </v>
      </c>
      <c r="Q154" s="44" t="str">
        <f>_xlfn.IFNA(IF(VLOOKUP($D154,Organización_Modular!$F$10:$G$195,2,FALSE)=Q$23,Itinerario!W154," ")," ")</f>
        <v xml:space="preserve"> </v>
      </c>
      <c r="R154" s="44">
        <f>Organización_Modular!H140</f>
        <v>0</v>
      </c>
      <c r="S154" s="44">
        <f>Organización_Modular!I140</f>
        <v>0</v>
      </c>
      <c r="T154" s="82">
        <f t="shared" si="14"/>
        <v>0</v>
      </c>
      <c r="U154" s="44">
        <f t="shared" si="15"/>
        <v>0</v>
      </c>
      <c r="V154" s="44">
        <f t="shared" si="16"/>
        <v>0</v>
      </c>
      <c r="W154" s="82">
        <f t="shared" si="17"/>
        <v>0</v>
      </c>
      <c r="X154" s="87">
        <f t="shared" si="18"/>
        <v>0</v>
      </c>
    </row>
    <row r="155" spans="1:24" ht="18" hidden="1" customHeight="1" x14ac:dyDescent="0.2">
      <c r="A155" s="535"/>
      <c r="B155" s="397"/>
      <c r="C155" s="538"/>
      <c r="D155" s="537">
        <f>Organización_Modular!F141</f>
        <v>0</v>
      </c>
      <c r="E155" s="537"/>
      <c r="F155" s="44" t="str">
        <f>_xlfn.IFNA(IF(VLOOKUP($D155,Organización_Modular!$F$10:$G$195,2,FALSE)=F$23,Itinerario!T155," ")," ")</f>
        <v xml:space="preserve"> </v>
      </c>
      <c r="G155" s="44" t="str">
        <f>_xlfn.IFNA(IF(VLOOKUP($D155,Organización_Modular!$F$10:$G$195,2,FALSE)=G$23,Itinerario!W155," ")," ")</f>
        <v xml:space="preserve"> </v>
      </c>
      <c r="H155" s="44" t="str">
        <f>_xlfn.IFNA(IF(VLOOKUP($D155,Organización_Modular!$F$10:$G$195,2,FALSE)=H$23,Itinerario!T155," ")," ")</f>
        <v xml:space="preserve"> </v>
      </c>
      <c r="I155" s="44" t="str">
        <f>_xlfn.IFNA(IF(VLOOKUP($D155,Organización_Modular!$F$10:$G$195,2,FALSE)=I$23,Itinerario!W155," ")," ")</f>
        <v xml:space="preserve"> </v>
      </c>
      <c r="J155" s="44" t="str">
        <f>_xlfn.IFNA(IF(VLOOKUP($D155,Organización_Modular!$F$10:$G$195,2,FALSE)=J$23,Itinerario!T155," ")," ")</f>
        <v xml:space="preserve"> </v>
      </c>
      <c r="K155" s="44" t="str">
        <f>_xlfn.IFNA(IF(VLOOKUP($D155,Organización_Modular!$F$10:$G$195,2,FALSE)=K$23,Itinerario!W155," ")," ")</f>
        <v xml:space="preserve"> </v>
      </c>
      <c r="L155" s="44" t="str">
        <f>_xlfn.IFNA(IF(VLOOKUP($D155,Organización_Modular!$F$10:$G$195,2,FALSE)=L$23,Itinerario!T155," ")," ")</f>
        <v xml:space="preserve"> </v>
      </c>
      <c r="M155" s="44" t="str">
        <f>_xlfn.IFNA(IF(VLOOKUP($D155,Organización_Modular!$F$10:$G$195,2,FALSE)=M$23,Itinerario!W155," ")," ")</f>
        <v xml:space="preserve"> </v>
      </c>
      <c r="N155" s="44" t="str">
        <f>_xlfn.IFNA(IF(VLOOKUP($D155,Organización_Modular!$F$10:$G$195,2,FALSE)=N$23,Itinerario!T155," ")," ")</f>
        <v xml:space="preserve"> </v>
      </c>
      <c r="O155" s="44" t="str">
        <f>_xlfn.IFNA(IF(VLOOKUP($D155,Organización_Modular!$F$10:$G$195,2,FALSE)=O$23,Itinerario!W155," ")," ")</f>
        <v xml:space="preserve"> </v>
      </c>
      <c r="P155" s="44" t="str">
        <f>_xlfn.IFNA(IF(VLOOKUP($D155,Organización_Modular!$F$10:$G$195,2,FALSE)=P$23,Itinerario!T155," ")," ")</f>
        <v xml:space="preserve"> </v>
      </c>
      <c r="Q155" s="44" t="str">
        <f>_xlfn.IFNA(IF(VLOOKUP($D155,Organización_Modular!$F$10:$G$195,2,FALSE)=Q$23,Itinerario!W155," ")," ")</f>
        <v xml:space="preserve"> </v>
      </c>
      <c r="R155" s="44">
        <f>Organización_Modular!H141</f>
        <v>0</v>
      </c>
      <c r="S155" s="44">
        <f>Organización_Modular!I141</f>
        <v>0</v>
      </c>
      <c r="T155" s="82">
        <f t="shared" si="14"/>
        <v>0</v>
      </c>
      <c r="U155" s="44">
        <f t="shared" si="15"/>
        <v>0</v>
      </c>
      <c r="V155" s="44">
        <f t="shared" si="16"/>
        <v>0</v>
      </c>
      <c r="W155" s="82">
        <f t="shared" si="17"/>
        <v>0</v>
      </c>
      <c r="X155" s="87">
        <f t="shared" si="18"/>
        <v>0</v>
      </c>
    </row>
    <row r="156" spans="1:24" ht="18" hidden="1" customHeight="1" x14ac:dyDescent="0.2">
      <c r="A156" s="535"/>
      <c r="B156" s="397"/>
      <c r="C156" s="538"/>
      <c r="D156" s="537">
        <f>Organización_Modular!F142</f>
        <v>0</v>
      </c>
      <c r="E156" s="537"/>
      <c r="F156" s="44" t="str">
        <f>_xlfn.IFNA(IF(VLOOKUP($D156,Organización_Modular!$F$10:$G$195,2,FALSE)=F$23,Itinerario!T156," ")," ")</f>
        <v xml:space="preserve"> </v>
      </c>
      <c r="G156" s="44" t="str">
        <f>_xlfn.IFNA(IF(VLOOKUP($D156,Organización_Modular!$F$10:$G$195,2,FALSE)=G$23,Itinerario!W156," ")," ")</f>
        <v xml:space="preserve"> </v>
      </c>
      <c r="H156" s="44" t="str">
        <f>_xlfn.IFNA(IF(VLOOKUP($D156,Organización_Modular!$F$10:$G$195,2,FALSE)=H$23,Itinerario!T156," ")," ")</f>
        <v xml:space="preserve"> </v>
      </c>
      <c r="I156" s="44" t="str">
        <f>_xlfn.IFNA(IF(VLOOKUP($D156,Organización_Modular!$F$10:$G$195,2,FALSE)=I$23,Itinerario!W156," ")," ")</f>
        <v xml:space="preserve"> </v>
      </c>
      <c r="J156" s="44" t="str">
        <f>_xlfn.IFNA(IF(VLOOKUP($D156,Organización_Modular!$F$10:$G$195,2,FALSE)=J$23,Itinerario!T156," ")," ")</f>
        <v xml:space="preserve"> </v>
      </c>
      <c r="K156" s="44" t="str">
        <f>_xlfn.IFNA(IF(VLOOKUP($D156,Organización_Modular!$F$10:$G$195,2,FALSE)=K$23,Itinerario!W156," ")," ")</f>
        <v xml:space="preserve"> </v>
      </c>
      <c r="L156" s="44" t="str">
        <f>_xlfn.IFNA(IF(VLOOKUP($D156,Organización_Modular!$F$10:$G$195,2,FALSE)=L$23,Itinerario!T156," ")," ")</f>
        <v xml:space="preserve"> </v>
      </c>
      <c r="M156" s="44" t="str">
        <f>_xlfn.IFNA(IF(VLOOKUP($D156,Organización_Modular!$F$10:$G$195,2,FALSE)=M$23,Itinerario!W156," ")," ")</f>
        <v xml:space="preserve"> </v>
      </c>
      <c r="N156" s="44" t="str">
        <f>_xlfn.IFNA(IF(VLOOKUP($D156,Organización_Modular!$F$10:$G$195,2,FALSE)=N$23,Itinerario!T156," ")," ")</f>
        <v xml:space="preserve"> </v>
      </c>
      <c r="O156" s="44" t="str">
        <f>_xlfn.IFNA(IF(VLOOKUP($D156,Organización_Modular!$F$10:$G$195,2,FALSE)=O$23,Itinerario!W156," ")," ")</f>
        <v xml:space="preserve"> </v>
      </c>
      <c r="P156" s="44" t="str">
        <f>_xlfn.IFNA(IF(VLOOKUP($D156,Organización_Modular!$F$10:$G$195,2,FALSE)=P$23,Itinerario!T156," ")," ")</f>
        <v xml:space="preserve"> </v>
      </c>
      <c r="Q156" s="44" t="str">
        <f>_xlfn.IFNA(IF(VLOOKUP($D156,Organización_Modular!$F$10:$G$195,2,FALSE)=Q$23,Itinerario!W156," ")," ")</f>
        <v xml:space="preserve"> </v>
      </c>
      <c r="R156" s="44">
        <f>Organización_Modular!H142</f>
        <v>0</v>
      </c>
      <c r="S156" s="44">
        <f>Organización_Modular!I142</f>
        <v>0</v>
      </c>
      <c r="T156" s="82">
        <f t="shared" si="14"/>
        <v>0</v>
      </c>
      <c r="U156" s="44">
        <f t="shared" si="15"/>
        <v>0</v>
      </c>
      <c r="V156" s="44">
        <f t="shared" si="16"/>
        <v>0</v>
      </c>
      <c r="W156" s="82">
        <f t="shared" si="17"/>
        <v>0</v>
      </c>
      <c r="X156" s="87">
        <f t="shared" si="18"/>
        <v>0</v>
      </c>
    </row>
    <row r="157" spans="1:24" ht="18" hidden="1" customHeight="1" x14ac:dyDescent="0.2">
      <c r="A157" s="535"/>
      <c r="B157" s="397"/>
      <c r="C157" s="538"/>
      <c r="D157" s="537">
        <f>Organización_Modular!F143</f>
        <v>0</v>
      </c>
      <c r="E157" s="537"/>
      <c r="F157" s="44" t="str">
        <f>_xlfn.IFNA(IF(VLOOKUP($D157,Organización_Modular!$F$10:$G$195,2,FALSE)=F$23,Itinerario!T157," ")," ")</f>
        <v xml:space="preserve"> </v>
      </c>
      <c r="G157" s="44" t="str">
        <f>_xlfn.IFNA(IF(VLOOKUP($D157,Organización_Modular!$F$10:$G$195,2,FALSE)=G$23,Itinerario!W157," ")," ")</f>
        <v xml:space="preserve"> </v>
      </c>
      <c r="H157" s="44" t="str">
        <f>_xlfn.IFNA(IF(VLOOKUP($D157,Organización_Modular!$F$10:$G$195,2,FALSE)=H$23,Itinerario!T157," ")," ")</f>
        <v xml:space="preserve"> </v>
      </c>
      <c r="I157" s="44" t="str">
        <f>_xlfn.IFNA(IF(VLOOKUP($D157,Organización_Modular!$F$10:$G$195,2,FALSE)=I$23,Itinerario!W157," ")," ")</f>
        <v xml:space="preserve"> </v>
      </c>
      <c r="J157" s="44" t="str">
        <f>_xlfn.IFNA(IF(VLOOKUP($D157,Organización_Modular!$F$10:$G$195,2,FALSE)=J$23,Itinerario!T157," ")," ")</f>
        <v xml:space="preserve"> </v>
      </c>
      <c r="K157" s="44" t="str">
        <f>_xlfn.IFNA(IF(VLOOKUP($D157,Organización_Modular!$F$10:$G$195,2,FALSE)=K$23,Itinerario!W157," ")," ")</f>
        <v xml:space="preserve"> </v>
      </c>
      <c r="L157" s="44" t="str">
        <f>_xlfn.IFNA(IF(VLOOKUP($D157,Organización_Modular!$F$10:$G$195,2,FALSE)=L$23,Itinerario!T157," ")," ")</f>
        <v xml:space="preserve"> </v>
      </c>
      <c r="M157" s="44" t="str">
        <f>_xlfn.IFNA(IF(VLOOKUP($D157,Organización_Modular!$F$10:$G$195,2,FALSE)=M$23,Itinerario!W157," ")," ")</f>
        <v xml:space="preserve"> </v>
      </c>
      <c r="N157" s="44" t="str">
        <f>_xlfn.IFNA(IF(VLOOKUP($D157,Organización_Modular!$F$10:$G$195,2,FALSE)=N$23,Itinerario!T157," ")," ")</f>
        <v xml:space="preserve"> </v>
      </c>
      <c r="O157" s="44" t="str">
        <f>_xlfn.IFNA(IF(VLOOKUP($D157,Organización_Modular!$F$10:$G$195,2,FALSE)=O$23,Itinerario!W157," ")," ")</f>
        <v xml:space="preserve"> </v>
      </c>
      <c r="P157" s="44" t="str">
        <f>_xlfn.IFNA(IF(VLOOKUP($D157,Organización_Modular!$F$10:$G$195,2,FALSE)=P$23,Itinerario!T157," ")," ")</f>
        <v xml:space="preserve"> </v>
      </c>
      <c r="Q157" s="44" t="str">
        <f>_xlfn.IFNA(IF(VLOOKUP($D157,Organización_Modular!$F$10:$G$195,2,FALSE)=Q$23,Itinerario!W157," ")," ")</f>
        <v xml:space="preserve"> </v>
      </c>
      <c r="R157" s="44">
        <f>Organización_Modular!H143</f>
        <v>0</v>
      </c>
      <c r="S157" s="44">
        <f>Organización_Modular!I143</f>
        <v>0</v>
      </c>
      <c r="T157" s="82">
        <f t="shared" si="14"/>
        <v>0</v>
      </c>
      <c r="U157" s="44">
        <f t="shared" si="15"/>
        <v>0</v>
      </c>
      <c r="V157" s="44">
        <f t="shared" si="16"/>
        <v>0</v>
      </c>
      <c r="W157" s="82">
        <f t="shared" si="17"/>
        <v>0</v>
      </c>
      <c r="X157" s="87">
        <f t="shared" si="18"/>
        <v>0</v>
      </c>
    </row>
    <row r="158" spans="1:24" ht="18" hidden="1" customHeight="1" x14ac:dyDescent="0.2">
      <c r="A158" s="535"/>
      <c r="B158" s="397"/>
      <c r="C158" s="538"/>
      <c r="D158" s="537">
        <f>Organización_Modular!F144</f>
        <v>0</v>
      </c>
      <c r="E158" s="537"/>
      <c r="F158" s="44" t="str">
        <f>_xlfn.IFNA(IF(VLOOKUP($D158,Organización_Modular!$F$10:$G$195,2,FALSE)=F$23,Itinerario!T158," ")," ")</f>
        <v xml:space="preserve"> </v>
      </c>
      <c r="G158" s="44" t="str">
        <f>_xlfn.IFNA(IF(VLOOKUP($D158,Organización_Modular!$F$10:$G$195,2,FALSE)=G$23,Itinerario!W158," ")," ")</f>
        <v xml:space="preserve"> </v>
      </c>
      <c r="H158" s="44" t="str">
        <f>_xlfn.IFNA(IF(VLOOKUP($D158,Organización_Modular!$F$10:$G$195,2,FALSE)=H$23,Itinerario!T158," ")," ")</f>
        <v xml:space="preserve"> </v>
      </c>
      <c r="I158" s="44" t="str">
        <f>_xlfn.IFNA(IF(VLOOKUP($D158,Organización_Modular!$F$10:$G$195,2,FALSE)=I$23,Itinerario!W158," ")," ")</f>
        <v xml:space="preserve"> </v>
      </c>
      <c r="J158" s="44" t="str">
        <f>_xlfn.IFNA(IF(VLOOKUP($D158,Organización_Modular!$F$10:$G$195,2,FALSE)=J$23,Itinerario!T158," ")," ")</f>
        <v xml:space="preserve"> </v>
      </c>
      <c r="K158" s="44" t="str">
        <f>_xlfn.IFNA(IF(VLOOKUP($D158,Organización_Modular!$F$10:$G$195,2,FALSE)=K$23,Itinerario!W158," ")," ")</f>
        <v xml:space="preserve"> </v>
      </c>
      <c r="L158" s="44" t="str">
        <f>_xlfn.IFNA(IF(VLOOKUP($D158,Organización_Modular!$F$10:$G$195,2,FALSE)=L$23,Itinerario!T158," ")," ")</f>
        <v xml:space="preserve"> </v>
      </c>
      <c r="M158" s="44" t="str">
        <f>_xlfn.IFNA(IF(VLOOKUP($D158,Organización_Modular!$F$10:$G$195,2,FALSE)=M$23,Itinerario!W158," ")," ")</f>
        <v xml:space="preserve"> </v>
      </c>
      <c r="N158" s="44" t="str">
        <f>_xlfn.IFNA(IF(VLOOKUP($D158,Organización_Modular!$F$10:$G$195,2,FALSE)=N$23,Itinerario!T158," ")," ")</f>
        <v xml:space="preserve"> </v>
      </c>
      <c r="O158" s="44" t="str">
        <f>_xlfn.IFNA(IF(VLOOKUP($D158,Organización_Modular!$F$10:$G$195,2,FALSE)=O$23,Itinerario!W158," ")," ")</f>
        <v xml:space="preserve"> </v>
      </c>
      <c r="P158" s="44" t="str">
        <f>_xlfn.IFNA(IF(VLOOKUP($D158,Organización_Modular!$F$10:$G$195,2,FALSE)=P$23,Itinerario!T158," ")," ")</f>
        <v xml:space="preserve"> </v>
      </c>
      <c r="Q158" s="44" t="str">
        <f>_xlfn.IFNA(IF(VLOOKUP($D158,Organización_Modular!$F$10:$G$195,2,FALSE)=Q$23,Itinerario!W158," ")," ")</f>
        <v xml:space="preserve"> </v>
      </c>
      <c r="R158" s="44">
        <f>Organización_Modular!H144</f>
        <v>0</v>
      </c>
      <c r="S158" s="44">
        <f>Organización_Modular!I144</f>
        <v>0</v>
      </c>
      <c r="T158" s="82">
        <f t="shared" si="14"/>
        <v>0</v>
      </c>
      <c r="U158" s="44">
        <f t="shared" si="15"/>
        <v>0</v>
      </c>
      <c r="V158" s="44">
        <f t="shared" si="16"/>
        <v>0</v>
      </c>
      <c r="W158" s="82">
        <f t="shared" si="17"/>
        <v>0</v>
      </c>
      <c r="X158" s="87">
        <f t="shared" si="18"/>
        <v>0</v>
      </c>
    </row>
    <row r="159" spans="1:24" ht="18" hidden="1" customHeight="1" x14ac:dyDescent="0.2">
      <c r="A159" s="535"/>
      <c r="B159" s="397"/>
      <c r="C159" s="538"/>
      <c r="D159" s="537">
        <f>Organización_Modular!F145</f>
        <v>0</v>
      </c>
      <c r="E159" s="537"/>
      <c r="F159" s="44" t="str">
        <f>_xlfn.IFNA(IF(VLOOKUP($D159,Organización_Modular!$F$10:$G$195,2,FALSE)=F$23,Itinerario!T159," ")," ")</f>
        <v xml:space="preserve"> </v>
      </c>
      <c r="G159" s="44" t="str">
        <f>_xlfn.IFNA(IF(VLOOKUP($D159,Organización_Modular!$F$10:$G$195,2,FALSE)=G$23,Itinerario!W159," ")," ")</f>
        <v xml:space="preserve"> </v>
      </c>
      <c r="H159" s="44" t="str">
        <f>_xlfn.IFNA(IF(VLOOKUP($D159,Organización_Modular!$F$10:$G$195,2,FALSE)=H$23,Itinerario!T159," ")," ")</f>
        <v xml:space="preserve"> </v>
      </c>
      <c r="I159" s="44" t="str">
        <f>_xlfn.IFNA(IF(VLOOKUP($D159,Organización_Modular!$F$10:$G$195,2,FALSE)=I$23,Itinerario!W159," ")," ")</f>
        <v xml:space="preserve"> </v>
      </c>
      <c r="J159" s="44" t="str">
        <f>_xlfn.IFNA(IF(VLOOKUP($D159,Organización_Modular!$F$10:$G$195,2,FALSE)=J$23,Itinerario!T159," ")," ")</f>
        <v xml:space="preserve"> </v>
      </c>
      <c r="K159" s="44" t="str">
        <f>_xlfn.IFNA(IF(VLOOKUP($D159,Organización_Modular!$F$10:$G$195,2,FALSE)=K$23,Itinerario!W159," ")," ")</f>
        <v xml:space="preserve"> </v>
      </c>
      <c r="L159" s="44" t="str">
        <f>_xlfn.IFNA(IF(VLOOKUP($D159,Organización_Modular!$F$10:$G$195,2,FALSE)=L$23,Itinerario!T159," ")," ")</f>
        <v xml:space="preserve"> </v>
      </c>
      <c r="M159" s="44" t="str">
        <f>_xlfn.IFNA(IF(VLOOKUP($D159,Organización_Modular!$F$10:$G$195,2,FALSE)=M$23,Itinerario!W159," ")," ")</f>
        <v xml:space="preserve"> </v>
      </c>
      <c r="N159" s="44" t="str">
        <f>_xlfn.IFNA(IF(VLOOKUP($D159,Organización_Modular!$F$10:$G$195,2,FALSE)=N$23,Itinerario!T159," ")," ")</f>
        <v xml:space="preserve"> </v>
      </c>
      <c r="O159" s="44" t="str">
        <f>_xlfn.IFNA(IF(VLOOKUP($D159,Organización_Modular!$F$10:$G$195,2,FALSE)=O$23,Itinerario!W159," ")," ")</f>
        <v xml:space="preserve"> </v>
      </c>
      <c r="P159" s="44" t="str">
        <f>_xlfn.IFNA(IF(VLOOKUP($D159,Organización_Modular!$F$10:$G$195,2,FALSE)=P$23,Itinerario!T159," ")," ")</f>
        <v xml:space="preserve"> </v>
      </c>
      <c r="Q159" s="44" t="str">
        <f>_xlfn.IFNA(IF(VLOOKUP($D159,Organización_Modular!$F$10:$G$195,2,FALSE)=Q$23,Itinerario!W159," ")," ")</f>
        <v xml:space="preserve"> </v>
      </c>
      <c r="R159" s="44">
        <f>Organización_Modular!H145</f>
        <v>0</v>
      </c>
      <c r="S159" s="44">
        <f>Organización_Modular!I145</f>
        <v>0</v>
      </c>
      <c r="T159" s="82">
        <f t="shared" si="14"/>
        <v>0</v>
      </c>
      <c r="U159" s="44">
        <f t="shared" si="15"/>
        <v>0</v>
      </c>
      <c r="V159" s="44">
        <f t="shared" si="16"/>
        <v>0</v>
      </c>
      <c r="W159" s="82">
        <f t="shared" si="17"/>
        <v>0</v>
      </c>
      <c r="X159" s="87">
        <f t="shared" si="18"/>
        <v>0</v>
      </c>
    </row>
    <row r="160" spans="1:24" ht="18" hidden="1" customHeight="1" x14ac:dyDescent="0.2">
      <c r="A160" s="535"/>
      <c r="B160" s="397"/>
      <c r="C160" s="538"/>
      <c r="D160" s="537">
        <f>Organización_Modular!F146</f>
        <v>0</v>
      </c>
      <c r="E160" s="537"/>
      <c r="F160" s="44" t="str">
        <f>_xlfn.IFNA(IF(VLOOKUP($D160,Organización_Modular!$F$10:$G$195,2,FALSE)=F$23,Itinerario!T160," ")," ")</f>
        <v xml:space="preserve"> </v>
      </c>
      <c r="G160" s="44" t="str">
        <f>_xlfn.IFNA(IF(VLOOKUP($D160,Organización_Modular!$F$10:$G$195,2,FALSE)=G$23,Itinerario!W160," ")," ")</f>
        <v xml:space="preserve"> </v>
      </c>
      <c r="H160" s="44" t="str">
        <f>_xlfn.IFNA(IF(VLOOKUP($D160,Organización_Modular!$F$10:$G$195,2,FALSE)=H$23,Itinerario!T160," ")," ")</f>
        <v xml:space="preserve"> </v>
      </c>
      <c r="I160" s="44" t="str">
        <f>_xlfn.IFNA(IF(VLOOKUP($D160,Organización_Modular!$F$10:$G$195,2,FALSE)=I$23,Itinerario!W160," ")," ")</f>
        <v xml:space="preserve"> </v>
      </c>
      <c r="J160" s="44" t="str">
        <f>_xlfn.IFNA(IF(VLOOKUP($D160,Organización_Modular!$F$10:$G$195,2,FALSE)=J$23,Itinerario!T160," ")," ")</f>
        <v xml:space="preserve"> </v>
      </c>
      <c r="K160" s="44" t="str">
        <f>_xlfn.IFNA(IF(VLOOKUP($D160,Organización_Modular!$F$10:$G$195,2,FALSE)=K$23,Itinerario!W160," ")," ")</f>
        <v xml:space="preserve"> </v>
      </c>
      <c r="L160" s="44" t="str">
        <f>_xlfn.IFNA(IF(VLOOKUP($D160,Organización_Modular!$F$10:$G$195,2,FALSE)=L$23,Itinerario!T160," ")," ")</f>
        <v xml:space="preserve"> </v>
      </c>
      <c r="M160" s="44" t="str">
        <f>_xlfn.IFNA(IF(VLOOKUP($D160,Organización_Modular!$F$10:$G$195,2,FALSE)=M$23,Itinerario!W160," ")," ")</f>
        <v xml:space="preserve"> </v>
      </c>
      <c r="N160" s="44" t="str">
        <f>_xlfn.IFNA(IF(VLOOKUP($D160,Organización_Modular!$F$10:$G$195,2,FALSE)=N$23,Itinerario!T160," ")," ")</f>
        <v xml:space="preserve"> </v>
      </c>
      <c r="O160" s="44" t="str">
        <f>_xlfn.IFNA(IF(VLOOKUP($D160,Organización_Modular!$F$10:$G$195,2,FALSE)=O$23,Itinerario!W160," ")," ")</f>
        <v xml:space="preserve"> </v>
      </c>
      <c r="P160" s="44" t="str">
        <f>_xlfn.IFNA(IF(VLOOKUP($D160,Organización_Modular!$F$10:$G$195,2,FALSE)=P$23,Itinerario!T160," ")," ")</f>
        <v xml:space="preserve"> </v>
      </c>
      <c r="Q160" s="44" t="str">
        <f>_xlfn.IFNA(IF(VLOOKUP($D160,Organización_Modular!$F$10:$G$195,2,FALSE)=Q$23,Itinerario!W160," ")," ")</f>
        <v xml:space="preserve"> </v>
      </c>
      <c r="R160" s="44">
        <f>Organización_Modular!H146</f>
        <v>0</v>
      </c>
      <c r="S160" s="44">
        <f>Organización_Modular!I146</f>
        <v>0</v>
      </c>
      <c r="T160" s="82">
        <f t="shared" si="14"/>
        <v>0</v>
      </c>
      <c r="U160" s="44">
        <f t="shared" si="15"/>
        <v>0</v>
      </c>
      <c r="V160" s="44">
        <f t="shared" si="16"/>
        <v>0</v>
      </c>
      <c r="W160" s="82">
        <f t="shared" si="17"/>
        <v>0</v>
      </c>
      <c r="X160" s="87">
        <f t="shared" si="18"/>
        <v>0</v>
      </c>
    </row>
    <row r="161" spans="1:24" ht="18" hidden="1" customHeight="1" x14ac:dyDescent="0.2">
      <c r="A161" s="535"/>
      <c r="B161" s="397"/>
      <c r="C161" s="538"/>
      <c r="D161" s="537">
        <f>Organización_Modular!F147</f>
        <v>0</v>
      </c>
      <c r="E161" s="537"/>
      <c r="F161" s="44" t="str">
        <f>_xlfn.IFNA(IF(VLOOKUP($D161,Organización_Modular!$F$10:$G$195,2,FALSE)=F$23,Itinerario!T161," ")," ")</f>
        <v xml:space="preserve"> </v>
      </c>
      <c r="G161" s="44" t="str">
        <f>_xlfn.IFNA(IF(VLOOKUP($D161,Organización_Modular!$F$10:$G$195,2,FALSE)=G$23,Itinerario!W161," ")," ")</f>
        <v xml:space="preserve"> </v>
      </c>
      <c r="H161" s="44" t="str">
        <f>_xlfn.IFNA(IF(VLOOKUP($D161,Organización_Modular!$F$10:$G$195,2,FALSE)=H$23,Itinerario!T161," ")," ")</f>
        <v xml:space="preserve"> </v>
      </c>
      <c r="I161" s="44" t="str">
        <f>_xlfn.IFNA(IF(VLOOKUP($D161,Organización_Modular!$F$10:$G$195,2,FALSE)=I$23,Itinerario!W161," ")," ")</f>
        <v xml:space="preserve"> </v>
      </c>
      <c r="J161" s="44" t="str">
        <f>_xlfn.IFNA(IF(VLOOKUP($D161,Organización_Modular!$F$10:$G$195,2,FALSE)=J$23,Itinerario!T161," ")," ")</f>
        <v xml:space="preserve"> </v>
      </c>
      <c r="K161" s="44" t="str">
        <f>_xlfn.IFNA(IF(VLOOKUP($D161,Organización_Modular!$F$10:$G$195,2,FALSE)=K$23,Itinerario!W161," ")," ")</f>
        <v xml:space="preserve"> </v>
      </c>
      <c r="L161" s="44" t="str">
        <f>_xlfn.IFNA(IF(VLOOKUP($D161,Organización_Modular!$F$10:$G$195,2,FALSE)=L$23,Itinerario!T161," ")," ")</f>
        <v xml:space="preserve"> </v>
      </c>
      <c r="M161" s="44" t="str">
        <f>_xlfn.IFNA(IF(VLOOKUP($D161,Organización_Modular!$F$10:$G$195,2,FALSE)=M$23,Itinerario!W161," ")," ")</f>
        <v xml:space="preserve"> </v>
      </c>
      <c r="N161" s="44" t="str">
        <f>_xlfn.IFNA(IF(VLOOKUP($D161,Organización_Modular!$F$10:$G$195,2,FALSE)=N$23,Itinerario!T161," ")," ")</f>
        <v xml:space="preserve"> </v>
      </c>
      <c r="O161" s="44" t="str">
        <f>_xlfn.IFNA(IF(VLOOKUP($D161,Organización_Modular!$F$10:$G$195,2,FALSE)=O$23,Itinerario!W161," ")," ")</f>
        <v xml:space="preserve"> </v>
      </c>
      <c r="P161" s="44" t="str">
        <f>_xlfn.IFNA(IF(VLOOKUP($D161,Organización_Modular!$F$10:$G$195,2,FALSE)=P$23,Itinerario!T161," ")," ")</f>
        <v xml:space="preserve"> </v>
      </c>
      <c r="Q161" s="44" t="str">
        <f>_xlfn.IFNA(IF(VLOOKUP($D161,Organización_Modular!$F$10:$G$195,2,FALSE)=Q$23,Itinerario!W161," ")," ")</f>
        <v xml:space="preserve"> </v>
      </c>
      <c r="R161" s="44">
        <f>Organización_Modular!H147</f>
        <v>0</v>
      </c>
      <c r="S161" s="44">
        <f>Organización_Modular!I147</f>
        <v>0</v>
      </c>
      <c r="T161" s="82">
        <f t="shared" si="14"/>
        <v>0</v>
      </c>
      <c r="U161" s="44">
        <f t="shared" si="15"/>
        <v>0</v>
      </c>
      <c r="V161" s="44">
        <f t="shared" si="16"/>
        <v>0</v>
      </c>
      <c r="W161" s="82">
        <f t="shared" si="17"/>
        <v>0</v>
      </c>
      <c r="X161" s="87">
        <f t="shared" si="18"/>
        <v>0</v>
      </c>
    </row>
    <row r="162" spans="1:24" ht="18" hidden="1" customHeight="1" x14ac:dyDescent="0.2">
      <c r="A162" s="535"/>
      <c r="B162" s="397"/>
      <c r="C162" s="538"/>
      <c r="D162" s="537">
        <f>Organización_Modular!F148</f>
        <v>0</v>
      </c>
      <c r="E162" s="537"/>
      <c r="F162" s="44" t="str">
        <f>_xlfn.IFNA(IF(VLOOKUP($D162,Organización_Modular!$F$10:$G$195,2,FALSE)=F$23,Itinerario!T162," ")," ")</f>
        <v xml:space="preserve"> </v>
      </c>
      <c r="G162" s="44" t="str">
        <f>_xlfn.IFNA(IF(VLOOKUP($D162,Organización_Modular!$F$10:$G$195,2,FALSE)=G$23,Itinerario!W162," ")," ")</f>
        <v xml:space="preserve"> </v>
      </c>
      <c r="H162" s="44" t="str">
        <f>_xlfn.IFNA(IF(VLOOKUP($D162,Organización_Modular!$F$10:$G$195,2,FALSE)=H$23,Itinerario!T162," ")," ")</f>
        <v xml:space="preserve"> </v>
      </c>
      <c r="I162" s="44" t="str">
        <f>_xlfn.IFNA(IF(VLOOKUP($D162,Organización_Modular!$F$10:$G$195,2,FALSE)=I$23,Itinerario!W162," ")," ")</f>
        <v xml:space="preserve"> </v>
      </c>
      <c r="J162" s="44" t="str">
        <f>_xlfn.IFNA(IF(VLOOKUP($D162,Organización_Modular!$F$10:$G$195,2,FALSE)=J$23,Itinerario!T162," ")," ")</f>
        <v xml:space="preserve"> </v>
      </c>
      <c r="K162" s="44" t="str">
        <f>_xlfn.IFNA(IF(VLOOKUP($D162,Organización_Modular!$F$10:$G$195,2,FALSE)=K$23,Itinerario!W162," ")," ")</f>
        <v xml:space="preserve"> </v>
      </c>
      <c r="L162" s="44" t="str">
        <f>_xlfn.IFNA(IF(VLOOKUP($D162,Organización_Modular!$F$10:$G$195,2,FALSE)=L$23,Itinerario!T162," ")," ")</f>
        <v xml:space="preserve"> </v>
      </c>
      <c r="M162" s="44" t="str">
        <f>_xlfn.IFNA(IF(VLOOKUP($D162,Organización_Modular!$F$10:$G$195,2,FALSE)=M$23,Itinerario!W162," ")," ")</f>
        <v xml:space="preserve"> </v>
      </c>
      <c r="N162" s="44" t="str">
        <f>_xlfn.IFNA(IF(VLOOKUP($D162,Organización_Modular!$F$10:$G$195,2,FALSE)=N$23,Itinerario!T162," ")," ")</f>
        <v xml:space="preserve"> </v>
      </c>
      <c r="O162" s="44" t="str">
        <f>_xlfn.IFNA(IF(VLOOKUP($D162,Organización_Modular!$F$10:$G$195,2,FALSE)=O$23,Itinerario!W162," ")," ")</f>
        <v xml:space="preserve"> </v>
      </c>
      <c r="P162" s="44" t="str">
        <f>_xlfn.IFNA(IF(VLOOKUP($D162,Organización_Modular!$F$10:$G$195,2,FALSE)=P$23,Itinerario!T162," ")," ")</f>
        <v xml:space="preserve"> </v>
      </c>
      <c r="Q162" s="44" t="str">
        <f>_xlfn.IFNA(IF(VLOOKUP($D162,Organización_Modular!$F$10:$G$195,2,FALSE)=Q$23,Itinerario!W162," ")," ")</f>
        <v xml:space="preserve"> </v>
      </c>
      <c r="R162" s="44">
        <f>Organización_Modular!H148</f>
        <v>0</v>
      </c>
      <c r="S162" s="44">
        <f>Organización_Modular!I148</f>
        <v>0</v>
      </c>
      <c r="T162" s="82">
        <f t="shared" si="14"/>
        <v>0</v>
      </c>
      <c r="U162" s="44">
        <f t="shared" si="15"/>
        <v>0</v>
      </c>
      <c r="V162" s="44">
        <f t="shared" si="16"/>
        <v>0</v>
      </c>
      <c r="W162" s="82">
        <f t="shared" si="17"/>
        <v>0</v>
      </c>
      <c r="X162" s="87">
        <f t="shared" si="18"/>
        <v>0</v>
      </c>
    </row>
    <row r="163" spans="1:24" ht="18" hidden="1" customHeight="1" x14ac:dyDescent="0.2">
      <c r="A163" s="535"/>
      <c r="B163" s="397"/>
      <c r="C163" s="538"/>
      <c r="D163" s="537">
        <f>Organización_Modular!F149</f>
        <v>0</v>
      </c>
      <c r="E163" s="537"/>
      <c r="F163" s="44" t="str">
        <f>_xlfn.IFNA(IF(VLOOKUP($D163,Organización_Modular!$F$10:$G$195,2,FALSE)=F$23,Itinerario!T163," ")," ")</f>
        <v xml:space="preserve"> </v>
      </c>
      <c r="G163" s="44" t="str">
        <f>_xlfn.IFNA(IF(VLOOKUP($D163,Organización_Modular!$F$10:$G$195,2,FALSE)=G$23,Itinerario!W163," ")," ")</f>
        <v xml:space="preserve"> </v>
      </c>
      <c r="H163" s="44" t="str">
        <f>_xlfn.IFNA(IF(VLOOKUP($D163,Organización_Modular!$F$10:$G$195,2,FALSE)=H$23,Itinerario!T163," ")," ")</f>
        <v xml:space="preserve"> </v>
      </c>
      <c r="I163" s="44" t="str">
        <f>_xlfn.IFNA(IF(VLOOKUP($D163,Organización_Modular!$F$10:$G$195,2,FALSE)=I$23,Itinerario!W163," ")," ")</f>
        <v xml:space="preserve"> </v>
      </c>
      <c r="J163" s="44" t="str">
        <f>_xlfn.IFNA(IF(VLOOKUP($D163,Organización_Modular!$F$10:$G$195,2,FALSE)=J$23,Itinerario!T163," ")," ")</f>
        <v xml:space="preserve"> </v>
      </c>
      <c r="K163" s="44" t="str">
        <f>_xlfn.IFNA(IF(VLOOKUP($D163,Organización_Modular!$F$10:$G$195,2,FALSE)=K$23,Itinerario!W163," ")," ")</f>
        <v xml:space="preserve"> </v>
      </c>
      <c r="L163" s="44" t="str">
        <f>_xlfn.IFNA(IF(VLOOKUP($D163,Organización_Modular!$F$10:$G$195,2,FALSE)=L$23,Itinerario!T163," ")," ")</f>
        <v xml:space="preserve"> </v>
      </c>
      <c r="M163" s="44" t="str">
        <f>_xlfn.IFNA(IF(VLOOKUP($D163,Organización_Modular!$F$10:$G$195,2,FALSE)=M$23,Itinerario!W163," ")," ")</f>
        <v xml:space="preserve"> </v>
      </c>
      <c r="N163" s="44" t="str">
        <f>_xlfn.IFNA(IF(VLOOKUP($D163,Organización_Modular!$F$10:$G$195,2,FALSE)=N$23,Itinerario!T163," ")," ")</f>
        <v xml:space="preserve"> </v>
      </c>
      <c r="O163" s="44" t="str">
        <f>_xlfn.IFNA(IF(VLOOKUP($D163,Organización_Modular!$F$10:$G$195,2,FALSE)=O$23,Itinerario!W163," ")," ")</f>
        <v xml:space="preserve"> </v>
      </c>
      <c r="P163" s="44" t="str">
        <f>_xlfn.IFNA(IF(VLOOKUP($D163,Organización_Modular!$F$10:$G$195,2,FALSE)=P$23,Itinerario!T163," ")," ")</f>
        <v xml:space="preserve"> </v>
      </c>
      <c r="Q163" s="44" t="str">
        <f>_xlfn.IFNA(IF(VLOOKUP($D163,Organización_Modular!$F$10:$G$195,2,FALSE)=Q$23,Itinerario!W163," ")," ")</f>
        <v xml:space="preserve"> </v>
      </c>
      <c r="R163" s="44">
        <f>Organización_Modular!H149</f>
        <v>0</v>
      </c>
      <c r="S163" s="44">
        <f>Organización_Modular!I149</f>
        <v>0</v>
      </c>
      <c r="T163" s="82">
        <f t="shared" si="14"/>
        <v>0</v>
      </c>
      <c r="U163" s="44">
        <f t="shared" si="15"/>
        <v>0</v>
      </c>
      <c r="V163" s="44">
        <f t="shared" si="16"/>
        <v>0</v>
      </c>
      <c r="W163" s="82">
        <f t="shared" si="17"/>
        <v>0</v>
      </c>
      <c r="X163" s="87">
        <f t="shared" si="18"/>
        <v>0</v>
      </c>
    </row>
    <row r="164" spans="1:24" ht="18" hidden="1" customHeight="1" x14ac:dyDescent="0.2">
      <c r="A164" s="535"/>
      <c r="B164" s="397"/>
      <c r="C164" s="538"/>
      <c r="D164" s="537">
        <f>Organización_Modular!F150</f>
        <v>0</v>
      </c>
      <c r="E164" s="537"/>
      <c r="F164" s="44" t="str">
        <f>_xlfn.IFNA(IF(VLOOKUP($D164,Organización_Modular!$F$10:$G$195,2,FALSE)=F$23,Itinerario!T164," ")," ")</f>
        <v xml:space="preserve"> </v>
      </c>
      <c r="G164" s="44" t="str">
        <f>_xlfn.IFNA(IF(VLOOKUP($D164,Organización_Modular!$F$10:$G$195,2,FALSE)=G$23,Itinerario!W164," ")," ")</f>
        <v xml:space="preserve"> </v>
      </c>
      <c r="H164" s="44" t="str">
        <f>_xlfn.IFNA(IF(VLOOKUP($D164,Organización_Modular!$F$10:$G$195,2,FALSE)=H$23,Itinerario!T164," ")," ")</f>
        <v xml:space="preserve"> </v>
      </c>
      <c r="I164" s="44" t="str">
        <f>_xlfn.IFNA(IF(VLOOKUP($D164,Organización_Modular!$F$10:$G$195,2,FALSE)=I$23,Itinerario!W164," ")," ")</f>
        <v xml:space="preserve"> </v>
      </c>
      <c r="J164" s="44" t="str">
        <f>_xlfn.IFNA(IF(VLOOKUP($D164,Organización_Modular!$F$10:$G$195,2,FALSE)=J$23,Itinerario!T164," ")," ")</f>
        <v xml:space="preserve"> </v>
      </c>
      <c r="K164" s="44" t="str">
        <f>_xlfn.IFNA(IF(VLOOKUP($D164,Organización_Modular!$F$10:$G$195,2,FALSE)=K$23,Itinerario!W164," ")," ")</f>
        <v xml:space="preserve"> </v>
      </c>
      <c r="L164" s="44" t="str">
        <f>_xlfn.IFNA(IF(VLOOKUP($D164,Organización_Modular!$F$10:$G$195,2,FALSE)=L$23,Itinerario!T164," ")," ")</f>
        <v xml:space="preserve"> </v>
      </c>
      <c r="M164" s="44" t="str">
        <f>_xlfn.IFNA(IF(VLOOKUP($D164,Organización_Modular!$F$10:$G$195,2,FALSE)=M$23,Itinerario!W164," ")," ")</f>
        <v xml:space="preserve"> </v>
      </c>
      <c r="N164" s="44" t="str">
        <f>_xlfn.IFNA(IF(VLOOKUP($D164,Organización_Modular!$F$10:$G$195,2,FALSE)=N$23,Itinerario!T164," ")," ")</f>
        <v xml:space="preserve"> </v>
      </c>
      <c r="O164" s="44" t="str">
        <f>_xlfn.IFNA(IF(VLOOKUP($D164,Organización_Modular!$F$10:$G$195,2,FALSE)=O$23,Itinerario!W164," ")," ")</f>
        <v xml:space="preserve"> </v>
      </c>
      <c r="P164" s="44" t="str">
        <f>_xlfn.IFNA(IF(VLOOKUP($D164,Organización_Modular!$F$10:$G$195,2,FALSE)=P$23,Itinerario!T164," ")," ")</f>
        <v xml:space="preserve"> </v>
      </c>
      <c r="Q164" s="44" t="str">
        <f>_xlfn.IFNA(IF(VLOOKUP($D164,Organización_Modular!$F$10:$G$195,2,FALSE)=Q$23,Itinerario!W164," ")," ")</f>
        <v xml:space="preserve"> </v>
      </c>
      <c r="R164" s="44">
        <f>Organización_Modular!H150</f>
        <v>0</v>
      </c>
      <c r="S164" s="44">
        <f>Organización_Modular!I150</f>
        <v>0</v>
      </c>
      <c r="T164" s="82">
        <f t="shared" si="14"/>
        <v>0</v>
      </c>
      <c r="U164" s="44">
        <f t="shared" si="15"/>
        <v>0</v>
      </c>
      <c r="V164" s="44">
        <f t="shared" si="16"/>
        <v>0</v>
      </c>
      <c r="W164" s="82">
        <f t="shared" si="17"/>
        <v>0</v>
      </c>
      <c r="X164" s="87">
        <f t="shared" si="18"/>
        <v>0</v>
      </c>
    </row>
    <row r="165" spans="1:24" ht="18" hidden="1" customHeight="1" x14ac:dyDescent="0.2">
      <c r="A165" s="535"/>
      <c r="B165" s="397"/>
      <c r="C165" s="538"/>
      <c r="D165" s="537">
        <f>Organización_Modular!F151</f>
        <v>0</v>
      </c>
      <c r="E165" s="537"/>
      <c r="F165" s="44" t="str">
        <f>_xlfn.IFNA(IF(VLOOKUP($D165,Organización_Modular!$F$10:$G$195,2,FALSE)=F$23,Itinerario!T165," ")," ")</f>
        <v xml:space="preserve"> </v>
      </c>
      <c r="G165" s="44" t="str">
        <f>_xlfn.IFNA(IF(VLOOKUP($D165,Organización_Modular!$F$10:$G$195,2,FALSE)=G$23,Itinerario!W165," ")," ")</f>
        <v xml:space="preserve"> </v>
      </c>
      <c r="H165" s="44" t="str">
        <f>_xlfn.IFNA(IF(VLOOKUP($D165,Organización_Modular!$F$10:$G$195,2,FALSE)=H$23,Itinerario!T165," ")," ")</f>
        <v xml:space="preserve"> </v>
      </c>
      <c r="I165" s="44" t="str">
        <f>_xlfn.IFNA(IF(VLOOKUP($D165,Organización_Modular!$F$10:$G$195,2,FALSE)=I$23,Itinerario!W165," ")," ")</f>
        <v xml:space="preserve"> </v>
      </c>
      <c r="J165" s="44" t="str">
        <f>_xlfn.IFNA(IF(VLOOKUP($D165,Organización_Modular!$F$10:$G$195,2,FALSE)=J$23,Itinerario!T165," ")," ")</f>
        <v xml:space="preserve"> </v>
      </c>
      <c r="K165" s="44" t="str">
        <f>_xlfn.IFNA(IF(VLOOKUP($D165,Organización_Modular!$F$10:$G$195,2,FALSE)=K$23,Itinerario!W165," ")," ")</f>
        <v xml:space="preserve"> </v>
      </c>
      <c r="L165" s="44" t="str">
        <f>_xlfn.IFNA(IF(VLOOKUP($D165,Organización_Modular!$F$10:$G$195,2,FALSE)=L$23,Itinerario!T165," ")," ")</f>
        <v xml:space="preserve"> </v>
      </c>
      <c r="M165" s="44" t="str">
        <f>_xlfn.IFNA(IF(VLOOKUP($D165,Organización_Modular!$F$10:$G$195,2,FALSE)=M$23,Itinerario!W165," ")," ")</f>
        <v xml:space="preserve"> </v>
      </c>
      <c r="N165" s="44" t="str">
        <f>_xlfn.IFNA(IF(VLOOKUP($D165,Organización_Modular!$F$10:$G$195,2,FALSE)=N$23,Itinerario!T165," ")," ")</f>
        <v xml:space="preserve"> </v>
      </c>
      <c r="O165" s="44" t="str">
        <f>_xlfn.IFNA(IF(VLOOKUP($D165,Organización_Modular!$F$10:$G$195,2,FALSE)=O$23,Itinerario!W165," ")," ")</f>
        <v xml:space="preserve"> </v>
      </c>
      <c r="P165" s="44" t="str">
        <f>_xlfn.IFNA(IF(VLOOKUP($D165,Organización_Modular!$F$10:$G$195,2,FALSE)=P$23,Itinerario!T165," ")," ")</f>
        <v xml:space="preserve"> </v>
      </c>
      <c r="Q165" s="44" t="str">
        <f>_xlfn.IFNA(IF(VLOOKUP($D165,Organización_Modular!$F$10:$G$195,2,FALSE)=Q$23,Itinerario!W165," ")," ")</f>
        <v xml:space="preserve"> </v>
      </c>
      <c r="R165" s="44">
        <f>Organización_Modular!H151</f>
        <v>0</v>
      </c>
      <c r="S165" s="44">
        <f>Organización_Modular!I151</f>
        <v>0</v>
      </c>
      <c r="T165" s="82">
        <f t="shared" si="14"/>
        <v>0</v>
      </c>
      <c r="U165" s="44">
        <f t="shared" si="15"/>
        <v>0</v>
      </c>
      <c r="V165" s="44">
        <f t="shared" si="16"/>
        <v>0</v>
      </c>
      <c r="W165" s="82">
        <f t="shared" si="17"/>
        <v>0</v>
      </c>
      <c r="X165" s="87">
        <f t="shared" si="18"/>
        <v>0</v>
      </c>
    </row>
    <row r="166" spans="1:24" ht="18" hidden="1" customHeight="1" x14ac:dyDescent="0.2">
      <c r="A166" s="535"/>
      <c r="B166" s="397"/>
      <c r="C166" s="538"/>
      <c r="D166" s="537">
        <f>Organización_Modular!F152</f>
        <v>0</v>
      </c>
      <c r="E166" s="537"/>
      <c r="F166" s="44" t="str">
        <f>_xlfn.IFNA(IF(VLOOKUP($D166,Organización_Modular!$F$10:$G$195,2,FALSE)=F$23,Itinerario!T166," ")," ")</f>
        <v xml:space="preserve"> </v>
      </c>
      <c r="G166" s="44" t="str">
        <f>_xlfn.IFNA(IF(VLOOKUP($D166,Organización_Modular!$F$10:$G$195,2,FALSE)=G$23,Itinerario!W166," ")," ")</f>
        <v xml:space="preserve"> </v>
      </c>
      <c r="H166" s="44" t="str">
        <f>_xlfn.IFNA(IF(VLOOKUP($D166,Organización_Modular!$F$10:$G$195,2,FALSE)=H$23,Itinerario!T166," ")," ")</f>
        <v xml:space="preserve"> </v>
      </c>
      <c r="I166" s="44" t="str">
        <f>_xlfn.IFNA(IF(VLOOKUP($D166,Organización_Modular!$F$10:$G$195,2,FALSE)=I$23,Itinerario!W166," ")," ")</f>
        <v xml:space="preserve"> </v>
      </c>
      <c r="J166" s="44" t="str">
        <f>_xlfn.IFNA(IF(VLOOKUP($D166,Organización_Modular!$F$10:$G$195,2,FALSE)=J$23,Itinerario!T166," ")," ")</f>
        <v xml:space="preserve"> </v>
      </c>
      <c r="K166" s="44" t="str">
        <f>_xlfn.IFNA(IF(VLOOKUP($D166,Organización_Modular!$F$10:$G$195,2,FALSE)=K$23,Itinerario!W166," ")," ")</f>
        <v xml:space="preserve"> </v>
      </c>
      <c r="L166" s="44" t="str">
        <f>_xlfn.IFNA(IF(VLOOKUP($D166,Organización_Modular!$F$10:$G$195,2,FALSE)=L$23,Itinerario!T166," ")," ")</f>
        <v xml:space="preserve"> </v>
      </c>
      <c r="M166" s="44" t="str">
        <f>_xlfn.IFNA(IF(VLOOKUP($D166,Organización_Modular!$F$10:$G$195,2,FALSE)=M$23,Itinerario!W166," ")," ")</f>
        <v xml:space="preserve"> </v>
      </c>
      <c r="N166" s="44" t="str">
        <f>_xlfn.IFNA(IF(VLOOKUP($D166,Organización_Modular!$F$10:$G$195,2,FALSE)=N$23,Itinerario!T166," ")," ")</f>
        <v xml:space="preserve"> </v>
      </c>
      <c r="O166" s="44" t="str">
        <f>_xlfn.IFNA(IF(VLOOKUP($D166,Organización_Modular!$F$10:$G$195,2,FALSE)=O$23,Itinerario!W166," ")," ")</f>
        <v xml:space="preserve"> </v>
      </c>
      <c r="P166" s="44" t="str">
        <f>_xlfn.IFNA(IF(VLOOKUP($D166,Organización_Modular!$F$10:$G$195,2,FALSE)=P$23,Itinerario!T166," ")," ")</f>
        <v xml:space="preserve"> </v>
      </c>
      <c r="Q166" s="44" t="str">
        <f>_xlfn.IFNA(IF(VLOOKUP($D166,Organización_Modular!$F$10:$G$195,2,FALSE)=Q$23,Itinerario!W166," ")," ")</f>
        <v xml:space="preserve"> </v>
      </c>
      <c r="R166" s="44">
        <f>Organización_Modular!H152</f>
        <v>0</v>
      </c>
      <c r="S166" s="44">
        <f>Organización_Modular!I152</f>
        <v>0</v>
      </c>
      <c r="T166" s="82">
        <f t="shared" si="14"/>
        <v>0</v>
      </c>
      <c r="U166" s="44">
        <f t="shared" si="15"/>
        <v>0</v>
      </c>
      <c r="V166" s="44">
        <f t="shared" si="16"/>
        <v>0</v>
      </c>
      <c r="W166" s="82">
        <f t="shared" si="17"/>
        <v>0</v>
      </c>
      <c r="X166" s="87">
        <f t="shared" si="18"/>
        <v>0</v>
      </c>
    </row>
    <row r="167" spans="1:24" ht="18" hidden="1" customHeight="1" x14ac:dyDescent="0.2">
      <c r="A167" s="535"/>
      <c r="B167" s="397"/>
      <c r="C167" s="538"/>
      <c r="D167" s="537">
        <f>Organización_Modular!F153</f>
        <v>0</v>
      </c>
      <c r="E167" s="537"/>
      <c r="F167" s="44" t="str">
        <f>_xlfn.IFNA(IF(VLOOKUP($D167,Organización_Modular!$F$10:$G$195,2,FALSE)=F$23,Itinerario!T167," ")," ")</f>
        <v xml:space="preserve"> </v>
      </c>
      <c r="G167" s="44" t="str">
        <f>_xlfn.IFNA(IF(VLOOKUP($D167,Organización_Modular!$F$10:$G$195,2,FALSE)=G$23,Itinerario!W167," ")," ")</f>
        <v xml:space="preserve"> </v>
      </c>
      <c r="H167" s="44" t="str">
        <f>_xlfn.IFNA(IF(VLOOKUP($D167,Organización_Modular!$F$10:$G$195,2,FALSE)=H$23,Itinerario!T167," ")," ")</f>
        <v xml:space="preserve"> </v>
      </c>
      <c r="I167" s="44" t="str">
        <f>_xlfn.IFNA(IF(VLOOKUP($D167,Organización_Modular!$F$10:$G$195,2,FALSE)=I$23,Itinerario!W167," ")," ")</f>
        <v xml:space="preserve"> </v>
      </c>
      <c r="J167" s="44" t="str">
        <f>_xlfn.IFNA(IF(VLOOKUP($D167,Organización_Modular!$F$10:$G$195,2,FALSE)=J$23,Itinerario!T167," ")," ")</f>
        <v xml:space="preserve"> </v>
      </c>
      <c r="K167" s="44" t="str">
        <f>_xlfn.IFNA(IF(VLOOKUP($D167,Organización_Modular!$F$10:$G$195,2,FALSE)=K$23,Itinerario!W167," ")," ")</f>
        <v xml:space="preserve"> </v>
      </c>
      <c r="L167" s="44" t="str">
        <f>_xlfn.IFNA(IF(VLOOKUP($D167,Organización_Modular!$F$10:$G$195,2,FALSE)=L$23,Itinerario!T167," ")," ")</f>
        <v xml:space="preserve"> </v>
      </c>
      <c r="M167" s="44" t="str">
        <f>_xlfn.IFNA(IF(VLOOKUP($D167,Organización_Modular!$F$10:$G$195,2,FALSE)=M$23,Itinerario!W167," ")," ")</f>
        <v xml:space="preserve"> </v>
      </c>
      <c r="N167" s="44" t="str">
        <f>_xlfn.IFNA(IF(VLOOKUP($D167,Organización_Modular!$F$10:$G$195,2,FALSE)=N$23,Itinerario!T167," ")," ")</f>
        <v xml:space="preserve"> </v>
      </c>
      <c r="O167" s="44" t="str">
        <f>_xlfn.IFNA(IF(VLOOKUP($D167,Organización_Modular!$F$10:$G$195,2,FALSE)=O$23,Itinerario!W167," ")," ")</f>
        <v xml:space="preserve"> </v>
      </c>
      <c r="P167" s="44" t="str">
        <f>_xlfn.IFNA(IF(VLOOKUP($D167,Organización_Modular!$F$10:$G$195,2,FALSE)=P$23,Itinerario!T167," ")," ")</f>
        <v xml:space="preserve"> </v>
      </c>
      <c r="Q167" s="44" t="str">
        <f>_xlfn.IFNA(IF(VLOOKUP($D167,Organización_Modular!$F$10:$G$195,2,FALSE)=Q$23,Itinerario!W167," ")," ")</f>
        <v xml:space="preserve"> </v>
      </c>
      <c r="R167" s="44">
        <f>Organización_Modular!H153</f>
        <v>0</v>
      </c>
      <c r="S167" s="44">
        <f>Organización_Modular!I153</f>
        <v>0</v>
      </c>
      <c r="T167" s="82">
        <f t="shared" si="14"/>
        <v>0</v>
      </c>
      <c r="U167" s="44">
        <f t="shared" si="15"/>
        <v>0</v>
      </c>
      <c r="V167" s="44">
        <f t="shared" si="16"/>
        <v>0</v>
      </c>
      <c r="W167" s="82">
        <f t="shared" si="17"/>
        <v>0</v>
      </c>
      <c r="X167" s="87">
        <f t="shared" si="18"/>
        <v>0</v>
      </c>
    </row>
    <row r="168" spans="1:24" ht="18" hidden="1" customHeight="1" x14ac:dyDescent="0.2">
      <c r="A168" s="535"/>
      <c r="B168" s="398" t="str">
        <f>B44</f>
        <v>Competencias para la empleabilidad</v>
      </c>
      <c r="C168" s="538">
        <f>Organización_Modular!C154</f>
        <v>0</v>
      </c>
      <c r="D168" s="537">
        <f>Organización_Modular!F154</f>
        <v>0</v>
      </c>
      <c r="E168" s="537"/>
      <c r="F168" s="44" t="str">
        <f>_xlfn.IFNA(IF(VLOOKUP($D168,Organización_Modular!$F$10:$G$195,2,FALSE)=F$23,Itinerario!T168," ")," ")</f>
        <v xml:space="preserve"> </v>
      </c>
      <c r="G168" s="44" t="str">
        <f>_xlfn.IFNA(IF(VLOOKUP($D168,Organización_Modular!$F$10:$G$195,2,FALSE)=G$23,Itinerario!W168," ")," ")</f>
        <v xml:space="preserve"> </v>
      </c>
      <c r="H168" s="44" t="str">
        <f>_xlfn.IFNA(IF(VLOOKUP($D168,Organización_Modular!$F$10:$G$195,2,FALSE)=H$23,Itinerario!T168," ")," ")</f>
        <v xml:space="preserve"> </v>
      </c>
      <c r="I168" s="44" t="str">
        <f>_xlfn.IFNA(IF(VLOOKUP($D168,Organización_Modular!$F$10:$G$195,2,FALSE)=I$23,Itinerario!W168," ")," ")</f>
        <v xml:space="preserve"> </v>
      </c>
      <c r="J168" s="44" t="str">
        <f>_xlfn.IFNA(IF(VLOOKUP($D168,Organización_Modular!$F$10:$G$195,2,FALSE)=J$23,Itinerario!T168," ")," ")</f>
        <v xml:space="preserve"> </v>
      </c>
      <c r="K168" s="44" t="str">
        <f>_xlfn.IFNA(IF(VLOOKUP($D168,Organización_Modular!$F$10:$G$195,2,FALSE)=K$23,Itinerario!W168," ")," ")</f>
        <v xml:space="preserve"> </v>
      </c>
      <c r="L168" s="44" t="str">
        <f>_xlfn.IFNA(IF(VLOOKUP($D168,Organización_Modular!$F$10:$G$195,2,FALSE)=L$23,Itinerario!T168," ")," ")</f>
        <v xml:space="preserve"> </v>
      </c>
      <c r="M168" s="44" t="str">
        <f>_xlfn.IFNA(IF(VLOOKUP($D168,Organización_Modular!$F$10:$G$195,2,FALSE)=M$23,Itinerario!W168," ")," ")</f>
        <v xml:space="preserve"> </v>
      </c>
      <c r="N168" s="44" t="str">
        <f>_xlfn.IFNA(IF(VLOOKUP($D168,Organización_Modular!$F$10:$G$195,2,FALSE)=N$23,Itinerario!T168," ")," ")</f>
        <v xml:space="preserve"> </v>
      </c>
      <c r="O168" s="44" t="str">
        <f>_xlfn.IFNA(IF(VLOOKUP($D168,Organización_Modular!$F$10:$G$195,2,FALSE)=O$23,Itinerario!W168," ")," ")</f>
        <v xml:space="preserve"> </v>
      </c>
      <c r="P168" s="44" t="str">
        <f>_xlfn.IFNA(IF(VLOOKUP($D168,Organización_Modular!$F$10:$G$195,2,FALSE)=P$23,Itinerario!T168," ")," ")</f>
        <v xml:space="preserve"> </v>
      </c>
      <c r="Q168" s="44" t="str">
        <f>_xlfn.IFNA(IF(VLOOKUP($D168,Organización_Modular!$F$10:$G$195,2,FALSE)=Q$23,Itinerario!W168," ")," ")</f>
        <v xml:space="preserve"> </v>
      </c>
      <c r="R168" s="44">
        <f>Organización_Modular!H154</f>
        <v>0</v>
      </c>
      <c r="S168" s="44">
        <f>Organización_Modular!I154</f>
        <v>0</v>
      </c>
      <c r="T168" s="82">
        <f t="shared" si="14"/>
        <v>0</v>
      </c>
      <c r="U168" s="44">
        <f t="shared" si="15"/>
        <v>0</v>
      </c>
      <c r="V168" s="44">
        <f t="shared" si="16"/>
        <v>0</v>
      </c>
      <c r="W168" s="82">
        <f t="shared" si="17"/>
        <v>0</v>
      </c>
      <c r="X168" s="87">
        <f t="shared" si="18"/>
        <v>0</v>
      </c>
    </row>
    <row r="169" spans="1:24" ht="18" hidden="1" customHeight="1" x14ac:dyDescent="0.2">
      <c r="A169" s="535"/>
      <c r="B169" s="398"/>
      <c r="C169" s="538"/>
      <c r="D169" s="537">
        <f>Organización_Modular!F155</f>
        <v>0</v>
      </c>
      <c r="E169" s="537"/>
      <c r="F169" s="44" t="str">
        <f>_xlfn.IFNA(IF(VLOOKUP($D169,Organización_Modular!$F$10:$G$195,2,FALSE)=F$23,Itinerario!T169," ")," ")</f>
        <v xml:space="preserve"> </v>
      </c>
      <c r="G169" s="44" t="str">
        <f>_xlfn.IFNA(IF(VLOOKUP($D169,Organización_Modular!$F$10:$G$195,2,FALSE)=G$23,Itinerario!W169," ")," ")</f>
        <v xml:space="preserve"> </v>
      </c>
      <c r="H169" s="44" t="str">
        <f>_xlfn.IFNA(IF(VLOOKUP($D169,Organización_Modular!$F$10:$G$195,2,FALSE)=H$23,Itinerario!T169," ")," ")</f>
        <v xml:space="preserve"> </v>
      </c>
      <c r="I169" s="44" t="str">
        <f>_xlfn.IFNA(IF(VLOOKUP($D169,Organización_Modular!$F$10:$G$195,2,FALSE)=I$23,Itinerario!W169," ")," ")</f>
        <v xml:space="preserve"> </v>
      </c>
      <c r="J169" s="44" t="str">
        <f>_xlfn.IFNA(IF(VLOOKUP($D169,Organización_Modular!$F$10:$G$195,2,FALSE)=J$23,Itinerario!T169," ")," ")</f>
        <v xml:space="preserve"> </v>
      </c>
      <c r="K169" s="44" t="str">
        <f>_xlfn.IFNA(IF(VLOOKUP($D169,Organización_Modular!$F$10:$G$195,2,FALSE)=K$23,Itinerario!W169," ")," ")</f>
        <v xml:space="preserve"> </v>
      </c>
      <c r="L169" s="44" t="str">
        <f>_xlfn.IFNA(IF(VLOOKUP($D169,Organización_Modular!$F$10:$G$195,2,FALSE)=L$23,Itinerario!T169," ")," ")</f>
        <v xml:space="preserve"> </v>
      </c>
      <c r="M169" s="44" t="str">
        <f>_xlfn.IFNA(IF(VLOOKUP($D169,Organización_Modular!$F$10:$G$195,2,FALSE)=M$23,Itinerario!W169," ")," ")</f>
        <v xml:space="preserve"> </v>
      </c>
      <c r="N169" s="44" t="str">
        <f>_xlfn.IFNA(IF(VLOOKUP($D169,Organización_Modular!$F$10:$G$195,2,FALSE)=N$23,Itinerario!T169," ")," ")</f>
        <v xml:space="preserve"> </v>
      </c>
      <c r="O169" s="44" t="str">
        <f>_xlfn.IFNA(IF(VLOOKUP($D169,Organización_Modular!$F$10:$G$195,2,FALSE)=O$23,Itinerario!W169," ")," ")</f>
        <v xml:space="preserve"> </v>
      </c>
      <c r="P169" s="44" t="str">
        <f>_xlfn.IFNA(IF(VLOOKUP($D169,Organización_Modular!$F$10:$G$195,2,FALSE)=P$23,Itinerario!T169," ")," ")</f>
        <v xml:space="preserve"> </v>
      </c>
      <c r="Q169" s="44" t="str">
        <f>_xlfn.IFNA(IF(VLOOKUP($D169,Organización_Modular!$F$10:$G$195,2,FALSE)=Q$23,Itinerario!W169," ")," ")</f>
        <v xml:space="preserve"> </v>
      </c>
      <c r="R169" s="44">
        <f>Organización_Modular!H155</f>
        <v>0</v>
      </c>
      <c r="S169" s="44">
        <f>Organización_Modular!I155</f>
        <v>0</v>
      </c>
      <c r="T169" s="82">
        <f t="shared" si="14"/>
        <v>0</v>
      </c>
      <c r="U169" s="44">
        <f t="shared" si="15"/>
        <v>0</v>
      </c>
      <c r="V169" s="44">
        <f t="shared" si="16"/>
        <v>0</v>
      </c>
      <c r="W169" s="82">
        <f t="shared" si="17"/>
        <v>0</v>
      </c>
      <c r="X169" s="87">
        <f t="shared" si="18"/>
        <v>0</v>
      </c>
    </row>
    <row r="170" spans="1:24" ht="18" hidden="1" customHeight="1" x14ac:dyDescent="0.2">
      <c r="A170" s="535"/>
      <c r="B170" s="398"/>
      <c r="C170" s="538"/>
      <c r="D170" s="537">
        <f>Organización_Modular!F156</f>
        <v>0</v>
      </c>
      <c r="E170" s="537"/>
      <c r="F170" s="44" t="str">
        <f>_xlfn.IFNA(IF(VLOOKUP($D170,Organización_Modular!$F$10:$G$195,2,FALSE)=F$23,Itinerario!T170," ")," ")</f>
        <v xml:space="preserve"> </v>
      </c>
      <c r="G170" s="44" t="str">
        <f>_xlfn.IFNA(IF(VLOOKUP($D170,Organización_Modular!$F$10:$G$195,2,FALSE)=G$23,Itinerario!W170," ")," ")</f>
        <v xml:space="preserve"> </v>
      </c>
      <c r="H170" s="44" t="str">
        <f>_xlfn.IFNA(IF(VLOOKUP($D170,Organización_Modular!$F$10:$G$195,2,FALSE)=H$23,Itinerario!T170," ")," ")</f>
        <v xml:space="preserve"> </v>
      </c>
      <c r="I170" s="44" t="str">
        <f>_xlfn.IFNA(IF(VLOOKUP($D170,Organización_Modular!$F$10:$G$195,2,FALSE)=I$23,Itinerario!W170," ")," ")</f>
        <v xml:space="preserve"> </v>
      </c>
      <c r="J170" s="44" t="str">
        <f>_xlfn.IFNA(IF(VLOOKUP($D170,Organización_Modular!$F$10:$G$195,2,FALSE)=J$23,Itinerario!T170," ")," ")</f>
        <v xml:space="preserve"> </v>
      </c>
      <c r="K170" s="44" t="str">
        <f>_xlfn.IFNA(IF(VLOOKUP($D170,Organización_Modular!$F$10:$G$195,2,FALSE)=K$23,Itinerario!W170," ")," ")</f>
        <v xml:space="preserve"> </v>
      </c>
      <c r="L170" s="44" t="str">
        <f>_xlfn.IFNA(IF(VLOOKUP($D170,Organización_Modular!$F$10:$G$195,2,FALSE)=L$23,Itinerario!T170," ")," ")</f>
        <v xml:space="preserve"> </v>
      </c>
      <c r="M170" s="44" t="str">
        <f>_xlfn.IFNA(IF(VLOOKUP($D170,Organización_Modular!$F$10:$G$195,2,FALSE)=M$23,Itinerario!W170," ")," ")</f>
        <v xml:space="preserve"> </v>
      </c>
      <c r="N170" s="44" t="str">
        <f>_xlfn.IFNA(IF(VLOOKUP($D170,Organización_Modular!$F$10:$G$195,2,FALSE)=N$23,Itinerario!T170," ")," ")</f>
        <v xml:space="preserve"> </v>
      </c>
      <c r="O170" s="44" t="str">
        <f>_xlfn.IFNA(IF(VLOOKUP($D170,Organización_Modular!$F$10:$G$195,2,FALSE)=O$23,Itinerario!W170," ")," ")</f>
        <v xml:space="preserve"> </v>
      </c>
      <c r="P170" s="44" t="str">
        <f>_xlfn.IFNA(IF(VLOOKUP($D170,Organización_Modular!$F$10:$G$195,2,FALSE)=P$23,Itinerario!T170," ")," ")</f>
        <v xml:space="preserve"> </v>
      </c>
      <c r="Q170" s="44" t="str">
        <f>_xlfn.IFNA(IF(VLOOKUP($D170,Organización_Modular!$F$10:$G$195,2,FALSE)=Q$23,Itinerario!W170," ")," ")</f>
        <v xml:space="preserve"> </v>
      </c>
      <c r="R170" s="44">
        <f>Organización_Modular!H156</f>
        <v>0</v>
      </c>
      <c r="S170" s="44">
        <f>Organización_Modular!I156</f>
        <v>0</v>
      </c>
      <c r="T170" s="82">
        <f t="shared" si="14"/>
        <v>0</v>
      </c>
      <c r="U170" s="44">
        <f t="shared" si="15"/>
        <v>0</v>
      </c>
      <c r="V170" s="44">
        <f t="shared" si="16"/>
        <v>0</v>
      </c>
      <c r="W170" s="82">
        <f t="shared" si="17"/>
        <v>0</v>
      </c>
      <c r="X170" s="87">
        <f t="shared" si="18"/>
        <v>0</v>
      </c>
    </row>
    <row r="171" spans="1:24" ht="18" hidden="1" customHeight="1" x14ac:dyDescent="0.2">
      <c r="A171" s="535"/>
      <c r="B171" s="398"/>
      <c r="C171" s="538"/>
      <c r="D171" s="537">
        <f>Organización_Modular!F157</f>
        <v>0</v>
      </c>
      <c r="E171" s="537"/>
      <c r="F171" s="44" t="str">
        <f>_xlfn.IFNA(IF(VLOOKUP($D171,Organización_Modular!$F$10:$G$195,2,FALSE)=F$23,Itinerario!T171," ")," ")</f>
        <v xml:space="preserve"> </v>
      </c>
      <c r="G171" s="44" t="str">
        <f>_xlfn.IFNA(IF(VLOOKUP($D171,Organización_Modular!$F$10:$G$195,2,FALSE)=G$23,Itinerario!W171," ")," ")</f>
        <v xml:space="preserve"> </v>
      </c>
      <c r="H171" s="44" t="str">
        <f>_xlfn.IFNA(IF(VLOOKUP($D171,Organización_Modular!$F$10:$G$195,2,FALSE)=H$23,Itinerario!T171," ")," ")</f>
        <v xml:space="preserve"> </v>
      </c>
      <c r="I171" s="44" t="str">
        <f>_xlfn.IFNA(IF(VLOOKUP($D171,Organización_Modular!$F$10:$G$195,2,FALSE)=I$23,Itinerario!W171," ")," ")</f>
        <v xml:space="preserve"> </v>
      </c>
      <c r="J171" s="44" t="str">
        <f>_xlfn.IFNA(IF(VLOOKUP($D171,Organización_Modular!$F$10:$G$195,2,FALSE)=J$23,Itinerario!T171," ")," ")</f>
        <v xml:space="preserve"> </v>
      </c>
      <c r="K171" s="44" t="str">
        <f>_xlfn.IFNA(IF(VLOOKUP($D171,Organización_Modular!$F$10:$G$195,2,FALSE)=K$23,Itinerario!W171," ")," ")</f>
        <v xml:space="preserve"> </v>
      </c>
      <c r="L171" s="44" t="str">
        <f>_xlfn.IFNA(IF(VLOOKUP($D171,Organización_Modular!$F$10:$G$195,2,FALSE)=L$23,Itinerario!T171," ")," ")</f>
        <v xml:space="preserve"> </v>
      </c>
      <c r="M171" s="44" t="str">
        <f>_xlfn.IFNA(IF(VLOOKUP($D171,Organización_Modular!$F$10:$G$195,2,FALSE)=M$23,Itinerario!W171," ")," ")</f>
        <v xml:space="preserve"> </v>
      </c>
      <c r="N171" s="44" t="str">
        <f>_xlfn.IFNA(IF(VLOOKUP($D171,Organización_Modular!$F$10:$G$195,2,FALSE)=N$23,Itinerario!T171," ")," ")</f>
        <v xml:space="preserve"> </v>
      </c>
      <c r="O171" s="44" t="str">
        <f>_xlfn.IFNA(IF(VLOOKUP($D171,Organización_Modular!$F$10:$G$195,2,FALSE)=O$23,Itinerario!W171," ")," ")</f>
        <v xml:space="preserve"> </v>
      </c>
      <c r="P171" s="44" t="str">
        <f>_xlfn.IFNA(IF(VLOOKUP($D171,Organización_Modular!$F$10:$G$195,2,FALSE)=P$23,Itinerario!T171," ")," ")</f>
        <v xml:space="preserve"> </v>
      </c>
      <c r="Q171" s="44" t="str">
        <f>_xlfn.IFNA(IF(VLOOKUP($D171,Organización_Modular!$F$10:$G$195,2,FALSE)=Q$23,Itinerario!W171," ")," ")</f>
        <v xml:space="preserve"> </v>
      </c>
      <c r="R171" s="44">
        <f>Organización_Modular!H157</f>
        <v>0</v>
      </c>
      <c r="S171" s="44">
        <f>Organización_Modular!I157</f>
        <v>0</v>
      </c>
      <c r="T171" s="82">
        <f t="shared" si="14"/>
        <v>0</v>
      </c>
      <c r="U171" s="44">
        <f t="shared" si="15"/>
        <v>0</v>
      </c>
      <c r="V171" s="44">
        <f t="shared" si="16"/>
        <v>0</v>
      </c>
      <c r="W171" s="82">
        <f t="shared" si="17"/>
        <v>0</v>
      </c>
      <c r="X171" s="87">
        <f t="shared" si="18"/>
        <v>0</v>
      </c>
    </row>
    <row r="172" spans="1:24" ht="18" hidden="1" customHeight="1" x14ac:dyDescent="0.2">
      <c r="A172" s="535"/>
      <c r="B172" s="398"/>
      <c r="C172" s="538"/>
      <c r="D172" s="537">
        <f>Organización_Modular!F158</f>
        <v>0</v>
      </c>
      <c r="E172" s="537"/>
      <c r="F172" s="44" t="str">
        <f>_xlfn.IFNA(IF(VLOOKUP($D172,Organización_Modular!$F$10:$G$195,2,FALSE)=F$23,Itinerario!T172," ")," ")</f>
        <v xml:space="preserve"> </v>
      </c>
      <c r="G172" s="44" t="str">
        <f>_xlfn.IFNA(IF(VLOOKUP($D172,Organización_Modular!$F$10:$G$195,2,FALSE)=G$23,Itinerario!W172," ")," ")</f>
        <v xml:space="preserve"> </v>
      </c>
      <c r="H172" s="44" t="str">
        <f>_xlfn.IFNA(IF(VLOOKUP($D172,Organización_Modular!$F$10:$G$195,2,FALSE)=H$23,Itinerario!T172," ")," ")</f>
        <v xml:space="preserve"> </v>
      </c>
      <c r="I172" s="44" t="str">
        <f>_xlfn.IFNA(IF(VLOOKUP($D172,Organización_Modular!$F$10:$G$195,2,FALSE)=I$23,Itinerario!W172," ")," ")</f>
        <v xml:space="preserve"> </v>
      </c>
      <c r="J172" s="44" t="str">
        <f>_xlfn.IFNA(IF(VLOOKUP($D172,Organización_Modular!$F$10:$G$195,2,FALSE)=J$23,Itinerario!T172," ")," ")</f>
        <v xml:space="preserve"> </v>
      </c>
      <c r="K172" s="44" t="str">
        <f>_xlfn.IFNA(IF(VLOOKUP($D172,Organización_Modular!$F$10:$G$195,2,FALSE)=K$23,Itinerario!W172," ")," ")</f>
        <v xml:space="preserve"> </v>
      </c>
      <c r="L172" s="44" t="str">
        <f>_xlfn.IFNA(IF(VLOOKUP($D172,Organización_Modular!$F$10:$G$195,2,FALSE)=L$23,Itinerario!T172," ")," ")</f>
        <v xml:space="preserve"> </v>
      </c>
      <c r="M172" s="44" t="str">
        <f>_xlfn.IFNA(IF(VLOOKUP($D172,Organización_Modular!$F$10:$G$195,2,FALSE)=M$23,Itinerario!W172," ")," ")</f>
        <v xml:space="preserve"> </v>
      </c>
      <c r="N172" s="44" t="str">
        <f>_xlfn.IFNA(IF(VLOOKUP($D172,Organización_Modular!$F$10:$G$195,2,FALSE)=N$23,Itinerario!T172," ")," ")</f>
        <v xml:space="preserve"> </v>
      </c>
      <c r="O172" s="44" t="str">
        <f>_xlfn.IFNA(IF(VLOOKUP($D172,Organización_Modular!$F$10:$G$195,2,FALSE)=O$23,Itinerario!W172," ")," ")</f>
        <v xml:space="preserve"> </v>
      </c>
      <c r="P172" s="44" t="str">
        <f>_xlfn.IFNA(IF(VLOOKUP($D172,Organización_Modular!$F$10:$G$195,2,FALSE)=P$23,Itinerario!T172," ")," ")</f>
        <v xml:space="preserve"> </v>
      </c>
      <c r="Q172" s="44" t="str">
        <f>_xlfn.IFNA(IF(VLOOKUP($D172,Organización_Modular!$F$10:$G$195,2,FALSE)=Q$23,Itinerario!W172," ")," ")</f>
        <v xml:space="preserve"> </v>
      </c>
      <c r="R172" s="44">
        <f>Organización_Modular!H158</f>
        <v>0</v>
      </c>
      <c r="S172" s="44">
        <f>Organización_Modular!I158</f>
        <v>0</v>
      </c>
      <c r="T172" s="82">
        <f t="shared" si="14"/>
        <v>0</v>
      </c>
      <c r="U172" s="44">
        <f t="shared" si="15"/>
        <v>0</v>
      </c>
      <c r="V172" s="44">
        <f t="shared" si="16"/>
        <v>0</v>
      </c>
      <c r="W172" s="82">
        <f t="shared" si="17"/>
        <v>0</v>
      </c>
      <c r="X172" s="87">
        <f t="shared" si="18"/>
        <v>0</v>
      </c>
    </row>
    <row r="173" spans="1:24" ht="18" hidden="1" customHeight="1" x14ac:dyDescent="0.2">
      <c r="A173" s="535"/>
      <c r="B173" s="398"/>
      <c r="C173" s="538"/>
      <c r="D173" s="537">
        <f>Organización_Modular!F159</f>
        <v>0</v>
      </c>
      <c r="E173" s="537"/>
      <c r="F173" s="44" t="str">
        <f>_xlfn.IFNA(IF(VLOOKUP($D173,Organización_Modular!$F$10:$G$195,2,FALSE)=F$23,Itinerario!T173," ")," ")</f>
        <v xml:space="preserve"> </v>
      </c>
      <c r="G173" s="44" t="str">
        <f>_xlfn.IFNA(IF(VLOOKUP($D173,Organización_Modular!$F$10:$G$195,2,FALSE)=G$23,Itinerario!W173," ")," ")</f>
        <v xml:space="preserve"> </v>
      </c>
      <c r="H173" s="44" t="str">
        <f>_xlfn.IFNA(IF(VLOOKUP($D173,Organización_Modular!$F$10:$G$195,2,FALSE)=H$23,Itinerario!T173," ")," ")</f>
        <v xml:space="preserve"> </v>
      </c>
      <c r="I173" s="44" t="str">
        <f>_xlfn.IFNA(IF(VLOOKUP($D173,Organización_Modular!$F$10:$G$195,2,FALSE)=I$23,Itinerario!W173," ")," ")</f>
        <v xml:space="preserve"> </v>
      </c>
      <c r="J173" s="44" t="str">
        <f>_xlfn.IFNA(IF(VLOOKUP($D173,Organización_Modular!$F$10:$G$195,2,FALSE)=J$23,Itinerario!T173," ")," ")</f>
        <v xml:space="preserve"> </v>
      </c>
      <c r="K173" s="44" t="str">
        <f>_xlfn.IFNA(IF(VLOOKUP($D173,Organización_Modular!$F$10:$G$195,2,FALSE)=K$23,Itinerario!W173," ")," ")</f>
        <v xml:space="preserve"> </v>
      </c>
      <c r="L173" s="44" t="str">
        <f>_xlfn.IFNA(IF(VLOOKUP($D173,Organización_Modular!$F$10:$G$195,2,FALSE)=L$23,Itinerario!T173," ")," ")</f>
        <v xml:space="preserve"> </v>
      </c>
      <c r="M173" s="44" t="str">
        <f>_xlfn.IFNA(IF(VLOOKUP($D173,Organización_Modular!$F$10:$G$195,2,FALSE)=M$23,Itinerario!W173," ")," ")</f>
        <v xml:space="preserve"> </v>
      </c>
      <c r="N173" s="44" t="str">
        <f>_xlfn.IFNA(IF(VLOOKUP($D173,Organización_Modular!$F$10:$G$195,2,FALSE)=N$23,Itinerario!T173," ")," ")</f>
        <v xml:space="preserve"> </v>
      </c>
      <c r="O173" s="44" t="str">
        <f>_xlfn.IFNA(IF(VLOOKUP($D173,Organización_Modular!$F$10:$G$195,2,FALSE)=O$23,Itinerario!W173," ")," ")</f>
        <v xml:space="preserve"> </v>
      </c>
      <c r="P173" s="44" t="str">
        <f>_xlfn.IFNA(IF(VLOOKUP($D173,Organización_Modular!$F$10:$G$195,2,FALSE)=P$23,Itinerario!T173," ")," ")</f>
        <v xml:space="preserve"> </v>
      </c>
      <c r="Q173" s="44" t="str">
        <f>_xlfn.IFNA(IF(VLOOKUP($D173,Organización_Modular!$F$10:$G$195,2,FALSE)=Q$23,Itinerario!W173," ")," ")</f>
        <v xml:space="preserve"> </v>
      </c>
      <c r="R173" s="44">
        <f>Organización_Modular!H159</f>
        <v>0</v>
      </c>
      <c r="S173" s="44">
        <f>Organización_Modular!I159</f>
        <v>0</v>
      </c>
      <c r="T173" s="82">
        <f t="shared" si="14"/>
        <v>0</v>
      </c>
      <c r="U173" s="44">
        <f t="shared" si="15"/>
        <v>0</v>
      </c>
      <c r="V173" s="44">
        <f t="shared" si="16"/>
        <v>0</v>
      </c>
      <c r="W173" s="82">
        <f t="shared" si="17"/>
        <v>0</v>
      </c>
      <c r="X173" s="87">
        <f t="shared" si="18"/>
        <v>0</v>
      </c>
    </row>
    <row r="174" spans="1:24" ht="18" hidden="1" customHeight="1" x14ac:dyDescent="0.2">
      <c r="A174" s="535"/>
      <c r="B174" s="398"/>
      <c r="C174" s="538"/>
      <c r="D174" s="537">
        <f>Organización_Modular!F160</f>
        <v>0</v>
      </c>
      <c r="E174" s="537"/>
      <c r="F174" s="44" t="str">
        <f>_xlfn.IFNA(IF(VLOOKUP($D174,Organización_Modular!$F$10:$G$195,2,FALSE)=F$23,Itinerario!T174," ")," ")</f>
        <v xml:space="preserve"> </v>
      </c>
      <c r="G174" s="44" t="str">
        <f>_xlfn.IFNA(IF(VLOOKUP($D174,Organización_Modular!$F$10:$G$195,2,FALSE)=G$23,Itinerario!W174," ")," ")</f>
        <v xml:space="preserve"> </v>
      </c>
      <c r="H174" s="44" t="str">
        <f>_xlfn.IFNA(IF(VLOOKUP($D174,Organización_Modular!$F$10:$G$195,2,FALSE)=H$23,Itinerario!T174," ")," ")</f>
        <v xml:space="preserve"> </v>
      </c>
      <c r="I174" s="44" t="str">
        <f>_xlfn.IFNA(IF(VLOOKUP($D174,Organización_Modular!$F$10:$G$195,2,FALSE)=I$23,Itinerario!W174," ")," ")</f>
        <v xml:space="preserve"> </v>
      </c>
      <c r="J174" s="44" t="str">
        <f>_xlfn.IFNA(IF(VLOOKUP($D174,Organización_Modular!$F$10:$G$195,2,FALSE)=J$23,Itinerario!T174," ")," ")</f>
        <v xml:space="preserve"> </v>
      </c>
      <c r="K174" s="44" t="str">
        <f>_xlfn.IFNA(IF(VLOOKUP($D174,Organización_Modular!$F$10:$G$195,2,FALSE)=K$23,Itinerario!W174," ")," ")</f>
        <v xml:space="preserve"> </v>
      </c>
      <c r="L174" s="44" t="str">
        <f>_xlfn.IFNA(IF(VLOOKUP($D174,Organización_Modular!$F$10:$G$195,2,FALSE)=L$23,Itinerario!T174," ")," ")</f>
        <v xml:space="preserve"> </v>
      </c>
      <c r="M174" s="44" t="str">
        <f>_xlfn.IFNA(IF(VLOOKUP($D174,Organización_Modular!$F$10:$G$195,2,FALSE)=M$23,Itinerario!W174," ")," ")</f>
        <v xml:space="preserve"> </v>
      </c>
      <c r="N174" s="44" t="str">
        <f>_xlfn.IFNA(IF(VLOOKUP($D174,Organización_Modular!$F$10:$G$195,2,FALSE)=N$23,Itinerario!T174," ")," ")</f>
        <v xml:space="preserve"> </v>
      </c>
      <c r="O174" s="44" t="str">
        <f>_xlfn.IFNA(IF(VLOOKUP($D174,Organización_Modular!$F$10:$G$195,2,FALSE)=O$23,Itinerario!W174," ")," ")</f>
        <v xml:space="preserve"> </v>
      </c>
      <c r="P174" s="44" t="str">
        <f>_xlfn.IFNA(IF(VLOOKUP($D174,Organización_Modular!$F$10:$G$195,2,FALSE)=P$23,Itinerario!T174," ")," ")</f>
        <v xml:space="preserve"> </v>
      </c>
      <c r="Q174" s="44" t="str">
        <f>_xlfn.IFNA(IF(VLOOKUP($D174,Organización_Modular!$F$10:$G$195,2,FALSE)=Q$23,Itinerario!W174," ")," ")</f>
        <v xml:space="preserve"> </v>
      </c>
      <c r="R174" s="44">
        <f>Organización_Modular!H160</f>
        <v>0</v>
      </c>
      <c r="S174" s="44">
        <f>Organización_Modular!I160</f>
        <v>0</v>
      </c>
      <c r="T174" s="82">
        <f t="shared" si="14"/>
        <v>0</v>
      </c>
      <c r="U174" s="44">
        <f t="shared" si="15"/>
        <v>0</v>
      </c>
      <c r="V174" s="44">
        <f t="shared" si="16"/>
        <v>0</v>
      </c>
      <c r="W174" s="82">
        <f t="shared" si="17"/>
        <v>0</v>
      </c>
      <c r="X174" s="87">
        <f t="shared" si="18"/>
        <v>0</v>
      </c>
    </row>
    <row r="175" spans="1:24" ht="18" hidden="1" customHeight="1" x14ac:dyDescent="0.2">
      <c r="A175" s="535"/>
      <c r="B175" s="398"/>
      <c r="C175" s="538"/>
      <c r="D175" s="537">
        <f>Organización_Modular!F161</f>
        <v>0</v>
      </c>
      <c r="E175" s="537"/>
      <c r="F175" s="44" t="str">
        <f>_xlfn.IFNA(IF(VLOOKUP($D175,Organización_Modular!$F$10:$G$195,2,FALSE)=F$23,Itinerario!T175," ")," ")</f>
        <v xml:space="preserve"> </v>
      </c>
      <c r="G175" s="44" t="str">
        <f>_xlfn.IFNA(IF(VLOOKUP($D175,Organización_Modular!$F$10:$G$195,2,FALSE)=G$23,Itinerario!W175," ")," ")</f>
        <v xml:space="preserve"> </v>
      </c>
      <c r="H175" s="44" t="str">
        <f>_xlfn.IFNA(IF(VLOOKUP($D175,Organización_Modular!$F$10:$G$195,2,FALSE)=H$23,Itinerario!T175," ")," ")</f>
        <v xml:space="preserve"> </v>
      </c>
      <c r="I175" s="44" t="str">
        <f>_xlfn.IFNA(IF(VLOOKUP($D175,Organización_Modular!$F$10:$G$195,2,FALSE)=I$23,Itinerario!W175," ")," ")</f>
        <v xml:space="preserve"> </v>
      </c>
      <c r="J175" s="44" t="str">
        <f>_xlfn.IFNA(IF(VLOOKUP($D175,Organización_Modular!$F$10:$G$195,2,FALSE)=J$23,Itinerario!T175," ")," ")</f>
        <v xml:space="preserve"> </v>
      </c>
      <c r="K175" s="44" t="str">
        <f>_xlfn.IFNA(IF(VLOOKUP($D175,Organización_Modular!$F$10:$G$195,2,FALSE)=K$23,Itinerario!W175," ")," ")</f>
        <v xml:space="preserve"> </v>
      </c>
      <c r="L175" s="44" t="str">
        <f>_xlfn.IFNA(IF(VLOOKUP($D175,Organización_Modular!$F$10:$G$195,2,FALSE)=L$23,Itinerario!T175," ")," ")</f>
        <v xml:space="preserve"> </v>
      </c>
      <c r="M175" s="44" t="str">
        <f>_xlfn.IFNA(IF(VLOOKUP($D175,Organización_Modular!$F$10:$G$195,2,FALSE)=M$23,Itinerario!W175," ")," ")</f>
        <v xml:space="preserve"> </v>
      </c>
      <c r="N175" s="44" t="str">
        <f>_xlfn.IFNA(IF(VLOOKUP($D175,Organización_Modular!$F$10:$G$195,2,FALSE)=N$23,Itinerario!T175," ")," ")</f>
        <v xml:space="preserve"> </v>
      </c>
      <c r="O175" s="44" t="str">
        <f>_xlfn.IFNA(IF(VLOOKUP($D175,Organización_Modular!$F$10:$G$195,2,FALSE)=O$23,Itinerario!W175," ")," ")</f>
        <v xml:space="preserve"> </v>
      </c>
      <c r="P175" s="44" t="str">
        <f>_xlfn.IFNA(IF(VLOOKUP($D175,Organización_Modular!$F$10:$G$195,2,FALSE)=P$23,Itinerario!T175," ")," ")</f>
        <v xml:space="preserve"> </v>
      </c>
      <c r="Q175" s="44" t="str">
        <f>_xlfn.IFNA(IF(VLOOKUP($D175,Organización_Modular!$F$10:$G$195,2,FALSE)=Q$23,Itinerario!W175," ")," ")</f>
        <v xml:space="preserve"> </v>
      </c>
      <c r="R175" s="44">
        <f>Organización_Modular!H161</f>
        <v>0</v>
      </c>
      <c r="S175" s="44">
        <f>Organización_Modular!I161</f>
        <v>0</v>
      </c>
      <c r="T175" s="82">
        <f t="shared" si="14"/>
        <v>0</v>
      </c>
      <c r="U175" s="44">
        <f t="shared" si="15"/>
        <v>0</v>
      </c>
      <c r="V175" s="44">
        <f t="shared" si="16"/>
        <v>0</v>
      </c>
      <c r="W175" s="82">
        <f t="shared" si="17"/>
        <v>0</v>
      </c>
      <c r="X175" s="87">
        <f t="shared" si="18"/>
        <v>0</v>
      </c>
    </row>
    <row r="176" spans="1:24" ht="18" hidden="1" customHeight="1" x14ac:dyDescent="0.2">
      <c r="A176" s="535"/>
      <c r="B176" s="398"/>
      <c r="C176" s="538"/>
      <c r="D176" s="537">
        <f>Organización_Modular!F162</f>
        <v>0</v>
      </c>
      <c r="E176" s="537"/>
      <c r="F176" s="44" t="str">
        <f>_xlfn.IFNA(IF(VLOOKUP($D176,Organización_Modular!$F$10:$G$195,2,FALSE)=F$23,Itinerario!T176," ")," ")</f>
        <v xml:space="preserve"> </v>
      </c>
      <c r="G176" s="44" t="str">
        <f>_xlfn.IFNA(IF(VLOOKUP($D176,Organización_Modular!$F$10:$G$195,2,FALSE)=G$23,Itinerario!W176," ")," ")</f>
        <v xml:space="preserve"> </v>
      </c>
      <c r="H176" s="44" t="str">
        <f>_xlfn.IFNA(IF(VLOOKUP($D176,Organización_Modular!$F$10:$G$195,2,FALSE)=H$23,Itinerario!T176," ")," ")</f>
        <v xml:space="preserve"> </v>
      </c>
      <c r="I176" s="44" t="str">
        <f>_xlfn.IFNA(IF(VLOOKUP($D176,Organización_Modular!$F$10:$G$195,2,FALSE)=I$23,Itinerario!W176," ")," ")</f>
        <v xml:space="preserve"> </v>
      </c>
      <c r="J176" s="44" t="str">
        <f>_xlfn.IFNA(IF(VLOOKUP($D176,Organización_Modular!$F$10:$G$195,2,FALSE)=J$23,Itinerario!T176," ")," ")</f>
        <v xml:space="preserve"> </v>
      </c>
      <c r="K176" s="44" t="str">
        <f>_xlfn.IFNA(IF(VLOOKUP($D176,Organización_Modular!$F$10:$G$195,2,FALSE)=K$23,Itinerario!W176," ")," ")</f>
        <v xml:space="preserve"> </v>
      </c>
      <c r="L176" s="44" t="str">
        <f>_xlfn.IFNA(IF(VLOOKUP($D176,Organización_Modular!$F$10:$G$195,2,FALSE)=L$23,Itinerario!T176," ")," ")</f>
        <v xml:space="preserve"> </v>
      </c>
      <c r="M176" s="44" t="str">
        <f>_xlfn.IFNA(IF(VLOOKUP($D176,Organización_Modular!$F$10:$G$195,2,FALSE)=M$23,Itinerario!W176," ")," ")</f>
        <v xml:space="preserve"> </v>
      </c>
      <c r="N176" s="44" t="str">
        <f>_xlfn.IFNA(IF(VLOOKUP($D176,Organización_Modular!$F$10:$G$195,2,FALSE)=N$23,Itinerario!T176," ")," ")</f>
        <v xml:space="preserve"> </v>
      </c>
      <c r="O176" s="44" t="str">
        <f>_xlfn.IFNA(IF(VLOOKUP($D176,Organización_Modular!$F$10:$G$195,2,FALSE)=O$23,Itinerario!W176," ")," ")</f>
        <v xml:space="preserve"> </v>
      </c>
      <c r="P176" s="44" t="str">
        <f>_xlfn.IFNA(IF(VLOOKUP($D176,Organización_Modular!$F$10:$G$195,2,FALSE)=P$23,Itinerario!T176," ")," ")</f>
        <v xml:space="preserve"> </v>
      </c>
      <c r="Q176" s="44" t="str">
        <f>_xlfn.IFNA(IF(VLOOKUP($D176,Organización_Modular!$F$10:$G$195,2,FALSE)=Q$23,Itinerario!W176," ")," ")</f>
        <v xml:space="preserve"> </v>
      </c>
      <c r="R176" s="44">
        <f>Organización_Modular!H162</f>
        <v>0</v>
      </c>
      <c r="S176" s="44">
        <f>Organización_Modular!I162</f>
        <v>0</v>
      </c>
      <c r="T176" s="82">
        <f t="shared" si="14"/>
        <v>0</v>
      </c>
      <c r="U176" s="44">
        <f t="shared" si="15"/>
        <v>0</v>
      </c>
      <c r="V176" s="44">
        <f t="shared" si="16"/>
        <v>0</v>
      </c>
      <c r="W176" s="82">
        <f t="shared" si="17"/>
        <v>0</v>
      </c>
      <c r="X176" s="87">
        <f t="shared" si="18"/>
        <v>0</v>
      </c>
    </row>
    <row r="177" spans="1:24" ht="18" hidden="1" customHeight="1" x14ac:dyDescent="0.2">
      <c r="A177" s="535"/>
      <c r="B177" s="398"/>
      <c r="C177" s="538"/>
      <c r="D177" s="537">
        <f>Organización_Modular!F163</f>
        <v>0</v>
      </c>
      <c r="E177" s="537"/>
      <c r="F177" s="44" t="str">
        <f>_xlfn.IFNA(IF(VLOOKUP($D177,Organización_Modular!$F$10:$G$195,2,FALSE)=F$23,Itinerario!T177," ")," ")</f>
        <v xml:space="preserve"> </v>
      </c>
      <c r="G177" s="44" t="str">
        <f>_xlfn.IFNA(IF(VLOOKUP($D177,Organización_Modular!$F$10:$G$195,2,FALSE)=G$23,Itinerario!W177," ")," ")</f>
        <v xml:space="preserve"> </v>
      </c>
      <c r="H177" s="44" t="str">
        <f>_xlfn.IFNA(IF(VLOOKUP($D177,Organización_Modular!$F$10:$G$195,2,FALSE)=H$23,Itinerario!T177," ")," ")</f>
        <v xml:space="preserve"> </v>
      </c>
      <c r="I177" s="44" t="str">
        <f>_xlfn.IFNA(IF(VLOOKUP($D177,Organización_Modular!$F$10:$G$195,2,FALSE)=I$23,Itinerario!W177," ")," ")</f>
        <v xml:space="preserve"> </v>
      </c>
      <c r="J177" s="44" t="str">
        <f>_xlfn.IFNA(IF(VLOOKUP($D177,Organización_Modular!$F$10:$G$195,2,FALSE)=J$23,Itinerario!T177," ")," ")</f>
        <v xml:space="preserve"> </v>
      </c>
      <c r="K177" s="44" t="str">
        <f>_xlfn.IFNA(IF(VLOOKUP($D177,Organización_Modular!$F$10:$G$195,2,FALSE)=K$23,Itinerario!W177," ")," ")</f>
        <v xml:space="preserve"> </v>
      </c>
      <c r="L177" s="44" t="str">
        <f>_xlfn.IFNA(IF(VLOOKUP($D177,Organización_Modular!$F$10:$G$195,2,FALSE)=L$23,Itinerario!T177," ")," ")</f>
        <v xml:space="preserve"> </v>
      </c>
      <c r="M177" s="44" t="str">
        <f>_xlfn.IFNA(IF(VLOOKUP($D177,Organización_Modular!$F$10:$G$195,2,FALSE)=M$23,Itinerario!W177," ")," ")</f>
        <v xml:space="preserve"> </v>
      </c>
      <c r="N177" s="44" t="str">
        <f>_xlfn.IFNA(IF(VLOOKUP($D177,Organización_Modular!$F$10:$G$195,2,FALSE)=N$23,Itinerario!T177," ")," ")</f>
        <v xml:space="preserve"> </v>
      </c>
      <c r="O177" s="44" t="str">
        <f>_xlfn.IFNA(IF(VLOOKUP($D177,Organización_Modular!$F$10:$G$195,2,FALSE)=O$23,Itinerario!W177," ")," ")</f>
        <v xml:space="preserve"> </v>
      </c>
      <c r="P177" s="44" t="str">
        <f>_xlfn.IFNA(IF(VLOOKUP($D177,Organización_Modular!$F$10:$G$195,2,FALSE)=P$23,Itinerario!T177," ")," ")</f>
        <v xml:space="preserve"> </v>
      </c>
      <c r="Q177" s="44" t="str">
        <f>_xlfn.IFNA(IF(VLOOKUP($D177,Organización_Modular!$F$10:$G$195,2,FALSE)=Q$23,Itinerario!W177," ")," ")</f>
        <v xml:space="preserve"> </v>
      </c>
      <c r="R177" s="44">
        <f>Organización_Modular!H163</f>
        <v>0</v>
      </c>
      <c r="S177" s="44">
        <f>Organización_Modular!I163</f>
        <v>0</v>
      </c>
      <c r="T177" s="82">
        <f t="shared" si="14"/>
        <v>0</v>
      </c>
      <c r="U177" s="44">
        <f t="shared" si="15"/>
        <v>0</v>
      </c>
      <c r="V177" s="44">
        <f t="shared" si="16"/>
        <v>0</v>
      </c>
      <c r="W177" s="82">
        <f t="shared" si="17"/>
        <v>0</v>
      </c>
      <c r="X177" s="87">
        <f t="shared" si="18"/>
        <v>0</v>
      </c>
    </row>
    <row r="178" spans="1:24" ht="28.5" hidden="1" customHeight="1" x14ac:dyDescent="0.2">
      <c r="A178" s="535"/>
      <c r="B178" s="557" t="str">
        <f>B54</f>
        <v>Experiencias formativas en situaciones reales de trabajo (ESRT)</v>
      </c>
      <c r="C178" s="558"/>
      <c r="D178" s="558"/>
      <c r="E178" s="558"/>
      <c r="F178" s="162"/>
      <c r="G178" s="162"/>
      <c r="H178" s="162"/>
      <c r="I178" s="162"/>
      <c r="J178" s="162"/>
      <c r="K178" s="162"/>
      <c r="L178" s="162"/>
      <c r="M178" s="162"/>
      <c r="N178" s="162"/>
      <c r="O178" s="162"/>
      <c r="P178" s="162"/>
      <c r="Q178" s="162"/>
      <c r="R178" s="165">
        <f>Organización_Modular!H164</f>
        <v>0</v>
      </c>
      <c r="S178" s="163">
        <f>Organización_Modular!I164</f>
        <v>0</v>
      </c>
      <c r="T178" s="164">
        <f t="shared" si="14"/>
        <v>0</v>
      </c>
      <c r="U178" s="163">
        <f t="shared" si="15"/>
        <v>0</v>
      </c>
      <c r="V178" s="163">
        <f t="shared" si="16"/>
        <v>0</v>
      </c>
      <c r="W178" s="164">
        <f t="shared" si="17"/>
        <v>0</v>
      </c>
      <c r="X178" s="87">
        <f t="shared" si="18"/>
        <v>0</v>
      </c>
    </row>
    <row r="179" spans="1:24" ht="18" hidden="1" customHeight="1" x14ac:dyDescent="0.2">
      <c r="A179" s="535">
        <f>Organización_Modular!A165</f>
        <v>0</v>
      </c>
      <c r="B179" s="397" t="str">
        <f>B24</f>
        <v>Competencias técnicas (Unidad de competencia)</v>
      </c>
      <c r="C179" s="538">
        <f>Organización_Modular!C165</f>
        <v>0</v>
      </c>
      <c r="D179" s="537">
        <f>Organización_Modular!F165</f>
        <v>0</v>
      </c>
      <c r="E179" s="537"/>
      <c r="F179" s="44" t="str">
        <f>_xlfn.IFNA(IF(VLOOKUP($D179,Organización_Modular!$F$10:$G$195,2,FALSE)=F$23,Itinerario!T179," ")," ")</f>
        <v xml:space="preserve"> </v>
      </c>
      <c r="G179" s="44" t="str">
        <f>_xlfn.IFNA(IF(VLOOKUP($D179,Organización_Modular!$F$10:$G$195,2,FALSE)=G$23,Itinerario!W179," ")," ")</f>
        <v xml:space="preserve"> </v>
      </c>
      <c r="H179" s="44" t="str">
        <f>_xlfn.IFNA(IF(VLOOKUP($D179,Organización_Modular!$F$10:$G$195,2,FALSE)=H$23,Itinerario!T179," ")," ")</f>
        <v xml:space="preserve"> </v>
      </c>
      <c r="I179" s="44" t="str">
        <f>_xlfn.IFNA(IF(VLOOKUP($D179,Organización_Modular!$F$10:$G$195,2,FALSE)=I$23,Itinerario!W179," ")," ")</f>
        <v xml:space="preserve"> </v>
      </c>
      <c r="J179" s="44" t="str">
        <f>_xlfn.IFNA(IF(VLOOKUP($D179,Organización_Modular!$F$10:$G$195,2,FALSE)=J$23,Itinerario!T179," ")," ")</f>
        <v xml:space="preserve"> </v>
      </c>
      <c r="K179" s="44" t="str">
        <f>_xlfn.IFNA(IF(VLOOKUP($D179,Organización_Modular!$F$10:$G$195,2,FALSE)=K$23,Itinerario!W179," ")," ")</f>
        <v xml:space="preserve"> </v>
      </c>
      <c r="L179" s="44" t="str">
        <f>_xlfn.IFNA(IF(VLOOKUP($D179,Organización_Modular!$F$10:$G$195,2,FALSE)=L$23,Itinerario!T179," ")," ")</f>
        <v xml:space="preserve"> </v>
      </c>
      <c r="M179" s="44" t="str">
        <f>_xlfn.IFNA(IF(VLOOKUP($D179,Organización_Modular!$F$10:$G$195,2,FALSE)=M$23,Itinerario!W179," ")," ")</f>
        <v xml:space="preserve"> </v>
      </c>
      <c r="N179" s="44" t="str">
        <f>_xlfn.IFNA(IF(VLOOKUP($D179,Organización_Modular!$F$10:$G$195,2,FALSE)=N$23,Itinerario!T179," ")," ")</f>
        <v xml:space="preserve"> </v>
      </c>
      <c r="O179" s="44" t="str">
        <f>_xlfn.IFNA(IF(VLOOKUP($D179,Organización_Modular!$F$10:$G$195,2,FALSE)=O$23,Itinerario!W179," ")," ")</f>
        <v xml:space="preserve"> </v>
      </c>
      <c r="P179" s="44" t="str">
        <f>_xlfn.IFNA(IF(VLOOKUP($D179,Organización_Modular!$F$10:$G$195,2,FALSE)=P$23,Itinerario!T179," ")," ")</f>
        <v xml:space="preserve"> </v>
      </c>
      <c r="Q179" s="44" t="str">
        <f>_xlfn.IFNA(IF(VLOOKUP($D179,Organización_Modular!$F$10:$G$195,2,FALSE)=Q$23,Itinerario!W179," ")," ")</f>
        <v xml:space="preserve"> </v>
      </c>
      <c r="R179" s="44">
        <f>Organización_Modular!H165</f>
        <v>0</v>
      </c>
      <c r="S179" s="44">
        <f>Organización_Modular!I165</f>
        <v>0</v>
      </c>
      <c r="T179" s="82">
        <f>SUM(R179:S179)</f>
        <v>0</v>
      </c>
      <c r="U179" s="44">
        <f t="shared" si="15"/>
        <v>0</v>
      </c>
      <c r="V179" s="44">
        <f t="shared" si="16"/>
        <v>0</v>
      </c>
      <c r="W179" s="82">
        <f t="shared" ref="W179:W183" si="19">SUM(U179:V179)</f>
        <v>0</v>
      </c>
      <c r="X179" s="87">
        <f t="shared" si="18"/>
        <v>0</v>
      </c>
    </row>
    <row r="180" spans="1:24" ht="18" hidden="1" customHeight="1" x14ac:dyDescent="0.2">
      <c r="A180" s="535"/>
      <c r="B180" s="397"/>
      <c r="C180" s="538"/>
      <c r="D180" s="537">
        <f>Organización_Modular!F166</f>
        <v>0</v>
      </c>
      <c r="E180" s="537"/>
      <c r="F180" s="44" t="str">
        <f>_xlfn.IFNA(IF(VLOOKUP($D180,Organización_Modular!$F$10:$G$195,2,FALSE)=F$23,Itinerario!T180," ")," ")</f>
        <v xml:space="preserve"> </v>
      </c>
      <c r="G180" s="44" t="str">
        <f>_xlfn.IFNA(IF(VLOOKUP($D180,Organización_Modular!$F$10:$G$195,2,FALSE)=G$23,Itinerario!W180," ")," ")</f>
        <v xml:space="preserve"> </v>
      </c>
      <c r="H180" s="44" t="str">
        <f>_xlfn.IFNA(IF(VLOOKUP($D180,Organización_Modular!$F$10:$G$195,2,FALSE)=H$23,Itinerario!T180," ")," ")</f>
        <v xml:space="preserve"> </v>
      </c>
      <c r="I180" s="44" t="str">
        <f>_xlfn.IFNA(IF(VLOOKUP($D180,Organización_Modular!$F$10:$G$195,2,FALSE)=I$23,Itinerario!W180," ")," ")</f>
        <v xml:space="preserve"> </v>
      </c>
      <c r="J180" s="44" t="str">
        <f>_xlfn.IFNA(IF(VLOOKUP($D180,Organización_Modular!$F$10:$G$195,2,FALSE)=J$23,Itinerario!T180," ")," ")</f>
        <v xml:space="preserve"> </v>
      </c>
      <c r="K180" s="44" t="str">
        <f>_xlfn.IFNA(IF(VLOOKUP($D180,Organización_Modular!$F$10:$G$195,2,FALSE)=K$23,Itinerario!W180," ")," ")</f>
        <v xml:space="preserve"> </v>
      </c>
      <c r="L180" s="44" t="str">
        <f>_xlfn.IFNA(IF(VLOOKUP($D180,Organización_Modular!$F$10:$G$195,2,FALSE)=L$23,Itinerario!T180," ")," ")</f>
        <v xml:space="preserve"> </v>
      </c>
      <c r="M180" s="44" t="str">
        <f>_xlfn.IFNA(IF(VLOOKUP($D180,Organización_Modular!$F$10:$G$195,2,FALSE)=M$23,Itinerario!W180," ")," ")</f>
        <v xml:space="preserve"> </v>
      </c>
      <c r="N180" s="44" t="str">
        <f>_xlfn.IFNA(IF(VLOOKUP($D180,Organización_Modular!$F$10:$G$195,2,FALSE)=N$23,Itinerario!T180," ")," ")</f>
        <v xml:space="preserve"> </v>
      </c>
      <c r="O180" s="44" t="str">
        <f>_xlfn.IFNA(IF(VLOOKUP($D180,Organización_Modular!$F$10:$G$195,2,FALSE)=O$23,Itinerario!W180," ")," ")</f>
        <v xml:space="preserve"> </v>
      </c>
      <c r="P180" s="44" t="str">
        <f>_xlfn.IFNA(IF(VLOOKUP($D180,Organización_Modular!$F$10:$G$195,2,FALSE)=P$23,Itinerario!T180," ")," ")</f>
        <v xml:space="preserve"> </v>
      </c>
      <c r="Q180" s="44" t="str">
        <f>_xlfn.IFNA(IF(VLOOKUP($D180,Organización_Modular!$F$10:$G$195,2,FALSE)=Q$23,Itinerario!W180," ")," ")</f>
        <v xml:space="preserve"> </v>
      </c>
      <c r="R180" s="44">
        <f>Organización_Modular!H166</f>
        <v>0</v>
      </c>
      <c r="S180" s="44">
        <f>Organización_Modular!I166</f>
        <v>0</v>
      </c>
      <c r="T180" s="82">
        <f t="shared" ref="T180:T208" si="20">SUM(R180:S180)</f>
        <v>0</v>
      </c>
      <c r="U180" s="44">
        <f t="shared" si="15"/>
        <v>0</v>
      </c>
      <c r="V180" s="44">
        <f t="shared" si="16"/>
        <v>0</v>
      </c>
      <c r="W180" s="82">
        <f t="shared" si="19"/>
        <v>0</v>
      </c>
      <c r="X180" s="87">
        <f t="shared" si="18"/>
        <v>0</v>
      </c>
    </row>
    <row r="181" spans="1:24" ht="18" hidden="1" customHeight="1" x14ac:dyDescent="0.2">
      <c r="A181" s="535"/>
      <c r="B181" s="397"/>
      <c r="C181" s="538"/>
      <c r="D181" s="537">
        <f>Organización_Modular!F167</f>
        <v>0</v>
      </c>
      <c r="E181" s="537"/>
      <c r="F181" s="44" t="str">
        <f>_xlfn.IFNA(IF(VLOOKUP($D181,Organización_Modular!$F$10:$G$195,2,FALSE)=F$23,Itinerario!T181," ")," ")</f>
        <v xml:space="preserve"> </v>
      </c>
      <c r="G181" s="44" t="str">
        <f>_xlfn.IFNA(IF(VLOOKUP($D181,Organización_Modular!$F$10:$G$195,2,FALSE)=G$23,Itinerario!W181," ")," ")</f>
        <v xml:space="preserve"> </v>
      </c>
      <c r="H181" s="44" t="str">
        <f>_xlfn.IFNA(IF(VLOOKUP($D181,Organización_Modular!$F$10:$G$195,2,FALSE)=H$23,Itinerario!T181," ")," ")</f>
        <v xml:space="preserve"> </v>
      </c>
      <c r="I181" s="44" t="str">
        <f>_xlfn.IFNA(IF(VLOOKUP($D181,Organización_Modular!$F$10:$G$195,2,FALSE)=I$23,Itinerario!W181," ")," ")</f>
        <v xml:space="preserve"> </v>
      </c>
      <c r="J181" s="44" t="str">
        <f>_xlfn.IFNA(IF(VLOOKUP($D181,Organización_Modular!$F$10:$G$195,2,FALSE)=J$23,Itinerario!T181," ")," ")</f>
        <v xml:space="preserve"> </v>
      </c>
      <c r="K181" s="44" t="str">
        <f>_xlfn.IFNA(IF(VLOOKUP($D181,Organización_Modular!$F$10:$G$195,2,FALSE)=K$23,Itinerario!W181," ")," ")</f>
        <v xml:space="preserve"> </v>
      </c>
      <c r="L181" s="44" t="str">
        <f>_xlfn.IFNA(IF(VLOOKUP($D181,Organización_Modular!$F$10:$G$195,2,FALSE)=L$23,Itinerario!T181," ")," ")</f>
        <v xml:space="preserve"> </v>
      </c>
      <c r="M181" s="44" t="str">
        <f>_xlfn.IFNA(IF(VLOOKUP($D181,Organización_Modular!$F$10:$G$195,2,FALSE)=M$23,Itinerario!W181," ")," ")</f>
        <v xml:space="preserve"> </v>
      </c>
      <c r="N181" s="44" t="str">
        <f>_xlfn.IFNA(IF(VLOOKUP($D181,Organización_Modular!$F$10:$G$195,2,FALSE)=N$23,Itinerario!T181," ")," ")</f>
        <v xml:space="preserve"> </v>
      </c>
      <c r="O181" s="44" t="str">
        <f>_xlfn.IFNA(IF(VLOOKUP($D181,Organización_Modular!$F$10:$G$195,2,FALSE)=O$23,Itinerario!W181," ")," ")</f>
        <v xml:space="preserve"> </v>
      </c>
      <c r="P181" s="44" t="str">
        <f>_xlfn.IFNA(IF(VLOOKUP($D181,Organización_Modular!$F$10:$G$195,2,FALSE)=P$23,Itinerario!T181," ")," ")</f>
        <v xml:space="preserve"> </v>
      </c>
      <c r="Q181" s="44" t="str">
        <f>_xlfn.IFNA(IF(VLOOKUP($D181,Organización_Modular!$F$10:$G$195,2,FALSE)=Q$23,Itinerario!W181," ")," ")</f>
        <v xml:space="preserve"> </v>
      </c>
      <c r="R181" s="44">
        <f>Organización_Modular!H167</f>
        <v>0</v>
      </c>
      <c r="S181" s="44">
        <f>Organización_Modular!I167</f>
        <v>0</v>
      </c>
      <c r="T181" s="82">
        <f t="shared" si="20"/>
        <v>0</v>
      </c>
      <c r="U181" s="44">
        <f t="shared" si="15"/>
        <v>0</v>
      </c>
      <c r="V181" s="44">
        <f t="shared" si="16"/>
        <v>0</v>
      </c>
      <c r="W181" s="82">
        <f t="shared" si="19"/>
        <v>0</v>
      </c>
      <c r="X181" s="87">
        <f t="shared" si="18"/>
        <v>0</v>
      </c>
    </row>
    <row r="182" spans="1:24" ht="18" hidden="1" customHeight="1" x14ac:dyDescent="0.2">
      <c r="A182" s="535"/>
      <c r="B182" s="397"/>
      <c r="C182" s="538"/>
      <c r="D182" s="537">
        <f>Organización_Modular!F168</f>
        <v>0</v>
      </c>
      <c r="E182" s="537"/>
      <c r="F182" s="44" t="str">
        <f>_xlfn.IFNA(IF(VLOOKUP($D182,Organización_Modular!$F$10:$G$195,2,FALSE)=F$23,Itinerario!T182," ")," ")</f>
        <v xml:space="preserve"> </v>
      </c>
      <c r="G182" s="44" t="str">
        <f>_xlfn.IFNA(IF(VLOOKUP($D182,Organización_Modular!$F$10:$G$195,2,FALSE)=G$23,Itinerario!W182," ")," ")</f>
        <v xml:space="preserve"> </v>
      </c>
      <c r="H182" s="44" t="str">
        <f>_xlfn.IFNA(IF(VLOOKUP($D182,Organización_Modular!$F$10:$G$195,2,FALSE)=H$23,Itinerario!T182," ")," ")</f>
        <v xml:space="preserve"> </v>
      </c>
      <c r="I182" s="44" t="str">
        <f>_xlfn.IFNA(IF(VLOOKUP($D182,Organización_Modular!$F$10:$G$195,2,FALSE)=I$23,Itinerario!W182," ")," ")</f>
        <v xml:space="preserve"> </v>
      </c>
      <c r="J182" s="44" t="str">
        <f>_xlfn.IFNA(IF(VLOOKUP($D182,Organización_Modular!$F$10:$G$195,2,FALSE)=J$23,Itinerario!T182," ")," ")</f>
        <v xml:space="preserve"> </v>
      </c>
      <c r="K182" s="44" t="str">
        <f>_xlfn.IFNA(IF(VLOOKUP($D182,Organización_Modular!$F$10:$G$195,2,FALSE)=K$23,Itinerario!W182," ")," ")</f>
        <v xml:space="preserve"> </v>
      </c>
      <c r="L182" s="44" t="str">
        <f>_xlfn.IFNA(IF(VLOOKUP($D182,Organización_Modular!$F$10:$G$195,2,FALSE)=L$23,Itinerario!T182," ")," ")</f>
        <v xml:space="preserve"> </v>
      </c>
      <c r="M182" s="44" t="str">
        <f>_xlfn.IFNA(IF(VLOOKUP($D182,Organización_Modular!$F$10:$G$195,2,FALSE)=M$23,Itinerario!W182," ")," ")</f>
        <v xml:space="preserve"> </v>
      </c>
      <c r="N182" s="44" t="str">
        <f>_xlfn.IFNA(IF(VLOOKUP($D182,Organización_Modular!$F$10:$G$195,2,FALSE)=N$23,Itinerario!T182," ")," ")</f>
        <v xml:space="preserve"> </v>
      </c>
      <c r="O182" s="44" t="str">
        <f>_xlfn.IFNA(IF(VLOOKUP($D182,Organización_Modular!$F$10:$G$195,2,FALSE)=O$23,Itinerario!W182," ")," ")</f>
        <v xml:space="preserve"> </v>
      </c>
      <c r="P182" s="44" t="str">
        <f>_xlfn.IFNA(IF(VLOOKUP($D182,Organización_Modular!$F$10:$G$195,2,FALSE)=P$23,Itinerario!T182," ")," ")</f>
        <v xml:space="preserve"> </v>
      </c>
      <c r="Q182" s="44" t="str">
        <f>_xlfn.IFNA(IF(VLOOKUP($D182,Organización_Modular!$F$10:$G$195,2,FALSE)=Q$23,Itinerario!W182," ")," ")</f>
        <v xml:space="preserve"> </v>
      </c>
      <c r="R182" s="44">
        <f>Organización_Modular!H168</f>
        <v>0</v>
      </c>
      <c r="S182" s="44">
        <f>Organización_Modular!I168</f>
        <v>0</v>
      </c>
      <c r="T182" s="82">
        <f t="shared" si="20"/>
        <v>0</v>
      </c>
      <c r="U182" s="44">
        <f t="shared" si="15"/>
        <v>0</v>
      </c>
      <c r="V182" s="44">
        <f t="shared" si="16"/>
        <v>0</v>
      </c>
      <c r="W182" s="82">
        <f t="shared" si="19"/>
        <v>0</v>
      </c>
      <c r="X182" s="87">
        <f t="shared" si="18"/>
        <v>0</v>
      </c>
    </row>
    <row r="183" spans="1:24" ht="18" hidden="1" customHeight="1" x14ac:dyDescent="0.2">
      <c r="A183" s="535"/>
      <c r="B183" s="397"/>
      <c r="C183" s="538"/>
      <c r="D183" s="537">
        <f>Organización_Modular!F169</f>
        <v>0</v>
      </c>
      <c r="E183" s="537"/>
      <c r="F183" s="44" t="str">
        <f>_xlfn.IFNA(IF(VLOOKUP($D183,Organización_Modular!$F$10:$G$195,2,FALSE)=F$23,Itinerario!T183," ")," ")</f>
        <v xml:space="preserve"> </v>
      </c>
      <c r="G183" s="44" t="str">
        <f>_xlfn.IFNA(IF(VLOOKUP($D183,Organización_Modular!$F$10:$G$195,2,FALSE)=G$23,Itinerario!W183," ")," ")</f>
        <v xml:space="preserve"> </v>
      </c>
      <c r="H183" s="44" t="str">
        <f>_xlfn.IFNA(IF(VLOOKUP($D183,Organización_Modular!$F$10:$G$195,2,FALSE)=H$23,Itinerario!T183," ")," ")</f>
        <v xml:space="preserve"> </v>
      </c>
      <c r="I183" s="44" t="str">
        <f>_xlfn.IFNA(IF(VLOOKUP($D183,Organización_Modular!$F$10:$G$195,2,FALSE)=I$23,Itinerario!W183," ")," ")</f>
        <v xml:space="preserve"> </v>
      </c>
      <c r="J183" s="44" t="str">
        <f>_xlfn.IFNA(IF(VLOOKUP($D183,Organización_Modular!$F$10:$G$195,2,FALSE)=J$23,Itinerario!T183," ")," ")</f>
        <v xml:space="preserve"> </v>
      </c>
      <c r="K183" s="44" t="str">
        <f>_xlfn.IFNA(IF(VLOOKUP($D183,Organización_Modular!$F$10:$G$195,2,FALSE)=K$23,Itinerario!W183," ")," ")</f>
        <v xml:space="preserve"> </v>
      </c>
      <c r="L183" s="44" t="str">
        <f>_xlfn.IFNA(IF(VLOOKUP($D183,Organización_Modular!$F$10:$G$195,2,FALSE)=L$23,Itinerario!T183," ")," ")</f>
        <v xml:space="preserve"> </v>
      </c>
      <c r="M183" s="44" t="str">
        <f>_xlfn.IFNA(IF(VLOOKUP($D183,Organización_Modular!$F$10:$G$195,2,FALSE)=M$23,Itinerario!W183," ")," ")</f>
        <v xml:space="preserve"> </v>
      </c>
      <c r="N183" s="44" t="str">
        <f>_xlfn.IFNA(IF(VLOOKUP($D183,Organización_Modular!$F$10:$G$195,2,FALSE)=N$23,Itinerario!T183," ")," ")</f>
        <v xml:space="preserve"> </v>
      </c>
      <c r="O183" s="44" t="str">
        <f>_xlfn.IFNA(IF(VLOOKUP($D183,Organización_Modular!$F$10:$G$195,2,FALSE)=O$23,Itinerario!W183," ")," ")</f>
        <v xml:space="preserve"> </v>
      </c>
      <c r="P183" s="44" t="str">
        <f>_xlfn.IFNA(IF(VLOOKUP($D183,Organización_Modular!$F$10:$G$195,2,FALSE)=P$23,Itinerario!T183," ")," ")</f>
        <v xml:space="preserve"> </v>
      </c>
      <c r="Q183" s="44" t="str">
        <f>_xlfn.IFNA(IF(VLOOKUP($D183,Organización_Modular!$F$10:$G$195,2,FALSE)=Q$23,Itinerario!W183," ")," ")</f>
        <v xml:space="preserve"> </v>
      </c>
      <c r="R183" s="44">
        <f>Organización_Modular!H169</f>
        <v>0</v>
      </c>
      <c r="S183" s="44">
        <f>Organización_Modular!I169</f>
        <v>0</v>
      </c>
      <c r="T183" s="82">
        <f t="shared" si="20"/>
        <v>0</v>
      </c>
      <c r="U183" s="44">
        <f t="shared" si="15"/>
        <v>0</v>
      </c>
      <c r="V183" s="44">
        <f t="shared" si="16"/>
        <v>0</v>
      </c>
      <c r="W183" s="82">
        <f t="shared" si="19"/>
        <v>0</v>
      </c>
      <c r="X183" s="87">
        <f t="shared" si="18"/>
        <v>0</v>
      </c>
    </row>
    <row r="184" spans="1:24" ht="18" hidden="1" customHeight="1" x14ac:dyDescent="0.2">
      <c r="A184" s="535"/>
      <c r="B184" s="397"/>
      <c r="C184" s="538"/>
      <c r="D184" s="537">
        <f>Organización_Modular!F170</f>
        <v>0</v>
      </c>
      <c r="E184" s="537"/>
      <c r="F184" s="44" t="str">
        <f>_xlfn.IFNA(IF(VLOOKUP($D184,Organización_Modular!$F$10:$G$195,2,FALSE)=F$23,Itinerario!T184," ")," ")</f>
        <v xml:space="preserve"> </v>
      </c>
      <c r="G184" s="44" t="str">
        <f>_xlfn.IFNA(IF(VLOOKUP($D184,Organización_Modular!$F$10:$G$195,2,FALSE)=G$23,Itinerario!W184," ")," ")</f>
        <v xml:space="preserve"> </v>
      </c>
      <c r="H184" s="44" t="str">
        <f>_xlfn.IFNA(IF(VLOOKUP($D184,Organización_Modular!$F$10:$G$195,2,FALSE)=H$23,Itinerario!T184," ")," ")</f>
        <v xml:space="preserve"> </v>
      </c>
      <c r="I184" s="44" t="str">
        <f>_xlfn.IFNA(IF(VLOOKUP($D184,Organización_Modular!$F$10:$G$195,2,FALSE)=I$23,Itinerario!W184," ")," ")</f>
        <v xml:space="preserve"> </v>
      </c>
      <c r="J184" s="44" t="str">
        <f>_xlfn.IFNA(IF(VLOOKUP($D184,Organización_Modular!$F$10:$G$195,2,FALSE)=J$23,Itinerario!T184," ")," ")</f>
        <v xml:space="preserve"> </v>
      </c>
      <c r="K184" s="44" t="str">
        <f>_xlfn.IFNA(IF(VLOOKUP($D184,Organización_Modular!$F$10:$G$195,2,FALSE)=K$23,Itinerario!W184," ")," ")</f>
        <v xml:space="preserve"> </v>
      </c>
      <c r="L184" s="44" t="str">
        <f>_xlfn.IFNA(IF(VLOOKUP($D184,Organización_Modular!$F$10:$G$195,2,FALSE)=L$23,Itinerario!T184," ")," ")</f>
        <v xml:space="preserve"> </v>
      </c>
      <c r="M184" s="44" t="str">
        <f>_xlfn.IFNA(IF(VLOOKUP($D184,Organización_Modular!$F$10:$G$195,2,FALSE)=M$23,Itinerario!W184," ")," ")</f>
        <v xml:space="preserve"> </v>
      </c>
      <c r="N184" s="44" t="str">
        <f>_xlfn.IFNA(IF(VLOOKUP($D184,Organización_Modular!$F$10:$G$195,2,FALSE)=N$23,Itinerario!T184," ")," ")</f>
        <v xml:space="preserve"> </v>
      </c>
      <c r="O184" s="44" t="str">
        <f>_xlfn.IFNA(IF(VLOOKUP($D184,Organización_Modular!$F$10:$G$195,2,FALSE)=O$23,Itinerario!W184," ")," ")</f>
        <v xml:space="preserve"> </v>
      </c>
      <c r="P184" s="44" t="str">
        <f>_xlfn.IFNA(IF(VLOOKUP($D184,Organización_Modular!$F$10:$G$195,2,FALSE)=P$23,Itinerario!T184," ")," ")</f>
        <v xml:space="preserve"> </v>
      </c>
      <c r="Q184" s="44" t="str">
        <f>_xlfn.IFNA(IF(VLOOKUP($D184,Organización_Modular!$F$10:$G$195,2,FALSE)=Q$23,Itinerario!W184," ")," ")</f>
        <v xml:space="preserve"> </v>
      </c>
      <c r="R184" s="44">
        <f>Organización_Modular!H170</f>
        <v>0</v>
      </c>
      <c r="S184" s="44">
        <f>Organización_Modular!I170</f>
        <v>0</v>
      </c>
      <c r="T184" s="82">
        <f t="shared" si="20"/>
        <v>0</v>
      </c>
      <c r="U184" s="44">
        <f t="shared" ref="U184:U209" si="21">+R184*$S$19</f>
        <v>0</v>
      </c>
      <c r="V184" s="44">
        <f t="shared" ref="V184:V209" si="22">+S184*$U$19</f>
        <v>0</v>
      </c>
      <c r="W184" s="82">
        <f t="shared" ref="W184:W209" si="23">SUM(U184:V184)</f>
        <v>0</v>
      </c>
      <c r="X184" s="87">
        <f t="shared" si="18"/>
        <v>0</v>
      </c>
    </row>
    <row r="185" spans="1:24" ht="18" hidden="1" customHeight="1" x14ac:dyDescent="0.2">
      <c r="A185" s="535"/>
      <c r="B185" s="397"/>
      <c r="C185" s="538"/>
      <c r="D185" s="537">
        <f>Organización_Modular!F171</f>
        <v>0</v>
      </c>
      <c r="E185" s="537"/>
      <c r="F185" s="44" t="str">
        <f>_xlfn.IFNA(IF(VLOOKUP($D185,Organización_Modular!$F$10:$G$195,2,FALSE)=F$23,Itinerario!T185," ")," ")</f>
        <v xml:space="preserve"> </v>
      </c>
      <c r="G185" s="44" t="str">
        <f>_xlfn.IFNA(IF(VLOOKUP($D185,Organización_Modular!$F$10:$G$195,2,FALSE)=G$23,Itinerario!W185," ")," ")</f>
        <v xml:space="preserve"> </v>
      </c>
      <c r="H185" s="44" t="str">
        <f>_xlfn.IFNA(IF(VLOOKUP($D185,Organización_Modular!$F$10:$G$195,2,FALSE)=H$23,Itinerario!T185," ")," ")</f>
        <v xml:space="preserve"> </v>
      </c>
      <c r="I185" s="44" t="str">
        <f>_xlfn.IFNA(IF(VLOOKUP($D185,Organización_Modular!$F$10:$G$195,2,FALSE)=I$23,Itinerario!W185," ")," ")</f>
        <v xml:space="preserve"> </v>
      </c>
      <c r="J185" s="44" t="str">
        <f>_xlfn.IFNA(IF(VLOOKUP($D185,Organización_Modular!$F$10:$G$195,2,FALSE)=J$23,Itinerario!T185," ")," ")</f>
        <v xml:space="preserve"> </v>
      </c>
      <c r="K185" s="44" t="str">
        <f>_xlfn.IFNA(IF(VLOOKUP($D185,Organización_Modular!$F$10:$G$195,2,FALSE)=K$23,Itinerario!W185," ")," ")</f>
        <v xml:space="preserve"> </v>
      </c>
      <c r="L185" s="44" t="str">
        <f>_xlfn.IFNA(IF(VLOOKUP($D185,Organización_Modular!$F$10:$G$195,2,FALSE)=L$23,Itinerario!T185," ")," ")</f>
        <v xml:space="preserve"> </v>
      </c>
      <c r="M185" s="44" t="str">
        <f>_xlfn.IFNA(IF(VLOOKUP($D185,Organización_Modular!$F$10:$G$195,2,FALSE)=M$23,Itinerario!W185," ")," ")</f>
        <v xml:space="preserve"> </v>
      </c>
      <c r="N185" s="44" t="str">
        <f>_xlfn.IFNA(IF(VLOOKUP($D185,Organización_Modular!$F$10:$G$195,2,FALSE)=N$23,Itinerario!T185," ")," ")</f>
        <v xml:space="preserve"> </v>
      </c>
      <c r="O185" s="44" t="str">
        <f>_xlfn.IFNA(IF(VLOOKUP($D185,Organización_Modular!$F$10:$G$195,2,FALSE)=O$23,Itinerario!W185," ")," ")</f>
        <v xml:space="preserve"> </v>
      </c>
      <c r="P185" s="44" t="str">
        <f>_xlfn.IFNA(IF(VLOOKUP($D185,Organización_Modular!$F$10:$G$195,2,FALSE)=P$23,Itinerario!T185," ")," ")</f>
        <v xml:space="preserve"> </v>
      </c>
      <c r="Q185" s="44" t="str">
        <f>_xlfn.IFNA(IF(VLOOKUP($D185,Organización_Modular!$F$10:$G$195,2,FALSE)=Q$23,Itinerario!W185," ")," ")</f>
        <v xml:space="preserve"> </v>
      </c>
      <c r="R185" s="44">
        <f>Organización_Modular!H171</f>
        <v>0</v>
      </c>
      <c r="S185" s="44">
        <f>Organización_Modular!I171</f>
        <v>0</v>
      </c>
      <c r="T185" s="82">
        <f t="shared" si="20"/>
        <v>0</v>
      </c>
      <c r="U185" s="44">
        <f t="shared" si="21"/>
        <v>0</v>
      </c>
      <c r="V185" s="44">
        <f t="shared" si="22"/>
        <v>0</v>
      </c>
      <c r="W185" s="82">
        <f t="shared" si="23"/>
        <v>0</v>
      </c>
      <c r="X185" s="87">
        <f t="shared" si="18"/>
        <v>0</v>
      </c>
    </row>
    <row r="186" spans="1:24" ht="18" hidden="1" customHeight="1" x14ac:dyDescent="0.2">
      <c r="A186" s="535"/>
      <c r="B186" s="397"/>
      <c r="C186" s="538"/>
      <c r="D186" s="537">
        <f>Organización_Modular!F172</f>
        <v>0</v>
      </c>
      <c r="E186" s="537"/>
      <c r="F186" s="44" t="str">
        <f>_xlfn.IFNA(IF(VLOOKUP($D186,Organización_Modular!$F$10:$G$195,2,FALSE)=F$23,Itinerario!T186," ")," ")</f>
        <v xml:space="preserve"> </v>
      </c>
      <c r="G186" s="44" t="str">
        <f>_xlfn.IFNA(IF(VLOOKUP($D186,Organización_Modular!$F$10:$G$195,2,FALSE)=G$23,Itinerario!W186," ")," ")</f>
        <v xml:space="preserve"> </v>
      </c>
      <c r="H186" s="44" t="str">
        <f>_xlfn.IFNA(IF(VLOOKUP($D186,Organización_Modular!$F$10:$G$195,2,FALSE)=H$23,Itinerario!T186," ")," ")</f>
        <v xml:space="preserve"> </v>
      </c>
      <c r="I186" s="44" t="str">
        <f>_xlfn.IFNA(IF(VLOOKUP($D186,Organización_Modular!$F$10:$G$195,2,FALSE)=I$23,Itinerario!W186," ")," ")</f>
        <v xml:space="preserve"> </v>
      </c>
      <c r="J186" s="44" t="str">
        <f>_xlfn.IFNA(IF(VLOOKUP($D186,Organización_Modular!$F$10:$G$195,2,FALSE)=J$23,Itinerario!T186," ")," ")</f>
        <v xml:space="preserve"> </v>
      </c>
      <c r="K186" s="44" t="str">
        <f>_xlfn.IFNA(IF(VLOOKUP($D186,Organización_Modular!$F$10:$G$195,2,FALSE)=K$23,Itinerario!W186," ")," ")</f>
        <v xml:space="preserve"> </v>
      </c>
      <c r="L186" s="44" t="str">
        <f>_xlfn.IFNA(IF(VLOOKUP($D186,Organización_Modular!$F$10:$G$195,2,FALSE)=L$23,Itinerario!T186," ")," ")</f>
        <v xml:space="preserve"> </v>
      </c>
      <c r="M186" s="44" t="str">
        <f>_xlfn.IFNA(IF(VLOOKUP($D186,Organización_Modular!$F$10:$G$195,2,FALSE)=M$23,Itinerario!W186," ")," ")</f>
        <v xml:space="preserve"> </v>
      </c>
      <c r="N186" s="44" t="str">
        <f>_xlfn.IFNA(IF(VLOOKUP($D186,Organización_Modular!$F$10:$G$195,2,FALSE)=N$23,Itinerario!T186," ")," ")</f>
        <v xml:space="preserve"> </v>
      </c>
      <c r="O186" s="44" t="str">
        <f>_xlfn.IFNA(IF(VLOOKUP($D186,Organización_Modular!$F$10:$G$195,2,FALSE)=O$23,Itinerario!W186," ")," ")</f>
        <v xml:space="preserve"> </v>
      </c>
      <c r="P186" s="44" t="str">
        <f>_xlfn.IFNA(IF(VLOOKUP($D186,Organización_Modular!$F$10:$G$195,2,FALSE)=P$23,Itinerario!T186," ")," ")</f>
        <v xml:space="preserve"> </v>
      </c>
      <c r="Q186" s="44" t="str">
        <f>_xlfn.IFNA(IF(VLOOKUP($D186,Organización_Modular!$F$10:$G$195,2,FALSE)=Q$23,Itinerario!W186," ")," ")</f>
        <v xml:space="preserve"> </v>
      </c>
      <c r="R186" s="44">
        <f>Organización_Modular!H172</f>
        <v>0</v>
      </c>
      <c r="S186" s="44">
        <f>Organización_Modular!I172</f>
        <v>0</v>
      </c>
      <c r="T186" s="82">
        <f t="shared" si="20"/>
        <v>0</v>
      </c>
      <c r="U186" s="44">
        <f t="shared" si="21"/>
        <v>0</v>
      </c>
      <c r="V186" s="44">
        <f t="shared" si="22"/>
        <v>0</v>
      </c>
      <c r="W186" s="82">
        <f t="shared" si="23"/>
        <v>0</v>
      </c>
      <c r="X186" s="87">
        <f t="shared" si="18"/>
        <v>0</v>
      </c>
    </row>
    <row r="187" spans="1:24" ht="18" hidden="1" customHeight="1" x14ac:dyDescent="0.2">
      <c r="A187" s="535"/>
      <c r="B187" s="397"/>
      <c r="C187" s="538"/>
      <c r="D187" s="537">
        <f>Organización_Modular!F173</f>
        <v>0</v>
      </c>
      <c r="E187" s="537"/>
      <c r="F187" s="44" t="str">
        <f>_xlfn.IFNA(IF(VLOOKUP($D187,Organización_Modular!$F$10:$G$195,2,FALSE)=F$23,Itinerario!T187," ")," ")</f>
        <v xml:space="preserve"> </v>
      </c>
      <c r="G187" s="44" t="str">
        <f>_xlfn.IFNA(IF(VLOOKUP($D187,Organización_Modular!$F$10:$G$195,2,FALSE)=G$23,Itinerario!W187," ")," ")</f>
        <v xml:space="preserve"> </v>
      </c>
      <c r="H187" s="44" t="str">
        <f>_xlfn.IFNA(IF(VLOOKUP($D187,Organización_Modular!$F$10:$G$195,2,FALSE)=H$23,Itinerario!T187," ")," ")</f>
        <v xml:space="preserve"> </v>
      </c>
      <c r="I187" s="44" t="str">
        <f>_xlfn.IFNA(IF(VLOOKUP($D187,Organización_Modular!$F$10:$G$195,2,FALSE)=I$23,Itinerario!W187," ")," ")</f>
        <v xml:space="preserve"> </v>
      </c>
      <c r="J187" s="44" t="str">
        <f>_xlfn.IFNA(IF(VLOOKUP($D187,Organización_Modular!$F$10:$G$195,2,FALSE)=J$23,Itinerario!T187," ")," ")</f>
        <v xml:space="preserve"> </v>
      </c>
      <c r="K187" s="44" t="str">
        <f>_xlfn.IFNA(IF(VLOOKUP($D187,Organización_Modular!$F$10:$G$195,2,FALSE)=K$23,Itinerario!W187," ")," ")</f>
        <v xml:space="preserve"> </v>
      </c>
      <c r="L187" s="44" t="str">
        <f>_xlfn.IFNA(IF(VLOOKUP($D187,Organización_Modular!$F$10:$G$195,2,FALSE)=L$23,Itinerario!T187," ")," ")</f>
        <v xml:space="preserve"> </v>
      </c>
      <c r="M187" s="44" t="str">
        <f>_xlfn.IFNA(IF(VLOOKUP($D187,Organización_Modular!$F$10:$G$195,2,FALSE)=M$23,Itinerario!W187," ")," ")</f>
        <v xml:space="preserve"> </v>
      </c>
      <c r="N187" s="44" t="str">
        <f>_xlfn.IFNA(IF(VLOOKUP($D187,Organización_Modular!$F$10:$G$195,2,FALSE)=N$23,Itinerario!T187," ")," ")</f>
        <v xml:space="preserve"> </v>
      </c>
      <c r="O187" s="44" t="str">
        <f>_xlfn.IFNA(IF(VLOOKUP($D187,Organización_Modular!$F$10:$G$195,2,FALSE)=O$23,Itinerario!W187," ")," ")</f>
        <v xml:space="preserve"> </v>
      </c>
      <c r="P187" s="44" t="str">
        <f>_xlfn.IFNA(IF(VLOOKUP($D187,Organización_Modular!$F$10:$G$195,2,FALSE)=P$23,Itinerario!T187," ")," ")</f>
        <v xml:space="preserve"> </v>
      </c>
      <c r="Q187" s="44" t="str">
        <f>_xlfn.IFNA(IF(VLOOKUP($D187,Organización_Modular!$F$10:$G$195,2,FALSE)=Q$23,Itinerario!W187," ")," ")</f>
        <v xml:space="preserve"> </v>
      </c>
      <c r="R187" s="44">
        <f>Organización_Modular!H173</f>
        <v>0</v>
      </c>
      <c r="S187" s="44">
        <f>Organización_Modular!I173</f>
        <v>0</v>
      </c>
      <c r="T187" s="82">
        <f t="shared" si="20"/>
        <v>0</v>
      </c>
      <c r="U187" s="44">
        <f t="shared" si="21"/>
        <v>0</v>
      </c>
      <c r="V187" s="44">
        <f t="shared" si="22"/>
        <v>0</v>
      </c>
      <c r="W187" s="82">
        <f t="shared" si="23"/>
        <v>0</v>
      </c>
      <c r="X187" s="87">
        <f t="shared" si="18"/>
        <v>0</v>
      </c>
    </row>
    <row r="188" spans="1:24" ht="18" hidden="1" customHeight="1" x14ac:dyDescent="0.2">
      <c r="A188" s="535"/>
      <c r="B188" s="397"/>
      <c r="C188" s="538"/>
      <c r="D188" s="537">
        <f>Organización_Modular!F174</f>
        <v>0</v>
      </c>
      <c r="E188" s="537"/>
      <c r="F188" s="44" t="str">
        <f>_xlfn.IFNA(IF(VLOOKUP($D188,Organización_Modular!$F$10:$G$195,2,FALSE)=F$23,Itinerario!T188," ")," ")</f>
        <v xml:space="preserve"> </v>
      </c>
      <c r="G188" s="44" t="str">
        <f>_xlfn.IFNA(IF(VLOOKUP($D188,Organización_Modular!$F$10:$G$195,2,FALSE)=G$23,Itinerario!W188," ")," ")</f>
        <v xml:space="preserve"> </v>
      </c>
      <c r="H188" s="44" t="str">
        <f>_xlfn.IFNA(IF(VLOOKUP($D188,Organización_Modular!$F$10:$G$195,2,FALSE)=H$23,Itinerario!T188," ")," ")</f>
        <v xml:space="preserve"> </v>
      </c>
      <c r="I188" s="44" t="str">
        <f>_xlfn.IFNA(IF(VLOOKUP($D188,Organización_Modular!$F$10:$G$195,2,FALSE)=I$23,Itinerario!W188," ")," ")</f>
        <v xml:space="preserve"> </v>
      </c>
      <c r="J188" s="44" t="str">
        <f>_xlfn.IFNA(IF(VLOOKUP($D188,Organización_Modular!$F$10:$G$195,2,FALSE)=J$23,Itinerario!T188," ")," ")</f>
        <v xml:space="preserve"> </v>
      </c>
      <c r="K188" s="44" t="str">
        <f>_xlfn.IFNA(IF(VLOOKUP($D188,Organización_Modular!$F$10:$G$195,2,FALSE)=K$23,Itinerario!W188," ")," ")</f>
        <v xml:space="preserve"> </v>
      </c>
      <c r="L188" s="44" t="str">
        <f>_xlfn.IFNA(IF(VLOOKUP($D188,Organización_Modular!$F$10:$G$195,2,FALSE)=L$23,Itinerario!T188," ")," ")</f>
        <v xml:space="preserve"> </v>
      </c>
      <c r="M188" s="44" t="str">
        <f>_xlfn.IFNA(IF(VLOOKUP($D188,Organización_Modular!$F$10:$G$195,2,FALSE)=M$23,Itinerario!W188," ")," ")</f>
        <v xml:space="preserve"> </v>
      </c>
      <c r="N188" s="44" t="str">
        <f>_xlfn.IFNA(IF(VLOOKUP($D188,Organización_Modular!$F$10:$G$195,2,FALSE)=N$23,Itinerario!T188," ")," ")</f>
        <v xml:space="preserve"> </v>
      </c>
      <c r="O188" s="44" t="str">
        <f>_xlfn.IFNA(IF(VLOOKUP($D188,Organización_Modular!$F$10:$G$195,2,FALSE)=O$23,Itinerario!W188," ")," ")</f>
        <v xml:space="preserve"> </v>
      </c>
      <c r="P188" s="44" t="str">
        <f>_xlfn.IFNA(IF(VLOOKUP($D188,Organización_Modular!$F$10:$G$195,2,FALSE)=P$23,Itinerario!T188," ")," ")</f>
        <v xml:space="preserve"> </v>
      </c>
      <c r="Q188" s="44" t="str">
        <f>_xlfn.IFNA(IF(VLOOKUP($D188,Organización_Modular!$F$10:$G$195,2,FALSE)=Q$23,Itinerario!W188," ")," ")</f>
        <v xml:space="preserve"> </v>
      </c>
      <c r="R188" s="44">
        <f>Organización_Modular!H174</f>
        <v>0</v>
      </c>
      <c r="S188" s="44">
        <f>Organización_Modular!I174</f>
        <v>0</v>
      </c>
      <c r="T188" s="82">
        <f t="shared" si="20"/>
        <v>0</v>
      </c>
      <c r="U188" s="44">
        <f t="shared" si="21"/>
        <v>0</v>
      </c>
      <c r="V188" s="44">
        <f t="shared" si="22"/>
        <v>0</v>
      </c>
      <c r="W188" s="82">
        <f t="shared" si="23"/>
        <v>0</v>
      </c>
      <c r="X188" s="87">
        <f t="shared" si="18"/>
        <v>0</v>
      </c>
    </row>
    <row r="189" spans="1:24" ht="18" hidden="1" customHeight="1" x14ac:dyDescent="0.2">
      <c r="A189" s="535"/>
      <c r="B189" s="397"/>
      <c r="C189" s="538"/>
      <c r="D189" s="537">
        <f>Organización_Modular!F175</f>
        <v>0</v>
      </c>
      <c r="E189" s="537"/>
      <c r="F189" s="44" t="str">
        <f>_xlfn.IFNA(IF(VLOOKUP($D189,Organización_Modular!$F$10:$G$195,2,FALSE)=F$23,Itinerario!T189," ")," ")</f>
        <v xml:space="preserve"> </v>
      </c>
      <c r="G189" s="44" t="str">
        <f>_xlfn.IFNA(IF(VLOOKUP($D189,Organización_Modular!$F$10:$G$195,2,FALSE)=G$23,Itinerario!W189," ")," ")</f>
        <v xml:space="preserve"> </v>
      </c>
      <c r="H189" s="44" t="str">
        <f>_xlfn.IFNA(IF(VLOOKUP($D189,Organización_Modular!$F$10:$G$195,2,FALSE)=H$23,Itinerario!T189," ")," ")</f>
        <v xml:space="preserve"> </v>
      </c>
      <c r="I189" s="44" t="str">
        <f>_xlfn.IFNA(IF(VLOOKUP($D189,Organización_Modular!$F$10:$G$195,2,FALSE)=I$23,Itinerario!W189," ")," ")</f>
        <v xml:space="preserve"> </v>
      </c>
      <c r="J189" s="44" t="str">
        <f>_xlfn.IFNA(IF(VLOOKUP($D189,Organización_Modular!$F$10:$G$195,2,FALSE)=J$23,Itinerario!T189," ")," ")</f>
        <v xml:space="preserve"> </v>
      </c>
      <c r="K189" s="44" t="str">
        <f>_xlfn.IFNA(IF(VLOOKUP($D189,Organización_Modular!$F$10:$G$195,2,FALSE)=K$23,Itinerario!W189," ")," ")</f>
        <v xml:space="preserve"> </v>
      </c>
      <c r="L189" s="44" t="str">
        <f>_xlfn.IFNA(IF(VLOOKUP($D189,Organización_Modular!$F$10:$G$195,2,FALSE)=L$23,Itinerario!T189," ")," ")</f>
        <v xml:space="preserve"> </v>
      </c>
      <c r="M189" s="44" t="str">
        <f>_xlfn.IFNA(IF(VLOOKUP($D189,Organización_Modular!$F$10:$G$195,2,FALSE)=M$23,Itinerario!W189," ")," ")</f>
        <v xml:space="preserve"> </v>
      </c>
      <c r="N189" s="44" t="str">
        <f>_xlfn.IFNA(IF(VLOOKUP($D189,Organización_Modular!$F$10:$G$195,2,FALSE)=N$23,Itinerario!T189," ")," ")</f>
        <v xml:space="preserve"> </v>
      </c>
      <c r="O189" s="44" t="str">
        <f>_xlfn.IFNA(IF(VLOOKUP($D189,Organización_Modular!$F$10:$G$195,2,FALSE)=O$23,Itinerario!W189," ")," ")</f>
        <v xml:space="preserve"> </v>
      </c>
      <c r="P189" s="44" t="str">
        <f>_xlfn.IFNA(IF(VLOOKUP($D189,Organización_Modular!$F$10:$G$195,2,FALSE)=P$23,Itinerario!T189," ")," ")</f>
        <v xml:space="preserve"> </v>
      </c>
      <c r="Q189" s="44" t="str">
        <f>_xlfn.IFNA(IF(VLOOKUP($D189,Organización_Modular!$F$10:$G$195,2,FALSE)=Q$23,Itinerario!W189," ")," ")</f>
        <v xml:space="preserve"> </v>
      </c>
      <c r="R189" s="44">
        <f>Organización_Modular!H175</f>
        <v>0</v>
      </c>
      <c r="S189" s="44">
        <f>Organización_Modular!I175</f>
        <v>0</v>
      </c>
      <c r="T189" s="82">
        <f t="shared" si="20"/>
        <v>0</v>
      </c>
      <c r="U189" s="44">
        <f t="shared" si="21"/>
        <v>0</v>
      </c>
      <c r="V189" s="44">
        <f t="shared" si="22"/>
        <v>0</v>
      </c>
      <c r="W189" s="82">
        <f t="shared" si="23"/>
        <v>0</v>
      </c>
      <c r="X189" s="87">
        <f t="shared" si="18"/>
        <v>0</v>
      </c>
    </row>
    <row r="190" spans="1:24" ht="18" hidden="1" customHeight="1" x14ac:dyDescent="0.2">
      <c r="A190" s="535"/>
      <c r="B190" s="397"/>
      <c r="C190" s="538"/>
      <c r="D190" s="537">
        <f>Organización_Modular!F176</f>
        <v>0</v>
      </c>
      <c r="E190" s="537"/>
      <c r="F190" s="44" t="str">
        <f>_xlfn.IFNA(IF(VLOOKUP($D190,Organización_Modular!$F$10:$G$195,2,FALSE)=F$23,Itinerario!T190," ")," ")</f>
        <v xml:space="preserve"> </v>
      </c>
      <c r="G190" s="44" t="str">
        <f>_xlfn.IFNA(IF(VLOOKUP($D190,Organización_Modular!$F$10:$G$195,2,FALSE)=G$23,Itinerario!W190," ")," ")</f>
        <v xml:space="preserve"> </v>
      </c>
      <c r="H190" s="44" t="str">
        <f>_xlfn.IFNA(IF(VLOOKUP($D190,Organización_Modular!$F$10:$G$195,2,FALSE)=H$23,Itinerario!T190," ")," ")</f>
        <v xml:space="preserve"> </v>
      </c>
      <c r="I190" s="44" t="str">
        <f>_xlfn.IFNA(IF(VLOOKUP($D190,Organización_Modular!$F$10:$G$195,2,FALSE)=I$23,Itinerario!W190," ")," ")</f>
        <v xml:space="preserve"> </v>
      </c>
      <c r="J190" s="44" t="str">
        <f>_xlfn.IFNA(IF(VLOOKUP($D190,Organización_Modular!$F$10:$G$195,2,FALSE)=J$23,Itinerario!T190," ")," ")</f>
        <v xml:space="preserve"> </v>
      </c>
      <c r="K190" s="44" t="str">
        <f>_xlfn.IFNA(IF(VLOOKUP($D190,Organización_Modular!$F$10:$G$195,2,FALSE)=K$23,Itinerario!W190," ")," ")</f>
        <v xml:space="preserve"> </v>
      </c>
      <c r="L190" s="44" t="str">
        <f>_xlfn.IFNA(IF(VLOOKUP($D190,Organización_Modular!$F$10:$G$195,2,FALSE)=L$23,Itinerario!T190," ")," ")</f>
        <v xml:space="preserve"> </v>
      </c>
      <c r="M190" s="44" t="str">
        <f>_xlfn.IFNA(IF(VLOOKUP($D190,Organización_Modular!$F$10:$G$195,2,FALSE)=M$23,Itinerario!W190," ")," ")</f>
        <v xml:space="preserve"> </v>
      </c>
      <c r="N190" s="44" t="str">
        <f>_xlfn.IFNA(IF(VLOOKUP($D190,Organización_Modular!$F$10:$G$195,2,FALSE)=N$23,Itinerario!T190," ")," ")</f>
        <v xml:space="preserve"> </v>
      </c>
      <c r="O190" s="44" t="str">
        <f>_xlfn.IFNA(IF(VLOOKUP($D190,Organización_Modular!$F$10:$G$195,2,FALSE)=O$23,Itinerario!W190," ")," ")</f>
        <v xml:space="preserve"> </v>
      </c>
      <c r="P190" s="44" t="str">
        <f>_xlfn.IFNA(IF(VLOOKUP($D190,Organización_Modular!$F$10:$G$195,2,FALSE)=P$23,Itinerario!T190," ")," ")</f>
        <v xml:space="preserve"> </v>
      </c>
      <c r="Q190" s="44" t="str">
        <f>_xlfn.IFNA(IF(VLOOKUP($D190,Organización_Modular!$F$10:$G$195,2,FALSE)=Q$23,Itinerario!W190," ")," ")</f>
        <v xml:space="preserve"> </v>
      </c>
      <c r="R190" s="44">
        <f>Organización_Modular!H176</f>
        <v>0</v>
      </c>
      <c r="S190" s="44">
        <f>Organización_Modular!I176</f>
        <v>0</v>
      </c>
      <c r="T190" s="82">
        <f t="shared" si="20"/>
        <v>0</v>
      </c>
      <c r="U190" s="44">
        <f t="shared" si="21"/>
        <v>0</v>
      </c>
      <c r="V190" s="44">
        <f t="shared" si="22"/>
        <v>0</v>
      </c>
      <c r="W190" s="82">
        <f t="shared" si="23"/>
        <v>0</v>
      </c>
      <c r="X190" s="87">
        <f t="shared" si="18"/>
        <v>0</v>
      </c>
    </row>
    <row r="191" spans="1:24" ht="18" hidden="1" customHeight="1" x14ac:dyDescent="0.2">
      <c r="A191" s="535"/>
      <c r="B191" s="397"/>
      <c r="C191" s="538"/>
      <c r="D191" s="537">
        <f>Organización_Modular!F177</f>
        <v>0</v>
      </c>
      <c r="E191" s="537"/>
      <c r="F191" s="44" t="str">
        <f>_xlfn.IFNA(IF(VLOOKUP($D191,Organización_Modular!$F$10:$G$195,2,FALSE)=F$23,Itinerario!T191," ")," ")</f>
        <v xml:space="preserve"> </v>
      </c>
      <c r="G191" s="44" t="str">
        <f>_xlfn.IFNA(IF(VLOOKUP($D191,Organización_Modular!$F$10:$G$195,2,FALSE)=G$23,Itinerario!W191," ")," ")</f>
        <v xml:space="preserve"> </v>
      </c>
      <c r="H191" s="44" t="str">
        <f>_xlfn.IFNA(IF(VLOOKUP($D191,Organización_Modular!$F$10:$G$195,2,FALSE)=H$23,Itinerario!T191," ")," ")</f>
        <v xml:space="preserve"> </v>
      </c>
      <c r="I191" s="44" t="str">
        <f>_xlfn.IFNA(IF(VLOOKUP($D191,Organización_Modular!$F$10:$G$195,2,FALSE)=I$23,Itinerario!W191," ")," ")</f>
        <v xml:space="preserve"> </v>
      </c>
      <c r="J191" s="44" t="str">
        <f>_xlfn.IFNA(IF(VLOOKUP($D191,Organización_Modular!$F$10:$G$195,2,FALSE)=J$23,Itinerario!T191," ")," ")</f>
        <v xml:space="preserve"> </v>
      </c>
      <c r="K191" s="44" t="str">
        <f>_xlfn.IFNA(IF(VLOOKUP($D191,Organización_Modular!$F$10:$G$195,2,FALSE)=K$23,Itinerario!W191," ")," ")</f>
        <v xml:space="preserve"> </v>
      </c>
      <c r="L191" s="44" t="str">
        <f>_xlfn.IFNA(IF(VLOOKUP($D191,Organización_Modular!$F$10:$G$195,2,FALSE)=L$23,Itinerario!T191," ")," ")</f>
        <v xml:space="preserve"> </v>
      </c>
      <c r="M191" s="44" t="str">
        <f>_xlfn.IFNA(IF(VLOOKUP($D191,Organización_Modular!$F$10:$G$195,2,FALSE)=M$23,Itinerario!W191," ")," ")</f>
        <v xml:space="preserve"> </v>
      </c>
      <c r="N191" s="44" t="str">
        <f>_xlfn.IFNA(IF(VLOOKUP($D191,Organización_Modular!$F$10:$G$195,2,FALSE)=N$23,Itinerario!T191," ")," ")</f>
        <v xml:space="preserve"> </v>
      </c>
      <c r="O191" s="44" t="str">
        <f>_xlfn.IFNA(IF(VLOOKUP($D191,Organización_Modular!$F$10:$G$195,2,FALSE)=O$23,Itinerario!W191," ")," ")</f>
        <v xml:space="preserve"> </v>
      </c>
      <c r="P191" s="44" t="str">
        <f>_xlfn.IFNA(IF(VLOOKUP($D191,Organización_Modular!$F$10:$G$195,2,FALSE)=P$23,Itinerario!T191," ")," ")</f>
        <v xml:space="preserve"> </v>
      </c>
      <c r="Q191" s="44" t="str">
        <f>_xlfn.IFNA(IF(VLOOKUP($D191,Organización_Modular!$F$10:$G$195,2,FALSE)=Q$23,Itinerario!W191," ")," ")</f>
        <v xml:space="preserve"> </v>
      </c>
      <c r="R191" s="44">
        <f>Organización_Modular!H177</f>
        <v>0</v>
      </c>
      <c r="S191" s="44">
        <f>Organización_Modular!I177</f>
        <v>0</v>
      </c>
      <c r="T191" s="82">
        <f t="shared" si="20"/>
        <v>0</v>
      </c>
      <c r="U191" s="44">
        <f t="shared" si="21"/>
        <v>0</v>
      </c>
      <c r="V191" s="44">
        <f t="shared" si="22"/>
        <v>0</v>
      </c>
      <c r="W191" s="82">
        <f t="shared" si="23"/>
        <v>0</v>
      </c>
      <c r="X191" s="87">
        <f t="shared" si="18"/>
        <v>0</v>
      </c>
    </row>
    <row r="192" spans="1:24" ht="18" hidden="1" customHeight="1" x14ac:dyDescent="0.2">
      <c r="A192" s="535"/>
      <c r="B192" s="397"/>
      <c r="C192" s="538"/>
      <c r="D192" s="537">
        <f>Organización_Modular!F178</f>
        <v>0</v>
      </c>
      <c r="E192" s="537"/>
      <c r="F192" s="44" t="str">
        <f>_xlfn.IFNA(IF(VLOOKUP($D192,Organización_Modular!$F$10:$G$195,2,FALSE)=F$23,Itinerario!T192," ")," ")</f>
        <v xml:space="preserve"> </v>
      </c>
      <c r="G192" s="44" t="str">
        <f>_xlfn.IFNA(IF(VLOOKUP($D192,Organización_Modular!$F$10:$G$195,2,FALSE)=G$23,Itinerario!W192," ")," ")</f>
        <v xml:space="preserve"> </v>
      </c>
      <c r="H192" s="44" t="str">
        <f>_xlfn.IFNA(IF(VLOOKUP($D192,Organización_Modular!$F$10:$G$195,2,FALSE)=H$23,Itinerario!T192," ")," ")</f>
        <v xml:space="preserve"> </v>
      </c>
      <c r="I192" s="44" t="str">
        <f>_xlfn.IFNA(IF(VLOOKUP($D192,Organización_Modular!$F$10:$G$195,2,FALSE)=I$23,Itinerario!W192," ")," ")</f>
        <v xml:space="preserve"> </v>
      </c>
      <c r="J192" s="44" t="str">
        <f>_xlfn.IFNA(IF(VLOOKUP($D192,Organización_Modular!$F$10:$G$195,2,FALSE)=J$23,Itinerario!T192," ")," ")</f>
        <v xml:space="preserve"> </v>
      </c>
      <c r="K192" s="44" t="str">
        <f>_xlfn.IFNA(IF(VLOOKUP($D192,Organización_Modular!$F$10:$G$195,2,FALSE)=K$23,Itinerario!W192," ")," ")</f>
        <v xml:space="preserve"> </v>
      </c>
      <c r="L192" s="44" t="str">
        <f>_xlfn.IFNA(IF(VLOOKUP($D192,Organización_Modular!$F$10:$G$195,2,FALSE)=L$23,Itinerario!T192," ")," ")</f>
        <v xml:space="preserve"> </v>
      </c>
      <c r="M192" s="44" t="str">
        <f>_xlfn.IFNA(IF(VLOOKUP($D192,Organización_Modular!$F$10:$G$195,2,FALSE)=M$23,Itinerario!W192," ")," ")</f>
        <v xml:space="preserve"> </v>
      </c>
      <c r="N192" s="44" t="str">
        <f>_xlfn.IFNA(IF(VLOOKUP($D192,Organización_Modular!$F$10:$G$195,2,FALSE)=N$23,Itinerario!T192," ")," ")</f>
        <v xml:space="preserve"> </v>
      </c>
      <c r="O192" s="44" t="str">
        <f>_xlfn.IFNA(IF(VLOOKUP($D192,Organización_Modular!$F$10:$G$195,2,FALSE)=O$23,Itinerario!W192," ")," ")</f>
        <v xml:space="preserve"> </v>
      </c>
      <c r="P192" s="44" t="str">
        <f>_xlfn.IFNA(IF(VLOOKUP($D192,Organización_Modular!$F$10:$G$195,2,FALSE)=P$23,Itinerario!T192," ")," ")</f>
        <v xml:space="preserve"> </v>
      </c>
      <c r="Q192" s="44" t="str">
        <f>_xlfn.IFNA(IF(VLOOKUP($D192,Organización_Modular!$F$10:$G$195,2,FALSE)=Q$23,Itinerario!W192," ")," ")</f>
        <v xml:space="preserve"> </v>
      </c>
      <c r="R192" s="44">
        <f>Organización_Modular!H178</f>
        <v>0</v>
      </c>
      <c r="S192" s="44">
        <f>Organización_Modular!I178</f>
        <v>0</v>
      </c>
      <c r="T192" s="82">
        <f t="shared" si="20"/>
        <v>0</v>
      </c>
      <c r="U192" s="44">
        <f t="shared" si="21"/>
        <v>0</v>
      </c>
      <c r="V192" s="44">
        <f t="shared" si="22"/>
        <v>0</v>
      </c>
      <c r="W192" s="82">
        <f t="shared" si="23"/>
        <v>0</v>
      </c>
      <c r="X192" s="87">
        <f t="shared" si="18"/>
        <v>0</v>
      </c>
    </row>
    <row r="193" spans="1:24" ht="18" hidden="1" customHeight="1" x14ac:dyDescent="0.2">
      <c r="A193" s="535"/>
      <c r="B193" s="397"/>
      <c r="C193" s="538"/>
      <c r="D193" s="537">
        <f>Organización_Modular!F179</f>
        <v>0</v>
      </c>
      <c r="E193" s="537"/>
      <c r="F193" s="44" t="str">
        <f>_xlfn.IFNA(IF(VLOOKUP($D193,Organización_Modular!$F$10:$G$195,2,FALSE)=F$23,Itinerario!T193," ")," ")</f>
        <v xml:space="preserve"> </v>
      </c>
      <c r="G193" s="44" t="str">
        <f>_xlfn.IFNA(IF(VLOOKUP($D193,Organización_Modular!$F$10:$G$195,2,FALSE)=G$23,Itinerario!W193," ")," ")</f>
        <v xml:space="preserve"> </v>
      </c>
      <c r="H193" s="44" t="str">
        <f>_xlfn.IFNA(IF(VLOOKUP($D193,Organización_Modular!$F$10:$G$195,2,FALSE)=H$23,Itinerario!T193," ")," ")</f>
        <v xml:space="preserve"> </v>
      </c>
      <c r="I193" s="44" t="str">
        <f>_xlfn.IFNA(IF(VLOOKUP($D193,Organización_Modular!$F$10:$G$195,2,FALSE)=I$23,Itinerario!W193," ")," ")</f>
        <v xml:space="preserve"> </v>
      </c>
      <c r="J193" s="44" t="str">
        <f>_xlfn.IFNA(IF(VLOOKUP($D193,Organización_Modular!$F$10:$G$195,2,FALSE)=J$23,Itinerario!T193," ")," ")</f>
        <v xml:space="preserve"> </v>
      </c>
      <c r="K193" s="44" t="str">
        <f>_xlfn.IFNA(IF(VLOOKUP($D193,Organización_Modular!$F$10:$G$195,2,FALSE)=K$23,Itinerario!W193," ")," ")</f>
        <v xml:space="preserve"> </v>
      </c>
      <c r="L193" s="44" t="str">
        <f>_xlfn.IFNA(IF(VLOOKUP($D193,Organización_Modular!$F$10:$G$195,2,FALSE)=L$23,Itinerario!T193," ")," ")</f>
        <v xml:space="preserve"> </v>
      </c>
      <c r="M193" s="44" t="str">
        <f>_xlfn.IFNA(IF(VLOOKUP($D193,Organización_Modular!$F$10:$G$195,2,FALSE)=M$23,Itinerario!W193," ")," ")</f>
        <v xml:space="preserve"> </v>
      </c>
      <c r="N193" s="44" t="str">
        <f>_xlfn.IFNA(IF(VLOOKUP($D193,Organización_Modular!$F$10:$G$195,2,FALSE)=N$23,Itinerario!T193," ")," ")</f>
        <v xml:space="preserve"> </v>
      </c>
      <c r="O193" s="44" t="str">
        <f>_xlfn.IFNA(IF(VLOOKUP($D193,Organización_Modular!$F$10:$G$195,2,FALSE)=O$23,Itinerario!W193," ")," ")</f>
        <v xml:space="preserve"> </v>
      </c>
      <c r="P193" s="44" t="str">
        <f>_xlfn.IFNA(IF(VLOOKUP($D193,Organización_Modular!$F$10:$G$195,2,FALSE)=P$23,Itinerario!T193," ")," ")</f>
        <v xml:space="preserve"> </v>
      </c>
      <c r="Q193" s="44" t="str">
        <f>_xlfn.IFNA(IF(VLOOKUP($D193,Organización_Modular!$F$10:$G$195,2,FALSE)=Q$23,Itinerario!W193," ")," ")</f>
        <v xml:space="preserve"> </v>
      </c>
      <c r="R193" s="44">
        <f>Organización_Modular!H179</f>
        <v>0</v>
      </c>
      <c r="S193" s="44">
        <f>Organización_Modular!I179</f>
        <v>0</v>
      </c>
      <c r="T193" s="82">
        <f t="shared" si="20"/>
        <v>0</v>
      </c>
      <c r="U193" s="44">
        <f t="shared" si="21"/>
        <v>0</v>
      </c>
      <c r="V193" s="44">
        <f t="shared" si="22"/>
        <v>0</v>
      </c>
      <c r="W193" s="82">
        <f t="shared" si="23"/>
        <v>0</v>
      </c>
      <c r="X193" s="87">
        <f t="shared" si="18"/>
        <v>0</v>
      </c>
    </row>
    <row r="194" spans="1:24" ht="18" hidden="1" customHeight="1" x14ac:dyDescent="0.2">
      <c r="A194" s="535"/>
      <c r="B194" s="397"/>
      <c r="C194" s="538"/>
      <c r="D194" s="537">
        <f>Organización_Modular!F180</f>
        <v>0</v>
      </c>
      <c r="E194" s="537"/>
      <c r="F194" s="44" t="str">
        <f>_xlfn.IFNA(IF(VLOOKUP($D194,Organización_Modular!$F$10:$G$195,2,FALSE)=F$23,Itinerario!T194," ")," ")</f>
        <v xml:space="preserve"> </v>
      </c>
      <c r="G194" s="44" t="str">
        <f>_xlfn.IFNA(IF(VLOOKUP($D194,Organización_Modular!$F$10:$G$195,2,FALSE)=G$23,Itinerario!W194," ")," ")</f>
        <v xml:space="preserve"> </v>
      </c>
      <c r="H194" s="44" t="str">
        <f>_xlfn.IFNA(IF(VLOOKUP($D194,Organización_Modular!$F$10:$G$195,2,FALSE)=H$23,Itinerario!T194," ")," ")</f>
        <v xml:space="preserve"> </v>
      </c>
      <c r="I194" s="44" t="str">
        <f>_xlfn.IFNA(IF(VLOOKUP($D194,Organización_Modular!$F$10:$G$195,2,FALSE)=I$23,Itinerario!W194," ")," ")</f>
        <v xml:space="preserve"> </v>
      </c>
      <c r="J194" s="44" t="str">
        <f>_xlfn.IFNA(IF(VLOOKUP($D194,Organización_Modular!$F$10:$G$195,2,FALSE)=J$23,Itinerario!T194," ")," ")</f>
        <v xml:space="preserve"> </v>
      </c>
      <c r="K194" s="44" t="str">
        <f>_xlfn.IFNA(IF(VLOOKUP($D194,Organización_Modular!$F$10:$G$195,2,FALSE)=K$23,Itinerario!W194," ")," ")</f>
        <v xml:space="preserve"> </v>
      </c>
      <c r="L194" s="44" t="str">
        <f>_xlfn.IFNA(IF(VLOOKUP($D194,Organización_Modular!$F$10:$G$195,2,FALSE)=L$23,Itinerario!T194," ")," ")</f>
        <v xml:space="preserve"> </v>
      </c>
      <c r="M194" s="44" t="str">
        <f>_xlfn.IFNA(IF(VLOOKUP($D194,Organización_Modular!$F$10:$G$195,2,FALSE)=M$23,Itinerario!W194," ")," ")</f>
        <v xml:space="preserve"> </v>
      </c>
      <c r="N194" s="44" t="str">
        <f>_xlfn.IFNA(IF(VLOOKUP($D194,Organización_Modular!$F$10:$G$195,2,FALSE)=N$23,Itinerario!T194," ")," ")</f>
        <v xml:space="preserve"> </v>
      </c>
      <c r="O194" s="44" t="str">
        <f>_xlfn.IFNA(IF(VLOOKUP($D194,Organización_Modular!$F$10:$G$195,2,FALSE)=O$23,Itinerario!W194," ")," ")</f>
        <v xml:space="preserve"> </v>
      </c>
      <c r="P194" s="44" t="str">
        <f>_xlfn.IFNA(IF(VLOOKUP($D194,Organización_Modular!$F$10:$G$195,2,FALSE)=P$23,Itinerario!T194," ")," ")</f>
        <v xml:space="preserve"> </v>
      </c>
      <c r="Q194" s="44" t="str">
        <f>_xlfn.IFNA(IF(VLOOKUP($D194,Organización_Modular!$F$10:$G$195,2,FALSE)=Q$23,Itinerario!W194," ")," ")</f>
        <v xml:space="preserve"> </v>
      </c>
      <c r="R194" s="44">
        <f>Organización_Modular!H180</f>
        <v>0</v>
      </c>
      <c r="S194" s="44">
        <f>Organización_Modular!I180</f>
        <v>0</v>
      </c>
      <c r="T194" s="82">
        <f t="shared" si="20"/>
        <v>0</v>
      </c>
      <c r="U194" s="44">
        <f t="shared" si="21"/>
        <v>0</v>
      </c>
      <c r="V194" s="44">
        <f t="shared" si="22"/>
        <v>0</v>
      </c>
      <c r="W194" s="82">
        <f t="shared" si="23"/>
        <v>0</v>
      </c>
      <c r="X194" s="87">
        <f t="shared" si="18"/>
        <v>0</v>
      </c>
    </row>
    <row r="195" spans="1:24" ht="18" hidden="1" customHeight="1" x14ac:dyDescent="0.2">
      <c r="A195" s="535"/>
      <c r="B195" s="397"/>
      <c r="C195" s="538"/>
      <c r="D195" s="537">
        <f>Organización_Modular!F181</f>
        <v>0</v>
      </c>
      <c r="E195" s="537"/>
      <c r="F195" s="44" t="str">
        <f>_xlfn.IFNA(IF(VLOOKUP($D195,Organización_Modular!$F$10:$G$195,2,FALSE)=F$23,Itinerario!T195," ")," ")</f>
        <v xml:space="preserve"> </v>
      </c>
      <c r="G195" s="44" t="str">
        <f>_xlfn.IFNA(IF(VLOOKUP($D195,Organización_Modular!$F$10:$G$195,2,FALSE)=G$23,Itinerario!W195," ")," ")</f>
        <v xml:space="preserve"> </v>
      </c>
      <c r="H195" s="44" t="str">
        <f>_xlfn.IFNA(IF(VLOOKUP($D195,Organización_Modular!$F$10:$G$195,2,FALSE)=H$23,Itinerario!T195," ")," ")</f>
        <v xml:space="preserve"> </v>
      </c>
      <c r="I195" s="44" t="str">
        <f>_xlfn.IFNA(IF(VLOOKUP($D195,Organización_Modular!$F$10:$G$195,2,FALSE)=I$23,Itinerario!W195," ")," ")</f>
        <v xml:space="preserve"> </v>
      </c>
      <c r="J195" s="44" t="str">
        <f>_xlfn.IFNA(IF(VLOOKUP($D195,Organización_Modular!$F$10:$G$195,2,FALSE)=J$23,Itinerario!T195," ")," ")</f>
        <v xml:space="preserve"> </v>
      </c>
      <c r="K195" s="44" t="str">
        <f>_xlfn.IFNA(IF(VLOOKUP($D195,Organización_Modular!$F$10:$G$195,2,FALSE)=K$23,Itinerario!W195," ")," ")</f>
        <v xml:space="preserve"> </v>
      </c>
      <c r="L195" s="44" t="str">
        <f>_xlfn.IFNA(IF(VLOOKUP($D195,Organización_Modular!$F$10:$G$195,2,FALSE)=L$23,Itinerario!T195," ")," ")</f>
        <v xml:space="preserve"> </v>
      </c>
      <c r="M195" s="44" t="str">
        <f>_xlfn.IFNA(IF(VLOOKUP($D195,Organización_Modular!$F$10:$G$195,2,FALSE)=M$23,Itinerario!W195," ")," ")</f>
        <v xml:space="preserve"> </v>
      </c>
      <c r="N195" s="44" t="str">
        <f>_xlfn.IFNA(IF(VLOOKUP($D195,Organización_Modular!$F$10:$G$195,2,FALSE)=N$23,Itinerario!T195," ")," ")</f>
        <v xml:space="preserve"> </v>
      </c>
      <c r="O195" s="44" t="str">
        <f>_xlfn.IFNA(IF(VLOOKUP($D195,Organización_Modular!$F$10:$G$195,2,FALSE)=O$23,Itinerario!W195," ")," ")</f>
        <v xml:space="preserve"> </v>
      </c>
      <c r="P195" s="44" t="str">
        <f>_xlfn.IFNA(IF(VLOOKUP($D195,Organización_Modular!$F$10:$G$195,2,FALSE)=P$23,Itinerario!T195," ")," ")</f>
        <v xml:space="preserve"> </v>
      </c>
      <c r="Q195" s="44" t="str">
        <f>_xlfn.IFNA(IF(VLOOKUP($D195,Organización_Modular!$F$10:$G$195,2,FALSE)=Q$23,Itinerario!W195," ")," ")</f>
        <v xml:space="preserve"> </v>
      </c>
      <c r="R195" s="44">
        <f>Organización_Modular!H181</f>
        <v>0</v>
      </c>
      <c r="S195" s="44">
        <f>Organización_Modular!I181</f>
        <v>0</v>
      </c>
      <c r="T195" s="82">
        <f t="shared" si="20"/>
        <v>0</v>
      </c>
      <c r="U195" s="44">
        <f t="shared" si="21"/>
        <v>0</v>
      </c>
      <c r="V195" s="44">
        <f t="shared" si="22"/>
        <v>0</v>
      </c>
      <c r="W195" s="82">
        <f t="shared" si="23"/>
        <v>0</v>
      </c>
      <c r="X195" s="87">
        <f t="shared" si="18"/>
        <v>0</v>
      </c>
    </row>
    <row r="196" spans="1:24" ht="18" hidden="1" customHeight="1" x14ac:dyDescent="0.2">
      <c r="A196" s="535"/>
      <c r="B196" s="397"/>
      <c r="C196" s="538"/>
      <c r="D196" s="537">
        <f>Organización_Modular!F182</f>
        <v>0</v>
      </c>
      <c r="E196" s="537"/>
      <c r="F196" s="44" t="str">
        <f>_xlfn.IFNA(IF(VLOOKUP($D196,Organización_Modular!$F$10:$G$195,2,FALSE)=F$23,Itinerario!T196," ")," ")</f>
        <v xml:space="preserve"> </v>
      </c>
      <c r="G196" s="44" t="str">
        <f>_xlfn.IFNA(IF(VLOOKUP($D196,Organización_Modular!$F$10:$G$195,2,FALSE)=G$23,Itinerario!W196," ")," ")</f>
        <v xml:space="preserve"> </v>
      </c>
      <c r="H196" s="44" t="str">
        <f>_xlfn.IFNA(IF(VLOOKUP($D196,Organización_Modular!$F$10:$G$195,2,FALSE)=H$23,Itinerario!T196," ")," ")</f>
        <v xml:space="preserve"> </v>
      </c>
      <c r="I196" s="44" t="str">
        <f>_xlfn.IFNA(IF(VLOOKUP($D196,Organización_Modular!$F$10:$G$195,2,FALSE)=I$23,Itinerario!W196," ")," ")</f>
        <v xml:space="preserve"> </v>
      </c>
      <c r="J196" s="44" t="str">
        <f>_xlfn.IFNA(IF(VLOOKUP($D196,Organización_Modular!$F$10:$G$195,2,FALSE)=J$23,Itinerario!T196," ")," ")</f>
        <v xml:space="preserve"> </v>
      </c>
      <c r="K196" s="44" t="str">
        <f>_xlfn.IFNA(IF(VLOOKUP($D196,Organización_Modular!$F$10:$G$195,2,FALSE)=K$23,Itinerario!W196," ")," ")</f>
        <v xml:space="preserve"> </v>
      </c>
      <c r="L196" s="44" t="str">
        <f>_xlfn.IFNA(IF(VLOOKUP($D196,Organización_Modular!$F$10:$G$195,2,FALSE)=L$23,Itinerario!T196," ")," ")</f>
        <v xml:space="preserve"> </v>
      </c>
      <c r="M196" s="44" t="str">
        <f>_xlfn.IFNA(IF(VLOOKUP($D196,Organización_Modular!$F$10:$G$195,2,FALSE)=M$23,Itinerario!W196," ")," ")</f>
        <v xml:space="preserve"> </v>
      </c>
      <c r="N196" s="44" t="str">
        <f>_xlfn.IFNA(IF(VLOOKUP($D196,Organización_Modular!$F$10:$G$195,2,FALSE)=N$23,Itinerario!T196," ")," ")</f>
        <v xml:space="preserve"> </v>
      </c>
      <c r="O196" s="44" t="str">
        <f>_xlfn.IFNA(IF(VLOOKUP($D196,Organización_Modular!$F$10:$G$195,2,FALSE)=O$23,Itinerario!W196," ")," ")</f>
        <v xml:space="preserve"> </v>
      </c>
      <c r="P196" s="44" t="str">
        <f>_xlfn.IFNA(IF(VLOOKUP($D196,Organización_Modular!$F$10:$G$195,2,FALSE)=P$23,Itinerario!T196," ")," ")</f>
        <v xml:space="preserve"> </v>
      </c>
      <c r="Q196" s="44" t="str">
        <f>_xlfn.IFNA(IF(VLOOKUP($D196,Organización_Modular!$F$10:$G$195,2,FALSE)=Q$23,Itinerario!W196," ")," ")</f>
        <v xml:space="preserve"> </v>
      </c>
      <c r="R196" s="44">
        <f>Organización_Modular!H182</f>
        <v>0</v>
      </c>
      <c r="S196" s="44">
        <f>Organización_Modular!I182</f>
        <v>0</v>
      </c>
      <c r="T196" s="82">
        <f t="shared" si="20"/>
        <v>0</v>
      </c>
      <c r="U196" s="44">
        <f t="shared" si="21"/>
        <v>0</v>
      </c>
      <c r="V196" s="44">
        <f t="shared" si="22"/>
        <v>0</v>
      </c>
      <c r="W196" s="82">
        <f t="shared" si="23"/>
        <v>0</v>
      </c>
      <c r="X196" s="87">
        <f t="shared" si="18"/>
        <v>0</v>
      </c>
    </row>
    <row r="197" spans="1:24" ht="18" hidden="1" customHeight="1" x14ac:dyDescent="0.2">
      <c r="A197" s="535"/>
      <c r="B197" s="397"/>
      <c r="C197" s="538"/>
      <c r="D197" s="537">
        <f>Organización_Modular!F183</f>
        <v>0</v>
      </c>
      <c r="E197" s="537"/>
      <c r="F197" s="44" t="str">
        <f>_xlfn.IFNA(IF(VLOOKUP($D197,Organización_Modular!$F$10:$G$195,2,FALSE)=F$23,Itinerario!T197," ")," ")</f>
        <v xml:space="preserve"> </v>
      </c>
      <c r="G197" s="44" t="str">
        <f>_xlfn.IFNA(IF(VLOOKUP($D197,Organización_Modular!$F$10:$G$195,2,FALSE)=G$23,Itinerario!W197," ")," ")</f>
        <v xml:space="preserve"> </v>
      </c>
      <c r="H197" s="44" t="str">
        <f>_xlfn.IFNA(IF(VLOOKUP($D197,Organización_Modular!$F$10:$G$195,2,FALSE)=H$23,Itinerario!T197," ")," ")</f>
        <v xml:space="preserve"> </v>
      </c>
      <c r="I197" s="44" t="str">
        <f>_xlfn.IFNA(IF(VLOOKUP($D197,Organización_Modular!$F$10:$G$195,2,FALSE)=I$23,Itinerario!W197," ")," ")</f>
        <v xml:space="preserve"> </v>
      </c>
      <c r="J197" s="44" t="str">
        <f>_xlfn.IFNA(IF(VLOOKUP($D197,Organización_Modular!$F$10:$G$195,2,FALSE)=J$23,Itinerario!T197," ")," ")</f>
        <v xml:space="preserve"> </v>
      </c>
      <c r="K197" s="44" t="str">
        <f>_xlfn.IFNA(IF(VLOOKUP($D197,Organización_Modular!$F$10:$G$195,2,FALSE)=K$23,Itinerario!W197," ")," ")</f>
        <v xml:space="preserve"> </v>
      </c>
      <c r="L197" s="44" t="str">
        <f>_xlfn.IFNA(IF(VLOOKUP($D197,Organización_Modular!$F$10:$G$195,2,FALSE)=L$23,Itinerario!T197," ")," ")</f>
        <v xml:space="preserve"> </v>
      </c>
      <c r="M197" s="44" t="str">
        <f>_xlfn.IFNA(IF(VLOOKUP($D197,Organización_Modular!$F$10:$G$195,2,FALSE)=M$23,Itinerario!W197," ")," ")</f>
        <v xml:space="preserve"> </v>
      </c>
      <c r="N197" s="44" t="str">
        <f>_xlfn.IFNA(IF(VLOOKUP($D197,Organización_Modular!$F$10:$G$195,2,FALSE)=N$23,Itinerario!T197," ")," ")</f>
        <v xml:space="preserve"> </v>
      </c>
      <c r="O197" s="44" t="str">
        <f>_xlfn.IFNA(IF(VLOOKUP($D197,Organización_Modular!$F$10:$G$195,2,FALSE)=O$23,Itinerario!W197," ")," ")</f>
        <v xml:space="preserve"> </v>
      </c>
      <c r="P197" s="44" t="str">
        <f>_xlfn.IFNA(IF(VLOOKUP($D197,Organización_Modular!$F$10:$G$195,2,FALSE)=P$23,Itinerario!T197," ")," ")</f>
        <v xml:space="preserve"> </v>
      </c>
      <c r="Q197" s="44" t="str">
        <f>_xlfn.IFNA(IF(VLOOKUP($D197,Organización_Modular!$F$10:$G$195,2,FALSE)=Q$23,Itinerario!W197," ")," ")</f>
        <v xml:space="preserve"> </v>
      </c>
      <c r="R197" s="44">
        <f>Organización_Modular!H183</f>
        <v>0</v>
      </c>
      <c r="S197" s="44">
        <f>Organización_Modular!I183</f>
        <v>0</v>
      </c>
      <c r="T197" s="82">
        <f t="shared" si="20"/>
        <v>0</v>
      </c>
      <c r="U197" s="44">
        <f t="shared" si="21"/>
        <v>0</v>
      </c>
      <c r="V197" s="44">
        <f t="shared" si="22"/>
        <v>0</v>
      </c>
      <c r="W197" s="82">
        <f t="shared" si="23"/>
        <v>0</v>
      </c>
      <c r="X197" s="87">
        <f t="shared" si="18"/>
        <v>0</v>
      </c>
    </row>
    <row r="198" spans="1:24" ht="18" hidden="1" customHeight="1" x14ac:dyDescent="0.2">
      <c r="A198" s="535"/>
      <c r="B198" s="397"/>
      <c r="C198" s="538"/>
      <c r="D198" s="537">
        <f>Organización_Modular!F184</f>
        <v>0</v>
      </c>
      <c r="E198" s="537"/>
      <c r="F198" s="44" t="str">
        <f>_xlfn.IFNA(IF(VLOOKUP($D198,Organización_Modular!$F$10:$G$195,2,FALSE)=F$23,Itinerario!T198," ")," ")</f>
        <v xml:space="preserve"> </v>
      </c>
      <c r="G198" s="44" t="str">
        <f>_xlfn.IFNA(IF(VLOOKUP($D198,Organización_Modular!$F$10:$G$195,2,FALSE)=G$23,Itinerario!W198," ")," ")</f>
        <v xml:space="preserve"> </v>
      </c>
      <c r="H198" s="44" t="str">
        <f>_xlfn.IFNA(IF(VLOOKUP($D198,Organización_Modular!$F$10:$G$195,2,FALSE)=H$23,Itinerario!T198," ")," ")</f>
        <v xml:space="preserve"> </v>
      </c>
      <c r="I198" s="44" t="str">
        <f>_xlfn.IFNA(IF(VLOOKUP($D198,Organización_Modular!$F$10:$G$195,2,FALSE)=I$23,Itinerario!W198," ")," ")</f>
        <v xml:space="preserve"> </v>
      </c>
      <c r="J198" s="44" t="str">
        <f>_xlfn.IFNA(IF(VLOOKUP($D198,Organización_Modular!$F$10:$G$195,2,FALSE)=J$23,Itinerario!T198," ")," ")</f>
        <v xml:space="preserve"> </v>
      </c>
      <c r="K198" s="44" t="str">
        <f>_xlfn.IFNA(IF(VLOOKUP($D198,Organización_Modular!$F$10:$G$195,2,FALSE)=K$23,Itinerario!W198," ")," ")</f>
        <v xml:space="preserve"> </v>
      </c>
      <c r="L198" s="44" t="str">
        <f>_xlfn.IFNA(IF(VLOOKUP($D198,Organización_Modular!$F$10:$G$195,2,FALSE)=L$23,Itinerario!T198," ")," ")</f>
        <v xml:space="preserve"> </v>
      </c>
      <c r="M198" s="44" t="str">
        <f>_xlfn.IFNA(IF(VLOOKUP($D198,Organización_Modular!$F$10:$G$195,2,FALSE)=M$23,Itinerario!W198," ")," ")</f>
        <v xml:space="preserve"> </v>
      </c>
      <c r="N198" s="44" t="str">
        <f>_xlfn.IFNA(IF(VLOOKUP($D198,Organización_Modular!$F$10:$G$195,2,FALSE)=N$23,Itinerario!T198," ")," ")</f>
        <v xml:space="preserve"> </v>
      </c>
      <c r="O198" s="44" t="str">
        <f>_xlfn.IFNA(IF(VLOOKUP($D198,Organización_Modular!$F$10:$G$195,2,FALSE)=O$23,Itinerario!W198," ")," ")</f>
        <v xml:space="preserve"> </v>
      </c>
      <c r="P198" s="44" t="str">
        <f>_xlfn.IFNA(IF(VLOOKUP($D198,Organización_Modular!$F$10:$G$195,2,FALSE)=P$23,Itinerario!T198," ")," ")</f>
        <v xml:space="preserve"> </v>
      </c>
      <c r="Q198" s="44" t="str">
        <f>_xlfn.IFNA(IF(VLOOKUP($D198,Organización_Modular!$F$10:$G$195,2,FALSE)=Q$23,Itinerario!W198," ")," ")</f>
        <v xml:space="preserve"> </v>
      </c>
      <c r="R198" s="44">
        <f>Organización_Modular!H184</f>
        <v>0</v>
      </c>
      <c r="S198" s="44">
        <f>Organización_Modular!I184</f>
        <v>0</v>
      </c>
      <c r="T198" s="82">
        <f t="shared" si="20"/>
        <v>0</v>
      </c>
      <c r="U198" s="44">
        <f t="shared" si="21"/>
        <v>0</v>
      </c>
      <c r="V198" s="44">
        <f t="shared" si="22"/>
        <v>0</v>
      </c>
      <c r="W198" s="82">
        <f t="shared" si="23"/>
        <v>0</v>
      </c>
      <c r="X198" s="87">
        <f t="shared" si="18"/>
        <v>0</v>
      </c>
    </row>
    <row r="199" spans="1:24" ht="18" hidden="1" customHeight="1" x14ac:dyDescent="0.2">
      <c r="A199" s="535"/>
      <c r="B199" s="398" t="str">
        <f>B44</f>
        <v>Competencias para la empleabilidad</v>
      </c>
      <c r="C199" s="538">
        <f>Organización_Modular!C185</f>
        <v>0</v>
      </c>
      <c r="D199" s="537">
        <f>Organización_Modular!F185</f>
        <v>0</v>
      </c>
      <c r="E199" s="537"/>
      <c r="F199" s="44" t="str">
        <f>_xlfn.IFNA(IF(VLOOKUP($D199,Organización_Modular!$F$10:$G$195,2,FALSE)=F$23,Itinerario!T199," ")," ")</f>
        <v xml:space="preserve"> </v>
      </c>
      <c r="G199" s="44" t="str">
        <f>_xlfn.IFNA(IF(VLOOKUP($D199,Organización_Modular!$F$10:$G$195,2,FALSE)=G$23,Itinerario!W199," ")," ")</f>
        <v xml:space="preserve"> </v>
      </c>
      <c r="H199" s="44" t="str">
        <f>_xlfn.IFNA(IF(VLOOKUP($D199,Organización_Modular!$F$10:$G$195,2,FALSE)=H$23,Itinerario!T199," ")," ")</f>
        <v xml:space="preserve"> </v>
      </c>
      <c r="I199" s="44" t="str">
        <f>_xlfn.IFNA(IF(VLOOKUP($D199,Organización_Modular!$F$10:$G$195,2,FALSE)=I$23,Itinerario!W199," ")," ")</f>
        <v xml:space="preserve"> </v>
      </c>
      <c r="J199" s="44" t="str">
        <f>_xlfn.IFNA(IF(VLOOKUP($D199,Organización_Modular!$F$10:$G$195,2,FALSE)=J$23,Itinerario!T199," ")," ")</f>
        <v xml:space="preserve"> </v>
      </c>
      <c r="K199" s="44" t="str">
        <f>_xlfn.IFNA(IF(VLOOKUP($D199,Organización_Modular!$F$10:$G$195,2,FALSE)=K$23,Itinerario!W199," ")," ")</f>
        <v xml:space="preserve"> </v>
      </c>
      <c r="L199" s="44" t="str">
        <f>_xlfn.IFNA(IF(VLOOKUP($D199,Organización_Modular!$F$10:$G$195,2,FALSE)=L$23,Itinerario!T199," ")," ")</f>
        <v xml:space="preserve"> </v>
      </c>
      <c r="M199" s="44" t="str">
        <f>_xlfn.IFNA(IF(VLOOKUP($D199,Organización_Modular!$F$10:$G$195,2,FALSE)=M$23,Itinerario!W199," ")," ")</f>
        <v xml:space="preserve"> </v>
      </c>
      <c r="N199" s="44" t="str">
        <f>_xlfn.IFNA(IF(VLOOKUP($D199,Organización_Modular!$F$10:$G$195,2,FALSE)=N$23,Itinerario!T199," ")," ")</f>
        <v xml:space="preserve"> </v>
      </c>
      <c r="O199" s="44" t="str">
        <f>_xlfn.IFNA(IF(VLOOKUP($D199,Organización_Modular!$F$10:$G$195,2,FALSE)=O$23,Itinerario!W199," ")," ")</f>
        <v xml:space="preserve"> </v>
      </c>
      <c r="P199" s="44" t="str">
        <f>_xlfn.IFNA(IF(VLOOKUP($D199,Organización_Modular!$F$10:$G$195,2,FALSE)=P$23,Itinerario!T199," ")," ")</f>
        <v xml:space="preserve"> </v>
      </c>
      <c r="Q199" s="44" t="str">
        <f>_xlfn.IFNA(IF(VLOOKUP($D199,Organización_Modular!$F$10:$G$195,2,FALSE)=Q$23,Itinerario!W199," ")," ")</f>
        <v xml:space="preserve"> </v>
      </c>
      <c r="R199" s="44">
        <f>Organización_Modular!H185</f>
        <v>0</v>
      </c>
      <c r="S199" s="44">
        <f>Organización_Modular!I185</f>
        <v>0</v>
      </c>
      <c r="T199" s="82">
        <f t="shared" si="20"/>
        <v>0</v>
      </c>
      <c r="U199" s="44">
        <f t="shared" si="21"/>
        <v>0</v>
      </c>
      <c r="V199" s="44">
        <f t="shared" si="22"/>
        <v>0</v>
      </c>
      <c r="W199" s="82">
        <f t="shared" si="23"/>
        <v>0</v>
      </c>
      <c r="X199" s="87">
        <f t="shared" si="18"/>
        <v>0</v>
      </c>
    </row>
    <row r="200" spans="1:24" ht="18" hidden="1" customHeight="1" x14ac:dyDescent="0.2">
      <c r="A200" s="535"/>
      <c r="B200" s="398"/>
      <c r="C200" s="538"/>
      <c r="D200" s="537">
        <f>Organización_Modular!F186</f>
        <v>0</v>
      </c>
      <c r="E200" s="537"/>
      <c r="F200" s="44" t="str">
        <f>_xlfn.IFNA(IF(VLOOKUP($D200,Organización_Modular!$F$10:$G$195,2,FALSE)=F$23,Itinerario!T200," ")," ")</f>
        <v xml:space="preserve"> </v>
      </c>
      <c r="G200" s="44" t="str">
        <f>_xlfn.IFNA(IF(VLOOKUP($D200,Organización_Modular!$F$10:$G$195,2,FALSE)=G$23,Itinerario!W200," ")," ")</f>
        <v xml:space="preserve"> </v>
      </c>
      <c r="H200" s="44" t="str">
        <f>_xlfn.IFNA(IF(VLOOKUP($D200,Organización_Modular!$F$10:$G$195,2,FALSE)=H$23,Itinerario!T200," ")," ")</f>
        <v xml:space="preserve"> </v>
      </c>
      <c r="I200" s="44" t="str">
        <f>_xlfn.IFNA(IF(VLOOKUP($D200,Organización_Modular!$F$10:$G$195,2,FALSE)=I$23,Itinerario!W200," ")," ")</f>
        <v xml:space="preserve"> </v>
      </c>
      <c r="J200" s="44" t="str">
        <f>_xlfn.IFNA(IF(VLOOKUP($D200,Organización_Modular!$F$10:$G$195,2,FALSE)=J$23,Itinerario!T200," ")," ")</f>
        <v xml:space="preserve"> </v>
      </c>
      <c r="K200" s="44" t="str">
        <f>_xlfn.IFNA(IF(VLOOKUP($D200,Organización_Modular!$F$10:$G$195,2,FALSE)=K$23,Itinerario!W200," ")," ")</f>
        <v xml:space="preserve"> </v>
      </c>
      <c r="L200" s="44" t="str">
        <f>_xlfn.IFNA(IF(VLOOKUP($D200,Organización_Modular!$F$10:$G$195,2,FALSE)=L$23,Itinerario!T200," ")," ")</f>
        <v xml:space="preserve"> </v>
      </c>
      <c r="M200" s="44" t="str">
        <f>_xlfn.IFNA(IF(VLOOKUP($D200,Organización_Modular!$F$10:$G$195,2,FALSE)=M$23,Itinerario!W200," ")," ")</f>
        <v xml:space="preserve"> </v>
      </c>
      <c r="N200" s="44" t="str">
        <f>_xlfn.IFNA(IF(VLOOKUP($D200,Organización_Modular!$F$10:$G$195,2,FALSE)=N$23,Itinerario!T200," ")," ")</f>
        <v xml:space="preserve"> </v>
      </c>
      <c r="O200" s="44" t="str">
        <f>_xlfn.IFNA(IF(VLOOKUP($D200,Organización_Modular!$F$10:$G$195,2,FALSE)=O$23,Itinerario!W200," ")," ")</f>
        <v xml:space="preserve"> </v>
      </c>
      <c r="P200" s="44" t="str">
        <f>_xlfn.IFNA(IF(VLOOKUP($D200,Organización_Modular!$F$10:$G$195,2,FALSE)=P$23,Itinerario!T200," ")," ")</f>
        <v xml:space="preserve"> </v>
      </c>
      <c r="Q200" s="44" t="str">
        <f>_xlfn.IFNA(IF(VLOOKUP($D200,Organización_Modular!$F$10:$G$195,2,FALSE)=Q$23,Itinerario!W200," ")," ")</f>
        <v xml:space="preserve"> </v>
      </c>
      <c r="R200" s="44">
        <f>Organización_Modular!H186</f>
        <v>0</v>
      </c>
      <c r="S200" s="44">
        <f>Organización_Modular!I186</f>
        <v>0</v>
      </c>
      <c r="T200" s="82">
        <f t="shared" si="20"/>
        <v>0</v>
      </c>
      <c r="U200" s="44">
        <f t="shared" si="21"/>
        <v>0</v>
      </c>
      <c r="V200" s="44">
        <f t="shared" si="22"/>
        <v>0</v>
      </c>
      <c r="W200" s="82">
        <f t="shared" si="23"/>
        <v>0</v>
      </c>
      <c r="X200" s="87">
        <f t="shared" si="18"/>
        <v>0</v>
      </c>
    </row>
    <row r="201" spans="1:24" ht="18" hidden="1" customHeight="1" x14ac:dyDescent="0.2">
      <c r="A201" s="535"/>
      <c r="B201" s="398"/>
      <c r="C201" s="538"/>
      <c r="D201" s="537">
        <f>Organización_Modular!F187</f>
        <v>0</v>
      </c>
      <c r="E201" s="537"/>
      <c r="F201" s="44" t="str">
        <f>_xlfn.IFNA(IF(VLOOKUP($D201,Organización_Modular!$F$10:$G$195,2,FALSE)=F$23,Itinerario!T201," ")," ")</f>
        <v xml:space="preserve"> </v>
      </c>
      <c r="G201" s="44" t="str">
        <f>_xlfn.IFNA(IF(VLOOKUP($D201,Organización_Modular!$F$10:$G$195,2,FALSE)=G$23,Itinerario!W201," ")," ")</f>
        <v xml:space="preserve"> </v>
      </c>
      <c r="H201" s="44" t="str">
        <f>_xlfn.IFNA(IF(VLOOKUP($D201,Organización_Modular!$F$10:$G$195,2,FALSE)=H$23,Itinerario!T201," ")," ")</f>
        <v xml:space="preserve"> </v>
      </c>
      <c r="I201" s="44" t="str">
        <f>_xlfn.IFNA(IF(VLOOKUP($D201,Organización_Modular!$F$10:$G$195,2,FALSE)=I$23,Itinerario!W201," ")," ")</f>
        <v xml:space="preserve"> </v>
      </c>
      <c r="J201" s="44" t="str">
        <f>_xlfn.IFNA(IF(VLOOKUP($D201,Organización_Modular!$F$10:$G$195,2,FALSE)=J$23,Itinerario!T201," ")," ")</f>
        <v xml:space="preserve"> </v>
      </c>
      <c r="K201" s="44" t="str">
        <f>_xlfn.IFNA(IF(VLOOKUP($D201,Organización_Modular!$F$10:$G$195,2,FALSE)=K$23,Itinerario!W201," ")," ")</f>
        <v xml:space="preserve"> </v>
      </c>
      <c r="L201" s="44" t="str">
        <f>_xlfn.IFNA(IF(VLOOKUP($D201,Organización_Modular!$F$10:$G$195,2,FALSE)=L$23,Itinerario!T201," ")," ")</f>
        <v xml:space="preserve"> </v>
      </c>
      <c r="M201" s="44" t="str">
        <f>_xlfn.IFNA(IF(VLOOKUP($D201,Organización_Modular!$F$10:$G$195,2,FALSE)=M$23,Itinerario!W201," ")," ")</f>
        <v xml:space="preserve"> </v>
      </c>
      <c r="N201" s="44" t="str">
        <f>_xlfn.IFNA(IF(VLOOKUP($D201,Organización_Modular!$F$10:$G$195,2,FALSE)=N$23,Itinerario!T201," ")," ")</f>
        <v xml:space="preserve"> </v>
      </c>
      <c r="O201" s="44" t="str">
        <f>_xlfn.IFNA(IF(VLOOKUP($D201,Organización_Modular!$F$10:$G$195,2,FALSE)=O$23,Itinerario!W201," ")," ")</f>
        <v xml:space="preserve"> </v>
      </c>
      <c r="P201" s="44" t="str">
        <f>_xlfn.IFNA(IF(VLOOKUP($D201,Organización_Modular!$F$10:$G$195,2,FALSE)=P$23,Itinerario!T201," ")," ")</f>
        <v xml:space="preserve"> </v>
      </c>
      <c r="Q201" s="44" t="str">
        <f>_xlfn.IFNA(IF(VLOOKUP($D201,Organización_Modular!$F$10:$G$195,2,FALSE)=Q$23,Itinerario!W201," ")," ")</f>
        <v xml:space="preserve"> </v>
      </c>
      <c r="R201" s="44">
        <f>Organización_Modular!H187</f>
        <v>0</v>
      </c>
      <c r="S201" s="44">
        <f>Organización_Modular!I187</f>
        <v>0</v>
      </c>
      <c r="T201" s="82">
        <f t="shared" si="20"/>
        <v>0</v>
      </c>
      <c r="U201" s="44">
        <f t="shared" si="21"/>
        <v>0</v>
      </c>
      <c r="V201" s="44">
        <f t="shared" si="22"/>
        <v>0</v>
      </c>
      <c r="W201" s="82">
        <f t="shared" si="23"/>
        <v>0</v>
      </c>
      <c r="X201" s="87">
        <f t="shared" si="18"/>
        <v>0</v>
      </c>
    </row>
    <row r="202" spans="1:24" ht="18" hidden="1" customHeight="1" x14ac:dyDescent="0.2">
      <c r="A202" s="535"/>
      <c r="B202" s="398"/>
      <c r="C202" s="538"/>
      <c r="D202" s="537">
        <f>Organización_Modular!F188</f>
        <v>0</v>
      </c>
      <c r="E202" s="537"/>
      <c r="F202" s="44" t="str">
        <f>_xlfn.IFNA(IF(VLOOKUP($D202,Organización_Modular!$F$10:$G$195,2,FALSE)=F$23,Itinerario!T202," ")," ")</f>
        <v xml:space="preserve"> </v>
      </c>
      <c r="G202" s="44" t="str">
        <f>_xlfn.IFNA(IF(VLOOKUP($D202,Organización_Modular!$F$10:$G$195,2,FALSE)=G$23,Itinerario!W202," ")," ")</f>
        <v xml:space="preserve"> </v>
      </c>
      <c r="H202" s="44" t="str">
        <f>_xlfn.IFNA(IF(VLOOKUP($D202,Organización_Modular!$F$10:$G$195,2,FALSE)=H$23,Itinerario!T202," ")," ")</f>
        <v xml:space="preserve"> </v>
      </c>
      <c r="I202" s="44" t="str">
        <f>_xlfn.IFNA(IF(VLOOKUP($D202,Organización_Modular!$F$10:$G$195,2,FALSE)=I$23,Itinerario!W202," ")," ")</f>
        <v xml:space="preserve"> </v>
      </c>
      <c r="J202" s="44" t="str">
        <f>_xlfn.IFNA(IF(VLOOKUP($D202,Organización_Modular!$F$10:$G$195,2,FALSE)=J$23,Itinerario!T202," ")," ")</f>
        <v xml:space="preserve"> </v>
      </c>
      <c r="K202" s="44" t="str">
        <f>_xlfn.IFNA(IF(VLOOKUP($D202,Organización_Modular!$F$10:$G$195,2,FALSE)=K$23,Itinerario!W202," ")," ")</f>
        <v xml:space="preserve"> </v>
      </c>
      <c r="L202" s="44" t="str">
        <f>_xlfn.IFNA(IF(VLOOKUP($D202,Organización_Modular!$F$10:$G$195,2,FALSE)=L$23,Itinerario!T202," ")," ")</f>
        <v xml:space="preserve"> </v>
      </c>
      <c r="M202" s="44" t="str">
        <f>_xlfn.IFNA(IF(VLOOKUP($D202,Organización_Modular!$F$10:$G$195,2,FALSE)=M$23,Itinerario!W202," ")," ")</f>
        <v xml:space="preserve"> </v>
      </c>
      <c r="N202" s="44" t="str">
        <f>_xlfn.IFNA(IF(VLOOKUP($D202,Organización_Modular!$F$10:$G$195,2,FALSE)=N$23,Itinerario!T202," ")," ")</f>
        <v xml:space="preserve"> </v>
      </c>
      <c r="O202" s="44" t="str">
        <f>_xlfn.IFNA(IF(VLOOKUP($D202,Organización_Modular!$F$10:$G$195,2,FALSE)=O$23,Itinerario!W202," ")," ")</f>
        <v xml:space="preserve"> </v>
      </c>
      <c r="P202" s="44" t="str">
        <f>_xlfn.IFNA(IF(VLOOKUP($D202,Organización_Modular!$F$10:$G$195,2,FALSE)=P$23,Itinerario!T202," ")," ")</f>
        <v xml:space="preserve"> </v>
      </c>
      <c r="Q202" s="44" t="str">
        <f>_xlfn.IFNA(IF(VLOOKUP($D202,Organización_Modular!$F$10:$G$195,2,FALSE)=Q$23,Itinerario!W202," ")," ")</f>
        <v xml:space="preserve"> </v>
      </c>
      <c r="R202" s="44">
        <f>Organización_Modular!H188</f>
        <v>0</v>
      </c>
      <c r="S202" s="44">
        <f>Organización_Modular!I188</f>
        <v>0</v>
      </c>
      <c r="T202" s="82">
        <f t="shared" si="20"/>
        <v>0</v>
      </c>
      <c r="U202" s="44">
        <f t="shared" si="21"/>
        <v>0</v>
      </c>
      <c r="V202" s="44">
        <f t="shared" si="22"/>
        <v>0</v>
      </c>
      <c r="W202" s="82">
        <f t="shared" si="23"/>
        <v>0</v>
      </c>
      <c r="X202" s="87">
        <f t="shared" si="18"/>
        <v>0</v>
      </c>
    </row>
    <row r="203" spans="1:24" ht="18" hidden="1" customHeight="1" x14ac:dyDescent="0.2">
      <c r="A203" s="535"/>
      <c r="B203" s="398"/>
      <c r="C203" s="538"/>
      <c r="D203" s="537">
        <f>Organización_Modular!F189</f>
        <v>0</v>
      </c>
      <c r="E203" s="537"/>
      <c r="F203" s="44" t="str">
        <f>_xlfn.IFNA(IF(VLOOKUP($D203,Organización_Modular!$F$10:$G$195,2,FALSE)=F$23,Itinerario!T203," ")," ")</f>
        <v xml:space="preserve"> </v>
      </c>
      <c r="G203" s="44" t="str">
        <f>_xlfn.IFNA(IF(VLOOKUP($D203,Organización_Modular!$F$10:$G$195,2,FALSE)=G$23,Itinerario!W203," ")," ")</f>
        <v xml:space="preserve"> </v>
      </c>
      <c r="H203" s="44" t="str">
        <f>_xlfn.IFNA(IF(VLOOKUP($D203,Organización_Modular!$F$10:$G$195,2,FALSE)=H$23,Itinerario!T203," ")," ")</f>
        <v xml:space="preserve"> </v>
      </c>
      <c r="I203" s="44" t="str">
        <f>_xlfn.IFNA(IF(VLOOKUP($D203,Organización_Modular!$F$10:$G$195,2,FALSE)=I$23,Itinerario!W203," ")," ")</f>
        <v xml:space="preserve"> </v>
      </c>
      <c r="J203" s="44" t="str">
        <f>_xlfn.IFNA(IF(VLOOKUP($D203,Organización_Modular!$F$10:$G$195,2,FALSE)=J$23,Itinerario!T203," ")," ")</f>
        <v xml:space="preserve"> </v>
      </c>
      <c r="K203" s="44" t="str">
        <f>_xlfn.IFNA(IF(VLOOKUP($D203,Organización_Modular!$F$10:$G$195,2,FALSE)=K$23,Itinerario!W203," ")," ")</f>
        <v xml:space="preserve"> </v>
      </c>
      <c r="L203" s="44" t="str">
        <f>_xlfn.IFNA(IF(VLOOKUP($D203,Organización_Modular!$F$10:$G$195,2,FALSE)=L$23,Itinerario!T203," ")," ")</f>
        <v xml:space="preserve"> </v>
      </c>
      <c r="M203" s="44" t="str">
        <f>_xlfn.IFNA(IF(VLOOKUP($D203,Organización_Modular!$F$10:$G$195,2,FALSE)=M$23,Itinerario!W203," ")," ")</f>
        <v xml:space="preserve"> </v>
      </c>
      <c r="N203" s="44" t="str">
        <f>_xlfn.IFNA(IF(VLOOKUP($D203,Organización_Modular!$F$10:$G$195,2,FALSE)=N$23,Itinerario!T203," ")," ")</f>
        <v xml:space="preserve"> </v>
      </c>
      <c r="O203" s="44" t="str">
        <f>_xlfn.IFNA(IF(VLOOKUP($D203,Organización_Modular!$F$10:$G$195,2,FALSE)=O$23,Itinerario!W203," ")," ")</f>
        <v xml:space="preserve"> </v>
      </c>
      <c r="P203" s="44" t="str">
        <f>_xlfn.IFNA(IF(VLOOKUP($D203,Organización_Modular!$F$10:$G$195,2,FALSE)=P$23,Itinerario!T203," ")," ")</f>
        <v xml:space="preserve"> </v>
      </c>
      <c r="Q203" s="44" t="str">
        <f>_xlfn.IFNA(IF(VLOOKUP($D203,Organización_Modular!$F$10:$G$195,2,FALSE)=Q$23,Itinerario!W203," ")," ")</f>
        <v xml:space="preserve"> </v>
      </c>
      <c r="R203" s="44">
        <f>Organización_Modular!H189</f>
        <v>0</v>
      </c>
      <c r="S203" s="44">
        <f>Organización_Modular!I189</f>
        <v>0</v>
      </c>
      <c r="T203" s="82">
        <f t="shared" si="20"/>
        <v>0</v>
      </c>
      <c r="U203" s="44">
        <f t="shared" si="21"/>
        <v>0</v>
      </c>
      <c r="V203" s="44">
        <f t="shared" si="22"/>
        <v>0</v>
      </c>
      <c r="W203" s="82">
        <f t="shared" si="23"/>
        <v>0</v>
      </c>
      <c r="X203" s="87">
        <f t="shared" si="18"/>
        <v>0</v>
      </c>
    </row>
    <row r="204" spans="1:24" ht="18" hidden="1" customHeight="1" x14ac:dyDescent="0.2">
      <c r="A204" s="535"/>
      <c r="B204" s="398"/>
      <c r="C204" s="538"/>
      <c r="D204" s="537">
        <f>Organización_Modular!F190</f>
        <v>0</v>
      </c>
      <c r="E204" s="537"/>
      <c r="F204" s="44" t="str">
        <f>_xlfn.IFNA(IF(VLOOKUP($D204,Organización_Modular!$F$10:$G$195,2,FALSE)=F$23,Itinerario!T204," ")," ")</f>
        <v xml:space="preserve"> </v>
      </c>
      <c r="G204" s="44" t="str">
        <f>_xlfn.IFNA(IF(VLOOKUP($D204,Organización_Modular!$F$10:$G$195,2,FALSE)=G$23,Itinerario!W204," ")," ")</f>
        <v xml:space="preserve"> </v>
      </c>
      <c r="H204" s="44" t="str">
        <f>_xlfn.IFNA(IF(VLOOKUP($D204,Organización_Modular!$F$10:$G$195,2,FALSE)=H$23,Itinerario!T204," ")," ")</f>
        <v xml:space="preserve"> </v>
      </c>
      <c r="I204" s="44" t="str">
        <f>_xlfn.IFNA(IF(VLOOKUP($D204,Organización_Modular!$F$10:$G$195,2,FALSE)=I$23,Itinerario!W204," ")," ")</f>
        <v xml:space="preserve"> </v>
      </c>
      <c r="J204" s="44" t="str">
        <f>_xlfn.IFNA(IF(VLOOKUP($D204,Organización_Modular!$F$10:$G$195,2,FALSE)=J$23,Itinerario!T204," ")," ")</f>
        <v xml:space="preserve"> </v>
      </c>
      <c r="K204" s="44" t="str">
        <f>_xlfn.IFNA(IF(VLOOKUP($D204,Organización_Modular!$F$10:$G$195,2,FALSE)=K$23,Itinerario!W204," ")," ")</f>
        <v xml:space="preserve"> </v>
      </c>
      <c r="L204" s="44" t="str">
        <f>_xlfn.IFNA(IF(VLOOKUP($D204,Organización_Modular!$F$10:$G$195,2,FALSE)=L$23,Itinerario!T204," ")," ")</f>
        <v xml:space="preserve"> </v>
      </c>
      <c r="M204" s="44" t="str">
        <f>_xlfn.IFNA(IF(VLOOKUP($D204,Organización_Modular!$F$10:$G$195,2,FALSE)=M$23,Itinerario!W204," ")," ")</f>
        <v xml:space="preserve"> </v>
      </c>
      <c r="N204" s="44" t="str">
        <f>_xlfn.IFNA(IF(VLOOKUP($D204,Organización_Modular!$F$10:$G$195,2,FALSE)=N$23,Itinerario!T204," ")," ")</f>
        <v xml:space="preserve"> </v>
      </c>
      <c r="O204" s="44" t="str">
        <f>_xlfn.IFNA(IF(VLOOKUP($D204,Organización_Modular!$F$10:$G$195,2,FALSE)=O$23,Itinerario!W204," ")," ")</f>
        <v xml:space="preserve"> </v>
      </c>
      <c r="P204" s="44" t="str">
        <f>_xlfn.IFNA(IF(VLOOKUP($D204,Organización_Modular!$F$10:$G$195,2,FALSE)=P$23,Itinerario!T204," ")," ")</f>
        <v xml:space="preserve"> </v>
      </c>
      <c r="Q204" s="44" t="str">
        <f>_xlfn.IFNA(IF(VLOOKUP($D204,Organización_Modular!$F$10:$G$195,2,FALSE)=Q$23,Itinerario!W204," ")," ")</f>
        <v xml:space="preserve"> </v>
      </c>
      <c r="R204" s="44">
        <f>Organización_Modular!H190</f>
        <v>0</v>
      </c>
      <c r="S204" s="44">
        <f>Organización_Modular!I190</f>
        <v>0</v>
      </c>
      <c r="T204" s="82">
        <f t="shared" si="20"/>
        <v>0</v>
      </c>
      <c r="U204" s="44">
        <f t="shared" si="21"/>
        <v>0</v>
      </c>
      <c r="V204" s="44">
        <f t="shared" si="22"/>
        <v>0</v>
      </c>
      <c r="W204" s="82">
        <f t="shared" si="23"/>
        <v>0</v>
      </c>
      <c r="X204" s="87">
        <f t="shared" si="18"/>
        <v>0</v>
      </c>
    </row>
    <row r="205" spans="1:24" ht="18" hidden="1" customHeight="1" x14ac:dyDescent="0.2">
      <c r="A205" s="535"/>
      <c r="B205" s="398"/>
      <c r="C205" s="538"/>
      <c r="D205" s="537">
        <f>Organización_Modular!F191</f>
        <v>0</v>
      </c>
      <c r="E205" s="537"/>
      <c r="F205" s="44" t="str">
        <f>_xlfn.IFNA(IF(VLOOKUP($D205,Organización_Modular!$F$10:$G$195,2,FALSE)=F$23,Itinerario!T205," ")," ")</f>
        <v xml:space="preserve"> </v>
      </c>
      <c r="G205" s="44" t="str">
        <f>_xlfn.IFNA(IF(VLOOKUP($D205,Organización_Modular!$F$10:$G$195,2,FALSE)=G$23,Itinerario!W205," ")," ")</f>
        <v xml:space="preserve"> </v>
      </c>
      <c r="H205" s="44" t="str">
        <f>_xlfn.IFNA(IF(VLOOKUP($D205,Organización_Modular!$F$10:$G$195,2,FALSE)=H$23,Itinerario!T205," ")," ")</f>
        <v xml:space="preserve"> </v>
      </c>
      <c r="I205" s="44" t="str">
        <f>_xlfn.IFNA(IF(VLOOKUP($D205,Organización_Modular!$F$10:$G$195,2,FALSE)=I$23,Itinerario!W205," ")," ")</f>
        <v xml:space="preserve"> </v>
      </c>
      <c r="J205" s="44" t="str">
        <f>_xlfn.IFNA(IF(VLOOKUP($D205,Organización_Modular!$F$10:$G$195,2,FALSE)=J$23,Itinerario!T205," ")," ")</f>
        <v xml:space="preserve"> </v>
      </c>
      <c r="K205" s="44" t="str">
        <f>_xlfn.IFNA(IF(VLOOKUP($D205,Organización_Modular!$F$10:$G$195,2,FALSE)=K$23,Itinerario!W205," ")," ")</f>
        <v xml:space="preserve"> </v>
      </c>
      <c r="L205" s="44" t="str">
        <f>_xlfn.IFNA(IF(VLOOKUP($D205,Organización_Modular!$F$10:$G$195,2,FALSE)=L$23,Itinerario!T205," ")," ")</f>
        <v xml:space="preserve"> </v>
      </c>
      <c r="M205" s="44" t="str">
        <f>_xlfn.IFNA(IF(VLOOKUP($D205,Organización_Modular!$F$10:$G$195,2,FALSE)=M$23,Itinerario!W205," ")," ")</f>
        <v xml:space="preserve"> </v>
      </c>
      <c r="N205" s="44" t="str">
        <f>_xlfn.IFNA(IF(VLOOKUP($D205,Organización_Modular!$F$10:$G$195,2,FALSE)=N$23,Itinerario!T205," ")," ")</f>
        <v xml:space="preserve"> </v>
      </c>
      <c r="O205" s="44" t="str">
        <f>_xlfn.IFNA(IF(VLOOKUP($D205,Organización_Modular!$F$10:$G$195,2,FALSE)=O$23,Itinerario!W205," ")," ")</f>
        <v xml:space="preserve"> </v>
      </c>
      <c r="P205" s="44" t="str">
        <f>_xlfn.IFNA(IF(VLOOKUP($D205,Organización_Modular!$F$10:$G$195,2,FALSE)=P$23,Itinerario!T205," ")," ")</f>
        <v xml:space="preserve"> </v>
      </c>
      <c r="Q205" s="44" t="str">
        <f>_xlfn.IFNA(IF(VLOOKUP($D205,Organización_Modular!$F$10:$G$195,2,FALSE)=Q$23,Itinerario!W205," ")," ")</f>
        <v xml:space="preserve"> </v>
      </c>
      <c r="R205" s="44">
        <f>Organización_Modular!H191</f>
        <v>0</v>
      </c>
      <c r="S205" s="44">
        <f>Organización_Modular!I191</f>
        <v>0</v>
      </c>
      <c r="T205" s="82">
        <f t="shared" si="20"/>
        <v>0</v>
      </c>
      <c r="U205" s="44">
        <f t="shared" si="21"/>
        <v>0</v>
      </c>
      <c r="V205" s="44">
        <f t="shared" si="22"/>
        <v>0</v>
      </c>
      <c r="W205" s="82">
        <f t="shared" si="23"/>
        <v>0</v>
      </c>
      <c r="X205" s="87">
        <f t="shared" si="18"/>
        <v>0</v>
      </c>
    </row>
    <row r="206" spans="1:24" ht="18" hidden="1" customHeight="1" x14ac:dyDescent="0.2">
      <c r="A206" s="535"/>
      <c r="B206" s="398"/>
      <c r="C206" s="538"/>
      <c r="D206" s="537">
        <f>Organización_Modular!F192</f>
        <v>0</v>
      </c>
      <c r="E206" s="537"/>
      <c r="F206" s="44" t="str">
        <f>_xlfn.IFNA(IF(VLOOKUP($D206,Organización_Modular!$F$10:$G$195,2,FALSE)=F$23,Itinerario!T206," ")," ")</f>
        <v xml:space="preserve"> </v>
      </c>
      <c r="G206" s="44" t="str">
        <f>_xlfn.IFNA(IF(VLOOKUP($D206,Organización_Modular!$F$10:$G$195,2,FALSE)=G$23,Itinerario!W206," ")," ")</f>
        <v xml:space="preserve"> </v>
      </c>
      <c r="H206" s="44" t="str">
        <f>_xlfn.IFNA(IF(VLOOKUP($D206,Organización_Modular!$F$10:$G$195,2,FALSE)=H$23,Itinerario!T206," ")," ")</f>
        <v xml:space="preserve"> </v>
      </c>
      <c r="I206" s="44" t="str">
        <f>_xlfn.IFNA(IF(VLOOKUP($D206,Organización_Modular!$F$10:$G$195,2,FALSE)=I$23,Itinerario!W206," ")," ")</f>
        <v xml:space="preserve"> </v>
      </c>
      <c r="J206" s="44" t="str">
        <f>_xlfn.IFNA(IF(VLOOKUP($D206,Organización_Modular!$F$10:$G$195,2,FALSE)=J$23,Itinerario!T206," ")," ")</f>
        <v xml:space="preserve"> </v>
      </c>
      <c r="K206" s="44" t="str">
        <f>_xlfn.IFNA(IF(VLOOKUP($D206,Organización_Modular!$F$10:$G$195,2,FALSE)=K$23,Itinerario!W206," ")," ")</f>
        <v xml:space="preserve"> </v>
      </c>
      <c r="L206" s="44" t="str">
        <f>_xlfn.IFNA(IF(VLOOKUP($D206,Organización_Modular!$F$10:$G$195,2,FALSE)=L$23,Itinerario!T206," ")," ")</f>
        <v xml:space="preserve"> </v>
      </c>
      <c r="M206" s="44" t="str">
        <f>_xlfn.IFNA(IF(VLOOKUP($D206,Organización_Modular!$F$10:$G$195,2,FALSE)=M$23,Itinerario!W206," ")," ")</f>
        <v xml:space="preserve"> </v>
      </c>
      <c r="N206" s="44" t="str">
        <f>_xlfn.IFNA(IF(VLOOKUP($D206,Organización_Modular!$F$10:$G$195,2,FALSE)=N$23,Itinerario!T206," ")," ")</f>
        <v xml:space="preserve"> </v>
      </c>
      <c r="O206" s="44" t="str">
        <f>_xlfn.IFNA(IF(VLOOKUP($D206,Organización_Modular!$F$10:$G$195,2,FALSE)=O$23,Itinerario!W206," ")," ")</f>
        <v xml:space="preserve"> </v>
      </c>
      <c r="P206" s="44" t="str">
        <f>_xlfn.IFNA(IF(VLOOKUP($D206,Organización_Modular!$F$10:$G$195,2,FALSE)=P$23,Itinerario!T206," ")," ")</f>
        <v xml:space="preserve"> </v>
      </c>
      <c r="Q206" s="44" t="str">
        <f>_xlfn.IFNA(IF(VLOOKUP($D206,Organización_Modular!$F$10:$G$195,2,FALSE)=Q$23,Itinerario!W206," ")," ")</f>
        <v xml:space="preserve"> </v>
      </c>
      <c r="R206" s="44">
        <f>Organización_Modular!H192</f>
        <v>0</v>
      </c>
      <c r="S206" s="44">
        <f>Organización_Modular!I192</f>
        <v>0</v>
      </c>
      <c r="T206" s="82">
        <f t="shared" si="20"/>
        <v>0</v>
      </c>
      <c r="U206" s="44">
        <f t="shared" si="21"/>
        <v>0</v>
      </c>
      <c r="V206" s="44">
        <f t="shared" si="22"/>
        <v>0</v>
      </c>
      <c r="W206" s="82">
        <f t="shared" si="23"/>
        <v>0</v>
      </c>
      <c r="X206" s="87">
        <f t="shared" si="18"/>
        <v>0</v>
      </c>
    </row>
    <row r="207" spans="1:24" ht="18" hidden="1" customHeight="1" x14ac:dyDescent="0.2">
      <c r="A207" s="535"/>
      <c r="B207" s="398"/>
      <c r="C207" s="538"/>
      <c r="D207" s="537">
        <f>Organización_Modular!F193</f>
        <v>0</v>
      </c>
      <c r="E207" s="537"/>
      <c r="F207" s="44" t="str">
        <f>_xlfn.IFNA(IF(VLOOKUP($D207,Organización_Modular!$F$10:$G$195,2,FALSE)=F$23,Itinerario!T207," ")," ")</f>
        <v xml:space="preserve"> </v>
      </c>
      <c r="G207" s="44" t="str">
        <f>_xlfn.IFNA(IF(VLOOKUP($D207,Organización_Modular!$F$10:$G$195,2,FALSE)=G$23,Itinerario!W207," ")," ")</f>
        <v xml:space="preserve"> </v>
      </c>
      <c r="H207" s="44" t="str">
        <f>_xlfn.IFNA(IF(VLOOKUP($D207,Organización_Modular!$F$10:$G$195,2,FALSE)=H$23,Itinerario!T207," ")," ")</f>
        <v xml:space="preserve"> </v>
      </c>
      <c r="I207" s="44" t="str">
        <f>_xlfn.IFNA(IF(VLOOKUP($D207,Organización_Modular!$F$10:$G$195,2,FALSE)=I$23,Itinerario!W207," ")," ")</f>
        <v xml:space="preserve"> </v>
      </c>
      <c r="J207" s="44" t="str">
        <f>_xlfn.IFNA(IF(VLOOKUP($D207,Organización_Modular!$F$10:$G$195,2,FALSE)=J$23,Itinerario!T207," ")," ")</f>
        <v xml:space="preserve"> </v>
      </c>
      <c r="K207" s="44" t="str">
        <f>_xlfn.IFNA(IF(VLOOKUP($D207,Organización_Modular!$F$10:$G$195,2,FALSE)=K$23,Itinerario!W207," ")," ")</f>
        <v xml:space="preserve"> </v>
      </c>
      <c r="L207" s="44" t="str">
        <f>_xlfn.IFNA(IF(VLOOKUP($D207,Organización_Modular!$F$10:$G$195,2,FALSE)=L$23,Itinerario!T207," ")," ")</f>
        <v xml:space="preserve"> </v>
      </c>
      <c r="M207" s="44" t="str">
        <f>_xlfn.IFNA(IF(VLOOKUP($D207,Organización_Modular!$F$10:$G$195,2,FALSE)=M$23,Itinerario!W207," ")," ")</f>
        <v xml:space="preserve"> </v>
      </c>
      <c r="N207" s="44" t="str">
        <f>_xlfn.IFNA(IF(VLOOKUP($D207,Organización_Modular!$F$10:$G$195,2,FALSE)=N$23,Itinerario!T207," ")," ")</f>
        <v xml:space="preserve"> </v>
      </c>
      <c r="O207" s="44" t="str">
        <f>_xlfn.IFNA(IF(VLOOKUP($D207,Organización_Modular!$F$10:$G$195,2,FALSE)=O$23,Itinerario!W207," ")," ")</f>
        <v xml:space="preserve"> </v>
      </c>
      <c r="P207" s="44" t="str">
        <f>_xlfn.IFNA(IF(VLOOKUP($D207,Organización_Modular!$F$10:$G$195,2,FALSE)=P$23,Itinerario!T207," ")," ")</f>
        <v xml:space="preserve"> </v>
      </c>
      <c r="Q207" s="44" t="str">
        <f>_xlfn.IFNA(IF(VLOOKUP($D207,Organización_Modular!$F$10:$G$195,2,FALSE)=Q$23,Itinerario!W207," ")," ")</f>
        <v xml:space="preserve"> </v>
      </c>
      <c r="R207" s="44">
        <f>Organización_Modular!H193</f>
        <v>0</v>
      </c>
      <c r="S207" s="44">
        <f>Organización_Modular!I193</f>
        <v>0</v>
      </c>
      <c r="T207" s="82">
        <f t="shared" si="20"/>
        <v>0</v>
      </c>
      <c r="U207" s="44">
        <f t="shared" si="21"/>
        <v>0</v>
      </c>
      <c r="V207" s="44">
        <f t="shared" si="22"/>
        <v>0</v>
      </c>
      <c r="W207" s="82">
        <f t="shared" si="23"/>
        <v>0</v>
      </c>
      <c r="X207" s="87">
        <f t="shared" si="18"/>
        <v>0</v>
      </c>
    </row>
    <row r="208" spans="1:24" ht="18" hidden="1" customHeight="1" x14ac:dyDescent="0.2">
      <c r="A208" s="535"/>
      <c r="B208" s="398"/>
      <c r="C208" s="538"/>
      <c r="D208" s="537">
        <f>Organización_Modular!F194</f>
        <v>0</v>
      </c>
      <c r="E208" s="537"/>
      <c r="F208" s="44" t="str">
        <f>_xlfn.IFNA(IF(VLOOKUP($D208,Organización_Modular!$F$10:$G$195,2,FALSE)=F$23,Itinerario!T208," ")," ")</f>
        <v xml:space="preserve"> </v>
      </c>
      <c r="G208" s="44" t="str">
        <f>_xlfn.IFNA(IF(VLOOKUP($D208,Organización_Modular!$F$10:$G$195,2,FALSE)=G$23,Itinerario!W208," ")," ")</f>
        <v xml:space="preserve"> </v>
      </c>
      <c r="H208" s="44" t="str">
        <f>_xlfn.IFNA(IF(VLOOKUP($D208,Organización_Modular!$F$10:$G$195,2,FALSE)=H$23,Itinerario!T208," ")," ")</f>
        <v xml:space="preserve"> </v>
      </c>
      <c r="I208" s="44" t="str">
        <f>_xlfn.IFNA(IF(VLOOKUP($D208,Organización_Modular!$F$10:$G$195,2,FALSE)=I$23,Itinerario!W208," ")," ")</f>
        <v xml:space="preserve"> </v>
      </c>
      <c r="J208" s="44" t="str">
        <f>_xlfn.IFNA(IF(VLOOKUP($D208,Organización_Modular!$F$10:$G$195,2,FALSE)=J$23,Itinerario!T208," ")," ")</f>
        <v xml:space="preserve"> </v>
      </c>
      <c r="K208" s="44" t="str">
        <f>_xlfn.IFNA(IF(VLOOKUP($D208,Organización_Modular!$F$10:$G$195,2,FALSE)=K$23,Itinerario!W208," ")," ")</f>
        <v xml:space="preserve"> </v>
      </c>
      <c r="L208" s="44" t="str">
        <f>_xlfn.IFNA(IF(VLOOKUP($D208,Organización_Modular!$F$10:$G$195,2,FALSE)=L$23,Itinerario!T208," ")," ")</f>
        <v xml:space="preserve"> </v>
      </c>
      <c r="M208" s="44" t="str">
        <f>_xlfn.IFNA(IF(VLOOKUP($D208,Organización_Modular!$F$10:$G$195,2,FALSE)=M$23,Itinerario!W208," ")," ")</f>
        <v xml:space="preserve"> </v>
      </c>
      <c r="N208" s="44" t="str">
        <f>_xlfn.IFNA(IF(VLOOKUP($D208,Organización_Modular!$F$10:$G$195,2,FALSE)=N$23,Itinerario!T208," ")," ")</f>
        <v xml:space="preserve"> </v>
      </c>
      <c r="O208" s="44" t="str">
        <f>_xlfn.IFNA(IF(VLOOKUP($D208,Organización_Modular!$F$10:$G$195,2,FALSE)=O$23,Itinerario!W208," ")," ")</f>
        <v xml:space="preserve"> </v>
      </c>
      <c r="P208" s="44" t="str">
        <f>_xlfn.IFNA(IF(VLOOKUP($D208,Organización_Modular!$F$10:$G$195,2,FALSE)=P$23,Itinerario!T208," ")," ")</f>
        <v xml:space="preserve"> </v>
      </c>
      <c r="Q208" s="44" t="str">
        <f>_xlfn.IFNA(IF(VLOOKUP($D208,Organización_Modular!$F$10:$G$195,2,FALSE)=Q$23,Itinerario!W208," ")," ")</f>
        <v xml:space="preserve"> </v>
      </c>
      <c r="R208" s="44">
        <f>Organización_Modular!H194</f>
        <v>0</v>
      </c>
      <c r="S208" s="44">
        <f>Organización_Modular!I194</f>
        <v>0</v>
      </c>
      <c r="T208" s="82">
        <f t="shared" si="20"/>
        <v>0</v>
      </c>
      <c r="U208" s="44">
        <f t="shared" si="21"/>
        <v>0</v>
      </c>
      <c r="V208" s="44">
        <f t="shared" si="22"/>
        <v>0</v>
      </c>
      <c r="W208" s="82">
        <f t="shared" si="23"/>
        <v>0</v>
      </c>
      <c r="X208" s="87">
        <f t="shared" si="18"/>
        <v>0</v>
      </c>
    </row>
    <row r="209" spans="1:24" ht="25.5" customHeight="1" x14ac:dyDescent="0.2">
      <c r="A209" s="535"/>
      <c r="B209" s="557" t="str">
        <f>B54</f>
        <v>Experiencias formativas en situaciones reales de trabajo (ESRT)</v>
      </c>
      <c r="C209" s="558"/>
      <c r="D209" s="558"/>
      <c r="E209" s="558"/>
      <c r="F209" s="162"/>
      <c r="G209" s="162"/>
      <c r="H209" s="162"/>
      <c r="I209" s="162"/>
      <c r="J209" s="162"/>
      <c r="K209" s="162"/>
      <c r="L209" s="162"/>
      <c r="M209" s="162"/>
      <c r="N209" s="162"/>
      <c r="O209" s="162"/>
      <c r="P209" s="162"/>
      <c r="Q209" s="162"/>
      <c r="R209" s="165">
        <f>Organización_Modular!H195</f>
        <v>0</v>
      </c>
      <c r="S209" s="163">
        <v>6</v>
      </c>
      <c r="T209" s="164">
        <f>SUM(R209:S209)</f>
        <v>6</v>
      </c>
      <c r="U209" s="163">
        <f t="shared" si="21"/>
        <v>0</v>
      </c>
      <c r="V209" s="163">
        <f t="shared" si="22"/>
        <v>192</v>
      </c>
      <c r="W209" s="164">
        <f t="shared" si="23"/>
        <v>192</v>
      </c>
      <c r="X209" s="87">
        <f t="shared" si="18"/>
        <v>192</v>
      </c>
    </row>
    <row r="210" spans="1:24" ht="128.25" customHeight="1" x14ac:dyDescent="0.2">
      <c r="A210" s="416"/>
      <c r="B210" s="416"/>
      <c r="C210" s="416"/>
      <c r="D210" s="416"/>
      <c r="E210" s="416"/>
      <c r="F210" s="416"/>
      <c r="G210" s="416"/>
      <c r="H210" s="416"/>
      <c r="I210" s="416"/>
      <c r="J210" s="416"/>
      <c r="K210" s="416"/>
      <c r="L210" s="416"/>
      <c r="M210" s="416"/>
      <c r="N210" s="416"/>
      <c r="O210" s="416"/>
      <c r="P210" s="416"/>
      <c r="Q210" s="416"/>
      <c r="R210" s="416"/>
      <c r="S210" s="416"/>
      <c r="T210" s="416"/>
      <c r="U210" s="416"/>
      <c r="V210" s="416"/>
      <c r="W210" s="416"/>
      <c r="X210" s="87">
        <f>A210</f>
        <v>0</v>
      </c>
    </row>
    <row r="211" spans="1:24" ht="25.5" customHeight="1" x14ac:dyDescent="0.2">
      <c r="A211" s="536"/>
      <c r="B211" s="536"/>
      <c r="C211" s="536"/>
      <c r="D211" s="536"/>
      <c r="E211" s="536"/>
      <c r="F211" s="536"/>
      <c r="G211" s="536"/>
      <c r="H211" s="536"/>
      <c r="I211" s="536"/>
      <c r="J211" s="536"/>
      <c r="K211" s="536"/>
      <c r="L211" s="536"/>
      <c r="M211" s="536"/>
      <c r="N211" s="536"/>
      <c r="O211" s="536"/>
      <c r="P211" s="536"/>
      <c r="Q211" s="536"/>
      <c r="R211" s="536"/>
      <c r="S211" s="536"/>
      <c r="T211" s="536"/>
      <c r="U211" s="536"/>
      <c r="V211" s="536"/>
      <c r="W211" s="536"/>
      <c r="X211" s="87">
        <f>A211</f>
        <v>0</v>
      </c>
    </row>
    <row r="212" spans="1:24" ht="21" customHeight="1" x14ac:dyDescent="0.2"/>
    <row r="213" spans="1:24" ht="21" customHeight="1" x14ac:dyDescent="0.2"/>
    <row r="214" spans="1:24" ht="21" customHeight="1" x14ac:dyDescent="0.2"/>
  </sheetData>
  <sheetProtection formatRows="0" autoFilter="0"/>
  <autoFilter ref="A21:X211"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autoFilter>
  <mergeCells count="263">
    <mergeCell ref="B85:E85"/>
    <mergeCell ref="B116:E116"/>
    <mergeCell ref="B147:E147"/>
    <mergeCell ref="B178:E178"/>
    <mergeCell ref="B209:E209"/>
    <mergeCell ref="A148:A178"/>
    <mergeCell ref="B148:B167"/>
    <mergeCell ref="C148:C167"/>
    <mergeCell ref="B168:B177"/>
    <mergeCell ref="C168:C177"/>
    <mergeCell ref="D177:E177"/>
    <mergeCell ref="A117:A147"/>
    <mergeCell ref="B117:B136"/>
    <mergeCell ref="C117:C136"/>
    <mergeCell ref="D117:E117"/>
    <mergeCell ref="D118:E118"/>
    <mergeCell ref="D119:E119"/>
    <mergeCell ref="D120:E120"/>
    <mergeCell ref="D125:E125"/>
    <mergeCell ref="D126:E126"/>
    <mergeCell ref="D127:E127"/>
    <mergeCell ref="D133:E133"/>
    <mergeCell ref="D134:E134"/>
    <mergeCell ref="D135:E135"/>
    <mergeCell ref="B137:B146"/>
    <mergeCell ref="D137:E137"/>
    <mergeCell ref="A86:A116"/>
    <mergeCell ref="B86:B105"/>
    <mergeCell ref="C86:C105"/>
    <mergeCell ref="D87:E87"/>
    <mergeCell ref="D88:E88"/>
    <mergeCell ref="D89:E89"/>
    <mergeCell ref="D90:E90"/>
    <mergeCell ref="D91:E91"/>
    <mergeCell ref="D92:E92"/>
    <mergeCell ref="D95:E95"/>
    <mergeCell ref="B106:B115"/>
    <mergeCell ref="C106:C115"/>
    <mergeCell ref="D109:E109"/>
    <mergeCell ref="D115:E115"/>
    <mergeCell ref="D128:E128"/>
    <mergeCell ref="D129:E129"/>
    <mergeCell ref="D93:E93"/>
    <mergeCell ref="D123:E123"/>
    <mergeCell ref="D124:E124"/>
    <mergeCell ref="D130:E130"/>
    <mergeCell ref="D131:E131"/>
    <mergeCell ref="D86:E86"/>
    <mergeCell ref="D94:E94"/>
    <mergeCell ref="D110:E110"/>
    <mergeCell ref="D111:E111"/>
    <mergeCell ref="D112:E112"/>
    <mergeCell ref="D113:E113"/>
    <mergeCell ref="D114:E114"/>
    <mergeCell ref="D132:E132"/>
    <mergeCell ref="D144:E144"/>
    <mergeCell ref="D143:E143"/>
    <mergeCell ref="D142:E142"/>
    <mergeCell ref="D141:E141"/>
    <mergeCell ref="D136:E136"/>
    <mergeCell ref="D162:E162"/>
    <mergeCell ref="D158:E158"/>
    <mergeCell ref="D159:E159"/>
    <mergeCell ref="D165:E165"/>
    <mergeCell ref="D171:E171"/>
    <mergeCell ref="C137:C146"/>
    <mergeCell ref="D100:E100"/>
    <mergeCell ref="D101:E101"/>
    <mergeCell ref="D102:E102"/>
    <mergeCell ref="D103:E103"/>
    <mergeCell ref="D104:E104"/>
    <mergeCell ref="D140:E140"/>
    <mergeCell ref="D121:E121"/>
    <mergeCell ref="D122:E122"/>
    <mergeCell ref="D146:E146"/>
    <mergeCell ref="D138:E138"/>
    <mergeCell ref="D139:E139"/>
    <mergeCell ref="D145:E145"/>
    <mergeCell ref="A1:W1"/>
    <mergeCell ref="U21:W21"/>
    <mergeCell ref="A21:A22"/>
    <mergeCell ref="F21:Q21"/>
    <mergeCell ref="R21:T21"/>
    <mergeCell ref="B24:B43"/>
    <mergeCell ref="B44:B53"/>
    <mergeCell ref="B21:C22"/>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A13:B13"/>
    <mergeCell ref="A15:B15"/>
    <mergeCell ref="A17:B17"/>
    <mergeCell ref="D80:E80"/>
    <mergeCell ref="D53:E53"/>
    <mergeCell ref="D43:E43"/>
    <mergeCell ref="D33:E33"/>
    <mergeCell ref="B54:E54"/>
    <mergeCell ref="C44:C53"/>
    <mergeCell ref="B75:B84"/>
    <mergeCell ref="C75:C84"/>
    <mergeCell ref="C24:C43"/>
    <mergeCell ref="D41:E41"/>
    <mergeCell ref="D42:E42"/>
    <mergeCell ref="D36:E36"/>
    <mergeCell ref="D57:E57"/>
    <mergeCell ref="D58:E58"/>
    <mergeCell ref="D83:E83"/>
    <mergeCell ref="D66:E66"/>
    <mergeCell ref="D74:E74"/>
    <mergeCell ref="D79:E79"/>
    <mergeCell ref="D82:E82"/>
    <mergeCell ref="D84:E84"/>
    <mergeCell ref="D81:E81"/>
    <mergeCell ref="D176:E176"/>
    <mergeCell ref="D148:E148"/>
    <mergeCell ref="D149:E149"/>
    <mergeCell ref="D59:E59"/>
    <mergeCell ref="D60:E60"/>
    <mergeCell ref="D61:E61"/>
    <mergeCell ref="D64:E64"/>
    <mergeCell ref="D65:E65"/>
    <mergeCell ref="D67:E67"/>
    <mergeCell ref="D68:E68"/>
    <mergeCell ref="D77:E77"/>
    <mergeCell ref="D78:E78"/>
    <mergeCell ref="D75:E75"/>
    <mergeCell ref="D76:E76"/>
    <mergeCell ref="D72:E72"/>
    <mergeCell ref="D73:E73"/>
    <mergeCell ref="D172:E172"/>
    <mergeCell ref="D169:E169"/>
    <mergeCell ref="D170:E170"/>
    <mergeCell ref="D150:E150"/>
    <mergeCell ref="D151:E151"/>
    <mergeCell ref="D152:E152"/>
    <mergeCell ref="D160:E160"/>
    <mergeCell ref="D161:E161"/>
    <mergeCell ref="D173:E173"/>
    <mergeCell ref="D174:E174"/>
    <mergeCell ref="A3:B3"/>
    <mergeCell ref="C3:K3"/>
    <mergeCell ref="A9:B9"/>
    <mergeCell ref="C9:D9"/>
    <mergeCell ref="D167:E167"/>
    <mergeCell ref="D168:E168"/>
    <mergeCell ref="D175:E175"/>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L3:R3"/>
    <mergeCell ref="D49:E49"/>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A210:W210"/>
    <mergeCell ref="D108:E108"/>
    <mergeCell ref="D106:E106"/>
    <mergeCell ref="D107:E107"/>
    <mergeCell ref="D96:E96"/>
    <mergeCell ref="D97:E97"/>
    <mergeCell ref="D98:E98"/>
    <mergeCell ref="D99:E99"/>
    <mergeCell ref="D105:E105"/>
    <mergeCell ref="D153:E153"/>
    <mergeCell ref="D154:E154"/>
    <mergeCell ref="D155:E155"/>
    <mergeCell ref="D156:E156"/>
    <mergeCell ref="D157:E157"/>
    <mergeCell ref="D163:E163"/>
    <mergeCell ref="D164:E164"/>
    <mergeCell ref="D166:E166"/>
    <mergeCell ref="A179:A209"/>
    <mergeCell ref="B179:B198"/>
    <mergeCell ref="C179:C198"/>
    <mergeCell ref="D179:E179"/>
    <mergeCell ref="D190:E190"/>
    <mergeCell ref="D191:E191"/>
    <mergeCell ref="D198:E198"/>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89:E189"/>
    <mergeCell ref="B199:B208"/>
    <mergeCell ref="A55:A85"/>
    <mergeCell ref="A211:W211"/>
    <mergeCell ref="D62:E62"/>
    <mergeCell ref="D63:E63"/>
    <mergeCell ref="D69:E69"/>
    <mergeCell ref="D70:E70"/>
    <mergeCell ref="D71:E71"/>
    <mergeCell ref="A24:A54"/>
    <mergeCell ref="C199:C208"/>
    <mergeCell ref="D199:E199"/>
    <mergeCell ref="D200:E200"/>
    <mergeCell ref="D201:E201"/>
    <mergeCell ref="D202:E202"/>
    <mergeCell ref="D203:E203"/>
    <mergeCell ref="D204:E204"/>
    <mergeCell ref="D205:E205"/>
    <mergeCell ref="D206:E206"/>
    <mergeCell ref="D207:E207"/>
    <mergeCell ref="D208:E208"/>
    <mergeCell ref="B55:B74"/>
    <mergeCell ref="C55:C74"/>
    <mergeCell ref="D55:E55"/>
    <mergeCell ref="D56:E56"/>
    <mergeCell ref="Y13:AJ13"/>
    <mergeCell ref="Y14:AC14"/>
    <mergeCell ref="AD14:AJ14"/>
    <mergeCell ref="G9:L9"/>
    <mergeCell ref="U9:W9"/>
    <mergeCell ref="M9:O9"/>
    <mergeCell ref="P9:R9"/>
    <mergeCell ref="S9:T9"/>
    <mergeCell ref="C7:W7"/>
  </mergeCells>
  <conditionalFormatting sqref="R54">
    <cfRule type="cellIs" dxfId="54" priority="93" operator="equal">
      <formula>0</formula>
    </cfRule>
  </conditionalFormatting>
  <conditionalFormatting sqref="R85">
    <cfRule type="cellIs" dxfId="53" priority="94" operator="equal">
      <formula>0</formula>
    </cfRule>
  </conditionalFormatting>
  <conditionalFormatting sqref="R116">
    <cfRule type="cellIs" dxfId="52" priority="95" operator="equal">
      <formula>0</formula>
    </cfRule>
  </conditionalFormatting>
  <conditionalFormatting sqref="R147">
    <cfRule type="cellIs" dxfId="51" priority="96" operator="equal">
      <formula>0</formula>
    </cfRule>
  </conditionalFormatting>
  <conditionalFormatting sqref="R178">
    <cfRule type="cellIs" dxfId="50" priority="97" operator="equal">
      <formula>0</formula>
    </cfRule>
  </conditionalFormatting>
  <conditionalFormatting sqref="R209">
    <cfRule type="cellIs" dxfId="49" priority="125" operator="equal">
      <formula>0</formula>
    </cfRule>
  </conditionalFormatting>
  <conditionalFormatting sqref="T16">
    <cfRule type="cellIs" dxfId="48" priority="149" operator="lessThan">
      <formula>12</formula>
    </cfRule>
  </conditionalFormatting>
  <conditionalFormatting sqref="Y17">
    <cfRule type="cellIs" dxfId="47" priority="78" operator="greaterThan">
      <formula>24</formula>
    </cfRule>
    <cfRule type="cellIs" dxfId="46" priority="77" operator="lessThan">
      <formula>18</formula>
    </cfRule>
    <cfRule type="cellIs" dxfId="45" priority="76" operator="between">
      <formula>18</formula>
      <formula>24</formula>
    </cfRule>
  </conditionalFormatting>
  <conditionalFormatting sqref="Z17">
    <cfRule type="cellIs" dxfId="44" priority="59" operator="between">
      <formula>511</formula>
      <formula>540</formula>
    </cfRule>
    <cfRule type="cellIs" dxfId="43" priority="60" operator="between">
      <formula>481</formula>
      <formula>510</formula>
    </cfRule>
    <cfRule type="cellIs" dxfId="42" priority="85" operator="greaterThan">
      <formula>510</formula>
    </cfRule>
    <cfRule type="cellIs" dxfId="41" priority="84" operator="lessThan">
      <formula>480</formula>
    </cfRule>
    <cfRule type="cellIs" dxfId="40" priority="83" operator="equal">
      <formula>480</formula>
    </cfRule>
  </conditionalFormatting>
  <conditionalFormatting sqref="AA17">
    <cfRule type="cellIs" dxfId="39" priority="74" operator="lessThan">
      <formula>18</formula>
    </cfRule>
    <cfRule type="cellIs" dxfId="38" priority="73" operator="between">
      <formula>18</formula>
      <formula>24</formula>
    </cfRule>
    <cfRule type="cellIs" dxfId="37" priority="75" operator="greaterThan">
      <formula>24</formula>
    </cfRule>
  </conditionalFormatting>
  <conditionalFormatting sqref="AB17">
    <cfRule type="cellIs" dxfId="36" priority="21" operator="between">
      <formula>511</formula>
      <formula>540</formula>
    </cfRule>
    <cfRule type="cellIs" dxfId="35" priority="22" operator="between">
      <formula>481</formula>
      <formula>510</formula>
    </cfRule>
    <cfRule type="cellIs" dxfId="34" priority="23" operator="equal">
      <formula>480</formula>
    </cfRule>
    <cfRule type="cellIs" dxfId="33" priority="24" operator="lessThan">
      <formula>480</formula>
    </cfRule>
    <cfRule type="cellIs" dxfId="32" priority="25" operator="greaterThan">
      <formula>510</formula>
    </cfRule>
  </conditionalFormatting>
  <conditionalFormatting sqref="AC17">
    <cfRule type="cellIs" dxfId="31" priority="72" operator="greaterThan">
      <formula>24</formula>
    </cfRule>
    <cfRule type="cellIs" dxfId="30" priority="71" operator="lessThan">
      <formula>18</formula>
    </cfRule>
    <cfRule type="cellIs" dxfId="29" priority="70" operator="between">
      <formula>18</formula>
      <formula>24</formula>
    </cfRule>
  </conditionalFormatting>
  <conditionalFormatting sqref="AD17">
    <cfRule type="cellIs" dxfId="28" priority="17" operator="between">
      <formula>481</formula>
      <formula>510</formula>
    </cfRule>
    <cfRule type="cellIs" dxfId="27" priority="19" operator="lessThan">
      <formula>480</formula>
    </cfRule>
    <cfRule type="cellIs" dxfId="26" priority="18" operator="equal">
      <formula>480</formula>
    </cfRule>
    <cfRule type="cellIs" dxfId="25" priority="16" operator="between">
      <formula>511</formula>
      <formula>540</formula>
    </cfRule>
    <cfRule type="cellIs" dxfId="24" priority="20" operator="greaterThan">
      <formula>510</formula>
    </cfRule>
  </conditionalFormatting>
  <conditionalFormatting sqref="AE17">
    <cfRule type="cellIs" dxfId="23" priority="67" operator="between">
      <formula>18</formula>
      <formula>24</formula>
    </cfRule>
    <cfRule type="cellIs" dxfId="22" priority="68" operator="lessThan">
      <formula>18</formula>
    </cfRule>
    <cfRule type="cellIs" dxfId="21" priority="69" operator="greaterThan">
      <formula>24</formula>
    </cfRule>
  </conditionalFormatting>
  <conditionalFormatting sqref="AF17">
    <cfRule type="cellIs" dxfId="20" priority="15" operator="greaterThan">
      <formula>510</formula>
    </cfRule>
    <cfRule type="cellIs" dxfId="19" priority="14" operator="lessThan">
      <formula>480</formula>
    </cfRule>
    <cfRule type="cellIs" dxfId="18" priority="13" operator="equal">
      <formula>480</formula>
    </cfRule>
    <cfRule type="cellIs" dxfId="17" priority="12" operator="between">
      <formula>481</formula>
      <formula>510</formula>
    </cfRule>
    <cfRule type="cellIs" dxfId="16" priority="11" operator="between">
      <formula>511</formula>
      <formula>540</formula>
    </cfRule>
  </conditionalFormatting>
  <conditionalFormatting sqref="AG17">
    <cfRule type="cellIs" dxfId="15" priority="66" operator="greaterThan">
      <formula>24</formula>
    </cfRule>
    <cfRule type="cellIs" dxfId="14" priority="64" operator="between">
      <formula>18</formula>
      <formula>24</formula>
    </cfRule>
    <cfRule type="cellIs" dxfId="13" priority="65" operator="lessThan">
      <formula>18</formula>
    </cfRule>
  </conditionalFormatting>
  <conditionalFormatting sqref="AH17">
    <cfRule type="cellIs" dxfId="12" priority="9" operator="lessThan">
      <formula>480</formula>
    </cfRule>
    <cfRule type="cellIs" dxfId="11" priority="10" operator="greaterThan">
      <formula>510</formula>
    </cfRule>
    <cfRule type="cellIs" dxfId="10" priority="8" operator="equal">
      <formula>480</formula>
    </cfRule>
    <cfRule type="cellIs" dxfId="9" priority="7" operator="between">
      <formula>481</formula>
      <formula>510</formula>
    </cfRule>
    <cfRule type="cellIs" dxfId="8" priority="6" operator="between">
      <formula>511</formula>
      <formula>540</formula>
    </cfRule>
  </conditionalFormatting>
  <conditionalFormatting sqref="AI17">
    <cfRule type="cellIs" dxfId="7" priority="63" operator="greaterThan">
      <formula>24</formula>
    </cfRule>
    <cfRule type="cellIs" dxfId="6" priority="62" operator="lessThan">
      <formula>18</formula>
    </cfRule>
    <cfRule type="cellIs" dxfId="5" priority="61" operator="between">
      <formula>18</formula>
      <formula>24</formula>
    </cfRule>
  </conditionalFormatting>
  <conditionalFormatting sqref="AJ17">
    <cfRule type="cellIs" dxfId="4" priority="2" operator="between">
      <formula>481</formula>
      <formula>510</formula>
    </cfRule>
    <cfRule type="cellIs" dxfId="3" priority="3" operator="equal">
      <formula>480</formula>
    </cfRule>
    <cfRule type="cellIs" dxfId="2" priority="4" operator="lessThan">
      <formula>480</formula>
    </cfRule>
    <cfRule type="cellIs" dxfId="1" priority="1" operator="between">
      <formula>511</formula>
      <formula>540</formula>
    </cfRule>
    <cfRule type="cellIs" dxfId="0" priority="5" operator="greaterThan">
      <formula>510</formula>
    </cfRule>
  </conditionalFormatting>
  <printOptions horizontalCentered="1"/>
  <pageMargins left="0.31496062992125984" right="0.31496062992125984" top="0.35433070866141736" bottom="0.35433070866141736" header="0.31496062992125984" footer="0.31496062992125984"/>
  <pageSetup paperSize="9" scale="51" orientation="landscape" r:id="rId1"/>
  <rowBreaks count="1" manualBreakCount="1">
    <brk id="54" max="35" man="1"/>
  </rowBreaks>
  <ignoredErrors>
    <ignoredError sqref="R17" evalError="1"/>
    <ignoredError sqref="F26:F44 Q24:Q43 Q44:Q83 F46:F53 F55:F83 Q85:Q208 F85:F208" unlockedFormula="1"/>
    <ignoredError sqref="G24:O26 P44:P83 P24:P43 G55:O83 H27:O53 G86:O115 G85 L85:O85 J54:O54 J85 G117:O146 G116:I116 L116:O116 G148:O208 G147:K147 N147:O147 P85:P208" formula="1" unlockedFormula="1"/>
    <ignoredError sqref="G27:G44 G46:G5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7AB2D2C5929D42BD87D50F3FE3F297" ma:contentTypeVersion="15" ma:contentTypeDescription="Crear nuevo documento." ma:contentTypeScope="" ma:versionID="784ad5660dff9b1e33d452b1ce6b9886">
  <xsd:schema xmlns:xsd="http://www.w3.org/2001/XMLSchema" xmlns:xs="http://www.w3.org/2001/XMLSchema" xmlns:p="http://schemas.microsoft.com/office/2006/metadata/properties" xmlns:ns3="ab4b8638-b9b9-4047-bb3e-45b92c806662" xmlns:ns4="0c59ead9-2b73-467b-8ad0-519f3abef766" targetNamespace="http://schemas.microsoft.com/office/2006/metadata/properties" ma:root="true" ma:fieldsID="a68f60ab30341bb6ec8ceaff04e44765" ns3:_="" ns4:_="">
    <xsd:import namespace="ab4b8638-b9b9-4047-bb3e-45b92c806662"/>
    <xsd:import namespace="0c59ead9-2b73-467b-8ad0-519f3abef76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4b8638-b9b9-4047-bb3e-45b92c80666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59ead9-2b73-467b-8ad0-519f3abef76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c59ead9-2b73-467b-8ad0-519f3abef76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2E337C-16A4-4D9D-B7E8-1AD7D9BDD7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4b8638-b9b9-4047-bb3e-45b92c806662"/>
    <ds:schemaRef ds:uri="0c59ead9-2b73-467b-8ad0-519f3abef7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1657F4-60AA-4D5C-B0B8-E15DA380A12A}">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0c59ead9-2b73-467b-8ad0-519f3abef766"/>
    <ds:schemaRef ds:uri="http://schemas.microsoft.com/office/2006/documentManagement/types"/>
    <ds:schemaRef ds:uri="ab4b8638-b9b9-4047-bb3e-45b92c806662"/>
    <ds:schemaRef ds:uri="http://www.w3.org/XML/1998/namespace"/>
    <ds:schemaRef ds:uri="http://purl.org/dc/dcmitype/"/>
  </ds:schemaRefs>
</ds:datastoreItem>
</file>

<file path=customXml/itemProps3.xml><?xml version="1.0" encoding="utf-8"?>
<ds:datastoreItem xmlns:ds="http://schemas.openxmlformats.org/officeDocument/2006/customXml" ds:itemID="{70E6D271-D158-4962-ACB7-81AB43D917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Perfil_Egreso</vt:lpstr>
      <vt:lpstr>Programa_Estudio</vt:lpstr>
      <vt:lpstr>Capacidades</vt:lpstr>
      <vt:lpstr>Organización_Modular</vt:lpstr>
      <vt:lpstr>M1</vt:lpstr>
      <vt:lpstr>M2</vt:lpstr>
      <vt:lpstr>M3</vt:lpstr>
      <vt:lpstr>M4</vt:lpstr>
      <vt:lpstr>M5</vt:lpstr>
      <vt:lpstr>M6</vt:lpstr>
      <vt:lpstr>Itinerario</vt:lpstr>
      <vt:lpstr>Itinerario!Área_de_impresión</vt:lpstr>
      <vt:lpstr>Organización_Modular!Área_de_impresión</vt:lpstr>
      <vt:lpstr>Perfil_Egreso!Área_de_impresión</vt:lpstr>
      <vt:lpstr>Programa_Estudio!Área_de_impresión</vt:lpstr>
      <vt:lpstr>Programa_Estudio!Títulos_a_imprimir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Paquiyauri</dc:creator>
  <cp:lastModifiedBy>EQUIPO</cp:lastModifiedBy>
  <cp:lastPrinted>2025-01-23T17:45:27Z</cp:lastPrinted>
  <dcterms:created xsi:type="dcterms:W3CDTF">2017-10-11T14:49:30Z</dcterms:created>
  <dcterms:modified xsi:type="dcterms:W3CDTF">2025-01-23T17:52:43Z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0x010100587AB2D2C5929D42BD87D50F3FE3F297</vt:lpwstr>
  </property>
</Properties>
</file>